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Latitude 7310\Documents\Excel for data analysis\excel-data-analysis-learning\06-data-cleaning\"/>
    </mc:Choice>
  </mc:AlternateContent>
  <xr:revisionPtr revIDLastSave="0" documentId="13_ncr:1_{8832FCC8-7CD5-4EC2-B41D-2E070539D35B}" xr6:coauthVersionLast="47" xr6:coauthVersionMax="47" xr10:uidLastSave="{00000000-0000-0000-0000-000000000000}"/>
  <bookViews>
    <workbookView xWindow="-108" yWindow="-108" windowWidth="23256" windowHeight="12456" firstSheet="1" activeTab="4" xr2:uid="{00000000-000D-0000-FFFF-FFFF00000000}"/>
  </bookViews>
  <sheets>
    <sheet name="Task-1(Data-Quality-Audit)" sheetId="2" r:id="rId1"/>
    <sheet name="Cleaning Tasks" sheetId="4" r:id="rId2"/>
    <sheet name="Orders" sheetId="1" r:id="rId3"/>
    <sheet name="Sheet1" sheetId="6" state="hidden" r:id="rId4"/>
    <sheet name="Data Quality Dashboard" sheetId="5" r:id="rId5"/>
  </sheets>
  <definedNames>
    <definedName name="_xlnm._FilterDatabase" localSheetId="2" hidden="1">Orders!$H$1:$H$2001</definedName>
  </definedNames>
  <calcPr calcId="191029"/>
  <pivotCaches>
    <pivotCache cacheId="0" r:id="rId6"/>
    <pivotCache cacheId="1" r:id="rId7"/>
    <pivotCache cacheId="2" r:id="rId8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4" i="5" l="1"/>
  <c r="C27" i="1"/>
  <c r="B2" i="1"/>
  <c r="B173" i="1"/>
  <c r="C173" i="1"/>
  <c r="F173" i="1"/>
  <c r="M173" i="1"/>
  <c r="O173" i="1"/>
  <c r="Q173" i="1"/>
  <c r="R173" i="1" s="1"/>
  <c r="T173" i="1"/>
  <c r="V173" i="1"/>
  <c r="AE173" i="1"/>
  <c r="B84" i="1"/>
  <c r="B372" i="1"/>
  <c r="B464" i="1"/>
  <c r="B473" i="1"/>
  <c r="B633" i="1"/>
  <c r="B837" i="1"/>
  <c r="B1009" i="1"/>
  <c r="B1486" i="1"/>
  <c r="B1688" i="1"/>
  <c r="B1863" i="1"/>
  <c r="B1889" i="1"/>
  <c r="B28" i="1"/>
  <c r="B261" i="1"/>
  <c r="B263" i="1"/>
  <c r="B306" i="1"/>
  <c r="B653" i="1"/>
  <c r="B720" i="1"/>
  <c r="B799" i="1"/>
  <c r="B860" i="1"/>
  <c r="B867" i="1"/>
  <c r="B949" i="1"/>
  <c r="B1041" i="1"/>
  <c r="B1131" i="1"/>
  <c r="B1213" i="1"/>
  <c r="B1403" i="1"/>
  <c r="B1416" i="1"/>
  <c r="B1437" i="1"/>
  <c r="B1546" i="1"/>
  <c r="B1582" i="1"/>
  <c r="B1738" i="1"/>
  <c r="B1752" i="1"/>
  <c r="B1793" i="1"/>
  <c r="B1851" i="1"/>
  <c r="B1894" i="1"/>
  <c r="B1918" i="1"/>
  <c r="B1205" i="1"/>
  <c r="B782" i="1"/>
  <c r="B819" i="1"/>
  <c r="B1705" i="1"/>
  <c r="B1682" i="1"/>
  <c r="B1503" i="1"/>
  <c r="B1604" i="1"/>
  <c r="B4" i="1"/>
  <c r="B1332" i="1"/>
  <c r="B964" i="1"/>
  <c r="B3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2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5" i="1"/>
  <c r="B466" i="1"/>
  <c r="B467" i="1"/>
  <c r="B468" i="1"/>
  <c r="B469" i="1"/>
  <c r="B470" i="1"/>
  <c r="B471" i="1"/>
  <c r="B472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625" i="1"/>
  <c r="B626" i="1"/>
  <c r="B627" i="1"/>
  <c r="B628" i="1"/>
  <c r="B629" i="1"/>
  <c r="B630" i="1"/>
  <c r="B631" i="1"/>
  <c r="B632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4" i="1"/>
  <c r="B655" i="1"/>
  <c r="B656" i="1"/>
  <c r="B657" i="1"/>
  <c r="B658" i="1"/>
  <c r="B659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2" i="1"/>
  <c r="B673" i="1"/>
  <c r="B674" i="1"/>
  <c r="B675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B754" i="1"/>
  <c r="B755" i="1"/>
  <c r="B756" i="1"/>
  <c r="B757" i="1"/>
  <c r="B758" i="1"/>
  <c r="B759" i="1"/>
  <c r="B760" i="1"/>
  <c r="B761" i="1"/>
  <c r="B762" i="1"/>
  <c r="B763" i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3" i="1"/>
  <c r="B784" i="1"/>
  <c r="B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800" i="1"/>
  <c r="B801" i="1"/>
  <c r="B802" i="1"/>
  <c r="B803" i="1"/>
  <c r="B804" i="1"/>
  <c r="B805" i="1"/>
  <c r="B806" i="1"/>
  <c r="B807" i="1"/>
  <c r="B808" i="1"/>
  <c r="B809" i="1"/>
  <c r="B810" i="1"/>
  <c r="B811" i="1"/>
  <c r="B812" i="1"/>
  <c r="B813" i="1"/>
  <c r="B814" i="1"/>
  <c r="B815" i="1"/>
  <c r="B816" i="1"/>
  <c r="B817" i="1"/>
  <c r="B818" i="1"/>
  <c r="B820" i="1"/>
  <c r="B821" i="1"/>
  <c r="B822" i="1"/>
  <c r="B823" i="1"/>
  <c r="B824" i="1"/>
  <c r="B825" i="1"/>
  <c r="B826" i="1"/>
  <c r="B827" i="1"/>
  <c r="B828" i="1"/>
  <c r="B829" i="1"/>
  <c r="B830" i="1"/>
  <c r="B831" i="1"/>
  <c r="B832" i="1"/>
  <c r="B833" i="1"/>
  <c r="B834" i="1"/>
  <c r="B835" i="1"/>
  <c r="B836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B853" i="1"/>
  <c r="B854" i="1"/>
  <c r="B855" i="1"/>
  <c r="B856" i="1"/>
  <c r="B857" i="1"/>
  <c r="B858" i="1"/>
  <c r="B859" i="1"/>
  <c r="B861" i="1"/>
  <c r="B862" i="1"/>
  <c r="B863" i="1"/>
  <c r="B864" i="1"/>
  <c r="B865" i="1"/>
  <c r="B866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B880" i="1"/>
  <c r="B881" i="1"/>
  <c r="B882" i="1"/>
  <c r="B883" i="1"/>
  <c r="B884" i="1"/>
  <c r="B885" i="1"/>
  <c r="B886" i="1"/>
  <c r="B887" i="1"/>
  <c r="B888" i="1"/>
  <c r="B889" i="1"/>
  <c r="B890" i="1"/>
  <c r="B891" i="1"/>
  <c r="B892" i="1"/>
  <c r="B893" i="1"/>
  <c r="B894" i="1"/>
  <c r="B895" i="1"/>
  <c r="B896" i="1"/>
  <c r="B897" i="1"/>
  <c r="B898" i="1"/>
  <c r="B899" i="1"/>
  <c r="B900" i="1"/>
  <c r="B901" i="1"/>
  <c r="B902" i="1"/>
  <c r="B903" i="1"/>
  <c r="B904" i="1"/>
  <c r="B905" i="1"/>
  <c r="B906" i="1"/>
  <c r="B907" i="1"/>
  <c r="B908" i="1"/>
  <c r="B909" i="1"/>
  <c r="B910" i="1"/>
  <c r="B911" i="1"/>
  <c r="B912" i="1"/>
  <c r="B913" i="1"/>
  <c r="B914" i="1"/>
  <c r="B915" i="1"/>
  <c r="B916" i="1"/>
  <c r="B917" i="1"/>
  <c r="B918" i="1"/>
  <c r="B919" i="1"/>
  <c r="B920" i="1"/>
  <c r="B921" i="1"/>
  <c r="B922" i="1"/>
  <c r="B923" i="1"/>
  <c r="B924" i="1"/>
  <c r="B925" i="1"/>
  <c r="B926" i="1"/>
  <c r="B927" i="1"/>
  <c r="B928" i="1"/>
  <c r="B929" i="1"/>
  <c r="B930" i="1"/>
  <c r="B931" i="1"/>
  <c r="B932" i="1"/>
  <c r="B933" i="1"/>
  <c r="B934" i="1"/>
  <c r="B935" i="1"/>
  <c r="B936" i="1"/>
  <c r="B937" i="1"/>
  <c r="B938" i="1"/>
  <c r="B939" i="1"/>
  <c r="B940" i="1"/>
  <c r="B941" i="1"/>
  <c r="B942" i="1"/>
  <c r="B943" i="1"/>
  <c r="B944" i="1"/>
  <c r="B945" i="1"/>
  <c r="B946" i="1"/>
  <c r="B947" i="1"/>
  <c r="B948" i="1"/>
  <c r="B950" i="1"/>
  <c r="B951" i="1"/>
  <c r="B952" i="1"/>
  <c r="B953" i="1"/>
  <c r="B954" i="1"/>
  <c r="B955" i="1"/>
  <c r="B956" i="1"/>
  <c r="B957" i="1"/>
  <c r="B958" i="1"/>
  <c r="B959" i="1"/>
  <c r="B960" i="1"/>
  <c r="B961" i="1"/>
  <c r="B962" i="1"/>
  <c r="B963" i="1"/>
  <c r="B965" i="1"/>
  <c r="B966" i="1"/>
  <c r="B967" i="1"/>
  <c r="B968" i="1"/>
  <c r="B969" i="1"/>
  <c r="B970" i="1"/>
  <c r="B971" i="1"/>
  <c r="B972" i="1"/>
  <c r="B973" i="1"/>
  <c r="B974" i="1"/>
  <c r="B975" i="1"/>
  <c r="B976" i="1"/>
  <c r="B977" i="1"/>
  <c r="B978" i="1"/>
  <c r="B979" i="1"/>
  <c r="B980" i="1"/>
  <c r="B981" i="1"/>
  <c r="B982" i="1"/>
  <c r="B983" i="1"/>
  <c r="B984" i="1"/>
  <c r="B985" i="1"/>
  <c r="B986" i="1"/>
  <c r="B987" i="1"/>
  <c r="B988" i="1"/>
  <c r="B989" i="1"/>
  <c r="B990" i="1"/>
  <c r="B991" i="1"/>
  <c r="B992" i="1"/>
  <c r="B993" i="1"/>
  <c r="B994" i="1"/>
  <c r="B995" i="1"/>
  <c r="B996" i="1"/>
  <c r="B997" i="1"/>
  <c r="B998" i="1"/>
  <c r="B999" i="1"/>
  <c r="B1000" i="1"/>
  <c r="B1001" i="1"/>
  <c r="B1002" i="1"/>
  <c r="B1003" i="1"/>
  <c r="B1004" i="1"/>
  <c r="B1005" i="1"/>
  <c r="B1006" i="1"/>
  <c r="B1007" i="1"/>
  <c r="B1008" i="1"/>
  <c r="B1010" i="1"/>
  <c r="B1011" i="1"/>
  <c r="B1012" i="1"/>
  <c r="B1013" i="1"/>
  <c r="B1014" i="1"/>
  <c r="B1015" i="1"/>
  <c r="B1016" i="1"/>
  <c r="B1017" i="1"/>
  <c r="B1018" i="1"/>
  <c r="B1019" i="1"/>
  <c r="B1020" i="1"/>
  <c r="B1021" i="1"/>
  <c r="B1022" i="1"/>
  <c r="B1023" i="1"/>
  <c r="B1024" i="1"/>
  <c r="B1025" i="1"/>
  <c r="B1026" i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2" i="1"/>
  <c r="B1043" i="1"/>
  <c r="B1044" i="1"/>
  <c r="B1045" i="1"/>
  <c r="B1046" i="1"/>
  <c r="B1047" i="1"/>
  <c r="B1048" i="1"/>
  <c r="B1049" i="1"/>
  <c r="B1050" i="1"/>
  <c r="B1051" i="1"/>
  <c r="B1052" i="1"/>
  <c r="B1053" i="1"/>
  <c r="B1054" i="1"/>
  <c r="B1055" i="1"/>
  <c r="B1056" i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B1072" i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B1124" i="1"/>
  <c r="B1125" i="1"/>
  <c r="B1126" i="1"/>
  <c r="B1127" i="1"/>
  <c r="B1128" i="1"/>
  <c r="B1129" i="1"/>
  <c r="B1130" i="1"/>
  <c r="B1132" i="1"/>
  <c r="B1133" i="1"/>
  <c r="B1134" i="1"/>
  <c r="B1135" i="1"/>
  <c r="B1136" i="1"/>
  <c r="B1137" i="1"/>
  <c r="B1138" i="1"/>
  <c r="B1139" i="1"/>
  <c r="B1140" i="1"/>
  <c r="B1141" i="1"/>
  <c r="B1142" i="1"/>
  <c r="B1143" i="1"/>
  <c r="B1144" i="1"/>
  <c r="B1145" i="1"/>
  <c r="B1146" i="1"/>
  <c r="B1147" i="1"/>
  <c r="B1148" i="1"/>
  <c r="B1149" i="1"/>
  <c r="B1150" i="1"/>
  <c r="B1151" i="1"/>
  <c r="B1152" i="1"/>
  <c r="B1153" i="1"/>
  <c r="B1154" i="1"/>
  <c r="B1155" i="1"/>
  <c r="B1156" i="1"/>
  <c r="B1157" i="1"/>
  <c r="B1158" i="1"/>
  <c r="B1159" i="1"/>
  <c r="B1160" i="1"/>
  <c r="B1161" i="1"/>
  <c r="B1162" i="1"/>
  <c r="B1163" i="1"/>
  <c r="B1164" i="1"/>
  <c r="B1165" i="1"/>
  <c r="B1166" i="1"/>
  <c r="B1167" i="1"/>
  <c r="B1168" i="1"/>
  <c r="B1169" i="1"/>
  <c r="B1170" i="1"/>
  <c r="B1171" i="1"/>
  <c r="B1172" i="1"/>
  <c r="B1173" i="1"/>
  <c r="B1174" i="1"/>
  <c r="B1175" i="1"/>
  <c r="B1176" i="1"/>
  <c r="B1177" i="1"/>
  <c r="B1178" i="1"/>
  <c r="B1179" i="1"/>
  <c r="B1180" i="1"/>
  <c r="B1181" i="1"/>
  <c r="B1182" i="1"/>
  <c r="B1183" i="1"/>
  <c r="B1184" i="1"/>
  <c r="B1185" i="1"/>
  <c r="B1186" i="1"/>
  <c r="B1187" i="1"/>
  <c r="B1188" i="1"/>
  <c r="B1189" i="1"/>
  <c r="B1190" i="1"/>
  <c r="B1191" i="1"/>
  <c r="B1192" i="1"/>
  <c r="B1193" i="1"/>
  <c r="B1194" i="1"/>
  <c r="B1195" i="1"/>
  <c r="B1196" i="1"/>
  <c r="B1197" i="1"/>
  <c r="B1198" i="1"/>
  <c r="B1199" i="1"/>
  <c r="B1200" i="1"/>
  <c r="B1201" i="1"/>
  <c r="B1202" i="1"/>
  <c r="B1203" i="1"/>
  <c r="B1204" i="1"/>
  <c r="B1206" i="1"/>
  <c r="B1207" i="1"/>
  <c r="B1208" i="1"/>
  <c r="B1209" i="1"/>
  <c r="B1210" i="1"/>
  <c r="B1211" i="1"/>
  <c r="B1212" i="1"/>
  <c r="B1214" i="1"/>
  <c r="B1215" i="1"/>
  <c r="B1216" i="1"/>
  <c r="B1217" i="1"/>
  <c r="B1218" i="1"/>
  <c r="B1219" i="1"/>
  <c r="B1220" i="1"/>
  <c r="B1221" i="1"/>
  <c r="B1222" i="1"/>
  <c r="B1223" i="1"/>
  <c r="B1224" i="1"/>
  <c r="B1225" i="1"/>
  <c r="B1226" i="1"/>
  <c r="B1227" i="1"/>
  <c r="B1228" i="1"/>
  <c r="B1229" i="1"/>
  <c r="B1230" i="1"/>
  <c r="B1231" i="1"/>
  <c r="B1232" i="1"/>
  <c r="B1233" i="1"/>
  <c r="B1234" i="1"/>
  <c r="B1235" i="1"/>
  <c r="B1236" i="1"/>
  <c r="B1237" i="1"/>
  <c r="B1238" i="1"/>
  <c r="B1239" i="1"/>
  <c r="B1240" i="1"/>
  <c r="B1241" i="1"/>
  <c r="B1242" i="1"/>
  <c r="B1243" i="1"/>
  <c r="B1244" i="1"/>
  <c r="B1245" i="1"/>
  <c r="B1246" i="1"/>
  <c r="B1247" i="1"/>
  <c r="B1248" i="1"/>
  <c r="B1249" i="1"/>
  <c r="B1250" i="1"/>
  <c r="B1251" i="1"/>
  <c r="B1252" i="1"/>
  <c r="B1253" i="1"/>
  <c r="B1254" i="1"/>
  <c r="B1255" i="1"/>
  <c r="B1256" i="1"/>
  <c r="B1257" i="1"/>
  <c r="B1258" i="1"/>
  <c r="B1259" i="1"/>
  <c r="B1260" i="1"/>
  <c r="B1261" i="1"/>
  <c r="B1262" i="1"/>
  <c r="B1263" i="1"/>
  <c r="B1264" i="1"/>
  <c r="B1265" i="1"/>
  <c r="B1266" i="1"/>
  <c r="B1267" i="1"/>
  <c r="B1268" i="1"/>
  <c r="B1269" i="1"/>
  <c r="B1270" i="1"/>
  <c r="B1271" i="1"/>
  <c r="B1272" i="1"/>
  <c r="B1273" i="1"/>
  <c r="B1274" i="1"/>
  <c r="B1275" i="1"/>
  <c r="B1276" i="1"/>
  <c r="B1277" i="1"/>
  <c r="B1278" i="1"/>
  <c r="B1279" i="1"/>
  <c r="B1280" i="1"/>
  <c r="B1281" i="1"/>
  <c r="B1282" i="1"/>
  <c r="B1283" i="1"/>
  <c r="B1284" i="1"/>
  <c r="B1285" i="1"/>
  <c r="B1286" i="1"/>
  <c r="B1287" i="1"/>
  <c r="B1288" i="1"/>
  <c r="B1289" i="1"/>
  <c r="B1290" i="1"/>
  <c r="B1291" i="1"/>
  <c r="B1292" i="1"/>
  <c r="B1293" i="1"/>
  <c r="B1294" i="1"/>
  <c r="B1295" i="1"/>
  <c r="B1296" i="1"/>
  <c r="B1297" i="1"/>
  <c r="B1298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3" i="1"/>
  <c r="B1334" i="1"/>
  <c r="B1335" i="1"/>
  <c r="B1336" i="1"/>
  <c r="B1337" i="1"/>
  <c r="B1338" i="1"/>
  <c r="B1339" i="1"/>
  <c r="B1340" i="1"/>
  <c r="B1341" i="1"/>
  <c r="B1342" i="1"/>
  <c r="B1343" i="1"/>
  <c r="B1344" i="1"/>
  <c r="B1345" i="1"/>
  <c r="B1346" i="1"/>
  <c r="B1347" i="1"/>
  <c r="B1348" i="1"/>
  <c r="B1349" i="1"/>
  <c r="B1350" i="1"/>
  <c r="B1351" i="1"/>
  <c r="B1352" i="1"/>
  <c r="B1353" i="1"/>
  <c r="B1354" i="1"/>
  <c r="B1355" i="1"/>
  <c r="B1356" i="1"/>
  <c r="B1357" i="1"/>
  <c r="B1358" i="1"/>
  <c r="B1359" i="1"/>
  <c r="B1360" i="1"/>
  <c r="B1361" i="1"/>
  <c r="B1362" i="1"/>
  <c r="B1363" i="1"/>
  <c r="B1364" i="1"/>
  <c r="B1365" i="1"/>
  <c r="B1366" i="1"/>
  <c r="B1367" i="1"/>
  <c r="B1368" i="1"/>
  <c r="B1369" i="1"/>
  <c r="B1370" i="1"/>
  <c r="B1371" i="1"/>
  <c r="B1372" i="1"/>
  <c r="B1373" i="1"/>
  <c r="B1374" i="1"/>
  <c r="B1375" i="1"/>
  <c r="B1376" i="1"/>
  <c r="B1377" i="1"/>
  <c r="B1378" i="1"/>
  <c r="B1379" i="1"/>
  <c r="B1380" i="1"/>
  <c r="B1381" i="1"/>
  <c r="B1382" i="1"/>
  <c r="B1383" i="1"/>
  <c r="B1384" i="1"/>
  <c r="B1385" i="1"/>
  <c r="B1386" i="1"/>
  <c r="B1387" i="1"/>
  <c r="B1388" i="1"/>
  <c r="B1389" i="1"/>
  <c r="B1390" i="1"/>
  <c r="B1391" i="1"/>
  <c r="B1392" i="1"/>
  <c r="B1393" i="1"/>
  <c r="B1394" i="1"/>
  <c r="B1395" i="1"/>
  <c r="B1396" i="1"/>
  <c r="B1397" i="1"/>
  <c r="B1398" i="1"/>
  <c r="B1399" i="1"/>
  <c r="B1400" i="1"/>
  <c r="B1401" i="1"/>
  <c r="B1402" i="1"/>
  <c r="B1404" i="1"/>
  <c r="B1405" i="1"/>
  <c r="B1406" i="1"/>
  <c r="B1407" i="1"/>
  <c r="B1408" i="1"/>
  <c r="B1409" i="1"/>
  <c r="B1410" i="1"/>
  <c r="B1411" i="1"/>
  <c r="B1412" i="1"/>
  <c r="B1413" i="1"/>
  <c r="B1414" i="1"/>
  <c r="B1415" i="1"/>
  <c r="B1417" i="1"/>
  <c r="B1418" i="1"/>
  <c r="B1419" i="1"/>
  <c r="B1420" i="1"/>
  <c r="B1421" i="1"/>
  <c r="B1422" i="1"/>
  <c r="B1423" i="1"/>
  <c r="B1424" i="1"/>
  <c r="B1425" i="1"/>
  <c r="B1426" i="1"/>
  <c r="B1427" i="1"/>
  <c r="B1428" i="1"/>
  <c r="B1429" i="1"/>
  <c r="B1430" i="1"/>
  <c r="B1431" i="1"/>
  <c r="B1432" i="1"/>
  <c r="B1433" i="1"/>
  <c r="B1434" i="1"/>
  <c r="B1435" i="1"/>
  <c r="B1436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B1454" i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70" i="1"/>
  <c r="B1471" i="1"/>
  <c r="B1472" i="1"/>
  <c r="B1473" i="1"/>
  <c r="B1474" i="1"/>
  <c r="B1475" i="1"/>
  <c r="B1476" i="1"/>
  <c r="B1477" i="1"/>
  <c r="B1478" i="1"/>
  <c r="B1479" i="1"/>
  <c r="B1480" i="1"/>
  <c r="B1481" i="1"/>
  <c r="B1482" i="1"/>
  <c r="B1483" i="1"/>
  <c r="B1484" i="1"/>
  <c r="B1485" i="1"/>
  <c r="B1487" i="1"/>
  <c r="B1488" i="1"/>
  <c r="B1489" i="1"/>
  <c r="B1490" i="1"/>
  <c r="B1491" i="1"/>
  <c r="B1492" i="1"/>
  <c r="B1493" i="1"/>
  <c r="B1494" i="1"/>
  <c r="B1495" i="1"/>
  <c r="B1496" i="1"/>
  <c r="B1497" i="1"/>
  <c r="B1498" i="1"/>
  <c r="B1499" i="1"/>
  <c r="B1500" i="1"/>
  <c r="B1501" i="1"/>
  <c r="B1502" i="1"/>
  <c r="B1504" i="1"/>
  <c r="B1505" i="1"/>
  <c r="B1506" i="1"/>
  <c r="B1507" i="1"/>
  <c r="B1508" i="1"/>
  <c r="B1509" i="1"/>
  <c r="B1510" i="1"/>
  <c r="B1511" i="1"/>
  <c r="B1512" i="1"/>
  <c r="B1513" i="1"/>
  <c r="B1514" i="1"/>
  <c r="B1515" i="1"/>
  <c r="B1516" i="1"/>
  <c r="B1517" i="1"/>
  <c r="B1518" i="1"/>
  <c r="B1519" i="1"/>
  <c r="B1520" i="1"/>
  <c r="B1521" i="1"/>
  <c r="B1522" i="1"/>
  <c r="B1523" i="1"/>
  <c r="B1524" i="1"/>
  <c r="B1525" i="1"/>
  <c r="B1526" i="1"/>
  <c r="B1527" i="1"/>
  <c r="B1528" i="1"/>
  <c r="B1529" i="1"/>
  <c r="B1530" i="1"/>
  <c r="B1531" i="1"/>
  <c r="B1532" i="1"/>
  <c r="B1533" i="1"/>
  <c r="B1534" i="1"/>
  <c r="B1535" i="1"/>
  <c r="B1536" i="1"/>
  <c r="B1537" i="1"/>
  <c r="B1538" i="1"/>
  <c r="B1539" i="1"/>
  <c r="B1540" i="1"/>
  <c r="B1541" i="1"/>
  <c r="B1542" i="1"/>
  <c r="B1543" i="1"/>
  <c r="B1544" i="1"/>
  <c r="B1545" i="1"/>
  <c r="B1547" i="1"/>
  <c r="B1548" i="1"/>
  <c r="B1549" i="1"/>
  <c r="B1550" i="1"/>
  <c r="B1551" i="1"/>
  <c r="B1552" i="1"/>
  <c r="B1553" i="1"/>
  <c r="B1554" i="1"/>
  <c r="B1555" i="1"/>
  <c r="B1556" i="1"/>
  <c r="B1557" i="1"/>
  <c r="B1558" i="1"/>
  <c r="B1559" i="1"/>
  <c r="B1560" i="1"/>
  <c r="B1561" i="1"/>
  <c r="B1562" i="1"/>
  <c r="B1563" i="1"/>
  <c r="B1564" i="1"/>
  <c r="B1565" i="1"/>
  <c r="B1566" i="1"/>
  <c r="B1567" i="1"/>
  <c r="B1568" i="1"/>
  <c r="B1569" i="1"/>
  <c r="B1570" i="1"/>
  <c r="B1571" i="1"/>
  <c r="B1572" i="1"/>
  <c r="B1573" i="1"/>
  <c r="B1574" i="1"/>
  <c r="B1575" i="1"/>
  <c r="B1576" i="1"/>
  <c r="B1577" i="1"/>
  <c r="B1578" i="1"/>
  <c r="B1579" i="1"/>
  <c r="B1580" i="1"/>
  <c r="B1581" i="1"/>
  <c r="B1583" i="1"/>
  <c r="B1584" i="1"/>
  <c r="B1585" i="1"/>
  <c r="B1586" i="1"/>
  <c r="B1587" i="1"/>
  <c r="B1588" i="1"/>
  <c r="B1589" i="1"/>
  <c r="B1590" i="1"/>
  <c r="B1591" i="1"/>
  <c r="B1592" i="1"/>
  <c r="B1593" i="1"/>
  <c r="B1594" i="1"/>
  <c r="B1595" i="1"/>
  <c r="B1596" i="1"/>
  <c r="B1597" i="1"/>
  <c r="B1598" i="1"/>
  <c r="B1599" i="1"/>
  <c r="B1600" i="1"/>
  <c r="B1601" i="1"/>
  <c r="B1602" i="1"/>
  <c r="B1603" i="1"/>
  <c r="B1605" i="1"/>
  <c r="B1606" i="1"/>
  <c r="B1607" i="1"/>
  <c r="B1608" i="1"/>
  <c r="B1609" i="1"/>
  <c r="B1610" i="1"/>
  <c r="B1611" i="1"/>
  <c r="B1612" i="1"/>
  <c r="B1613" i="1"/>
  <c r="B1614" i="1"/>
  <c r="B1615" i="1"/>
  <c r="B1616" i="1"/>
  <c r="B1617" i="1"/>
  <c r="B1618" i="1"/>
  <c r="B1619" i="1"/>
  <c r="B1620" i="1"/>
  <c r="B1621" i="1"/>
  <c r="B1622" i="1"/>
  <c r="B1623" i="1"/>
  <c r="B1624" i="1"/>
  <c r="B1625" i="1"/>
  <c r="B1626" i="1"/>
  <c r="B1627" i="1"/>
  <c r="B1628" i="1"/>
  <c r="B1629" i="1"/>
  <c r="B1630" i="1"/>
  <c r="B1631" i="1"/>
  <c r="B1632" i="1"/>
  <c r="B1633" i="1"/>
  <c r="B1634" i="1"/>
  <c r="B1635" i="1"/>
  <c r="B1636" i="1"/>
  <c r="B1637" i="1"/>
  <c r="B1638" i="1"/>
  <c r="B1639" i="1"/>
  <c r="B1640" i="1"/>
  <c r="B1641" i="1"/>
  <c r="B1642" i="1"/>
  <c r="B1643" i="1"/>
  <c r="B1644" i="1"/>
  <c r="B1645" i="1"/>
  <c r="B1646" i="1"/>
  <c r="B1647" i="1"/>
  <c r="B1648" i="1"/>
  <c r="B1649" i="1"/>
  <c r="B1650" i="1"/>
  <c r="B1651" i="1"/>
  <c r="B1652" i="1"/>
  <c r="B1653" i="1"/>
  <c r="B1654" i="1"/>
  <c r="B1655" i="1"/>
  <c r="B1656" i="1"/>
  <c r="B1657" i="1"/>
  <c r="B1658" i="1"/>
  <c r="B1659" i="1"/>
  <c r="B1660" i="1"/>
  <c r="B1661" i="1"/>
  <c r="B1662" i="1"/>
  <c r="B1663" i="1"/>
  <c r="B1664" i="1"/>
  <c r="B1665" i="1"/>
  <c r="B1666" i="1"/>
  <c r="B1667" i="1"/>
  <c r="B1668" i="1"/>
  <c r="B1669" i="1"/>
  <c r="B1670" i="1"/>
  <c r="B1671" i="1"/>
  <c r="B1672" i="1"/>
  <c r="B1673" i="1"/>
  <c r="B1674" i="1"/>
  <c r="B1675" i="1"/>
  <c r="B1676" i="1"/>
  <c r="B1677" i="1"/>
  <c r="B1678" i="1"/>
  <c r="B1679" i="1"/>
  <c r="B1680" i="1"/>
  <c r="B1681" i="1"/>
  <c r="B1683" i="1"/>
  <c r="B1684" i="1"/>
  <c r="B1685" i="1"/>
  <c r="B1686" i="1"/>
  <c r="B1687" i="1"/>
  <c r="B1689" i="1"/>
  <c r="B1690" i="1"/>
  <c r="B1691" i="1"/>
  <c r="B1692" i="1"/>
  <c r="B1693" i="1"/>
  <c r="B1694" i="1"/>
  <c r="B1695" i="1"/>
  <c r="B1696" i="1"/>
  <c r="B1697" i="1"/>
  <c r="B1698" i="1"/>
  <c r="B1699" i="1"/>
  <c r="B1700" i="1"/>
  <c r="B1701" i="1"/>
  <c r="B1702" i="1"/>
  <c r="B1703" i="1"/>
  <c r="B1704" i="1"/>
  <c r="B1706" i="1"/>
  <c r="B1707" i="1"/>
  <c r="B1708" i="1"/>
  <c r="B1709" i="1"/>
  <c r="B1710" i="1"/>
  <c r="B1711" i="1"/>
  <c r="B1712" i="1"/>
  <c r="B1713" i="1"/>
  <c r="B1714" i="1"/>
  <c r="B1715" i="1"/>
  <c r="B1716" i="1"/>
  <c r="B1717" i="1"/>
  <c r="B1718" i="1"/>
  <c r="B1719" i="1"/>
  <c r="B1720" i="1"/>
  <c r="B1721" i="1"/>
  <c r="B1722" i="1"/>
  <c r="B1723" i="1"/>
  <c r="B1724" i="1"/>
  <c r="B1725" i="1"/>
  <c r="B1726" i="1"/>
  <c r="B1727" i="1"/>
  <c r="B1728" i="1"/>
  <c r="B1729" i="1"/>
  <c r="B1730" i="1"/>
  <c r="B1731" i="1"/>
  <c r="B1732" i="1"/>
  <c r="B1733" i="1"/>
  <c r="B1734" i="1"/>
  <c r="B1735" i="1"/>
  <c r="B1736" i="1"/>
  <c r="B1737" i="1"/>
  <c r="B1739" i="1"/>
  <c r="B1740" i="1"/>
  <c r="B1741" i="1"/>
  <c r="B1742" i="1"/>
  <c r="B1743" i="1"/>
  <c r="B1744" i="1"/>
  <c r="B1745" i="1"/>
  <c r="B1746" i="1"/>
  <c r="B1747" i="1"/>
  <c r="B1748" i="1"/>
  <c r="B1749" i="1"/>
  <c r="B1750" i="1"/>
  <c r="B1751" i="1"/>
  <c r="B1753" i="1"/>
  <c r="B1754" i="1"/>
  <c r="B1755" i="1"/>
  <c r="B1756" i="1"/>
  <c r="B1757" i="1"/>
  <c r="B1758" i="1"/>
  <c r="B1759" i="1"/>
  <c r="B1760" i="1"/>
  <c r="B1761" i="1"/>
  <c r="B1762" i="1"/>
  <c r="B1763" i="1"/>
  <c r="B1764" i="1"/>
  <c r="B1765" i="1"/>
  <c r="B1766" i="1"/>
  <c r="B1767" i="1"/>
  <c r="B1768" i="1"/>
  <c r="B1769" i="1"/>
  <c r="B1770" i="1"/>
  <c r="B1771" i="1"/>
  <c r="B1772" i="1"/>
  <c r="B1773" i="1"/>
  <c r="B1774" i="1"/>
  <c r="B1775" i="1"/>
  <c r="B1776" i="1"/>
  <c r="B1777" i="1"/>
  <c r="B1778" i="1"/>
  <c r="B1779" i="1"/>
  <c r="B1780" i="1"/>
  <c r="B1781" i="1"/>
  <c r="B1782" i="1"/>
  <c r="B1783" i="1"/>
  <c r="B1784" i="1"/>
  <c r="B1785" i="1"/>
  <c r="B1786" i="1"/>
  <c r="B1787" i="1"/>
  <c r="B1788" i="1"/>
  <c r="B1789" i="1"/>
  <c r="B1790" i="1"/>
  <c r="B1791" i="1"/>
  <c r="B1792" i="1"/>
  <c r="B1794" i="1"/>
  <c r="B1795" i="1"/>
  <c r="B1796" i="1"/>
  <c r="B1797" i="1"/>
  <c r="B1798" i="1"/>
  <c r="B1799" i="1"/>
  <c r="B1800" i="1"/>
  <c r="B1801" i="1"/>
  <c r="B1802" i="1"/>
  <c r="B1803" i="1"/>
  <c r="B1804" i="1"/>
  <c r="B1805" i="1"/>
  <c r="B1806" i="1"/>
  <c r="B1807" i="1"/>
  <c r="B1808" i="1"/>
  <c r="B1809" i="1"/>
  <c r="B1810" i="1"/>
  <c r="B1811" i="1"/>
  <c r="B1812" i="1"/>
  <c r="B1813" i="1"/>
  <c r="B1814" i="1"/>
  <c r="B1815" i="1"/>
  <c r="B1816" i="1"/>
  <c r="B1817" i="1"/>
  <c r="B1818" i="1"/>
  <c r="B1819" i="1"/>
  <c r="B1820" i="1"/>
  <c r="B1821" i="1"/>
  <c r="B1822" i="1"/>
  <c r="B1823" i="1"/>
  <c r="B1824" i="1"/>
  <c r="B1825" i="1"/>
  <c r="B1826" i="1"/>
  <c r="B1827" i="1"/>
  <c r="B1828" i="1"/>
  <c r="B1829" i="1"/>
  <c r="B1830" i="1"/>
  <c r="B1831" i="1"/>
  <c r="B1832" i="1"/>
  <c r="B1833" i="1"/>
  <c r="B1834" i="1"/>
  <c r="B1835" i="1"/>
  <c r="B1836" i="1"/>
  <c r="B1837" i="1"/>
  <c r="B1838" i="1"/>
  <c r="B1839" i="1"/>
  <c r="B1840" i="1"/>
  <c r="B1841" i="1"/>
  <c r="B1842" i="1"/>
  <c r="B1843" i="1"/>
  <c r="B1844" i="1"/>
  <c r="B1845" i="1"/>
  <c r="B1846" i="1"/>
  <c r="B1847" i="1"/>
  <c r="B1848" i="1"/>
  <c r="B1849" i="1"/>
  <c r="B1850" i="1"/>
  <c r="B1852" i="1"/>
  <c r="B1853" i="1"/>
  <c r="B1854" i="1"/>
  <c r="B1855" i="1"/>
  <c r="B1856" i="1"/>
  <c r="B1857" i="1"/>
  <c r="B1858" i="1"/>
  <c r="B1859" i="1"/>
  <c r="B1860" i="1"/>
  <c r="B1861" i="1"/>
  <c r="B1862" i="1"/>
  <c r="B1864" i="1"/>
  <c r="B1865" i="1"/>
  <c r="B1866" i="1"/>
  <c r="B1867" i="1"/>
  <c r="B1868" i="1"/>
  <c r="B1869" i="1"/>
  <c r="B1870" i="1"/>
  <c r="B1871" i="1"/>
  <c r="B1872" i="1"/>
  <c r="B1873" i="1"/>
  <c r="B1874" i="1"/>
  <c r="B1875" i="1"/>
  <c r="B1876" i="1"/>
  <c r="B1877" i="1"/>
  <c r="B1878" i="1"/>
  <c r="B1879" i="1"/>
  <c r="B1880" i="1"/>
  <c r="B1881" i="1"/>
  <c r="B1882" i="1"/>
  <c r="B1883" i="1"/>
  <c r="B1884" i="1"/>
  <c r="B1885" i="1"/>
  <c r="B1886" i="1"/>
  <c r="B1887" i="1"/>
  <c r="B1888" i="1"/>
  <c r="B1890" i="1"/>
  <c r="B1891" i="1"/>
  <c r="B1892" i="1"/>
  <c r="B1893" i="1"/>
  <c r="B1895" i="1"/>
  <c r="B1896" i="1"/>
  <c r="B1897" i="1"/>
  <c r="B1898" i="1"/>
  <c r="B1899" i="1"/>
  <c r="B1900" i="1"/>
  <c r="B1901" i="1"/>
  <c r="B1902" i="1"/>
  <c r="B1903" i="1"/>
  <c r="B1904" i="1"/>
  <c r="B1905" i="1"/>
  <c r="B1906" i="1"/>
  <c r="B1907" i="1"/>
  <c r="B1908" i="1"/>
  <c r="B1909" i="1"/>
  <c r="B1910" i="1"/>
  <c r="B1911" i="1"/>
  <c r="B1912" i="1"/>
  <c r="B1913" i="1"/>
  <c r="B1914" i="1"/>
  <c r="B1915" i="1"/>
  <c r="B1916" i="1"/>
  <c r="B1917" i="1"/>
  <c r="B1919" i="1"/>
  <c r="B1920" i="1"/>
  <c r="B1921" i="1"/>
  <c r="B1922" i="1"/>
  <c r="B1923" i="1"/>
  <c r="B1924" i="1"/>
  <c r="B1925" i="1"/>
  <c r="B1926" i="1"/>
  <c r="B1927" i="1"/>
  <c r="B1928" i="1"/>
  <c r="B1929" i="1"/>
  <c r="B1930" i="1"/>
  <c r="B1931" i="1"/>
  <c r="B1932" i="1"/>
  <c r="B1933" i="1"/>
  <c r="B1934" i="1"/>
  <c r="B1935" i="1"/>
  <c r="B1936" i="1"/>
  <c r="B1937" i="1"/>
  <c r="B1938" i="1"/>
  <c r="B1939" i="1"/>
  <c r="B1940" i="1"/>
  <c r="B1941" i="1"/>
  <c r="B1942" i="1"/>
  <c r="B1943" i="1"/>
  <c r="B1944" i="1"/>
  <c r="B1945" i="1"/>
  <c r="B1946" i="1"/>
  <c r="B1947" i="1"/>
  <c r="B1948" i="1"/>
  <c r="B1949" i="1"/>
  <c r="B1950" i="1"/>
  <c r="B1951" i="1"/>
  <c r="B1952" i="1"/>
  <c r="B1953" i="1"/>
  <c r="B1954" i="1"/>
  <c r="B1955" i="1"/>
  <c r="B1956" i="1"/>
  <c r="B1957" i="1"/>
  <c r="B1958" i="1"/>
  <c r="B1959" i="1"/>
  <c r="B1960" i="1"/>
  <c r="B1961" i="1"/>
  <c r="B1962" i="1"/>
  <c r="B1963" i="1"/>
  <c r="B1964" i="1"/>
  <c r="B1965" i="1"/>
  <c r="B1966" i="1"/>
  <c r="B1967" i="1"/>
  <c r="B1968" i="1"/>
  <c r="B1969" i="1"/>
  <c r="B1970" i="1"/>
  <c r="B1971" i="1"/>
  <c r="B1972" i="1"/>
  <c r="B1973" i="1"/>
  <c r="B1974" i="1"/>
  <c r="B1975" i="1"/>
  <c r="B1976" i="1"/>
  <c r="B1977" i="1"/>
  <c r="B1978" i="1"/>
  <c r="B1979" i="1"/>
  <c r="B1980" i="1"/>
  <c r="B1981" i="1"/>
  <c r="B1982" i="1"/>
  <c r="B1983" i="1"/>
  <c r="B1984" i="1"/>
  <c r="B1985" i="1"/>
  <c r="B1986" i="1"/>
  <c r="B1987" i="1"/>
  <c r="B1988" i="1"/>
  <c r="B1989" i="1"/>
  <c r="B1990" i="1"/>
  <c r="B1991" i="1"/>
  <c r="B1992" i="1"/>
  <c r="B1993" i="1"/>
  <c r="B1994" i="1"/>
  <c r="B1995" i="1"/>
  <c r="B1996" i="1"/>
  <c r="B1997" i="1"/>
  <c r="B1998" i="1"/>
  <c r="B1999" i="1"/>
  <c r="B2000" i="1"/>
  <c r="B2001" i="1"/>
  <c r="B43" i="1"/>
  <c r="V84" i="1"/>
  <c r="V372" i="1"/>
  <c r="V464" i="1"/>
  <c r="V473" i="1"/>
  <c r="V633" i="1"/>
  <c r="V837" i="1"/>
  <c r="V1009" i="1"/>
  <c r="V1486" i="1"/>
  <c r="V1688" i="1"/>
  <c r="V1863" i="1"/>
  <c r="V1889" i="1"/>
  <c r="V28" i="1"/>
  <c r="V261" i="1"/>
  <c r="V263" i="1"/>
  <c r="V306" i="1"/>
  <c r="V653" i="1"/>
  <c r="V720" i="1"/>
  <c r="V799" i="1"/>
  <c r="V860" i="1"/>
  <c r="V867" i="1"/>
  <c r="V949" i="1"/>
  <c r="V1041" i="1"/>
  <c r="V1131" i="1"/>
  <c r="V1213" i="1"/>
  <c r="V1403" i="1"/>
  <c r="V1416" i="1"/>
  <c r="V1437" i="1"/>
  <c r="V1546" i="1"/>
  <c r="V1582" i="1"/>
  <c r="V1738" i="1"/>
  <c r="V1752" i="1"/>
  <c r="V1793" i="1"/>
  <c r="V1851" i="1"/>
  <c r="V1894" i="1"/>
  <c r="V1918" i="1"/>
  <c r="V1205" i="1"/>
  <c r="V782" i="1"/>
  <c r="V819" i="1"/>
  <c r="V1705" i="1"/>
  <c r="V1682" i="1"/>
  <c r="V1503" i="1"/>
  <c r="V1604" i="1"/>
  <c r="V4" i="1"/>
  <c r="V1332" i="1"/>
  <c r="V964" i="1"/>
  <c r="V2" i="1"/>
  <c r="V3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85" i="1"/>
  <c r="V86" i="1"/>
  <c r="V87" i="1"/>
  <c r="V88" i="1"/>
  <c r="V89" i="1"/>
  <c r="V90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6" i="1"/>
  <c r="V117" i="1"/>
  <c r="V118" i="1"/>
  <c r="V119" i="1"/>
  <c r="V120" i="1"/>
  <c r="V121" i="1"/>
  <c r="V122" i="1"/>
  <c r="V123" i="1"/>
  <c r="V124" i="1"/>
  <c r="V125" i="1"/>
  <c r="V126" i="1"/>
  <c r="V127" i="1"/>
  <c r="V128" i="1"/>
  <c r="V129" i="1"/>
  <c r="V130" i="1"/>
  <c r="V131" i="1"/>
  <c r="V132" i="1"/>
  <c r="V133" i="1"/>
  <c r="V134" i="1"/>
  <c r="V135" i="1"/>
  <c r="V136" i="1"/>
  <c r="V137" i="1"/>
  <c r="V138" i="1"/>
  <c r="V139" i="1"/>
  <c r="V140" i="1"/>
  <c r="V141" i="1"/>
  <c r="V142" i="1"/>
  <c r="V143" i="1"/>
  <c r="V144" i="1"/>
  <c r="V145" i="1"/>
  <c r="V146" i="1"/>
  <c r="V147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67" i="1"/>
  <c r="V168" i="1"/>
  <c r="V169" i="1"/>
  <c r="V170" i="1"/>
  <c r="V171" i="1"/>
  <c r="V172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2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7" i="1"/>
  <c r="V308" i="1"/>
  <c r="V309" i="1"/>
  <c r="V310" i="1"/>
  <c r="V311" i="1"/>
  <c r="V312" i="1"/>
  <c r="V313" i="1"/>
  <c r="V314" i="1"/>
  <c r="V315" i="1"/>
  <c r="V316" i="1"/>
  <c r="V317" i="1"/>
  <c r="V318" i="1"/>
  <c r="V319" i="1"/>
  <c r="V320" i="1"/>
  <c r="V321" i="1"/>
  <c r="V322" i="1"/>
  <c r="V323" i="1"/>
  <c r="V324" i="1"/>
  <c r="V325" i="1"/>
  <c r="V326" i="1"/>
  <c r="V327" i="1"/>
  <c r="V328" i="1"/>
  <c r="V329" i="1"/>
  <c r="V330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410" i="1"/>
  <c r="V411" i="1"/>
  <c r="V412" i="1"/>
  <c r="V413" i="1"/>
  <c r="V414" i="1"/>
  <c r="V415" i="1"/>
  <c r="V416" i="1"/>
  <c r="V417" i="1"/>
  <c r="V418" i="1"/>
  <c r="V419" i="1"/>
  <c r="V420" i="1"/>
  <c r="V421" i="1"/>
  <c r="V422" i="1"/>
  <c r="V423" i="1"/>
  <c r="V424" i="1"/>
  <c r="V425" i="1"/>
  <c r="V426" i="1"/>
  <c r="V427" i="1"/>
  <c r="V428" i="1"/>
  <c r="V429" i="1"/>
  <c r="V430" i="1"/>
  <c r="V431" i="1"/>
  <c r="V432" i="1"/>
  <c r="V433" i="1"/>
  <c r="V434" i="1"/>
  <c r="V435" i="1"/>
  <c r="V436" i="1"/>
  <c r="V437" i="1"/>
  <c r="V438" i="1"/>
  <c r="V439" i="1"/>
  <c r="V440" i="1"/>
  <c r="V441" i="1"/>
  <c r="V442" i="1"/>
  <c r="V443" i="1"/>
  <c r="V444" i="1"/>
  <c r="V445" i="1"/>
  <c r="V446" i="1"/>
  <c r="V447" i="1"/>
  <c r="V448" i="1"/>
  <c r="V449" i="1"/>
  <c r="V450" i="1"/>
  <c r="V451" i="1"/>
  <c r="V452" i="1"/>
  <c r="V453" i="1"/>
  <c r="V454" i="1"/>
  <c r="V455" i="1"/>
  <c r="V456" i="1"/>
  <c r="V457" i="1"/>
  <c r="V458" i="1"/>
  <c r="V459" i="1"/>
  <c r="V460" i="1"/>
  <c r="V461" i="1"/>
  <c r="V462" i="1"/>
  <c r="V463" i="1"/>
  <c r="V465" i="1"/>
  <c r="V466" i="1"/>
  <c r="V467" i="1"/>
  <c r="V468" i="1"/>
  <c r="V469" i="1"/>
  <c r="V470" i="1"/>
  <c r="V471" i="1"/>
  <c r="V472" i="1"/>
  <c r="V474" i="1"/>
  <c r="V475" i="1"/>
  <c r="V476" i="1"/>
  <c r="V477" i="1"/>
  <c r="V478" i="1"/>
  <c r="V479" i="1"/>
  <c r="V480" i="1"/>
  <c r="V481" i="1"/>
  <c r="V482" i="1"/>
  <c r="V483" i="1"/>
  <c r="V484" i="1"/>
  <c r="V485" i="1"/>
  <c r="V486" i="1"/>
  <c r="V487" i="1"/>
  <c r="V488" i="1"/>
  <c r="V489" i="1"/>
  <c r="V490" i="1"/>
  <c r="V491" i="1"/>
  <c r="V492" i="1"/>
  <c r="V493" i="1"/>
  <c r="V494" i="1"/>
  <c r="V495" i="1"/>
  <c r="V496" i="1"/>
  <c r="V497" i="1"/>
  <c r="V498" i="1"/>
  <c r="V499" i="1"/>
  <c r="V500" i="1"/>
  <c r="V501" i="1"/>
  <c r="V502" i="1"/>
  <c r="V503" i="1"/>
  <c r="V504" i="1"/>
  <c r="V505" i="1"/>
  <c r="V506" i="1"/>
  <c r="V507" i="1"/>
  <c r="V508" i="1"/>
  <c r="V509" i="1"/>
  <c r="V510" i="1"/>
  <c r="V511" i="1"/>
  <c r="V512" i="1"/>
  <c r="V513" i="1"/>
  <c r="V514" i="1"/>
  <c r="V515" i="1"/>
  <c r="V516" i="1"/>
  <c r="V517" i="1"/>
  <c r="V518" i="1"/>
  <c r="V519" i="1"/>
  <c r="V520" i="1"/>
  <c r="V521" i="1"/>
  <c r="V522" i="1"/>
  <c r="V523" i="1"/>
  <c r="V524" i="1"/>
  <c r="V525" i="1"/>
  <c r="V526" i="1"/>
  <c r="V527" i="1"/>
  <c r="V528" i="1"/>
  <c r="V529" i="1"/>
  <c r="V530" i="1"/>
  <c r="V531" i="1"/>
  <c r="V532" i="1"/>
  <c r="V533" i="1"/>
  <c r="V534" i="1"/>
  <c r="V535" i="1"/>
  <c r="V536" i="1"/>
  <c r="V537" i="1"/>
  <c r="V538" i="1"/>
  <c r="V539" i="1"/>
  <c r="V540" i="1"/>
  <c r="V541" i="1"/>
  <c r="V542" i="1"/>
  <c r="V543" i="1"/>
  <c r="V544" i="1"/>
  <c r="V545" i="1"/>
  <c r="V546" i="1"/>
  <c r="V547" i="1"/>
  <c r="V548" i="1"/>
  <c r="V549" i="1"/>
  <c r="V550" i="1"/>
  <c r="V551" i="1"/>
  <c r="V552" i="1"/>
  <c r="V553" i="1"/>
  <c r="V554" i="1"/>
  <c r="V555" i="1"/>
  <c r="V556" i="1"/>
  <c r="V557" i="1"/>
  <c r="V558" i="1"/>
  <c r="V559" i="1"/>
  <c r="V560" i="1"/>
  <c r="V561" i="1"/>
  <c r="V562" i="1"/>
  <c r="V563" i="1"/>
  <c r="V564" i="1"/>
  <c r="V565" i="1"/>
  <c r="V566" i="1"/>
  <c r="V567" i="1"/>
  <c r="V568" i="1"/>
  <c r="V569" i="1"/>
  <c r="V570" i="1"/>
  <c r="V571" i="1"/>
  <c r="V572" i="1"/>
  <c r="V573" i="1"/>
  <c r="V574" i="1"/>
  <c r="V575" i="1"/>
  <c r="V576" i="1"/>
  <c r="V577" i="1"/>
  <c r="V578" i="1"/>
  <c r="V579" i="1"/>
  <c r="V580" i="1"/>
  <c r="V581" i="1"/>
  <c r="V582" i="1"/>
  <c r="V583" i="1"/>
  <c r="V584" i="1"/>
  <c r="V585" i="1"/>
  <c r="V586" i="1"/>
  <c r="V587" i="1"/>
  <c r="V588" i="1"/>
  <c r="V589" i="1"/>
  <c r="V590" i="1"/>
  <c r="V591" i="1"/>
  <c r="V592" i="1"/>
  <c r="V593" i="1"/>
  <c r="V594" i="1"/>
  <c r="V595" i="1"/>
  <c r="V596" i="1"/>
  <c r="V597" i="1"/>
  <c r="V598" i="1"/>
  <c r="V599" i="1"/>
  <c r="V600" i="1"/>
  <c r="V601" i="1"/>
  <c r="V602" i="1"/>
  <c r="V603" i="1"/>
  <c r="V604" i="1"/>
  <c r="V605" i="1"/>
  <c r="V606" i="1"/>
  <c r="V607" i="1"/>
  <c r="V608" i="1"/>
  <c r="V609" i="1"/>
  <c r="V610" i="1"/>
  <c r="V611" i="1"/>
  <c r="V612" i="1"/>
  <c r="V613" i="1"/>
  <c r="V614" i="1"/>
  <c r="V615" i="1"/>
  <c r="V616" i="1"/>
  <c r="V617" i="1"/>
  <c r="V618" i="1"/>
  <c r="V619" i="1"/>
  <c r="V620" i="1"/>
  <c r="V621" i="1"/>
  <c r="V622" i="1"/>
  <c r="V623" i="1"/>
  <c r="V624" i="1"/>
  <c r="V625" i="1"/>
  <c r="V626" i="1"/>
  <c r="V627" i="1"/>
  <c r="V628" i="1"/>
  <c r="V629" i="1"/>
  <c r="V630" i="1"/>
  <c r="V631" i="1"/>
  <c r="V632" i="1"/>
  <c r="V634" i="1"/>
  <c r="V635" i="1"/>
  <c r="V636" i="1"/>
  <c r="V637" i="1"/>
  <c r="V638" i="1"/>
  <c r="V639" i="1"/>
  <c r="V640" i="1"/>
  <c r="V641" i="1"/>
  <c r="V642" i="1"/>
  <c r="V643" i="1"/>
  <c r="V644" i="1"/>
  <c r="V645" i="1"/>
  <c r="V646" i="1"/>
  <c r="V647" i="1"/>
  <c r="V648" i="1"/>
  <c r="V649" i="1"/>
  <c r="V650" i="1"/>
  <c r="V651" i="1"/>
  <c r="V652" i="1"/>
  <c r="V654" i="1"/>
  <c r="V655" i="1"/>
  <c r="V656" i="1"/>
  <c r="V657" i="1"/>
  <c r="V658" i="1"/>
  <c r="V659" i="1"/>
  <c r="V660" i="1"/>
  <c r="V661" i="1"/>
  <c r="V662" i="1"/>
  <c r="V663" i="1"/>
  <c r="V664" i="1"/>
  <c r="V665" i="1"/>
  <c r="V666" i="1"/>
  <c r="V667" i="1"/>
  <c r="V668" i="1"/>
  <c r="V669" i="1"/>
  <c r="V670" i="1"/>
  <c r="V671" i="1"/>
  <c r="V672" i="1"/>
  <c r="V673" i="1"/>
  <c r="V674" i="1"/>
  <c r="V675" i="1"/>
  <c r="V676" i="1"/>
  <c r="V677" i="1"/>
  <c r="V678" i="1"/>
  <c r="V679" i="1"/>
  <c r="V680" i="1"/>
  <c r="V681" i="1"/>
  <c r="V682" i="1"/>
  <c r="V683" i="1"/>
  <c r="V684" i="1"/>
  <c r="V685" i="1"/>
  <c r="V686" i="1"/>
  <c r="V687" i="1"/>
  <c r="V688" i="1"/>
  <c r="V689" i="1"/>
  <c r="V690" i="1"/>
  <c r="V691" i="1"/>
  <c r="V692" i="1"/>
  <c r="V693" i="1"/>
  <c r="V694" i="1"/>
  <c r="V695" i="1"/>
  <c r="V696" i="1"/>
  <c r="V697" i="1"/>
  <c r="V698" i="1"/>
  <c r="V699" i="1"/>
  <c r="V700" i="1"/>
  <c r="V701" i="1"/>
  <c r="V702" i="1"/>
  <c r="V703" i="1"/>
  <c r="V704" i="1"/>
  <c r="V705" i="1"/>
  <c r="V706" i="1"/>
  <c r="V707" i="1"/>
  <c r="V708" i="1"/>
  <c r="V709" i="1"/>
  <c r="V710" i="1"/>
  <c r="V711" i="1"/>
  <c r="V712" i="1"/>
  <c r="V713" i="1"/>
  <c r="V714" i="1"/>
  <c r="V715" i="1"/>
  <c r="V716" i="1"/>
  <c r="V717" i="1"/>
  <c r="V718" i="1"/>
  <c r="V719" i="1"/>
  <c r="V721" i="1"/>
  <c r="V722" i="1"/>
  <c r="V723" i="1"/>
  <c r="V724" i="1"/>
  <c r="V725" i="1"/>
  <c r="V726" i="1"/>
  <c r="V727" i="1"/>
  <c r="V728" i="1"/>
  <c r="V729" i="1"/>
  <c r="V730" i="1"/>
  <c r="V731" i="1"/>
  <c r="V732" i="1"/>
  <c r="V733" i="1"/>
  <c r="V734" i="1"/>
  <c r="V735" i="1"/>
  <c r="V736" i="1"/>
  <c r="V737" i="1"/>
  <c r="V738" i="1"/>
  <c r="V739" i="1"/>
  <c r="V740" i="1"/>
  <c r="V741" i="1"/>
  <c r="V742" i="1"/>
  <c r="V743" i="1"/>
  <c r="V744" i="1"/>
  <c r="V745" i="1"/>
  <c r="V746" i="1"/>
  <c r="V747" i="1"/>
  <c r="V748" i="1"/>
  <c r="V749" i="1"/>
  <c r="V750" i="1"/>
  <c r="V751" i="1"/>
  <c r="V752" i="1"/>
  <c r="V753" i="1"/>
  <c r="V754" i="1"/>
  <c r="V755" i="1"/>
  <c r="V756" i="1"/>
  <c r="V757" i="1"/>
  <c r="V758" i="1"/>
  <c r="V759" i="1"/>
  <c r="V760" i="1"/>
  <c r="V761" i="1"/>
  <c r="V762" i="1"/>
  <c r="V763" i="1"/>
  <c r="V764" i="1"/>
  <c r="V765" i="1"/>
  <c r="V766" i="1"/>
  <c r="V767" i="1"/>
  <c r="V768" i="1"/>
  <c r="V769" i="1"/>
  <c r="V770" i="1"/>
  <c r="V771" i="1"/>
  <c r="V772" i="1"/>
  <c r="V773" i="1"/>
  <c r="V774" i="1"/>
  <c r="V775" i="1"/>
  <c r="V776" i="1"/>
  <c r="V777" i="1"/>
  <c r="V778" i="1"/>
  <c r="V779" i="1"/>
  <c r="V780" i="1"/>
  <c r="V781" i="1"/>
  <c r="V783" i="1"/>
  <c r="V784" i="1"/>
  <c r="V785" i="1"/>
  <c r="V786" i="1"/>
  <c r="V787" i="1"/>
  <c r="V788" i="1"/>
  <c r="V789" i="1"/>
  <c r="V790" i="1"/>
  <c r="V791" i="1"/>
  <c r="V792" i="1"/>
  <c r="V793" i="1"/>
  <c r="V794" i="1"/>
  <c r="V795" i="1"/>
  <c r="V796" i="1"/>
  <c r="V797" i="1"/>
  <c r="V798" i="1"/>
  <c r="V800" i="1"/>
  <c r="V801" i="1"/>
  <c r="V802" i="1"/>
  <c r="V803" i="1"/>
  <c r="V804" i="1"/>
  <c r="V805" i="1"/>
  <c r="V806" i="1"/>
  <c r="V807" i="1"/>
  <c r="V808" i="1"/>
  <c r="V809" i="1"/>
  <c r="V810" i="1"/>
  <c r="V811" i="1"/>
  <c r="V812" i="1"/>
  <c r="V813" i="1"/>
  <c r="V814" i="1"/>
  <c r="V815" i="1"/>
  <c r="V816" i="1"/>
  <c r="V817" i="1"/>
  <c r="V818" i="1"/>
  <c r="V820" i="1"/>
  <c r="V821" i="1"/>
  <c r="V822" i="1"/>
  <c r="V823" i="1"/>
  <c r="V824" i="1"/>
  <c r="V825" i="1"/>
  <c r="V826" i="1"/>
  <c r="V827" i="1"/>
  <c r="V828" i="1"/>
  <c r="V829" i="1"/>
  <c r="V830" i="1"/>
  <c r="V831" i="1"/>
  <c r="V832" i="1"/>
  <c r="V833" i="1"/>
  <c r="V834" i="1"/>
  <c r="V835" i="1"/>
  <c r="V836" i="1"/>
  <c r="V838" i="1"/>
  <c r="V839" i="1"/>
  <c r="V840" i="1"/>
  <c r="V841" i="1"/>
  <c r="V842" i="1"/>
  <c r="V843" i="1"/>
  <c r="V844" i="1"/>
  <c r="V845" i="1"/>
  <c r="V846" i="1"/>
  <c r="V847" i="1"/>
  <c r="V848" i="1"/>
  <c r="V849" i="1"/>
  <c r="V850" i="1"/>
  <c r="V851" i="1"/>
  <c r="V852" i="1"/>
  <c r="V853" i="1"/>
  <c r="V854" i="1"/>
  <c r="V855" i="1"/>
  <c r="V856" i="1"/>
  <c r="V857" i="1"/>
  <c r="V858" i="1"/>
  <c r="V859" i="1"/>
  <c r="V861" i="1"/>
  <c r="V862" i="1"/>
  <c r="V863" i="1"/>
  <c r="V864" i="1"/>
  <c r="V865" i="1"/>
  <c r="V866" i="1"/>
  <c r="V868" i="1"/>
  <c r="V869" i="1"/>
  <c r="V870" i="1"/>
  <c r="V871" i="1"/>
  <c r="V872" i="1"/>
  <c r="V873" i="1"/>
  <c r="V874" i="1"/>
  <c r="V875" i="1"/>
  <c r="V876" i="1"/>
  <c r="V877" i="1"/>
  <c r="V878" i="1"/>
  <c r="V879" i="1"/>
  <c r="V880" i="1"/>
  <c r="V881" i="1"/>
  <c r="V882" i="1"/>
  <c r="V883" i="1"/>
  <c r="V884" i="1"/>
  <c r="V885" i="1"/>
  <c r="V886" i="1"/>
  <c r="V887" i="1"/>
  <c r="V888" i="1"/>
  <c r="V889" i="1"/>
  <c r="V890" i="1"/>
  <c r="V891" i="1"/>
  <c r="V892" i="1"/>
  <c r="V893" i="1"/>
  <c r="V894" i="1"/>
  <c r="V895" i="1"/>
  <c r="V896" i="1"/>
  <c r="V897" i="1"/>
  <c r="V898" i="1"/>
  <c r="V899" i="1"/>
  <c r="V900" i="1"/>
  <c r="V901" i="1"/>
  <c r="V902" i="1"/>
  <c r="V903" i="1"/>
  <c r="V904" i="1"/>
  <c r="V905" i="1"/>
  <c r="V906" i="1"/>
  <c r="V907" i="1"/>
  <c r="V908" i="1"/>
  <c r="V909" i="1"/>
  <c r="V910" i="1"/>
  <c r="V911" i="1"/>
  <c r="V912" i="1"/>
  <c r="V913" i="1"/>
  <c r="V914" i="1"/>
  <c r="V915" i="1"/>
  <c r="V916" i="1"/>
  <c r="V917" i="1"/>
  <c r="V918" i="1"/>
  <c r="V919" i="1"/>
  <c r="V920" i="1"/>
  <c r="V921" i="1"/>
  <c r="V922" i="1"/>
  <c r="V923" i="1"/>
  <c r="V924" i="1"/>
  <c r="V925" i="1"/>
  <c r="V926" i="1"/>
  <c r="V927" i="1"/>
  <c r="V928" i="1"/>
  <c r="V929" i="1"/>
  <c r="V930" i="1"/>
  <c r="V931" i="1"/>
  <c r="V932" i="1"/>
  <c r="V933" i="1"/>
  <c r="V934" i="1"/>
  <c r="V935" i="1"/>
  <c r="V936" i="1"/>
  <c r="V937" i="1"/>
  <c r="V938" i="1"/>
  <c r="V939" i="1"/>
  <c r="V940" i="1"/>
  <c r="V941" i="1"/>
  <c r="V942" i="1"/>
  <c r="V943" i="1"/>
  <c r="V944" i="1"/>
  <c r="V945" i="1"/>
  <c r="V946" i="1"/>
  <c r="V947" i="1"/>
  <c r="V948" i="1"/>
  <c r="V950" i="1"/>
  <c r="V951" i="1"/>
  <c r="V952" i="1"/>
  <c r="V953" i="1"/>
  <c r="V954" i="1"/>
  <c r="V955" i="1"/>
  <c r="V956" i="1"/>
  <c r="V957" i="1"/>
  <c r="V958" i="1"/>
  <c r="V959" i="1"/>
  <c r="V960" i="1"/>
  <c r="V961" i="1"/>
  <c r="V962" i="1"/>
  <c r="V963" i="1"/>
  <c r="V965" i="1"/>
  <c r="V966" i="1"/>
  <c r="V967" i="1"/>
  <c r="V968" i="1"/>
  <c r="V969" i="1"/>
  <c r="V970" i="1"/>
  <c r="V971" i="1"/>
  <c r="V972" i="1"/>
  <c r="V973" i="1"/>
  <c r="V974" i="1"/>
  <c r="V975" i="1"/>
  <c r="V976" i="1"/>
  <c r="V977" i="1"/>
  <c r="V978" i="1"/>
  <c r="V979" i="1"/>
  <c r="V980" i="1"/>
  <c r="V981" i="1"/>
  <c r="V982" i="1"/>
  <c r="V983" i="1"/>
  <c r="V984" i="1"/>
  <c r="V985" i="1"/>
  <c r="V986" i="1"/>
  <c r="V987" i="1"/>
  <c r="V988" i="1"/>
  <c r="V989" i="1"/>
  <c r="V990" i="1"/>
  <c r="V991" i="1"/>
  <c r="V992" i="1"/>
  <c r="V993" i="1"/>
  <c r="V994" i="1"/>
  <c r="V995" i="1"/>
  <c r="V996" i="1"/>
  <c r="V997" i="1"/>
  <c r="V998" i="1"/>
  <c r="V999" i="1"/>
  <c r="V1000" i="1"/>
  <c r="V1001" i="1"/>
  <c r="V1002" i="1"/>
  <c r="V1003" i="1"/>
  <c r="V1004" i="1"/>
  <c r="V1005" i="1"/>
  <c r="V1006" i="1"/>
  <c r="V1007" i="1"/>
  <c r="V1008" i="1"/>
  <c r="V1010" i="1"/>
  <c r="V1011" i="1"/>
  <c r="V1012" i="1"/>
  <c r="V1013" i="1"/>
  <c r="V1014" i="1"/>
  <c r="V1015" i="1"/>
  <c r="V1016" i="1"/>
  <c r="V1017" i="1"/>
  <c r="V1018" i="1"/>
  <c r="V1019" i="1"/>
  <c r="V1020" i="1"/>
  <c r="V1021" i="1"/>
  <c r="V1022" i="1"/>
  <c r="V1023" i="1"/>
  <c r="V1024" i="1"/>
  <c r="V1025" i="1"/>
  <c r="V1026" i="1"/>
  <c r="V1027" i="1"/>
  <c r="V1028" i="1"/>
  <c r="V1029" i="1"/>
  <c r="V1030" i="1"/>
  <c r="V1031" i="1"/>
  <c r="V1032" i="1"/>
  <c r="V1033" i="1"/>
  <c r="V1034" i="1"/>
  <c r="V1035" i="1"/>
  <c r="V1036" i="1"/>
  <c r="V1037" i="1"/>
  <c r="V1038" i="1"/>
  <c r="V1039" i="1"/>
  <c r="V1040" i="1"/>
  <c r="V1042" i="1"/>
  <c r="V1043" i="1"/>
  <c r="V1044" i="1"/>
  <c r="V1045" i="1"/>
  <c r="V1046" i="1"/>
  <c r="V1047" i="1"/>
  <c r="V1048" i="1"/>
  <c r="V1049" i="1"/>
  <c r="V1050" i="1"/>
  <c r="V1051" i="1"/>
  <c r="V1052" i="1"/>
  <c r="V1053" i="1"/>
  <c r="V1054" i="1"/>
  <c r="V1055" i="1"/>
  <c r="V1056" i="1"/>
  <c r="V1057" i="1"/>
  <c r="V1058" i="1"/>
  <c r="V1059" i="1"/>
  <c r="V1060" i="1"/>
  <c r="V1061" i="1"/>
  <c r="V1062" i="1"/>
  <c r="V1063" i="1"/>
  <c r="V1064" i="1"/>
  <c r="V1065" i="1"/>
  <c r="V1066" i="1"/>
  <c r="V1067" i="1"/>
  <c r="V1068" i="1"/>
  <c r="V1069" i="1"/>
  <c r="V1070" i="1"/>
  <c r="V1071" i="1"/>
  <c r="V1072" i="1"/>
  <c r="V1073" i="1"/>
  <c r="V1074" i="1"/>
  <c r="V1075" i="1"/>
  <c r="V1076" i="1"/>
  <c r="V1077" i="1"/>
  <c r="V1078" i="1"/>
  <c r="V1079" i="1"/>
  <c r="V1080" i="1"/>
  <c r="V1081" i="1"/>
  <c r="V1082" i="1"/>
  <c r="V1083" i="1"/>
  <c r="V1084" i="1"/>
  <c r="V1085" i="1"/>
  <c r="V1086" i="1"/>
  <c r="V1087" i="1"/>
  <c r="V1088" i="1"/>
  <c r="V1089" i="1"/>
  <c r="V1090" i="1"/>
  <c r="V1091" i="1"/>
  <c r="V1092" i="1"/>
  <c r="V1093" i="1"/>
  <c r="V1094" i="1"/>
  <c r="V1095" i="1"/>
  <c r="V1096" i="1"/>
  <c r="V1097" i="1"/>
  <c r="V1098" i="1"/>
  <c r="V1099" i="1"/>
  <c r="V1100" i="1"/>
  <c r="V1101" i="1"/>
  <c r="V1102" i="1"/>
  <c r="V1103" i="1"/>
  <c r="V1104" i="1"/>
  <c r="V1105" i="1"/>
  <c r="V1106" i="1"/>
  <c r="V1107" i="1"/>
  <c r="V1108" i="1"/>
  <c r="V1109" i="1"/>
  <c r="V1110" i="1"/>
  <c r="V1111" i="1"/>
  <c r="V1112" i="1"/>
  <c r="V1113" i="1"/>
  <c r="V1114" i="1"/>
  <c r="V1115" i="1"/>
  <c r="V1116" i="1"/>
  <c r="V1117" i="1"/>
  <c r="V1118" i="1"/>
  <c r="V1119" i="1"/>
  <c r="V1120" i="1"/>
  <c r="V1121" i="1"/>
  <c r="V1122" i="1"/>
  <c r="V1123" i="1"/>
  <c r="V1124" i="1"/>
  <c r="V1125" i="1"/>
  <c r="V1126" i="1"/>
  <c r="V1127" i="1"/>
  <c r="V1128" i="1"/>
  <c r="V1129" i="1"/>
  <c r="V1130" i="1"/>
  <c r="V1132" i="1"/>
  <c r="V1133" i="1"/>
  <c r="V1134" i="1"/>
  <c r="V1135" i="1"/>
  <c r="V1136" i="1"/>
  <c r="V1137" i="1"/>
  <c r="V1138" i="1"/>
  <c r="V1139" i="1"/>
  <c r="V1140" i="1"/>
  <c r="V1141" i="1"/>
  <c r="V1142" i="1"/>
  <c r="V1143" i="1"/>
  <c r="V1144" i="1"/>
  <c r="V1145" i="1"/>
  <c r="V1146" i="1"/>
  <c r="V1147" i="1"/>
  <c r="V1148" i="1"/>
  <c r="V1149" i="1"/>
  <c r="V1150" i="1"/>
  <c r="V1151" i="1"/>
  <c r="V1152" i="1"/>
  <c r="V1153" i="1"/>
  <c r="V1154" i="1"/>
  <c r="V1155" i="1"/>
  <c r="V1156" i="1"/>
  <c r="V1157" i="1"/>
  <c r="V1158" i="1"/>
  <c r="V1159" i="1"/>
  <c r="V1160" i="1"/>
  <c r="V1161" i="1"/>
  <c r="V1162" i="1"/>
  <c r="V1163" i="1"/>
  <c r="V1164" i="1"/>
  <c r="V1165" i="1"/>
  <c r="V1166" i="1"/>
  <c r="V1167" i="1"/>
  <c r="V1168" i="1"/>
  <c r="V1169" i="1"/>
  <c r="V1170" i="1"/>
  <c r="V1171" i="1"/>
  <c r="V1172" i="1"/>
  <c r="V1173" i="1"/>
  <c r="V1174" i="1"/>
  <c r="V1175" i="1"/>
  <c r="V1176" i="1"/>
  <c r="V1177" i="1"/>
  <c r="V1178" i="1"/>
  <c r="V1179" i="1"/>
  <c r="V1180" i="1"/>
  <c r="V1181" i="1"/>
  <c r="V1182" i="1"/>
  <c r="V1183" i="1"/>
  <c r="V1184" i="1"/>
  <c r="V1185" i="1"/>
  <c r="V1186" i="1"/>
  <c r="V1187" i="1"/>
  <c r="V1188" i="1"/>
  <c r="V1189" i="1"/>
  <c r="V1190" i="1"/>
  <c r="V1191" i="1"/>
  <c r="V1192" i="1"/>
  <c r="V1193" i="1"/>
  <c r="V1194" i="1"/>
  <c r="V1195" i="1"/>
  <c r="V1196" i="1"/>
  <c r="V1197" i="1"/>
  <c r="V1198" i="1"/>
  <c r="V1199" i="1"/>
  <c r="V1200" i="1"/>
  <c r="V1201" i="1"/>
  <c r="V1202" i="1"/>
  <c r="V1203" i="1"/>
  <c r="V1204" i="1"/>
  <c r="V1206" i="1"/>
  <c r="V1207" i="1"/>
  <c r="V1208" i="1"/>
  <c r="V1209" i="1"/>
  <c r="V1210" i="1"/>
  <c r="V1211" i="1"/>
  <c r="V1212" i="1"/>
  <c r="V1214" i="1"/>
  <c r="V1215" i="1"/>
  <c r="V1216" i="1"/>
  <c r="V1217" i="1"/>
  <c r="V1218" i="1"/>
  <c r="V1219" i="1"/>
  <c r="V1220" i="1"/>
  <c r="V1221" i="1"/>
  <c r="V1222" i="1"/>
  <c r="V1223" i="1"/>
  <c r="V1224" i="1"/>
  <c r="V1225" i="1"/>
  <c r="V1226" i="1"/>
  <c r="V1227" i="1"/>
  <c r="V1228" i="1"/>
  <c r="V1229" i="1"/>
  <c r="V1230" i="1"/>
  <c r="V1231" i="1"/>
  <c r="V1232" i="1"/>
  <c r="V1233" i="1"/>
  <c r="V1234" i="1"/>
  <c r="V1235" i="1"/>
  <c r="V1236" i="1"/>
  <c r="V1237" i="1"/>
  <c r="V1238" i="1"/>
  <c r="V1239" i="1"/>
  <c r="V1240" i="1"/>
  <c r="V1241" i="1"/>
  <c r="V1242" i="1"/>
  <c r="V1243" i="1"/>
  <c r="V1244" i="1"/>
  <c r="V1245" i="1"/>
  <c r="V1246" i="1"/>
  <c r="V1247" i="1"/>
  <c r="V1248" i="1"/>
  <c r="V1249" i="1"/>
  <c r="V1250" i="1"/>
  <c r="V1251" i="1"/>
  <c r="V1252" i="1"/>
  <c r="V1253" i="1"/>
  <c r="V1254" i="1"/>
  <c r="V1255" i="1"/>
  <c r="V1256" i="1"/>
  <c r="V1257" i="1"/>
  <c r="V1258" i="1"/>
  <c r="V1259" i="1"/>
  <c r="V1260" i="1"/>
  <c r="V1261" i="1"/>
  <c r="V1262" i="1"/>
  <c r="V1263" i="1"/>
  <c r="V1264" i="1"/>
  <c r="V1265" i="1"/>
  <c r="V1266" i="1"/>
  <c r="V1267" i="1"/>
  <c r="V1268" i="1"/>
  <c r="V1269" i="1"/>
  <c r="V1270" i="1"/>
  <c r="V1271" i="1"/>
  <c r="V1272" i="1"/>
  <c r="V1273" i="1"/>
  <c r="V1274" i="1"/>
  <c r="V1275" i="1"/>
  <c r="V1276" i="1"/>
  <c r="V1277" i="1"/>
  <c r="V1278" i="1"/>
  <c r="V1279" i="1"/>
  <c r="V1280" i="1"/>
  <c r="V1281" i="1"/>
  <c r="V1282" i="1"/>
  <c r="V1283" i="1"/>
  <c r="V1284" i="1"/>
  <c r="V1285" i="1"/>
  <c r="V1286" i="1"/>
  <c r="V1287" i="1"/>
  <c r="V1288" i="1"/>
  <c r="V1289" i="1"/>
  <c r="V1290" i="1"/>
  <c r="V1291" i="1"/>
  <c r="V1292" i="1"/>
  <c r="V1293" i="1"/>
  <c r="V1294" i="1"/>
  <c r="V1295" i="1"/>
  <c r="V1296" i="1"/>
  <c r="V1297" i="1"/>
  <c r="V1298" i="1"/>
  <c r="V1299" i="1"/>
  <c r="V1300" i="1"/>
  <c r="V1301" i="1"/>
  <c r="V1302" i="1"/>
  <c r="V1303" i="1"/>
  <c r="V1304" i="1"/>
  <c r="V1305" i="1"/>
  <c r="V1306" i="1"/>
  <c r="V1307" i="1"/>
  <c r="V1308" i="1"/>
  <c r="V1309" i="1"/>
  <c r="V1310" i="1"/>
  <c r="V1311" i="1"/>
  <c r="V1312" i="1"/>
  <c r="V1313" i="1"/>
  <c r="V1314" i="1"/>
  <c r="V1315" i="1"/>
  <c r="V1316" i="1"/>
  <c r="V1317" i="1"/>
  <c r="V1318" i="1"/>
  <c r="V1319" i="1"/>
  <c r="V1320" i="1"/>
  <c r="V1321" i="1"/>
  <c r="V1322" i="1"/>
  <c r="V1323" i="1"/>
  <c r="V1324" i="1"/>
  <c r="V1325" i="1"/>
  <c r="V1326" i="1"/>
  <c r="V1327" i="1"/>
  <c r="V1328" i="1"/>
  <c r="V1329" i="1"/>
  <c r="V1330" i="1"/>
  <c r="V1331" i="1"/>
  <c r="V1333" i="1"/>
  <c r="V1334" i="1"/>
  <c r="V1335" i="1"/>
  <c r="V1336" i="1"/>
  <c r="V1337" i="1"/>
  <c r="V1338" i="1"/>
  <c r="V1339" i="1"/>
  <c r="V1340" i="1"/>
  <c r="V1341" i="1"/>
  <c r="V1342" i="1"/>
  <c r="V1343" i="1"/>
  <c r="V1344" i="1"/>
  <c r="V1345" i="1"/>
  <c r="V1346" i="1"/>
  <c r="V1347" i="1"/>
  <c r="V1348" i="1"/>
  <c r="V1349" i="1"/>
  <c r="V1350" i="1"/>
  <c r="V1351" i="1"/>
  <c r="V1352" i="1"/>
  <c r="V1353" i="1"/>
  <c r="V1354" i="1"/>
  <c r="V1355" i="1"/>
  <c r="V1356" i="1"/>
  <c r="V1357" i="1"/>
  <c r="V1358" i="1"/>
  <c r="V1359" i="1"/>
  <c r="V1360" i="1"/>
  <c r="V1361" i="1"/>
  <c r="V1362" i="1"/>
  <c r="V1363" i="1"/>
  <c r="V1364" i="1"/>
  <c r="V1365" i="1"/>
  <c r="V1366" i="1"/>
  <c r="V1367" i="1"/>
  <c r="V1368" i="1"/>
  <c r="V1369" i="1"/>
  <c r="V1370" i="1"/>
  <c r="V1371" i="1"/>
  <c r="V1372" i="1"/>
  <c r="V1373" i="1"/>
  <c r="V1374" i="1"/>
  <c r="V1375" i="1"/>
  <c r="V1376" i="1"/>
  <c r="V1377" i="1"/>
  <c r="V1378" i="1"/>
  <c r="V1379" i="1"/>
  <c r="V1380" i="1"/>
  <c r="V1381" i="1"/>
  <c r="V1382" i="1"/>
  <c r="V1383" i="1"/>
  <c r="V1384" i="1"/>
  <c r="V1385" i="1"/>
  <c r="V1386" i="1"/>
  <c r="V1387" i="1"/>
  <c r="V1388" i="1"/>
  <c r="V1389" i="1"/>
  <c r="V1390" i="1"/>
  <c r="V1391" i="1"/>
  <c r="V1392" i="1"/>
  <c r="V1393" i="1"/>
  <c r="V1394" i="1"/>
  <c r="V1395" i="1"/>
  <c r="V1396" i="1"/>
  <c r="V1397" i="1"/>
  <c r="V1398" i="1"/>
  <c r="V1399" i="1"/>
  <c r="V1400" i="1"/>
  <c r="V1401" i="1"/>
  <c r="V1402" i="1"/>
  <c r="V1404" i="1"/>
  <c r="V1405" i="1"/>
  <c r="V1406" i="1"/>
  <c r="V1407" i="1"/>
  <c r="V1408" i="1"/>
  <c r="V1409" i="1"/>
  <c r="V1410" i="1"/>
  <c r="V1411" i="1"/>
  <c r="V1412" i="1"/>
  <c r="V1413" i="1"/>
  <c r="V1414" i="1"/>
  <c r="V1415" i="1"/>
  <c r="V1417" i="1"/>
  <c r="V1418" i="1"/>
  <c r="V1419" i="1"/>
  <c r="V1420" i="1"/>
  <c r="V1421" i="1"/>
  <c r="V1422" i="1"/>
  <c r="V1423" i="1"/>
  <c r="V1424" i="1"/>
  <c r="V1425" i="1"/>
  <c r="V1426" i="1"/>
  <c r="V1427" i="1"/>
  <c r="V1428" i="1"/>
  <c r="V1429" i="1"/>
  <c r="V1430" i="1"/>
  <c r="V1431" i="1"/>
  <c r="V1432" i="1"/>
  <c r="V1433" i="1"/>
  <c r="V1434" i="1"/>
  <c r="V1435" i="1"/>
  <c r="V1436" i="1"/>
  <c r="V1438" i="1"/>
  <c r="V1439" i="1"/>
  <c r="V1440" i="1"/>
  <c r="V1441" i="1"/>
  <c r="V1442" i="1"/>
  <c r="V1443" i="1"/>
  <c r="V1444" i="1"/>
  <c r="V1445" i="1"/>
  <c r="V1446" i="1"/>
  <c r="V1447" i="1"/>
  <c r="V1448" i="1"/>
  <c r="V1449" i="1"/>
  <c r="V1450" i="1"/>
  <c r="V1451" i="1"/>
  <c r="V1452" i="1"/>
  <c r="V1453" i="1"/>
  <c r="V1454" i="1"/>
  <c r="V1455" i="1"/>
  <c r="V1456" i="1"/>
  <c r="V1457" i="1"/>
  <c r="V1458" i="1"/>
  <c r="V1459" i="1"/>
  <c r="V1460" i="1"/>
  <c r="V1461" i="1"/>
  <c r="V1462" i="1"/>
  <c r="V1463" i="1"/>
  <c r="V1464" i="1"/>
  <c r="V1465" i="1"/>
  <c r="V1466" i="1"/>
  <c r="V1467" i="1"/>
  <c r="V1468" i="1"/>
  <c r="V1469" i="1"/>
  <c r="V1470" i="1"/>
  <c r="V1471" i="1"/>
  <c r="V1472" i="1"/>
  <c r="V1473" i="1"/>
  <c r="V1474" i="1"/>
  <c r="V1475" i="1"/>
  <c r="V1476" i="1"/>
  <c r="V1477" i="1"/>
  <c r="V1478" i="1"/>
  <c r="V1479" i="1"/>
  <c r="V1480" i="1"/>
  <c r="V1481" i="1"/>
  <c r="V1482" i="1"/>
  <c r="V1483" i="1"/>
  <c r="V1484" i="1"/>
  <c r="V1485" i="1"/>
  <c r="V1487" i="1"/>
  <c r="V1488" i="1"/>
  <c r="V1489" i="1"/>
  <c r="V1490" i="1"/>
  <c r="V1491" i="1"/>
  <c r="V1492" i="1"/>
  <c r="V1493" i="1"/>
  <c r="V1494" i="1"/>
  <c r="V1495" i="1"/>
  <c r="V1496" i="1"/>
  <c r="V1497" i="1"/>
  <c r="V1498" i="1"/>
  <c r="V1499" i="1"/>
  <c r="V1500" i="1"/>
  <c r="V1501" i="1"/>
  <c r="V1502" i="1"/>
  <c r="V1504" i="1"/>
  <c r="V1505" i="1"/>
  <c r="V1506" i="1"/>
  <c r="V1507" i="1"/>
  <c r="V1508" i="1"/>
  <c r="V1509" i="1"/>
  <c r="V1510" i="1"/>
  <c r="V1511" i="1"/>
  <c r="V1512" i="1"/>
  <c r="V1513" i="1"/>
  <c r="V1514" i="1"/>
  <c r="V1515" i="1"/>
  <c r="V1516" i="1"/>
  <c r="V1517" i="1"/>
  <c r="V1518" i="1"/>
  <c r="V1519" i="1"/>
  <c r="V1520" i="1"/>
  <c r="V1521" i="1"/>
  <c r="V1522" i="1"/>
  <c r="V1523" i="1"/>
  <c r="V1524" i="1"/>
  <c r="V1525" i="1"/>
  <c r="V1526" i="1"/>
  <c r="V1527" i="1"/>
  <c r="V1528" i="1"/>
  <c r="V1529" i="1"/>
  <c r="V1530" i="1"/>
  <c r="V1531" i="1"/>
  <c r="V1532" i="1"/>
  <c r="V1533" i="1"/>
  <c r="V1534" i="1"/>
  <c r="V1535" i="1"/>
  <c r="V1536" i="1"/>
  <c r="V1537" i="1"/>
  <c r="V1538" i="1"/>
  <c r="V1539" i="1"/>
  <c r="V1540" i="1"/>
  <c r="V1541" i="1"/>
  <c r="V1542" i="1"/>
  <c r="V1543" i="1"/>
  <c r="V1544" i="1"/>
  <c r="V1545" i="1"/>
  <c r="V1547" i="1"/>
  <c r="V1548" i="1"/>
  <c r="V1549" i="1"/>
  <c r="V1550" i="1"/>
  <c r="V1551" i="1"/>
  <c r="V1552" i="1"/>
  <c r="V1553" i="1"/>
  <c r="V1554" i="1"/>
  <c r="V1555" i="1"/>
  <c r="V1556" i="1"/>
  <c r="V1557" i="1"/>
  <c r="V1558" i="1"/>
  <c r="V1559" i="1"/>
  <c r="V1560" i="1"/>
  <c r="V1561" i="1"/>
  <c r="V1562" i="1"/>
  <c r="V1563" i="1"/>
  <c r="V1564" i="1"/>
  <c r="V1565" i="1"/>
  <c r="V1566" i="1"/>
  <c r="V1567" i="1"/>
  <c r="V1568" i="1"/>
  <c r="V1569" i="1"/>
  <c r="V1570" i="1"/>
  <c r="V1571" i="1"/>
  <c r="V1572" i="1"/>
  <c r="V1573" i="1"/>
  <c r="V1574" i="1"/>
  <c r="V1575" i="1"/>
  <c r="V1576" i="1"/>
  <c r="V1577" i="1"/>
  <c r="V1578" i="1"/>
  <c r="V1579" i="1"/>
  <c r="V1580" i="1"/>
  <c r="V1581" i="1"/>
  <c r="V1583" i="1"/>
  <c r="V1584" i="1"/>
  <c r="V1585" i="1"/>
  <c r="V1586" i="1"/>
  <c r="V1587" i="1"/>
  <c r="V1588" i="1"/>
  <c r="V1589" i="1"/>
  <c r="V1590" i="1"/>
  <c r="V1591" i="1"/>
  <c r="V1592" i="1"/>
  <c r="V1593" i="1"/>
  <c r="V1594" i="1"/>
  <c r="V1595" i="1"/>
  <c r="V1596" i="1"/>
  <c r="V1597" i="1"/>
  <c r="V1598" i="1"/>
  <c r="V1599" i="1"/>
  <c r="V1600" i="1"/>
  <c r="V1601" i="1"/>
  <c r="V1602" i="1"/>
  <c r="V1603" i="1"/>
  <c r="V1605" i="1"/>
  <c r="V1606" i="1"/>
  <c r="V1607" i="1"/>
  <c r="V1608" i="1"/>
  <c r="V1609" i="1"/>
  <c r="V1610" i="1"/>
  <c r="V1611" i="1"/>
  <c r="V1612" i="1"/>
  <c r="V1613" i="1"/>
  <c r="V1614" i="1"/>
  <c r="V1615" i="1"/>
  <c r="V1616" i="1"/>
  <c r="V1617" i="1"/>
  <c r="V1618" i="1"/>
  <c r="V1619" i="1"/>
  <c r="V1620" i="1"/>
  <c r="V1621" i="1"/>
  <c r="V1622" i="1"/>
  <c r="V1623" i="1"/>
  <c r="V1624" i="1"/>
  <c r="V1625" i="1"/>
  <c r="V1626" i="1"/>
  <c r="V1627" i="1"/>
  <c r="V1628" i="1"/>
  <c r="V1629" i="1"/>
  <c r="V1630" i="1"/>
  <c r="V1631" i="1"/>
  <c r="V1632" i="1"/>
  <c r="V1633" i="1"/>
  <c r="V1634" i="1"/>
  <c r="V1635" i="1"/>
  <c r="V1636" i="1"/>
  <c r="V1637" i="1"/>
  <c r="V1638" i="1"/>
  <c r="V1639" i="1"/>
  <c r="V1640" i="1"/>
  <c r="V1641" i="1"/>
  <c r="V1642" i="1"/>
  <c r="V1643" i="1"/>
  <c r="V1644" i="1"/>
  <c r="V1645" i="1"/>
  <c r="V1646" i="1"/>
  <c r="V1647" i="1"/>
  <c r="V1648" i="1"/>
  <c r="V1649" i="1"/>
  <c r="V1650" i="1"/>
  <c r="V1651" i="1"/>
  <c r="V1652" i="1"/>
  <c r="V1653" i="1"/>
  <c r="V1654" i="1"/>
  <c r="V1655" i="1"/>
  <c r="V1656" i="1"/>
  <c r="V1657" i="1"/>
  <c r="V1658" i="1"/>
  <c r="V1659" i="1"/>
  <c r="V1660" i="1"/>
  <c r="V1661" i="1"/>
  <c r="V1662" i="1"/>
  <c r="V1663" i="1"/>
  <c r="V1664" i="1"/>
  <c r="V1665" i="1"/>
  <c r="V1666" i="1"/>
  <c r="V1667" i="1"/>
  <c r="V1668" i="1"/>
  <c r="V1669" i="1"/>
  <c r="V1670" i="1"/>
  <c r="V1671" i="1"/>
  <c r="V1672" i="1"/>
  <c r="V1673" i="1"/>
  <c r="V1674" i="1"/>
  <c r="V1675" i="1"/>
  <c r="V1676" i="1"/>
  <c r="V1677" i="1"/>
  <c r="V1678" i="1"/>
  <c r="V1679" i="1"/>
  <c r="V1680" i="1"/>
  <c r="V1681" i="1"/>
  <c r="V1683" i="1"/>
  <c r="V1684" i="1"/>
  <c r="V1685" i="1"/>
  <c r="V1686" i="1"/>
  <c r="V1687" i="1"/>
  <c r="V1689" i="1"/>
  <c r="V1690" i="1"/>
  <c r="V1691" i="1"/>
  <c r="V1692" i="1"/>
  <c r="V1693" i="1"/>
  <c r="V1694" i="1"/>
  <c r="V1695" i="1"/>
  <c r="V1696" i="1"/>
  <c r="V1697" i="1"/>
  <c r="V1698" i="1"/>
  <c r="V1699" i="1"/>
  <c r="V1700" i="1"/>
  <c r="V1701" i="1"/>
  <c r="V1702" i="1"/>
  <c r="V1703" i="1"/>
  <c r="V1704" i="1"/>
  <c r="V1706" i="1"/>
  <c r="V1707" i="1"/>
  <c r="V1708" i="1"/>
  <c r="V1709" i="1"/>
  <c r="V1710" i="1"/>
  <c r="V1711" i="1"/>
  <c r="V1712" i="1"/>
  <c r="V1713" i="1"/>
  <c r="V1714" i="1"/>
  <c r="V1715" i="1"/>
  <c r="V1716" i="1"/>
  <c r="V1717" i="1"/>
  <c r="V1718" i="1"/>
  <c r="V1719" i="1"/>
  <c r="V1720" i="1"/>
  <c r="V1721" i="1"/>
  <c r="V1722" i="1"/>
  <c r="V1723" i="1"/>
  <c r="V1724" i="1"/>
  <c r="V1725" i="1"/>
  <c r="V1726" i="1"/>
  <c r="V1727" i="1"/>
  <c r="V1728" i="1"/>
  <c r="V1729" i="1"/>
  <c r="V1730" i="1"/>
  <c r="V1731" i="1"/>
  <c r="V1732" i="1"/>
  <c r="V1733" i="1"/>
  <c r="V1734" i="1"/>
  <c r="V1735" i="1"/>
  <c r="V1736" i="1"/>
  <c r="V1737" i="1"/>
  <c r="V1739" i="1"/>
  <c r="V1740" i="1"/>
  <c r="V1741" i="1"/>
  <c r="V1742" i="1"/>
  <c r="V1743" i="1"/>
  <c r="V1744" i="1"/>
  <c r="V1745" i="1"/>
  <c r="V1746" i="1"/>
  <c r="V1747" i="1"/>
  <c r="V1748" i="1"/>
  <c r="V1749" i="1"/>
  <c r="V1750" i="1"/>
  <c r="V1751" i="1"/>
  <c r="V1753" i="1"/>
  <c r="V1754" i="1"/>
  <c r="V1755" i="1"/>
  <c r="V1756" i="1"/>
  <c r="V1757" i="1"/>
  <c r="V1758" i="1"/>
  <c r="V1759" i="1"/>
  <c r="V1760" i="1"/>
  <c r="V1761" i="1"/>
  <c r="V1762" i="1"/>
  <c r="V1763" i="1"/>
  <c r="V1764" i="1"/>
  <c r="V1765" i="1"/>
  <c r="V1766" i="1"/>
  <c r="V1767" i="1"/>
  <c r="V1768" i="1"/>
  <c r="V1769" i="1"/>
  <c r="V1770" i="1"/>
  <c r="V1771" i="1"/>
  <c r="V1772" i="1"/>
  <c r="V1773" i="1"/>
  <c r="V1774" i="1"/>
  <c r="V1775" i="1"/>
  <c r="V1776" i="1"/>
  <c r="V1777" i="1"/>
  <c r="V1778" i="1"/>
  <c r="V1779" i="1"/>
  <c r="V1780" i="1"/>
  <c r="V1781" i="1"/>
  <c r="V1782" i="1"/>
  <c r="V1783" i="1"/>
  <c r="V1784" i="1"/>
  <c r="V1785" i="1"/>
  <c r="V1786" i="1"/>
  <c r="V1787" i="1"/>
  <c r="V1788" i="1"/>
  <c r="V1789" i="1"/>
  <c r="V1790" i="1"/>
  <c r="V1791" i="1"/>
  <c r="V1792" i="1"/>
  <c r="V1794" i="1"/>
  <c r="V1795" i="1"/>
  <c r="V1796" i="1"/>
  <c r="V1797" i="1"/>
  <c r="V1798" i="1"/>
  <c r="V1799" i="1"/>
  <c r="V1800" i="1"/>
  <c r="V1801" i="1"/>
  <c r="V1802" i="1"/>
  <c r="V1803" i="1"/>
  <c r="V1804" i="1"/>
  <c r="V1805" i="1"/>
  <c r="V1806" i="1"/>
  <c r="V1807" i="1"/>
  <c r="V1808" i="1"/>
  <c r="V1809" i="1"/>
  <c r="V1810" i="1"/>
  <c r="V1811" i="1"/>
  <c r="V1812" i="1"/>
  <c r="V1813" i="1"/>
  <c r="V1814" i="1"/>
  <c r="V1815" i="1"/>
  <c r="V1816" i="1"/>
  <c r="V1817" i="1"/>
  <c r="V1818" i="1"/>
  <c r="V1819" i="1"/>
  <c r="V1820" i="1"/>
  <c r="V1821" i="1"/>
  <c r="V1822" i="1"/>
  <c r="V1823" i="1"/>
  <c r="V1824" i="1"/>
  <c r="V1825" i="1"/>
  <c r="V1826" i="1"/>
  <c r="V1827" i="1"/>
  <c r="V1828" i="1"/>
  <c r="V1829" i="1"/>
  <c r="V1830" i="1"/>
  <c r="V1831" i="1"/>
  <c r="V1832" i="1"/>
  <c r="V1833" i="1"/>
  <c r="V1834" i="1"/>
  <c r="V1835" i="1"/>
  <c r="V1836" i="1"/>
  <c r="V1837" i="1"/>
  <c r="V1838" i="1"/>
  <c r="V1839" i="1"/>
  <c r="V1840" i="1"/>
  <c r="V1841" i="1"/>
  <c r="V1842" i="1"/>
  <c r="V1843" i="1"/>
  <c r="V1844" i="1"/>
  <c r="V1845" i="1"/>
  <c r="V1846" i="1"/>
  <c r="V1847" i="1"/>
  <c r="V1848" i="1"/>
  <c r="V1849" i="1"/>
  <c r="V1850" i="1"/>
  <c r="V1852" i="1"/>
  <c r="V1853" i="1"/>
  <c r="V1854" i="1"/>
  <c r="V1855" i="1"/>
  <c r="V1856" i="1"/>
  <c r="V1857" i="1"/>
  <c r="V1858" i="1"/>
  <c r="V1859" i="1"/>
  <c r="V1860" i="1"/>
  <c r="V1861" i="1"/>
  <c r="V1862" i="1"/>
  <c r="V1864" i="1"/>
  <c r="V1865" i="1"/>
  <c r="V1866" i="1"/>
  <c r="V1867" i="1"/>
  <c r="V1868" i="1"/>
  <c r="V1869" i="1"/>
  <c r="V1870" i="1"/>
  <c r="V1871" i="1"/>
  <c r="V1872" i="1"/>
  <c r="V1873" i="1"/>
  <c r="V1874" i="1"/>
  <c r="V1875" i="1"/>
  <c r="V1876" i="1"/>
  <c r="V1877" i="1"/>
  <c r="V1878" i="1"/>
  <c r="V1879" i="1"/>
  <c r="V1880" i="1"/>
  <c r="V1881" i="1"/>
  <c r="V1882" i="1"/>
  <c r="V1883" i="1"/>
  <c r="V1884" i="1"/>
  <c r="V1885" i="1"/>
  <c r="V1886" i="1"/>
  <c r="V1887" i="1"/>
  <c r="V1888" i="1"/>
  <c r="V1890" i="1"/>
  <c r="V1891" i="1"/>
  <c r="V1892" i="1"/>
  <c r="V1893" i="1"/>
  <c r="V1895" i="1"/>
  <c r="V1896" i="1"/>
  <c r="V1897" i="1"/>
  <c r="V1898" i="1"/>
  <c r="V1899" i="1"/>
  <c r="V1900" i="1"/>
  <c r="V1901" i="1"/>
  <c r="V1902" i="1"/>
  <c r="V1903" i="1"/>
  <c r="V1904" i="1"/>
  <c r="V1905" i="1"/>
  <c r="V1906" i="1"/>
  <c r="V1907" i="1"/>
  <c r="V1908" i="1"/>
  <c r="V1909" i="1"/>
  <c r="V1910" i="1"/>
  <c r="V1911" i="1"/>
  <c r="V1912" i="1"/>
  <c r="V1913" i="1"/>
  <c r="V1914" i="1"/>
  <c r="V1915" i="1"/>
  <c r="V1916" i="1"/>
  <c r="V1917" i="1"/>
  <c r="V1919" i="1"/>
  <c r="V1920" i="1"/>
  <c r="V1921" i="1"/>
  <c r="V1922" i="1"/>
  <c r="V1923" i="1"/>
  <c r="V1924" i="1"/>
  <c r="V1925" i="1"/>
  <c r="V1926" i="1"/>
  <c r="V1927" i="1"/>
  <c r="V1928" i="1"/>
  <c r="V1929" i="1"/>
  <c r="V1930" i="1"/>
  <c r="V1931" i="1"/>
  <c r="V1932" i="1"/>
  <c r="V1933" i="1"/>
  <c r="V1934" i="1"/>
  <c r="V1935" i="1"/>
  <c r="V1936" i="1"/>
  <c r="V1937" i="1"/>
  <c r="V1938" i="1"/>
  <c r="V1939" i="1"/>
  <c r="V1940" i="1"/>
  <c r="V1941" i="1"/>
  <c r="V1942" i="1"/>
  <c r="V1943" i="1"/>
  <c r="V1944" i="1"/>
  <c r="V1945" i="1"/>
  <c r="V1946" i="1"/>
  <c r="V1947" i="1"/>
  <c r="V1948" i="1"/>
  <c r="V1949" i="1"/>
  <c r="V1950" i="1"/>
  <c r="V1951" i="1"/>
  <c r="V1952" i="1"/>
  <c r="V1953" i="1"/>
  <c r="V1954" i="1"/>
  <c r="V1955" i="1"/>
  <c r="V1956" i="1"/>
  <c r="V1957" i="1"/>
  <c r="V1958" i="1"/>
  <c r="V1959" i="1"/>
  <c r="V1960" i="1"/>
  <c r="V1961" i="1"/>
  <c r="V1962" i="1"/>
  <c r="V1963" i="1"/>
  <c r="V1964" i="1"/>
  <c r="V1965" i="1"/>
  <c r="V1966" i="1"/>
  <c r="V1967" i="1"/>
  <c r="V1968" i="1"/>
  <c r="V1969" i="1"/>
  <c r="V1970" i="1"/>
  <c r="V1971" i="1"/>
  <c r="V1972" i="1"/>
  <c r="V1973" i="1"/>
  <c r="V1974" i="1"/>
  <c r="V1975" i="1"/>
  <c r="V1976" i="1"/>
  <c r="V1977" i="1"/>
  <c r="V1978" i="1"/>
  <c r="V1979" i="1"/>
  <c r="V1980" i="1"/>
  <c r="V1981" i="1"/>
  <c r="V1982" i="1"/>
  <c r="V1983" i="1"/>
  <c r="V1984" i="1"/>
  <c r="V1985" i="1"/>
  <c r="V1986" i="1"/>
  <c r="V1987" i="1"/>
  <c r="V1988" i="1"/>
  <c r="V1989" i="1"/>
  <c r="V1990" i="1"/>
  <c r="V1991" i="1"/>
  <c r="V1992" i="1"/>
  <c r="V1993" i="1"/>
  <c r="V1994" i="1"/>
  <c r="V1995" i="1"/>
  <c r="V1996" i="1"/>
  <c r="V1997" i="1"/>
  <c r="V1998" i="1"/>
  <c r="V1999" i="1"/>
  <c r="V2000" i="1"/>
  <c r="V2001" i="1"/>
  <c r="V43" i="1"/>
  <c r="T43" i="1"/>
  <c r="T84" i="1"/>
  <c r="T372" i="1"/>
  <c r="T464" i="1"/>
  <c r="T473" i="1"/>
  <c r="T633" i="1"/>
  <c r="T837" i="1"/>
  <c r="T1009" i="1"/>
  <c r="T1486" i="1"/>
  <c r="T1688" i="1"/>
  <c r="T1863" i="1"/>
  <c r="T1889" i="1"/>
  <c r="T28" i="1"/>
  <c r="T261" i="1"/>
  <c r="T263" i="1"/>
  <c r="T306" i="1"/>
  <c r="T653" i="1"/>
  <c r="T720" i="1"/>
  <c r="T799" i="1"/>
  <c r="T860" i="1"/>
  <c r="T867" i="1"/>
  <c r="T949" i="1"/>
  <c r="T1041" i="1"/>
  <c r="T1131" i="1"/>
  <c r="T1213" i="1"/>
  <c r="T1403" i="1"/>
  <c r="T1416" i="1"/>
  <c r="T1437" i="1"/>
  <c r="T1546" i="1"/>
  <c r="T1582" i="1"/>
  <c r="T1738" i="1"/>
  <c r="T1752" i="1"/>
  <c r="T1793" i="1"/>
  <c r="T1851" i="1"/>
  <c r="T1894" i="1"/>
  <c r="T1918" i="1"/>
  <c r="T1205" i="1"/>
  <c r="T782" i="1"/>
  <c r="T819" i="1"/>
  <c r="T1705" i="1"/>
  <c r="T1682" i="1"/>
  <c r="T1503" i="1"/>
  <c r="T1604" i="1"/>
  <c r="T4" i="1"/>
  <c r="T1332" i="1"/>
  <c r="T964" i="1"/>
  <c r="T2" i="1"/>
  <c r="T3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3" i="1"/>
  <c r="T144" i="1"/>
  <c r="T145" i="1"/>
  <c r="T146" i="1"/>
  <c r="T147" i="1"/>
  <c r="T148" i="1"/>
  <c r="T149" i="1"/>
  <c r="T150" i="1"/>
  <c r="T151" i="1"/>
  <c r="T152" i="1"/>
  <c r="T153" i="1"/>
  <c r="T154" i="1"/>
  <c r="T155" i="1"/>
  <c r="T156" i="1"/>
  <c r="T157" i="1"/>
  <c r="T158" i="1"/>
  <c r="T159" i="1"/>
  <c r="T160" i="1"/>
  <c r="T161" i="1"/>
  <c r="T162" i="1"/>
  <c r="T163" i="1"/>
  <c r="T164" i="1"/>
  <c r="T165" i="1"/>
  <c r="T166" i="1"/>
  <c r="T167" i="1"/>
  <c r="T168" i="1"/>
  <c r="T169" i="1"/>
  <c r="T170" i="1"/>
  <c r="T171" i="1"/>
  <c r="T172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2" i="1"/>
  <c r="T213" i="1"/>
  <c r="T214" i="1"/>
  <c r="T215" i="1"/>
  <c r="T216" i="1"/>
  <c r="T217" i="1"/>
  <c r="T218" i="1"/>
  <c r="T219" i="1"/>
  <c r="T220" i="1"/>
  <c r="T221" i="1"/>
  <c r="T222" i="1"/>
  <c r="T223" i="1"/>
  <c r="T224" i="1"/>
  <c r="T225" i="1"/>
  <c r="T226" i="1"/>
  <c r="T227" i="1"/>
  <c r="T228" i="1"/>
  <c r="T229" i="1"/>
  <c r="T230" i="1"/>
  <c r="T231" i="1"/>
  <c r="T232" i="1"/>
  <c r="T233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8" i="1"/>
  <c r="T249" i="1"/>
  <c r="T250" i="1"/>
  <c r="T251" i="1"/>
  <c r="T252" i="1"/>
  <c r="T253" i="1"/>
  <c r="T254" i="1"/>
  <c r="T255" i="1"/>
  <c r="T256" i="1"/>
  <c r="T257" i="1"/>
  <c r="T258" i="1"/>
  <c r="T259" i="1"/>
  <c r="T260" i="1"/>
  <c r="T262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285" i="1"/>
  <c r="T286" i="1"/>
  <c r="T287" i="1"/>
  <c r="T288" i="1"/>
  <c r="T289" i="1"/>
  <c r="T290" i="1"/>
  <c r="T291" i="1"/>
  <c r="T292" i="1"/>
  <c r="T293" i="1"/>
  <c r="T294" i="1"/>
  <c r="T295" i="1"/>
  <c r="T296" i="1"/>
  <c r="T297" i="1"/>
  <c r="T298" i="1"/>
  <c r="T299" i="1"/>
  <c r="T300" i="1"/>
  <c r="T301" i="1"/>
  <c r="T302" i="1"/>
  <c r="T303" i="1"/>
  <c r="T304" i="1"/>
  <c r="T305" i="1"/>
  <c r="T307" i="1"/>
  <c r="T308" i="1"/>
  <c r="T309" i="1"/>
  <c r="T310" i="1"/>
  <c r="T311" i="1"/>
  <c r="T312" i="1"/>
  <c r="T313" i="1"/>
  <c r="T314" i="1"/>
  <c r="T315" i="1"/>
  <c r="T316" i="1"/>
  <c r="T317" i="1"/>
  <c r="T318" i="1"/>
  <c r="T319" i="1"/>
  <c r="T320" i="1"/>
  <c r="T321" i="1"/>
  <c r="T322" i="1"/>
  <c r="T323" i="1"/>
  <c r="T324" i="1"/>
  <c r="T325" i="1"/>
  <c r="T326" i="1"/>
  <c r="T327" i="1"/>
  <c r="T328" i="1"/>
  <c r="T329" i="1"/>
  <c r="T330" i="1"/>
  <c r="T331" i="1"/>
  <c r="T332" i="1"/>
  <c r="T333" i="1"/>
  <c r="T334" i="1"/>
  <c r="T335" i="1"/>
  <c r="T336" i="1"/>
  <c r="T337" i="1"/>
  <c r="T338" i="1"/>
  <c r="T339" i="1"/>
  <c r="T340" i="1"/>
  <c r="T341" i="1"/>
  <c r="T342" i="1"/>
  <c r="T343" i="1"/>
  <c r="T344" i="1"/>
  <c r="T345" i="1"/>
  <c r="T346" i="1"/>
  <c r="T347" i="1"/>
  <c r="T348" i="1"/>
  <c r="T349" i="1"/>
  <c r="T350" i="1"/>
  <c r="T351" i="1"/>
  <c r="T352" i="1"/>
  <c r="T353" i="1"/>
  <c r="T354" i="1"/>
  <c r="T355" i="1"/>
  <c r="T356" i="1"/>
  <c r="T357" i="1"/>
  <c r="T358" i="1"/>
  <c r="T359" i="1"/>
  <c r="T360" i="1"/>
  <c r="T361" i="1"/>
  <c r="T362" i="1"/>
  <c r="T363" i="1"/>
  <c r="T364" i="1"/>
  <c r="T365" i="1"/>
  <c r="T366" i="1"/>
  <c r="T367" i="1"/>
  <c r="T368" i="1"/>
  <c r="T369" i="1"/>
  <c r="T370" i="1"/>
  <c r="T371" i="1"/>
  <c r="T373" i="1"/>
  <c r="T374" i="1"/>
  <c r="T375" i="1"/>
  <c r="T376" i="1"/>
  <c r="T377" i="1"/>
  <c r="T378" i="1"/>
  <c r="T379" i="1"/>
  <c r="T380" i="1"/>
  <c r="T381" i="1"/>
  <c r="T382" i="1"/>
  <c r="T383" i="1"/>
  <c r="T384" i="1"/>
  <c r="T385" i="1"/>
  <c r="T386" i="1"/>
  <c r="T387" i="1"/>
  <c r="T388" i="1"/>
  <c r="T389" i="1"/>
  <c r="T390" i="1"/>
  <c r="T391" i="1"/>
  <c r="T392" i="1"/>
  <c r="T393" i="1"/>
  <c r="T394" i="1"/>
  <c r="T395" i="1"/>
  <c r="T396" i="1"/>
  <c r="T397" i="1"/>
  <c r="T398" i="1"/>
  <c r="T399" i="1"/>
  <c r="T400" i="1"/>
  <c r="T401" i="1"/>
  <c r="T402" i="1"/>
  <c r="T403" i="1"/>
  <c r="T404" i="1"/>
  <c r="T405" i="1"/>
  <c r="T406" i="1"/>
  <c r="T407" i="1"/>
  <c r="T408" i="1"/>
  <c r="T409" i="1"/>
  <c r="T410" i="1"/>
  <c r="T411" i="1"/>
  <c r="T412" i="1"/>
  <c r="T413" i="1"/>
  <c r="T414" i="1"/>
  <c r="T415" i="1"/>
  <c r="T416" i="1"/>
  <c r="T417" i="1"/>
  <c r="T418" i="1"/>
  <c r="T419" i="1"/>
  <c r="T420" i="1"/>
  <c r="T421" i="1"/>
  <c r="T422" i="1"/>
  <c r="T423" i="1"/>
  <c r="T424" i="1"/>
  <c r="T425" i="1"/>
  <c r="T426" i="1"/>
  <c r="T427" i="1"/>
  <c r="T428" i="1"/>
  <c r="T429" i="1"/>
  <c r="T430" i="1"/>
  <c r="T431" i="1"/>
  <c r="T432" i="1"/>
  <c r="T433" i="1"/>
  <c r="T434" i="1"/>
  <c r="T435" i="1"/>
  <c r="T436" i="1"/>
  <c r="T437" i="1"/>
  <c r="T438" i="1"/>
  <c r="T439" i="1"/>
  <c r="T440" i="1"/>
  <c r="T441" i="1"/>
  <c r="T442" i="1"/>
  <c r="T443" i="1"/>
  <c r="T444" i="1"/>
  <c r="T445" i="1"/>
  <c r="T446" i="1"/>
  <c r="T447" i="1"/>
  <c r="T448" i="1"/>
  <c r="T449" i="1"/>
  <c r="T450" i="1"/>
  <c r="T451" i="1"/>
  <c r="T452" i="1"/>
  <c r="T453" i="1"/>
  <c r="T454" i="1"/>
  <c r="T455" i="1"/>
  <c r="T456" i="1"/>
  <c r="T457" i="1"/>
  <c r="T458" i="1"/>
  <c r="T459" i="1"/>
  <c r="T460" i="1"/>
  <c r="T461" i="1"/>
  <c r="T462" i="1"/>
  <c r="T463" i="1"/>
  <c r="T465" i="1"/>
  <c r="T466" i="1"/>
  <c r="T467" i="1"/>
  <c r="T468" i="1"/>
  <c r="T469" i="1"/>
  <c r="T470" i="1"/>
  <c r="T471" i="1"/>
  <c r="T472" i="1"/>
  <c r="T474" i="1"/>
  <c r="T475" i="1"/>
  <c r="T476" i="1"/>
  <c r="T477" i="1"/>
  <c r="T478" i="1"/>
  <c r="T479" i="1"/>
  <c r="T480" i="1"/>
  <c r="T481" i="1"/>
  <c r="T482" i="1"/>
  <c r="T483" i="1"/>
  <c r="T484" i="1"/>
  <c r="T485" i="1"/>
  <c r="T486" i="1"/>
  <c r="T487" i="1"/>
  <c r="T488" i="1"/>
  <c r="T489" i="1"/>
  <c r="T490" i="1"/>
  <c r="T491" i="1"/>
  <c r="T492" i="1"/>
  <c r="T493" i="1"/>
  <c r="T494" i="1"/>
  <c r="T495" i="1"/>
  <c r="T496" i="1"/>
  <c r="T497" i="1"/>
  <c r="T498" i="1"/>
  <c r="T499" i="1"/>
  <c r="T500" i="1"/>
  <c r="T501" i="1"/>
  <c r="T502" i="1"/>
  <c r="T503" i="1"/>
  <c r="T504" i="1"/>
  <c r="T505" i="1"/>
  <c r="T506" i="1"/>
  <c r="T507" i="1"/>
  <c r="T508" i="1"/>
  <c r="T509" i="1"/>
  <c r="T510" i="1"/>
  <c r="T511" i="1"/>
  <c r="T512" i="1"/>
  <c r="T513" i="1"/>
  <c r="T514" i="1"/>
  <c r="T515" i="1"/>
  <c r="T516" i="1"/>
  <c r="T517" i="1"/>
  <c r="T518" i="1"/>
  <c r="T519" i="1"/>
  <c r="T520" i="1"/>
  <c r="T521" i="1"/>
  <c r="T522" i="1"/>
  <c r="T523" i="1"/>
  <c r="T524" i="1"/>
  <c r="T525" i="1"/>
  <c r="T526" i="1"/>
  <c r="T527" i="1"/>
  <c r="T528" i="1"/>
  <c r="T529" i="1"/>
  <c r="T530" i="1"/>
  <c r="T531" i="1"/>
  <c r="T532" i="1"/>
  <c r="T533" i="1"/>
  <c r="T534" i="1"/>
  <c r="T535" i="1"/>
  <c r="T536" i="1"/>
  <c r="T537" i="1"/>
  <c r="T538" i="1"/>
  <c r="T539" i="1"/>
  <c r="T540" i="1"/>
  <c r="T541" i="1"/>
  <c r="T542" i="1"/>
  <c r="T543" i="1"/>
  <c r="T544" i="1"/>
  <c r="T545" i="1"/>
  <c r="T546" i="1"/>
  <c r="T547" i="1"/>
  <c r="T548" i="1"/>
  <c r="T549" i="1"/>
  <c r="T550" i="1"/>
  <c r="T551" i="1"/>
  <c r="T552" i="1"/>
  <c r="T553" i="1"/>
  <c r="T554" i="1"/>
  <c r="T555" i="1"/>
  <c r="T556" i="1"/>
  <c r="T557" i="1"/>
  <c r="T558" i="1"/>
  <c r="T559" i="1"/>
  <c r="T560" i="1"/>
  <c r="T561" i="1"/>
  <c r="T562" i="1"/>
  <c r="T563" i="1"/>
  <c r="T564" i="1"/>
  <c r="T565" i="1"/>
  <c r="T566" i="1"/>
  <c r="T567" i="1"/>
  <c r="T568" i="1"/>
  <c r="T569" i="1"/>
  <c r="T570" i="1"/>
  <c r="T571" i="1"/>
  <c r="T572" i="1"/>
  <c r="T573" i="1"/>
  <c r="T574" i="1"/>
  <c r="T575" i="1"/>
  <c r="T576" i="1"/>
  <c r="T577" i="1"/>
  <c r="T578" i="1"/>
  <c r="T579" i="1"/>
  <c r="T580" i="1"/>
  <c r="T581" i="1"/>
  <c r="T582" i="1"/>
  <c r="T583" i="1"/>
  <c r="T584" i="1"/>
  <c r="T585" i="1"/>
  <c r="T586" i="1"/>
  <c r="T587" i="1"/>
  <c r="T588" i="1"/>
  <c r="T589" i="1"/>
  <c r="T590" i="1"/>
  <c r="T591" i="1"/>
  <c r="T592" i="1"/>
  <c r="T593" i="1"/>
  <c r="T594" i="1"/>
  <c r="T595" i="1"/>
  <c r="T596" i="1"/>
  <c r="T597" i="1"/>
  <c r="T598" i="1"/>
  <c r="T599" i="1"/>
  <c r="T600" i="1"/>
  <c r="T601" i="1"/>
  <c r="T602" i="1"/>
  <c r="T603" i="1"/>
  <c r="T604" i="1"/>
  <c r="T605" i="1"/>
  <c r="T606" i="1"/>
  <c r="T607" i="1"/>
  <c r="T608" i="1"/>
  <c r="T609" i="1"/>
  <c r="T610" i="1"/>
  <c r="T611" i="1"/>
  <c r="T612" i="1"/>
  <c r="T613" i="1"/>
  <c r="T614" i="1"/>
  <c r="T615" i="1"/>
  <c r="T616" i="1"/>
  <c r="T617" i="1"/>
  <c r="T618" i="1"/>
  <c r="T619" i="1"/>
  <c r="T620" i="1"/>
  <c r="T621" i="1"/>
  <c r="T622" i="1"/>
  <c r="T623" i="1"/>
  <c r="T624" i="1"/>
  <c r="T625" i="1"/>
  <c r="T626" i="1"/>
  <c r="T627" i="1"/>
  <c r="T628" i="1"/>
  <c r="T629" i="1"/>
  <c r="T630" i="1"/>
  <c r="T631" i="1"/>
  <c r="T632" i="1"/>
  <c r="T634" i="1"/>
  <c r="T635" i="1"/>
  <c r="T636" i="1"/>
  <c r="T637" i="1"/>
  <c r="T638" i="1"/>
  <c r="T639" i="1"/>
  <c r="T640" i="1"/>
  <c r="T641" i="1"/>
  <c r="T642" i="1"/>
  <c r="T643" i="1"/>
  <c r="T644" i="1"/>
  <c r="T645" i="1"/>
  <c r="T646" i="1"/>
  <c r="T647" i="1"/>
  <c r="T648" i="1"/>
  <c r="T649" i="1"/>
  <c r="T650" i="1"/>
  <c r="T651" i="1"/>
  <c r="T652" i="1"/>
  <c r="T654" i="1"/>
  <c r="T655" i="1"/>
  <c r="T656" i="1"/>
  <c r="T657" i="1"/>
  <c r="T658" i="1"/>
  <c r="T659" i="1"/>
  <c r="T660" i="1"/>
  <c r="T661" i="1"/>
  <c r="T662" i="1"/>
  <c r="T663" i="1"/>
  <c r="T664" i="1"/>
  <c r="T665" i="1"/>
  <c r="T666" i="1"/>
  <c r="T667" i="1"/>
  <c r="T668" i="1"/>
  <c r="T669" i="1"/>
  <c r="T670" i="1"/>
  <c r="T671" i="1"/>
  <c r="T672" i="1"/>
  <c r="T673" i="1"/>
  <c r="T674" i="1"/>
  <c r="T675" i="1"/>
  <c r="T676" i="1"/>
  <c r="T677" i="1"/>
  <c r="T678" i="1"/>
  <c r="T679" i="1"/>
  <c r="T680" i="1"/>
  <c r="T681" i="1"/>
  <c r="T682" i="1"/>
  <c r="T683" i="1"/>
  <c r="T684" i="1"/>
  <c r="T685" i="1"/>
  <c r="T686" i="1"/>
  <c r="T687" i="1"/>
  <c r="T688" i="1"/>
  <c r="T689" i="1"/>
  <c r="T690" i="1"/>
  <c r="T691" i="1"/>
  <c r="T692" i="1"/>
  <c r="T693" i="1"/>
  <c r="T694" i="1"/>
  <c r="T695" i="1"/>
  <c r="T696" i="1"/>
  <c r="T697" i="1"/>
  <c r="T698" i="1"/>
  <c r="T699" i="1"/>
  <c r="T700" i="1"/>
  <c r="T701" i="1"/>
  <c r="T702" i="1"/>
  <c r="T703" i="1"/>
  <c r="T704" i="1"/>
  <c r="T705" i="1"/>
  <c r="T706" i="1"/>
  <c r="T707" i="1"/>
  <c r="T708" i="1"/>
  <c r="T709" i="1"/>
  <c r="T710" i="1"/>
  <c r="T711" i="1"/>
  <c r="T712" i="1"/>
  <c r="T713" i="1"/>
  <c r="T714" i="1"/>
  <c r="T715" i="1"/>
  <c r="T716" i="1"/>
  <c r="T717" i="1"/>
  <c r="T718" i="1"/>
  <c r="T719" i="1"/>
  <c r="T721" i="1"/>
  <c r="T722" i="1"/>
  <c r="T723" i="1"/>
  <c r="T724" i="1"/>
  <c r="T725" i="1"/>
  <c r="T726" i="1"/>
  <c r="T727" i="1"/>
  <c r="T728" i="1"/>
  <c r="T729" i="1"/>
  <c r="T730" i="1"/>
  <c r="T731" i="1"/>
  <c r="T732" i="1"/>
  <c r="T733" i="1"/>
  <c r="T734" i="1"/>
  <c r="T735" i="1"/>
  <c r="T736" i="1"/>
  <c r="T737" i="1"/>
  <c r="T738" i="1"/>
  <c r="T739" i="1"/>
  <c r="T740" i="1"/>
  <c r="T741" i="1"/>
  <c r="T742" i="1"/>
  <c r="T743" i="1"/>
  <c r="T744" i="1"/>
  <c r="T745" i="1"/>
  <c r="T746" i="1"/>
  <c r="T747" i="1"/>
  <c r="T748" i="1"/>
  <c r="T749" i="1"/>
  <c r="T750" i="1"/>
  <c r="T751" i="1"/>
  <c r="T752" i="1"/>
  <c r="T753" i="1"/>
  <c r="T754" i="1"/>
  <c r="T755" i="1"/>
  <c r="T756" i="1"/>
  <c r="T757" i="1"/>
  <c r="T758" i="1"/>
  <c r="T759" i="1"/>
  <c r="T760" i="1"/>
  <c r="T761" i="1"/>
  <c r="T762" i="1"/>
  <c r="T763" i="1"/>
  <c r="T764" i="1"/>
  <c r="T765" i="1"/>
  <c r="T766" i="1"/>
  <c r="T767" i="1"/>
  <c r="T768" i="1"/>
  <c r="T769" i="1"/>
  <c r="T770" i="1"/>
  <c r="T771" i="1"/>
  <c r="T772" i="1"/>
  <c r="T773" i="1"/>
  <c r="T774" i="1"/>
  <c r="T775" i="1"/>
  <c r="T776" i="1"/>
  <c r="T777" i="1"/>
  <c r="T778" i="1"/>
  <c r="T779" i="1"/>
  <c r="T780" i="1"/>
  <c r="T781" i="1"/>
  <c r="T783" i="1"/>
  <c r="T784" i="1"/>
  <c r="T785" i="1"/>
  <c r="T786" i="1"/>
  <c r="T787" i="1"/>
  <c r="T788" i="1"/>
  <c r="T789" i="1"/>
  <c r="T790" i="1"/>
  <c r="T791" i="1"/>
  <c r="T792" i="1"/>
  <c r="T793" i="1"/>
  <c r="T794" i="1"/>
  <c r="T795" i="1"/>
  <c r="T796" i="1"/>
  <c r="T797" i="1"/>
  <c r="T798" i="1"/>
  <c r="T800" i="1"/>
  <c r="T801" i="1"/>
  <c r="T802" i="1"/>
  <c r="T803" i="1"/>
  <c r="T804" i="1"/>
  <c r="T805" i="1"/>
  <c r="T806" i="1"/>
  <c r="T807" i="1"/>
  <c r="T808" i="1"/>
  <c r="T809" i="1"/>
  <c r="T810" i="1"/>
  <c r="T811" i="1"/>
  <c r="T812" i="1"/>
  <c r="T813" i="1"/>
  <c r="T814" i="1"/>
  <c r="T815" i="1"/>
  <c r="T816" i="1"/>
  <c r="T817" i="1"/>
  <c r="T818" i="1"/>
  <c r="T820" i="1"/>
  <c r="T821" i="1"/>
  <c r="T822" i="1"/>
  <c r="T823" i="1"/>
  <c r="T824" i="1"/>
  <c r="T825" i="1"/>
  <c r="T826" i="1"/>
  <c r="T827" i="1"/>
  <c r="T828" i="1"/>
  <c r="T829" i="1"/>
  <c r="T830" i="1"/>
  <c r="T831" i="1"/>
  <c r="T832" i="1"/>
  <c r="T833" i="1"/>
  <c r="T834" i="1"/>
  <c r="T835" i="1"/>
  <c r="T836" i="1"/>
  <c r="T838" i="1"/>
  <c r="T839" i="1"/>
  <c r="T840" i="1"/>
  <c r="T841" i="1"/>
  <c r="T842" i="1"/>
  <c r="T843" i="1"/>
  <c r="T844" i="1"/>
  <c r="T845" i="1"/>
  <c r="T846" i="1"/>
  <c r="T847" i="1"/>
  <c r="T848" i="1"/>
  <c r="T849" i="1"/>
  <c r="T850" i="1"/>
  <c r="T851" i="1"/>
  <c r="T852" i="1"/>
  <c r="T853" i="1"/>
  <c r="T854" i="1"/>
  <c r="T855" i="1"/>
  <c r="T856" i="1"/>
  <c r="T857" i="1"/>
  <c r="T858" i="1"/>
  <c r="T859" i="1"/>
  <c r="T861" i="1"/>
  <c r="T862" i="1"/>
  <c r="T863" i="1"/>
  <c r="T864" i="1"/>
  <c r="T865" i="1"/>
  <c r="T866" i="1"/>
  <c r="T868" i="1"/>
  <c r="T869" i="1"/>
  <c r="T870" i="1"/>
  <c r="T871" i="1"/>
  <c r="T872" i="1"/>
  <c r="T873" i="1"/>
  <c r="T874" i="1"/>
  <c r="T875" i="1"/>
  <c r="T876" i="1"/>
  <c r="T877" i="1"/>
  <c r="T878" i="1"/>
  <c r="T879" i="1"/>
  <c r="T880" i="1"/>
  <c r="T881" i="1"/>
  <c r="T882" i="1"/>
  <c r="T883" i="1"/>
  <c r="T884" i="1"/>
  <c r="T885" i="1"/>
  <c r="T886" i="1"/>
  <c r="T887" i="1"/>
  <c r="T888" i="1"/>
  <c r="T889" i="1"/>
  <c r="T890" i="1"/>
  <c r="T891" i="1"/>
  <c r="T892" i="1"/>
  <c r="T893" i="1"/>
  <c r="T894" i="1"/>
  <c r="T895" i="1"/>
  <c r="T896" i="1"/>
  <c r="T897" i="1"/>
  <c r="T898" i="1"/>
  <c r="T899" i="1"/>
  <c r="T900" i="1"/>
  <c r="T901" i="1"/>
  <c r="T902" i="1"/>
  <c r="T903" i="1"/>
  <c r="T904" i="1"/>
  <c r="T905" i="1"/>
  <c r="T906" i="1"/>
  <c r="T907" i="1"/>
  <c r="T908" i="1"/>
  <c r="T909" i="1"/>
  <c r="T910" i="1"/>
  <c r="T911" i="1"/>
  <c r="T912" i="1"/>
  <c r="T913" i="1"/>
  <c r="T914" i="1"/>
  <c r="T915" i="1"/>
  <c r="T916" i="1"/>
  <c r="T917" i="1"/>
  <c r="T918" i="1"/>
  <c r="T919" i="1"/>
  <c r="T920" i="1"/>
  <c r="T921" i="1"/>
  <c r="T922" i="1"/>
  <c r="T923" i="1"/>
  <c r="T924" i="1"/>
  <c r="T925" i="1"/>
  <c r="T926" i="1"/>
  <c r="T927" i="1"/>
  <c r="T928" i="1"/>
  <c r="T929" i="1"/>
  <c r="T930" i="1"/>
  <c r="T931" i="1"/>
  <c r="T932" i="1"/>
  <c r="T933" i="1"/>
  <c r="T934" i="1"/>
  <c r="T935" i="1"/>
  <c r="T936" i="1"/>
  <c r="T937" i="1"/>
  <c r="T938" i="1"/>
  <c r="T939" i="1"/>
  <c r="T940" i="1"/>
  <c r="T941" i="1"/>
  <c r="T942" i="1"/>
  <c r="T943" i="1"/>
  <c r="T944" i="1"/>
  <c r="T945" i="1"/>
  <c r="T946" i="1"/>
  <c r="T947" i="1"/>
  <c r="T948" i="1"/>
  <c r="T950" i="1"/>
  <c r="T951" i="1"/>
  <c r="T952" i="1"/>
  <c r="T953" i="1"/>
  <c r="T954" i="1"/>
  <c r="T955" i="1"/>
  <c r="T956" i="1"/>
  <c r="T957" i="1"/>
  <c r="T958" i="1"/>
  <c r="T959" i="1"/>
  <c r="T960" i="1"/>
  <c r="T961" i="1"/>
  <c r="T962" i="1"/>
  <c r="T963" i="1"/>
  <c r="T965" i="1"/>
  <c r="T966" i="1"/>
  <c r="T967" i="1"/>
  <c r="T968" i="1"/>
  <c r="T969" i="1"/>
  <c r="T970" i="1"/>
  <c r="T971" i="1"/>
  <c r="T972" i="1"/>
  <c r="T973" i="1"/>
  <c r="T974" i="1"/>
  <c r="T975" i="1"/>
  <c r="T976" i="1"/>
  <c r="T977" i="1"/>
  <c r="T978" i="1"/>
  <c r="T979" i="1"/>
  <c r="T980" i="1"/>
  <c r="T981" i="1"/>
  <c r="T982" i="1"/>
  <c r="T983" i="1"/>
  <c r="T984" i="1"/>
  <c r="T985" i="1"/>
  <c r="T986" i="1"/>
  <c r="T987" i="1"/>
  <c r="T988" i="1"/>
  <c r="T989" i="1"/>
  <c r="T990" i="1"/>
  <c r="T991" i="1"/>
  <c r="T992" i="1"/>
  <c r="T993" i="1"/>
  <c r="T994" i="1"/>
  <c r="T995" i="1"/>
  <c r="T996" i="1"/>
  <c r="T997" i="1"/>
  <c r="T998" i="1"/>
  <c r="T999" i="1"/>
  <c r="T1000" i="1"/>
  <c r="T1001" i="1"/>
  <c r="T1002" i="1"/>
  <c r="T1003" i="1"/>
  <c r="T1004" i="1"/>
  <c r="T1005" i="1"/>
  <c r="T1006" i="1"/>
  <c r="T1007" i="1"/>
  <c r="T1008" i="1"/>
  <c r="T1010" i="1"/>
  <c r="T1011" i="1"/>
  <c r="T1012" i="1"/>
  <c r="T1013" i="1"/>
  <c r="T1014" i="1"/>
  <c r="T1015" i="1"/>
  <c r="T1016" i="1"/>
  <c r="T1017" i="1"/>
  <c r="T1018" i="1"/>
  <c r="T1019" i="1"/>
  <c r="T1020" i="1"/>
  <c r="T1021" i="1"/>
  <c r="T1022" i="1"/>
  <c r="T1023" i="1"/>
  <c r="T1024" i="1"/>
  <c r="T1025" i="1"/>
  <c r="T1026" i="1"/>
  <c r="T1027" i="1"/>
  <c r="T1028" i="1"/>
  <c r="T1029" i="1"/>
  <c r="T1030" i="1"/>
  <c r="T1031" i="1"/>
  <c r="T1032" i="1"/>
  <c r="T1033" i="1"/>
  <c r="T1034" i="1"/>
  <c r="T1035" i="1"/>
  <c r="T1036" i="1"/>
  <c r="T1037" i="1"/>
  <c r="T1038" i="1"/>
  <c r="T1039" i="1"/>
  <c r="T1040" i="1"/>
  <c r="T1042" i="1"/>
  <c r="T1043" i="1"/>
  <c r="T1044" i="1"/>
  <c r="T1045" i="1"/>
  <c r="T1046" i="1"/>
  <c r="T1047" i="1"/>
  <c r="T1048" i="1"/>
  <c r="T1049" i="1"/>
  <c r="T1050" i="1"/>
  <c r="T1051" i="1"/>
  <c r="T1052" i="1"/>
  <c r="T1053" i="1"/>
  <c r="T1054" i="1"/>
  <c r="T1055" i="1"/>
  <c r="T1056" i="1"/>
  <c r="T1057" i="1"/>
  <c r="T1058" i="1"/>
  <c r="T1059" i="1"/>
  <c r="T1060" i="1"/>
  <c r="T1061" i="1"/>
  <c r="T1062" i="1"/>
  <c r="T1063" i="1"/>
  <c r="T1064" i="1"/>
  <c r="T1065" i="1"/>
  <c r="T1066" i="1"/>
  <c r="T1067" i="1"/>
  <c r="T1068" i="1"/>
  <c r="T1069" i="1"/>
  <c r="T1070" i="1"/>
  <c r="T1071" i="1"/>
  <c r="T1072" i="1"/>
  <c r="T1073" i="1"/>
  <c r="T1074" i="1"/>
  <c r="T1075" i="1"/>
  <c r="T1076" i="1"/>
  <c r="T1077" i="1"/>
  <c r="T1078" i="1"/>
  <c r="T1079" i="1"/>
  <c r="T1080" i="1"/>
  <c r="T1081" i="1"/>
  <c r="T1082" i="1"/>
  <c r="T1083" i="1"/>
  <c r="T1084" i="1"/>
  <c r="T1085" i="1"/>
  <c r="T1086" i="1"/>
  <c r="T1087" i="1"/>
  <c r="T1088" i="1"/>
  <c r="T1089" i="1"/>
  <c r="T1090" i="1"/>
  <c r="T1091" i="1"/>
  <c r="T1092" i="1"/>
  <c r="T1093" i="1"/>
  <c r="T1094" i="1"/>
  <c r="T1095" i="1"/>
  <c r="T1096" i="1"/>
  <c r="T1097" i="1"/>
  <c r="T1098" i="1"/>
  <c r="T1099" i="1"/>
  <c r="T1100" i="1"/>
  <c r="T1101" i="1"/>
  <c r="T1102" i="1"/>
  <c r="T1103" i="1"/>
  <c r="T1104" i="1"/>
  <c r="T1105" i="1"/>
  <c r="T1106" i="1"/>
  <c r="T1107" i="1"/>
  <c r="T1108" i="1"/>
  <c r="T1109" i="1"/>
  <c r="T1110" i="1"/>
  <c r="T1111" i="1"/>
  <c r="T1112" i="1"/>
  <c r="T1113" i="1"/>
  <c r="T1114" i="1"/>
  <c r="T1115" i="1"/>
  <c r="T1116" i="1"/>
  <c r="T1117" i="1"/>
  <c r="T1118" i="1"/>
  <c r="T1119" i="1"/>
  <c r="T1120" i="1"/>
  <c r="T1121" i="1"/>
  <c r="T1122" i="1"/>
  <c r="T1123" i="1"/>
  <c r="T1124" i="1"/>
  <c r="T1125" i="1"/>
  <c r="T1126" i="1"/>
  <c r="T1127" i="1"/>
  <c r="T1128" i="1"/>
  <c r="T1129" i="1"/>
  <c r="T1130" i="1"/>
  <c r="T1132" i="1"/>
  <c r="T1133" i="1"/>
  <c r="T1134" i="1"/>
  <c r="T1135" i="1"/>
  <c r="T1136" i="1"/>
  <c r="T1137" i="1"/>
  <c r="T1138" i="1"/>
  <c r="T1139" i="1"/>
  <c r="T1140" i="1"/>
  <c r="T1141" i="1"/>
  <c r="T1142" i="1"/>
  <c r="T1143" i="1"/>
  <c r="T1144" i="1"/>
  <c r="T1145" i="1"/>
  <c r="T1146" i="1"/>
  <c r="T1147" i="1"/>
  <c r="T1148" i="1"/>
  <c r="T1149" i="1"/>
  <c r="T1150" i="1"/>
  <c r="T1151" i="1"/>
  <c r="T1152" i="1"/>
  <c r="T1153" i="1"/>
  <c r="T1154" i="1"/>
  <c r="T1155" i="1"/>
  <c r="T1156" i="1"/>
  <c r="T1157" i="1"/>
  <c r="T1158" i="1"/>
  <c r="T1159" i="1"/>
  <c r="T1160" i="1"/>
  <c r="T1161" i="1"/>
  <c r="T1162" i="1"/>
  <c r="T1163" i="1"/>
  <c r="T1164" i="1"/>
  <c r="T1165" i="1"/>
  <c r="T1166" i="1"/>
  <c r="T1167" i="1"/>
  <c r="T1168" i="1"/>
  <c r="T1169" i="1"/>
  <c r="T1170" i="1"/>
  <c r="T1171" i="1"/>
  <c r="T1172" i="1"/>
  <c r="T1173" i="1"/>
  <c r="T1174" i="1"/>
  <c r="T1175" i="1"/>
  <c r="T1176" i="1"/>
  <c r="T1177" i="1"/>
  <c r="T1178" i="1"/>
  <c r="T1179" i="1"/>
  <c r="T1180" i="1"/>
  <c r="T1181" i="1"/>
  <c r="T1182" i="1"/>
  <c r="T1183" i="1"/>
  <c r="T1184" i="1"/>
  <c r="T1185" i="1"/>
  <c r="T1186" i="1"/>
  <c r="T1187" i="1"/>
  <c r="T1188" i="1"/>
  <c r="T1189" i="1"/>
  <c r="T1190" i="1"/>
  <c r="T1191" i="1"/>
  <c r="T1192" i="1"/>
  <c r="T1193" i="1"/>
  <c r="T1194" i="1"/>
  <c r="T1195" i="1"/>
  <c r="T1196" i="1"/>
  <c r="T1197" i="1"/>
  <c r="T1198" i="1"/>
  <c r="T1199" i="1"/>
  <c r="T1200" i="1"/>
  <c r="T1201" i="1"/>
  <c r="T1202" i="1"/>
  <c r="T1203" i="1"/>
  <c r="T1204" i="1"/>
  <c r="T1206" i="1"/>
  <c r="T1207" i="1"/>
  <c r="T1208" i="1"/>
  <c r="T1209" i="1"/>
  <c r="T1210" i="1"/>
  <c r="T1211" i="1"/>
  <c r="T1212" i="1"/>
  <c r="T1214" i="1"/>
  <c r="T1215" i="1"/>
  <c r="T1216" i="1"/>
  <c r="T1217" i="1"/>
  <c r="T1218" i="1"/>
  <c r="T1219" i="1"/>
  <c r="T1220" i="1"/>
  <c r="T1221" i="1"/>
  <c r="T1222" i="1"/>
  <c r="T1223" i="1"/>
  <c r="T1224" i="1"/>
  <c r="T1225" i="1"/>
  <c r="T1226" i="1"/>
  <c r="T1227" i="1"/>
  <c r="T1228" i="1"/>
  <c r="T1229" i="1"/>
  <c r="T1230" i="1"/>
  <c r="T1231" i="1"/>
  <c r="T1232" i="1"/>
  <c r="T1233" i="1"/>
  <c r="T1234" i="1"/>
  <c r="T1235" i="1"/>
  <c r="T1236" i="1"/>
  <c r="T1237" i="1"/>
  <c r="T1238" i="1"/>
  <c r="T1239" i="1"/>
  <c r="T1240" i="1"/>
  <c r="T1241" i="1"/>
  <c r="T1242" i="1"/>
  <c r="T1243" i="1"/>
  <c r="T1244" i="1"/>
  <c r="T1245" i="1"/>
  <c r="T1246" i="1"/>
  <c r="T1247" i="1"/>
  <c r="T1248" i="1"/>
  <c r="T1249" i="1"/>
  <c r="T1250" i="1"/>
  <c r="T1251" i="1"/>
  <c r="T1252" i="1"/>
  <c r="T1253" i="1"/>
  <c r="T1254" i="1"/>
  <c r="T1255" i="1"/>
  <c r="T1256" i="1"/>
  <c r="T1257" i="1"/>
  <c r="T1258" i="1"/>
  <c r="T1259" i="1"/>
  <c r="T1260" i="1"/>
  <c r="T1261" i="1"/>
  <c r="T1262" i="1"/>
  <c r="T1263" i="1"/>
  <c r="T1264" i="1"/>
  <c r="T1265" i="1"/>
  <c r="T1266" i="1"/>
  <c r="T1267" i="1"/>
  <c r="T1268" i="1"/>
  <c r="T1269" i="1"/>
  <c r="T1270" i="1"/>
  <c r="T1271" i="1"/>
  <c r="T1272" i="1"/>
  <c r="T1273" i="1"/>
  <c r="T1274" i="1"/>
  <c r="T1275" i="1"/>
  <c r="T1276" i="1"/>
  <c r="T1277" i="1"/>
  <c r="T1278" i="1"/>
  <c r="T1279" i="1"/>
  <c r="T1280" i="1"/>
  <c r="T1281" i="1"/>
  <c r="T1282" i="1"/>
  <c r="T1283" i="1"/>
  <c r="T1284" i="1"/>
  <c r="T1285" i="1"/>
  <c r="T1286" i="1"/>
  <c r="T1287" i="1"/>
  <c r="T1288" i="1"/>
  <c r="T1289" i="1"/>
  <c r="T1290" i="1"/>
  <c r="T1291" i="1"/>
  <c r="T1292" i="1"/>
  <c r="T1293" i="1"/>
  <c r="T1294" i="1"/>
  <c r="T1295" i="1"/>
  <c r="T1296" i="1"/>
  <c r="T1297" i="1"/>
  <c r="T1298" i="1"/>
  <c r="T1299" i="1"/>
  <c r="T1300" i="1"/>
  <c r="T1301" i="1"/>
  <c r="T1302" i="1"/>
  <c r="T1303" i="1"/>
  <c r="T1304" i="1"/>
  <c r="T1305" i="1"/>
  <c r="T1306" i="1"/>
  <c r="T1307" i="1"/>
  <c r="T1308" i="1"/>
  <c r="T1309" i="1"/>
  <c r="T1310" i="1"/>
  <c r="T1311" i="1"/>
  <c r="T1312" i="1"/>
  <c r="T1313" i="1"/>
  <c r="T1314" i="1"/>
  <c r="T1315" i="1"/>
  <c r="T1316" i="1"/>
  <c r="T1317" i="1"/>
  <c r="T1318" i="1"/>
  <c r="T1319" i="1"/>
  <c r="T1320" i="1"/>
  <c r="T1321" i="1"/>
  <c r="T1322" i="1"/>
  <c r="T1323" i="1"/>
  <c r="T1324" i="1"/>
  <c r="T1325" i="1"/>
  <c r="T1326" i="1"/>
  <c r="T1327" i="1"/>
  <c r="T1328" i="1"/>
  <c r="T1329" i="1"/>
  <c r="T1330" i="1"/>
  <c r="T1331" i="1"/>
  <c r="T1333" i="1"/>
  <c r="T1334" i="1"/>
  <c r="T1335" i="1"/>
  <c r="T1336" i="1"/>
  <c r="T1337" i="1"/>
  <c r="T1338" i="1"/>
  <c r="T1339" i="1"/>
  <c r="T1340" i="1"/>
  <c r="T1341" i="1"/>
  <c r="T1342" i="1"/>
  <c r="T1343" i="1"/>
  <c r="T1344" i="1"/>
  <c r="T1345" i="1"/>
  <c r="T1346" i="1"/>
  <c r="T1347" i="1"/>
  <c r="T1348" i="1"/>
  <c r="T1349" i="1"/>
  <c r="T1350" i="1"/>
  <c r="T1351" i="1"/>
  <c r="T1352" i="1"/>
  <c r="T1353" i="1"/>
  <c r="T1354" i="1"/>
  <c r="T1355" i="1"/>
  <c r="T1356" i="1"/>
  <c r="T1357" i="1"/>
  <c r="T1358" i="1"/>
  <c r="T1359" i="1"/>
  <c r="T1360" i="1"/>
  <c r="T1361" i="1"/>
  <c r="T1362" i="1"/>
  <c r="T1363" i="1"/>
  <c r="T1364" i="1"/>
  <c r="T1365" i="1"/>
  <c r="T1366" i="1"/>
  <c r="T1367" i="1"/>
  <c r="T1368" i="1"/>
  <c r="T1369" i="1"/>
  <c r="T1370" i="1"/>
  <c r="T1371" i="1"/>
  <c r="T1372" i="1"/>
  <c r="T1373" i="1"/>
  <c r="T1374" i="1"/>
  <c r="T1375" i="1"/>
  <c r="T1376" i="1"/>
  <c r="T1377" i="1"/>
  <c r="T1378" i="1"/>
  <c r="T1379" i="1"/>
  <c r="T1380" i="1"/>
  <c r="T1381" i="1"/>
  <c r="T1382" i="1"/>
  <c r="T1383" i="1"/>
  <c r="T1384" i="1"/>
  <c r="T1385" i="1"/>
  <c r="T1386" i="1"/>
  <c r="T1387" i="1"/>
  <c r="T1388" i="1"/>
  <c r="T1389" i="1"/>
  <c r="T1390" i="1"/>
  <c r="T1391" i="1"/>
  <c r="T1392" i="1"/>
  <c r="T1393" i="1"/>
  <c r="T1394" i="1"/>
  <c r="T1395" i="1"/>
  <c r="T1396" i="1"/>
  <c r="T1397" i="1"/>
  <c r="T1398" i="1"/>
  <c r="T1399" i="1"/>
  <c r="T1400" i="1"/>
  <c r="T1401" i="1"/>
  <c r="T1402" i="1"/>
  <c r="T1404" i="1"/>
  <c r="T1405" i="1"/>
  <c r="T1406" i="1"/>
  <c r="T1407" i="1"/>
  <c r="T1408" i="1"/>
  <c r="T1409" i="1"/>
  <c r="T1410" i="1"/>
  <c r="T1411" i="1"/>
  <c r="T1412" i="1"/>
  <c r="T1413" i="1"/>
  <c r="T1414" i="1"/>
  <c r="T1415" i="1"/>
  <c r="T1417" i="1"/>
  <c r="T1418" i="1"/>
  <c r="T1419" i="1"/>
  <c r="T1420" i="1"/>
  <c r="T1421" i="1"/>
  <c r="T1422" i="1"/>
  <c r="T1423" i="1"/>
  <c r="T1424" i="1"/>
  <c r="T1425" i="1"/>
  <c r="T1426" i="1"/>
  <c r="T1427" i="1"/>
  <c r="T1428" i="1"/>
  <c r="T1429" i="1"/>
  <c r="T1430" i="1"/>
  <c r="T1431" i="1"/>
  <c r="T1432" i="1"/>
  <c r="T1433" i="1"/>
  <c r="T1434" i="1"/>
  <c r="T1435" i="1"/>
  <c r="T1436" i="1"/>
  <c r="T1438" i="1"/>
  <c r="T1439" i="1"/>
  <c r="T1440" i="1"/>
  <c r="T1441" i="1"/>
  <c r="T1442" i="1"/>
  <c r="T1443" i="1"/>
  <c r="T1444" i="1"/>
  <c r="T1445" i="1"/>
  <c r="T1446" i="1"/>
  <c r="T1447" i="1"/>
  <c r="T1448" i="1"/>
  <c r="T1449" i="1"/>
  <c r="T1450" i="1"/>
  <c r="T1451" i="1"/>
  <c r="T1452" i="1"/>
  <c r="T1453" i="1"/>
  <c r="T1454" i="1"/>
  <c r="T1455" i="1"/>
  <c r="T1456" i="1"/>
  <c r="T1457" i="1"/>
  <c r="T1458" i="1"/>
  <c r="T1459" i="1"/>
  <c r="T1460" i="1"/>
  <c r="T1461" i="1"/>
  <c r="T1462" i="1"/>
  <c r="T1463" i="1"/>
  <c r="T1464" i="1"/>
  <c r="T1465" i="1"/>
  <c r="T1466" i="1"/>
  <c r="T1467" i="1"/>
  <c r="T1468" i="1"/>
  <c r="T1469" i="1"/>
  <c r="T1470" i="1"/>
  <c r="T1471" i="1"/>
  <c r="T1472" i="1"/>
  <c r="T1473" i="1"/>
  <c r="T1474" i="1"/>
  <c r="T1475" i="1"/>
  <c r="T1476" i="1"/>
  <c r="T1477" i="1"/>
  <c r="T1478" i="1"/>
  <c r="T1479" i="1"/>
  <c r="T1480" i="1"/>
  <c r="T1481" i="1"/>
  <c r="T1482" i="1"/>
  <c r="T1483" i="1"/>
  <c r="T1484" i="1"/>
  <c r="T1485" i="1"/>
  <c r="T1487" i="1"/>
  <c r="T1488" i="1"/>
  <c r="T1489" i="1"/>
  <c r="T1490" i="1"/>
  <c r="T1491" i="1"/>
  <c r="T1492" i="1"/>
  <c r="T1493" i="1"/>
  <c r="T1494" i="1"/>
  <c r="T1495" i="1"/>
  <c r="T1496" i="1"/>
  <c r="T1497" i="1"/>
  <c r="T1498" i="1"/>
  <c r="T1499" i="1"/>
  <c r="T1500" i="1"/>
  <c r="T1501" i="1"/>
  <c r="T1502" i="1"/>
  <c r="T1504" i="1"/>
  <c r="T1505" i="1"/>
  <c r="T1506" i="1"/>
  <c r="T1507" i="1"/>
  <c r="T1508" i="1"/>
  <c r="T1509" i="1"/>
  <c r="T1510" i="1"/>
  <c r="T1511" i="1"/>
  <c r="T1512" i="1"/>
  <c r="T1513" i="1"/>
  <c r="T1514" i="1"/>
  <c r="T1515" i="1"/>
  <c r="T1516" i="1"/>
  <c r="T1517" i="1"/>
  <c r="T1518" i="1"/>
  <c r="T1519" i="1"/>
  <c r="T1520" i="1"/>
  <c r="T1521" i="1"/>
  <c r="T1522" i="1"/>
  <c r="T1523" i="1"/>
  <c r="T1524" i="1"/>
  <c r="T1525" i="1"/>
  <c r="T1526" i="1"/>
  <c r="T1527" i="1"/>
  <c r="T1528" i="1"/>
  <c r="T1529" i="1"/>
  <c r="T1530" i="1"/>
  <c r="T1531" i="1"/>
  <c r="T1532" i="1"/>
  <c r="T1533" i="1"/>
  <c r="T1534" i="1"/>
  <c r="T1535" i="1"/>
  <c r="T1536" i="1"/>
  <c r="T1537" i="1"/>
  <c r="T1538" i="1"/>
  <c r="T1539" i="1"/>
  <c r="T1540" i="1"/>
  <c r="T1541" i="1"/>
  <c r="T1542" i="1"/>
  <c r="T1543" i="1"/>
  <c r="T1544" i="1"/>
  <c r="T1545" i="1"/>
  <c r="T1547" i="1"/>
  <c r="T1548" i="1"/>
  <c r="T1549" i="1"/>
  <c r="T1550" i="1"/>
  <c r="T1551" i="1"/>
  <c r="T1552" i="1"/>
  <c r="T1553" i="1"/>
  <c r="T1554" i="1"/>
  <c r="T1555" i="1"/>
  <c r="T1556" i="1"/>
  <c r="T1557" i="1"/>
  <c r="T1558" i="1"/>
  <c r="T1559" i="1"/>
  <c r="T1560" i="1"/>
  <c r="T1561" i="1"/>
  <c r="T1562" i="1"/>
  <c r="T1563" i="1"/>
  <c r="T1564" i="1"/>
  <c r="T1565" i="1"/>
  <c r="T1566" i="1"/>
  <c r="T1567" i="1"/>
  <c r="T1568" i="1"/>
  <c r="T1569" i="1"/>
  <c r="T1570" i="1"/>
  <c r="T1571" i="1"/>
  <c r="T1572" i="1"/>
  <c r="T1573" i="1"/>
  <c r="T1574" i="1"/>
  <c r="T1575" i="1"/>
  <c r="T1576" i="1"/>
  <c r="T1577" i="1"/>
  <c r="T1578" i="1"/>
  <c r="T1579" i="1"/>
  <c r="T1580" i="1"/>
  <c r="T1581" i="1"/>
  <c r="T1583" i="1"/>
  <c r="T1584" i="1"/>
  <c r="T1585" i="1"/>
  <c r="T1586" i="1"/>
  <c r="T1587" i="1"/>
  <c r="T1588" i="1"/>
  <c r="T1589" i="1"/>
  <c r="T1590" i="1"/>
  <c r="T1591" i="1"/>
  <c r="T1592" i="1"/>
  <c r="T1593" i="1"/>
  <c r="T1594" i="1"/>
  <c r="T1595" i="1"/>
  <c r="T1596" i="1"/>
  <c r="T1597" i="1"/>
  <c r="T1598" i="1"/>
  <c r="T1599" i="1"/>
  <c r="T1600" i="1"/>
  <c r="T1601" i="1"/>
  <c r="T1602" i="1"/>
  <c r="T1603" i="1"/>
  <c r="T1605" i="1"/>
  <c r="T1606" i="1"/>
  <c r="T1607" i="1"/>
  <c r="T1608" i="1"/>
  <c r="T1609" i="1"/>
  <c r="T1610" i="1"/>
  <c r="T1611" i="1"/>
  <c r="T1612" i="1"/>
  <c r="T1613" i="1"/>
  <c r="T1614" i="1"/>
  <c r="T1615" i="1"/>
  <c r="T1616" i="1"/>
  <c r="T1617" i="1"/>
  <c r="T1618" i="1"/>
  <c r="T1619" i="1"/>
  <c r="T1620" i="1"/>
  <c r="T1621" i="1"/>
  <c r="T1622" i="1"/>
  <c r="T1623" i="1"/>
  <c r="T1624" i="1"/>
  <c r="T1625" i="1"/>
  <c r="T1626" i="1"/>
  <c r="T1627" i="1"/>
  <c r="T1628" i="1"/>
  <c r="T1629" i="1"/>
  <c r="T1630" i="1"/>
  <c r="T1631" i="1"/>
  <c r="T1632" i="1"/>
  <c r="T1633" i="1"/>
  <c r="T1634" i="1"/>
  <c r="T1635" i="1"/>
  <c r="T1636" i="1"/>
  <c r="T1637" i="1"/>
  <c r="T1638" i="1"/>
  <c r="T1639" i="1"/>
  <c r="T1640" i="1"/>
  <c r="T1641" i="1"/>
  <c r="T1642" i="1"/>
  <c r="T1643" i="1"/>
  <c r="T1644" i="1"/>
  <c r="T1645" i="1"/>
  <c r="T1646" i="1"/>
  <c r="T1647" i="1"/>
  <c r="T1648" i="1"/>
  <c r="T1649" i="1"/>
  <c r="T1650" i="1"/>
  <c r="T1651" i="1"/>
  <c r="T1652" i="1"/>
  <c r="T1653" i="1"/>
  <c r="T1654" i="1"/>
  <c r="T1655" i="1"/>
  <c r="T1656" i="1"/>
  <c r="T1657" i="1"/>
  <c r="T1658" i="1"/>
  <c r="T1659" i="1"/>
  <c r="T1660" i="1"/>
  <c r="T1661" i="1"/>
  <c r="T1662" i="1"/>
  <c r="T1663" i="1"/>
  <c r="T1664" i="1"/>
  <c r="T1665" i="1"/>
  <c r="T1666" i="1"/>
  <c r="T1667" i="1"/>
  <c r="T1668" i="1"/>
  <c r="T1669" i="1"/>
  <c r="T1670" i="1"/>
  <c r="T1671" i="1"/>
  <c r="T1672" i="1"/>
  <c r="T1673" i="1"/>
  <c r="T1674" i="1"/>
  <c r="T1675" i="1"/>
  <c r="T1676" i="1"/>
  <c r="T1677" i="1"/>
  <c r="T1678" i="1"/>
  <c r="T1679" i="1"/>
  <c r="T1680" i="1"/>
  <c r="T1681" i="1"/>
  <c r="T1683" i="1"/>
  <c r="T1684" i="1"/>
  <c r="T1685" i="1"/>
  <c r="T1686" i="1"/>
  <c r="T1687" i="1"/>
  <c r="T1689" i="1"/>
  <c r="T1690" i="1"/>
  <c r="T1691" i="1"/>
  <c r="T1692" i="1"/>
  <c r="T1693" i="1"/>
  <c r="T1694" i="1"/>
  <c r="T1695" i="1"/>
  <c r="T1696" i="1"/>
  <c r="T1697" i="1"/>
  <c r="T1698" i="1"/>
  <c r="T1699" i="1"/>
  <c r="T1700" i="1"/>
  <c r="T1701" i="1"/>
  <c r="T1702" i="1"/>
  <c r="T1703" i="1"/>
  <c r="T1704" i="1"/>
  <c r="T1706" i="1"/>
  <c r="T1707" i="1"/>
  <c r="T1708" i="1"/>
  <c r="T1709" i="1"/>
  <c r="T1710" i="1"/>
  <c r="T1711" i="1"/>
  <c r="T1712" i="1"/>
  <c r="T1713" i="1"/>
  <c r="T1714" i="1"/>
  <c r="T1715" i="1"/>
  <c r="T1716" i="1"/>
  <c r="T1717" i="1"/>
  <c r="T1718" i="1"/>
  <c r="T1719" i="1"/>
  <c r="T1720" i="1"/>
  <c r="T1721" i="1"/>
  <c r="T1722" i="1"/>
  <c r="T1723" i="1"/>
  <c r="T1724" i="1"/>
  <c r="T1725" i="1"/>
  <c r="T1726" i="1"/>
  <c r="T1727" i="1"/>
  <c r="T1728" i="1"/>
  <c r="T1729" i="1"/>
  <c r="T1730" i="1"/>
  <c r="T1731" i="1"/>
  <c r="T1732" i="1"/>
  <c r="T1733" i="1"/>
  <c r="T1734" i="1"/>
  <c r="T1735" i="1"/>
  <c r="T1736" i="1"/>
  <c r="T1737" i="1"/>
  <c r="T1739" i="1"/>
  <c r="T1740" i="1"/>
  <c r="T1741" i="1"/>
  <c r="T1742" i="1"/>
  <c r="T1743" i="1"/>
  <c r="T1744" i="1"/>
  <c r="T1745" i="1"/>
  <c r="T1746" i="1"/>
  <c r="T1747" i="1"/>
  <c r="T1748" i="1"/>
  <c r="T1749" i="1"/>
  <c r="T1750" i="1"/>
  <c r="T1751" i="1"/>
  <c r="T1753" i="1"/>
  <c r="T1754" i="1"/>
  <c r="T1755" i="1"/>
  <c r="T1756" i="1"/>
  <c r="T1757" i="1"/>
  <c r="T1758" i="1"/>
  <c r="T1759" i="1"/>
  <c r="T1760" i="1"/>
  <c r="T1761" i="1"/>
  <c r="T1762" i="1"/>
  <c r="T1763" i="1"/>
  <c r="T1764" i="1"/>
  <c r="T1765" i="1"/>
  <c r="T1766" i="1"/>
  <c r="T1767" i="1"/>
  <c r="T1768" i="1"/>
  <c r="T1769" i="1"/>
  <c r="T1770" i="1"/>
  <c r="T1771" i="1"/>
  <c r="T1772" i="1"/>
  <c r="T1773" i="1"/>
  <c r="T1774" i="1"/>
  <c r="T1775" i="1"/>
  <c r="T1776" i="1"/>
  <c r="T1777" i="1"/>
  <c r="T1778" i="1"/>
  <c r="T1779" i="1"/>
  <c r="T1780" i="1"/>
  <c r="T1781" i="1"/>
  <c r="T1782" i="1"/>
  <c r="T1783" i="1"/>
  <c r="T1784" i="1"/>
  <c r="T1785" i="1"/>
  <c r="T1786" i="1"/>
  <c r="T1787" i="1"/>
  <c r="T1788" i="1"/>
  <c r="T1789" i="1"/>
  <c r="T1790" i="1"/>
  <c r="T1791" i="1"/>
  <c r="T1792" i="1"/>
  <c r="T1794" i="1"/>
  <c r="T1795" i="1"/>
  <c r="T1796" i="1"/>
  <c r="T1797" i="1"/>
  <c r="T1798" i="1"/>
  <c r="T1799" i="1"/>
  <c r="T1800" i="1"/>
  <c r="T1801" i="1"/>
  <c r="T1802" i="1"/>
  <c r="T1803" i="1"/>
  <c r="T1804" i="1"/>
  <c r="T1805" i="1"/>
  <c r="T1806" i="1"/>
  <c r="T1807" i="1"/>
  <c r="T1808" i="1"/>
  <c r="T1809" i="1"/>
  <c r="T1810" i="1"/>
  <c r="T1811" i="1"/>
  <c r="T1812" i="1"/>
  <c r="T1813" i="1"/>
  <c r="T1814" i="1"/>
  <c r="T1815" i="1"/>
  <c r="T1816" i="1"/>
  <c r="T1817" i="1"/>
  <c r="T1818" i="1"/>
  <c r="T1819" i="1"/>
  <c r="T1820" i="1"/>
  <c r="T1821" i="1"/>
  <c r="T1822" i="1"/>
  <c r="T1823" i="1"/>
  <c r="T1824" i="1"/>
  <c r="T1825" i="1"/>
  <c r="T1826" i="1"/>
  <c r="T1827" i="1"/>
  <c r="T1828" i="1"/>
  <c r="T1829" i="1"/>
  <c r="T1830" i="1"/>
  <c r="T1831" i="1"/>
  <c r="T1832" i="1"/>
  <c r="T1833" i="1"/>
  <c r="T1834" i="1"/>
  <c r="T1835" i="1"/>
  <c r="T1836" i="1"/>
  <c r="T1837" i="1"/>
  <c r="T1838" i="1"/>
  <c r="T1839" i="1"/>
  <c r="T1840" i="1"/>
  <c r="T1841" i="1"/>
  <c r="T1842" i="1"/>
  <c r="T1843" i="1"/>
  <c r="T1844" i="1"/>
  <c r="T1845" i="1"/>
  <c r="T1846" i="1"/>
  <c r="T1847" i="1"/>
  <c r="T1848" i="1"/>
  <c r="T1849" i="1"/>
  <c r="T1850" i="1"/>
  <c r="T1852" i="1"/>
  <c r="T1853" i="1"/>
  <c r="T1854" i="1"/>
  <c r="T1855" i="1"/>
  <c r="T1856" i="1"/>
  <c r="T1857" i="1"/>
  <c r="T1858" i="1"/>
  <c r="T1859" i="1"/>
  <c r="T1860" i="1"/>
  <c r="T1861" i="1"/>
  <c r="T1862" i="1"/>
  <c r="T1864" i="1"/>
  <c r="T1865" i="1"/>
  <c r="T1866" i="1"/>
  <c r="T1867" i="1"/>
  <c r="T1868" i="1"/>
  <c r="T1869" i="1"/>
  <c r="T1870" i="1"/>
  <c r="T1871" i="1"/>
  <c r="T1872" i="1"/>
  <c r="T1873" i="1"/>
  <c r="T1874" i="1"/>
  <c r="T1875" i="1"/>
  <c r="T1876" i="1"/>
  <c r="T1877" i="1"/>
  <c r="T1878" i="1"/>
  <c r="T1879" i="1"/>
  <c r="T1880" i="1"/>
  <c r="T1881" i="1"/>
  <c r="T1882" i="1"/>
  <c r="T1883" i="1"/>
  <c r="T1884" i="1"/>
  <c r="T1885" i="1"/>
  <c r="T1886" i="1"/>
  <c r="T1887" i="1"/>
  <c r="T1888" i="1"/>
  <c r="T1890" i="1"/>
  <c r="T1891" i="1"/>
  <c r="T1892" i="1"/>
  <c r="T1893" i="1"/>
  <c r="T1895" i="1"/>
  <c r="T1896" i="1"/>
  <c r="T1897" i="1"/>
  <c r="T1898" i="1"/>
  <c r="T1899" i="1"/>
  <c r="T1900" i="1"/>
  <c r="T1901" i="1"/>
  <c r="T1902" i="1"/>
  <c r="T1903" i="1"/>
  <c r="T1904" i="1"/>
  <c r="T1905" i="1"/>
  <c r="T1906" i="1"/>
  <c r="T1907" i="1"/>
  <c r="T1908" i="1"/>
  <c r="T1909" i="1"/>
  <c r="T1910" i="1"/>
  <c r="T1911" i="1"/>
  <c r="T1912" i="1"/>
  <c r="T1913" i="1"/>
  <c r="T1914" i="1"/>
  <c r="T1915" i="1"/>
  <c r="T1916" i="1"/>
  <c r="T1917" i="1"/>
  <c r="T1919" i="1"/>
  <c r="T1920" i="1"/>
  <c r="T1921" i="1"/>
  <c r="T1922" i="1"/>
  <c r="T1923" i="1"/>
  <c r="T1924" i="1"/>
  <c r="T1925" i="1"/>
  <c r="T1926" i="1"/>
  <c r="T1927" i="1"/>
  <c r="T1928" i="1"/>
  <c r="T1929" i="1"/>
  <c r="T1930" i="1"/>
  <c r="T1931" i="1"/>
  <c r="T1932" i="1"/>
  <c r="T1933" i="1"/>
  <c r="T1934" i="1"/>
  <c r="T1935" i="1"/>
  <c r="T1936" i="1"/>
  <c r="T1937" i="1"/>
  <c r="T1938" i="1"/>
  <c r="T1939" i="1"/>
  <c r="T1940" i="1"/>
  <c r="T1941" i="1"/>
  <c r="T1942" i="1"/>
  <c r="T1943" i="1"/>
  <c r="T1944" i="1"/>
  <c r="T1945" i="1"/>
  <c r="T1946" i="1"/>
  <c r="T1947" i="1"/>
  <c r="T1948" i="1"/>
  <c r="T1949" i="1"/>
  <c r="T1950" i="1"/>
  <c r="T1951" i="1"/>
  <c r="T1952" i="1"/>
  <c r="T1953" i="1"/>
  <c r="T1954" i="1"/>
  <c r="T1955" i="1"/>
  <c r="T1956" i="1"/>
  <c r="T1957" i="1"/>
  <c r="T1958" i="1"/>
  <c r="T1959" i="1"/>
  <c r="T1960" i="1"/>
  <c r="T1961" i="1"/>
  <c r="T1962" i="1"/>
  <c r="T1963" i="1"/>
  <c r="T1964" i="1"/>
  <c r="T1965" i="1"/>
  <c r="T1966" i="1"/>
  <c r="T1967" i="1"/>
  <c r="T1968" i="1"/>
  <c r="T1969" i="1"/>
  <c r="T1970" i="1"/>
  <c r="T1971" i="1"/>
  <c r="T1972" i="1"/>
  <c r="T1973" i="1"/>
  <c r="T1974" i="1"/>
  <c r="T1975" i="1"/>
  <c r="T1976" i="1"/>
  <c r="T1977" i="1"/>
  <c r="T1978" i="1"/>
  <c r="T1979" i="1"/>
  <c r="T1980" i="1"/>
  <c r="T1981" i="1"/>
  <c r="T1982" i="1"/>
  <c r="T1983" i="1"/>
  <c r="T1984" i="1"/>
  <c r="T1985" i="1"/>
  <c r="T1986" i="1"/>
  <c r="T1987" i="1"/>
  <c r="T1988" i="1"/>
  <c r="T1989" i="1"/>
  <c r="T1990" i="1"/>
  <c r="T1991" i="1"/>
  <c r="T1992" i="1"/>
  <c r="T1993" i="1"/>
  <c r="T1994" i="1"/>
  <c r="T1995" i="1"/>
  <c r="T1996" i="1"/>
  <c r="T1997" i="1"/>
  <c r="T1998" i="1"/>
  <c r="T1999" i="1"/>
  <c r="T2000" i="1"/>
  <c r="T2001" i="1"/>
  <c r="Q43" i="1"/>
  <c r="R43" i="1" s="1"/>
  <c r="Q84" i="1"/>
  <c r="R84" i="1" s="1"/>
  <c r="Q372" i="1"/>
  <c r="R372" i="1" s="1"/>
  <c r="Q464" i="1"/>
  <c r="R464" i="1" s="1"/>
  <c r="Q473" i="1"/>
  <c r="R473" i="1" s="1"/>
  <c r="Q633" i="1"/>
  <c r="R633" i="1" s="1"/>
  <c r="Q837" i="1"/>
  <c r="R837" i="1" s="1"/>
  <c r="Q1009" i="1"/>
  <c r="R1009" i="1" s="1"/>
  <c r="Q1486" i="1"/>
  <c r="R1486" i="1" s="1"/>
  <c r="Q1688" i="1"/>
  <c r="R1688" i="1" s="1"/>
  <c r="Q1863" i="1"/>
  <c r="R1863" i="1" s="1"/>
  <c r="Q1889" i="1"/>
  <c r="R1889" i="1" s="1"/>
  <c r="Q28" i="1"/>
  <c r="R28" i="1" s="1"/>
  <c r="Q261" i="1"/>
  <c r="R261" i="1" s="1"/>
  <c r="Q263" i="1"/>
  <c r="R263" i="1" s="1"/>
  <c r="Q306" i="1"/>
  <c r="R306" i="1" s="1"/>
  <c r="Q653" i="1"/>
  <c r="R653" i="1" s="1"/>
  <c r="Q720" i="1"/>
  <c r="R720" i="1" s="1"/>
  <c r="Q799" i="1"/>
  <c r="R799" i="1" s="1"/>
  <c r="Q860" i="1"/>
  <c r="R860" i="1" s="1"/>
  <c r="Q867" i="1"/>
  <c r="R867" i="1" s="1"/>
  <c r="Q949" i="1"/>
  <c r="R949" i="1" s="1"/>
  <c r="Q1041" i="1"/>
  <c r="R1041" i="1" s="1"/>
  <c r="Q1131" i="1"/>
  <c r="R1131" i="1" s="1"/>
  <c r="Q1213" i="1"/>
  <c r="R1213" i="1" s="1"/>
  <c r="Q1403" i="1"/>
  <c r="R1403" i="1" s="1"/>
  <c r="Q1416" i="1"/>
  <c r="R1416" i="1" s="1"/>
  <c r="Q1437" i="1"/>
  <c r="R1437" i="1" s="1"/>
  <c r="Q1546" i="1"/>
  <c r="R1546" i="1" s="1"/>
  <c r="Q1582" i="1"/>
  <c r="R1582" i="1" s="1"/>
  <c r="Q1738" i="1"/>
  <c r="R1738" i="1" s="1"/>
  <c r="Q1752" i="1"/>
  <c r="R1752" i="1" s="1"/>
  <c r="Q1793" i="1"/>
  <c r="R1793" i="1" s="1"/>
  <c r="Q1851" i="1"/>
  <c r="R1851" i="1" s="1"/>
  <c r="Q1894" i="1"/>
  <c r="R1894" i="1" s="1"/>
  <c r="Q1918" i="1"/>
  <c r="R1918" i="1" s="1"/>
  <c r="Q1205" i="1"/>
  <c r="R1205" i="1" s="1"/>
  <c r="Q782" i="1"/>
  <c r="R782" i="1" s="1"/>
  <c r="Q819" i="1"/>
  <c r="R819" i="1" s="1"/>
  <c r="Q1705" i="1"/>
  <c r="R1705" i="1" s="1"/>
  <c r="Q1682" i="1"/>
  <c r="R1682" i="1" s="1"/>
  <c r="Q1503" i="1"/>
  <c r="R1503" i="1" s="1"/>
  <c r="Q1604" i="1"/>
  <c r="R1604" i="1" s="1"/>
  <c r="Q4" i="1"/>
  <c r="R4" i="1" s="1"/>
  <c r="Q1332" i="1"/>
  <c r="R1332" i="1" s="1"/>
  <c r="Q964" i="1"/>
  <c r="R964" i="1" s="1"/>
  <c r="Q2" i="1"/>
  <c r="R2" i="1" s="1"/>
  <c r="Q3" i="1"/>
  <c r="R3" i="1" s="1"/>
  <c r="Q5" i="1"/>
  <c r="R5" i="1" s="1"/>
  <c r="Q6" i="1"/>
  <c r="R6" i="1" s="1"/>
  <c r="Q7" i="1"/>
  <c r="R7" i="1" s="1"/>
  <c r="Q8" i="1"/>
  <c r="R8" i="1" s="1"/>
  <c r="Q9" i="1"/>
  <c r="R9" i="1" s="1"/>
  <c r="Q10" i="1"/>
  <c r="R10" i="1" s="1"/>
  <c r="Q11" i="1"/>
  <c r="R11" i="1" s="1"/>
  <c r="Q12" i="1"/>
  <c r="R12" i="1" s="1"/>
  <c r="Q13" i="1"/>
  <c r="R13" i="1" s="1"/>
  <c r="Q14" i="1"/>
  <c r="R14" i="1" s="1"/>
  <c r="Q15" i="1"/>
  <c r="R15" i="1" s="1"/>
  <c r="Q16" i="1"/>
  <c r="R16" i="1" s="1"/>
  <c r="Q17" i="1"/>
  <c r="R17" i="1" s="1"/>
  <c r="Q18" i="1"/>
  <c r="R18" i="1" s="1"/>
  <c r="Q19" i="1"/>
  <c r="R19" i="1" s="1"/>
  <c r="Q20" i="1"/>
  <c r="R20" i="1" s="1"/>
  <c r="Q21" i="1"/>
  <c r="R21" i="1" s="1"/>
  <c r="Q22" i="1"/>
  <c r="R22" i="1" s="1"/>
  <c r="Q23" i="1"/>
  <c r="R23" i="1" s="1"/>
  <c r="Q24" i="1"/>
  <c r="R24" i="1" s="1"/>
  <c r="Q25" i="1"/>
  <c r="R25" i="1" s="1"/>
  <c r="Q26" i="1"/>
  <c r="R26" i="1" s="1"/>
  <c r="Q27" i="1"/>
  <c r="R27" i="1" s="1"/>
  <c r="Q29" i="1"/>
  <c r="R29" i="1" s="1"/>
  <c r="Q30" i="1"/>
  <c r="R30" i="1" s="1"/>
  <c r="Q31" i="1"/>
  <c r="R31" i="1" s="1"/>
  <c r="Q32" i="1"/>
  <c r="R32" i="1" s="1"/>
  <c r="Q33" i="1"/>
  <c r="R33" i="1" s="1"/>
  <c r="Q34" i="1"/>
  <c r="R34" i="1" s="1"/>
  <c r="Q35" i="1"/>
  <c r="R35" i="1" s="1"/>
  <c r="Q36" i="1"/>
  <c r="R36" i="1" s="1"/>
  <c r="Q37" i="1"/>
  <c r="R37" i="1" s="1"/>
  <c r="Q38" i="1"/>
  <c r="R38" i="1" s="1"/>
  <c r="Q39" i="1"/>
  <c r="R39" i="1" s="1"/>
  <c r="Q40" i="1"/>
  <c r="R40" i="1" s="1"/>
  <c r="Q41" i="1"/>
  <c r="R41" i="1" s="1"/>
  <c r="Q42" i="1"/>
  <c r="R42" i="1" s="1"/>
  <c r="Q44" i="1"/>
  <c r="R44" i="1" s="1"/>
  <c r="Q45" i="1"/>
  <c r="R45" i="1" s="1"/>
  <c r="Q46" i="1"/>
  <c r="R46" i="1" s="1"/>
  <c r="Q47" i="1"/>
  <c r="R47" i="1" s="1"/>
  <c r="Q48" i="1"/>
  <c r="R48" i="1" s="1"/>
  <c r="Q49" i="1"/>
  <c r="R49" i="1" s="1"/>
  <c r="Q50" i="1"/>
  <c r="R50" i="1" s="1"/>
  <c r="Q51" i="1"/>
  <c r="R51" i="1" s="1"/>
  <c r="Q52" i="1"/>
  <c r="R52" i="1" s="1"/>
  <c r="Q53" i="1"/>
  <c r="R53" i="1" s="1"/>
  <c r="Q54" i="1"/>
  <c r="R54" i="1" s="1"/>
  <c r="Q55" i="1"/>
  <c r="R55" i="1" s="1"/>
  <c r="Q56" i="1"/>
  <c r="R56" i="1" s="1"/>
  <c r="Q57" i="1"/>
  <c r="R57" i="1" s="1"/>
  <c r="Q58" i="1"/>
  <c r="R58" i="1" s="1"/>
  <c r="Q59" i="1"/>
  <c r="R59" i="1" s="1"/>
  <c r="Q60" i="1"/>
  <c r="R60" i="1" s="1"/>
  <c r="Q61" i="1"/>
  <c r="R61" i="1" s="1"/>
  <c r="Q62" i="1"/>
  <c r="R62" i="1" s="1"/>
  <c r="Q63" i="1"/>
  <c r="R63" i="1" s="1"/>
  <c r="Q64" i="1"/>
  <c r="R64" i="1" s="1"/>
  <c r="Q65" i="1"/>
  <c r="R65" i="1" s="1"/>
  <c r="Q66" i="1"/>
  <c r="R66" i="1" s="1"/>
  <c r="Q67" i="1"/>
  <c r="R67" i="1" s="1"/>
  <c r="Q68" i="1"/>
  <c r="R68" i="1" s="1"/>
  <c r="Q69" i="1"/>
  <c r="R69" i="1" s="1"/>
  <c r="Q70" i="1"/>
  <c r="R70" i="1" s="1"/>
  <c r="Q71" i="1"/>
  <c r="R71" i="1" s="1"/>
  <c r="Q72" i="1"/>
  <c r="R72" i="1" s="1"/>
  <c r="Q73" i="1"/>
  <c r="R73" i="1" s="1"/>
  <c r="Q74" i="1"/>
  <c r="R74" i="1" s="1"/>
  <c r="Q75" i="1"/>
  <c r="R75" i="1" s="1"/>
  <c r="Q76" i="1"/>
  <c r="R76" i="1" s="1"/>
  <c r="Q77" i="1"/>
  <c r="R77" i="1" s="1"/>
  <c r="Q78" i="1"/>
  <c r="R78" i="1" s="1"/>
  <c r="Q79" i="1"/>
  <c r="R79" i="1" s="1"/>
  <c r="Q80" i="1"/>
  <c r="R80" i="1" s="1"/>
  <c r="Q81" i="1"/>
  <c r="R81" i="1" s="1"/>
  <c r="Q82" i="1"/>
  <c r="R82" i="1" s="1"/>
  <c r="Q83" i="1"/>
  <c r="R83" i="1" s="1"/>
  <c r="Q85" i="1"/>
  <c r="R85" i="1" s="1"/>
  <c r="Q86" i="1"/>
  <c r="R86" i="1" s="1"/>
  <c r="Q87" i="1"/>
  <c r="R87" i="1" s="1"/>
  <c r="Q88" i="1"/>
  <c r="R88" i="1" s="1"/>
  <c r="Q89" i="1"/>
  <c r="R89" i="1" s="1"/>
  <c r="Q90" i="1"/>
  <c r="R90" i="1" s="1"/>
  <c r="Q91" i="1"/>
  <c r="R91" i="1" s="1"/>
  <c r="Q92" i="1"/>
  <c r="R92" i="1" s="1"/>
  <c r="Q93" i="1"/>
  <c r="R93" i="1" s="1"/>
  <c r="Q94" i="1"/>
  <c r="R94" i="1" s="1"/>
  <c r="Q95" i="1"/>
  <c r="R95" i="1" s="1"/>
  <c r="Q96" i="1"/>
  <c r="R96" i="1" s="1"/>
  <c r="Q97" i="1"/>
  <c r="R97" i="1" s="1"/>
  <c r="Q98" i="1"/>
  <c r="R98" i="1" s="1"/>
  <c r="Q99" i="1"/>
  <c r="R99" i="1" s="1"/>
  <c r="Q100" i="1"/>
  <c r="R100" i="1" s="1"/>
  <c r="Q101" i="1"/>
  <c r="R101" i="1" s="1"/>
  <c r="Q102" i="1"/>
  <c r="R102" i="1" s="1"/>
  <c r="Q103" i="1"/>
  <c r="R103" i="1" s="1"/>
  <c r="Q104" i="1"/>
  <c r="R104" i="1" s="1"/>
  <c r="Q105" i="1"/>
  <c r="R105" i="1" s="1"/>
  <c r="Q106" i="1"/>
  <c r="R106" i="1" s="1"/>
  <c r="Q107" i="1"/>
  <c r="R107" i="1" s="1"/>
  <c r="Q108" i="1"/>
  <c r="R108" i="1" s="1"/>
  <c r="Q109" i="1"/>
  <c r="R109" i="1" s="1"/>
  <c r="Q110" i="1"/>
  <c r="R110" i="1" s="1"/>
  <c r="Q111" i="1"/>
  <c r="R111" i="1" s="1"/>
  <c r="Q112" i="1"/>
  <c r="R112" i="1" s="1"/>
  <c r="Q113" i="1"/>
  <c r="R113" i="1" s="1"/>
  <c r="Q114" i="1"/>
  <c r="R114" i="1" s="1"/>
  <c r="Q115" i="1"/>
  <c r="R115" i="1" s="1"/>
  <c r="Q116" i="1"/>
  <c r="R116" i="1" s="1"/>
  <c r="Q117" i="1"/>
  <c r="R117" i="1" s="1"/>
  <c r="Q118" i="1"/>
  <c r="R118" i="1" s="1"/>
  <c r="Q119" i="1"/>
  <c r="R119" i="1" s="1"/>
  <c r="Q120" i="1"/>
  <c r="R120" i="1" s="1"/>
  <c r="Q121" i="1"/>
  <c r="R121" i="1" s="1"/>
  <c r="Q122" i="1"/>
  <c r="R122" i="1" s="1"/>
  <c r="Q123" i="1"/>
  <c r="R123" i="1" s="1"/>
  <c r="Q124" i="1"/>
  <c r="R124" i="1" s="1"/>
  <c r="Q125" i="1"/>
  <c r="R125" i="1" s="1"/>
  <c r="Q126" i="1"/>
  <c r="R126" i="1" s="1"/>
  <c r="Q127" i="1"/>
  <c r="R127" i="1" s="1"/>
  <c r="Q128" i="1"/>
  <c r="R128" i="1" s="1"/>
  <c r="Q129" i="1"/>
  <c r="R129" i="1" s="1"/>
  <c r="Q130" i="1"/>
  <c r="R130" i="1" s="1"/>
  <c r="Q131" i="1"/>
  <c r="R131" i="1" s="1"/>
  <c r="Q132" i="1"/>
  <c r="R132" i="1" s="1"/>
  <c r="Q133" i="1"/>
  <c r="R133" i="1" s="1"/>
  <c r="Q134" i="1"/>
  <c r="R134" i="1" s="1"/>
  <c r="Q135" i="1"/>
  <c r="R135" i="1" s="1"/>
  <c r="Q136" i="1"/>
  <c r="R136" i="1" s="1"/>
  <c r="Q137" i="1"/>
  <c r="R137" i="1" s="1"/>
  <c r="Q138" i="1"/>
  <c r="R138" i="1" s="1"/>
  <c r="Q139" i="1"/>
  <c r="R139" i="1" s="1"/>
  <c r="Q140" i="1"/>
  <c r="R140" i="1" s="1"/>
  <c r="Q141" i="1"/>
  <c r="R141" i="1" s="1"/>
  <c r="Q142" i="1"/>
  <c r="R142" i="1" s="1"/>
  <c r="Q143" i="1"/>
  <c r="R143" i="1" s="1"/>
  <c r="Q144" i="1"/>
  <c r="R144" i="1" s="1"/>
  <c r="Q145" i="1"/>
  <c r="R145" i="1" s="1"/>
  <c r="Q146" i="1"/>
  <c r="R146" i="1" s="1"/>
  <c r="Q147" i="1"/>
  <c r="R147" i="1" s="1"/>
  <c r="Q148" i="1"/>
  <c r="R148" i="1" s="1"/>
  <c r="Q149" i="1"/>
  <c r="R149" i="1" s="1"/>
  <c r="Q150" i="1"/>
  <c r="R150" i="1" s="1"/>
  <c r="Q151" i="1"/>
  <c r="R151" i="1" s="1"/>
  <c r="Q152" i="1"/>
  <c r="R152" i="1" s="1"/>
  <c r="Q153" i="1"/>
  <c r="R153" i="1" s="1"/>
  <c r="Q154" i="1"/>
  <c r="R154" i="1" s="1"/>
  <c r="Q155" i="1"/>
  <c r="R155" i="1" s="1"/>
  <c r="Q156" i="1"/>
  <c r="R156" i="1" s="1"/>
  <c r="Q157" i="1"/>
  <c r="R157" i="1" s="1"/>
  <c r="Q158" i="1"/>
  <c r="R158" i="1" s="1"/>
  <c r="Q159" i="1"/>
  <c r="R159" i="1" s="1"/>
  <c r="Q160" i="1"/>
  <c r="R160" i="1" s="1"/>
  <c r="Q161" i="1"/>
  <c r="R161" i="1" s="1"/>
  <c r="Q162" i="1"/>
  <c r="R162" i="1" s="1"/>
  <c r="Q163" i="1"/>
  <c r="R163" i="1" s="1"/>
  <c r="Q164" i="1"/>
  <c r="R164" i="1" s="1"/>
  <c r="Q165" i="1"/>
  <c r="R165" i="1" s="1"/>
  <c r="Q166" i="1"/>
  <c r="R166" i="1" s="1"/>
  <c r="Q167" i="1"/>
  <c r="R167" i="1" s="1"/>
  <c r="Q168" i="1"/>
  <c r="R168" i="1" s="1"/>
  <c r="Q169" i="1"/>
  <c r="R169" i="1" s="1"/>
  <c r="Q170" i="1"/>
  <c r="R170" i="1" s="1"/>
  <c r="Q171" i="1"/>
  <c r="R171" i="1" s="1"/>
  <c r="Q172" i="1"/>
  <c r="R172" i="1" s="1"/>
  <c r="Q174" i="1"/>
  <c r="R174" i="1" s="1"/>
  <c r="Q175" i="1"/>
  <c r="R175" i="1" s="1"/>
  <c r="Q176" i="1"/>
  <c r="R176" i="1" s="1"/>
  <c r="Q177" i="1"/>
  <c r="R177" i="1" s="1"/>
  <c r="Q178" i="1"/>
  <c r="R178" i="1" s="1"/>
  <c r="Q179" i="1"/>
  <c r="R179" i="1" s="1"/>
  <c r="Q180" i="1"/>
  <c r="R180" i="1" s="1"/>
  <c r="Q181" i="1"/>
  <c r="R181" i="1" s="1"/>
  <c r="Q182" i="1"/>
  <c r="R182" i="1" s="1"/>
  <c r="Q183" i="1"/>
  <c r="R183" i="1" s="1"/>
  <c r="Q184" i="1"/>
  <c r="R184" i="1" s="1"/>
  <c r="Q185" i="1"/>
  <c r="R185" i="1" s="1"/>
  <c r="Q186" i="1"/>
  <c r="R186" i="1" s="1"/>
  <c r="Q187" i="1"/>
  <c r="R187" i="1" s="1"/>
  <c r="Q188" i="1"/>
  <c r="R188" i="1" s="1"/>
  <c r="Q189" i="1"/>
  <c r="R189" i="1" s="1"/>
  <c r="Q190" i="1"/>
  <c r="R190" i="1" s="1"/>
  <c r="Q191" i="1"/>
  <c r="R191" i="1" s="1"/>
  <c r="Q192" i="1"/>
  <c r="R192" i="1" s="1"/>
  <c r="Q193" i="1"/>
  <c r="R193" i="1" s="1"/>
  <c r="Q194" i="1"/>
  <c r="R194" i="1" s="1"/>
  <c r="Q195" i="1"/>
  <c r="R195" i="1" s="1"/>
  <c r="Q196" i="1"/>
  <c r="R196" i="1" s="1"/>
  <c r="Q197" i="1"/>
  <c r="R197" i="1" s="1"/>
  <c r="Q198" i="1"/>
  <c r="R198" i="1" s="1"/>
  <c r="Q199" i="1"/>
  <c r="R199" i="1" s="1"/>
  <c r="Q200" i="1"/>
  <c r="R200" i="1" s="1"/>
  <c r="Q201" i="1"/>
  <c r="R201" i="1" s="1"/>
  <c r="Q202" i="1"/>
  <c r="R202" i="1" s="1"/>
  <c r="Q203" i="1"/>
  <c r="R203" i="1" s="1"/>
  <c r="Q204" i="1"/>
  <c r="R204" i="1" s="1"/>
  <c r="Q205" i="1"/>
  <c r="R205" i="1" s="1"/>
  <c r="Q206" i="1"/>
  <c r="R206" i="1" s="1"/>
  <c r="Q207" i="1"/>
  <c r="R207" i="1" s="1"/>
  <c r="Q208" i="1"/>
  <c r="R208" i="1" s="1"/>
  <c r="Q209" i="1"/>
  <c r="R209" i="1" s="1"/>
  <c r="Q210" i="1"/>
  <c r="R210" i="1" s="1"/>
  <c r="Q211" i="1"/>
  <c r="R211" i="1" s="1"/>
  <c r="Q212" i="1"/>
  <c r="R212" i="1" s="1"/>
  <c r="Q213" i="1"/>
  <c r="R213" i="1" s="1"/>
  <c r="Q214" i="1"/>
  <c r="R214" i="1" s="1"/>
  <c r="Q215" i="1"/>
  <c r="R215" i="1" s="1"/>
  <c r="Q216" i="1"/>
  <c r="R216" i="1" s="1"/>
  <c r="Q217" i="1"/>
  <c r="R217" i="1" s="1"/>
  <c r="Q218" i="1"/>
  <c r="R218" i="1" s="1"/>
  <c r="Q219" i="1"/>
  <c r="R219" i="1" s="1"/>
  <c r="Q220" i="1"/>
  <c r="R220" i="1" s="1"/>
  <c r="Q221" i="1"/>
  <c r="R221" i="1" s="1"/>
  <c r="Q222" i="1"/>
  <c r="R222" i="1" s="1"/>
  <c r="Q223" i="1"/>
  <c r="R223" i="1" s="1"/>
  <c r="Q224" i="1"/>
  <c r="R224" i="1" s="1"/>
  <c r="Q225" i="1"/>
  <c r="R225" i="1" s="1"/>
  <c r="Q226" i="1"/>
  <c r="R226" i="1" s="1"/>
  <c r="Q227" i="1"/>
  <c r="R227" i="1" s="1"/>
  <c r="Q228" i="1"/>
  <c r="R228" i="1" s="1"/>
  <c r="Q229" i="1"/>
  <c r="R229" i="1" s="1"/>
  <c r="Q230" i="1"/>
  <c r="R230" i="1" s="1"/>
  <c r="Q231" i="1"/>
  <c r="R231" i="1" s="1"/>
  <c r="Q232" i="1"/>
  <c r="R232" i="1" s="1"/>
  <c r="Q233" i="1"/>
  <c r="R233" i="1" s="1"/>
  <c r="Q234" i="1"/>
  <c r="R234" i="1" s="1"/>
  <c r="Q235" i="1"/>
  <c r="R235" i="1" s="1"/>
  <c r="Q236" i="1"/>
  <c r="R236" i="1" s="1"/>
  <c r="Q237" i="1"/>
  <c r="R237" i="1" s="1"/>
  <c r="Q238" i="1"/>
  <c r="R238" i="1" s="1"/>
  <c r="Q239" i="1"/>
  <c r="R239" i="1" s="1"/>
  <c r="Q240" i="1"/>
  <c r="R240" i="1" s="1"/>
  <c r="Q241" i="1"/>
  <c r="R241" i="1" s="1"/>
  <c r="Q242" i="1"/>
  <c r="R242" i="1" s="1"/>
  <c r="Q243" i="1"/>
  <c r="R243" i="1" s="1"/>
  <c r="Q244" i="1"/>
  <c r="R244" i="1" s="1"/>
  <c r="Q245" i="1"/>
  <c r="R245" i="1" s="1"/>
  <c r="Q246" i="1"/>
  <c r="R246" i="1" s="1"/>
  <c r="Q247" i="1"/>
  <c r="R247" i="1" s="1"/>
  <c r="Q248" i="1"/>
  <c r="R248" i="1" s="1"/>
  <c r="Q249" i="1"/>
  <c r="R249" i="1" s="1"/>
  <c r="Q250" i="1"/>
  <c r="R250" i="1" s="1"/>
  <c r="Q251" i="1"/>
  <c r="R251" i="1" s="1"/>
  <c r="Q252" i="1"/>
  <c r="R252" i="1" s="1"/>
  <c r="Q253" i="1"/>
  <c r="R253" i="1" s="1"/>
  <c r="Q254" i="1"/>
  <c r="R254" i="1" s="1"/>
  <c r="Q255" i="1"/>
  <c r="R255" i="1" s="1"/>
  <c r="Q256" i="1"/>
  <c r="R256" i="1" s="1"/>
  <c r="Q257" i="1"/>
  <c r="R257" i="1" s="1"/>
  <c r="Q258" i="1"/>
  <c r="R258" i="1" s="1"/>
  <c r="Q259" i="1"/>
  <c r="R259" i="1" s="1"/>
  <c r="Q260" i="1"/>
  <c r="R260" i="1" s="1"/>
  <c r="Q262" i="1"/>
  <c r="R262" i="1" s="1"/>
  <c r="Q264" i="1"/>
  <c r="R264" i="1" s="1"/>
  <c r="Q265" i="1"/>
  <c r="R265" i="1" s="1"/>
  <c r="Q266" i="1"/>
  <c r="R266" i="1" s="1"/>
  <c r="Q267" i="1"/>
  <c r="R267" i="1" s="1"/>
  <c r="Q268" i="1"/>
  <c r="R268" i="1" s="1"/>
  <c r="Q269" i="1"/>
  <c r="R269" i="1" s="1"/>
  <c r="Q270" i="1"/>
  <c r="R270" i="1" s="1"/>
  <c r="Q271" i="1"/>
  <c r="R271" i="1" s="1"/>
  <c r="Q272" i="1"/>
  <c r="R272" i="1" s="1"/>
  <c r="Q273" i="1"/>
  <c r="R273" i="1" s="1"/>
  <c r="Q274" i="1"/>
  <c r="R274" i="1" s="1"/>
  <c r="Q275" i="1"/>
  <c r="R275" i="1" s="1"/>
  <c r="Q276" i="1"/>
  <c r="R276" i="1" s="1"/>
  <c r="Q277" i="1"/>
  <c r="R277" i="1" s="1"/>
  <c r="Q278" i="1"/>
  <c r="R278" i="1" s="1"/>
  <c r="Q279" i="1"/>
  <c r="R279" i="1" s="1"/>
  <c r="Q280" i="1"/>
  <c r="R280" i="1" s="1"/>
  <c r="Q281" i="1"/>
  <c r="R281" i="1" s="1"/>
  <c r="Q282" i="1"/>
  <c r="R282" i="1" s="1"/>
  <c r="Q283" i="1"/>
  <c r="R283" i="1" s="1"/>
  <c r="Q284" i="1"/>
  <c r="R284" i="1" s="1"/>
  <c r="Q285" i="1"/>
  <c r="R285" i="1" s="1"/>
  <c r="Q286" i="1"/>
  <c r="R286" i="1" s="1"/>
  <c r="Q287" i="1"/>
  <c r="R287" i="1" s="1"/>
  <c r="Q288" i="1"/>
  <c r="R288" i="1" s="1"/>
  <c r="Q289" i="1"/>
  <c r="R289" i="1" s="1"/>
  <c r="Q290" i="1"/>
  <c r="R290" i="1" s="1"/>
  <c r="Q291" i="1"/>
  <c r="R291" i="1" s="1"/>
  <c r="Q292" i="1"/>
  <c r="R292" i="1" s="1"/>
  <c r="Q293" i="1"/>
  <c r="R293" i="1" s="1"/>
  <c r="Q294" i="1"/>
  <c r="R294" i="1" s="1"/>
  <c r="Q295" i="1"/>
  <c r="R295" i="1" s="1"/>
  <c r="Q296" i="1"/>
  <c r="R296" i="1" s="1"/>
  <c r="Q297" i="1"/>
  <c r="R297" i="1" s="1"/>
  <c r="Q298" i="1"/>
  <c r="R298" i="1" s="1"/>
  <c r="Q299" i="1"/>
  <c r="R299" i="1" s="1"/>
  <c r="Q300" i="1"/>
  <c r="R300" i="1" s="1"/>
  <c r="Q301" i="1"/>
  <c r="R301" i="1" s="1"/>
  <c r="Q302" i="1"/>
  <c r="R302" i="1" s="1"/>
  <c r="Q303" i="1"/>
  <c r="R303" i="1" s="1"/>
  <c r="Q304" i="1"/>
  <c r="R304" i="1" s="1"/>
  <c r="Q305" i="1"/>
  <c r="R305" i="1" s="1"/>
  <c r="Q307" i="1"/>
  <c r="R307" i="1" s="1"/>
  <c r="Q308" i="1"/>
  <c r="R308" i="1" s="1"/>
  <c r="Q309" i="1"/>
  <c r="R309" i="1" s="1"/>
  <c r="Q310" i="1"/>
  <c r="R310" i="1" s="1"/>
  <c r="Q311" i="1"/>
  <c r="R311" i="1" s="1"/>
  <c r="Q312" i="1"/>
  <c r="R312" i="1" s="1"/>
  <c r="Q313" i="1"/>
  <c r="R313" i="1" s="1"/>
  <c r="Q314" i="1"/>
  <c r="R314" i="1" s="1"/>
  <c r="Q315" i="1"/>
  <c r="R315" i="1" s="1"/>
  <c r="Q316" i="1"/>
  <c r="R316" i="1" s="1"/>
  <c r="Q317" i="1"/>
  <c r="R317" i="1" s="1"/>
  <c r="Q318" i="1"/>
  <c r="R318" i="1" s="1"/>
  <c r="Q319" i="1"/>
  <c r="R319" i="1" s="1"/>
  <c r="Q320" i="1"/>
  <c r="R320" i="1" s="1"/>
  <c r="Q321" i="1"/>
  <c r="R321" i="1" s="1"/>
  <c r="Q322" i="1"/>
  <c r="R322" i="1" s="1"/>
  <c r="Q323" i="1"/>
  <c r="R323" i="1" s="1"/>
  <c r="Q324" i="1"/>
  <c r="R324" i="1" s="1"/>
  <c r="Q325" i="1"/>
  <c r="R325" i="1" s="1"/>
  <c r="Q326" i="1"/>
  <c r="R326" i="1" s="1"/>
  <c r="Q327" i="1"/>
  <c r="R327" i="1" s="1"/>
  <c r="Q328" i="1"/>
  <c r="R328" i="1" s="1"/>
  <c r="Q329" i="1"/>
  <c r="R329" i="1" s="1"/>
  <c r="Q330" i="1"/>
  <c r="R330" i="1" s="1"/>
  <c r="Q331" i="1"/>
  <c r="R331" i="1" s="1"/>
  <c r="Q332" i="1"/>
  <c r="R332" i="1" s="1"/>
  <c r="Q333" i="1"/>
  <c r="R333" i="1" s="1"/>
  <c r="Q334" i="1"/>
  <c r="R334" i="1" s="1"/>
  <c r="Q335" i="1"/>
  <c r="R335" i="1" s="1"/>
  <c r="Q336" i="1"/>
  <c r="R336" i="1" s="1"/>
  <c r="Q337" i="1"/>
  <c r="R337" i="1" s="1"/>
  <c r="Q338" i="1"/>
  <c r="R338" i="1" s="1"/>
  <c r="Q339" i="1"/>
  <c r="R339" i="1" s="1"/>
  <c r="Q340" i="1"/>
  <c r="R340" i="1" s="1"/>
  <c r="Q341" i="1"/>
  <c r="R341" i="1" s="1"/>
  <c r="Q342" i="1"/>
  <c r="R342" i="1" s="1"/>
  <c r="Q343" i="1"/>
  <c r="R343" i="1" s="1"/>
  <c r="Q344" i="1"/>
  <c r="R344" i="1" s="1"/>
  <c r="Q345" i="1"/>
  <c r="R345" i="1" s="1"/>
  <c r="Q346" i="1"/>
  <c r="R346" i="1" s="1"/>
  <c r="Q347" i="1"/>
  <c r="R347" i="1" s="1"/>
  <c r="Q348" i="1"/>
  <c r="R348" i="1" s="1"/>
  <c r="Q349" i="1"/>
  <c r="R349" i="1" s="1"/>
  <c r="Q350" i="1"/>
  <c r="R350" i="1" s="1"/>
  <c r="Q351" i="1"/>
  <c r="R351" i="1" s="1"/>
  <c r="Q352" i="1"/>
  <c r="R352" i="1" s="1"/>
  <c r="Q353" i="1"/>
  <c r="R353" i="1" s="1"/>
  <c r="Q354" i="1"/>
  <c r="R354" i="1" s="1"/>
  <c r="Q355" i="1"/>
  <c r="R355" i="1" s="1"/>
  <c r="Q356" i="1"/>
  <c r="R356" i="1" s="1"/>
  <c r="Q357" i="1"/>
  <c r="R357" i="1" s="1"/>
  <c r="Q358" i="1"/>
  <c r="R358" i="1" s="1"/>
  <c r="Q359" i="1"/>
  <c r="R359" i="1" s="1"/>
  <c r="Q360" i="1"/>
  <c r="R360" i="1" s="1"/>
  <c r="Q361" i="1"/>
  <c r="R361" i="1" s="1"/>
  <c r="Q362" i="1"/>
  <c r="R362" i="1" s="1"/>
  <c r="Q363" i="1"/>
  <c r="R363" i="1" s="1"/>
  <c r="Q364" i="1"/>
  <c r="R364" i="1" s="1"/>
  <c r="Q365" i="1"/>
  <c r="R365" i="1" s="1"/>
  <c r="Q366" i="1"/>
  <c r="R366" i="1" s="1"/>
  <c r="Q367" i="1"/>
  <c r="R367" i="1" s="1"/>
  <c r="Q368" i="1"/>
  <c r="R368" i="1" s="1"/>
  <c r="Q369" i="1"/>
  <c r="R369" i="1" s="1"/>
  <c r="Q370" i="1"/>
  <c r="R370" i="1" s="1"/>
  <c r="Q371" i="1"/>
  <c r="R371" i="1" s="1"/>
  <c r="Q373" i="1"/>
  <c r="R373" i="1" s="1"/>
  <c r="Q374" i="1"/>
  <c r="R374" i="1" s="1"/>
  <c r="Q375" i="1"/>
  <c r="R375" i="1" s="1"/>
  <c r="Q376" i="1"/>
  <c r="R376" i="1" s="1"/>
  <c r="Q377" i="1"/>
  <c r="R377" i="1" s="1"/>
  <c r="Q378" i="1"/>
  <c r="R378" i="1" s="1"/>
  <c r="Q379" i="1"/>
  <c r="R379" i="1" s="1"/>
  <c r="Q380" i="1"/>
  <c r="R380" i="1" s="1"/>
  <c r="Q381" i="1"/>
  <c r="R381" i="1" s="1"/>
  <c r="Q382" i="1"/>
  <c r="R382" i="1" s="1"/>
  <c r="Q383" i="1"/>
  <c r="R383" i="1" s="1"/>
  <c r="Q384" i="1"/>
  <c r="R384" i="1" s="1"/>
  <c r="Q385" i="1"/>
  <c r="R385" i="1" s="1"/>
  <c r="Q386" i="1"/>
  <c r="R386" i="1" s="1"/>
  <c r="Q387" i="1"/>
  <c r="R387" i="1" s="1"/>
  <c r="Q388" i="1"/>
  <c r="R388" i="1" s="1"/>
  <c r="Q389" i="1"/>
  <c r="R389" i="1" s="1"/>
  <c r="Q390" i="1"/>
  <c r="R390" i="1" s="1"/>
  <c r="Q391" i="1"/>
  <c r="R391" i="1" s="1"/>
  <c r="Q392" i="1"/>
  <c r="R392" i="1" s="1"/>
  <c r="Q393" i="1"/>
  <c r="R393" i="1" s="1"/>
  <c r="Q394" i="1"/>
  <c r="R394" i="1" s="1"/>
  <c r="Q395" i="1"/>
  <c r="R395" i="1" s="1"/>
  <c r="Q396" i="1"/>
  <c r="R396" i="1" s="1"/>
  <c r="Q397" i="1"/>
  <c r="R397" i="1" s="1"/>
  <c r="Q398" i="1"/>
  <c r="R398" i="1" s="1"/>
  <c r="Q399" i="1"/>
  <c r="R399" i="1" s="1"/>
  <c r="Q400" i="1"/>
  <c r="R400" i="1" s="1"/>
  <c r="Q401" i="1"/>
  <c r="R401" i="1" s="1"/>
  <c r="Q402" i="1"/>
  <c r="R402" i="1" s="1"/>
  <c r="Q403" i="1"/>
  <c r="R403" i="1" s="1"/>
  <c r="Q404" i="1"/>
  <c r="R404" i="1" s="1"/>
  <c r="Q405" i="1"/>
  <c r="R405" i="1" s="1"/>
  <c r="Q406" i="1"/>
  <c r="R406" i="1" s="1"/>
  <c r="Q407" i="1"/>
  <c r="R407" i="1" s="1"/>
  <c r="Q408" i="1"/>
  <c r="R408" i="1" s="1"/>
  <c r="Q409" i="1"/>
  <c r="R409" i="1" s="1"/>
  <c r="Q410" i="1"/>
  <c r="R410" i="1" s="1"/>
  <c r="Q411" i="1"/>
  <c r="R411" i="1" s="1"/>
  <c r="Q412" i="1"/>
  <c r="R412" i="1" s="1"/>
  <c r="Q413" i="1"/>
  <c r="R413" i="1" s="1"/>
  <c r="Q414" i="1"/>
  <c r="R414" i="1" s="1"/>
  <c r="Q415" i="1"/>
  <c r="R415" i="1" s="1"/>
  <c r="Q416" i="1"/>
  <c r="R416" i="1" s="1"/>
  <c r="Q417" i="1"/>
  <c r="R417" i="1" s="1"/>
  <c r="Q418" i="1"/>
  <c r="R418" i="1" s="1"/>
  <c r="Q419" i="1"/>
  <c r="R419" i="1" s="1"/>
  <c r="Q420" i="1"/>
  <c r="R420" i="1" s="1"/>
  <c r="Q421" i="1"/>
  <c r="R421" i="1" s="1"/>
  <c r="Q422" i="1"/>
  <c r="R422" i="1" s="1"/>
  <c r="Q423" i="1"/>
  <c r="R423" i="1" s="1"/>
  <c r="Q424" i="1"/>
  <c r="R424" i="1" s="1"/>
  <c r="Q425" i="1"/>
  <c r="R425" i="1" s="1"/>
  <c r="Q426" i="1"/>
  <c r="R426" i="1" s="1"/>
  <c r="Q427" i="1"/>
  <c r="R427" i="1" s="1"/>
  <c r="Q428" i="1"/>
  <c r="R428" i="1" s="1"/>
  <c r="Q429" i="1"/>
  <c r="R429" i="1" s="1"/>
  <c r="Q430" i="1"/>
  <c r="R430" i="1" s="1"/>
  <c r="Q431" i="1"/>
  <c r="R431" i="1" s="1"/>
  <c r="Q432" i="1"/>
  <c r="R432" i="1" s="1"/>
  <c r="Q433" i="1"/>
  <c r="R433" i="1" s="1"/>
  <c r="Q434" i="1"/>
  <c r="R434" i="1" s="1"/>
  <c r="Q435" i="1"/>
  <c r="R435" i="1" s="1"/>
  <c r="Q436" i="1"/>
  <c r="R436" i="1" s="1"/>
  <c r="Q437" i="1"/>
  <c r="R437" i="1" s="1"/>
  <c r="Q438" i="1"/>
  <c r="R438" i="1" s="1"/>
  <c r="Q439" i="1"/>
  <c r="R439" i="1" s="1"/>
  <c r="Q440" i="1"/>
  <c r="R440" i="1" s="1"/>
  <c r="Q441" i="1"/>
  <c r="R441" i="1" s="1"/>
  <c r="Q442" i="1"/>
  <c r="R442" i="1" s="1"/>
  <c r="Q443" i="1"/>
  <c r="R443" i="1" s="1"/>
  <c r="Q444" i="1"/>
  <c r="R444" i="1" s="1"/>
  <c r="Q445" i="1"/>
  <c r="R445" i="1" s="1"/>
  <c r="Q446" i="1"/>
  <c r="R446" i="1" s="1"/>
  <c r="Q447" i="1"/>
  <c r="R447" i="1" s="1"/>
  <c r="Q448" i="1"/>
  <c r="R448" i="1" s="1"/>
  <c r="Q449" i="1"/>
  <c r="R449" i="1" s="1"/>
  <c r="Q450" i="1"/>
  <c r="R450" i="1" s="1"/>
  <c r="Q451" i="1"/>
  <c r="R451" i="1" s="1"/>
  <c r="Q452" i="1"/>
  <c r="R452" i="1" s="1"/>
  <c r="Q453" i="1"/>
  <c r="R453" i="1" s="1"/>
  <c r="Q454" i="1"/>
  <c r="R454" i="1" s="1"/>
  <c r="Q455" i="1"/>
  <c r="R455" i="1" s="1"/>
  <c r="Q456" i="1"/>
  <c r="R456" i="1" s="1"/>
  <c r="Q457" i="1"/>
  <c r="R457" i="1" s="1"/>
  <c r="Q458" i="1"/>
  <c r="R458" i="1" s="1"/>
  <c r="Q459" i="1"/>
  <c r="R459" i="1" s="1"/>
  <c r="Q460" i="1"/>
  <c r="R460" i="1" s="1"/>
  <c r="Q461" i="1"/>
  <c r="R461" i="1" s="1"/>
  <c r="Q462" i="1"/>
  <c r="R462" i="1" s="1"/>
  <c r="Q463" i="1"/>
  <c r="R463" i="1" s="1"/>
  <c r="Q465" i="1"/>
  <c r="R465" i="1" s="1"/>
  <c r="Q466" i="1"/>
  <c r="R466" i="1" s="1"/>
  <c r="Q467" i="1"/>
  <c r="R467" i="1" s="1"/>
  <c r="Q468" i="1"/>
  <c r="R468" i="1" s="1"/>
  <c r="Q469" i="1"/>
  <c r="R469" i="1" s="1"/>
  <c r="Q470" i="1"/>
  <c r="R470" i="1" s="1"/>
  <c r="Q471" i="1"/>
  <c r="R471" i="1" s="1"/>
  <c r="Q472" i="1"/>
  <c r="R472" i="1" s="1"/>
  <c r="Q474" i="1"/>
  <c r="R474" i="1" s="1"/>
  <c r="Q475" i="1"/>
  <c r="R475" i="1" s="1"/>
  <c r="Q476" i="1"/>
  <c r="R476" i="1" s="1"/>
  <c r="Q477" i="1"/>
  <c r="R477" i="1" s="1"/>
  <c r="Q478" i="1"/>
  <c r="R478" i="1" s="1"/>
  <c r="Q479" i="1"/>
  <c r="R479" i="1" s="1"/>
  <c r="Q480" i="1"/>
  <c r="R480" i="1" s="1"/>
  <c r="Q481" i="1"/>
  <c r="R481" i="1" s="1"/>
  <c r="Q482" i="1"/>
  <c r="R482" i="1" s="1"/>
  <c r="Q483" i="1"/>
  <c r="R483" i="1" s="1"/>
  <c r="Q484" i="1"/>
  <c r="R484" i="1" s="1"/>
  <c r="Q485" i="1"/>
  <c r="R485" i="1" s="1"/>
  <c r="Q486" i="1"/>
  <c r="R486" i="1" s="1"/>
  <c r="Q487" i="1"/>
  <c r="R487" i="1" s="1"/>
  <c r="Q488" i="1"/>
  <c r="R488" i="1" s="1"/>
  <c r="Q489" i="1"/>
  <c r="R489" i="1" s="1"/>
  <c r="Q490" i="1"/>
  <c r="R490" i="1" s="1"/>
  <c r="Q491" i="1"/>
  <c r="R491" i="1" s="1"/>
  <c r="Q492" i="1"/>
  <c r="R492" i="1" s="1"/>
  <c r="Q493" i="1"/>
  <c r="R493" i="1" s="1"/>
  <c r="Q494" i="1"/>
  <c r="R494" i="1" s="1"/>
  <c r="Q495" i="1"/>
  <c r="R495" i="1" s="1"/>
  <c r="Q496" i="1"/>
  <c r="R496" i="1" s="1"/>
  <c r="Q497" i="1"/>
  <c r="R497" i="1" s="1"/>
  <c r="Q498" i="1"/>
  <c r="R498" i="1" s="1"/>
  <c r="Q499" i="1"/>
  <c r="R499" i="1" s="1"/>
  <c r="Q500" i="1"/>
  <c r="R500" i="1" s="1"/>
  <c r="Q501" i="1"/>
  <c r="R501" i="1" s="1"/>
  <c r="Q502" i="1"/>
  <c r="R502" i="1" s="1"/>
  <c r="Q503" i="1"/>
  <c r="R503" i="1" s="1"/>
  <c r="Q504" i="1"/>
  <c r="R504" i="1" s="1"/>
  <c r="Q505" i="1"/>
  <c r="R505" i="1" s="1"/>
  <c r="Q506" i="1"/>
  <c r="R506" i="1" s="1"/>
  <c r="Q507" i="1"/>
  <c r="R507" i="1" s="1"/>
  <c r="Q508" i="1"/>
  <c r="R508" i="1" s="1"/>
  <c r="Q509" i="1"/>
  <c r="R509" i="1" s="1"/>
  <c r="Q510" i="1"/>
  <c r="R510" i="1" s="1"/>
  <c r="Q511" i="1"/>
  <c r="R511" i="1" s="1"/>
  <c r="Q512" i="1"/>
  <c r="R512" i="1" s="1"/>
  <c r="Q513" i="1"/>
  <c r="R513" i="1" s="1"/>
  <c r="Q514" i="1"/>
  <c r="R514" i="1" s="1"/>
  <c r="Q515" i="1"/>
  <c r="R515" i="1" s="1"/>
  <c r="Q516" i="1"/>
  <c r="R516" i="1" s="1"/>
  <c r="Q517" i="1"/>
  <c r="R517" i="1" s="1"/>
  <c r="Q518" i="1"/>
  <c r="R518" i="1" s="1"/>
  <c r="Q519" i="1"/>
  <c r="R519" i="1" s="1"/>
  <c r="Q520" i="1"/>
  <c r="R520" i="1" s="1"/>
  <c r="Q521" i="1"/>
  <c r="R521" i="1" s="1"/>
  <c r="Q522" i="1"/>
  <c r="R522" i="1" s="1"/>
  <c r="Q523" i="1"/>
  <c r="R523" i="1" s="1"/>
  <c r="Q524" i="1"/>
  <c r="R524" i="1" s="1"/>
  <c r="Q525" i="1"/>
  <c r="R525" i="1" s="1"/>
  <c r="Q526" i="1"/>
  <c r="R526" i="1" s="1"/>
  <c r="Q527" i="1"/>
  <c r="R527" i="1" s="1"/>
  <c r="Q528" i="1"/>
  <c r="R528" i="1" s="1"/>
  <c r="Q529" i="1"/>
  <c r="R529" i="1" s="1"/>
  <c r="Q530" i="1"/>
  <c r="R530" i="1" s="1"/>
  <c r="Q531" i="1"/>
  <c r="R531" i="1" s="1"/>
  <c r="Q532" i="1"/>
  <c r="R532" i="1" s="1"/>
  <c r="Q533" i="1"/>
  <c r="R533" i="1" s="1"/>
  <c r="Q534" i="1"/>
  <c r="R534" i="1" s="1"/>
  <c r="Q535" i="1"/>
  <c r="R535" i="1" s="1"/>
  <c r="Q536" i="1"/>
  <c r="R536" i="1" s="1"/>
  <c r="Q537" i="1"/>
  <c r="R537" i="1" s="1"/>
  <c r="Q538" i="1"/>
  <c r="R538" i="1" s="1"/>
  <c r="Q539" i="1"/>
  <c r="R539" i="1" s="1"/>
  <c r="Q540" i="1"/>
  <c r="R540" i="1" s="1"/>
  <c r="Q541" i="1"/>
  <c r="R541" i="1" s="1"/>
  <c r="Q542" i="1"/>
  <c r="R542" i="1" s="1"/>
  <c r="Q543" i="1"/>
  <c r="R543" i="1" s="1"/>
  <c r="Q544" i="1"/>
  <c r="R544" i="1" s="1"/>
  <c r="Q545" i="1"/>
  <c r="R545" i="1" s="1"/>
  <c r="Q546" i="1"/>
  <c r="R546" i="1" s="1"/>
  <c r="Q547" i="1"/>
  <c r="R547" i="1" s="1"/>
  <c r="Q548" i="1"/>
  <c r="R548" i="1" s="1"/>
  <c r="Q549" i="1"/>
  <c r="R549" i="1" s="1"/>
  <c r="Q550" i="1"/>
  <c r="R550" i="1" s="1"/>
  <c r="Q551" i="1"/>
  <c r="R551" i="1" s="1"/>
  <c r="Q552" i="1"/>
  <c r="R552" i="1" s="1"/>
  <c r="Q553" i="1"/>
  <c r="R553" i="1" s="1"/>
  <c r="Q554" i="1"/>
  <c r="R554" i="1" s="1"/>
  <c r="Q555" i="1"/>
  <c r="R555" i="1" s="1"/>
  <c r="Q556" i="1"/>
  <c r="R556" i="1" s="1"/>
  <c r="Q557" i="1"/>
  <c r="R557" i="1" s="1"/>
  <c r="Q558" i="1"/>
  <c r="R558" i="1" s="1"/>
  <c r="Q559" i="1"/>
  <c r="R559" i="1" s="1"/>
  <c r="Q560" i="1"/>
  <c r="R560" i="1" s="1"/>
  <c r="Q561" i="1"/>
  <c r="R561" i="1" s="1"/>
  <c r="Q562" i="1"/>
  <c r="R562" i="1" s="1"/>
  <c r="Q563" i="1"/>
  <c r="R563" i="1" s="1"/>
  <c r="Q564" i="1"/>
  <c r="R564" i="1" s="1"/>
  <c r="Q565" i="1"/>
  <c r="R565" i="1" s="1"/>
  <c r="Q566" i="1"/>
  <c r="R566" i="1" s="1"/>
  <c r="Q567" i="1"/>
  <c r="R567" i="1" s="1"/>
  <c r="Q568" i="1"/>
  <c r="R568" i="1" s="1"/>
  <c r="Q569" i="1"/>
  <c r="R569" i="1" s="1"/>
  <c r="Q570" i="1"/>
  <c r="R570" i="1" s="1"/>
  <c r="Q571" i="1"/>
  <c r="R571" i="1" s="1"/>
  <c r="Q572" i="1"/>
  <c r="R572" i="1" s="1"/>
  <c r="Q573" i="1"/>
  <c r="R573" i="1" s="1"/>
  <c r="Q574" i="1"/>
  <c r="R574" i="1" s="1"/>
  <c r="Q575" i="1"/>
  <c r="R575" i="1" s="1"/>
  <c r="Q576" i="1"/>
  <c r="R576" i="1" s="1"/>
  <c r="Q577" i="1"/>
  <c r="R577" i="1" s="1"/>
  <c r="Q578" i="1"/>
  <c r="R578" i="1" s="1"/>
  <c r="Q579" i="1"/>
  <c r="R579" i="1" s="1"/>
  <c r="Q580" i="1"/>
  <c r="R580" i="1" s="1"/>
  <c r="Q581" i="1"/>
  <c r="R581" i="1" s="1"/>
  <c r="Q582" i="1"/>
  <c r="R582" i="1" s="1"/>
  <c r="Q583" i="1"/>
  <c r="R583" i="1" s="1"/>
  <c r="Q584" i="1"/>
  <c r="R584" i="1" s="1"/>
  <c r="Q585" i="1"/>
  <c r="R585" i="1" s="1"/>
  <c r="Q586" i="1"/>
  <c r="R586" i="1" s="1"/>
  <c r="Q587" i="1"/>
  <c r="R587" i="1" s="1"/>
  <c r="Q588" i="1"/>
  <c r="R588" i="1" s="1"/>
  <c r="Q589" i="1"/>
  <c r="R589" i="1" s="1"/>
  <c r="Q590" i="1"/>
  <c r="R590" i="1" s="1"/>
  <c r="Q591" i="1"/>
  <c r="R591" i="1" s="1"/>
  <c r="Q592" i="1"/>
  <c r="R592" i="1" s="1"/>
  <c r="Q593" i="1"/>
  <c r="R593" i="1" s="1"/>
  <c r="Q594" i="1"/>
  <c r="R594" i="1" s="1"/>
  <c r="Q595" i="1"/>
  <c r="R595" i="1" s="1"/>
  <c r="Q596" i="1"/>
  <c r="R596" i="1" s="1"/>
  <c r="Q597" i="1"/>
  <c r="R597" i="1" s="1"/>
  <c r="Q598" i="1"/>
  <c r="R598" i="1" s="1"/>
  <c r="Q599" i="1"/>
  <c r="R599" i="1" s="1"/>
  <c r="Q600" i="1"/>
  <c r="R600" i="1" s="1"/>
  <c r="Q601" i="1"/>
  <c r="R601" i="1" s="1"/>
  <c r="Q602" i="1"/>
  <c r="R602" i="1" s="1"/>
  <c r="Q603" i="1"/>
  <c r="R603" i="1" s="1"/>
  <c r="Q604" i="1"/>
  <c r="R604" i="1" s="1"/>
  <c r="Q605" i="1"/>
  <c r="R605" i="1" s="1"/>
  <c r="Q606" i="1"/>
  <c r="R606" i="1" s="1"/>
  <c r="Q607" i="1"/>
  <c r="R607" i="1" s="1"/>
  <c r="Q608" i="1"/>
  <c r="R608" i="1" s="1"/>
  <c r="Q609" i="1"/>
  <c r="R609" i="1" s="1"/>
  <c r="Q610" i="1"/>
  <c r="R610" i="1" s="1"/>
  <c r="Q611" i="1"/>
  <c r="R611" i="1" s="1"/>
  <c r="Q612" i="1"/>
  <c r="R612" i="1" s="1"/>
  <c r="Q613" i="1"/>
  <c r="R613" i="1" s="1"/>
  <c r="Q614" i="1"/>
  <c r="R614" i="1" s="1"/>
  <c r="Q615" i="1"/>
  <c r="R615" i="1" s="1"/>
  <c r="Q616" i="1"/>
  <c r="R616" i="1" s="1"/>
  <c r="Q617" i="1"/>
  <c r="R617" i="1" s="1"/>
  <c r="Q618" i="1"/>
  <c r="R618" i="1" s="1"/>
  <c r="Q619" i="1"/>
  <c r="R619" i="1" s="1"/>
  <c r="Q620" i="1"/>
  <c r="R620" i="1" s="1"/>
  <c r="Q621" i="1"/>
  <c r="R621" i="1" s="1"/>
  <c r="Q622" i="1"/>
  <c r="R622" i="1" s="1"/>
  <c r="Q623" i="1"/>
  <c r="R623" i="1" s="1"/>
  <c r="Q624" i="1"/>
  <c r="R624" i="1" s="1"/>
  <c r="Q625" i="1"/>
  <c r="R625" i="1" s="1"/>
  <c r="Q626" i="1"/>
  <c r="R626" i="1" s="1"/>
  <c r="Q627" i="1"/>
  <c r="R627" i="1" s="1"/>
  <c r="Q628" i="1"/>
  <c r="R628" i="1" s="1"/>
  <c r="Q629" i="1"/>
  <c r="R629" i="1" s="1"/>
  <c r="Q630" i="1"/>
  <c r="R630" i="1" s="1"/>
  <c r="Q631" i="1"/>
  <c r="R631" i="1" s="1"/>
  <c r="Q632" i="1"/>
  <c r="R632" i="1" s="1"/>
  <c r="Q634" i="1"/>
  <c r="R634" i="1" s="1"/>
  <c r="Q635" i="1"/>
  <c r="R635" i="1" s="1"/>
  <c r="Q636" i="1"/>
  <c r="R636" i="1" s="1"/>
  <c r="Q637" i="1"/>
  <c r="R637" i="1" s="1"/>
  <c r="Q638" i="1"/>
  <c r="R638" i="1" s="1"/>
  <c r="Q639" i="1"/>
  <c r="R639" i="1" s="1"/>
  <c r="Q640" i="1"/>
  <c r="R640" i="1" s="1"/>
  <c r="Q641" i="1"/>
  <c r="R641" i="1" s="1"/>
  <c r="Q642" i="1"/>
  <c r="R642" i="1" s="1"/>
  <c r="Q643" i="1"/>
  <c r="R643" i="1" s="1"/>
  <c r="Q644" i="1"/>
  <c r="R644" i="1" s="1"/>
  <c r="Q645" i="1"/>
  <c r="R645" i="1" s="1"/>
  <c r="Q646" i="1"/>
  <c r="R646" i="1" s="1"/>
  <c r="Q647" i="1"/>
  <c r="R647" i="1" s="1"/>
  <c r="Q648" i="1"/>
  <c r="R648" i="1" s="1"/>
  <c r="Q649" i="1"/>
  <c r="R649" i="1" s="1"/>
  <c r="Q650" i="1"/>
  <c r="R650" i="1" s="1"/>
  <c r="Q651" i="1"/>
  <c r="R651" i="1" s="1"/>
  <c r="Q652" i="1"/>
  <c r="R652" i="1" s="1"/>
  <c r="Q654" i="1"/>
  <c r="R654" i="1" s="1"/>
  <c r="Q655" i="1"/>
  <c r="R655" i="1" s="1"/>
  <c r="Q656" i="1"/>
  <c r="R656" i="1" s="1"/>
  <c r="Q657" i="1"/>
  <c r="R657" i="1" s="1"/>
  <c r="Q658" i="1"/>
  <c r="R658" i="1" s="1"/>
  <c r="Q659" i="1"/>
  <c r="R659" i="1" s="1"/>
  <c r="Q660" i="1"/>
  <c r="R660" i="1" s="1"/>
  <c r="Q661" i="1"/>
  <c r="R661" i="1" s="1"/>
  <c r="Q662" i="1"/>
  <c r="R662" i="1" s="1"/>
  <c r="Q663" i="1"/>
  <c r="R663" i="1" s="1"/>
  <c r="Q664" i="1"/>
  <c r="R664" i="1" s="1"/>
  <c r="Q665" i="1"/>
  <c r="R665" i="1" s="1"/>
  <c r="Q666" i="1"/>
  <c r="R666" i="1" s="1"/>
  <c r="Q667" i="1"/>
  <c r="R667" i="1" s="1"/>
  <c r="Q668" i="1"/>
  <c r="R668" i="1" s="1"/>
  <c r="Q669" i="1"/>
  <c r="R669" i="1" s="1"/>
  <c r="Q670" i="1"/>
  <c r="R670" i="1" s="1"/>
  <c r="Q671" i="1"/>
  <c r="R671" i="1" s="1"/>
  <c r="Q672" i="1"/>
  <c r="R672" i="1" s="1"/>
  <c r="Q673" i="1"/>
  <c r="R673" i="1" s="1"/>
  <c r="Q674" i="1"/>
  <c r="R674" i="1" s="1"/>
  <c r="Q675" i="1"/>
  <c r="R675" i="1" s="1"/>
  <c r="Q676" i="1"/>
  <c r="R676" i="1" s="1"/>
  <c r="Q677" i="1"/>
  <c r="R677" i="1" s="1"/>
  <c r="Q678" i="1"/>
  <c r="R678" i="1" s="1"/>
  <c r="Q679" i="1"/>
  <c r="R679" i="1" s="1"/>
  <c r="Q680" i="1"/>
  <c r="R680" i="1" s="1"/>
  <c r="Q681" i="1"/>
  <c r="R681" i="1" s="1"/>
  <c r="Q682" i="1"/>
  <c r="R682" i="1" s="1"/>
  <c r="Q683" i="1"/>
  <c r="R683" i="1" s="1"/>
  <c r="Q684" i="1"/>
  <c r="R684" i="1" s="1"/>
  <c r="Q685" i="1"/>
  <c r="R685" i="1" s="1"/>
  <c r="Q686" i="1"/>
  <c r="R686" i="1" s="1"/>
  <c r="Q687" i="1"/>
  <c r="R687" i="1" s="1"/>
  <c r="Q688" i="1"/>
  <c r="R688" i="1" s="1"/>
  <c r="Q689" i="1"/>
  <c r="R689" i="1" s="1"/>
  <c r="Q690" i="1"/>
  <c r="R690" i="1" s="1"/>
  <c r="Q691" i="1"/>
  <c r="R691" i="1" s="1"/>
  <c r="Q692" i="1"/>
  <c r="R692" i="1" s="1"/>
  <c r="Q693" i="1"/>
  <c r="R693" i="1" s="1"/>
  <c r="Q694" i="1"/>
  <c r="R694" i="1" s="1"/>
  <c r="Q695" i="1"/>
  <c r="R695" i="1" s="1"/>
  <c r="Q696" i="1"/>
  <c r="R696" i="1" s="1"/>
  <c r="Q697" i="1"/>
  <c r="R697" i="1" s="1"/>
  <c r="Q698" i="1"/>
  <c r="R698" i="1" s="1"/>
  <c r="Q699" i="1"/>
  <c r="R699" i="1" s="1"/>
  <c r="Q700" i="1"/>
  <c r="R700" i="1" s="1"/>
  <c r="Q701" i="1"/>
  <c r="R701" i="1" s="1"/>
  <c r="Q702" i="1"/>
  <c r="R702" i="1" s="1"/>
  <c r="Q703" i="1"/>
  <c r="R703" i="1" s="1"/>
  <c r="Q704" i="1"/>
  <c r="R704" i="1" s="1"/>
  <c r="Q705" i="1"/>
  <c r="R705" i="1" s="1"/>
  <c r="Q706" i="1"/>
  <c r="R706" i="1" s="1"/>
  <c r="Q707" i="1"/>
  <c r="R707" i="1" s="1"/>
  <c r="Q708" i="1"/>
  <c r="R708" i="1" s="1"/>
  <c r="Q709" i="1"/>
  <c r="R709" i="1" s="1"/>
  <c r="Q710" i="1"/>
  <c r="R710" i="1" s="1"/>
  <c r="Q711" i="1"/>
  <c r="R711" i="1" s="1"/>
  <c r="Q712" i="1"/>
  <c r="R712" i="1" s="1"/>
  <c r="Q713" i="1"/>
  <c r="R713" i="1" s="1"/>
  <c r="Q714" i="1"/>
  <c r="R714" i="1" s="1"/>
  <c r="Q715" i="1"/>
  <c r="R715" i="1" s="1"/>
  <c r="Q716" i="1"/>
  <c r="R716" i="1" s="1"/>
  <c r="Q717" i="1"/>
  <c r="R717" i="1" s="1"/>
  <c r="Q718" i="1"/>
  <c r="R718" i="1" s="1"/>
  <c r="Q719" i="1"/>
  <c r="R719" i="1" s="1"/>
  <c r="Q721" i="1"/>
  <c r="R721" i="1" s="1"/>
  <c r="Q722" i="1"/>
  <c r="R722" i="1" s="1"/>
  <c r="Q723" i="1"/>
  <c r="R723" i="1" s="1"/>
  <c r="Q724" i="1"/>
  <c r="R724" i="1" s="1"/>
  <c r="Q725" i="1"/>
  <c r="R725" i="1" s="1"/>
  <c r="Q726" i="1"/>
  <c r="R726" i="1" s="1"/>
  <c r="Q727" i="1"/>
  <c r="R727" i="1" s="1"/>
  <c r="Q728" i="1"/>
  <c r="R728" i="1" s="1"/>
  <c r="Q729" i="1"/>
  <c r="R729" i="1" s="1"/>
  <c r="Q730" i="1"/>
  <c r="R730" i="1" s="1"/>
  <c r="Q731" i="1"/>
  <c r="R731" i="1" s="1"/>
  <c r="Q732" i="1"/>
  <c r="R732" i="1" s="1"/>
  <c r="Q733" i="1"/>
  <c r="R733" i="1" s="1"/>
  <c r="Q734" i="1"/>
  <c r="R734" i="1" s="1"/>
  <c r="Q735" i="1"/>
  <c r="R735" i="1" s="1"/>
  <c r="Q736" i="1"/>
  <c r="R736" i="1" s="1"/>
  <c r="Q737" i="1"/>
  <c r="R737" i="1" s="1"/>
  <c r="Q738" i="1"/>
  <c r="R738" i="1" s="1"/>
  <c r="Q739" i="1"/>
  <c r="R739" i="1" s="1"/>
  <c r="Q740" i="1"/>
  <c r="R740" i="1" s="1"/>
  <c r="Q741" i="1"/>
  <c r="R741" i="1" s="1"/>
  <c r="Q742" i="1"/>
  <c r="R742" i="1" s="1"/>
  <c r="Q743" i="1"/>
  <c r="R743" i="1" s="1"/>
  <c r="Q744" i="1"/>
  <c r="R744" i="1" s="1"/>
  <c r="Q745" i="1"/>
  <c r="R745" i="1" s="1"/>
  <c r="Q746" i="1"/>
  <c r="R746" i="1" s="1"/>
  <c r="Q747" i="1"/>
  <c r="R747" i="1" s="1"/>
  <c r="Q748" i="1"/>
  <c r="R748" i="1" s="1"/>
  <c r="Q749" i="1"/>
  <c r="R749" i="1" s="1"/>
  <c r="Q750" i="1"/>
  <c r="R750" i="1" s="1"/>
  <c r="Q751" i="1"/>
  <c r="R751" i="1" s="1"/>
  <c r="Q752" i="1"/>
  <c r="R752" i="1" s="1"/>
  <c r="Q753" i="1"/>
  <c r="R753" i="1" s="1"/>
  <c r="Q754" i="1"/>
  <c r="R754" i="1" s="1"/>
  <c r="Q755" i="1"/>
  <c r="R755" i="1" s="1"/>
  <c r="Q756" i="1"/>
  <c r="R756" i="1" s="1"/>
  <c r="Q757" i="1"/>
  <c r="R757" i="1" s="1"/>
  <c r="Q758" i="1"/>
  <c r="R758" i="1" s="1"/>
  <c r="Q759" i="1"/>
  <c r="R759" i="1" s="1"/>
  <c r="Q760" i="1"/>
  <c r="R760" i="1" s="1"/>
  <c r="Q761" i="1"/>
  <c r="R761" i="1" s="1"/>
  <c r="Q762" i="1"/>
  <c r="R762" i="1" s="1"/>
  <c r="Q763" i="1"/>
  <c r="R763" i="1" s="1"/>
  <c r="Q764" i="1"/>
  <c r="R764" i="1" s="1"/>
  <c r="Q765" i="1"/>
  <c r="R765" i="1" s="1"/>
  <c r="Q766" i="1"/>
  <c r="R766" i="1" s="1"/>
  <c r="Q767" i="1"/>
  <c r="R767" i="1" s="1"/>
  <c r="Q768" i="1"/>
  <c r="R768" i="1" s="1"/>
  <c r="Q769" i="1"/>
  <c r="R769" i="1" s="1"/>
  <c r="Q770" i="1"/>
  <c r="R770" i="1" s="1"/>
  <c r="Q771" i="1"/>
  <c r="R771" i="1" s="1"/>
  <c r="Q772" i="1"/>
  <c r="R772" i="1" s="1"/>
  <c r="Q773" i="1"/>
  <c r="R773" i="1" s="1"/>
  <c r="Q774" i="1"/>
  <c r="R774" i="1" s="1"/>
  <c r="Q775" i="1"/>
  <c r="R775" i="1" s="1"/>
  <c r="Q776" i="1"/>
  <c r="R776" i="1" s="1"/>
  <c r="Q777" i="1"/>
  <c r="R777" i="1" s="1"/>
  <c r="Q778" i="1"/>
  <c r="R778" i="1" s="1"/>
  <c r="Q779" i="1"/>
  <c r="R779" i="1" s="1"/>
  <c r="Q780" i="1"/>
  <c r="R780" i="1" s="1"/>
  <c r="Q781" i="1"/>
  <c r="R781" i="1" s="1"/>
  <c r="Q783" i="1"/>
  <c r="R783" i="1" s="1"/>
  <c r="Q784" i="1"/>
  <c r="R784" i="1" s="1"/>
  <c r="Q785" i="1"/>
  <c r="R785" i="1" s="1"/>
  <c r="Q786" i="1"/>
  <c r="R786" i="1" s="1"/>
  <c r="Q787" i="1"/>
  <c r="R787" i="1" s="1"/>
  <c r="Q788" i="1"/>
  <c r="R788" i="1" s="1"/>
  <c r="Q789" i="1"/>
  <c r="R789" i="1" s="1"/>
  <c r="Q790" i="1"/>
  <c r="R790" i="1" s="1"/>
  <c r="Q791" i="1"/>
  <c r="R791" i="1" s="1"/>
  <c r="Q792" i="1"/>
  <c r="R792" i="1" s="1"/>
  <c r="Q793" i="1"/>
  <c r="R793" i="1" s="1"/>
  <c r="Q794" i="1"/>
  <c r="R794" i="1" s="1"/>
  <c r="Q795" i="1"/>
  <c r="R795" i="1" s="1"/>
  <c r="Q796" i="1"/>
  <c r="R796" i="1" s="1"/>
  <c r="Q797" i="1"/>
  <c r="R797" i="1" s="1"/>
  <c r="Q798" i="1"/>
  <c r="R798" i="1" s="1"/>
  <c r="Q800" i="1"/>
  <c r="R800" i="1" s="1"/>
  <c r="Q801" i="1"/>
  <c r="R801" i="1" s="1"/>
  <c r="Q802" i="1"/>
  <c r="R802" i="1" s="1"/>
  <c r="Q803" i="1"/>
  <c r="R803" i="1" s="1"/>
  <c r="Q804" i="1"/>
  <c r="R804" i="1" s="1"/>
  <c r="Q805" i="1"/>
  <c r="R805" i="1" s="1"/>
  <c r="Q806" i="1"/>
  <c r="R806" i="1" s="1"/>
  <c r="Q807" i="1"/>
  <c r="R807" i="1" s="1"/>
  <c r="Q808" i="1"/>
  <c r="R808" i="1" s="1"/>
  <c r="Q809" i="1"/>
  <c r="R809" i="1" s="1"/>
  <c r="Q810" i="1"/>
  <c r="R810" i="1" s="1"/>
  <c r="Q811" i="1"/>
  <c r="R811" i="1" s="1"/>
  <c r="Q812" i="1"/>
  <c r="R812" i="1" s="1"/>
  <c r="Q813" i="1"/>
  <c r="R813" i="1" s="1"/>
  <c r="Q814" i="1"/>
  <c r="R814" i="1" s="1"/>
  <c r="Q815" i="1"/>
  <c r="R815" i="1" s="1"/>
  <c r="Q816" i="1"/>
  <c r="R816" i="1" s="1"/>
  <c r="Q817" i="1"/>
  <c r="R817" i="1" s="1"/>
  <c r="Q818" i="1"/>
  <c r="R818" i="1" s="1"/>
  <c r="Q820" i="1"/>
  <c r="R820" i="1" s="1"/>
  <c r="Q821" i="1"/>
  <c r="R821" i="1" s="1"/>
  <c r="Q822" i="1"/>
  <c r="R822" i="1" s="1"/>
  <c r="Q823" i="1"/>
  <c r="R823" i="1" s="1"/>
  <c r="Q824" i="1"/>
  <c r="R824" i="1" s="1"/>
  <c r="Q825" i="1"/>
  <c r="R825" i="1" s="1"/>
  <c r="Q826" i="1"/>
  <c r="R826" i="1" s="1"/>
  <c r="Q827" i="1"/>
  <c r="R827" i="1" s="1"/>
  <c r="Q828" i="1"/>
  <c r="R828" i="1" s="1"/>
  <c r="Q829" i="1"/>
  <c r="R829" i="1" s="1"/>
  <c r="Q830" i="1"/>
  <c r="R830" i="1" s="1"/>
  <c r="Q831" i="1"/>
  <c r="R831" i="1" s="1"/>
  <c r="Q832" i="1"/>
  <c r="R832" i="1" s="1"/>
  <c r="Q833" i="1"/>
  <c r="R833" i="1" s="1"/>
  <c r="Q834" i="1"/>
  <c r="R834" i="1" s="1"/>
  <c r="Q835" i="1"/>
  <c r="R835" i="1" s="1"/>
  <c r="Q836" i="1"/>
  <c r="R836" i="1" s="1"/>
  <c r="Q838" i="1"/>
  <c r="R838" i="1" s="1"/>
  <c r="Q839" i="1"/>
  <c r="R839" i="1" s="1"/>
  <c r="Q840" i="1"/>
  <c r="R840" i="1" s="1"/>
  <c r="Q841" i="1"/>
  <c r="R841" i="1" s="1"/>
  <c r="Q842" i="1"/>
  <c r="R842" i="1" s="1"/>
  <c r="Q843" i="1"/>
  <c r="R843" i="1" s="1"/>
  <c r="Q844" i="1"/>
  <c r="R844" i="1" s="1"/>
  <c r="Q845" i="1"/>
  <c r="R845" i="1" s="1"/>
  <c r="Q846" i="1"/>
  <c r="R846" i="1" s="1"/>
  <c r="Q847" i="1"/>
  <c r="R847" i="1" s="1"/>
  <c r="Q848" i="1"/>
  <c r="R848" i="1" s="1"/>
  <c r="Q849" i="1"/>
  <c r="R849" i="1" s="1"/>
  <c r="Q850" i="1"/>
  <c r="R850" i="1" s="1"/>
  <c r="Q851" i="1"/>
  <c r="R851" i="1" s="1"/>
  <c r="Q852" i="1"/>
  <c r="R852" i="1" s="1"/>
  <c r="Q853" i="1"/>
  <c r="R853" i="1" s="1"/>
  <c r="Q854" i="1"/>
  <c r="R854" i="1" s="1"/>
  <c r="Q855" i="1"/>
  <c r="R855" i="1" s="1"/>
  <c r="Q856" i="1"/>
  <c r="R856" i="1" s="1"/>
  <c r="Q857" i="1"/>
  <c r="R857" i="1" s="1"/>
  <c r="Q858" i="1"/>
  <c r="R858" i="1" s="1"/>
  <c r="Q859" i="1"/>
  <c r="R859" i="1" s="1"/>
  <c r="Q861" i="1"/>
  <c r="R861" i="1" s="1"/>
  <c r="Q862" i="1"/>
  <c r="R862" i="1" s="1"/>
  <c r="Q863" i="1"/>
  <c r="R863" i="1" s="1"/>
  <c r="Q864" i="1"/>
  <c r="R864" i="1" s="1"/>
  <c r="Q865" i="1"/>
  <c r="R865" i="1" s="1"/>
  <c r="Q866" i="1"/>
  <c r="R866" i="1" s="1"/>
  <c r="Q868" i="1"/>
  <c r="R868" i="1" s="1"/>
  <c r="Q869" i="1"/>
  <c r="R869" i="1" s="1"/>
  <c r="Q870" i="1"/>
  <c r="R870" i="1" s="1"/>
  <c r="Q871" i="1"/>
  <c r="R871" i="1" s="1"/>
  <c r="Q872" i="1"/>
  <c r="R872" i="1" s="1"/>
  <c r="Q873" i="1"/>
  <c r="R873" i="1" s="1"/>
  <c r="Q874" i="1"/>
  <c r="R874" i="1" s="1"/>
  <c r="Q875" i="1"/>
  <c r="R875" i="1" s="1"/>
  <c r="Q876" i="1"/>
  <c r="R876" i="1" s="1"/>
  <c r="Q877" i="1"/>
  <c r="R877" i="1" s="1"/>
  <c r="Q878" i="1"/>
  <c r="R878" i="1" s="1"/>
  <c r="Q879" i="1"/>
  <c r="R879" i="1" s="1"/>
  <c r="Q880" i="1"/>
  <c r="R880" i="1" s="1"/>
  <c r="Q881" i="1"/>
  <c r="R881" i="1" s="1"/>
  <c r="Q882" i="1"/>
  <c r="R882" i="1" s="1"/>
  <c r="Q883" i="1"/>
  <c r="R883" i="1" s="1"/>
  <c r="Q884" i="1"/>
  <c r="R884" i="1" s="1"/>
  <c r="Q885" i="1"/>
  <c r="R885" i="1" s="1"/>
  <c r="Q886" i="1"/>
  <c r="R886" i="1" s="1"/>
  <c r="Q887" i="1"/>
  <c r="R887" i="1" s="1"/>
  <c r="Q888" i="1"/>
  <c r="R888" i="1" s="1"/>
  <c r="Q889" i="1"/>
  <c r="R889" i="1" s="1"/>
  <c r="Q890" i="1"/>
  <c r="R890" i="1" s="1"/>
  <c r="Q891" i="1"/>
  <c r="R891" i="1" s="1"/>
  <c r="Q892" i="1"/>
  <c r="R892" i="1" s="1"/>
  <c r="Q893" i="1"/>
  <c r="R893" i="1" s="1"/>
  <c r="Q894" i="1"/>
  <c r="R894" i="1" s="1"/>
  <c r="Q895" i="1"/>
  <c r="R895" i="1" s="1"/>
  <c r="Q896" i="1"/>
  <c r="R896" i="1" s="1"/>
  <c r="Q897" i="1"/>
  <c r="R897" i="1" s="1"/>
  <c r="Q898" i="1"/>
  <c r="R898" i="1" s="1"/>
  <c r="Q899" i="1"/>
  <c r="R899" i="1" s="1"/>
  <c r="Q900" i="1"/>
  <c r="R900" i="1" s="1"/>
  <c r="Q901" i="1"/>
  <c r="R901" i="1" s="1"/>
  <c r="Q902" i="1"/>
  <c r="R902" i="1" s="1"/>
  <c r="Q903" i="1"/>
  <c r="R903" i="1" s="1"/>
  <c r="Q904" i="1"/>
  <c r="R904" i="1" s="1"/>
  <c r="Q905" i="1"/>
  <c r="R905" i="1" s="1"/>
  <c r="Q906" i="1"/>
  <c r="R906" i="1" s="1"/>
  <c r="Q907" i="1"/>
  <c r="R907" i="1" s="1"/>
  <c r="Q908" i="1"/>
  <c r="R908" i="1" s="1"/>
  <c r="Q909" i="1"/>
  <c r="R909" i="1" s="1"/>
  <c r="Q910" i="1"/>
  <c r="R910" i="1" s="1"/>
  <c r="Q911" i="1"/>
  <c r="R911" i="1" s="1"/>
  <c r="Q912" i="1"/>
  <c r="R912" i="1" s="1"/>
  <c r="Q913" i="1"/>
  <c r="R913" i="1" s="1"/>
  <c r="Q914" i="1"/>
  <c r="R914" i="1" s="1"/>
  <c r="Q915" i="1"/>
  <c r="R915" i="1" s="1"/>
  <c r="Q916" i="1"/>
  <c r="R916" i="1" s="1"/>
  <c r="Q917" i="1"/>
  <c r="R917" i="1" s="1"/>
  <c r="Q918" i="1"/>
  <c r="R918" i="1" s="1"/>
  <c r="Q919" i="1"/>
  <c r="R919" i="1" s="1"/>
  <c r="Q920" i="1"/>
  <c r="R920" i="1" s="1"/>
  <c r="Q921" i="1"/>
  <c r="R921" i="1" s="1"/>
  <c r="Q922" i="1"/>
  <c r="R922" i="1" s="1"/>
  <c r="Q923" i="1"/>
  <c r="R923" i="1" s="1"/>
  <c r="Q924" i="1"/>
  <c r="R924" i="1" s="1"/>
  <c r="Q925" i="1"/>
  <c r="R925" i="1" s="1"/>
  <c r="Q926" i="1"/>
  <c r="R926" i="1" s="1"/>
  <c r="Q927" i="1"/>
  <c r="R927" i="1" s="1"/>
  <c r="Q928" i="1"/>
  <c r="R928" i="1" s="1"/>
  <c r="Q929" i="1"/>
  <c r="R929" i="1" s="1"/>
  <c r="Q930" i="1"/>
  <c r="R930" i="1" s="1"/>
  <c r="Q931" i="1"/>
  <c r="R931" i="1" s="1"/>
  <c r="Q932" i="1"/>
  <c r="R932" i="1" s="1"/>
  <c r="Q933" i="1"/>
  <c r="R933" i="1" s="1"/>
  <c r="Q934" i="1"/>
  <c r="R934" i="1" s="1"/>
  <c r="Q935" i="1"/>
  <c r="R935" i="1" s="1"/>
  <c r="Q936" i="1"/>
  <c r="R936" i="1" s="1"/>
  <c r="Q937" i="1"/>
  <c r="R937" i="1" s="1"/>
  <c r="Q938" i="1"/>
  <c r="R938" i="1" s="1"/>
  <c r="Q939" i="1"/>
  <c r="R939" i="1" s="1"/>
  <c r="Q940" i="1"/>
  <c r="R940" i="1" s="1"/>
  <c r="Q941" i="1"/>
  <c r="R941" i="1" s="1"/>
  <c r="Q942" i="1"/>
  <c r="R942" i="1" s="1"/>
  <c r="Q943" i="1"/>
  <c r="R943" i="1" s="1"/>
  <c r="Q944" i="1"/>
  <c r="R944" i="1" s="1"/>
  <c r="Q945" i="1"/>
  <c r="R945" i="1" s="1"/>
  <c r="Q946" i="1"/>
  <c r="R946" i="1" s="1"/>
  <c r="Q947" i="1"/>
  <c r="R947" i="1" s="1"/>
  <c r="Q948" i="1"/>
  <c r="R948" i="1" s="1"/>
  <c r="Q950" i="1"/>
  <c r="R950" i="1" s="1"/>
  <c r="Q951" i="1"/>
  <c r="R951" i="1" s="1"/>
  <c r="Q952" i="1"/>
  <c r="R952" i="1" s="1"/>
  <c r="Q953" i="1"/>
  <c r="R953" i="1" s="1"/>
  <c r="Q954" i="1"/>
  <c r="R954" i="1" s="1"/>
  <c r="Q955" i="1"/>
  <c r="R955" i="1" s="1"/>
  <c r="Q956" i="1"/>
  <c r="R956" i="1" s="1"/>
  <c r="Q957" i="1"/>
  <c r="R957" i="1" s="1"/>
  <c r="Q958" i="1"/>
  <c r="R958" i="1" s="1"/>
  <c r="Q959" i="1"/>
  <c r="R959" i="1" s="1"/>
  <c r="Q960" i="1"/>
  <c r="R960" i="1" s="1"/>
  <c r="Q961" i="1"/>
  <c r="R961" i="1" s="1"/>
  <c r="Q962" i="1"/>
  <c r="R962" i="1" s="1"/>
  <c r="Q963" i="1"/>
  <c r="R963" i="1" s="1"/>
  <c r="Q965" i="1"/>
  <c r="R965" i="1" s="1"/>
  <c r="Q966" i="1"/>
  <c r="R966" i="1" s="1"/>
  <c r="Q967" i="1"/>
  <c r="R967" i="1" s="1"/>
  <c r="Q968" i="1"/>
  <c r="R968" i="1" s="1"/>
  <c r="Q969" i="1"/>
  <c r="R969" i="1" s="1"/>
  <c r="Q970" i="1"/>
  <c r="R970" i="1" s="1"/>
  <c r="Q971" i="1"/>
  <c r="R971" i="1" s="1"/>
  <c r="Q972" i="1"/>
  <c r="R972" i="1" s="1"/>
  <c r="Q973" i="1"/>
  <c r="R973" i="1" s="1"/>
  <c r="Q974" i="1"/>
  <c r="R974" i="1" s="1"/>
  <c r="Q975" i="1"/>
  <c r="R975" i="1" s="1"/>
  <c r="Q976" i="1"/>
  <c r="R976" i="1" s="1"/>
  <c r="Q977" i="1"/>
  <c r="R977" i="1" s="1"/>
  <c r="Q978" i="1"/>
  <c r="R978" i="1" s="1"/>
  <c r="Q979" i="1"/>
  <c r="R979" i="1" s="1"/>
  <c r="Q980" i="1"/>
  <c r="R980" i="1" s="1"/>
  <c r="Q981" i="1"/>
  <c r="R981" i="1" s="1"/>
  <c r="Q982" i="1"/>
  <c r="R982" i="1" s="1"/>
  <c r="Q983" i="1"/>
  <c r="R983" i="1" s="1"/>
  <c r="Q984" i="1"/>
  <c r="R984" i="1" s="1"/>
  <c r="Q985" i="1"/>
  <c r="R985" i="1" s="1"/>
  <c r="Q986" i="1"/>
  <c r="R986" i="1" s="1"/>
  <c r="Q987" i="1"/>
  <c r="R987" i="1" s="1"/>
  <c r="Q988" i="1"/>
  <c r="R988" i="1" s="1"/>
  <c r="Q989" i="1"/>
  <c r="R989" i="1" s="1"/>
  <c r="Q990" i="1"/>
  <c r="R990" i="1" s="1"/>
  <c r="Q991" i="1"/>
  <c r="R991" i="1" s="1"/>
  <c r="Q992" i="1"/>
  <c r="R992" i="1" s="1"/>
  <c r="Q993" i="1"/>
  <c r="R993" i="1" s="1"/>
  <c r="Q994" i="1"/>
  <c r="R994" i="1" s="1"/>
  <c r="Q995" i="1"/>
  <c r="R995" i="1" s="1"/>
  <c r="Q996" i="1"/>
  <c r="R996" i="1" s="1"/>
  <c r="Q997" i="1"/>
  <c r="R997" i="1" s="1"/>
  <c r="Q998" i="1"/>
  <c r="R998" i="1" s="1"/>
  <c r="Q999" i="1"/>
  <c r="R999" i="1" s="1"/>
  <c r="Q1000" i="1"/>
  <c r="R1000" i="1" s="1"/>
  <c r="Q1001" i="1"/>
  <c r="R1001" i="1" s="1"/>
  <c r="Q1002" i="1"/>
  <c r="R1002" i="1" s="1"/>
  <c r="Q1003" i="1"/>
  <c r="R1003" i="1" s="1"/>
  <c r="Q1004" i="1"/>
  <c r="R1004" i="1" s="1"/>
  <c r="Q1005" i="1"/>
  <c r="R1005" i="1" s="1"/>
  <c r="Q1006" i="1"/>
  <c r="R1006" i="1" s="1"/>
  <c r="Q1007" i="1"/>
  <c r="R1007" i="1" s="1"/>
  <c r="Q1008" i="1"/>
  <c r="R1008" i="1" s="1"/>
  <c r="Q1010" i="1"/>
  <c r="R1010" i="1" s="1"/>
  <c r="Q1011" i="1"/>
  <c r="R1011" i="1" s="1"/>
  <c r="Q1012" i="1"/>
  <c r="R1012" i="1" s="1"/>
  <c r="Q1013" i="1"/>
  <c r="R1013" i="1" s="1"/>
  <c r="Q1014" i="1"/>
  <c r="R1014" i="1" s="1"/>
  <c r="Q1015" i="1"/>
  <c r="R1015" i="1" s="1"/>
  <c r="Q1016" i="1"/>
  <c r="R1016" i="1" s="1"/>
  <c r="Q1017" i="1"/>
  <c r="R1017" i="1" s="1"/>
  <c r="Q1018" i="1"/>
  <c r="R1018" i="1" s="1"/>
  <c r="Q1019" i="1"/>
  <c r="R1019" i="1" s="1"/>
  <c r="Q1020" i="1"/>
  <c r="R1020" i="1" s="1"/>
  <c r="Q1021" i="1"/>
  <c r="R1021" i="1" s="1"/>
  <c r="Q1022" i="1"/>
  <c r="R1022" i="1" s="1"/>
  <c r="Q1023" i="1"/>
  <c r="R1023" i="1" s="1"/>
  <c r="Q1024" i="1"/>
  <c r="R1024" i="1" s="1"/>
  <c r="Q1025" i="1"/>
  <c r="R1025" i="1" s="1"/>
  <c r="Q1026" i="1"/>
  <c r="R1026" i="1" s="1"/>
  <c r="Q1027" i="1"/>
  <c r="R1027" i="1" s="1"/>
  <c r="Q1028" i="1"/>
  <c r="R1028" i="1" s="1"/>
  <c r="Q1029" i="1"/>
  <c r="R1029" i="1" s="1"/>
  <c r="Q1030" i="1"/>
  <c r="R1030" i="1" s="1"/>
  <c r="Q1031" i="1"/>
  <c r="R1031" i="1" s="1"/>
  <c r="Q1032" i="1"/>
  <c r="R1032" i="1" s="1"/>
  <c r="Q1033" i="1"/>
  <c r="R1033" i="1" s="1"/>
  <c r="Q1034" i="1"/>
  <c r="R1034" i="1" s="1"/>
  <c r="Q1035" i="1"/>
  <c r="R1035" i="1" s="1"/>
  <c r="Q1036" i="1"/>
  <c r="R1036" i="1" s="1"/>
  <c r="Q1037" i="1"/>
  <c r="R1037" i="1" s="1"/>
  <c r="Q1038" i="1"/>
  <c r="R1038" i="1" s="1"/>
  <c r="Q1039" i="1"/>
  <c r="R1039" i="1" s="1"/>
  <c r="Q1040" i="1"/>
  <c r="R1040" i="1" s="1"/>
  <c r="Q1042" i="1"/>
  <c r="R1042" i="1" s="1"/>
  <c r="Q1043" i="1"/>
  <c r="R1043" i="1" s="1"/>
  <c r="Q1044" i="1"/>
  <c r="R1044" i="1" s="1"/>
  <c r="Q1045" i="1"/>
  <c r="R1045" i="1" s="1"/>
  <c r="Q1046" i="1"/>
  <c r="R1046" i="1" s="1"/>
  <c r="Q1047" i="1"/>
  <c r="R1047" i="1" s="1"/>
  <c r="Q1048" i="1"/>
  <c r="R1048" i="1" s="1"/>
  <c r="Q1049" i="1"/>
  <c r="R1049" i="1" s="1"/>
  <c r="Q1050" i="1"/>
  <c r="R1050" i="1" s="1"/>
  <c r="Q1051" i="1"/>
  <c r="R1051" i="1" s="1"/>
  <c r="Q1052" i="1"/>
  <c r="R1052" i="1" s="1"/>
  <c r="Q1053" i="1"/>
  <c r="R1053" i="1" s="1"/>
  <c r="Q1054" i="1"/>
  <c r="R1054" i="1" s="1"/>
  <c r="Q1055" i="1"/>
  <c r="R1055" i="1" s="1"/>
  <c r="Q1056" i="1"/>
  <c r="R1056" i="1" s="1"/>
  <c r="Q1057" i="1"/>
  <c r="R1057" i="1" s="1"/>
  <c r="Q1058" i="1"/>
  <c r="R1058" i="1" s="1"/>
  <c r="Q1059" i="1"/>
  <c r="R1059" i="1" s="1"/>
  <c r="Q1060" i="1"/>
  <c r="R1060" i="1" s="1"/>
  <c r="Q1061" i="1"/>
  <c r="R1061" i="1" s="1"/>
  <c r="Q1062" i="1"/>
  <c r="R1062" i="1" s="1"/>
  <c r="Q1063" i="1"/>
  <c r="R1063" i="1" s="1"/>
  <c r="Q1064" i="1"/>
  <c r="R1064" i="1" s="1"/>
  <c r="Q1065" i="1"/>
  <c r="R1065" i="1" s="1"/>
  <c r="Q1066" i="1"/>
  <c r="R1066" i="1" s="1"/>
  <c r="Q1067" i="1"/>
  <c r="R1067" i="1" s="1"/>
  <c r="Q1068" i="1"/>
  <c r="R1068" i="1" s="1"/>
  <c r="Q1069" i="1"/>
  <c r="R1069" i="1" s="1"/>
  <c r="Q1070" i="1"/>
  <c r="R1070" i="1" s="1"/>
  <c r="Q1071" i="1"/>
  <c r="R1071" i="1" s="1"/>
  <c r="Q1072" i="1"/>
  <c r="R1072" i="1" s="1"/>
  <c r="Q1073" i="1"/>
  <c r="R1073" i="1" s="1"/>
  <c r="Q1074" i="1"/>
  <c r="R1074" i="1" s="1"/>
  <c r="Q1075" i="1"/>
  <c r="R1075" i="1" s="1"/>
  <c r="Q1076" i="1"/>
  <c r="R1076" i="1" s="1"/>
  <c r="Q1077" i="1"/>
  <c r="R1077" i="1" s="1"/>
  <c r="Q1078" i="1"/>
  <c r="R1078" i="1" s="1"/>
  <c r="Q1079" i="1"/>
  <c r="R1079" i="1" s="1"/>
  <c r="Q1080" i="1"/>
  <c r="R1080" i="1" s="1"/>
  <c r="Q1081" i="1"/>
  <c r="R1081" i="1" s="1"/>
  <c r="Q1082" i="1"/>
  <c r="R1082" i="1" s="1"/>
  <c r="Q1083" i="1"/>
  <c r="R1083" i="1" s="1"/>
  <c r="Q1084" i="1"/>
  <c r="R1084" i="1" s="1"/>
  <c r="Q1085" i="1"/>
  <c r="R1085" i="1" s="1"/>
  <c r="Q1086" i="1"/>
  <c r="R1086" i="1" s="1"/>
  <c r="Q1087" i="1"/>
  <c r="R1087" i="1" s="1"/>
  <c r="Q1088" i="1"/>
  <c r="R1088" i="1" s="1"/>
  <c r="Q1089" i="1"/>
  <c r="R1089" i="1" s="1"/>
  <c r="Q1090" i="1"/>
  <c r="R1090" i="1" s="1"/>
  <c r="Q1091" i="1"/>
  <c r="R1091" i="1" s="1"/>
  <c r="Q1092" i="1"/>
  <c r="R1092" i="1" s="1"/>
  <c r="Q1093" i="1"/>
  <c r="R1093" i="1" s="1"/>
  <c r="Q1094" i="1"/>
  <c r="R1094" i="1" s="1"/>
  <c r="Q1095" i="1"/>
  <c r="R1095" i="1" s="1"/>
  <c r="Q1096" i="1"/>
  <c r="R1096" i="1" s="1"/>
  <c r="Q1097" i="1"/>
  <c r="R1097" i="1" s="1"/>
  <c r="Q1098" i="1"/>
  <c r="R1098" i="1" s="1"/>
  <c r="Q1099" i="1"/>
  <c r="R1099" i="1" s="1"/>
  <c r="Q1100" i="1"/>
  <c r="R1100" i="1" s="1"/>
  <c r="Q1101" i="1"/>
  <c r="R1101" i="1" s="1"/>
  <c r="Q1102" i="1"/>
  <c r="R1102" i="1" s="1"/>
  <c r="Q1103" i="1"/>
  <c r="R1103" i="1" s="1"/>
  <c r="Q1104" i="1"/>
  <c r="R1104" i="1" s="1"/>
  <c r="Q1105" i="1"/>
  <c r="R1105" i="1" s="1"/>
  <c r="Q1106" i="1"/>
  <c r="R1106" i="1" s="1"/>
  <c r="Q1107" i="1"/>
  <c r="R1107" i="1" s="1"/>
  <c r="Q1108" i="1"/>
  <c r="R1108" i="1" s="1"/>
  <c r="Q1109" i="1"/>
  <c r="R1109" i="1" s="1"/>
  <c r="Q1110" i="1"/>
  <c r="R1110" i="1" s="1"/>
  <c r="Q1111" i="1"/>
  <c r="R1111" i="1" s="1"/>
  <c r="Q1112" i="1"/>
  <c r="R1112" i="1" s="1"/>
  <c r="Q1113" i="1"/>
  <c r="R1113" i="1" s="1"/>
  <c r="Q1114" i="1"/>
  <c r="R1114" i="1" s="1"/>
  <c r="Q1115" i="1"/>
  <c r="R1115" i="1" s="1"/>
  <c r="Q1116" i="1"/>
  <c r="R1116" i="1" s="1"/>
  <c r="Q1117" i="1"/>
  <c r="R1117" i="1" s="1"/>
  <c r="Q1118" i="1"/>
  <c r="R1118" i="1" s="1"/>
  <c r="Q1119" i="1"/>
  <c r="R1119" i="1" s="1"/>
  <c r="Q1120" i="1"/>
  <c r="R1120" i="1" s="1"/>
  <c r="Q1121" i="1"/>
  <c r="R1121" i="1" s="1"/>
  <c r="Q1122" i="1"/>
  <c r="R1122" i="1" s="1"/>
  <c r="Q1123" i="1"/>
  <c r="R1123" i="1" s="1"/>
  <c r="Q1124" i="1"/>
  <c r="R1124" i="1" s="1"/>
  <c r="Q1125" i="1"/>
  <c r="R1125" i="1" s="1"/>
  <c r="Q1126" i="1"/>
  <c r="R1126" i="1" s="1"/>
  <c r="Q1127" i="1"/>
  <c r="R1127" i="1" s="1"/>
  <c r="Q1128" i="1"/>
  <c r="R1128" i="1" s="1"/>
  <c r="Q1129" i="1"/>
  <c r="R1129" i="1" s="1"/>
  <c r="Q1130" i="1"/>
  <c r="R1130" i="1" s="1"/>
  <c r="Q1132" i="1"/>
  <c r="R1132" i="1" s="1"/>
  <c r="Q1133" i="1"/>
  <c r="R1133" i="1" s="1"/>
  <c r="Q1134" i="1"/>
  <c r="R1134" i="1" s="1"/>
  <c r="Q1135" i="1"/>
  <c r="R1135" i="1" s="1"/>
  <c r="Q1136" i="1"/>
  <c r="R1136" i="1" s="1"/>
  <c r="Q1137" i="1"/>
  <c r="R1137" i="1" s="1"/>
  <c r="Q1138" i="1"/>
  <c r="R1138" i="1" s="1"/>
  <c r="Q1139" i="1"/>
  <c r="R1139" i="1" s="1"/>
  <c r="Q1140" i="1"/>
  <c r="R1140" i="1" s="1"/>
  <c r="Q1141" i="1"/>
  <c r="R1141" i="1" s="1"/>
  <c r="Q1142" i="1"/>
  <c r="R1142" i="1" s="1"/>
  <c r="Q1143" i="1"/>
  <c r="R1143" i="1" s="1"/>
  <c r="Q1144" i="1"/>
  <c r="R1144" i="1" s="1"/>
  <c r="Q1145" i="1"/>
  <c r="R1145" i="1" s="1"/>
  <c r="Q1146" i="1"/>
  <c r="R1146" i="1" s="1"/>
  <c r="Q1147" i="1"/>
  <c r="R1147" i="1" s="1"/>
  <c r="Q1148" i="1"/>
  <c r="R1148" i="1" s="1"/>
  <c r="Q1149" i="1"/>
  <c r="R1149" i="1" s="1"/>
  <c r="Q1150" i="1"/>
  <c r="R1150" i="1" s="1"/>
  <c r="Q1151" i="1"/>
  <c r="R1151" i="1" s="1"/>
  <c r="Q1152" i="1"/>
  <c r="R1152" i="1" s="1"/>
  <c r="Q1153" i="1"/>
  <c r="R1153" i="1" s="1"/>
  <c r="Q1154" i="1"/>
  <c r="R1154" i="1" s="1"/>
  <c r="Q1155" i="1"/>
  <c r="R1155" i="1" s="1"/>
  <c r="Q1156" i="1"/>
  <c r="R1156" i="1" s="1"/>
  <c r="Q1157" i="1"/>
  <c r="R1157" i="1" s="1"/>
  <c r="Q1158" i="1"/>
  <c r="R1158" i="1" s="1"/>
  <c r="Q1159" i="1"/>
  <c r="R1159" i="1" s="1"/>
  <c r="Q1160" i="1"/>
  <c r="R1160" i="1" s="1"/>
  <c r="Q1161" i="1"/>
  <c r="R1161" i="1" s="1"/>
  <c r="Q1162" i="1"/>
  <c r="R1162" i="1" s="1"/>
  <c r="Q1163" i="1"/>
  <c r="R1163" i="1" s="1"/>
  <c r="Q1164" i="1"/>
  <c r="R1164" i="1" s="1"/>
  <c r="Q1165" i="1"/>
  <c r="R1165" i="1" s="1"/>
  <c r="Q1166" i="1"/>
  <c r="R1166" i="1" s="1"/>
  <c r="Q1167" i="1"/>
  <c r="R1167" i="1" s="1"/>
  <c r="Q1168" i="1"/>
  <c r="R1168" i="1" s="1"/>
  <c r="Q1169" i="1"/>
  <c r="R1169" i="1" s="1"/>
  <c r="Q1170" i="1"/>
  <c r="R1170" i="1" s="1"/>
  <c r="Q1171" i="1"/>
  <c r="R1171" i="1" s="1"/>
  <c r="Q1172" i="1"/>
  <c r="R1172" i="1" s="1"/>
  <c r="Q1173" i="1"/>
  <c r="R1173" i="1" s="1"/>
  <c r="Q1174" i="1"/>
  <c r="R1174" i="1" s="1"/>
  <c r="Q1175" i="1"/>
  <c r="R1175" i="1" s="1"/>
  <c r="Q1176" i="1"/>
  <c r="R1176" i="1" s="1"/>
  <c r="Q1177" i="1"/>
  <c r="R1177" i="1" s="1"/>
  <c r="Q1178" i="1"/>
  <c r="R1178" i="1" s="1"/>
  <c r="Q1179" i="1"/>
  <c r="R1179" i="1" s="1"/>
  <c r="Q1180" i="1"/>
  <c r="R1180" i="1" s="1"/>
  <c r="Q1181" i="1"/>
  <c r="R1181" i="1" s="1"/>
  <c r="Q1182" i="1"/>
  <c r="R1182" i="1" s="1"/>
  <c r="Q1183" i="1"/>
  <c r="R1183" i="1" s="1"/>
  <c r="Q1184" i="1"/>
  <c r="R1184" i="1" s="1"/>
  <c r="Q1185" i="1"/>
  <c r="R1185" i="1" s="1"/>
  <c r="Q1186" i="1"/>
  <c r="R1186" i="1" s="1"/>
  <c r="Q1187" i="1"/>
  <c r="R1187" i="1" s="1"/>
  <c r="Q1188" i="1"/>
  <c r="R1188" i="1" s="1"/>
  <c r="Q1189" i="1"/>
  <c r="R1189" i="1" s="1"/>
  <c r="Q1190" i="1"/>
  <c r="R1190" i="1" s="1"/>
  <c r="Q1191" i="1"/>
  <c r="R1191" i="1" s="1"/>
  <c r="Q1192" i="1"/>
  <c r="R1192" i="1" s="1"/>
  <c r="Q1193" i="1"/>
  <c r="R1193" i="1" s="1"/>
  <c r="Q1194" i="1"/>
  <c r="R1194" i="1" s="1"/>
  <c r="Q1195" i="1"/>
  <c r="R1195" i="1" s="1"/>
  <c r="Q1196" i="1"/>
  <c r="R1196" i="1" s="1"/>
  <c r="Q1197" i="1"/>
  <c r="R1197" i="1" s="1"/>
  <c r="Q1198" i="1"/>
  <c r="R1198" i="1" s="1"/>
  <c r="Q1199" i="1"/>
  <c r="R1199" i="1" s="1"/>
  <c r="Q1200" i="1"/>
  <c r="R1200" i="1" s="1"/>
  <c r="Q1201" i="1"/>
  <c r="R1201" i="1" s="1"/>
  <c r="Q1202" i="1"/>
  <c r="R1202" i="1" s="1"/>
  <c r="Q1203" i="1"/>
  <c r="R1203" i="1" s="1"/>
  <c r="Q1204" i="1"/>
  <c r="R1204" i="1" s="1"/>
  <c r="Q1206" i="1"/>
  <c r="R1206" i="1" s="1"/>
  <c r="Q1207" i="1"/>
  <c r="R1207" i="1" s="1"/>
  <c r="Q1208" i="1"/>
  <c r="R1208" i="1" s="1"/>
  <c r="Q1209" i="1"/>
  <c r="R1209" i="1" s="1"/>
  <c r="Q1210" i="1"/>
  <c r="R1210" i="1" s="1"/>
  <c r="Q1211" i="1"/>
  <c r="R1211" i="1" s="1"/>
  <c r="Q1212" i="1"/>
  <c r="R1212" i="1" s="1"/>
  <c r="Q1214" i="1"/>
  <c r="R1214" i="1" s="1"/>
  <c r="Q1215" i="1"/>
  <c r="R1215" i="1" s="1"/>
  <c r="Q1216" i="1"/>
  <c r="R1216" i="1" s="1"/>
  <c r="Q1217" i="1"/>
  <c r="R1217" i="1" s="1"/>
  <c r="Q1218" i="1"/>
  <c r="R1218" i="1" s="1"/>
  <c r="Q1219" i="1"/>
  <c r="R1219" i="1" s="1"/>
  <c r="Q1220" i="1"/>
  <c r="R1220" i="1" s="1"/>
  <c r="Q1221" i="1"/>
  <c r="R1221" i="1" s="1"/>
  <c r="Q1222" i="1"/>
  <c r="R1222" i="1" s="1"/>
  <c r="Q1223" i="1"/>
  <c r="R1223" i="1" s="1"/>
  <c r="Q1224" i="1"/>
  <c r="R1224" i="1" s="1"/>
  <c r="Q1225" i="1"/>
  <c r="R1225" i="1" s="1"/>
  <c r="Q1226" i="1"/>
  <c r="R1226" i="1" s="1"/>
  <c r="Q1227" i="1"/>
  <c r="R1227" i="1" s="1"/>
  <c r="Q1228" i="1"/>
  <c r="R1228" i="1" s="1"/>
  <c r="Q1229" i="1"/>
  <c r="R1229" i="1" s="1"/>
  <c r="Q1230" i="1"/>
  <c r="R1230" i="1" s="1"/>
  <c r="Q1231" i="1"/>
  <c r="R1231" i="1" s="1"/>
  <c r="Q1232" i="1"/>
  <c r="R1232" i="1" s="1"/>
  <c r="Q1233" i="1"/>
  <c r="R1233" i="1" s="1"/>
  <c r="Q1234" i="1"/>
  <c r="R1234" i="1" s="1"/>
  <c r="Q1235" i="1"/>
  <c r="R1235" i="1" s="1"/>
  <c r="Q1236" i="1"/>
  <c r="R1236" i="1" s="1"/>
  <c r="Q1237" i="1"/>
  <c r="R1237" i="1" s="1"/>
  <c r="Q1238" i="1"/>
  <c r="R1238" i="1" s="1"/>
  <c r="Q1239" i="1"/>
  <c r="R1239" i="1" s="1"/>
  <c r="Q1240" i="1"/>
  <c r="R1240" i="1" s="1"/>
  <c r="Q1241" i="1"/>
  <c r="R1241" i="1" s="1"/>
  <c r="Q1242" i="1"/>
  <c r="R1242" i="1" s="1"/>
  <c r="Q1243" i="1"/>
  <c r="R1243" i="1" s="1"/>
  <c r="Q1244" i="1"/>
  <c r="R1244" i="1" s="1"/>
  <c r="Q1245" i="1"/>
  <c r="R1245" i="1" s="1"/>
  <c r="Q1246" i="1"/>
  <c r="R1246" i="1" s="1"/>
  <c r="Q1247" i="1"/>
  <c r="R1247" i="1" s="1"/>
  <c r="Q1248" i="1"/>
  <c r="R1248" i="1" s="1"/>
  <c r="Q1249" i="1"/>
  <c r="R1249" i="1" s="1"/>
  <c r="Q1250" i="1"/>
  <c r="R1250" i="1" s="1"/>
  <c r="Q1251" i="1"/>
  <c r="R1251" i="1" s="1"/>
  <c r="Q1252" i="1"/>
  <c r="R1252" i="1" s="1"/>
  <c r="Q1253" i="1"/>
  <c r="R1253" i="1" s="1"/>
  <c r="Q1254" i="1"/>
  <c r="R1254" i="1" s="1"/>
  <c r="Q1255" i="1"/>
  <c r="R1255" i="1" s="1"/>
  <c r="Q1256" i="1"/>
  <c r="R1256" i="1" s="1"/>
  <c r="Q1257" i="1"/>
  <c r="R1257" i="1" s="1"/>
  <c r="Q1258" i="1"/>
  <c r="R1258" i="1" s="1"/>
  <c r="Q1259" i="1"/>
  <c r="R1259" i="1" s="1"/>
  <c r="Q1260" i="1"/>
  <c r="R1260" i="1" s="1"/>
  <c r="Q1261" i="1"/>
  <c r="R1261" i="1" s="1"/>
  <c r="Q1262" i="1"/>
  <c r="R1262" i="1" s="1"/>
  <c r="Q1263" i="1"/>
  <c r="R1263" i="1" s="1"/>
  <c r="Q1264" i="1"/>
  <c r="R1264" i="1" s="1"/>
  <c r="Q1265" i="1"/>
  <c r="R1265" i="1" s="1"/>
  <c r="Q1266" i="1"/>
  <c r="R1266" i="1" s="1"/>
  <c r="Q1267" i="1"/>
  <c r="R1267" i="1" s="1"/>
  <c r="Q1268" i="1"/>
  <c r="R1268" i="1" s="1"/>
  <c r="Q1269" i="1"/>
  <c r="R1269" i="1" s="1"/>
  <c r="Q1270" i="1"/>
  <c r="R1270" i="1" s="1"/>
  <c r="Q1271" i="1"/>
  <c r="R1271" i="1" s="1"/>
  <c r="Q1272" i="1"/>
  <c r="R1272" i="1" s="1"/>
  <c r="Q1273" i="1"/>
  <c r="R1273" i="1" s="1"/>
  <c r="Q1274" i="1"/>
  <c r="R1274" i="1" s="1"/>
  <c r="Q1275" i="1"/>
  <c r="R1275" i="1" s="1"/>
  <c r="Q1276" i="1"/>
  <c r="R1276" i="1" s="1"/>
  <c r="Q1277" i="1"/>
  <c r="R1277" i="1" s="1"/>
  <c r="Q1278" i="1"/>
  <c r="R1278" i="1" s="1"/>
  <c r="Q1279" i="1"/>
  <c r="R1279" i="1" s="1"/>
  <c r="Q1280" i="1"/>
  <c r="R1280" i="1" s="1"/>
  <c r="Q1281" i="1"/>
  <c r="R1281" i="1" s="1"/>
  <c r="Q1282" i="1"/>
  <c r="R1282" i="1" s="1"/>
  <c r="Q1283" i="1"/>
  <c r="R1283" i="1" s="1"/>
  <c r="Q1284" i="1"/>
  <c r="R1284" i="1" s="1"/>
  <c r="Q1285" i="1"/>
  <c r="R1285" i="1" s="1"/>
  <c r="Q1286" i="1"/>
  <c r="R1286" i="1" s="1"/>
  <c r="Q1287" i="1"/>
  <c r="R1287" i="1" s="1"/>
  <c r="Q1288" i="1"/>
  <c r="R1288" i="1" s="1"/>
  <c r="Q1289" i="1"/>
  <c r="R1289" i="1" s="1"/>
  <c r="Q1290" i="1"/>
  <c r="R1290" i="1" s="1"/>
  <c r="Q1291" i="1"/>
  <c r="R1291" i="1" s="1"/>
  <c r="Q1292" i="1"/>
  <c r="R1292" i="1" s="1"/>
  <c r="Q1293" i="1"/>
  <c r="R1293" i="1" s="1"/>
  <c r="Q1294" i="1"/>
  <c r="R1294" i="1" s="1"/>
  <c r="Q1295" i="1"/>
  <c r="R1295" i="1" s="1"/>
  <c r="Q1296" i="1"/>
  <c r="R1296" i="1" s="1"/>
  <c r="Q1297" i="1"/>
  <c r="R1297" i="1" s="1"/>
  <c r="Q1298" i="1"/>
  <c r="R1298" i="1" s="1"/>
  <c r="Q1299" i="1"/>
  <c r="R1299" i="1" s="1"/>
  <c r="Q1300" i="1"/>
  <c r="R1300" i="1" s="1"/>
  <c r="Q1301" i="1"/>
  <c r="R1301" i="1" s="1"/>
  <c r="Q1302" i="1"/>
  <c r="R1302" i="1" s="1"/>
  <c r="Q1303" i="1"/>
  <c r="R1303" i="1" s="1"/>
  <c r="Q1304" i="1"/>
  <c r="R1304" i="1" s="1"/>
  <c r="Q1305" i="1"/>
  <c r="R1305" i="1" s="1"/>
  <c r="Q1306" i="1"/>
  <c r="R1306" i="1" s="1"/>
  <c r="Q1307" i="1"/>
  <c r="R1307" i="1" s="1"/>
  <c r="Q1308" i="1"/>
  <c r="R1308" i="1" s="1"/>
  <c r="Q1309" i="1"/>
  <c r="R1309" i="1" s="1"/>
  <c r="Q1310" i="1"/>
  <c r="R1310" i="1" s="1"/>
  <c r="Q1311" i="1"/>
  <c r="R1311" i="1" s="1"/>
  <c r="Q1312" i="1"/>
  <c r="R1312" i="1" s="1"/>
  <c r="Q1313" i="1"/>
  <c r="R1313" i="1" s="1"/>
  <c r="Q1314" i="1"/>
  <c r="R1314" i="1" s="1"/>
  <c r="Q1315" i="1"/>
  <c r="R1315" i="1" s="1"/>
  <c r="Q1316" i="1"/>
  <c r="R1316" i="1" s="1"/>
  <c r="Q1317" i="1"/>
  <c r="R1317" i="1" s="1"/>
  <c r="Q1318" i="1"/>
  <c r="R1318" i="1" s="1"/>
  <c r="Q1319" i="1"/>
  <c r="R1319" i="1" s="1"/>
  <c r="Q1320" i="1"/>
  <c r="R1320" i="1" s="1"/>
  <c r="Q1321" i="1"/>
  <c r="R1321" i="1" s="1"/>
  <c r="Q1322" i="1"/>
  <c r="R1322" i="1" s="1"/>
  <c r="Q1323" i="1"/>
  <c r="R1323" i="1" s="1"/>
  <c r="Q1324" i="1"/>
  <c r="R1324" i="1" s="1"/>
  <c r="Q1325" i="1"/>
  <c r="R1325" i="1" s="1"/>
  <c r="Q1326" i="1"/>
  <c r="R1326" i="1" s="1"/>
  <c r="Q1327" i="1"/>
  <c r="R1327" i="1" s="1"/>
  <c r="Q1328" i="1"/>
  <c r="R1328" i="1" s="1"/>
  <c r="Q1329" i="1"/>
  <c r="R1329" i="1" s="1"/>
  <c r="Q1330" i="1"/>
  <c r="R1330" i="1" s="1"/>
  <c r="Q1331" i="1"/>
  <c r="R1331" i="1" s="1"/>
  <c r="Q1333" i="1"/>
  <c r="R1333" i="1" s="1"/>
  <c r="Q1334" i="1"/>
  <c r="R1334" i="1" s="1"/>
  <c r="Q1335" i="1"/>
  <c r="R1335" i="1" s="1"/>
  <c r="Q1336" i="1"/>
  <c r="R1336" i="1" s="1"/>
  <c r="Q1337" i="1"/>
  <c r="R1337" i="1" s="1"/>
  <c r="Q1338" i="1"/>
  <c r="R1338" i="1" s="1"/>
  <c r="Q1339" i="1"/>
  <c r="R1339" i="1" s="1"/>
  <c r="Q1340" i="1"/>
  <c r="R1340" i="1" s="1"/>
  <c r="Q1341" i="1"/>
  <c r="R1341" i="1" s="1"/>
  <c r="Q1342" i="1"/>
  <c r="R1342" i="1" s="1"/>
  <c r="Q1343" i="1"/>
  <c r="R1343" i="1" s="1"/>
  <c r="Q1344" i="1"/>
  <c r="R1344" i="1" s="1"/>
  <c r="Q1345" i="1"/>
  <c r="R1345" i="1" s="1"/>
  <c r="Q1346" i="1"/>
  <c r="R1346" i="1" s="1"/>
  <c r="Q1347" i="1"/>
  <c r="R1347" i="1" s="1"/>
  <c r="Q1348" i="1"/>
  <c r="R1348" i="1" s="1"/>
  <c r="Q1349" i="1"/>
  <c r="R1349" i="1" s="1"/>
  <c r="Q1350" i="1"/>
  <c r="R1350" i="1" s="1"/>
  <c r="Q1351" i="1"/>
  <c r="R1351" i="1" s="1"/>
  <c r="Q1352" i="1"/>
  <c r="R1352" i="1" s="1"/>
  <c r="Q1353" i="1"/>
  <c r="R1353" i="1" s="1"/>
  <c r="Q1354" i="1"/>
  <c r="R1354" i="1" s="1"/>
  <c r="Q1355" i="1"/>
  <c r="R1355" i="1" s="1"/>
  <c r="Q1356" i="1"/>
  <c r="R1356" i="1" s="1"/>
  <c r="Q1357" i="1"/>
  <c r="R1357" i="1" s="1"/>
  <c r="Q1358" i="1"/>
  <c r="R1358" i="1" s="1"/>
  <c r="Q1359" i="1"/>
  <c r="R1359" i="1" s="1"/>
  <c r="Q1360" i="1"/>
  <c r="R1360" i="1" s="1"/>
  <c r="Q1361" i="1"/>
  <c r="R1361" i="1" s="1"/>
  <c r="Q1362" i="1"/>
  <c r="R1362" i="1" s="1"/>
  <c r="Q1363" i="1"/>
  <c r="R1363" i="1" s="1"/>
  <c r="Q1364" i="1"/>
  <c r="R1364" i="1" s="1"/>
  <c r="Q1365" i="1"/>
  <c r="R1365" i="1" s="1"/>
  <c r="Q1366" i="1"/>
  <c r="R1366" i="1" s="1"/>
  <c r="Q1367" i="1"/>
  <c r="R1367" i="1" s="1"/>
  <c r="Q1368" i="1"/>
  <c r="R1368" i="1" s="1"/>
  <c r="Q1369" i="1"/>
  <c r="R1369" i="1" s="1"/>
  <c r="Q1370" i="1"/>
  <c r="R1370" i="1" s="1"/>
  <c r="Q1371" i="1"/>
  <c r="R1371" i="1" s="1"/>
  <c r="Q1372" i="1"/>
  <c r="R1372" i="1" s="1"/>
  <c r="Q1373" i="1"/>
  <c r="R1373" i="1" s="1"/>
  <c r="Q1374" i="1"/>
  <c r="R1374" i="1" s="1"/>
  <c r="Q1375" i="1"/>
  <c r="R1375" i="1" s="1"/>
  <c r="Q1376" i="1"/>
  <c r="R1376" i="1" s="1"/>
  <c r="Q1377" i="1"/>
  <c r="R1377" i="1" s="1"/>
  <c r="Q1378" i="1"/>
  <c r="R1378" i="1" s="1"/>
  <c r="Q1379" i="1"/>
  <c r="R1379" i="1" s="1"/>
  <c r="Q1380" i="1"/>
  <c r="R1380" i="1" s="1"/>
  <c r="Q1381" i="1"/>
  <c r="R1381" i="1" s="1"/>
  <c r="Q1382" i="1"/>
  <c r="R1382" i="1" s="1"/>
  <c r="Q1383" i="1"/>
  <c r="R1383" i="1" s="1"/>
  <c r="Q1384" i="1"/>
  <c r="R1384" i="1" s="1"/>
  <c r="Q1385" i="1"/>
  <c r="R1385" i="1" s="1"/>
  <c r="Q1386" i="1"/>
  <c r="R1386" i="1" s="1"/>
  <c r="Q1387" i="1"/>
  <c r="R1387" i="1" s="1"/>
  <c r="Q1388" i="1"/>
  <c r="R1388" i="1" s="1"/>
  <c r="Q1389" i="1"/>
  <c r="R1389" i="1" s="1"/>
  <c r="Q1390" i="1"/>
  <c r="R1390" i="1" s="1"/>
  <c r="Q1391" i="1"/>
  <c r="R1391" i="1" s="1"/>
  <c r="Q1392" i="1"/>
  <c r="R1392" i="1" s="1"/>
  <c r="Q1393" i="1"/>
  <c r="R1393" i="1" s="1"/>
  <c r="Q1394" i="1"/>
  <c r="R1394" i="1" s="1"/>
  <c r="Q1395" i="1"/>
  <c r="R1395" i="1" s="1"/>
  <c r="Q1396" i="1"/>
  <c r="R1396" i="1" s="1"/>
  <c r="Q1397" i="1"/>
  <c r="R1397" i="1" s="1"/>
  <c r="Q1398" i="1"/>
  <c r="R1398" i="1" s="1"/>
  <c r="Q1399" i="1"/>
  <c r="R1399" i="1" s="1"/>
  <c r="Q1400" i="1"/>
  <c r="R1400" i="1" s="1"/>
  <c r="Q1401" i="1"/>
  <c r="R1401" i="1" s="1"/>
  <c r="Q1402" i="1"/>
  <c r="R1402" i="1" s="1"/>
  <c r="Q1404" i="1"/>
  <c r="R1404" i="1" s="1"/>
  <c r="Q1405" i="1"/>
  <c r="R1405" i="1" s="1"/>
  <c r="Q1406" i="1"/>
  <c r="R1406" i="1" s="1"/>
  <c r="Q1407" i="1"/>
  <c r="R1407" i="1" s="1"/>
  <c r="Q1408" i="1"/>
  <c r="R1408" i="1" s="1"/>
  <c r="Q1409" i="1"/>
  <c r="R1409" i="1" s="1"/>
  <c r="Q1410" i="1"/>
  <c r="R1410" i="1" s="1"/>
  <c r="Q1411" i="1"/>
  <c r="R1411" i="1" s="1"/>
  <c r="Q1412" i="1"/>
  <c r="R1412" i="1" s="1"/>
  <c r="Q1413" i="1"/>
  <c r="R1413" i="1" s="1"/>
  <c r="Q1414" i="1"/>
  <c r="R1414" i="1" s="1"/>
  <c r="Q1415" i="1"/>
  <c r="R1415" i="1" s="1"/>
  <c r="Q1417" i="1"/>
  <c r="R1417" i="1" s="1"/>
  <c r="Q1418" i="1"/>
  <c r="R1418" i="1" s="1"/>
  <c r="Q1419" i="1"/>
  <c r="R1419" i="1" s="1"/>
  <c r="Q1420" i="1"/>
  <c r="R1420" i="1" s="1"/>
  <c r="Q1421" i="1"/>
  <c r="R1421" i="1" s="1"/>
  <c r="Q1422" i="1"/>
  <c r="R1422" i="1" s="1"/>
  <c r="Q1423" i="1"/>
  <c r="R1423" i="1" s="1"/>
  <c r="Q1424" i="1"/>
  <c r="R1424" i="1" s="1"/>
  <c r="Q1425" i="1"/>
  <c r="R1425" i="1" s="1"/>
  <c r="Q1426" i="1"/>
  <c r="R1426" i="1" s="1"/>
  <c r="Q1427" i="1"/>
  <c r="R1427" i="1" s="1"/>
  <c r="Q1428" i="1"/>
  <c r="R1428" i="1" s="1"/>
  <c r="Q1429" i="1"/>
  <c r="R1429" i="1" s="1"/>
  <c r="Q1430" i="1"/>
  <c r="R1430" i="1" s="1"/>
  <c r="Q1431" i="1"/>
  <c r="R1431" i="1" s="1"/>
  <c r="Q1432" i="1"/>
  <c r="R1432" i="1" s="1"/>
  <c r="Q1433" i="1"/>
  <c r="R1433" i="1" s="1"/>
  <c r="Q1434" i="1"/>
  <c r="R1434" i="1" s="1"/>
  <c r="Q1435" i="1"/>
  <c r="R1435" i="1" s="1"/>
  <c r="Q1436" i="1"/>
  <c r="R1436" i="1" s="1"/>
  <c r="Q1438" i="1"/>
  <c r="R1438" i="1" s="1"/>
  <c r="Q1439" i="1"/>
  <c r="R1439" i="1" s="1"/>
  <c r="Q1440" i="1"/>
  <c r="R1440" i="1" s="1"/>
  <c r="Q1441" i="1"/>
  <c r="R1441" i="1" s="1"/>
  <c r="Q1442" i="1"/>
  <c r="R1442" i="1" s="1"/>
  <c r="Q1443" i="1"/>
  <c r="R1443" i="1" s="1"/>
  <c r="Q1444" i="1"/>
  <c r="R1444" i="1" s="1"/>
  <c r="Q1445" i="1"/>
  <c r="R1445" i="1" s="1"/>
  <c r="Q1446" i="1"/>
  <c r="R1446" i="1" s="1"/>
  <c r="Q1447" i="1"/>
  <c r="R1447" i="1" s="1"/>
  <c r="Q1448" i="1"/>
  <c r="R1448" i="1" s="1"/>
  <c r="Q1449" i="1"/>
  <c r="R1449" i="1" s="1"/>
  <c r="Q1450" i="1"/>
  <c r="R1450" i="1" s="1"/>
  <c r="Q1451" i="1"/>
  <c r="R1451" i="1" s="1"/>
  <c r="Q1452" i="1"/>
  <c r="R1452" i="1" s="1"/>
  <c r="Q1453" i="1"/>
  <c r="R1453" i="1" s="1"/>
  <c r="Q1454" i="1"/>
  <c r="R1454" i="1" s="1"/>
  <c r="Q1455" i="1"/>
  <c r="R1455" i="1" s="1"/>
  <c r="Q1456" i="1"/>
  <c r="R1456" i="1" s="1"/>
  <c r="Q1457" i="1"/>
  <c r="R1457" i="1" s="1"/>
  <c r="Q1458" i="1"/>
  <c r="R1458" i="1" s="1"/>
  <c r="Q1459" i="1"/>
  <c r="R1459" i="1" s="1"/>
  <c r="Q1460" i="1"/>
  <c r="R1460" i="1" s="1"/>
  <c r="Q1461" i="1"/>
  <c r="R1461" i="1" s="1"/>
  <c r="Q1462" i="1"/>
  <c r="R1462" i="1" s="1"/>
  <c r="Q1463" i="1"/>
  <c r="R1463" i="1" s="1"/>
  <c r="Q1464" i="1"/>
  <c r="R1464" i="1" s="1"/>
  <c r="Q1465" i="1"/>
  <c r="R1465" i="1" s="1"/>
  <c r="Q1466" i="1"/>
  <c r="R1466" i="1" s="1"/>
  <c r="Q1467" i="1"/>
  <c r="R1467" i="1" s="1"/>
  <c r="Q1468" i="1"/>
  <c r="R1468" i="1" s="1"/>
  <c r="Q1469" i="1"/>
  <c r="R1469" i="1" s="1"/>
  <c r="Q1470" i="1"/>
  <c r="R1470" i="1" s="1"/>
  <c r="Q1471" i="1"/>
  <c r="R1471" i="1" s="1"/>
  <c r="Q1472" i="1"/>
  <c r="R1472" i="1" s="1"/>
  <c r="Q1473" i="1"/>
  <c r="R1473" i="1" s="1"/>
  <c r="Q1474" i="1"/>
  <c r="R1474" i="1" s="1"/>
  <c r="Q1475" i="1"/>
  <c r="R1475" i="1" s="1"/>
  <c r="Q1476" i="1"/>
  <c r="R1476" i="1" s="1"/>
  <c r="Q1477" i="1"/>
  <c r="R1477" i="1" s="1"/>
  <c r="Q1478" i="1"/>
  <c r="R1478" i="1" s="1"/>
  <c r="Q1479" i="1"/>
  <c r="R1479" i="1" s="1"/>
  <c r="Q1480" i="1"/>
  <c r="R1480" i="1" s="1"/>
  <c r="Q1481" i="1"/>
  <c r="R1481" i="1" s="1"/>
  <c r="Q1482" i="1"/>
  <c r="R1482" i="1" s="1"/>
  <c r="Q1483" i="1"/>
  <c r="R1483" i="1" s="1"/>
  <c r="Q1484" i="1"/>
  <c r="R1484" i="1" s="1"/>
  <c r="Q1485" i="1"/>
  <c r="R1485" i="1" s="1"/>
  <c r="Q1487" i="1"/>
  <c r="R1487" i="1" s="1"/>
  <c r="Q1488" i="1"/>
  <c r="R1488" i="1" s="1"/>
  <c r="Q1489" i="1"/>
  <c r="R1489" i="1" s="1"/>
  <c r="Q1490" i="1"/>
  <c r="R1490" i="1" s="1"/>
  <c r="Q1491" i="1"/>
  <c r="R1491" i="1" s="1"/>
  <c r="Q1492" i="1"/>
  <c r="R1492" i="1" s="1"/>
  <c r="Q1493" i="1"/>
  <c r="R1493" i="1" s="1"/>
  <c r="Q1494" i="1"/>
  <c r="R1494" i="1" s="1"/>
  <c r="Q1495" i="1"/>
  <c r="R1495" i="1" s="1"/>
  <c r="Q1496" i="1"/>
  <c r="R1496" i="1" s="1"/>
  <c r="Q1497" i="1"/>
  <c r="R1497" i="1" s="1"/>
  <c r="Q1498" i="1"/>
  <c r="R1498" i="1" s="1"/>
  <c r="Q1499" i="1"/>
  <c r="R1499" i="1" s="1"/>
  <c r="Q1500" i="1"/>
  <c r="R1500" i="1" s="1"/>
  <c r="Q1501" i="1"/>
  <c r="R1501" i="1" s="1"/>
  <c r="Q1502" i="1"/>
  <c r="R1502" i="1" s="1"/>
  <c r="Q1504" i="1"/>
  <c r="R1504" i="1" s="1"/>
  <c r="Q1505" i="1"/>
  <c r="R1505" i="1" s="1"/>
  <c r="Q1506" i="1"/>
  <c r="R1506" i="1" s="1"/>
  <c r="Q1507" i="1"/>
  <c r="R1507" i="1" s="1"/>
  <c r="Q1508" i="1"/>
  <c r="R1508" i="1" s="1"/>
  <c r="Q1509" i="1"/>
  <c r="R1509" i="1" s="1"/>
  <c r="Q1510" i="1"/>
  <c r="R1510" i="1" s="1"/>
  <c r="Q1511" i="1"/>
  <c r="R1511" i="1" s="1"/>
  <c r="Q1512" i="1"/>
  <c r="R1512" i="1" s="1"/>
  <c r="Q1513" i="1"/>
  <c r="R1513" i="1" s="1"/>
  <c r="Q1514" i="1"/>
  <c r="R1514" i="1" s="1"/>
  <c r="Q1515" i="1"/>
  <c r="R1515" i="1" s="1"/>
  <c r="Q1516" i="1"/>
  <c r="R1516" i="1" s="1"/>
  <c r="Q1517" i="1"/>
  <c r="R1517" i="1" s="1"/>
  <c r="Q1518" i="1"/>
  <c r="R1518" i="1" s="1"/>
  <c r="Q1519" i="1"/>
  <c r="R1519" i="1" s="1"/>
  <c r="Q1520" i="1"/>
  <c r="R1520" i="1" s="1"/>
  <c r="Q1521" i="1"/>
  <c r="R1521" i="1" s="1"/>
  <c r="Q1522" i="1"/>
  <c r="R1522" i="1" s="1"/>
  <c r="Q1523" i="1"/>
  <c r="R1523" i="1" s="1"/>
  <c r="Q1524" i="1"/>
  <c r="R1524" i="1" s="1"/>
  <c r="Q1525" i="1"/>
  <c r="R1525" i="1" s="1"/>
  <c r="Q1526" i="1"/>
  <c r="R1526" i="1" s="1"/>
  <c r="Q1527" i="1"/>
  <c r="R1527" i="1" s="1"/>
  <c r="Q1528" i="1"/>
  <c r="R1528" i="1" s="1"/>
  <c r="Q1529" i="1"/>
  <c r="R1529" i="1" s="1"/>
  <c r="Q1530" i="1"/>
  <c r="R1530" i="1" s="1"/>
  <c r="Q1531" i="1"/>
  <c r="R1531" i="1" s="1"/>
  <c r="Q1532" i="1"/>
  <c r="R1532" i="1" s="1"/>
  <c r="Q1533" i="1"/>
  <c r="R1533" i="1" s="1"/>
  <c r="Q1534" i="1"/>
  <c r="R1534" i="1" s="1"/>
  <c r="Q1535" i="1"/>
  <c r="R1535" i="1" s="1"/>
  <c r="Q1536" i="1"/>
  <c r="R1536" i="1" s="1"/>
  <c r="Q1537" i="1"/>
  <c r="R1537" i="1" s="1"/>
  <c r="Q1538" i="1"/>
  <c r="R1538" i="1" s="1"/>
  <c r="Q1539" i="1"/>
  <c r="R1539" i="1" s="1"/>
  <c r="Q1540" i="1"/>
  <c r="R1540" i="1" s="1"/>
  <c r="Q1541" i="1"/>
  <c r="R1541" i="1" s="1"/>
  <c r="Q1542" i="1"/>
  <c r="R1542" i="1" s="1"/>
  <c r="Q1543" i="1"/>
  <c r="R1543" i="1" s="1"/>
  <c r="Q1544" i="1"/>
  <c r="R1544" i="1" s="1"/>
  <c r="Q1545" i="1"/>
  <c r="R1545" i="1" s="1"/>
  <c r="Q1547" i="1"/>
  <c r="R1547" i="1" s="1"/>
  <c r="Q1548" i="1"/>
  <c r="R1548" i="1" s="1"/>
  <c r="Q1549" i="1"/>
  <c r="R1549" i="1" s="1"/>
  <c r="Q1550" i="1"/>
  <c r="R1550" i="1" s="1"/>
  <c r="Q1551" i="1"/>
  <c r="R1551" i="1" s="1"/>
  <c r="Q1552" i="1"/>
  <c r="R1552" i="1" s="1"/>
  <c r="Q1553" i="1"/>
  <c r="R1553" i="1" s="1"/>
  <c r="Q1554" i="1"/>
  <c r="R1554" i="1" s="1"/>
  <c r="Q1555" i="1"/>
  <c r="R1555" i="1" s="1"/>
  <c r="Q1556" i="1"/>
  <c r="R1556" i="1" s="1"/>
  <c r="Q1557" i="1"/>
  <c r="R1557" i="1" s="1"/>
  <c r="Q1558" i="1"/>
  <c r="R1558" i="1" s="1"/>
  <c r="Q1559" i="1"/>
  <c r="R1559" i="1" s="1"/>
  <c r="Q1560" i="1"/>
  <c r="R1560" i="1" s="1"/>
  <c r="Q1561" i="1"/>
  <c r="R1561" i="1" s="1"/>
  <c r="Q1562" i="1"/>
  <c r="R1562" i="1" s="1"/>
  <c r="Q1563" i="1"/>
  <c r="R1563" i="1" s="1"/>
  <c r="Q1564" i="1"/>
  <c r="R1564" i="1" s="1"/>
  <c r="Q1565" i="1"/>
  <c r="R1565" i="1" s="1"/>
  <c r="Q1566" i="1"/>
  <c r="R1566" i="1" s="1"/>
  <c r="Q1567" i="1"/>
  <c r="R1567" i="1" s="1"/>
  <c r="Q1568" i="1"/>
  <c r="R1568" i="1" s="1"/>
  <c r="Q1569" i="1"/>
  <c r="R1569" i="1" s="1"/>
  <c r="Q1570" i="1"/>
  <c r="R1570" i="1" s="1"/>
  <c r="Q1571" i="1"/>
  <c r="R1571" i="1" s="1"/>
  <c r="Q1572" i="1"/>
  <c r="R1572" i="1" s="1"/>
  <c r="Q1573" i="1"/>
  <c r="R1573" i="1" s="1"/>
  <c r="Q1574" i="1"/>
  <c r="R1574" i="1" s="1"/>
  <c r="Q1575" i="1"/>
  <c r="R1575" i="1" s="1"/>
  <c r="Q1576" i="1"/>
  <c r="R1576" i="1" s="1"/>
  <c r="Q1577" i="1"/>
  <c r="R1577" i="1" s="1"/>
  <c r="Q1578" i="1"/>
  <c r="R1578" i="1" s="1"/>
  <c r="Q1579" i="1"/>
  <c r="R1579" i="1" s="1"/>
  <c r="Q1580" i="1"/>
  <c r="R1580" i="1" s="1"/>
  <c r="Q1581" i="1"/>
  <c r="R1581" i="1" s="1"/>
  <c r="Q1583" i="1"/>
  <c r="R1583" i="1" s="1"/>
  <c r="Q1584" i="1"/>
  <c r="R1584" i="1" s="1"/>
  <c r="Q1585" i="1"/>
  <c r="R1585" i="1" s="1"/>
  <c r="Q1586" i="1"/>
  <c r="R1586" i="1" s="1"/>
  <c r="Q1587" i="1"/>
  <c r="R1587" i="1" s="1"/>
  <c r="Q1588" i="1"/>
  <c r="R1588" i="1" s="1"/>
  <c r="Q1589" i="1"/>
  <c r="R1589" i="1" s="1"/>
  <c r="Q1590" i="1"/>
  <c r="R1590" i="1" s="1"/>
  <c r="Q1591" i="1"/>
  <c r="R1591" i="1" s="1"/>
  <c r="Q1592" i="1"/>
  <c r="R1592" i="1" s="1"/>
  <c r="Q1593" i="1"/>
  <c r="R1593" i="1" s="1"/>
  <c r="Q1594" i="1"/>
  <c r="R1594" i="1" s="1"/>
  <c r="Q1595" i="1"/>
  <c r="R1595" i="1" s="1"/>
  <c r="Q1596" i="1"/>
  <c r="R1596" i="1" s="1"/>
  <c r="Q1597" i="1"/>
  <c r="R1597" i="1" s="1"/>
  <c r="Q1598" i="1"/>
  <c r="R1598" i="1" s="1"/>
  <c r="Q1599" i="1"/>
  <c r="R1599" i="1" s="1"/>
  <c r="Q1600" i="1"/>
  <c r="R1600" i="1" s="1"/>
  <c r="Q1601" i="1"/>
  <c r="R1601" i="1" s="1"/>
  <c r="Q1602" i="1"/>
  <c r="R1602" i="1" s="1"/>
  <c r="Q1603" i="1"/>
  <c r="R1603" i="1" s="1"/>
  <c r="Q1605" i="1"/>
  <c r="R1605" i="1" s="1"/>
  <c r="Q1606" i="1"/>
  <c r="R1606" i="1" s="1"/>
  <c r="Q1607" i="1"/>
  <c r="R1607" i="1" s="1"/>
  <c r="Q1608" i="1"/>
  <c r="R1608" i="1" s="1"/>
  <c r="Q1609" i="1"/>
  <c r="R1609" i="1" s="1"/>
  <c r="Q1610" i="1"/>
  <c r="R1610" i="1" s="1"/>
  <c r="Q1611" i="1"/>
  <c r="R1611" i="1" s="1"/>
  <c r="Q1612" i="1"/>
  <c r="R1612" i="1" s="1"/>
  <c r="Q1613" i="1"/>
  <c r="R1613" i="1" s="1"/>
  <c r="Q1614" i="1"/>
  <c r="R1614" i="1" s="1"/>
  <c r="Q1615" i="1"/>
  <c r="R1615" i="1" s="1"/>
  <c r="Q1616" i="1"/>
  <c r="R1616" i="1" s="1"/>
  <c r="Q1617" i="1"/>
  <c r="R1617" i="1" s="1"/>
  <c r="Q1618" i="1"/>
  <c r="R1618" i="1" s="1"/>
  <c r="Q1619" i="1"/>
  <c r="R1619" i="1" s="1"/>
  <c r="Q1620" i="1"/>
  <c r="R1620" i="1" s="1"/>
  <c r="Q1621" i="1"/>
  <c r="R1621" i="1" s="1"/>
  <c r="Q1622" i="1"/>
  <c r="R1622" i="1" s="1"/>
  <c r="Q1623" i="1"/>
  <c r="R1623" i="1" s="1"/>
  <c r="Q1624" i="1"/>
  <c r="R1624" i="1" s="1"/>
  <c r="Q1625" i="1"/>
  <c r="R1625" i="1" s="1"/>
  <c r="Q1626" i="1"/>
  <c r="R1626" i="1" s="1"/>
  <c r="Q1627" i="1"/>
  <c r="R1627" i="1" s="1"/>
  <c r="Q1628" i="1"/>
  <c r="R1628" i="1" s="1"/>
  <c r="Q1629" i="1"/>
  <c r="R1629" i="1" s="1"/>
  <c r="Q1630" i="1"/>
  <c r="R1630" i="1" s="1"/>
  <c r="Q1631" i="1"/>
  <c r="R1631" i="1" s="1"/>
  <c r="Q1632" i="1"/>
  <c r="R1632" i="1" s="1"/>
  <c r="Q1633" i="1"/>
  <c r="R1633" i="1" s="1"/>
  <c r="Q1634" i="1"/>
  <c r="R1634" i="1" s="1"/>
  <c r="Q1635" i="1"/>
  <c r="R1635" i="1" s="1"/>
  <c r="Q1636" i="1"/>
  <c r="R1636" i="1" s="1"/>
  <c r="Q1637" i="1"/>
  <c r="R1637" i="1" s="1"/>
  <c r="Q1638" i="1"/>
  <c r="R1638" i="1" s="1"/>
  <c r="Q1639" i="1"/>
  <c r="R1639" i="1" s="1"/>
  <c r="Q1640" i="1"/>
  <c r="R1640" i="1" s="1"/>
  <c r="Q1641" i="1"/>
  <c r="R1641" i="1" s="1"/>
  <c r="Q1642" i="1"/>
  <c r="R1642" i="1" s="1"/>
  <c r="Q1643" i="1"/>
  <c r="R1643" i="1" s="1"/>
  <c r="Q1644" i="1"/>
  <c r="R1644" i="1" s="1"/>
  <c r="Q1645" i="1"/>
  <c r="R1645" i="1" s="1"/>
  <c r="Q1646" i="1"/>
  <c r="R1646" i="1" s="1"/>
  <c r="Q1647" i="1"/>
  <c r="R1647" i="1" s="1"/>
  <c r="Q1648" i="1"/>
  <c r="R1648" i="1" s="1"/>
  <c r="Q1649" i="1"/>
  <c r="R1649" i="1" s="1"/>
  <c r="Q1650" i="1"/>
  <c r="R1650" i="1" s="1"/>
  <c r="Q1651" i="1"/>
  <c r="R1651" i="1" s="1"/>
  <c r="Q1652" i="1"/>
  <c r="R1652" i="1" s="1"/>
  <c r="Q1653" i="1"/>
  <c r="R1653" i="1" s="1"/>
  <c r="Q1654" i="1"/>
  <c r="R1654" i="1" s="1"/>
  <c r="Q1655" i="1"/>
  <c r="R1655" i="1" s="1"/>
  <c r="Q1656" i="1"/>
  <c r="R1656" i="1" s="1"/>
  <c r="Q1657" i="1"/>
  <c r="R1657" i="1" s="1"/>
  <c r="Q1658" i="1"/>
  <c r="R1658" i="1" s="1"/>
  <c r="Q1659" i="1"/>
  <c r="R1659" i="1" s="1"/>
  <c r="Q1660" i="1"/>
  <c r="R1660" i="1" s="1"/>
  <c r="Q1661" i="1"/>
  <c r="R1661" i="1" s="1"/>
  <c r="Q1662" i="1"/>
  <c r="R1662" i="1" s="1"/>
  <c r="Q1663" i="1"/>
  <c r="R1663" i="1" s="1"/>
  <c r="Q1664" i="1"/>
  <c r="R1664" i="1" s="1"/>
  <c r="Q1665" i="1"/>
  <c r="R1665" i="1" s="1"/>
  <c r="Q1666" i="1"/>
  <c r="R1666" i="1" s="1"/>
  <c r="Q1667" i="1"/>
  <c r="R1667" i="1" s="1"/>
  <c r="Q1668" i="1"/>
  <c r="R1668" i="1" s="1"/>
  <c r="Q1669" i="1"/>
  <c r="R1669" i="1" s="1"/>
  <c r="Q1670" i="1"/>
  <c r="R1670" i="1" s="1"/>
  <c r="Q1671" i="1"/>
  <c r="R1671" i="1" s="1"/>
  <c r="Q1672" i="1"/>
  <c r="R1672" i="1" s="1"/>
  <c r="Q1673" i="1"/>
  <c r="R1673" i="1" s="1"/>
  <c r="Q1674" i="1"/>
  <c r="R1674" i="1" s="1"/>
  <c r="Q1675" i="1"/>
  <c r="R1675" i="1" s="1"/>
  <c r="Q1676" i="1"/>
  <c r="R1676" i="1" s="1"/>
  <c r="Q1677" i="1"/>
  <c r="R1677" i="1" s="1"/>
  <c r="Q1678" i="1"/>
  <c r="R1678" i="1" s="1"/>
  <c r="Q1679" i="1"/>
  <c r="R1679" i="1" s="1"/>
  <c r="Q1680" i="1"/>
  <c r="R1680" i="1" s="1"/>
  <c r="Q1681" i="1"/>
  <c r="R1681" i="1" s="1"/>
  <c r="Q1683" i="1"/>
  <c r="R1683" i="1" s="1"/>
  <c r="Q1684" i="1"/>
  <c r="R1684" i="1" s="1"/>
  <c r="Q1685" i="1"/>
  <c r="R1685" i="1" s="1"/>
  <c r="Q1686" i="1"/>
  <c r="R1686" i="1" s="1"/>
  <c r="Q1687" i="1"/>
  <c r="R1687" i="1" s="1"/>
  <c r="Q1689" i="1"/>
  <c r="R1689" i="1" s="1"/>
  <c r="Q1690" i="1"/>
  <c r="R1690" i="1" s="1"/>
  <c r="Q1691" i="1"/>
  <c r="R1691" i="1" s="1"/>
  <c r="Q1692" i="1"/>
  <c r="R1692" i="1" s="1"/>
  <c r="Q1693" i="1"/>
  <c r="R1693" i="1" s="1"/>
  <c r="Q1694" i="1"/>
  <c r="R1694" i="1" s="1"/>
  <c r="Q1695" i="1"/>
  <c r="R1695" i="1" s="1"/>
  <c r="Q1696" i="1"/>
  <c r="R1696" i="1" s="1"/>
  <c r="Q1697" i="1"/>
  <c r="R1697" i="1" s="1"/>
  <c r="Q1698" i="1"/>
  <c r="R1698" i="1" s="1"/>
  <c r="Q1699" i="1"/>
  <c r="R1699" i="1" s="1"/>
  <c r="Q1700" i="1"/>
  <c r="R1700" i="1" s="1"/>
  <c r="Q1701" i="1"/>
  <c r="R1701" i="1" s="1"/>
  <c r="Q1702" i="1"/>
  <c r="R1702" i="1" s="1"/>
  <c r="Q1703" i="1"/>
  <c r="R1703" i="1" s="1"/>
  <c r="Q1704" i="1"/>
  <c r="R1704" i="1" s="1"/>
  <c r="Q1706" i="1"/>
  <c r="R1706" i="1" s="1"/>
  <c r="Q1707" i="1"/>
  <c r="R1707" i="1" s="1"/>
  <c r="Q1708" i="1"/>
  <c r="R1708" i="1" s="1"/>
  <c r="Q1709" i="1"/>
  <c r="R1709" i="1" s="1"/>
  <c r="Q1710" i="1"/>
  <c r="R1710" i="1" s="1"/>
  <c r="Q1711" i="1"/>
  <c r="R1711" i="1" s="1"/>
  <c r="Q1712" i="1"/>
  <c r="R1712" i="1" s="1"/>
  <c r="Q1713" i="1"/>
  <c r="R1713" i="1" s="1"/>
  <c r="Q1714" i="1"/>
  <c r="R1714" i="1" s="1"/>
  <c r="Q1715" i="1"/>
  <c r="R1715" i="1" s="1"/>
  <c r="Q1716" i="1"/>
  <c r="R1716" i="1" s="1"/>
  <c r="Q1717" i="1"/>
  <c r="R1717" i="1" s="1"/>
  <c r="Q1718" i="1"/>
  <c r="R1718" i="1" s="1"/>
  <c r="Q1719" i="1"/>
  <c r="R1719" i="1" s="1"/>
  <c r="Q1720" i="1"/>
  <c r="R1720" i="1" s="1"/>
  <c r="Q1721" i="1"/>
  <c r="R1721" i="1" s="1"/>
  <c r="Q1722" i="1"/>
  <c r="R1722" i="1" s="1"/>
  <c r="Q1723" i="1"/>
  <c r="R1723" i="1" s="1"/>
  <c r="Q1724" i="1"/>
  <c r="R1724" i="1" s="1"/>
  <c r="Q1725" i="1"/>
  <c r="R1725" i="1" s="1"/>
  <c r="Q1726" i="1"/>
  <c r="R1726" i="1" s="1"/>
  <c r="Q1727" i="1"/>
  <c r="R1727" i="1" s="1"/>
  <c r="Q1728" i="1"/>
  <c r="R1728" i="1" s="1"/>
  <c r="Q1729" i="1"/>
  <c r="R1729" i="1" s="1"/>
  <c r="Q1730" i="1"/>
  <c r="R1730" i="1" s="1"/>
  <c r="Q1731" i="1"/>
  <c r="R1731" i="1" s="1"/>
  <c r="Q1732" i="1"/>
  <c r="R1732" i="1" s="1"/>
  <c r="Q1733" i="1"/>
  <c r="R1733" i="1" s="1"/>
  <c r="Q1734" i="1"/>
  <c r="R1734" i="1" s="1"/>
  <c r="Q1735" i="1"/>
  <c r="R1735" i="1" s="1"/>
  <c r="Q1736" i="1"/>
  <c r="R1736" i="1" s="1"/>
  <c r="Q1737" i="1"/>
  <c r="R1737" i="1" s="1"/>
  <c r="Q1739" i="1"/>
  <c r="R1739" i="1" s="1"/>
  <c r="Q1740" i="1"/>
  <c r="R1740" i="1" s="1"/>
  <c r="Q1741" i="1"/>
  <c r="R1741" i="1" s="1"/>
  <c r="Q1742" i="1"/>
  <c r="R1742" i="1" s="1"/>
  <c r="Q1743" i="1"/>
  <c r="R1743" i="1" s="1"/>
  <c r="Q1744" i="1"/>
  <c r="R1744" i="1" s="1"/>
  <c r="Q1745" i="1"/>
  <c r="R1745" i="1" s="1"/>
  <c r="Q1746" i="1"/>
  <c r="R1746" i="1" s="1"/>
  <c r="Q1747" i="1"/>
  <c r="R1747" i="1" s="1"/>
  <c r="Q1748" i="1"/>
  <c r="R1748" i="1" s="1"/>
  <c r="Q1749" i="1"/>
  <c r="R1749" i="1" s="1"/>
  <c r="Q1750" i="1"/>
  <c r="R1750" i="1" s="1"/>
  <c r="Q1751" i="1"/>
  <c r="R1751" i="1" s="1"/>
  <c r="Q1753" i="1"/>
  <c r="R1753" i="1" s="1"/>
  <c r="Q1754" i="1"/>
  <c r="R1754" i="1" s="1"/>
  <c r="Q1755" i="1"/>
  <c r="R1755" i="1" s="1"/>
  <c r="Q1756" i="1"/>
  <c r="R1756" i="1" s="1"/>
  <c r="Q1757" i="1"/>
  <c r="R1757" i="1" s="1"/>
  <c r="Q1758" i="1"/>
  <c r="R1758" i="1" s="1"/>
  <c r="Q1759" i="1"/>
  <c r="R1759" i="1" s="1"/>
  <c r="Q1760" i="1"/>
  <c r="R1760" i="1" s="1"/>
  <c r="Q1761" i="1"/>
  <c r="R1761" i="1" s="1"/>
  <c r="Q1762" i="1"/>
  <c r="R1762" i="1" s="1"/>
  <c r="Q1763" i="1"/>
  <c r="R1763" i="1" s="1"/>
  <c r="Q1764" i="1"/>
  <c r="R1764" i="1" s="1"/>
  <c r="Q1765" i="1"/>
  <c r="R1765" i="1" s="1"/>
  <c r="Q1766" i="1"/>
  <c r="R1766" i="1" s="1"/>
  <c r="Q1767" i="1"/>
  <c r="R1767" i="1" s="1"/>
  <c r="Q1768" i="1"/>
  <c r="R1768" i="1" s="1"/>
  <c r="Q1769" i="1"/>
  <c r="R1769" i="1" s="1"/>
  <c r="Q1770" i="1"/>
  <c r="R1770" i="1" s="1"/>
  <c r="Q1771" i="1"/>
  <c r="R1771" i="1" s="1"/>
  <c r="Q1772" i="1"/>
  <c r="R1772" i="1" s="1"/>
  <c r="Q1773" i="1"/>
  <c r="R1773" i="1" s="1"/>
  <c r="Q1774" i="1"/>
  <c r="R1774" i="1" s="1"/>
  <c r="Q1775" i="1"/>
  <c r="R1775" i="1" s="1"/>
  <c r="Q1776" i="1"/>
  <c r="R1776" i="1" s="1"/>
  <c r="Q1777" i="1"/>
  <c r="R1777" i="1" s="1"/>
  <c r="Q1778" i="1"/>
  <c r="R1778" i="1" s="1"/>
  <c r="Q1779" i="1"/>
  <c r="R1779" i="1" s="1"/>
  <c r="Q1780" i="1"/>
  <c r="R1780" i="1" s="1"/>
  <c r="Q1781" i="1"/>
  <c r="R1781" i="1" s="1"/>
  <c r="Q1782" i="1"/>
  <c r="R1782" i="1" s="1"/>
  <c r="Q1783" i="1"/>
  <c r="R1783" i="1" s="1"/>
  <c r="Q1784" i="1"/>
  <c r="R1784" i="1" s="1"/>
  <c r="Q1785" i="1"/>
  <c r="R1785" i="1" s="1"/>
  <c r="Q1786" i="1"/>
  <c r="R1786" i="1" s="1"/>
  <c r="Q1787" i="1"/>
  <c r="R1787" i="1" s="1"/>
  <c r="Q1788" i="1"/>
  <c r="R1788" i="1" s="1"/>
  <c r="Q1789" i="1"/>
  <c r="R1789" i="1" s="1"/>
  <c r="Q1790" i="1"/>
  <c r="R1790" i="1" s="1"/>
  <c r="Q1791" i="1"/>
  <c r="R1791" i="1" s="1"/>
  <c r="Q1792" i="1"/>
  <c r="R1792" i="1" s="1"/>
  <c r="Q1794" i="1"/>
  <c r="R1794" i="1" s="1"/>
  <c r="Q1795" i="1"/>
  <c r="R1795" i="1" s="1"/>
  <c r="Q1796" i="1"/>
  <c r="R1796" i="1" s="1"/>
  <c r="Q1797" i="1"/>
  <c r="R1797" i="1" s="1"/>
  <c r="Q1798" i="1"/>
  <c r="R1798" i="1" s="1"/>
  <c r="Q1799" i="1"/>
  <c r="R1799" i="1" s="1"/>
  <c r="Q1800" i="1"/>
  <c r="R1800" i="1" s="1"/>
  <c r="Q1801" i="1"/>
  <c r="R1801" i="1" s="1"/>
  <c r="Q1802" i="1"/>
  <c r="R1802" i="1" s="1"/>
  <c r="Q1803" i="1"/>
  <c r="R1803" i="1" s="1"/>
  <c r="Q1804" i="1"/>
  <c r="R1804" i="1" s="1"/>
  <c r="Q1805" i="1"/>
  <c r="R1805" i="1" s="1"/>
  <c r="Q1806" i="1"/>
  <c r="R1806" i="1" s="1"/>
  <c r="Q1807" i="1"/>
  <c r="R1807" i="1" s="1"/>
  <c r="Q1808" i="1"/>
  <c r="R1808" i="1" s="1"/>
  <c r="Q1809" i="1"/>
  <c r="R1809" i="1" s="1"/>
  <c r="Q1810" i="1"/>
  <c r="R1810" i="1" s="1"/>
  <c r="Q1811" i="1"/>
  <c r="R1811" i="1" s="1"/>
  <c r="Q1812" i="1"/>
  <c r="R1812" i="1" s="1"/>
  <c r="Q1813" i="1"/>
  <c r="R1813" i="1" s="1"/>
  <c r="Q1814" i="1"/>
  <c r="R1814" i="1" s="1"/>
  <c r="Q1815" i="1"/>
  <c r="R1815" i="1" s="1"/>
  <c r="Q1816" i="1"/>
  <c r="R1816" i="1" s="1"/>
  <c r="Q1817" i="1"/>
  <c r="R1817" i="1" s="1"/>
  <c r="Q1818" i="1"/>
  <c r="R1818" i="1" s="1"/>
  <c r="Q1819" i="1"/>
  <c r="R1819" i="1" s="1"/>
  <c r="Q1820" i="1"/>
  <c r="R1820" i="1" s="1"/>
  <c r="Q1821" i="1"/>
  <c r="R1821" i="1" s="1"/>
  <c r="Q1822" i="1"/>
  <c r="R1822" i="1" s="1"/>
  <c r="Q1823" i="1"/>
  <c r="R1823" i="1" s="1"/>
  <c r="Q1824" i="1"/>
  <c r="R1824" i="1" s="1"/>
  <c r="Q1825" i="1"/>
  <c r="R1825" i="1" s="1"/>
  <c r="Q1826" i="1"/>
  <c r="R1826" i="1" s="1"/>
  <c r="Q1827" i="1"/>
  <c r="R1827" i="1" s="1"/>
  <c r="Q1828" i="1"/>
  <c r="R1828" i="1" s="1"/>
  <c r="Q1829" i="1"/>
  <c r="R1829" i="1" s="1"/>
  <c r="Q1830" i="1"/>
  <c r="R1830" i="1" s="1"/>
  <c r="Q1831" i="1"/>
  <c r="R1831" i="1" s="1"/>
  <c r="Q1832" i="1"/>
  <c r="R1832" i="1" s="1"/>
  <c r="Q1833" i="1"/>
  <c r="R1833" i="1" s="1"/>
  <c r="Q1834" i="1"/>
  <c r="R1834" i="1" s="1"/>
  <c r="Q1835" i="1"/>
  <c r="R1835" i="1" s="1"/>
  <c r="Q1836" i="1"/>
  <c r="R1836" i="1" s="1"/>
  <c r="Q1837" i="1"/>
  <c r="R1837" i="1" s="1"/>
  <c r="Q1838" i="1"/>
  <c r="R1838" i="1" s="1"/>
  <c r="Q1839" i="1"/>
  <c r="R1839" i="1" s="1"/>
  <c r="Q1840" i="1"/>
  <c r="R1840" i="1" s="1"/>
  <c r="Q1841" i="1"/>
  <c r="R1841" i="1" s="1"/>
  <c r="Q1842" i="1"/>
  <c r="R1842" i="1" s="1"/>
  <c r="Q1843" i="1"/>
  <c r="R1843" i="1" s="1"/>
  <c r="Q1844" i="1"/>
  <c r="R1844" i="1" s="1"/>
  <c r="Q1845" i="1"/>
  <c r="R1845" i="1" s="1"/>
  <c r="Q1846" i="1"/>
  <c r="R1846" i="1" s="1"/>
  <c r="Q1847" i="1"/>
  <c r="R1847" i="1" s="1"/>
  <c r="Q1848" i="1"/>
  <c r="R1848" i="1" s="1"/>
  <c r="Q1849" i="1"/>
  <c r="R1849" i="1" s="1"/>
  <c r="Q1850" i="1"/>
  <c r="R1850" i="1" s="1"/>
  <c r="Q1852" i="1"/>
  <c r="R1852" i="1" s="1"/>
  <c r="Q1853" i="1"/>
  <c r="R1853" i="1" s="1"/>
  <c r="Q1854" i="1"/>
  <c r="R1854" i="1" s="1"/>
  <c r="Q1855" i="1"/>
  <c r="R1855" i="1" s="1"/>
  <c r="Q1856" i="1"/>
  <c r="R1856" i="1" s="1"/>
  <c r="Q1857" i="1"/>
  <c r="R1857" i="1" s="1"/>
  <c r="Q1858" i="1"/>
  <c r="R1858" i="1" s="1"/>
  <c r="Q1859" i="1"/>
  <c r="R1859" i="1" s="1"/>
  <c r="Q1860" i="1"/>
  <c r="R1860" i="1" s="1"/>
  <c r="Q1861" i="1"/>
  <c r="R1861" i="1" s="1"/>
  <c r="Q1862" i="1"/>
  <c r="R1862" i="1" s="1"/>
  <c r="Q1864" i="1"/>
  <c r="R1864" i="1" s="1"/>
  <c r="Q1865" i="1"/>
  <c r="R1865" i="1" s="1"/>
  <c r="Q1866" i="1"/>
  <c r="R1866" i="1" s="1"/>
  <c r="Q1867" i="1"/>
  <c r="R1867" i="1" s="1"/>
  <c r="Q1868" i="1"/>
  <c r="R1868" i="1" s="1"/>
  <c r="Q1869" i="1"/>
  <c r="R1869" i="1" s="1"/>
  <c r="Q1870" i="1"/>
  <c r="R1870" i="1" s="1"/>
  <c r="Q1871" i="1"/>
  <c r="R1871" i="1" s="1"/>
  <c r="Q1872" i="1"/>
  <c r="R1872" i="1" s="1"/>
  <c r="Q1873" i="1"/>
  <c r="R1873" i="1" s="1"/>
  <c r="Q1874" i="1"/>
  <c r="R1874" i="1" s="1"/>
  <c r="Q1875" i="1"/>
  <c r="R1875" i="1" s="1"/>
  <c r="Q1876" i="1"/>
  <c r="R1876" i="1" s="1"/>
  <c r="Q1877" i="1"/>
  <c r="R1877" i="1" s="1"/>
  <c r="Q1878" i="1"/>
  <c r="R1878" i="1" s="1"/>
  <c r="Q1879" i="1"/>
  <c r="R1879" i="1" s="1"/>
  <c r="Q1880" i="1"/>
  <c r="R1880" i="1" s="1"/>
  <c r="Q1881" i="1"/>
  <c r="R1881" i="1" s="1"/>
  <c r="Q1882" i="1"/>
  <c r="R1882" i="1" s="1"/>
  <c r="Q1883" i="1"/>
  <c r="R1883" i="1" s="1"/>
  <c r="Q1884" i="1"/>
  <c r="R1884" i="1" s="1"/>
  <c r="Q1885" i="1"/>
  <c r="R1885" i="1" s="1"/>
  <c r="Q1886" i="1"/>
  <c r="R1886" i="1" s="1"/>
  <c r="Q1887" i="1"/>
  <c r="R1887" i="1" s="1"/>
  <c r="Q1888" i="1"/>
  <c r="R1888" i="1" s="1"/>
  <c r="Q1890" i="1"/>
  <c r="R1890" i="1" s="1"/>
  <c r="Q1891" i="1"/>
  <c r="R1891" i="1" s="1"/>
  <c r="Q1892" i="1"/>
  <c r="R1892" i="1" s="1"/>
  <c r="Q1893" i="1"/>
  <c r="R1893" i="1" s="1"/>
  <c r="Q1895" i="1"/>
  <c r="R1895" i="1" s="1"/>
  <c r="Q1896" i="1"/>
  <c r="R1896" i="1" s="1"/>
  <c r="Q1897" i="1"/>
  <c r="R1897" i="1" s="1"/>
  <c r="Q1898" i="1"/>
  <c r="R1898" i="1" s="1"/>
  <c r="Q1899" i="1"/>
  <c r="R1899" i="1" s="1"/>
  <c r="Q1900" i="1"/>
  <c r="R1900" i="1" s="1"/>
  <c r="Q1901" i="1"/>
  <c r="R1901" i="1" s="1"/>
  <c r="Q1902" i="1"/>
  <c r="R1902" i="1" s="1"/>
  <c r="Q1903" i="1"/>
  <c r="R1903" i="1" s="1"/>
  <c r="Q1904" i="1"/>
  <c r="R1904" i="1" s="1"/>
  <c r="Q1905" i="1"/>
  <c r="R1905" i="1" s="1"/>
  <c r="Q1906" i="1"/>
  <c r="R1906" i="1" s="1"/>
  <c r="Q1907" i="1"/>
  <c r="R1907" i="1" s="1"/>
  <c r="Q1908" i="1"/>
  <c r="R1908" i="1" s="1"/>
  <c r="Q1909" i="1"/>
  <c r="R1909" i="1" s="1"/>
  <c r="Q1910" i="1"/>
  <c r="R1910" i="1" s="1"/>
  <c r="Q1911" i="1"/>
  <c r="R1911" i="1" s="1"/>
  <c r="Q1912" i="1"/>
  <c r="R1912" i="1" s="1"/>
  <c r="Q1913" i="1"/>
  <c r="R1913" i="1" s="1"/>
  <c r="Q1914" i="1"/>
  <c r="R1914" i="1" s="1"/>
  <c r="Q1915" i="1"/>
  <c r="R1915" i="1" s="1"/>
  <c r="Q1916" i="1"/>
  <c r="R1916" i="1" s="1"/>
  <c r="Q1917" i="1"/>
  <c r="R1917" i="1" s="1"/>
  <c r="Q1919" i="1"/>
  <c r="R1919" i="1" s="1"/>
  <c r="Q1920" i="1"/>
  <c r="R1920" i="1" s="1"/>
  <c r="Q1921" i="1"/>
  <c r="R1921" i="1" s="1"/>
  <c r="Q1922" i="1"/>
  <c r="R1922" i="1" s="1"/>
  <c r="Q1923" i="1"/>
  <c r="R1923" i="1" s="1"/>
  <c r="Q1924" i="1"/>
  <c r="R1924" i="1" s="1"/>
  <c r="Q1925" i="1"/>
  <c r="R1925" i="1" s="1"/>
  <c r="Q1926" i="1"/>
  <c r="R1926" i="1" s="1"/>
  <c r="Q1927" i="1"/>
  <c r="R1927" i="1" s="1"/>
  <c r="Q1928" i="1"/>
  <c r="R1928" i="1" s="1"/>
  <c r="Q1929" i="1"/>
  <c r="R1929" i="1" s="1"/>
  <c r="Q1930" i="1"/>
  <c r="R1930" i="1" s="1"/>
  <c r="Q1931" i="1"/>
  <c r="R1931" i="1" s="1"/>
  <c r="Q1932" i="1"/>
  <c r="R1932" i="1" s="1"/>
  <c r="Q1933" i="1"/>
  <c r="R1933" i="1" s="1"/>
  <c r="Q1934" i="1"/>
  <c r="R1934" i="1" s="1"/>
  <c r="Q1935" i="1"/>
  <c r="R1935" i="1" s="1"/>
  <c r="Q1936" i="1"/>
  <c r="R1936" i="1" s="1"/>
  <c r="Q1937" i="1"/>
  <c r="R1937" i="1" s="1"/>
  <c r="Q1938" i="1"/>
  <c r="R1938" i="1" s="1"/>
  <c r="Q1939" i="1"/>
  <c r="R1939" i="1" s="1"/>
  <c r="Q1940" i="1"/>
  <c r="R1940" i="1" s="1"/>
  <c r="Q1941" i="1"/>
  <c r="R1941" i="1" s="1"/>
  <c r="Q1942" i="1"/>
  <c r="R1942" i="1" s="1"/>
  <c r="Q1943" i="1"/>
  <c r="R1943" i="1" s="1"/>
  <c r="Q1944" i="1"/>
  <c r="R1944" i="1" s="1"/>
  <c r="Q1945" i="1"/>
  <c r="R1945" i="1" s="1"/>
  <c r="Q1946" i="1"/>
  <c r="R1946" i="1" s="1"/>
  <c r="Q1947" i="1"/>
  <c r="R1947" i="1" s="1"/>
  <c r="Q1948" i="1"/>
  <c r="R1948" i="1" s="1"/>
  <c r="Q1949" i="1"/>
  <c r="R1949" i="1" s="1"/>
  <c r="Q1950" i="1"/>
  <c r="R1950" i="1" s="1"/>
  <c r="Q1951" i="1"/>
  <c r="R1951" i="1" s="1"/>
  <c r="Q1952" i="1"/>
  <c r="R1952" i="1" s="1"/>
  <c r="Q1953" i="1"/>
  <c r="R1953" i="1" s="1"/>
  <c r="Q1954" i="1"/>
  <c r="R1954" i="1" s="1"/>
  <c r="Q1955" i="1"/>
  <c r="R1955" i="1" s="1"/>
  <c r="Q1956" i="1"/>
  <c r="R1956" i="1" s="1"/>
  <c r="Q1957" i="1"/>
  <c r="R1957" i="1" s="1"/>
  <c r="Q1958" i="1"/>
  <c r="R1958" i="1" s="1"/>
  <c r="Q1959" i="1"/>
  <c r="R1959" i="1" s="1"/>
  <c r="Q1960" i="1"/>
  <c r="R1960" i="1" s="1"/>
  <c r="Q1961" i="1"/>
  <c r="R1961" i="1" s="1"/>
  <c r="Q1962" i="1"/>
  <c r="R1962" i="1" s="1"/>
  <c r="Q1963" i="1"/>
  <c r="R1963" i="1" s="1"/>
  <c r="Q1964" i="1"/>
  <c r="R1964" i="1" s="1"/>
  <c r="Q1965" i="1"/>
  <c r="R1965" i="1" s="1"/>
  <c r="Q1966" i="1"/>
  <c r="R1966" i="1" s="1"/>
  <c r="Q1967" i="1"/>
  <c r="R1967" i="1" s="1"/>
  <c r="Q1968" i="1"/>
  <c r="R1968" i="1" s="1"/>
  <c r="Q1969" i="1"/>
  <c r="R1969" i="1" s="1"/>
  <c r="Q1970" i="1"/>
  <c r="R1970" i="1" s="1"/>
  <c r="Q1971" i="1"/>
  <c r="R1971" i="1" s="1"/>
  <c r="Q1972" i="1"/>
  <c r="R1972" i="1" s="1"/>
  <c r="Q1973" i="1"/>
  <c r="R1973" i="1" s="1"/>
  <c r="Q1974" i="1"/>
  <c r="R1974" i="1" s="1"/>
  <c r="Q1975" i="1"/>
  <c r="R1975" i="1" s="1"/>
  <c r="Q1976" i="1"/>
  <c r="R1976" i="1" s="1"/>
  <c r="Q1977" i="1"/>
  <c r="R1977" i="1" s="1"/>
  <c r="Q1978" i="1"/>
  <c r="R1978" i="1" s="1"/>
  <c r="Q1979" i="1"/>
  <c r="R1979" i="1" s="1"/>
  <c r="Q1980" i="1"/>
  <c r="R1980" i="1" s="1"/>
  <c r="Q1981" i="1"/>
  <c r="R1981" i="1" s="1"/>
  <c r="Q1982" i="1"/>
  <c r="R1982" i="1" s="1"/>
  <c r="Q1983" i="1"/>
  <c r="R1983" i="1" s="1"/>
  <c r="Q1984" i="1"/>
  <c r="R1984" i="1" s="1"/>
  <c r="Q1985" i="1"/>
  <c r="R1985" i="1" s="1"/>
  <c r="Q1986" i="1"/>
  <c r="R1986" i="1" s="1"/>
  <c r="Q1987" i="1"/>
  <c r="R1987" i="1" s="1"/>
  <c r="Q1988" i="1"/>
  <c r="R1988" i="1" s="1"/>
  <c r="Q1989" i="1"/>
  <c r="R1989" i="1" s="1"/>
  <c r="Q1990" i="1"/>
  <c r="R1990" i="1" s="1"/>
  <c r="Q1991" i="1"/>
  <c r="R1991" i="1" s="1"/>
  <c r="Q1992" i="1"/>
  <c r="R1992" i="1" s="1"/>
  <c r="Q1993" i="1"/>
  <c r="R1993" i="1" s="1"/>
  <c r="Q1994" i="1"/>
  <c r="R1994" i="1" s="1"/>
  <c r="Q1995" i="1"/>
  <c r="R1995" i="1" s="1"/>
  <c r="Q1996" i="1"/>
  <c r="R1996" i="1" s="1"/>
  <c r="Q1997" i="1"/>
  <c r="R1997" i="1" s="1"/>
  <c r="Q1998" i="1"/>
  <c r="R1998" i="1" s="1"/>
  <c r="Q1999" i="1"/>
  <c r="R1999" i="1" s="1"/>
  <c r="Q2000" i="1"/>
  <c r="R2000" i="1" s="1"/>
  <c r="Q2001" i="1"/>
  <c r="R2001" i="1" s="1"/>
  <c r="M84" i="1"/>
  <c r="M372" i="1"/>
  <c r="M464" i="1"/>
  <c r="M473" i="1"/>
  <c r="M633" i="1"/>
  <c r="M837" i="1"/>
  <c r="M1009" i="1"/>
  <c r="M1486" i="1"/>
  <c r="M1688" i="1"/>
  <c r="M1863" i="1"/>
  <c r="M1889" i="1"/>
  <c r="M28" i="1"/>
  <c r="M261" i="1"/>
  <c r="M263" i="1"/>
  <c r="M306" i="1"/>
  <c r="M653" i="1"/>
  <c r="M720" i="1"/>
  <c r="M799" i="1"/>
  <c r="M860" i="1"/>
  <c r="M867" i="1"/>
  <c r="M949" i="1"/>
  <c r="M1041" i="1"/>
  <c r="M1131" i="1"/>
  <c r="M1213" i="1"/>
  <c r="M1403" i="1"/>
  <c r="M1416" i="1"/>
  <c r="M1437" i="1"/>
  <c r="M1546" i="1"/>
  <c r="M1582" i="1"/>
  <c r="M1738" i="1"/>
  <c r="M1752" i="1"/>
  <c r="M1793" i="1"/>
  <c r="M1851" i="1"/>
  <c r="M1894" i="1"/>
  <c r="M1918" i="1"/>
  <c r="M1205" i="1"/>
  <c r="M782" i="1"/>
  <c r="M819" i="1"/>
  <c r="M1705" i="1"/>
  <c r="M1682" i="1"/>
  <c r="M1503" i="1"/>
  <c r="M1604" i="1"/>
  <c r="M4" i="1"/>
  <c r="M1332" i="1"/>
  <c r="M964" i="1"/>
  <c r="M2" i="1"/>
  <c r="M3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2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5" i="1"/>
  <c r="M466" i="1"/>
  <c r="M467" i="1"/>
  <c r="M468" i="1"/>
  <c r="M469" i="1"/>
  <c r="M470" i="1"/>
  <c r="M471" i="1"/>
  <c r="M472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M502" i="1"/>
  <c r="M503" i="1"/>
  <c r="M504" i="1"/>
  <c r="M505" i="1"/>
  <c r="M506" i="1"/>
  <c r="M507" i="1"/>
  <c r="M508" i="1"/>
  <c r="M509" i="1"/>
  <c r="M510" i="1"/>
  <c r="M511" i="1"/>
  <c r="M512" i="1"/>
  <c r="M513" i="1"/>
  <c r="M514" i="1"/>
  <c r="M515" i="1"/>
  <c r="M516" i="1"/>
  <c r="M517" i="1"/>
  <c r="M518" i="1"/>
  <c r="M519" i="1"/>
  <c r="M520" i="1"/>
  <c r="M521" i="1"/>
  <c r="M522" i="1"/>
  <c r="M523" i="1"/>
  <c r="M524" i="1"/>
  <c r="M525" i="1"/>
  <c r="M526" i="1"/>
  <c r="M527" i="1"/>
  <c r="M528" i="1"/>
  <c r="M529" i="1"/>
  <c r="M530" i="1"/>
  <c r="M531" i="1"/>
  <c r="M532" i="1"/>
  <c r="M533" i="1"/>
  <c r="M534" i="1"/>
  <c r="M535" i="1"/>
  <c r="M536" i="1"/>
  <c r="M537" i="1"/>
  <c r="M538" i="1"/>
  <c r="M539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7" i="1"/>
  <c r="M558" i="1"/>
  <c r="M559" i="1"/>
  <c r="M560" i="1"/>
  <c r="M561" i="1"/>
  <c r="M562" i="1"/>
  <c r="M563" i="1"/>
  <c r="M564" i="1"/>
  <c r="M565" i="1"/>
  <c r="M566" i="1"/>
  <c r="M567" i="1"/>
  <c r="M568" i="1"/>
  <c r="M569" i="1"/>
  <c r="M570" i="1"/>
  <c r="M571" i="1"/>
  <c r="M572" i="1"/>
  <c r="M573" i="1"/>
  <c r="M574" i="1"/>
  <c r="M575" i="1"/>
  <c r="M576" i="1"/>
  <c r="M577" i="1"/>
  <c r="M578" i="1"/>
  <c r="M579" i="1"/>
  <c r="M580" i="1"/>
  <c r="M581" i="1"/>
  <c r="M582" i="1"/>
  <c r="M583" i="1"/>
  <c r="M584" i="1"/>
  <c r="M585" i="1"/>
  <c r="M586" i="1"/>
  <c r="M587" i="1"/>
  <c r="M588" i="1"/>
  <c r="M589" i="1"/>
  <c r="M590" i="1"/>
  <c r="M591" i="1"/>
  <c r="M592" i="1"/>
  <c r="M593" i="1"/>
  <c r="M594" i="1"/>
  <c r="M595" i="1"/>
  <c r="M596" i="1"/>
  <c r="M597" i="1"/>
  <c r="M598" i="1"/>
  <c r="M599" i="1"/>
  <c r="M600" i="1"/>
  <c r="M601" i="1"/>
  <c r="M602" i="1"/>
  <c r="M603" i="1"/>
  <c r="M604" i="1"/>
  <c r="M605" i="1"/>
  <c r="M606" i="1"/>
  <c r="M607" i="1"/>
  <c r="M608" i="1"/>
  <c r="M609" i="1"/>
  <c r="M610" i="1"/>
  <c r="M611" i="1"/>
  <c r="M612" i="1"/>
  <c r="M613" i="1"/>
  <c r="M614" i="1"/>
  <c r="M615" i="1"/>
  <c r="M616" i="1"/>
  <c r="M617" i="1"/>
  <c r="M618" i="1"/>
  <c r="M619" i="1"/>
  <c r="M620" i="1"/>
  <c r="M621" i="1"/>
  <c r="M622" i="1"/>
  <c r="M623" i="1"/>
  <c r="M624" i="1"/>
  <c r="M625" i="1"/>
  <c r="M626" i="1"/>
  <c r="M627" i="1"/>
  <c r="M628" i="1"/>
  <c r="M629" i="1"/>
  <c r="M630" i="1"/>
  <c r="M631" i="1"/>
  <c r="M632" i="1"/>
  <c r="M634" i="1"/>
  <c r="M635" i="1"/>
  <c r="M636" i="1"/>
  <c r="M637" i="1"/>
  <c r="M638" i="1"/>
  <c r="M639" i="1"/>
  <c r="M640" i="1"/>
  <c r="M641" i="1"/>
  <c r="M642" i="1"/>
  <c r="M643" i="1"/>
  <c r="M644" i="1"/>
  <c r="M645" i="1"/>
  <c r="M646" i="1"/>
  <c r="M647" i="1"/>
  <c r="M648" i="1"/>
  <c r="M649" i="1"/>
  <c r="M650" i="1"/>
  <c r="M651" i="1"/>
  <c r="M652" i="1"/>
  <c r="M654" i="1"/>
  <c r="M655" i="1"/>
  <c r="M656" i="1"/>
  <c r="M657" i="1"/>
  <c r="M658" i="1"/>
  <c r="M659" i="1"/>
  <c r="M660" i="1"/>
  <c r="M661" i="1"/>
  <c r="M662" i="1"/>
  <c r="M663" i="1"/>
  <c r="M664" i="1"/>
  <c r="M665" i="1"/>
  <c r="M666" i="1"/>
  <c r="M667" i="1"/>
  <c r="M668" i="1"/>
  <c r="M669" i="1"/>
  <c r="M670" i="1"/>
  <c r="M671" i="1"/>
  <c r="M672" i="1"/>
  <c r="M673" i="1"/>
  <c r="M674" i="1"/>
  <c r="M675" i="1"/>
  <c r="M676" i="1"/>
  <c r="M677" i="1"/>
  <c r="M678" i="1"/>
  <c r="M679" i="1"/>
  <c r="M680" i="1"/>
  <c r="M681" i="1"/>
  <c r="M682" i="1"/>
  <c r="M683" i="1"/>
  <c r="M684" i="1"/>
  <c r="M685" i="1"/>
  <c r="M686" i="1"/>
  <c r="M687" i="1"/>
  <c r="M688" i="1"/>
  <c r="M689" i="1"/>
  <c r="M690" i="1"/>
  <c r="M691" i="1"/>
  <c r="M692" i="1"/>
  <c r="M693" i="1"/>
  <c r="M694" i="1"/>
  <c r="M695" i="1"/>
  <c r="M696" i="1"/>
  <c r="M697" i="1"/>
  <c r="M698" i="1"/>
  <c r="M699" i="1"/>
  <c r="M700" i="1"/>
  <c r="M701" i="1"/>
  <c r="M702" i="1"/>
  <c r="M703" i="1"/>
  <c r="M704" i="1"/>
  <c r="M705" i="1"/>
  <c r="M706" i="1"/>
  <c r="M707" i="1"/>
  <c r="M708" i="1"/>
  <c r="M709" i="1"/>
  <c r="M710" i="1"/>
  <c r="M711" i="1"/>
  <c r="M712" i="1"/>
  <c r="M713" i="1"/>
  <c r="M714" i="1"/>
  <c r="M715" i="1"/>
  <c r="M716" i="1"/>
  <c r="M717" i="1"/>
  <c r="M718" i="1"/>
  <c r="M719" i="1"/>
  <c r="M721" i="1"/>
  <c r="M722" i="1"/>
  <c r="M723" i="1"/>
  <c r="M724" i="1"/>
  <c r="M725" i="1"/>
  <c r="M726" i="1"/>
  <c r="M727" i="1"/>
  <c r="M728" i="1"/>
  <c r="M729" i="1"/>
  <c r="M730" i="1"/>
  <c r="M731" i="1"/>
  <c r="M732" i="1"/>
  <c r="M733" i="1"/>
  <c r="M734" i="1"/>
  <c r="M735" i="1"/>
  <c r="M736" i="1"/>
  <c r="M737" i="1"/>
  <c r="M738" i="1"/>
  <c r="M739" i="1"/>
  <c r="M740" i="1"/>
  <c r="M741" i="1"/>
  <c r="M742" i="1"/>
  <c r="M743" i="1"/>
  <c r="M744" i="1"/>
  <c r="M745" i="1"/>
  <c r="M746" i="1"/>
  <c r="M747" i="1"/>
  <c r="M748" i="1"/>
  <c r="M749" i="1"/>
  <c r="M750" i="1"/>
  <c r="M751" i="1"/>
  <c r="M752" i="1"/>
  <c r="M753" i="1"/>
  <c r="M754" i="1"/>
  <c r="M755" i="1"/>
  <c r="M756" i="1"/>
  <c r="M757" i="1"/>
  <c r="M758" i="1"/>
  <c r="M759" i="1"/>
  <c r="M760" i="1"/>
  <c r="M761" i="1"/>
  <c r="M762" i="1"/>
  <c r="M763" i="1"/>
  <c r="M764" i="1"/>
  <c r="M765" i="1"/>
  <c r="M766" i="1"/>
  <c r="M767" i="1"/>
  <c r="M768" i="1"/>
  <c r="M769" i="1"/>
  <c r="M770" i="1"/>
  <c r="M771" i="1"/>
  <c r="M772" i="1"/>
  <c r="M773" i="1"/>
  <c r="M774" i="1"/>
  <c r="M775" i="1"/>
  <c r="M776" i="1"/>
  <c r="M777" i="1"/>
  <c r="M778" i="1"/>
  <c r="M779" i="1"/>
  <c r="M780" i="1"/>
  <c r="M781" i="1"/>
  <c r="M783" i="1"/>
  <c r="M784" i="1"/>
  <c r="M785" i="1"/>
  <c r="M786" i="1"/>
  <c r="M787" i="1"/>
  <c r="M788" i="1"/>
  <c r="M789" i="1"/>
  <c r="M790" i="1"/>
  <c r="M791" i="1"/>
  <c r="M792" i="1"/>
  <c r="M793" i="1"/>
  <c r="M794" i="1"/>
  <c r="M795" i="1"/>
  <c r="M796" i="1"/>
  <c r="M797" i="1"/>
  <c r="M798" i="1"/>
  <c r="M800" i="1"/>
  <c r="M801" i="1"/>
  <c r="M802" i="1"/>
  <c r="M803" i="1"/>
  <c r="M804" i="1"/>
  <c r="M805" i="1"/>
  <c r="M806" i="1"/>
  <c r="M807" i="1"/>
  <c r="M808" i="1"/>
  <c r="M809" i="1"/>
  <c r="M810" i="1"/>
  <c r="M811" i="1"/>
  <c r="M812" i="1"/>
  <c r="M813" i="1"/>
  <c r="M814" i="1"/>
  <c r="M815" i="1"/>
  <c r="M816" i="1"/>
  <c r="M817" i="1"/>
  <c r="M818" i="1"/>
  <c r="M820" i="1"/>
  <c r="M821" i="1"/>
  <c r="M822" i="1"/>
  <c r="M823" i="1"/>
  <c r="M824" i="1"/>
  <c r="M825" i="1"/>
  <c r="M826" i="1"/>
  <c r="M827" i="1"/>
  <c r="M828" i="1"/>
  <c r="M829" i="1"/>
  <c r="M830" i="1"/>
  <c r="M831" i="1"/>
  <c r="M832" i="1"/>
  <c r="M833" i="1"/>
  <c r="M834" i="1"/>
  <c r="M835" i="1"/>
  <c r="M836" i="1"/>
  <c r="M838" i="1"/>
  <c r="M839" i="1"/>
  <c r="M840" i="1"/>
  <c r="M841" i="1"/>
  <c r="M842" i="1"/>
  <c r="M843" i="1"/>
  <c r="M844" i="1"/>
  <c r="M845" i="1"/>
  <c r="M846" i="1"/>
  <c r="M847" i="1"/>
  <c r="M848" i="1"/>
  <c r="M849" i="1"/>
  <c r="M850" i="1"/>
  <c r="M851" i="1"/>
  <c r="M852" i="1"/>
  <c r="M853" i="1"/>
  <c r="M854" i="1"/>
  <c r="M855" i="1"/>
  <c r="M856" i="1"/>
  <c r="M857" i="1"/>
  <c r="M858" i="1"/>
  <c r="M859" i="1"/>
  <c r="M861" i="1"/>
  <c r="M862" i="1"/>
  <c r="M863" i="1"/>
  <c r="M864" i="1"/>
  <c r="M865" i="1"/>
  <c r="M866" i="1"/>
  <c r="M868" i="1"/>
  <c r="M869" i="1"/>
  <c r="M870" i="1"/>
  <c r="M871" i="1"/>
  <c r="M872" i="1"/>
  <c r="M873" i="1"/>
  <c r="M874" i="1"/>
  <c r="M875" i="1"/>
  <c r="M876" i="1"/>
  <c r="M877" i="1"/>
  <c r="M878" i="1"/>
  <c r="M879" i="1"/>
  <c r="M880" i="1"/>
  <c r="M881" i="1"/>
  <c r="M882" i="1"/>
  <c r="M883" i="1"/>
  <c r="M884" i="1"/>
  <c r="M885" i="1"/>
  <c r="M886" i="1"/>
  <c r="M887" i="1"/>
  <c r="M888" i="1"/>
  <c r="M889" i="1"/>
  <c r="M890" i="1"/>
  <c r="M891" i="1"/>
  <c r="M892" i="1"/>
  <c r="M893" i="1"/>
  <c r="M894" i="1"/>
  <c r="M895" i="1"/>
  <c r="M896" i="1"/>
  <c r="M897" i="1"/>
  <c r="M898" i="1"/>
  <c r="M899" i="1"/>
  <c r="M900" i="1"/>
  <c r="M901" i="1"/>
  <c r="M902" i="1"/>
  <c r="M903" i="1"/>
  <c r="M904" i="1"/>
  <c r="M905" i="1"/>
  <c r="M906" i="1"/>
  <c r="M907" i="1"/>
  <c r="M908" i="1"/>
  <c r="M909" i="1"/>
  <c r="M910" i="1"/>
  <c r="M911" i="1"/>
  <c r="M912" i="1"/>
  <c r="M913" i="1"/>
  <c r="M914" i="1"/>
  <c r="M915" i="1"/>
  <c r="M916" i="1"/>
  <c r="M917" i="1"/>
  <c r="M918" i="1"/>
  <c r="M919" i="1"/>
  <c r="M920" i="1"/>
  <c r="M921" i="1"/>
  <c r="M922" i="1"/>
  <c r="M923" i="1"/>
  <c r="M924" i="1"/>
  <c r="M925" i="1"/>
  <c r="M926" i="1"/>
  <c r="M927" i="1"/>
  <c r="M928" i="1"/>
  <c r="M929" i="1"/>
  <c r="M930" i="1"/>
  <c r="M931" i="1"/>
  <c r="M932" i="1"/>
  <c r="M933" i="1"/>
  <c r="M934" i="1"/>
  <c r="M935" i="1"/>
  <c r="M936" i="1"/>
  <c r="M937" i="1"/>
  <c r="M938" i="1"/>
  <c r="M939" i="1"/>
  <c r="M940" i="1"/>
  <c r="M941" i="1"/>
  <c r="M942" i="1"/>
  <c r="M943" i="1"/>
  <c r="M944" i="1"/>
  <c r="M945" i="1"/>
  <c r="M946" i="1"/>
  <c r="M947" i="1"/>
  <c r="M948" i="1"/>
  <c r="M950" i="1"/>
  <c r="M951" i="1"/>
  <c r="M952" i="1"/>
  <c r="M953" i="1"/>
  <c r="M954" i="1"/>
  <c r="M955" i="1"/>
  <c r="M956" i="1"/>
  <c r="M957" i="1"/>
  <c r="M958" i="1"/>
  <c r="M959" i="1"/>
  <c r="M960" i="1"/>
  <c r="M961" i="1"/>
  <c r="M962" i="1"/>
  <c r="M963" i="1"/>
  <c r="M965" i="1"/>
  <c r="M966" i="1"/>
  <c r="M967" i="1"/>
  <c r="M968" i="1"/>
  <c r="M969" i="1"/>
  <c r="M970" i="1"/>
  <c r="M971" i="1"/>
  <c r="M972" i="1"/>
  <c r="M973" i="1"/>
  <c r="M974" i="1"/>
  <c r="M975" i="1"/>
  <c r="M976" i="1"/>
  <c r="M977" i="1"/>
  <c r="M978" i="1"/>
  <c r="M979" i="1"/>
  <c r="M980" i="1"/>
  <c r="M981" i="1"/>
  <c r="M982" i="1"/>
  <c r="M983" i="1"/>
  <c r="M984" i="1"/>
  <c r="M985" i="1"/>
  <c r="M986" i="1"/>
  <c r="M987" i="1"/>
  <c r="M988" i="1"/>
  <c r="M989" i="1"/>
  <c r="M990" i="1"/>
  <c r="M991" i="1"/>
  <c r="M992" i="1"/>
  <c r="M993" i="1"/>
  <c r="M994" i="1"/>
  <c r="M995" i="1"/>
  <c r="M996" i="1"/>
  <c r="M997" i="1"/>
  <c r="M998" i="1"/>
  <c r="M999" i="1"/>
  <c r="M1000" i="1"/>
  <c r="M1001" i="1"/>
  <c r="M1002" i="1"/>
  <c r="M1003" i="1"/>
  <c r="M1004" i="1"/>
  <c r="M1005" i="1"/>
  <c r="M1006" i="1"/>
  <c r="M1007" i="1"/>
  <c r="M1008" i="1"/>
  <c r="M1010" i="1"/>
  <c r="M1011" i="1"/>
  <c r="M1012" i="1"/>
  <c r="M1013" i="1"/>
  <c r="M1014" i="1"/>
  <c r="M1015" i="1"/>
  <c r="M1016" i="1"/>
  <c r="M1017" i="1"/>
  <c r="M1018" i="1"/>
  <c r="M1019" i="1"/>
  <c r="M1020" i="1"/>
  <c r="M1021" i="1"/>
  <c r="M1022" i="1"/>
  <c r="M1023" i="1"/>
  <c r="M1024" i="1"/>
  <c r="M1025" i="1"/>
  <c r="M1026" i="1"/>
  <c r="M1027" i="1"/>
  <c r="M1028" i="1"/>
  <c r="M1029" i="1"/>
  <c r="M1030" i="1"/>
  <c r="M1031" i="1"/>
  <c r="M1032" i="1"/>
  <c r="M1033" i="1"/>
  <c r="M1034" i="1"/>
  <c r="M1035" i="1"/>
  <c r="M1036" i="1"/>
  <c r="M1037" i="1"/>
  <c r="M1038" i="1"/>
  <c r="M1039" i="1"/>
  <c r="M1040" i="1"/>
  <c r="M1042" i="1"/>
  <c r="M1043" i="1"/>
  <c r="M1044" i="1"/>
  <c r="M1045" i="1"/>
  <c r="M1046" i="1"/>
  <c r="M1047" i="1"/>
  <c r="M1048" i="1"/>
  <c r="M1049" i="1"/>
  <c r="M1050" i="1"/>
  <c r="M1051" i="1"/>
  <c r="M1052" i="1"/>
  <c r="M1053" i="1"/>
  <c r="M1054" i="1"/>
  <c r="M1055" i="1"/>
  <c r="M1056" i="1"/>
  <c r="M1057" i="1"/>
  <c r="M1058" i="1"/>
  <c r="M1059" i="1"/>
  <c r="M1060" i="1"/>
  <c r="M1061" i="1"/>
  <c r="M1062" i="1"/>
  <c r="M1063" i="1"/>
  <c r="M1064" i="1"/>
  <c r="M1065" i="1"/>
  <c r="M1066" i="1"/>
  <c r="M1067" i="1"/>
  <c r="M1068" i="1"/>
  <c r="M1069" i="1"/>
  <c r="M1070" i="1"/>
  <c r="M1071" i="1"/>
  <c r="M1072" i="1"/>
  <c r="M1073" i="1"/>
  <c r="M1074" i="1"/>
  <c r="M1075" i="1"/>
  <c r="M1076" i="1"/>
  <c r="M1077" i="1"/>
  <c r="M1078" i="1"/>
  <c r="M1079" i="1"/>
  <c r="M1080" i="1"/>
  <c r="M1081" i="1"/>
  <c r="M1082" i="1"/>
  <c r="M1083" i="1"/>
  <c r="M1084" i="1"/>
  <c r="M1085" i="1"/>
  <c r="M1086" i="1"/>
  <c r="M1087" i="1"/>
  <c r="M1088" i="1"/>
  <c r="M1089" i="1"/>
  <c r="M1090" i="1"/>
  <c r="M1091" i="1"/>
  <c r="M1092" i="1"/>
  <c r="M1093" i="1"/>
  <c r="M1094" i="1"/>
  <c r="M1095" i="1"/>
  <c r="M1096" i="1"/>
  <c r="M1097" i="1"/>
  <c r="M1098" i="1"/>
  <c r="M1099" i="1"/>
  <c r="M1100" i="1"/>
  <c r="M1101" i="1"/>
  <c r="M1102" i="1"/>
  <c r="M1103" i="1"/>
  <c r="M1104" i="1"/>
  <c r="M1105" i="1"/>
  <c r="M1106" i="1"/>
  <c r="M1107" i="1"/>
  <c r="M1108" i="1"/>
  <c r="M1109" i="1"/>
  <c r="M1110" i="1"/>
  <c r="M1111" i="1"/>
  <c r="M1112" i="1"/>
  <c r="M1113" i="1"/>
  <c r="M1114" i="1"/>
  <c r="M1115" i="1"/>
  <c r="M1116" i="1"/>
  <c r="M1117" i="1"/>
  <c r="M1118" i="1"/>
  <c r="M1119" i="1"/>
  <c r="M1120" i="1"/>
  <c r="M1121" i="1"/>
  <c r="M1122" i="1"/>
  <c r="M1123" i="1"/>
  <c r="M1124" i="1"/>
  <c r="M1125" i="1"/>
  <c r="M1126" i="1"/>
  <c r="M1127" i="1"/>
  <c r="M1128" i="1"/>
  <c r="M1129" i="1"/>
  <c r="M1130" i="1"/>
  <c r="M1132" i="1"/>
  <c r="M1133" i="1"/>
  <c r="M1134" i="1"/>
  <c r="M1135" i="1"/>
  <c r="M1136" i="1"/>
  <c r="M1137" i="1"/>
  <c r="M1138" i="1"/>
  <c r="M1139" i="1"/>
  <c r="M1140" i="1"/>
  <c r="M1141" i="1"/>
  <c r="M1142" i="1"/>
  <c r="M1143" i="1"/>
  <c r="M1144" i="1"/>
  <c r="M1145" i="1"/>
  <c r="M1146" i="1"/>
  <c r="M1147" i="1"/>
  <c r="M1148" i="1"/>
  <c r="M1149" i="1"/>
  <c r="M1150" i="1"/>
  <c r="M1151" i="1"/>
  <c r="M1152" i="1"/>
  <c r="M1153" i="1"/>
  <c r="M1154" i="1"/>
  <c r="M1155" i="1"/>
  <c r="M1156" i="1"/>
  <c r="M1157" i="1"/>
  <c r="M1158" i="1"/>
  <c r="M1159" i="1"/>
  <c r="M1160" i="1"/>
  <c r="M1161" i="1"/>
  <c r="M1162" i="1"/>
  <c r="M1163" i="1"/>
  <c r="M1164" i="1"/>
  <c r="M1165" i="1"/>
  <c r="M1166" i="1"/>
  <c r="M1167" i="1"/>
  <c r="M1168" i="1"/>
  <c r="M1169" i="1"/>
  <c r="M1170" i="1"/>
  <c r="M1171" i="1"/>
  <c r="M1172" i="1"/>
  <c r="M1173" i="1"/>
  <c r="M1174" i="1"/>
  <c r="M1175" i="1"/>
  <c r="M1176" i="1"/>
  <c r="M1177" i="1"/>
  <c r="M1178" i="1"/>
  <c r="M1179" i="1"/>
  <c r="M1180" i="1"/>
  <c r="M1181" i="1"/>
  <c r="M1182" i="1"/>
  <c r="M1183" i="1"/>
  <c r="M1184" i="1"/>
  <c r="M1185" i="1"/>
  <c r="M1186" i="1"/>
  <c r="M1187" i="1"/>
  <c r="M1188" i="1"/>
  <c r="M1189" i="1"/>
  <c r="M1190" i="1"/>
  <c r="M1191" i="1"/>
  <c r="M1192" i="1"/>
  <c r="M1193" i="1"/>
  <c r="M1194" i="1"/>
  <c r="M1195" i="1"/>
  <c r="M1196" i="1"/>
  <c r="M1197" i="1"/>
  <c r="M1198" i="1"/>
  <c r="M1199" i="1"/>
  <c r="M1200" i="1"/>
  <c r="M1201" i="1"/>
  <c r="M1202" i="1"/>
  <c r="M1203" i="1"/>
  <c r="M1204" i="1"/>
  <c r="M1206" i="1"/>
  <c r="M1207" i="1"/>
  <c r="M1208" i="1"/>
  <c r="M1209" i="1"/>
  <c r="M1210" i="1"/>
  <c r="M1211" i="1"/>
  <c r="M1212" i="1"/>
  <c r="M1214" i="1"/>
  <c r="M1215" i="1"/>
  <c r="M1216" i="1"/>
  <c r="M1217" i="1"/>
  <c r="M1218" i="1"/>
  <c r="M1219" i="1"/>
  <c r="M1220" i="1"/>
  <c r="M1221" i="1"/>
  <c r="M1222" i="1"/>
  <c r="M1223" i="1"/>
  <c r="M1224" i="1"/>
  <c r="M1225" i="1"/>
  <c r="M1226" i="1"/>
  <c r="M1227" i="1"/>
  <c r="M1228" i="1"/>
  <c r="M1229" i="1"/>
  <c r="M1230" i="1"/>
  <c r="M1231" i="1"/>
  <c r="M1232" i="1"/>
  <c r="M1233" i="1"/>
  <c r="M1234" i="1"/>
  <c r="M1235" i="1"/>
  <c r="M1236" i="1"/>
  <c r="M1237" i="1"/>
  <c r="M1238" i="1"/>
  <c r="M1239" i="1"/>
  <c r="M1240" i="1"/>
  <c r="M1241" i="1"/>
  <c r="M1242" i="1"/>
  <c r="M1243" i="1"/>
  <c r="M1244" i="1"/>
  <c r="M1245" i="1"/>
  <c r="M1246" i="1"/>
  <c r="M1247" i="1"/>
  <c r="M1248" i="1"/>
  <c r="M1249" i="1"/>
  <c r="M1250" i="1"/>
  <c r="M1251" i="1"/>
  <c r="M1252" i="1"/>
  <c r="M1253" i="1"/>
  <c r="M1254" i="1"/>
  <c r="M1255" i="1"/>
  <c r="M1256" i="1"/>
  <c r="M1257" i="1"/>
  <c r="M1258" i="1"/>
  <c r="M1259" i="1"/>
  <c r="M1260" i="1"/>
  <c r="M1261" i="1"/>
  <c r="M1262" i="1"/>
  <c r="M1263" i="1"/>
  <c r="M1264" i="1"/>
  <c r="M1265" i="1"/>
  <c r="M1266" i="1"/>
  <c r="M1267" i="1"/>
  <c r="M1268" i="1"/>
  <c r="M1269" i="1"/>
  <c r="M1270" i="1"/>
  <c r="M1271" i="1"/>
  <c r="M1272" i="1"/>
  <c r="M1273" i="1"/>
  <c r="M1274" i="1"/>
  <c r="M1275" i="1"/>
  <c r="M1276" i="1"/>
  <c r="M1277" i="1"/>
  <c r="M1278" i="1"/>
  <c r="M1279" i="1"/>
  <c r="M1280" i="1"/>
  <c r="M1281" i="1"/>
  <c r="M1282" i="1"/>
  <c r="M1283" i="1"/>
  <c r="M1284" i="1"/>
  <c r="M1285" i="1"/>
  <c r="M1286" i="1"/>
  <c r="M1287" i="1"/>
  <c r="M1288" i="1"/>
  <c r="M1289" i="1"/>
  <c r="M1290" i="1"/>
  <c r="M1291" i="1"/>
  <c r="M1292" i="1"/>
  <c r="M1293" i="1"/>
  <c r="M1294" i="1"/>
  <c r="M1295" i="1"/>
  <c r="M1296" i="1"/>
  <c r="M1297" i="1"/>
  <c r="M1298" i="1"/>
  <c r="M1299" i="1"/>
  <c r="M1300" i="1"/>
  <c r="M1301" i="1"/>
  <c r="M1302" i="1"/>
  <c r="M1303" i="1"/>
  <c r="M1304" i="1"/>
  <c r="M1305" i="1"/>
  <c r="M1306" i="1"/>
  <c r="M1307" i="1"/>
  <c r="M1308" i="1"/>
  <c r="M1309" i="1"/>
  <c r="M1310" i="1"/>
  <c r="M1311" i="1"/>
  <c r="M1312" i="1"/>
  <c r="M1313" i="1"/>
  <c r="M1314" i="1"/>
  <c r="M1315" i="1"/>
  <c r="M1316" i="1"/>
  <c r="M1317" i="1"/>
  <c r="M1318" i="1"/>
  <c r="M1319" i="1"/>
  <c r="M1320" i="1"/>
  <c r="M1321" i="1"/>
  <c r="M1322" i="1"/>
  <c r="M1323" i="1"/>
  <c r="M1324" i="1"/>
  <c r="M1325" i="1"/>
  <c r="M1326" i="1"/>
  <c r="M1327" i="1"/>
  <c r="M1328" i="1"/>
  <c r="M1329" i="1"/>
  <c r="M1330" i="1"/>
  <c r="M1331" i="1"/>
  <c r="M1333" i="1"/>
  <c r="M1334" i="1"/>
  <c r="M1335" i="1"/>
  <c r="M1336" i="1"/>
  <c r="M1337" i="1"/>
  <c r="M1338" i="1"/>
  <c r="M1339" i="1"/>
  <c r="M1340" i="1"/>
  <c r="M1341" i="1"/>
  <c r="M1342" i="1"/>
  <c r="M1343" i="1"/>
  <c r="M1344" i="1"/>
  <c r="M1345" i="1"/>
  <c r="M1346" i="1"/>
  <c r="M1347" i="1"/>
  <c r="M1348" i="1"/>
  <c r="M1349" i="1"/>
  <c r="M1350" i="1"/>
  <c r="M1351" i="1"/>
  <c r="M1352" i="1"/>
  <c r="M1353" i="1"/>
  <c r="M1354" i="1"/>
  <c r="M1355" i="1"/>
  <c r="M1356" i="1"/>
  <c r="M1357" i="1"/>
  <c r="M1358" i="1"/>
  <c r="M1359" i="1"/>
  <c r="M1360" i="1"/>
  <c r="M1361" i="1"/>
  <c r="M1362" i="1"/>
  <c r="M1363" i="1"/>
  <c r="M1364" i="1"/>
  <c r="M1365" i="1"/>
  <c r="M1366" i="1"/>
  <c r="M1367" i="1"/>
  <c r="M1368" i="1"/>
  <c r="M1369" i="1"/>
  <c r="M1370" i="1"/>
  <c r="M1371" i="1"/>
  <c r="M1372" i="1"/>
  <c r="M1373" i="1"/>
  <c r="M1374" i="1"/>
  <c r="M1375" i="1"/>
  <c r="M1376" i="1"/>
  <c r="M1377" i="1"/>
  <c r="M1378" i="1"/>
  <c r="M1379" i="1"/>
  <c r="M1380" i="1"/>
  <c r="M1381" i="1"/>
  <c r="M1382" i="1"/>
  <c r="M1383" i="1"/>
  <c r="M1384" i="1"/>
  <c r="M1385" i="1"/>
  <c r="M1386" i="1"/>
  <c r="M1387" i="1"/>
  <c r="M1388" i="1"/>
  <c r="M1389" i="1"/>
  <c r="M1390" i="1"/>
  <c r="M1391" i="1"/>
  <c r="M1392" i="1"/>
  <c r="M1393" i="1"/>
  <c r="M1394" i="1"/>
  <c r="M1395" i="1"/>
  <c r="M1396" i="1"/>
  <c r="M1397" i="1"/>
  <c r="M1398" i="1"/>
  <c r="M1399" i="1"/>
  <c r="M1400" i="1"/>
  <c r="M1401" i="1"/>
  <c r="M1402" i="1"/>
  <c r="M1404" i="1"/>
  <c r="M1405" i="1"/>
  <c r="M1406" i="1"/>
  <c r="M1407" i="1"/>
  <c r="M1408" i="1"/>
  <c r="M1409" i="1"/>
  <c r="M1410" i="1"/>
  <c r="M1411" i="1"/>
  <c r="M1412" i="1"/>
  <c r="M1413" i="1"/>
  <c r="M1414" i="1"/>
  <c r="M1415" i="1"/>
  <c r="M1417" i="1"/>
  <c r="M1418" i="1"/>
  <c r="M1419" i="1"/>
  <c r="M1420" i="1"/>
  <c r="M1421" i="1"/>
  <c r="M1422" i="1"/>
  <c r="M1423" i="1"/>
  <c r="M1424" i="1"/>
  <c r="M1425" i="1"/>
  <c r="M1426" i="1"/>
  <c r="M1427" i="1"/>
  <c r="M1428" i="1"/>
  <c r="M1429" i="1"/>
  <c r="M1430" i="1"/>
  <c r="M1431" i="1"/>
  <c r="M1432" i="1"/>
  <c r="M1433" i="1"/>
  <c r="M1434" i="1"/>
  <c r="M1435" i="1"/>
  <c r="M1436" i="1"/>
  <c r="M1438" i="1"/>
  <c r="M1439" i="1"/>
  <c r="M1440" i="1"/>
  <c r="M1441" i="1"/>
  <c r="M1442" i="1"/>
  <c r="M1443" i="1"/>
  <c r="M1444" i="1"/>
  <c r="M1445" i="1"/>
  <c r="M1446" i="1"/>
  <c r="M1447" i="1"/>
  <c r="M1448" i="1"/>
  <c r="M1449" i="1"/>
  <c r="M1450" i="1"/>
  <c r="M1451" i="1"/>
  <c r="M1452" i="1"/>
  <c r="M1453" i="1"/>
  <c r="M1454" i="1"/>
  <c r="M1455" i="1"/>
  <c r="M1456" i="1"/>
  <c r="M1457" i="1"/>
  <c r="M1458" i="1"/>
  <c r="M1459" i="1"/>
  <c r="M1460" i="1"/>
  <c r="M1461" i="1"/>
  <c r="M1462" i="1"/>
  <c r="M1463" i="1"/>
  <c r="M1464" i="1"/>
  <c r="M1465" i="1"/>
  <c r="M1466" i="1"/>
  <c r="M1467" i="1"/>
  <c r="M1468" i="1"/>
  <c r="M1469" i="1"/>
  <c r="M1470" i="1"/>
  <c r="M1471" i="1"/>
  <c r="M1472" i="1"/>
  <c r="M1473" i="1"/>
  <c r="M1474" i="1"/>
  <c r="M1475" i="1"/>
  <c r="M1476" i="1"/>
  <c r="M1477" i="1"/>
  <c r="M1478" i="1"/>
  <c r="M1479" i="1"/>
  <c r="M1480" i="1"/>
  <c r="M1481" i="1"/>
  <c r="M1482" i="1"/>
  <c r="M1483" i="1"/>
  <c r="M1484" i="1"/>
  <c r="M1485" i="1"/>
  <c r="M1487" i="1"/>
  <c r="M1488" i="1"/>
  <c r="M1489" i="1"/>
  <c r="M1490" i="1"/>
  <c r="M1491" i="1"/>
  <c r="M1492" i="1"/>
  <c r="M1493" i="1"/>
  <c r="M1494" i="1"/>
  <c r="M1495" i="1"/>
  <c r="M1496" i="1"/>
  <c r="M1497" i="1"/>
  <c r="M1498" i="1"/>
  <c r="M1499" i="1"/>
  <c r="M1500" i="1"/>
  <c r="M1501" i="1"/>
  <c r="M1502" i="1"/>
  <c r="M1504" i="1"/>
  <c r="M1505" i="1"/>
  <c r="M1506" i="1"/>
  <c r="M1507" i="1"/>
  <c r="M1508" i="1"/>
  <c r="M1509" i="1"/>
  <c r="M1510" i="1"/>
  <c r="M1511" i="1"/>
  <c r="M1512" i="1"/>
  <c r="M1513" i="1"/>
  <c r="M1514" i="1"/>
  <c r="M1515" i="1"/>
  <c r="M1516" i="1"/>
  <c r="M1517" i="1"/>
  <c r="M1518" i="1"/>
  <c r="M1519" i="1"/>
  <c r="M1520" i="1"/>
  <c r="M1521" i="1"/>
  <c r="M1522" i="1"/>
  <c r="M1523" i="1"/>
  <c r="M1524" i="1"/>
  <c r="M1525" i="1"/>
  <c r="M1526" i="1"/>
  <c r="M1527" i="1"/>
  <c r="M1528" i="1"/>
  <c r="M1529" i="1"/>
  <c r="M1530" i="1"/>
  <c r="M1531" i="1"/>
  <c r="M1532" i="1"/>
  <c r="M1533" i="1"/>
  <c r="M1534" i="1"/>
  <c r="M1535" i="1"/>
  <c r="M1536" i="1"/>
  <c r="M1537" i="1"/>
  <c r="M1538" i="1"/>
  <c r="M1539" i="1"/>
  <c r="M1540" i="1"/>
  <c r="M1541" i="1"/>
  <c r="M1542" i="1"/>
  <c r="M1543" i="1"/>
  <c r="M1544" i="1"/>
  <c r="M1545" i="1"/>
  <c r="M1547" i="1"/>
  <c r="M1548" i="1"/>
  <c r="M1549" i="1"/>
  <c r="M1550" i="1"/>
  <c r="M1551" i="1"/>
  <c r="M1552" i="1"/>
  <c r="M1553" i="1"/>
  <c r="M1554" i="1"/>
  <c r="M1555" i="1"/>
  <c r="M1556" i="1"/>
  <c r="M1557" i="1"/>
  <c r="M1558" i="1"/>
  <c r="M1559" i="1"/>
  <c r="M1560" i="1"/>
  <c r="M1561" i="1"/>
  <c r="M1562" i="1"/>
  <c r="M1563" i="1"/>
  <c r="M1564" i="1"/>
  <c r="M1565" i="1"/>
  <c r="M1566" i="1"/>
  <c r="M1567" i="1"/>
  <c r="M1568" i="1"/>
  <c r="M1569" i="1"/>
  <c r="M1570" i="1"/>
  <c r="M1571" i="1"/>
  <c r="M1572" i="1"/>
  <c r="M1573" i="1"/>
  <c r="M1574" i="1"/>
  <c r="M1575" i="1"/>
  <c r="M1576" i="1"/>
  <c r="M1577" i="1"/>
  <c r="M1578" i="1"/>
  <c r="M1579" i="1"/>
  <c r="M1580" i="1"/>
  <c r="M1581" i="1"/>
  <c r="M1583" i="1"/>
  <c r="M1584" i="1"/>
  <c r="M1585" i="1"/>
  <c r="M1586" i="1"/>
  <c r="M1587" i="1"/>
  <c r="M1588" i="1"/>
  <c r="M1589" i="1"/>
  <c r="M1590" i="1"/>
  <c r="M1591" i="1"/>
  <c r="M1592" i="1"/>
  <c r="M1593" i="1"/>
  <c r="M1594" i="1"/>
  <c r="M1595" i="1"/>
  <c r="M1596" i="1"/>
  <c r="M1597" i="1"/>
  <c r="M1598" i="1"/>
  <c r="M1599" i="1"/>
  <c r="M1600" i="1"/>
  <c r="M1601" i="1"/>
  <c r="M1602" i="1"/>
  <c r="M1603" i="1"/>
  <c r="M1605" i="1"/>
  <c r="M1606" i="1"/>
  <c r="M1607" i="1"/>
  <c r="M1608" i="1"/>
  <c r="M1609" i="1"/>
  <c r="M1610" i="1"/>
  <c r="M1611" i="1"/>
  <c r="M1612" i="1"/>
  <c r="M1613" i="1"/>
  <c r="M1614" i="1"/>
  <c r="M1615" i="1"/>
  <c r="M1616" i="1"/>
  <c r="M1617" i="1"/>
  <c r="M1618" i="1"/>
  <c r="M1619" i="1"/>
  <c r="M1620" i="1"/>
  <c r="M1621" i="1"/>
  <c r="M1622" i="1"/>
  <c r="M1623" i="1"/>
  <c r="M1624" i="1"/>
  <c r="M1625" i="1"/>
  <c r="M1626" i="1"/>
  <c r="M1627" i="1"/>
  <c r="M1628" i="1"/>
  <c r="M1629" i="1"/>
  <c r="M1630" i="1"/>
  <c r="M1631" i="1"/>
  <c r="M1632" i="1"/>
  <c r="M1633" i="1"/>
  <c r="M1634" i="1"/>
  <c r="M1635" i="1"/>
  <c r="M1636" i="1"/>
  <c r="M1637" i="1"/>
  <c r="M1638" i="1"/>
  <c r="M1639" i="1"/>
  <c r="M1640" i="1"/>
  <c r="M1641" i="1"/>
  <c r="M1642" i="1"/>
  <c r="M1643" i="1"/>
  <c r="M1644" i="1"/>
  <c r="M1645" i="1"/>
  <c r="M1646" i="1"/>
  <c r="M1647" i="1"/>
  <c r="M1648" i="1"/>
  <c r="M1649" i="1"/>
  <c r="M1650" i="1"/>
  <c r="M1651" i="1"/>
  <c r="M1652" i="1"/>
  <c r="M1653" i="1"/>
  <c r="M1654" i="1"/>
  <c r="M1655" i="1"/>
  <c r="M1656" i="1"/>
  <c r="M1657" i="1"/>
  <c r="M1658" i="1"/>
  <c r="M1659" i="1"/>
  <c r="M1660" i="1"/>
  <c r="M1661" i="1"/>
  <c r="M1662" i="1"/>
  <c r="M1663" i="1"/>
  <c r="M1664" i="1"/>
  <c r="M1665" i="1"/>
  <c r="M1666" i="1"/>
  <c r="M1667" i="1"/>
  <c r="M1668" i="1"/>
  <c r="M1669" i="1"/>
  <c r="M1670" i="1"/>
  <c r="M1671" i="1"/>
  <c r="M1672" i="1"/>
  <c r="M1673" i="1"/>
  <c r="M1674" i="1"/>
  <c r="M1675" i="1"/>
  <c r="M1676" i="1"/>
  <c r="M1677" i="1"/>
  <c r="M1678" i="1"/>
  <c r="M1679" i="1"/>
  <c r="M1680" i="1"/>
  <c r="M1681" i="1"/>
  <c r="M1683" i="1"/>
  <c r="M1684" i="1"/>
  <c r="M1685" i="1"/>
  <c r="M1686" i="1"/>
  <c r="M1687" i="1"/>
  <c r="M1689" i="1"/>
  <c r="M1690" i="1"/>
  <c r="M1691" i="1"/>
  <c r="M1692" i="1"/>
  <c r="M1693" i="1"/>
  <c r="M1694" i="1"/>
  <c r="M1695" i="1"/>
  <c r="M1696" i="1"/>
  <c r="M1697" i="1"/>
  <c r="M1698" i="1"/>
  <c r="M1699" i="1"/>
  <c r="M1700" i="1"/>
  <c r="M1701" i="1"/>
  <c r="M1702" i="1"/>
  <c r="M1703" i="1"/>
  <c r="M1704" i="1"/>
  <c r="M1706" i="1"/>
  <c r="M1707" i="1"/>
  <c r="M1708" i="1"/>
  <c r="M1709" i="1"/>
  <c r="M1710" i="1"/>
  <c r="M1711" i="1"/>
  <c r="M1712" i="1"/>
  <c r="M1713" i="1"/>
  <c r="M1714" i="1"/>
  <c r="M1715" i="1"/>
  <c r="M1716" i="1"/>
  <c r="M1717" i="1"/>
  <c r="M1718" i="1"/>
  <c r="M1719" i="1"/>
  <c r="M1720" i="1"/>
  <c r="M1721" i="1"/>
  <c r="M1722" i="1"/>
  <c r="M1723" i="1"/>
  <c r="M1724" i="1"/>
  <c r="M1725" i="1"/>
  <c r="M1726" i="1"/>
  <c r="M1727" i="1"/>
  <c r="M1728" i="1"/>
  <c r="M1729" i="1"/>
  <c r="M1730" i="1"/>
  <c r="M1731" i="1"/>
  <c r="M1732" i="1"/>
  <c r="M1733" i="1"/>
  <c r="M1734" i="1"/>
  <c r="M1735" i="1"/>
  <c r="M1736" i="1"/>
  <c r="M1737" i="1"/>
  <c r="M1739" i="1"/>
  <c r="M1740" i="1"/>
  <c r="M1741" i="1"/>
  <c r="M1742" i="1"/>
  <c r="M1743" i="1"/>
  <c r="M1744" i="1"/>
  <c r="M1745" i="1"/>
  <c r="M1746" i="1"/>
  <c r="M1747" i="1"/>
  <c r="M1748" i="1"/>
  <c r="M1749" i="1"/>
  <c r="M1750" i="1"/>
  <c r="M1751" i="1"/>
  <c r="M1753" i="1"/>
  <c r="M1754" i="1"/>
  <c r="M1755" i="1"/>
  <c r="M1756" i="1"/>
  <c r="M1757" i="1"/>
  <c r="M1758" i="1"/>
  <c r="M1759" i="1"/>
  <c r="M1760" i="1"/>
  <c r="M1761" i="1"/>
  <c r="M1762" i="1"/>
  <c r="M1763" i="1"/>
  <c r="M1764" i="1"/>
  <c r="M1765" i="1"/>
  <c r="M1766" i="1"/>
  <c r="M1767" i="1"/>
  <c r="M1768" i="1"/>
  <c r="M1769" i="1"/>
  <c r="M1770" i="1"/>
  <c r="M1771" i="1"/>
  <c r="M1772" i="1"/>
  <c r="M1773" i="1"/>
  <c r="M1774" i="1"/>
  <c r="M1775" i="1"/>
  <c r="M1776" i="1"/>
  <c r="M1777" i="1"/>
  <c r="M1778" i="1"/>
  <c r="M1779" i="1"/>
  <c r="M1780" i="1"/>
  <c r="M1781" i="1"/>
  <c r="M1782" i="1"/>
  <c r="M1783" i="1"/>
  <c r="M1784" i="1"/>
  <c r="M1785" i="1"/>
  <c r="M1786" i="1"/>
  <c r="M1787" i="1"/>
  <c r="M1788" i="1"/>
  <c r="M1789" i="1"/>
  <c r="M1790" i="1"/>
  <c r="M1791" i="1"/>
  <c r="M1792" i="1"/>
  <c r="M1794" i="1"/>
  <c r="M1795" i="1"/>
  <c r="M1796" i="1"/>
  <c r="M1797" i="1"/>
  <c r="M1798" i="1"/>
  <c r="M1799" i="1"/>
  <c r="M1800" i="1"/>
  <c r="M1801" i="1"/>
  <c r="M1802" i="1"/>
  <c r="M1803" i="1"/>
  <c r="M1804" i="1"/>
  <c r="M1805" i="1"/>
  <c r="M1806" i="1"/>
  <c r="M1807" i="1"/>
  <c r="M1808" i="1"/>
  <c r="M1809" i="1"/>
  <c r="M1810" i="1"/>
  <c r="M1811" i="1"/>
  <c r="M1812" i="1"/>
  <c r="M1813" i="1"/>
  <c r="M1814" i="1"/>
  <c r="M1815" i="1"/>
  <c r="M1816" i="1"/>
  <c r="M1817" i="1"/>
  <c r="M1818" i="1"/>
  <c r="M1819" i="1"/>
  <c r="M1820" i="1"/>
  <c r="M1821" i="1"/>
  <c r="M1822" i="1"/>
  <c r="M1823" i="1"/>
  <c r="M1824" i="1"/>
  <c r="M1825" i="1"/>
  <c r="M1826" i="1"/>
  <c r="M1827" i="1"/>
  <c r="M1828" i="1"/>
  <c r="M1829" i="1"/>
  <c r="M1830" i="1"/>
  <c r="M1831" i="1"/>
  <c r="M1832" i="1"/>
  <c r="M1833" i="1"/>
  <c r="M1834" i="1"/>
  <c r="M1835" i="1"/>
  <c r="M1836" i="1"/>
  <c r="M1837" i="1"/>
  <c r="M1838" i="1"/>
  <c r="M1839" i="1"/>
  <c r="M1840" i="1"/>
  <c r="M1841" i="1"/>
  <c r="M1842" i="1"/>
  <c r="M1843" i="1"/>
  <c r="M1844" i="1"/>
  <c r="M1845" i="1"/>
  <c r="M1846" i="1"/>
  <c r="M1847" i="1"/>
  <c r="M1848" i="1"/>
  <c r="M1849" i="1"/>
  <c r="M1850" i="1"/>
  <c r="M1852" i="1"/>
  <c r="M1853" i="1"/>
  <c r="M1854" i="1"/>
  <c r="M1855" i="1"/>
  <c r="M1856" i="1"/>
  <c r="M1857" i="1"/>
  <c r="M1858" i="1"/>
  <c r="M1859" i="1"/>
  <c r="M1860" i="1"/>
  <c r="M1861" i="1"/>
  <c r="M1862" i="1"/>
  <c r="M1864" i="1"/>
  <c r="M1865" i="1"/>
  <c r="M1866" i="1"/>
  <c r="M1867" i="1"/>
  <c r="M1868" i="1"/>
  <c r="M1869" i="1"/>
  <c r="M1870" i="1"/>
  <c r="M1871" i="1"/>
  <c r="M1872" i="1"/>
  <c r="M1873" i="1"/>
  <c r="M1874" i="1"/>
  <c r="M1875" i="1"/>
  <c r="M1876" i="1"/>
  <c r="M1877" i="1"/>
  <c r="M1878" i="1"/>
  <c r="M1879" i="1"/>
  <c r="M1880" i="1"/>
  <c r="M1881" i="1"/>
  <c r="M1882" i="1"/>
  <c r="M1883" i="1"/>
  <c r="M1884" i="1"/>
  <c r="M1885" i="1"/>
  <c r="M1886" i="1"/>
  <c r="M1887" i="1"/>
  <c r="M1888" i="1"/>
  <c r="M1890" i="1"/>
  <c r="M1891" i="1"/>
  <c r="M1892" i="1"/>
  <c r="M1893" i="1"/>
  <c r="M1895" i="1"/>
  <c r="M1896" i="1"/>
  <c r="M1897" i="1"/>
  <c r="M1898" i="1"/>
  <c r="M1899" i="1"/>
  <c r="M1900" i="1"/>
  <c r="M1901" i="1"/>
  <c r="M1902" i="1"/>
  <c r="M1903" i="1"/>
  <c r="M1904" i="1"/>
  <c r="M1905" i="1"/>
  <c r="M1906" i="1"/>
  <c r="M1907" i="1"/>
  <c r="M1908" i="1"/>
  <c r="M1909" i="1"/>
  <c r="M1910" i="1"/>
  <c r="M1911" i="1"/>
  <c r="M1912" i="1"/>
  <c r="M1913" i="1"/>
  <c r="M1914" i="1"/>
  <c r="M1915" i="1"/>
  <c r="M1916" i="1"/>
  <c r="M1917" i="1"/>
  <c r="M1919" i="1"/>
  <c r="M1920" i="1"/>
  <c r="M1921" i="1"/>
  <c r="M1922" i="1"/>
  <c r="M1923" i="1"/>
  <c r="M1924" i="1"/>
  <c r="M1925" i="1"/>
  <c r="M1926" i="1"/>
  <c r="M1927" i="1"/>
  <c r="M1928" i="1"/>
  <c r="M1929" i="1"/>
  <c r="M1930" i="1"/>
  <c r="M1931" i="1"/>
  <c r="M1932" i="1"/>
  <c r="M1933" i="1"/>
  <c r="M1934" i="1"/>
  <c r="M1935" i="1"/>
  <c r="M1936" i="1"/>
  <c r="M1937" i="1"/>
  <c r="M1938" i="1"/>
  <c r="M1939" i="1"/>
  <c r="M1940" i="1"/>
  <c r="M1941" i="1"/>
  <c r="M1942" i="1"/>
  <c r="M1943" i="1"/>
  <c r="M1944" i="1"/>
  <c r="M1945" i="1"/>
  <c r="M1946" i="1"/>
  <c r="M1947" i="1"/>
  <c r="M1948" i="1"/>
  <c r="M1949" i="1"/>
  <c r="M1950" i="1"/>
  <c r="M1951" i="1"/>
  <c r="M1952" i="1"/>
  <c r="M1953" i="1"/>
  <c r="M1954" i="1"/>
  <c r="M1955" i="1"/>
  <c r="M1956" i="1"/>
  <c r="M1957" i="1"/>
  <c r="M1958" i="1"/>
  <c r="M1959" i="1"/>
  <c r="M1960" i="1"/>
  <c r="M1961" i="1"/>
  <c r="M1962" i="1"/>
  <c r="M1963" i="1"/>
  <c r="M1964" i="1"/>
  <c r="M1965" i="1"/>
  <c r="M1966" i="1"/>
  <c r="M1967" i="1"/>
  <c r="M1968" i="1"/>
  <c r="M1969" i="1"/>
  <c r="M1970" i="1"/>
  <c r="M1971" i="1"/>
  <c r="M1972" i="1"/>
  <c r="M1973" i="1"/>
  <c r="M1974" i="1"/>
  <c r="M1975" i="1"/>
  <c r="M1976" i="1"/>
  <c r="M1977" i="1"/>
  <c r="M1978" i="1"/>
  <c r="M1979" i="1"/>
  <c r="M1980" i="1"/>
  <c r="M1981" i="1"/>
  <c r="M1982" i="1"/>
  <c r="M1983" i="1"/>
  <c r="M1984" i="1"/>
  <c r="M1985" i="1"/>
  <c r="M1986" i="1"/>
  <c r="M1987" i="1"/>
  <c r="M1988" i="1"/>
  <c r="M1989" i="1"/>
  <c r="M1990" i="1"/>
  <c r="M1991" i="1"/>
  <c r="M1992" i="1"/>
  <c r="M1993" i="1"/>
  <c r="M1994" i="1"/>
  <c r="M1995" i="1"/>
  <c r="M1996" i="1"/>
  <c r="M1997" i="1"/>
  <c r="M1998" i="1"/>
  <c r="M1999" i="1"/>
  <c r="M2000" i="1"/>
  <c r="M2001" i="1"/>
  <c r="M43" i="1"/>
  <c r="O84" i="1"/>
  <c r="O372" i="1"/>
  <c r="O464" i="1"/>
  <c r="O473" i="1"/>
  <c r="O633" i="1"/>
  <c r="O837" i="1"/>
  <c r="O1009" i="1"/>
  <c r="O1486" i="1"/>
  <c r="O1688" i="1"/>
  <c r="O1863" i="1"/>
  <c r="O1889" i="1"/>
  <c r="O28" i="1"/>
  <c r="O261" i="1"/>
  <c r="O263" i="1"/>
  <c r="O306" i="1"/>
  <c r="O653" i="1"/>
  <c r="O720" i="1"/>
  <c r="O799" i="1"/>
  <c r="O860" i="1"/>
  <c r="O867" i="1"/>
  <c r="O949" i="1"/>
  <c r="O1041" i="1"/>
  <c r="O1131" i="1"/>
  <c r="O1213" i="1"/>
  <c r="O1403" i="1"/>
  <c r="O1416" i="1"/>
  <c r="O1437" i="1"/>
  <c r="O1546" i="1"/>
  <c r="O1582" i="1"/>
  <c r="O1738" i="1"/>
  <c r="O1752" i="1"/>
  <c r="O1793" i="1"/>
  <c r="O1851" i="1"/>
  <c r="O1894" i="1"/>
  <c r="O1918" i="1"/>
  <c r="O1205" i="1"/>
  <c r="O782" i="1"/>
  <c r="O819" i="1"/>
  <c r="O1705" i="1"/>
  <c r="O1682" i="1"/>
  <c r="O1503" i="1"/>
  <c r="O1604" i="1"/>
  <c r="O4" i="1"/>
  <c r="O1332" i="1"/>
  <c r="O964" i="1"/>
  <c r="O2" i="1"/>
  <c r="O3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2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5" i="1"/>
  <c r="O466" i="1"/>
  <c r="O467" i="1"/>
  <c r="O468" i="1"/>
  <c r="O469" i="1"/>
  <c r="O470" i="1"/>
  <c r="O471" i="1"/>
  <c r="O472" i="1"/>
  <c r="O474" i="1"/>
  <c r="O475" i="1"/>
  <c r="O476" i="1"/>
  <c r="O477" i="1"/>
  <c r="O478" i="1"/>
  <c r="O479" i="1"/>
  <c r="O480" i="1"/>
  <c r="O481" i="1"/>
  <c r="O482" i="1"/>
  <c r="O483" i="1"/>
  <c r="O484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O609" i="1"/>
  <c r="O610" i="1"/>
  <c r="O611" i="1"/>
  <c r="O612" i="1"/>
  <c r="O613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1" i="1"/>
  <c r="O722" i="1"/>
  <c r="O723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3" i="1"/>
  <c r="O784" i="1"/>
  <c r="O785" i="1"/>
  <c r="O786" i="1"/>
  <c r="O787" i="1"/>
  <c r="O788" i="1"/>
  <c r="O789" i="1"/>
  <c r="O790" i="1"/>
  <c r="O791" i="1"/>
  <c r="O792" i="1"/>
  <c r="O793" i="1"/>
  <c r="O794" i="1"/>
  <c r="O795" i="1"/>
  <c r="O796" i="1"/>
  <c r="O797" i="1"/>
  <c r="O798" i="1"/>
  <c r="O800" i="1"/>
  <c r="O801" i="1"/>
  <c r="O802" i="1"/>
  <c r="O803" i="1"/>
  <c r="O80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20" i="1"/>
  <c r="O821" i="1"/>
  <c r="O822" i="1"/>
  <c r="O823" i="1"/>
  <c r="O824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8" i="1"/>
  <c r="O839" i="1"/>
  <c r="O840" i="1"/>
  <c r="O841" i="1"/>
  <c r="O842" i="1"/>
  <c r="O843" i="1"/>
  <c r="O844" i="1"/>
  <c r="O845" i="1"/>
  <c r="O846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1" i="1"/>
  <c r="O862" i="1"/>
  <c r="O863" i="1"/>
  <c r="O864" i="1"/>
  <c r="O865" i="1"/>
  <c r="O866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O900" i="1"/>
  <c r="O901" i="1"/>
  <c r="O902" i="1"/>
  <c r="O903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O927" i="1"/>
  <c r="O928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O1002" i="1"/>
  <c r="O1003" i="1"/>
  <c r="O1004" i="1"/>
  <c r="O1005" i="1"/>
  <c r="O1006" i="1"/>
  <c r="O1007" i="1"/>
  <c r="O1008" i="1"/>
  <c r="O1010" i="1"/>
  <c r="O1011" i="1"/>
  <c r="O1012" i="1"/>
  <c r="O1013" i="1"/>
  <c r="O1014" i="1"/>
  <c r="O1015" i="1"/>
  <c r="O1016" i="1"/>
  <c r="O1017" i="1"/>
  <c r="O1018" i="1"/>
  <c r="O1019" i="1"/>
  <c r="O1020" i="1"/>
  <c r="O1021" i="1"/>
  <c r="O1022" i="1"/>
  <c r="O1023" i="1"/>
  <c r="O1024" i="1"/>
  <c r="O1025" i="1"/>
  <c r="O1026" i="1"/>
  <c r="O1027" i="1"/>
  <c r="O1028" i="1"/>
  <c r="O1029" i="1"/>
  <c r="O1030" i="1"/>
  <c r="O1031" i="1"/>
  <c r="O1032" i="1"/>
  <c r="O1033" i="1"/>
  <c r="O1034" i="1"/>
  <c r="O1035" i="1"/>
  <c r="O1036" i="1"/>
  <c r="O1037" i="1"/>
  <c r="O1038" i="1"/>
  <c r="O1039" i="1"/>
  <c r="O1040" i="1"/>
  <c r="O1042" i="1"/>
  <c r="O1043" i="1"/>
  <c r="O1044" i="1"/>
  <c r="O1045" i="1"/>
  <c r="O1046" i="1"/>
  <c r="O1047" i="1"/>
  <c r="O1048" i="1"/>
  <c r="O1049" i="1"/>
  <c r="O1050" i="1"/>
  <c r="O1051" i="1"/>
  <c r="O1052" i="1"/>
  <c r="O1053" i="1"/>
  <c r="O1054" i="1"/>
  <c r="O1055" i="1"/>
  <c r="O1056" i="1"/>
  <c r="O1057" i="1"/>
  <c r="O1058" i="1"/>
  <c r="O1059" i="1"/>
  <c r="O1060" i="1"/>
  <c r="O1061" i="1"/>
  <c r="O1062" i="1"/>
  <c r="O1063" i="1"/>
  <c r="O1064" i="1"/>
  <c r="O1065" i="1"/>
  <c r="O1066" i="1"/>
  <c r="O1067" i="1"/>
  <c r="O1068" i="1"/>
  <c r="O1069" i="1"/>
  <c r="O1070" i="1"/>
  <c r="O1071" i="1"/>
  <c r="O1072" i="1"/>
  <c r="O1073" i="1"/>
  <c r="O1074" i="1"/>
  <c r="O1075" i="1"/>
  <c r="O1076" i="1"/>
  <c r="O1077" i="1"/>
  <c r="O1078" i="1"/>
  <c r="O1079" i="1"/>
  <c r="O1080" i="1"/>
  <c r="O1081" i="1"/>
  <c r="O1082" i="1"/>
  <c r="O1083" i="1"/>
  <c r="O1084" i="1"/>
  <c r="O1085" i="1"/>
  <c r="O1086" i="1"/>
  <c r="O1087" i="1"/>
  <c r="O1088" i="1"/>
  <c r="O1089" i="1"/>
  <c r="O1090" i="1"/>
  <c r="O1091" i="1"/>
  <c r="O1092" i="1"/>
  <c r="O1093" i="1"/>
  <c r="O1094" i="1"/>
  <c r="O1095" i="1"/>
  <c r="O1096" i="1"/>
  <c r="O1097" i="1"/>
  <c r="O1098" i="1"/>
  <c r="O1099" i="1"/>
  <c r="O1100" i="1"/>
  <c r="O1101" i="1"/>
  <c r="O1102" i="1"/>
  <c r="O1103" i="1"/>
  <c r="O1104" i="1"/>
  <c r="O1105" i="1"/>
  <c r="O1106" i="1"/>
  <c r="O1107" i="1"/>
  <c r="O1108" i="1"/>
  <c r="O1109" i="1"/>
  <c r="O1110" i="1"/>
  <c r="O1111" i="1"/>
  <c r="O1112" i="1"/>
  <c r="O1113" i="1"/>
  <c r="O1114" i="1"/>
  <c r="O1115" i="1"/>
  <c r="O1116" i="1"/>
  <c r="O1117" i="1"/>
  <c r="O1118" i="1"/>
  <c r="O1119" i="1"/>
  <c r="O1120" i="1"/>
  <c r="O1121" i="1"/>
  <c r="O1122" i="1"/>
  <c r="O1123" i="1"/>
  <c r="O1124" i="1"/>
  <c r="O1125" i="1"/>
  <c r="O1126" i="1"/>
  <c r="O1127" i="1"/>
  <c r="O1128" i="1"/>
  <c r="O1129" i="1"/>
  <c r="O1130" i="1"/>
  <c r="O1132" i="1"/>
  <c r="O1133" i="1"/>
  <c r="O1134" i="1"/>
  <c r="O1135" i="1"/>
  <c r="O1136" i="1"/>
  <c r="O1137" i="1"/>
  <c r="O1138" i="1"/>
  <c r="O1139" i="1"/>
  <c r="O1140" i="1"/>
  <c r="O1141" i="1"/>
  <c r="O1142" i="1"/>
  <c r="O1143" i="1"/>
  <c r="O1144" i="1"/>
  <c r="O1145" i="1"/>
  <c r="O1146" i="1"/>
  <c r="O1147" i="1"/>
  <c r="O1148" i="1"/>
  <c r="O1149" i="1"/>
  <c r="O1150" i="1"/>
  <c r="O1151" i="1"/>
  <c r="O1152" i="1"/>
  <c r="O1153" i="1"/>
  <c r="O1154" i="1"/>
  <c r="O1155" i="1"/>
  <c r="O1156" i="1"/>
  <c r="O1157" i="1"/>
  <c r="O1158" i="1"/>
  <c r="O1159" i="1"/>
  <c r="O1160" i="1"/>
  <c r="O1161" i="1"/>
  <c r="O1162" i="1"/>
  <c r="O1163" i="1"/>
  <c r="O1164" i="1"/>
  <c r="O1165" i="1"/>
  <c r="O1166" i="1"/>
  <c r="O1167" i="1"/>
  <c r="O1168" i="1"/>
  <c r="O1169" i="1"/>
  <c r="O1170" i="1"/>
  <c r="O1171" i="1"/>
  <c r="O1172" i="1"/>
  <c r="O1173" i="1"/>
  <c r="O1174" i="1"/>
  <c r="O1175" i="1"/>
  <c r="O1176" i="1"/>
  <c r="O1177" i="1"/>
  <c r="O1178" i="1"/>
  <c r="O1179" i="1"/>
  <c r="O1180" i="1"/>
  <c r="O1181" i="1"/>
  <c r="O1182" i="1"/>
  <c r="O1183" i="1"/>
  <c r="O1184" i="1"/>
  <c r="O1185" i="1"/>
  <c r="O1186" i="1"/>
  <c r="O1187" i="1"/>
  <c r="O1188" i="1"/>
  <c r="O1189" i="1"/>
  <c r="O1190" i="1"/>
  <c r="O1191" i="1"/>
  <c r="O1192" i="1"/>
  <c r="O1193" i="1"/>
  <c r="O1194" i="1"/>
  <c r="O1195" i="1"/>
  <c r="O1196" i="1"/>
  <c r="O1197" i="1"/>
  <c r="O1198" i="1"/>
  <c r="O1199" i="1"/>
  <c r="O1200" i="1"/>
  <c r="O1201" i="1"/>
  <c r="O1202" i="1"/>
  <c r="O1203" i="1"/>
  <c r="O1204" i="1"/>
  <c r="O1206" i="1"/>
  <c r="O1207" i="1"/>
  <c r="O1208" i="1"/>
  <c r="O1209" i="1"/>
  <c r="O1210" i="1"/>
  <c r="O1211" i="1"/>
  <c r="O1212" i="1"/>
  <c r="O1214" i="1"/>
  <c r="O1215" i="1"/>
  <c r="O1216" i="1"/>
  <c r="O1217" i="1"/>
  <c r="O1218" i="1"/>
  <c r="O1219" i="1"/>
  <c r="O1220" i="1"/>
  <c r="O1221" i="1"/>
  <c r="O1222" i="1"/>
  <c r="O1223" i="1"/>
  <c r="O1224" i="1"/>
  <c r="O1225" i="1"/>
  <c r="O1226" i="1"/>
  <c r="O1227" i="1"/>
  <c r="O1228" i="1"/>
  <c r="O1229" i="1"/>
  <c r="O1230" i="1"/>
  <c r="O1231" i="1"/>
  <c r="O1232" i="1"/>
  <c r="O1233" i="1"/>
  <c r="O1234" i="1"/>
  <c r="O1235" i="1"/>
  <c r="O1236" i="1"/>
  <c r="O1237" i="1"/>
  <c r="O1238" i="1"/>
  <c r="O1239" i="1"/>
  <c r="O1240" i="1"/>
  <c r="O1241" i="1"/>
  <c r="O1242" i="1"/>
  <c r="O1243" i="1"/>
  <c r="O1244" i="1"/>
  <c r="O1245" i="1"/>
  <c r="O1246" i="1"/>
  <c r="O1247" i="1"/>
  <c r="O1248" i="1"/>
  <c r="O1249" i="1"/>
  <c r="O1250" i="1"/>
  <c r="O1251" i="1"/>
  <c r="O1252" i="1"/>
  <c r="O1253" i="1"/>
  <c r="O1254" i="1"/>
  <c r="O1255" i="1"/>
  <c r="O1256" i="1"/>
  <c r="O1257" i="1"/>
  <c r="O1258" i="1"/>
  <c r="O1259" i="1"/>
  <c r="O1260" i="1"/>
  <c r="O1261" i="1"/>
  <c r="O1262" i="1"/>
  <c r="O1263" i="1"/>
  <c r="O1264" i="1"/>
  <c r="O1265" i="1"/>
  <c r="O1266" i="1"/>
  <c r="O1267" i="1"/>
  <c r="O1268" i="1"/>
  <c r="O1269" i="1"/>
  <c r="O1270" i="1"/>
  <c r="O1271" i="1"/>
  <c r="O1272" i="1"/>
  <c r="O1273" i="1"/>
  <c r="O1274" i="1"/>
  <c r="O1275" i="1"/>
  <c r="O1276" i="1"/>
  <c r="O1277" i="1"/>
  <c r="O1278" i="1"/>
  <c r="O1279" i="1"/>
  <c r="O1280" i="1"/>
  <c r="O1281" i="1"/>
  <c r="O1282" i="1"/>
  <c r="O1283" i="1"/>
  <c r="O1284" i="1"/>
  <c r="O1285" i="1"/>
  <c r="O1286" i="1"/>
  <c r="O1287" i="1"/>
  <c r="O1288" i="1"/>
  <c r="O1289" i="1"/>
  <c r="O1290" i="1"/>
  <c r="O1291" i="1"/>
  <c r="O1292" i="1"/>
  <c r="O1293" i="1"/>
  <c r="O1294" i="1"/>
  <c r="O1295" i="1"/>
  <c r="O1296" i="1"/>
  <c r="O1297" i="1"/>
  <c r="O1298" i="1"/>
  <c r="O1299" i="1"/>
  <c r="O1300" i="1"/>
  <c r="O1301" i="1"/>
  <c r="O1302" i="1"/>
  <c r="O1303" i="1"/>
  <c r="O1304" i="1"/>
  <c r="O1305" i="1"/>
  <c r="O1306" i="1"/>
  <c r="O1307" i="1"/>
  <c r="O1308" i="1"/>
  <c r="O1309" i="1"/>
  <c r="O1310" i="1"/>
  <c r="O1311" i="1"/>
  <c r="O1312" i="1"/>
  <c r="O1313" i="1"/>
  <c r="O1314" i="1"/>
  <c r="O1315" i="1"/>
  <c r="O1316" i="1"/>
  <c r="O1317" i="1"/>
  <c r="O1318" i="1"/>
  <c r="O1319" i="1"/>
  <c r="O1320" i="1"/>
  <c r="O1321" i="1"/>
  <c r="O1322" i="1"/>
  <c r="O1323" i="1"/>
  <c r="O1324" i="1"/>
  <c r="O1325" i="1"/>
  <c r="O1326" i="1"/>
  <c r="O1327" i="1"/>
  <c r="O1328" i="1"/>
  <c r="O1329" i="1"/>
  <c r="O1330" i="1"/>
  <c r="O1331" i="1"/>
  <c r="O1333" i="1"/>
  <c r="O1334" i="1"/>
  <c r="O1335" i="1"/>
  <c r="O1336" i="1"/>
  <c r="O1337" i="1"/>
  <c r="O1338" i="1"/>
  <c r="O1339" i="1"/>
  <c r="O1340" i="1"/>
  <c r="O1341" i="1"/>
  <c r="O1342" i="1"/>
  <c r="O1343" i="1"/>
  <c r="O1344" i="1"/>
  <c r="O1345" i="1"/>
  <c r="O1346" i="1"/>
  <c r="O1347" i="1"/>
  <c r="O1348" i="1"/>
  <c r="O1349" i="1"/>
  <c r="O1350" i="1"/>
  <c r="O1351" i="1"/>
  <c r="O1352" i="1"/>
  <c r="O1353" i="1"/>
  <c r="O1354" i="1"/>
  <c r="O1355" i="1"/>
  <c r="O1356" i="1"/>
  <c r="O1357" i="1"/>
  <c r="O1358" i="1"/>
  <c r="O1359" i="1"/>
  <c r="O1360" i="1"/>
  <c r="O1361" i="1"/>
  <c r="O1362" i="1"/>
  <c r="O1363" i="1"/>
  <c r="O1364" i="1"/>
  <c r="O1365" i="1"/>
  <c r="O1366" i="1"/>
  <c r="O1367" i="1"/>
  <c r="O1368" i="1"/>
  <c r="O1369" i="1"/>
  <c r="O1370" i="1"/>
  <c r="O1371" i="1"/>
  <c r="O1372" i="1"/>
  <c r="O1373" i="1"/>
  <c r="O1374" i="1"/>
  <c r="O1375" i="1"/>
  <c r="O1376" i="1"/>
  <c r="O1377" i="1"/>
  <c r="O1378" i="1"/>
  <c r="O1379" i="1"/>
  <c r="O1380" i="1"/>
  <c r="O1381" i="1"/>
  <c r="O1382" i="1"/>
  <c r="O1383" i="1"/>
  <c r="O1384" i="1"/>
  <c r="O1385" i="1"/>
  <c r="O1386" i="1"/>
  <c r="O1387" i="1"/>
  <c r="O1388" i="1"/>
  <c r="O1389" i="1"/>
  <c r="O1390" i="1"/>
  <c r="O1391" i="1"/>
  <c r="O1392" i="1"/>
  <c r="O1393" i="1"/>
  <c r="O1394" i="1"/>
  <c r="O1395" i="1"/>
  <c r="O1396" i="1"/>
  <c r="O1397" i="1"/>
  <c r="O1398" i="1"/>
  <c r="O1399" i="1"/>
  <c r="O1400" i="1"/>
  <c r="O1401" i="1"/>
  <c r="O1402" i="1"/>
  <c r="O1404" i="1"/>
  <c r="O1405" i="1"/>
  <c r="O1406" i="1"/>
  <c r="O1407" i="1"/>
  <c r="O1408" i="1"/>
  <c r="O1409" i="1"/>
  <c r="O1410" i="1"/>
  <c r="O1411" i="1"/>
  <c r="O1412" i="1"/>
  <c r="O1413" i="1"/>
  <c r="O1414" i="1"/>
  <c r="O1415" i="1"/>
  <c r="O1417" i="1"/>
  <c r="O1418" i="1"/>
  <c r="O1419" i="1"/>
  <c r="O1420" i="1"/>
  <c r="O1421" i="1"/>
  <c r="O1422" i="1"/>
  <c r="O1423" i="1"/>
  <c r="O1424" i="1"/>
  <c r="O1425" i="1"/>
  <c r="O1426" i="1"/>
  <c r="O1427" i="1"/>
  <c r="O1428" i="1"/>
  <c r="O1429" i="1"/>
  <c r="O1430" i="1"/>
  <c r="O1431" i="1"/>
  <c r="O1432" i="1"/>
  <c r="O1433" i="1"/>
  <c r="O1434" i="1"/>
  <c r="O1435" i="1"/>
  <c r="O1436" i="1"/>
  <c r="O1438" i="1"/>
  <c r="O1439" i="1"/>
  <c r="O1440" i="1"/>
  <c r="O1441" i="1"/>
  <c r="O1442" i="1"/>
  <c r="O1443" i="1"/>
  <c r="O1444" i="1"/>
  <c r="O1445" i="1"/>
  <c r="O1446" i="1"/>
  <c r="O1447" i="1"/>
  <c r="O1448" i="1"/>
  <c r="O1449" i="1"/>
  <c r="O1450" i="1"/>
  <c r="O1451" i="1"/>
  <c r="O1452" i="1"/>
  <c r="O1453" i="1"/>
  <c r="O1454" i="1"/>
  <c r="O1455" i="1"/>
  <c r="O1456" i="1"/>
  <c r="O1457" i="1"/>
  <c r="O1458" i="1"/>
  <c r="O1459" i="1"/>
  <c r="O1460" i="1"/>
  <c r="O1461" i="1"/>
  <c r="O1462" i="1"/>
  <c r="O1463" i="1"/>
  <c r="O1464" i="1"/>
  <c r="O1465" i="1"/>
  <c r="O1466" i="1"/>
  <c r="O1467" i="1"/>
  <c r="O1468" i="1"/>
  <c r="O1469" i="1"/>
  <c r="O1470" i="1"/>
  <c r="O1471" i="1"/>
  <c r="O1472" i="1"/>
  <c r="O1473" i="1"/>
  <c r="O1474" i="1"/>
  <c r="O1475" i="1"/>
  <c r="O1476" i="1"/>
  <c r="O1477" i="1"/>
  <c r="O1478" i="1"/>
  <c r="O1479" i="1"/>
  <c r="O1480" i="1"/>
  <c r="O1481" i="1"/>
  <c r="O1482" i="1"/>
  <c r="O1483" i="1"/>
  <c r="O1484" i="1"/>
  <c r="O1485" i="1"/>
  <c r="O1487" i="1"/>
  <c r="O1488" i="1"/>
  <c r="O1489" i="1"/>
  <c r="O1490" i="1"/>
  <c r="O1491" i="1"/>
  <c r="O1492" i="1"/>
  <c r="O1493" i="1"/>
  <c r="O1494" i="1"/>
  <c r="O1495" i="1"/>
  <c r="O1496" i="1"/>
  <c r="O1497" i="1"/>
  <c r="O1498" i="1"/>
  <c r="O1499" i="1"/>
  <c r="O1500" i="1"/>
  <c r="O1501" i="1"/>
  <c r="O1502" i="1"/>
  <c r="O1504" i="1"/>
  <c r="O1505" i="1"/>
  <c r="O1506" i="1"/>
  <c r="O1507" i="1"/>
  <c r="O1508" i="1"/>
  <c r="O1509" i="1"/>
  <c r="O1510" i="1"/>
  <c r="O1511" i="1"/>
  <c r="O1512" i="1"/>
  <c r="O1513" i="1"/>
  <c r="O1514" i="1"/>
  <c r="O1515" i="1"/>
  <c r="O1516" i="1"/>
  <c r="O1517" i="1"/>
  <c r="O1518" i="1"/>
  <c r="O1519" i="1"/>
  <c r="O1520" i="1"/>
  <c r="O1521" i="1"/>
  <c r="O1522" i="1"/>
  <c r="O1523" i="1"/>
  <c r="O1524" i="1"/>
  <c r="O1525" i="1"/>
  <c r="O1526" i="1"/>
  <c r="O1527" i="1"/>
  <c r="O1528" i="1"/>
  <c r="O1529" i="1"/>
  <c r="O1530" i="1"/>
  <c r="O1531" i="1"/>
  <c r="O1532" i="1"/>
  <c r="O1533" i="1"/>
  <c r="O1534" i="1"/>
  <c r="O1535" i="1"/>
  <c r="O1536" i="1"/>
  <c r="O1537" i="1"/>
  <c r="O1538" i="1"/>
  <c r="O1539" i="1"/>
  <c r="O1540" i="1"/>
  <c r="O1541" i="1"/>
  <c r="O1542" i="1"/>
  <c r="O1543" i="1"/>
  <c r="O1544" i="1"/>
  <c r="O1545" i="1"/>
  <c r="O1547" i="1"/>
  <c r="O1548" i="1"/>
  <c r="O1549" i="1"/>
  <c r="O1550" i="1"/>
  <c r="O1551" i="1"/>
  <c r="O1552" i="1"/>
  <c r="O1553" i="1"/>
  <c r="O1554" i="1"/>
  <c r="O1555" i="1"/>
  <c r="O1556" i="1"/>
  <c r="O1557" i="1"/>
  <c r="O1558" i="1"/>
  <c r="O1559" i="1"/>
  <c r="O1560" i="1"/>
  <c r="O1561" i="1"/>
  <c r="O1562" i="1"/>
  <c r="O1563" i="1"/>
  <c r="O1564" i="1"/>
  <c r="O1565" i="1"/>
  <c r="O1566" i="1"/>
  <c r="O1567" i="1"/>
  <c r="O1568" i="1"/>
  <c r="O1569" i="1"/>
  <c r="O1570" i="1"/>
  <c r="O1571" i="1"/>
  <c r="O1572" i="1"/>
  <c r="O1573" i="1"/>
  <c r="O1574" i="1"/>
  <c r="O1575" i="1"/>
  <c r="O1576" i="1"/>
  <c r="O1577" i="1"/>
  <c r="O1578" i="1"/>
  <c r="O1579" i="1"/>
  <c r="O1580" i="1"/>
  <c r="O1581" i="1"/>
  <c r="O1583" i="1"/>
  <c r="O1584" i="1"/>
  <c r="O1585" i="1"/>
  <c r="O1586" i="1"/>
  <c r="O1587" i="1"/>
  <c r="O1588" i="1"/>
  <c r="O1589" i="1"/>
  <c r="O1590" i="1"/>
  <c r="O1591" i="1"/>
  <c r="O1592" i="1"/>
  <c r="O1593" i="1"/>
  <c r="O1594" i="1"/>
  <c r="O1595" i="1"/>
  <c r="O1596" i="1"/>
  <c r="O1597" i="1"/>
  <c r="O1598" i="1"/>
  <c r="O1599" i="1"/>
  <c r="O1600" i="1"/>
  <c r="O1601" i="1"/>
  <c r="O1602" i="1"/>
  <c r="O1603" i="1"/>
  <c r="O1605" i="1"/>
  <c r="O1606" i="1"/>
  <c r="O1607" i="1"/>
  <c r="O1608" i="1"/>
  <c r="O1609" i="1"/>
  <c r="O1610" i="1"/>
  <c r="O1611" i="1"/>
  <c r="O1612" i="1"/>
  <c r="O1613" i="1"/>
  <c r="O1614" i="1"/>
  <c r="O1615" i="1"/>
  <c r="O1616" i="1"/>
  <c r="O1617" i="1"/>
  <c r="O1618" i="1"/>
  <c r="O1619" i="1"/>
  <c r="O1620" i="1"/>
  <c r="O1621" i="1"/>
  <c r="O1622" i="1"/>
  <c r="O1623" i="1"/>
  <c r="O1624" i="1"/>
  <c r="O1625" i="1"/>
  <c r="O1626" i="1"/>
  <c r="O1627" i="1"/>
  <c r="O1628" i="1"/>
  <c r="O1629" i="1"/>
  <c r="O1630" i="1"/>
  <c r="O1631" i="1"/>
  <c r="O1632" i="1"/>
  <c r="O1633" i="1"/>
  <c r="O1634" i="1"/>
  <c r="O1635" i="1"/>
  <c r="O1636" i="1"/>
  <c r="O1637" i="1"/>
  <c r="O1638" i="1"/>
  <c r="O1639" i="1"/>
  <c r="O1640" i="1"/>
  <c r="O1641" i="1"/>
  <c r="O1642" i="1"/>
  <c r="O1643" i="1"/>
  <c r="O1644" i="1"/>
  <c r="O1645" i="1"/>
  <c r="O1646" i="1"/>
  <c r="O1647" i="1"/>
  <c r="O1648" i="1"/>
  <c r="O1649" i="1"/>
  <c r="O1650" i="1"/>
  <c r="O1651" i="1"/>
  <c r="O1652" i="1"/>
  <c r="O1653" i="1"/>
  <c r="O1654" i="1"/>
  <c r="O1655" i="1"/>
  <c r="O1656" i="1"/>
  <c r="O1657" i="1"/>
  <c r="O1658" i="1"/>
  <c r="O1659" i="1"/>
  <c r="O1660" i="1"/>
  <c r="O1661" i="1"/>
  <c r="O1662" i="1"/>
  <c r="O1663" i="1"/>
  <c r="O1664" i="1"/>
  <c r="O1665" i="1"/>
  <c r="O1666" i="1"/>
  <c r="O1667" i="1"/>
  <c r="O1668" i="1"/>
  <c r="O1669" i="1"/>
  <c r="O1670" i="1"/>
  <c r="O1671" i="1"/>
  <c r="O1672" i="1"/>
  <c r="O1673" i="1"/>
  <c r="O1674" i="1"/>
  <c r="O1675" i="1"/>
  <c r="O1676" i="1"/>
  <c r="O1677" i="1"/>
  <c r="O1678" i="1"/>
  <c r="O1679" i="1"/>
  <c r="O1680" i="1"/>
  <c r="O1681" i="1"/>
  <c r="O1683" i="1"/>
  <c r="O1684" i="1"/>
  <c r="O1685" i="1"/>
  <c r="O1686" i="1"/>
  <c r="O1687" i="1"/>
  <c r="O1689" i="1"/>
  <c r="O1690" i="1"/>
  <c r="O1691" i="1"/>
  <c r="O1692" i="1"/>
  <c r="O1693" i="1"/>
  <c r="O1694" i="1"/>
  <c r="O1695" i="1"/>
  <c r="O1696" i="1"/>
  <c r="O1697" i="1"/>
  <c r="O1698" i="1"/>
  <c r="O1699" i="1"/>
  <c r="O1700" i="1"/>
  <c r="O1701" i="1"/>
  <c r="O1702" i="1"/>
  <c r="O1703" i="1"/>
  <c r="O1704" i="1"/>
  <c r="O1706" i="1"/>
  <c r="O1707" i="1"/>
  <c r="O1708" i="1"/>
  <c r="O1709" i="1"/>
  <c r="O1710" i="1"/>
  <c r="O1711" i="1"/>
  <c r="O1712" i="1"/>
  <c r="O1713" i="1"/>
  <c r="O1714" i="1"/>
  <c r="O1715" i="1"/>
  <c r="O1716" i="1"/>
  <c r="O1717" i="1"/>
  <c r="O1718" i="1"/>
  <c r="O1719" i="1"/>
  <c r="O1720" i="1"/>
  <c r="O1721" i="1"/>
  <c r="O1722" i="1"/>
  <c r="O1723" i="1"/>
  <c r="O1724" i="1"/>
  <c r="O1725" i="1"/>
  <c r="O1726" i="1"/>
  <c r="O1727" i="1"/>
  <c r="O1728" i="1"/>
  <c r="O1729" i="1"/>
  <c r="O1730" i="1"/>
  <c r="O1731" i="1"/>
  <c r="O1732" i="1"/>
  <c r="O1733" i="1"/>
  <c r="O1734" i="1"/>
  <c r="O1735" i="1"/>
  <c r="O1736" i="1"/>
  <c r="O1737" i="1"/>
  <c r="O1739" i="1"/>
  <c r="O1740" i="1"/>
  <c r="O1741" i="1"/>
  <c r="O1742" i="1"/>
  <c r="O1743" i="1"/>
  <c r="O1744" i="1"/>
  <c r="O1745" i="1"/>
  <c r="O1746" i="1"/>
  <c r="O1747" i="1"/>
  <c r="O1748" i="1"/>
  <c r="O1749" i="1"/>
  <c r="O1750" i="1"/>
  <c r="O1751" i="1"/>
  <c r="O1753" i="1"/>
  <c r="O1754" i="1"/>
  <c r="O1755" i="1"/>
  <c r="O1756" i="1"/>
  <c r="O1757" i="1"/>
  <c r="O1758" i="1"/>
  <c r="O1759" i="1"/>
  <c r="O1760" i="1"/>
  <c r="O1761" i="1"/>
  <c r="O1762" i="1"/>
  <c r="O1763" i="1"/>
  <c r="O1764" i="1"/>
  <c r="O1765" i="1"/>
  <c r="O1766" i="1"/>
  <c r="O1767" i="1"/>
  <c r="O1768" i="1"/>
  <c r="O1769" i="1"/>
  <c r="O1770" i="1"/>
  <c r="O1771" i="1"/>
  <c r="O1772" i="1"/>
  <c r="O1773" i="1"/>
  <c r="O1774" i="1"/>
  <c r="O1775" i="1"/>
  <c r="O1776" i="1"/>
  <c r="O1777" i="1"/>
  <c r="O1778" i="1"/>
  <c r="O1779" i="1"/>
  <c r="O1780" i="1"/>
  <c r="O1781" i="1"/>
  <c r="O1782" i="1"/>
  <c r="O1783" i="1"/>
  <c r="O1784" i="1"/>
  <c r="O1785" i="1"/>
  <c r="O1786" i="1"/>
  <c r="O1787" i="1"/>
  <c r="O1788" i="1"/>
  <c r="O1789" i="1"/>
  <c r="O1790" i="1"/>
  <c r="O1791" i="1"/>
  <c r="O1792" i="1"/>
  <c r="O1794" i="1"/>
  <c r="O1795" i="1"/>
  <c r="O1796" i="1"/>
  <c r="O1797" i="1"/>
  <c r="O1798" i="1"/>
  <c r="O1799" i="1"/>
  <c r="O1800" i="1"/>
  <c r="O1801" i="1"/>
  <c r="O1802" i="1"/>
  <c r="O1803" i="1"/>
  <c r="O1804" i="1"/>
  <c r="O1805" i="1"/>
  <c r="O1806" i="1"/>
  <c r="O1807" i="1"/>
  <c r="O1808" i="1"/>
  <c r="O1809" i="1"/>
  <c r="O1810" i="1"/>
  <c r="O1811" i="1"/>
  <c r="O1812" i="1"/>
  <c r="O1813" i="1"/>
  <c r="O1814" i="1"/>
  <c r="O1815" i="1"/>
  <c r="O1816" i="1"/>
  <c r="O1817" i="1"/>
  <c r="O1818" i="1"/>
  <c r="O1819" i="1"/>
  <c r="O1820" i="1"/>
  <c r="O1821" i="1"/>
  <c r="O1822" i="1"/>
  <c r="O1823" i="1"/>
  <c r="O1824" i="1"/>
  <c r="O1825" i="1"/>
  <c r="O1826" i="1"/>
  <c r="O1827" i="1"/>
  <c r="O1828" i="1"/>
  <c r="O1829" i="1"/>
  <c r="O1830" i="1"/>
  <c r="O1831" i="1"/>
  <c r="O1832" i="1"/>
  <c r="O1833" i="1"/>
  <c r="O1834" i="1"/>
  <c r="O1835" i="1"/>
  <c r="O1836" i="1"/>
  <c r="O1837" i="1"/>
  <c r="O1838" i="1"/>
  <c r="O1839" i="1"/>
  <c r="O1840" i="1"/>
  <c r="O1841" i="1"/>
  <c r="O1842" i="1"/>
  <c r="O1843" i="1"/>
  <c r="O1844" i="1"/>
  <c r="O1845" i="1"/>
  <c r="O1846" i="1"/>
  <c r="O1847" i="1"/>
  <c r="O1848" i="1"/>
  <c r="O1849" i="1"/>
  <c r="O1850" i="1"/>
  <c r="O1852" i="1"/>
  <c r="O1853" i="1"/>
  <c r="O1854" i="1"/>
  <c r="O1855" i="1"/>
  <c r="O1856" i="1"/>
  <c r="O1857" i="1"/>
  <c r="O1858" i="1"/>
  <c r="O1859" i="1"/>
  <c r="O1860" i="1"/>
  <c r="O1861" i="1"/>
  <c r="O1862" i="1"/>
  <c r="O1864" i="1"/>
  <c r="O1865" i="1"/>
  <c r="O1866" i="1"/>
  <c r="O1867" i="1"/>
  <c r="O1868" i="1"/>
  <c r="O1869" i="1"/>
  <c r="O1870" i="1"/>
  <c r="O1871" i="1"/>
  <c r="O1872" i="1"/>
  <c r="O1873" i="1"/>
  <c r="O1874" i="1"/>
  <c r="O1875" i="1"/>
  <c r="O1876" i="1"/>
  <c r="O1877" i="1"/>
  <c r="O1878" i="1"/>
  <c r="O1879" i="1"/>
  <c r="O1880" i="1"/>
  <c r="O1881" i="1"/>
  <c r="O1882" i="1"/>
  <c r="O1883" i="1"/>
  <c r="O1884" i="1"/>
  <c r="O1885" i="1"/>
  <c r="O1886" i="1"/>
  <c r="O1887" i="1"/>
  <c r="O1888" i="1"/>
  <c r="O1890" i="1"/>
  <c r="O1891" i="1"/>
  <c r="O1892" i="1"/>
  <c r="O1893" i="1"/>
  <c r="O1895" i="1"/>
  <c r="O1896" i="1"/>
  <c r="O1897" i="1"/>
  <c r="O1898" i="1"/>
  <c r="O1899" i="1"/>
  <c r="O1900" i="1"/>
  <c r="O1901" i="1"/>
  <c r="O1902" i="1"/>
  <c r="O1903" i="1"/>
  <c r="O1904" i="1"/>
  <c r="O1905" i="1"/>
  <c r="O1906" i="1"/>
  <c r="O1907" i="1"/>
  <c r="O1908" i="1"/>
  <c r="O1909" i="1"/>
  <c r="O1910" i="1"/>
  <c r="O1911" i="1"/>
  <c r="O1912" i="1"/>
  <c r="O1913" i="1"/>
  <c r="O1914" i="1"/>
  <c r="O1915" i="1"/>
  <c r="O1916" i="1"/>
  <c r="O1917" i="1"/>
  <c r="O1919" i="1"/>
  <c r="O1920" i="1"/>
  <c r="O1921" i="1"/>
  <c r="O1922" i="1"/>
  <c r="O1923" i="1"/>
  <c r="O1924" i="1"/>
  <c r="O1925" i="1"/>
  <c r="O1926" i="1"/>
  <c r="O1927" i="1"/>
  <c r="O1928" i="1"/>
  <c r="O1929" i="1"/>
  <c r="O1930" i="1"/>
  <c r="O1931" i="1"/>
  <c r="O1932" i="1"/>
  <c r="O1933" i="1"/>
  <c r="O1934" i="1"/>
  <c r="O1935" i="1"/>
  <c r="O1936" i="1"/>
  <c r="O1937" i="1"/>
  <c r="O1938" i="1"/>
  <c r="O1939" i="1"/>
  <c r="O1940" i="1"/>
  <c r="O1941" i="1"/>
  <c r="O1942" i="1"/>
  <c r="O1943" i="1"/>
  <c r="O1944" i="1"/>
  <c r="O1945" i="1"/>
  <c r="O1946" i="1"/>
  <c r="O1947" i="1"/>
  <c r="O1948" i="1"/>
  <c r="O1949" i="1"/>
  <c r="O1950" i="1"/>
  <c r="O1951" i="1"/>
  <c r="O1952" i="1"/>
  <c r="O1953" i="1"/>
  <c r="O1954" i="1"/>
  <c r="O1955" i="1"/>
  <c r="O1956" i="1"/>
  <c r="O1957" i="1"/>
  <c r="O1958" i="1"/>
  <c r="O1959" i="1"/>
  <c r="O1960" i="1"/>
  <c r="O1961" i="1"/>
  <c r="O1962" i="1"/>
  <c r="O1963" i="1"/>
  <c r="O1964" i="1"/>
  <c r="O1965" i="1"/>
  <c r="O1966" i="1"/>
  <c r="O1967" i="1"/>
  <c r="O1968" i="1"/>
  <c r="O1969" i="1"/>
  <c r="O1970" i="1"/>
  <c r="O1971" i="1"/>
  <c r="O1972" i="1"/>
  <c r="O1973" i="1"/>
  <c r="O1974" i="1"/>
  <c r="O1975" i="1"/>
  <c r="O1976" i="1"/>
  <c r="O1977" i="1"/>
  <c r="O1978" i="1"/>
  <c r="O1979" i="1"/>
  <c r="O1980" i="1"/>
  <c r="O1981" i="1"/>
  <c r="O1982" i="1"/>
  <c r="O1983" i="1"/>
  <c r="O1984" i="1"/>
  <c r="O1985" i="1"/>
  <c r="O1986" i="1"/>
  <c r="O1987" i="1"/>
  <c r="O1988" i="1"/>
  <c r="O1989" i="1"/>
  <c r="O1990" i="1"/>
  <c r="O1991" i="1"/>
  <c r="O1992" i="1"/>
  <c r="O1993" i="1"/>
  <c r="O1994" i="1"/>
  <c r="O1995" i="1"/>
  <c r="O1996" i="1"/>
  <c r="O1997" i="1"/>
  <c r="O1998" i="1"/>
  <c r="O1999" i="1"/>
  <c r="O2000" i="1"/>
  <c r="O2001" i="1"/>
  <c r="O43" i="1"/>
  <c r="F84" i="1"/>
  <c r="F372" i="1"/>
  <c r="F464" i="1"/>
  <c r="F473" i="1"/>
  <c r="F633" i="1"/>
  <c r="F837" i="1"/>
  <c r="F1009" i="1"/>
  <c r="F1486" i="1"/>
  <c r="F1688" i="1"/>
  <c r="F1863" i="1"/>
  <c r="F1889" i="1"/>
  <c r="F28" i="1"/>
  <c r="F261" i="1"/>
  <c r="F263" i="1"/>
  <c r="F306" i="1"/>
  <c r="F653" i="1"/>
  <c r="F720" i="1"/>
  <c r="F799" i="1"/>
  <c r="F860" i="1"/>
  <c r="F867" i="1"/>
  <c r="F949" i="1"/>
  <c r="F1041" i="1"/>
  <c r="F1131" i="1"/>
  <c r="F1213" i="1"/>
  <c r="F1403" i="1"/>
  <c r="F1416" i="1"/>
  <c r="F1437" i="1"/>
  <c r="F1546" i="1"/>
  <c r="F1582" i="1"/>
  <c r="F1738" i="1"/>
  <c r="F1752" i="1"/>
  <c r="F1793" i="1"/>
  <c r="F1851" i="1"/>
  <c r="F1894" i="1"/>
  <c r="F1918" i="1"/>
  <c r="F1205" i="1"/>
  <c r="F782" i="1"/>
  <c r="F819" i="1"/>
  <c r="F1705" i="1"/>
  <c r="F1682" i="1"/>
  <c r="F1503" i="1"/>
  <c r="F1604" i="1"/>
  <c r="F4" i="1"/>
  <c r="F1332" i="1"/>
  <c r="F964" i="1"/>
  <c r="F2" i="1"/>
  <c r="C5" i="5" s="1"/>
  <c r="F3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2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5" i="1"/>
  <c r="F466" i="1"/>
  <c r="F467" i="1"/>
  <c r="F468" i="1"/>
  <c r="F469" i="1"/>
  <c r="F470" i="1"/>
  <c r="F471" i="1"/>
  <c r="F472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1" i="1"/>
  <c r="F862" i="1"/>
  <c r="F863" i="1"/>
  <c r="F864" i="1"/>
  <c r="F865" i="1"/>
  <c r="F866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6" i="1"/>
  <c r="F1207" i="1"/>
  <c r="F1208" i="1"/>
  <c r="F1209" i="1"/>
  <c r="F1210" i="1"/>
  <c r="F1211" i="1"/>
  <c r="F1212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3" i="1"/>
  <c r="F1684" i="1"/>
  <c r="F1685" i="1"/>
  <c r="F1686" i="1"/>
  <c r="F1687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2" i="1"/>
  <c r="F1853" i="1"/>
  <c r="F1854" i="1"/>
  <c r="F1855" i="1"/>
  <c r="F1856" i="1"/>
  <c r="F1857" i="1"/>
  <c r="F1858" i="1"/>
  <c r="F1859" i="1"/>
  <c r="F1860" i="1"/>
  <c r="F1861" i="1"/>
  <c r="F1862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90" i="1"/>
  <c r="F1891" i="1"/>
  <c r="F1892" i="1"/>
  <c r="F1893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43" i="1"/>
  <c r="H4" i="4"/>
  <c r="H5" i="4"/>
  <c r="H6" i="4"/>
  <c r="C1205" i="1"/>
  <c r="C4" i="1"/>
  <c r="C23" i="1"/>
  <c r="C32" i="1"/>
  <c r="C44" i="1"/>
  <c r="C68" i="1"/>
  <c r="C184" i="1"/>
  <c r="C214" i="1"/>
  <c r="C227" i="1"/>
  <c r="C270" i="1"/>
  <c r="C296" i="1"/>
  <c r="C377" i="1"/>
  <c r="C383" i="1"/>
  <c r="C416" i="1"/>
  <c r="C421" i="1"/>
  <c r="C531" i="1"/>
  <c r="C547" i="1"/>
  <c r="C557" i="1"/>
  <c r="C579" i="1"/>
  <c r="C581" i="1"/>
  <c r="C592" i="1"/>
  <c r="C676" i="1"/>
  <c r="C705" i="1"/>
  <c r="C731" i="1"/>
  <c r="C821" i="1"/>
  <c r="C912" i="1"/>
  <c r="C921" i="1"/>
  <c r="C945" i="1"/>
  <c r="C977" i="1"/>
  <c r="C1120" i="1"/>
  <c r="C1177" i="1"/>
  <c r="C1277" i="1"/>
  <c r="C1297" i="1"/>
  <c r="C1319" i="1"/>
  <c r="C1439" i="1"/>
  <c r="C1578" i="1"/>
  <c r="C1774" i="1"/>
  <c r="C1802" i="1"/>
  <c r="C1837" i="1"/>
  <c r="C1862" i="1"/>
  <c r="C1895" i="1"/>
  <c r="C1945" i="1"/>
  <c r="C1966" i="1"/>
  <c r="C799" i="1"/>
  <c r="C84" i="1"/>
  <c r="C372" i="1"/>
  <c r="C464" i="1"/>
  <c r="C473" i="1"/>
  <c r="C633" i="1"/>
  <c r="C837" i="1"/>
  <c r="C1009" i="1"/>
  <c r="C1486" i="1"/>
  <c r="C1688" i="1"/>
  <c r="C1863" i="1"/>
  <c r="C1889" i="1"/>
  <c r="C28" i="1"/>
  <c r="C261" i="1"/>
  <c r="C263" i="1"/>
  <c r="C306" i="1"/>
  <c r="C653" i="1"/>
  <c r="C720" i="1"/>
  <c r="C860" i="1"/>
  <c r="C867" i="1"/>
  <c r="C949" i="1"/>
  <c r="C1041" i="1"/>
  <c r="C1131" i="1"/>
  <c r="C1213" i="1"/>
  <c r="C1403" i="1"/>
  <c r="C1416" i="1"/>
  <c r="C1437" i="1"/>
  <c r="C1546" i="1"/>
  <c r="C1582" i="1"/>
  <c r="C1738" i="1"/>
  <c r="C1752" i="1"/>
  <c r="C1793" i="1"/>
  <c r="C1851" i="1"/>
  <c r="C1894" i="1"/>
  <c r="C1918" i="1"/>
  <c r="C782" i="1"/>
  <c r="C819" i="1"/>
  <c r="C1705" i="1"/>
  <c r="C1682" i="1"/>
  <c r="C1503" i="1"/>
  <c r="C1604" i="1"/>
  <c r="C1332" i="1"/>
  <c r="C964" i="1"/>
  <c r="C2" i="1"/>
  <c r="C3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4" i="1"/>
  <c r="C25" i="1"/>
  <c r="C26" i="1"/>
  <c r="C29" i="1"/>
  <c r="C30" i="1"/>
  <c r="C31" i="1"/>
  <c r="C33" i="1"/>
  <c r="C34" i="1"/>
  <c r="C35" i="1"/>
  <c r="C36" i="1"/>
  <c r="C37" i="1"/>
  <c r="C38" i="1"/>
  <c r="C39" i="1"/>
  <c r="C40" i="1"/>
  <c r="C41" i="1"/>
  <c r="C42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4" i="1"/>
  <c r="C175" i="1"/>
  <c r="C176" i="1"/>
  <c r="C177" i="1"/>
  <c r="C178" i="1"/>
  <c r="C179" i="1"/>
  <c r="C180" i="1"/>
  <c r="C181" i="1"/>
  <c r="C182" i="1"/>
  <c r="C183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2" i="1"/>
  <c r="C264" i="1"/>
  <c r="C265" i="1"/>
  <c r="C266" i="1"/>
  <c r="C267" i="1"/>
  <c r="C268" i="1"/>
  <c r="C269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7" i="1"/>
  <c r="C298" i="1"/>
  <c r="C299" i="1"/>
  <c r="C300" i="1"/>
  <c r="C301" i="1"/>
  <c r="C302" i="1"/>
  <c r="C303" i="1"/>
  <c r="C304" i="1"/>
  <c r="C305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3" i="1"/>
  <c r="C374" i="1"/>
  <c r="C375" i="1"/>
  <c r="C376" i="1"/>
  <c r="C378" i="1"/>
  <c r="C379" i="1"/>
  <c r="C380" i="1"/>
  <c r="C381" i="1"/>
  <c r="C382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7" i="1"/>
  <c r="C418" i="1"/>
  <c r="C419" i="1"/>
  <c r="C420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5" i="1"/>
  <c r="C466" i="1"/>
  <c r="C467" i="1"/>
  <c r="C468" i="1"/>
  <c r="C469" i="1"/>
  <c r="C470" i="1"/>
  <c r="C471" i="1"/>
  <c r="C472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8" i="1"/>
  <c r="C549" i="1"/>
  <c r="C550" i="1"/>
  <c r="C551" i="1"/>
  <c r="C552" i="1"/>
  <c r="C553" i="1"/>
  <c r="C554" i="1"/>
  <c r="C555" i="1"/>
  <c r="C556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80" i="1"/>
  <c r="C582" i="1"/>
  <c r="C583" i="1"/>
  <c r="C584" i="1"/>
  <c r="C585" i="1"/>
  <c r="C586" i="1"/>
  <c r="C587" i="1"/>
  <c r="C588" i="1"/>
  <c r="C589" i="1"/>
  <c r="C590" i="1"/>
  <c r="C591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1" i="1"/>
  <c r="C722" i="1"/>
  <c r="C723" i="1"/>
  <c r="C724" i="1"/>
  <c r="C725" i="1"/>
  <c r="C726" i="1"/>
  <c r="C727" i="1"/>
  <c r="C728" i="1"/>
  <c r="C729" i="1"/>
  <c r="C730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20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1" i="1"/>
  <c r="C862" i="1"/>
  <c r="C863" i="1"/>
  <c r="C864" i="1"/>
  <c r="C865" i="1"/>
  <c r="C866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3" i="1"/>
  <c r="C914" i="1"/>
  <c r="C915" i="1"/>
  <c r="C916" i="1"/>
  <c r="C917" i="1"/>
  <c r="C918" i="1"/>
  <c r="C919" i="1"/>
  <c r="C920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6" i="1"/>
  <c r="C947" i="1"/>
  <c r="C948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2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1" i="1"/>
  <c r="C1122" i="1"/>
  <c r="C1123" i="1"/>
  <c r="C1124" i="1"/>
  <c r="C1125" i="1"/>
  <c r="C1126" i="1"/>
  <c r="C1127" i="1"/>
  <c r="C1128" i="1"/>
  <c r="C1129" i="1"/>
  <c r="C1130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6" i="1"/>
  <c r="C1207" i="1"/>
  <c r="C1208" i="1"/>
  <c r="C1209" i="1"/>
  <c r="C1210" i="1"/>
  <c r="C1211" i="1"/>
  <c r="C1212" i="1"/>
  <c r="C1214" i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1249" i="1"/>
  <c r="C1250" i="1"/>
  <c r="C1251" i="1"/>
  <c r="C1252" i="1"/>
  <c r="C1253" i="1"/>
  <c r="C1254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C1276" i="1"/>
  <c r="C1278" i="1"/>
  <c r="C1279" i="1"/>
  <c r="C1280" i="1"/>
  <c r="C1281" i="1"/>
  <c r="C1282" i="1"/>
  <c r="C1283" i="1"/>
  <c r="C1284" i="1"/>
  <c r="C1285" i="1"/>
  <c r="C1286" i="1"/>
  <c r="C1287" i="1"/>
  <c r="C1288" i="1"/>
  <c r="C1289" i="1"/>
  <c r="C1290" i="1"/>
  <c r="C1291" i="1"/>
  <c r="C1292" i="1"/>
  <c r="C1293" i="1"/>
  <c r="C1294" i="1"/>
  <c r="C1295" i="1"/>
  <c r="C1296" i="1"/>
  <c r="C1298" i="1"/>
  <c r="C1299" i="1"/>
  <c r="C1300" i="1"/>
  <c r="C1301" i="1"/>
  <c r="C1302" i="1"/>
  <c r="C1303" i="1"/>
  <c r="C1304" i="1"/>
  <c r="C1305" i="1"/>
  <c r="C1306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20" i="1"/>
  <c r="C1321" i="1"/>
  <c r="C1322" i="1"/>
  <c r="C1323" i="1"/>
  <c r="C1324" i="1"/>
  <c r="C1325" i="1"/>
  <c r="C1326" i="1"/>
  <c r="C1327" i="1"/>
  <c r="C1328" i="1"/>
  <c r="C1329" i="1"/>
  <c r="C1330" i="1"/>
  <c r="C1331" i="1"/>
  <c r="C1333" i="1"/>
  <c r="C1334" i="1"/>
  <c r="C1335" i="1"/>
  <c r="C1336" i="1"/>
  <c r="C1337" i="1"/>
  <c r="C1338" i="1"/>
  <c r="C1339" i="1"/>
  <c r="C1340" i="1"/>
  <c r="C1341" i="1"/>
  <c r="C1342" i="1"/>
  <c r="C1343" i="1"/>
  <c r="C1344" i="1"/>
  <c r="C1345" i="1"/>
  <c r="C1346" i="1"/>
  <c r="C1347" i="1"/>
  <c r="C1348" i="1"/>
  <c r="C1349" i="1"/>
  <c r="C1350" i="1"/>
  <c r="C1351" i="1"/>
  <c r="C1352" i="1"/>
  <c r="C1353" i="1"/>
  <c r="C1354" i="1"/>
  <c r="C1355" i="1"/>
  <c r="C1356" i="1"/>
  <c r="C1357" i="1"/>
  <c r="C1358" i="1"/>
  <c r="C1359" i="1"/>
  <c r="C1360" i="1"/>
  <c r="C1361" i="1"/>
  <c r="C1362" i="1"/>
  <c r="C1363" i="1"/>
  <c r="C1364" i="1"/>
  <c r="C1365" i="1"/>
  <c r="C1366" i="1"/>
  <c r="C1367" i="1"/>
  <c r="C1368" i="1"/>
  <c r="C1369" i="1"/>
  <c r="C1370" i="1"/>
  <c r="C1371" i="1"/>
  <c r="C1372" i="1"/>
  <c r="C1373" i="1"/>
  <c r="C1374" i="1"/>
  <c r="C1375" i="1"/>
  <c r="C1376" i="1"/>
  <c r="C1377" i="1"/>
  <c r="C1378" i="1"/>
  <c r="C1379" i="1"/>
  <c r="C1380" i="1"/>
  <c r="C1381" i="1"/>
  <c r="C1382" i="1"/>
  <c r="C1383" i="1"/>
  <c r="C1384" i="1"/>
  <c r="C1385" i="1"/>
  <c r="C1386" i="1"/>
  <c r="C1387" i="1"/>
  <c r="C1388" i="1"/>
  <c r="C1389" i="1"/>
  <c r="C1390" i="1"/>
  <c r="C1391" i="1"/>
  <c r="C1392" i="1"/>
  <c r="C1393" i="1"/>
  <c r="C1394" i="1"/>
  <c r="C1395" i="1"/>
  <c r="C1396" i="1"/>
  <c r="C1397" i="1"/>
  <c r="C1398" i="1"/>
  <c r="C1399" i="1"/>
  <c r="C1400" i="1"/>
  <c r="C1401" i="1"/>
  <c r="C1402" i="1"/>
  <c r="C1404" i="1"/>
  <c r="C1405" i="1"/>
  <c r="C1406" i="1"/>
  <c r="C1407" i="1"/>
  <c r="C1408" i="1"/>
  <c r="C1409" i="1"/>
  <c r="C1410" i="1"/>
  <c r="C1411" i="1"/>
  <c r="C1412" i="1"/>
  <c r="C1413" i="1"/>
  <c r="C1414" i="1"/>
  <c r="C1415" i="1"/>
  <c r="C1417" i="1"/>
  <c r="C1418" i="1"/>
  <c r="C1419" i="1"/>
  <c r="C1420" i="1"/>
  <c r="C1421" i="1"/>
  <c r="C1422" i="1"/>
  <c r="C1423" i="1"/>
  <c r="C1424" i="1"/>
  <c r="C1425" i="1"/>
  <c r="C1426" i="1"/>
  <c r="C1427" i="1"/>
  <c r="C1428" i="1"/>
  <c r="C1429" i="1"/>
  <c r="C1430" i="1"/>
  <c r="C1431" i="1"/>
  <c r="C1432" i="1"/>
  <c r="C1433" i="1"/>
  <c r="C1434" i="1"/>
  <c r="C1435" i="1"/>
  <c r="C1436" i="1"/>
  <c r="C1438" i="1"/>
  <c r="C1440" i="1"/>
  <c r="C1441" i="1"/>
  <c r="C1442" i="1"/>
  <c r="C1443" i="1"/>
  <c r="C1444" i="1"/>
  <c r="C1445" i="1"/>
  <c r="C1446" i="1"/>
  <c r="C1447" i="1"/>
  <c r="C1448" i="1"/>
  <c r="C1449" i="1"/>
  <c r="C1450" i="1"/>
  <c r="C1451" i="1"/>
  <c r="C1452" i="1"/>
  <c r="C1453" i="1"/>
  <c r="C1454" i="1"/>
  <c r="C1455" i="1"/>
  <c r="C1456" i="1"/>
  <c r="C1457" i="1"/>
  <c r="C1458" i="1"/>
  <c r="C1459" i="1"/>
  <c r="C1460" i="1"/>
  <c r="C1461" i="1"/>
  <c r="C1462" i="1"/>
  <c r="C1463" i="1"/>
  <c r="C1464" i="1"/>
  <c r="C1465" i="1"/>
  <c r="C1466" i="1"/>
  <c r="C1467" i="1"/>
  <c r="C1468" i="1"/>
  <c r="C1469" i="1"/>
  <c r="C1470" i="1"/>
  <c r="C1471" i="1"/>
  <c r="C1472" i="1"/>
  <c r="C1473" i="1"/>
  <c r="C1474" i="1"/>
  <c r="C1475" i="1"/>
  <c r="C1476" i="1"/>
  <c r="C1477" i="1"/>
  <c r="C1478" i="1"/>
  <c r="C1479" i="1"/>
  <c r="C1480" i="1"/>
  <c r="C1481" i="1"/>
  <c r="C1482" i="1"/>
  <c r="C1483" i="1"/>
  <c r="C1484" i="1"/>
  <c r="C1485" i="1"/>
  <c r="C1487" i="1"/>
  <c r="C1488" i="1"/>
  <c r="C1489" i="1"/>
  <c r="C1490" i="1"/>
  <c r="C1491" i="1"/>
  <c r="C1492" i="1"/>
  <c r="C1493" i="1"/>
  <c r="C1494" i="1"/>
  <c r="C1495" i="1"/>
  <c r="C1496" i="1"/>
  <c r="C1497" i="1"/>
  <c r="C1498" i="1"/>
  <c r="C1499" i="1"/>
  <c r="C1500" i="1"/>
  <c r="C1501" i="1"/>
  <c r="C1502" i="1"/>
  <c r="C1504" i="1"/>
  <c r="C1505" i="1"/>
  <c r="C1506" i="1"/>
  <c r="C1507" i="1"/>
  <c r="C1508" i="1"/>
  <c r="C1509" i="1"/>
  <c r="C1510" i="1"/>
  <c r="C1511" i="1"/>
  <c r="C1512" i="1"/>
  <c r="C1513" i="1"/>
  <c r="C1514" i="1"/>
  <c r="C1515" i="1"/>
  <c r="C1516" i="1"/>
  <c r="C1517" i="1"/>
  <c r="C1518" i="1"/>
  <c r="C1519" i="1"/>
  <c r="C1520" i="1"/>
  <c r="C1521" i="1"/>
  <c r="C1522" i="1"/>
  <c r="C1523" i="1"/>
  <c r="C1524" i="1"/>
  <c r="C1525" i="1"/>
  <c r="C1526" i="1"/>
  <c r="C1527" i="1"/>
  <c r="C1528" i="1"/>
  <c r="C1529" i="1"/>
  <c r="C1530" i="1"/>
  <c r="C1531" i="1"/>
  <c r="C1532" i="1"/>
  <c r="C1533" i="1"/>
  <c r="C1534" i="1"/>
  <c r="C1535" i="1"/>
  <c r="C1536" i="1"/>
  <c r="C1537" i="1"/>
  <c r="C1538" i="1"/>
  <c r="C1539" i="1"/>
  <c r="C1540" i="1"/>
  <c r="C1541" i="1"/>
  <c r="C1542" i="1"/>
  <c r="C1543" i="1"/>
  <c r="C1544" i="1"/>
  <c r="C1545" i="1"/>
  <c r="C1547" i="1"/>
  <c r="C1548" i="1"/>
  <c r="C1549" i="1"/>
  <c r="C1550" i="1"/>
  <c r="C1551" i="1"/>
  <c r="C1552" i="1"/>
  <c r="C1553" i="1"/>
  <c r="C1554" i="1"/>
  <c r="C1555" i="1"/>
  <c r="C1556" i="1"/>
  <c r="C1557" i="1"/>
  <c r="C1558" i="1"/>
  <c r="C1559" i="1"/>
  <c r="C1560" i="1"/>
  <c r="C1561" i="1"/>
  <c r="C1562" i="1"/>
  <c r="C1563" i="1"/>
  <c r="C1564" i="1"/>
  <c r="C1565" i="1"/>
  <c r="C1566" i="1"/>
  <c r="C1567" i="1"/>
  <c r="C1568" i="1"/>
  <c r="C1569" i="1"/>
  <c r="C1570" i="1"/>
  <c r="C1571" i="1"/>
  <c r="C1572" i="1"/>
  <c r="C1573" i="1"/>
  <c r="C1574" i="1"/>
  <c r="C1575" i="1"/>
  <c r="C1576" i="1"/>
  <c r="C1577" i="1"/>
  <c r="C1579" i="1"/>
  <c r="C1580" i="1"/>
  <c r="C1581" i="1"/>
  <c r="C1583" i="1"/>
  <c r="C1584" i="1"/>
  <c r="C1585" i="1"/>
  <c r="C1586" i="1"/>
  <c r="C1587" i="1"/>
  <c r="C1588" i="1"/>
  <c r="C1589" i="1"/>
  <c r="C1590" i="1"/>
  <c r="C1591" i="1"/>
  <c r="C1592" i="1"/>
  <c r="C1593" i="1"/>
  <c r="C1594" i="1"/>
  <c r="C1595" i="1"/>
  <c r="C1596" i="1"/>
  <c r="C1597" i="1"/>
  <c r="C1598" i="1"/>
  <c r="C1599" i="1"/>
  <c r="C1600" i="1"/>
  <c r="C1601" i="1"/>
  <c r="C1602" i="1"/>
  <c r="C1603" i="1"/>
  <c r="C1605" i="1"/>
  <c r="C1606" i="1"/>
  <c r="C1607" i="1"/>
  <c r="C1608" i="1"/>
  <c r="C1609" i="1"/>
  <c r="C1610" i="1"/>
  <c r="C1611" i="1"/>
  <c r="C1612" i="1"/>
  <c r="C1613" i="1"/>
  <c r="C1614" i="1"/>
  <c r="C1615" i="1"/>
  <c r="C1616" i="1"/>
  <c r="C1617" i="1"/>
  <c r="C1618" i="1"/>
  <c r="C1619" i="1"/>
  <c r="C1620" i="1"/>
  <c r="C1621" i="1"/>
  <c r="C1622" i="1"/>
  <c r="C1623" i="1"/>
  <c r="C1624" i="1"/>
  <c r="C1625" i="1"/>
  <c r="C1626" i="1"/>
  <c r="C1627" i="1"/>
  <c r="C1628" i="1"/>
  <c r="C1629" i="1"/>
  <c r="C1630" i="1"/>
  <c r="C1631" i="1"/>
  <c r="C1632" i="1"/>
  <c r="C1633" i="1"/>
  <c r="C1634" i="1"/>
  <c r="C1635" i="1"/>
  <c r="C1636" i="1"/>
  <c r="C1637" i="1"/>
  <c r="C1638" i="1"/>
  <c r="C1639" i="1"/>
  <c r="C1640" i="1"/>
  <c r="C1641" i="1"/>
  <c r="C1642" i="1"/>
  <c r="C1643" i="1"/>
  <c r="C1644" i="1"/>
  <c r="C1645" i="1"/>
  <c r="C1646" i="1"/>
  <c r="C1647" i="1"/>
  <c r="C1648" i="1"/>
  <c r="C1649" i="1"/>
  <c r="C1650" i="1"/>
  <c r="C1651" i="1"/>
  <c r="C1652" i="1"/>
  <c r="C1653" i="1"/>
  <c r="C1654" i="1"/>
  <c r="C1655" i="1"/>
  <c r="C1656" i="1"/>
  <c r="C1657" i="1"/>
  <c r="C1658" i="1"/>
  <c r="C1659" i="1"/>
  <c r="C1660" i="1"/>
  <c r="C1661" i="1"/>
  <c r="C1662" i="1"/>
  <c r="C1663" i="1"/>
  <c r="C1664" i="1"/>
  <c r="C1665" i="1"/>
  <c r="C1666" i="1"/>
  <c r="C1667" i="1"/>
  <c r="C1668" i="1"/>
  <c r="C1669" i="1"/>
  <c r="C1670" i="1"/>
  <c r="C1671" i="1"/>
  <c r="C1672" i="1"/>
  <c r="C1673" i="1"/>
  <c r="C1674" i="1"/>
  <c r="C1675" i="1"/>
  <c r="C1676" i="1"/>
  <c r="C1677" i="1"/>
  <c r="C1678" i="1"/>
  <c r="C1679" i="1"/>
  <c r="C1680" i="1"/>
  <c r="C1681" i="1"/>
  <c r="C1683" i="1"/>
  <c r="C1684" i="1"/>
  <c r="C1685" i="1"/>
  <c r="C1686" i="1"/>
  <c r="C1687" i="1"/>
  <c r="C1689" i="1"/>
  <c r="C1690" i="1"/>
  <c r="C1691" i="1"/>
  <c r="C1692" i="1"/>
  <c r="C1693" i="1"/>
  <c r="C1694" i="1"/>
  <c r="C1695" i="1"/>
  <c r="C1696" i="1"/>
  <c r="C1697" i="1"/>
  <c r="C1698" i="1"/>
  <c r="C1699" i="1"/>
  <c r="C1700" i="1"/>
  <c r="C1701" i="1"/>
  <c r="C1702" i="1"/>
  <c r="C1703" i="1"/>
  <c r="C1704" i="1"/>
  <c r="C1706" i="1"/>
  <c r="C1707" i="1"/>
  <c r="C1708" i="1"/>
  <c r="C1709" i="1"/>
  <c r="C1710" i="1"/>
  <c r="C1711" i="1"/>
  <c r="C1712" i="1"/>
  <c r="C1713" i="1"/>
  <c r="C1714" i="1"/>
  <c r="C1715" i="1"/>
  <c r="C1716" i="1"/>
  <c r="C1717" i="1"/>
  <c r="C1718" i="1"/>
  <c r="C1719" i="1"/>
  <c r="C1720" i="1"/>
  <c r="C1721" i="1"/>
  <c r="C1722" i="1"/>
  <c r="C1723" i="1"/>
  <c r="C1724" i="1"/>
  <c r="C1725" i="1"/>
  <c r="C1726" i="1"/>
  <c r="C1727" i="1"/>
  <c r="C1728" i="1"/>
  <c r="C1729" i="1"/>
  <c r="C1730" i="1"/>
  <c r="C1731" i="1"/>
  <c r="C1732" i="1"/>
  <c r="C1733" i="1"/>
  <c r="C1734" i="1"/>
  <c r="C1735" i="1"/>
  <c r="C1736" i="1"/>
  <c r="C1737" i="1"/>
  <c r="C1739" i="1"/>
  <c r="C1740" i="1"/>
  <c r="C1741" i="1"/>
  <c r="C1742" i="1"/>
  <c r="C1743" i="1"/>
  <c r="C1744" i="1"/>
  <c r="C1745" i="1"/>
  <c r="C1746" i="1"/>
  <c r="C1747" i="1"/>
  <c r="C1748" i="1"/>
  <c r="C1749" i="1"/>
  <c r="C1750" i="1"/>
  <c r="C1751" i="1"/>
  <c r="C1753" i="1"/>
  <c r="C1754" i="1"/>
  <c r="C1755" i="1"/>
  <c r="C1756" i="1"/>
  <c r="C1757" i="1"/>
  <c r="C1758" i="1"/>
  <c r="C1759" i="1"/>
  <c r="C1760" i="1"/>
  <c r="C1761" i="1"/>
  <c r="C1762" i="1"/>
  <c r="C1763" i="1"/>
  <c r="C1764" i="1"/>
  <c r="C1765" i="1"/>
  <c r="C1766" i="1"/>
  <c r="C1767" i="1"/>
  <c r="C1768" i="1"/>
  <c r="C1769" i="1"/>
  <c r="C1770" i="1"/>
  <c r="C1771" i="1"/>
  <c r="C1772" i="1"/>
  <c r="C1773" i="1"/>
  <c r="C1775" i="1"/>
  <c r="C1776" i="1"/>
  <c r="C1777" i="1"/>
  <c r="C1778" i="1"/>
  <c r="C1779" i="1"/>
  <c r="C1780" i="1"/>
  <c r="C1781" i="1"/>
  <c r="C1782" i="1"/>
  <c r="C1783" i="1"/>
  <c r="C1784" i="1"/>
  <c r="C1785" i="1"/>
  <c r="C1786" i="1"/>
  <c r="C1787" i="1"/>
  <c r="C1788" i="1"/>
  <c r="C1789" i="1"/>
  <c r="C1790" i="1"/>
  <c r="C1791" i="1"/>
  <c r="C1792" i="1"/>
  <c r="C1794" i="1"/>
  <c r="C1795" i="1"/>
  <c r="C1796" i="1"/>
  <c r="C1797" i="1"/>
  <c r="C1798" i="1"/>
  <c r="C1799" i="1"/>
  <c r="C1800" i="1"/>
  <c r="C1801" i="1"/>
  <c r="C1803" i="1"/>
  <c r="C1804" i="1"/>
  <c r="C1805" i="1"/>
  <c r="C1806" i="1"/>
  <c r="C1807" i="1"/>
  <c r="C1808" i="1"/>
  <c r="C1809" i="1"/>
  <c r="C1810" i="1"/>
  <c r="C1811" i="1"/>
  <c r="C1812" i="1"/>
  <c r="C1813" i="1"/>
  <c r="C1814" i="1"/>
  <c r="C1815" i="1"/>
  <c r="C1816" i="1"/>
  <c r="C1817" i="1"/>
  <c r="C1818" i="1"/>
  <c r="C1819" i="1"/>
  <c r="C1820" i="1"/>
  <c r="C1821" i="1"/>
  <c r="C1822" i="1"/>
  <c r="C1823" i="1"/>
  <c r="C1824" i="1"/>
  <c r="C1825" i="1"/>
  <c r="C1826" i="1"/>
  <c r="C1827" i="1"/>
  <c r="C1828" i="1"/>
  <c r="C1829" i="1"/>
  <c r="C1830" i="1"/>
  <c r="C1831" i="1"/>
  <c r="C1832" i="1"/>
  <c r="C1833" i="1"/>
  <c r="C1834" i="1"/>
  <c r="C1835" i="1"/>
  <c r="C1836" i="1"/>
  <c r="C1838" i="1"/>
  <c r="C1839" i="1"/>
  <c r="C1840" i="1"/>
  <c r="C1841" i="1"/>
  <c r="C1842" i="1"/>
  <c r="C1843" i="1"/>
  <c r="C1844" i="1"/>
  <c r="C1845" i="1"/>
  <c r="C1846" i="1"/>
  <c r="C1847" i="1"/>
  <c r="C1848" i="1"/>
  <c r="C1849" i="1"/>
  <c r="C1850" i="1"/>
  <c r="C1852" i="1"/>
  <c r="C1853" i="1"/>
  <c r="C1854" i="1"/>
  <c r="C1855" i="1"/>
  <c r="C1856" i="1"/>
  <c r="C1857" i="1"/>
  <c r="C1858" i="1"/>
  <c r="C1859" i="1"/>
  <c r="C1860" i="1"/>
  <c r="C1861" i="1"/>
  <c r="C1864" i="1"/>
  <c r="C1865" i="1"/>
  <c r="C1866" i="1"/>
  <c r="C1867" i="1"/>
  <c r="C1868" i="1"/>
  <c r="C1869" i="1"/>
  <c r="C1870" i="1"/>
  <c r="C1871" i="1"/>
  <c r="C1872" i="1"/>
  <c r="C1873" i="1"/>
  <c r="C1874" i="1"/>
  <c r="C1875" i="1"/>
  <c r="C1876" i="1"/>
  <c r="C1877" i="1"/>
  <c r="C1878" i="1"/>
  <c r="C1879" i="1"/>
  <c r="C1880" i="1"/>
  <c r="C1881" i="1"/>
  <c r="C1882" i="1"/>
  <c r="C1883" i="1"/>
  <c r="C1884" i="1"/>
  <c r="C1885" i="1"/>
  <c r="C1886" i="1"/>
  <c r="C1887" i="1"/>
  <c r="C1888" i="1"/>
  <c r="C1890" i="1"/>
  <c r="C1891" i="1"/>
  <c r="C1892" i="1"/>
  <c r="C1893" i="1"/>
  <c r="C1896" i="1"/>
  <c r="C1897" i="1"/>
  <c r="C1898" i="1"/>
  <c r="C1899" i="1"/>
  <c r="C1900" i="1"/>
  <c r="C1901" i="1"/>
  <c r="C1902" i="1"/>
  <c r="C1903" i="1"/>
  <c r="C1904" i="1"/>
  <c r="C1905" i="1"/>
  <c r="C1906" i="1"/>
  <c r="C1907" i="1"/>
  <c r="C1908" i="1"/>
  <c r="C1909" i="1"/>
  <c r="C1910" i="1"/>
  <c r="C1911" i="1"/>
  <c r="C1912" i="1"/>
  <c r="C1913" i="1"/>
  <c r="C1914" i="1"/>
  <c r="C1915" i="1"/>
  <c r="C1916" i="1"/>
  <c r="C1917" i="1"/>
  <c r="C1919" i="1"/>
  <c r="C1920" i="1"/>
  <c r="C1921" i="1"/>
  <c r="C1922" i="1"/>
  <c r="C1923" i="1"/>
  <c r="C1924" i="1"/>
  <c r="C1925" i="1"/>
  <c r="C1926" i="1"/>
  <c r="C1927" i="1"/>
  <c r="C1928" i="1"/>
  <c r="C1929" i="1"/>
  <c r="C1930" i="1"/>
  <c r="C1931" i="1"/>
  <c r="C1932" i="1"/>
  <c r="C1933" i="1"/>
  <c r="C1934" i="1"/>
  <c r="C1935" i="1"/>
  <c r="C1936" i="1"/>
  <c r="C1937" i="1"/>
  <c r="C1938" i="1"/>
  <c r="C1939" i="1"/>
  <c r="C1940" i="1"/>
  <c r="C1941" i="1"/>
  <c r="C1942" i="1"/>
  <c r="C1943" i="1"/>
  <c r="C1944" i="1"/>
  <c r="C1946" i="1"/>
  <c r="C1947" i="1"/>
  <c r="C1948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961" i="1"/>
  <c r="C1962" i="1"/>
  <c r="C1963" i="1"/>
  <c r="C1964" i="1"/>
  <c r="C1965" i="1"/>
  <c r="C1967" i="1"/>
  <c r="C1968" i="1"/>
  <c r="C1969" i="1"/>
  <c r="C1970" i="1"/>
  <c r="C1971" i="1"/>
  <c r="C1972" i="1"/>
  <c r="C1973" i="1"/>
  <c r="C1974" i="1"/>
  <c r="C1975" i="1"/>
  <c r="C1976" i="1"/>
  <c r="C1977" i="1"/>
  <c r="C1978" i="1"/>
  <c r="C1979" i="1"/>
  <c r="C1980" i="1"/>
  <c r="C1981" i="1"/>
  <c r="C1982" i="1"/>
  <c r="C1983" i="1"/>
  <c r="C1984" i="1"/>
  <c r="C1985" i="1"/>
  <c r="C1986" i="1"/>
  <c r="C1987" i="1"/>
  <c r="C1988" i="1"/>
  <c r="C1989" i="1"/>
  <c r="C1990" i="1"/>
  <c r="C1991" i="1"/>
  <c r="C1992" i="1"/>
  <c r="C1993" i="1"/>
  <c r="C1994" i="1"/>
  <c r="C1995" i="1"/>
  <c r="C1996" i="1"/>
  <c r="C1997" i="1"/>
  <c r="C1998" i="1"/>
  <c r="C1999" i="1"/>
  <c r="C2000" i="1"/>
  <c r="C2001" i="1"/>
  <c r="C43" i="1"/>
  <c r="AE84" i="1"/>
  <c r="AE372" i="1"/>
  <c r="AE464" i="1"/>
  <c r="AE473" i="1"/>
  <c r="AE633" i="1"/>
  <c r="AE837" i="1"/>
  <c r="AE1009" i="1"/>
  <c r="AE1486" i="1"/>
  <c r="AE1688" i="1"/>
  <c r="AE1863" i="1"/>
  <c r="AE1889" i="1"/>
  <c r="AE28" i="1"/>
  <c r="AE261" i="1"/>
  <c r="AE263" i="1"/>
  <c r="AE306" i="1"/>
  <c r="AE653" i="1"/>
  <c r="AE720" i="1"/>
  <c r="AE799" i="1"/>
  <c r="AE860" i="1"/>
  <c r="AE867" i="1"/>
  <c r="AE949" i="1"/>
  <c r="AE1041" i="1"/>
  <c r="AE1131" i="1"/>
  <c r="AE1213" i="1"/>
  <c r="AE1403" i="1"/>
  <c r="AE1416" i="1"/>
  <c r="AE1437" i="1"/>
  <c r="AE1546" i="1"/>
  <c r="AE1582" i="1"/>
  <c r="AE1738" i="1"/>
  <c r="AE1752" i="1"/>
  <c r="AE1793" i="1"/>
  <c r="AE1851" i="1"/>
  <c r="AE1894" i="1"/>
  <c r="AE1918" i="1"/>
  <c r="AE1205" i="1"/>
  <c r="AE782" i="1"/>
  <c r="AE819" i="1"/>
  <c r="AE1705" i="1"/>
  <c r="AE1682" i="1"/>
  <c r="AE1503" i="1"/>
  <c r="AE1604" i="1"/>
  <c r="AE4" i="1"/>
  <c r="AE1332" i="1"/>
  <c r="AE964" i="1"/>
  <c r="AE2" i="1"/>
  <c r="AE3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9" i="1"/>
  <c r="AE30" i="1"/>
  <c r="AE31" i="1"/>
  <c r="AE32" i="1"/>
  <c r="AE33" i="1"/>
  <c r="AE34" i="1"/>
  <c r="AE35" i="1"/>
  <c r="AE36" i="1"/>
  <c r="AE37" i="1"/>
  <c r="AE38" i="1"/>
  <c r="AE39" i="1"/>
  <c r="AE40" i="1"/>
  <c r="AE41" i="1"/>
  <c r="AE42" i="1"/>
  <c r="AE44" i="1"/>
  <c r="AE45" i="1"/>
  <c r="AE46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5" i="1"/>
  <c r="AE66" i="1"/>
  <c r="AE67" i="1"/>
  <c r="AE68" i="1"/>
  <c r="AE69" i="1"/>
  <c r="AE70" i="1"/>
  <c r="AE71" i="1"/>
  <c r="AE72" i="1"/>
  <c r="AE73" i="1"/>
  <c r="AE74" i="1"/>
  <c r="AE75" i="1"/>
  <c r="AE76" i="1"/>
  <c r="AE77" i="1"/>
  <c r="AE78" i="1"/>
  <c r="AE79" i="1"/>
  <c r="AE80" i="1"/>
  <c r="AE81" i="1"/>
  <c r="AE82" i="1"/>
  <c r="AE83" i="1"/>
  <c r="AE85" i="1"/>
  <c r="AE86" i="1"/>
  <c r="AE87" i="1"/>
  <c r="AE88" i="1"/>
  <c r="AE89" i="1"/>
  <c r="AE90" i="1"/>
  <c r="AE91" i="1"/>
  <c r="AE92" i="1"/>
  <c r="AE93" i="1"/>
  <c r="AE94" i="1"/>
  <c r="AE95" i="1"/>
  <c r="AE96" i="1"/>
  <c r="AE97" i="1"/>
  <c r="AE98" i="1"/>
  <c r="AE99" i="1"/>
  <c r="AE100" i="1"/>
  <c r="AE101" i="1"/>
  <c r="AE102" i="1"/>
  <c r="AE103" i="1"/>
  <c r="AE104" i="1"/>
  <c r="AE105" i="1"/>
  <c r="AE106" i="1"/>
  <c r="AE107" i="1"/>
  <c r="AE108" i="1"/>
  <c r="AE109" i="1"/>
  <c r="AE110" i="1"/>
  <c r="AE111" i="1"/>
  <c r="AE112" i="1"/>
  <c r="AE113" i="1"/>
  <c r="AE114" i="1"/>
  <c r="AE115" i="1"/>
  <c r="AE116" i="1"/>
  <c r="AE117" i="1"/>
  <c r="AE118" i="1"/>
  <c r="AE119" i="1"/>
  <c r="AE120" i="1"/>
  <c r="AE121" i="1"/>
  <c r="AE122" i="1"/>
  <c r="AE123" i="1"/>
  <c r="AE124" i="1"/>
  <c r="AE125" i="1"/>
  <c r="AE126" i="1"/>
  <c r="AE127" i="1"/>
  <c r="AE128" i="1"/>
  <c r="AE129" i="1"/>
  <c r="AE130" i="1"/>
  <c r="AE131" i="1"/>
  <c r="AE132" i="1"/>
  <c r="AE133" i="1"/>
  <c r="AE134" i="1"/>
  <c r="AE135" i="1"/>
  <c r="AE136" i="1"/>
  <c r="AE137" i="1"/>
  <c r="AE138" i="1"/>
  <c r="AE139" i="1"/>
  <c r="AE140" i="1"/>
  <c r="AE141" i="1"/>
  <c r="AE142" i="1"/>
  <c r="AE143" i="1"/>
  <c r="AE144" i="1"/>
  <c r="AE145" i="1"/>
  <c r="AE146" i="1"/>
  <c r="AE147" i="1"/>
  <c r="AE148" i="1"/>
  <c r="AE149" i="1"/>
  <c r="AE150" i="1"/>
  <c r="AE151" i="1"/>
  <c r="AE152" i="1"/>
  <c r="AE153" i="1"/>
  <c r="AE154" i="1"/>
  <c r="AE155" i="1"/>
  <c r="AE156" i="1"/>
  <c r="AE157" i="1"/>
  <c r="AE158" i="1"/>
  <c r="AE159" i="1"/>
  <c r="AE160" i="1"/>
  <c r="AE161" i="1"/>
  <c r="AE162" i="1"/>
  <c r="AE163" i="1"/>
  <c r="AE164" i="1"/>
  <c r="AE165" i="1"/>
  <c r="AE166" i="1"/>
  <c r="AE167" i="1"/>
  <c r="AE168" i="1"/>
  <c r="AE169" i="1"/>
  <c r="AE170" i="1"/>
  <c r="AE171" i="1"/>
  <c r="AE172" i="1"/>
  <c r="AE174" i="1"/>
  <c r="AE175" i="1"/>
  <c r="AE176" i="1"/>
  <c r="AE177" i="1"/>
  <c r="AE178" i="1"/>
  <c r="AE179" i="1"/>
  <c r="AE180" i="1"/>
  <c r="AE181" i="1"/>
  <c r="AE182" i="1"/>
  <c r="AE183" i="1"/>
  <c r="AE184" i="1"/>
  <c r="AE185" i="1"/>
  <c r="AE186" i="1"/>
  <c r="AE187" i="1"/>
  <c r="AE188" i="1"/>
  <c r="AE189" i="1"/>
  <c r="AE190" i="1"/>
  <c r="AE191" i="1"/>
  <c r="AE192" i="1"/>
  <c r="AE193" i="1"/>
  <c r="AE194" i="1"/>
  <c r="AE195" i="1"/>
  <c r="AE196" i="1"/>
  <c r="AE197" i="1"/>
  <c r="AE198" i="1"/>
  <c r="AE199" i="1"/>
  <c r="AE200" i="1"/>
  <c r="AE201" i="1"/>
  <c r="AE202" i="1"/>
  <c r="AE203" i="1"/>
  <c r="AE204" i="1"/>
  <c r="AE205" i="1"/>
  <c r="AE206" i="1"/>
  <c r="AE207" i="1"/>
  <c r="AE208" i="1"/>
  <c r="AE209" i="1"/>
  <c r="AE210" i="1"/>
  <c r="AE211" i="1"/>
  <c r="AE212" i="1"/>
  <c r="AE213" i="1"/>
  <c r="AE214" i="1"/>
  <c r="AE215" i="1"/>
  <c r="AE216" i="1"/>
  <c r="AE217" i="1"/>
  <c r="AE218" i="1"/>
  <c r="AE219" i="1"/>
  <c r="AE220" i="1"/>
  <c r="AE221" i="1"/>
  <c r="AE222" i="1"/>
  <c r="AE223" i="1"/>
  <c r="AE224" i="1"/>
  <c r="AE225" i="1"/>
  <c r="AE226" i="1"/>
  <c r="AE227" i="1"/>
  <c r="AE228" i="1"/>
  <c r="AE229" i="1"/>
  <c r="AE230" i="1"/>
  <c r="AE231" i="1"/>
  <c r="AE232" i="1"/>
  <c r="AE233" i="1"/>
  <c r="AE234" i="1"/>
  <c r="AE235" i="1"/>
  <c r="AE236" i="1"/>
  <c r="AE237" i="1"/>
  <c r="AE238" i="1"/>
  <c r="AE239" i="1"/>
  <c r="AE240" i="1"/>
  <c r="AE241" i="1"/>
  <c r="AE242" i="1"/>
  <c r="AE243" i="1"/>
  <c r="AE244" i="1"/>
  <c r="AE245" i="1"/>
  <c r="AE246" i="1"/>
  <c r="AE247" i="1"/>
  <c r="AE248" i="1"/>
  <c r="AE249" i="1"/>
  <c r="AE250" i="1"/>
  <c r="AE251" i="1"/>
  <c r="AE252" i="1"/>
  <c r="AE253" i="1"/>
  <c r="AE254" i="1"/>
  <c r="AE255" i="1"/>
  <c r="AE256" i="1"/>
  <c r="AE257" i="1"/>
  <c r="AE258" i="1"/>
  <c r="AE259" i="1"/>
  <c r="AE260" i="1"/>
  <c r="AE262" i="1"/>
  <c r="AE264" i="1"/>
  <c r="AE265" i="1"/>
  <c r="AE266" i="1"/>
  <c r="AE267" i="1"/>
  <c r="AE268" i="1"/>
  <c r="AE269" i="1"/>
  <c r="AE270" i="1"/>
  <c r="AE271" i="1"/>
  <c r="AE272" i="1"/>
  <c r="AE273" i="1"/>
  <c r="AE274" i="1"/>
  <c r="AE275" i="1"/>
  <c r="AE276" i="1"/>
  <c r="AE277" i="1"/>
  <c r="AE278" i="1"/>
  <c r="AE279" i="1"/>
  <c r="AE280" i="1"/>
  <c r="AE281" i="1"/>
  <c r="AE282" i="1"/>
  <c r="AE283" i="1"/>
  <c r="AE284" i="1"/>
  <c r="AE285" i="1"/>
  <c r="AE286" i="1"/>
  <c r="AE287" i="1"/>
  <c r="AE288" i="1"/>
  <c r="AE289" i="1"/>
  <c r="AE290" i="1"/>
  <c r="AE291" i="1"/>
  <c r="AE292" i="1"/>
  <c r="AE293" i="1"/>
  <c r="AE294" i="1"/>
  <c r="AE295" i="1"/>
  <c r="AE296" i="1"/>
  <c r="AE297" i="1"/>
  <c r="AE298" i="1"/>
  <c r="AE299" i="1"/>
  <c r="AE300" i="1"/>
  <c r="AE301" i="1"/>
  <c r="AE302" i="1"/>
  <c r="AE303" i="1"/>
  <c r="AE304" i="1"/>
  <c r="AE305" i="1"/>
  <c r="AE307" i="1"/>
  <c r="AE308" i="1"/>
  <c r="AE309" i="1"/>
  <c r="AE310" i="1"/>
  <c r="AE311" i="1"/>
  <c r="AE312" i="1"/>
  <c r="AE313" i="1"/>
  <c r="AE314" i="1"/>
  <c r="AE315" i="1"/>
  <c r="AE316" i="1"/>
  <c r="AE317" i="1"/>
  <c r="AE318" i="1"/>
  <c r="AE319" i="1"/>
  <c r="AE320" i="1"/>
  <c r="AE321" i="1"/>
  <c r="AE322" i="1"/>
  <c r="AE323" i="1"/>
  <c r="AE324" i="1"/>
  <c r="AE325" i="1"/>
  <c r="AE326" i="1"/>
  <c r="AE327" i="1"/>
  <c r="AE328" i="1"/>
  <c r="AE329" i="1"/>
  <c r="AE330" i="1"/>
  <c r="AE331" i="1"/>
  <c r="AE332" i="1"/>
  <c r="AE333" i="1"/>
  <c r="AE334" i="1"/>
  <c r="AE335" i="1"/>
  <c r="AE336" i="1"/>
  <c r="AE337" i="1"/>
  <c r="AE338" i="1"/>
  <c r="AE339" i="1"/>
  <c r="AE340" i="1"/>
  <c r="AE341" i="1"/>
  <c r="AE342" i="1"/>
  <c r="AE343" i="1"/>
  <c r="AE344" i="1"/>
  <c r="AE345" i="1"/>
  <c r="AE346" i="1"/>
  <c r="AE347" i="1"/>
  <c r="AE348" i="1"/>
  <c r="AE349" i="1"/>
  <c r="AE350" i="1"/>
  <c r="AE351" i="1"/>
  <c r="AE352" i="1"/>
  <c r="AE353" i="1"/>
  <c r="AE354" i="1"/>
  <c r="AE355" i="1"/>
  <c r="AE356" i="1"/>
  <c r="AE357" i="1"/>
  <c r="AE358" i="1"/>
  <c r="AE359" i="1"/>
  <c r="AE360" i="1"/>
  <c r="AE361" i="1"/>
  <c r="AE362" i="1"/>
  <c r="AE363" i="1"/>
  <c r="AE364" i="1"/>
  <c r="AE365" i="1"/>
  <c r="AE366" i="1"/>
  <c r="AE367" i="1"/>
  <c r="AE368" i="1"/>
  <c r="AE369" i="1"/>
  <c r="AE370" i="1"/>
  <c r="AE371" i="1"/>
  <c r="AE373" i="1"/>
  <c r="AE374" i="1"/>
  <c r="AE375" i="1"/>
  <c r="AE376" i="1"/>
  <c r="AE377" i="1"/>
  <c r="AE378" i="1"/>
  <c r="AE379" i="1"/>
  <c r="AE380" i="1"/>
  <c r="AE381" i="1"/>
  <c r="AE382" i="1"/>
  <c r="AE383" i="1"/>
  <c r="AE384" i="1"/>
  <c r="AE385" i="1"/>
  <c r="AE386" i="1"/>
  <c r="AE387" i="1"/>
  <c r="AE388" i="1"/>
  <c r="AE389" i="1"/>
  <c r="AE390" i="1"/>
  <c r="AE391" i="1"/>
  <c r="AE392" i="1"/>
  <c r="AE393" i="1"/>
  <c r="AE394" i="1"/>
  <c r="AE395" i="1"/>
  <c r="AE396" i="1"/>
  <c r="AE397" i="1"/>
  <c r="AE398" i="1"/>
  <c r="AE399" i="1"/>
  <c r="AE400" i="1"/>
  <c r="AE401" i="1"/>
  <c r="AE402" i="1"/>
  <c r="AE403" i="1"/>
  <c r="AE404" i="1"/>
  <c r="AE405" i="1"/>
  <c r="AE406" i="1"/>
  <c r="AE407" i="1"/>
  <c r="AE408" i="1"/>
  <c r="AE409" i="1"/>
  <c r="AE410" i="1"/>
  <c r="AE411" i="1"/>
  <c r="AE412" i="1"/>
  <c r="AE413" i="1"/>
  <c r="AE414" i="1"/>
  <c r="AE415" i="1"/>
  <c r="AE416" i="1"/>
  <c r="AE417" i="1"/>
  <c r="AE418" i="1"/>
  <c r="AE419" i="1"/>
  <c r="AE420" i="1"/>
  <c r="AE421" i="1"/>
  <c r="AE422" i="1"/>
  <c r="AE423" i="1"/>
  <c r="AE424" i="1"/>
  <c r="AE425" i="1"/>
  <c r="AE426" i="1"/>
  <c r="AE427" i="1"/>
  <c r="AE428" i="1"/>
  <c r="AE429" i="1"/>
  <c r="AE430" i="1"/>
  <c r="AE431" i="1"/>
  <c r="AE432" i="1"/>
  <c r="AE433" i="1"/>
  <c r="AE434" i="1"/>
  <c r="AE435" i="1"/>
  <c r="AE436" i="1"/>
  <c r="AE437" i="1"/>
  <c r="AE438" i="1"/>
  <c r="AE439" i="1"/>
  <c r="AE440" i="1"/>
  <c r="AE441" i="1"/>
  <c r="AE442" i="1"/>
  <c r="AE443" i="1"/>
  <c r="AE444" i="1"/>
  <c r="AE445" i="1"/>
  <c r="AE446" i="1"/>
  <c r="AE447" i="1"/>
  <c r="AE448" i="1"/>
  <c r="AE449" i="1"/>
  <c r="AE450" i="1"/>
  <c r="AE451" i="1"/>
  <c r="AE452" i="1"/>
  <c r="AE453" i="1"/>
  <c r="AE454" i="1"/>
  <c r="AE455" i="1"/>
  <c r="AE456" i="1"/>
  <c r="AE457" i="1"/>
  <c r="AE458" i="1"/>
  <c r="AE459" i="1"/>
  <c r="AE460" i="1"/>
  <c r="AE461" i="1"/>
  <c r="AE462" i="1"/>
  <c r="AE463" i="1"/>
  <c r="AE465" i="1"/>
  <c r="AE466" i="1"/>
  <c r="AE467" i="1"/>
  <c r="AE468" i="1"/>
  <c r="AE469" i="1"/>
  <c r="AE470" i="1"/>
  <c r="AE471" i="1"/>
  <c r="AE472" i="1"/>
  <c r="AE474" i="1"/>
  <c r="AE475" i="1"/>
  <c r="AE476" i="1"/>
  <c r="AE477" i="1"/>
  <c r="AE478" i="1"/>
  <c r="AE479" i="1"/>
  <c r="AE480" i="1"/>
  <c r="AE481" i="1"/>
  <c r="AE482" i="1"/>
  <c r="AE483" i="1"/>
  <c r="AE484" i="1"/>
  <c r="AE485" i="1"/>
  <c r="AE486" i="1"/>
  <c r="AE487" i="1"/>
  <c r="AE488" i="1"/>
  <c r="AE489" i="1"/>
  <c r="AE490" i="1"/>
  <c r="AE491" i="1"/>
  <c r="AE492" i="1"/>
  <c r="AE493" i="1"/>
  <c r="AE494" i="1"/>
  <c r="AE495" i="1"/>
  <c r="AE496" i="1"/>
  <c r="AE497" i="1"/>
  <c r="AE498" i="1"/>
  <c r="AE499" i="1"/>
  <c r="AE500" i="1"/>
  <c r="AE501" i="1"/>
  <c r="AE502" i="1"/>
  <c r="AE503" i="1"/>
  <c r="AE504" i="1"/>
  <c r="AE505" i="1"/>
  <c r="AE506" i="1"/>
  <c r="AE507" i="1"/>
  <c r="AE508" i="1"/>
  <c r="AE509" i="1"/>
  <c r="AE510" i="1"/>
  <c r="AE511" i="1"/>
  <c r="AE512" i="1"/>
  <c r="AE513" i="1"/>
  <c r="AE514" i="1"/>
  <c r="AE515" i="1"/>
  <c r="AE516" i="1"/>
  <c r="AE517" i="1"/>
  <c r="AE518" i="1"/>
  <c r="AE519" i="1"/>
  <c r="AE520" i="1"/>
  <c r="AE521" i="1"/>
  <c r="AE522" i="1"/>
  <c r="AE523" i="1"/>
  <c r="AE524" i="1"/>
  <c r="AE525" i="1"/>
  <c r="AE526" i="1"/>
  <c r="AE527" i="1"/>
  <c r="AE528" i="1"/>
  <c r="AE529" i="1"/>
  <c r="AE530" i="1"/>
  <c r="AE531" i="1"/>
  <c r="AE532" i="1"/>
  <c r="AE533" i="1"/>
  <c r="AE534" i="1"/>
  <c r="AE535" i="1"/>
  <c r="AE536" i="1"/>
  <c r="AE537" i="1"/>
  <c r="AE538" i="1"/>
  <c r="AE539" i="1"/>
  <c r="AE540" i="1"/>
  <c r="AE541" i="1"/>
  <c r="AE542" i="1"/>
  <c r="AE543" i="1"/>
  <c r="AE544" i="1"/>
  <c r="AE545" i="1"/>
  <c r="AE546" i="1"/>
  <c r="AE547" i="1"/>
  <c r="AE548" i="1"/>
  <c r="AE549" i="1"/>
  <c r="AE550" i="1"/>
  <c r="AE551" i="1"/>
  <c r="AE552" i="1"/>
  <c r="AE553" i="1"/>
  <c r="AE554" i="1"/>
  <c r="AE555" i="1"/>
  <c r="AE556" i="1"/>
  <c r="AE557" i="1"/>
  <c r="AE558" i="1"/>
  <c r="AE559" i="1"/>
  <c r="AE560" i="1"/>
  <c r="AE561" i="1"/>
  <c r="AE562" i="1"/>
  <c r="AE563" i="1"/>
  <c r="AE564" i="1"/>
  <c r="AE565" i="1"/>
  <c r="AE566" i="1"/>
  <c r="AE567" i="1"/>
  <c r="AE568" i="1"/>
  <c r="AE569" i="1"/>
  <c r="AE570" i="1"/>
  <c r="AE571" i="1"/>
  <c r="AE572" i="1"/>
  <c r="AE573" i="1"/>
  <c r="AE574" i="1"/>
  <c r="AE575" i="1"/>
  <c r="AE576" i="1"/>
  <c r="AE577" i="1"/>
  <c r="AE578" i="1"/>
  <c r="AE579" i="1"/>
  <c r="AE580" i="1"/>
  <c r="AE581" i="1"/>
  <c r="AE582" i="1"/>
  <c r="AE583" i="1"/>
  <c r="AE584" i="1"/>
  <c r="AE585" i="1"/>
  <c r="AE586" i="1"/>
  <c r="AE587" i="1"/>
  <c r="AE588" i="1"/>
  <c r="AE589" i="1"/>
  <c r="AE590" i="1"/>
  <c r="AE591" i="1"/>
  <c r="AE592" i="1"/>
  <c r="AE593" i="1"/>
  <c r="AE594" i="1"/>
  <c r="AE595" i="1"/>
  <c r="AE596" i="1"/>
  <c r="AE597" i="1"/>
  <c r="AE598" i="1"/>
  <c r="AE599" i="1"/>
  <c r="AE600" i="1"/>
  <c r="AE601" i="1"/>
  <c r="AE602" i="1"/>
  <c r="AE603" i="1"/>
  <c r="AE604" i="1"/>
  <c r="AE605" i="1"/>
  <c r="AE606" i="1"/>
  <c r="AE607" i="1"/>
  <c r="AE608" i="1"/>
  <c r="AE609" i="1"/>
  <c r="AE610" i="1"/>
  <c r="AE611" i="1"/>
  <c r="AE612" i="1"/>
  <c r="AE613" i="1"/>
  <c r="AE614" i="1"/>
  <c r="AE615" i="1"/>
  <c r="AE616" i="1"/>
  <c r="AE617" i="1"/>
  <c r="AE618" i="1"/>
  <c r="AE619" i="1"/>
  <c r="AE620" i="1"/>
  <c r="AE621" i="1"/>
  <c r="AE622" i="1"/>
  <c r="AE623" i="1"/>
  <c r="AE624" i="1"/>
  <c r="AE625" i="1"/>
  <c r="AE626" i="1"/>
  <c r="AE627" i="1"/>
  <c r="AE628" i="1"/>
  <c r="AE629" i="1"/>
  <c r="AE630" i="1"/>
  <c r="AE631" i="1"/>
  <c r="AE632" i="1"/>
  <c r="AE634" i="1"/>
  <c r="AE635" i="1"/>
  <c r="AE636" i="1"/>
  <c r="AE637" i="1"/>
  <c r="AE638" i="1"/>
  <c r="AE639" i="1"/>
  <c r="AE640" i="1"/>
  <c r="AE641" i="1"/>
  <c r="AE642" i="1"/>
  <c r="AE643" i="1"/>
  <c r="AE644" i="1"/>
  <c r="AE645" i="1"/>
  <c r="AE646" i="1"/>
  <c r="AE647" i="1"/>
  <c r="AE648" i="1"/>
  <c r="AE649" i="1"/>
  <c r="AE650" i="1"/>
  <c r="AE651" i="1"/>
  <c r="AE652" i="1"/>
  <c r="AE654" i="1"/>
  <c r="AE655" i="1"/>
  <c r="AE656" i="1"/>
  <c r="AE657" i="1"/>
  <c r="AE658" i="1"/>
  <c r="AE659" i="1"/>
  <c r="AE660" i="1"/>
  <c r="AE661" i="1"/>
  <c r="AE662" i="1"/>
  <c r="AE663" i="1"/>
  <c r="AE664" i="1"/>
  <c r="AE665" i="1"/>
  <c r="AE666" i="1"/>
  <c r="AE667" i="1"/>
  <c r="AE668" i="1"/>
  <c r="AE669" i="1"/>
  <c r="AE670" i="1"/>
  <c r="AE671" i="1"/>
  <c r="AE672" i="1"/>
  <c r="AE673" i="1"/>
  <c r="AE674" i="1"/>
  <c r="AE675" i="1"/>
  <c r="AE676" i="1"/>
  <c r="AE677" i="1"/>
  <c r="AE678" i="1"/>
  <c r="AE679" i="1"/>
  <c r="AE680" i="1"/>
  <c r="AE681" i="1"/>
  <c r="AE682" i="1"/>
  <c r="AE683" i="1"/>
  <c r="AE684" i="1"/>
  <c r="AE685" i="1"/>
  <c r="AE686" i="1"/>
  <c r="AE687" i="1"/>
  <c r="AE688" i="1"/>
  <c r="AE689" i="1"/>
  <c r="AE690" i="1"/>
  <c r="AE691" i="1"/>
  <c r="AE692" i="1"/>
  <c r="AE693" i="1"/>
  <c r="AE694" i="1"/>
  <c r="AE695" i="1"/>
  <c r="AE696" i="1"/>
  <c r="AE697" i="1"/>
  <c r="AE698" i="1"/>
  <c r="AE699" i="1"/>
  <c r="AE700" i="1"/>
  <c r="AE701" i="1"/>
  <c r="AE702" i="1"/>
  <c r="AE703" i="1"/>
  <c r="AE704" i="1"/>
  <c r="AE705" i="1"/>
  <c r="AE706" i="1"/>
  <c r="AE707" i="1"/>
  <c r="AE708" i="1"/>
  <c r="AE709" i="1"/>
  <c r="AE710" i="1"/>
  <c r="AE711" i="1"/>
  <c r="AE712" i="1"/>
  <c r="AE713" i="1"/>
  <c r="AE714" i="1"/>
  <c r="AE715" i="1"/>
  <c r="AE716" i="1"/>
  <c r="AE717" i="1"/>
  <c r="AE718" i="1"/>
  <c r="AE719" i="1"/>
  <c r="AE721" i="1"/>
  <c r="AE722" i="1"/>
  <c r="AE723" i="1"/>
  <c r="AE724" i="1"/>
  <c r="AE725" i="1"/>
  <c r="AE726" i="1"/>
  <c r="AE727" i="1"/>
  <c r="AE728" i="1"/>
  <c r="AE729" i="1"/>
  <c r="AE730" i="1"/>
  <c r="AE731" i="1"/>
  <c r="AE732" i="1"/>
  <c r="AE733" i="1"/>
  <c r="AE734" i="1"/>
  <c r="AE735" i="1"/>
  <c r="AE736" i="1"/>
  <c r="AE737" i="1"/>
  <c r="AE738" i="1"/>
  <c r="AE739" i="1"/>
  <c r="AE740" i="1"/>
  <c r="AE741" i="1"/>
  <c r="AE742" i="1"/>
  <c r="AE743" i="1"/>
  <c r="AE744" i="1"/>
  <c r="AE745" i="1"/>
  <c r="AE746" i="1"/>
  <c r="AE747" i="1"/>
  <c r="AE748" i="1"/>
  <c r="AE749" i="1"/>
  <c r="AE750" i="1"/>
  <c r="AE751" i="1"/>
  <c r="AE752" i="1"/>
  <c r="AE753" i="1"/>
  <c r="AE754" i="1"/>
  <c r="AE755" i="1"/>
  <c r="AE756" i="1"/>
  <c r="AE757" i="1"/>
  <c r="AE758" i="1"/>
  <c r="AE759" i="1"/>
  <c r="AE760" i="1"/>
  <c r="AE761" i="1"/>
  <c r="AE762" i="1"/>
  <c r="AE763" i="1"/>
  <c r="AE764" i="1"/>
  <c r="AE765" i="1"/>
  <c r="AE766" i="1"/>
  <c r="AE767" i="1"/>
  <c r="AE768" i="1"/>
  <c r="AE769" i="1"/>
  <c r="AE770" i="1"/>
  <c r="AE771" i="1"/>
  <c r="AE772" i="1"/>
  <c r="AE773" i="1"/>
  <c r="AE774" i="1"/>
  <c r="AE775" i="1"/>
  <c r="AE776" i="1"/>
  <c r="AE777" i="1"/>
  <c r="AE778" i="1"/>
  <c r="AE779" i="1"/>
  <c r="AE780" i="1"/>
  <c r="AE781" i="1"/>
  <c r="AE783" i="1"/>
  <c r="AE784" i="1"/>
  <c r="AE785" i="1"/>
  <c r="AE786" i="1"/>
  <c r="AE787" i="1"/>
  <c r="AE788" i="1"/>
  <c r="AE789" i="1"/>
  <c r="AE790" i="1"/>
  <c r="AE791" i="1"/>
  <c r="AE792" i="1"/>
  <c r="AE793" i="1"/>
  <c r="AE794" i="1"/>
  <c r="AE795" i="1"/>
  <c r="AE796" i="1"/>
  <c r="AE797" i="1"/>
  <c r="AE798" i="1"/>
  <c r="AE800" i="1"/>
  <c r="AE801" i="1"/>
  <c r="AE802" i="1"/>
  <c r="AE803" i="1"/>
  <c r="AE804" i="1"/>
  <c r="AE805" i="1"/>
  <c r="AE806" i="1"/>
  <c r="AE807" i="1"/>
  <c r="AE808" i="1"/>
  <c r="AE809" i="1"/>
  <c r="AE810" i="1"/>
  <c r="AE811" i="1"/>
  <c r="AE812" i="1"/>
  <c r="AE813" i="1"/>
  <c r="AE814" i="1"/>
  <c r="AE815" i="1"/>
  <c r="AE816" i="1"/>
  <c r="AE817" i="1"/>
  <c r="AE818" i="1"/>
  <c r="AE820" i="1"/>
  <c r="AE821" i="1"/>
  <c r="AE822" i="1"/>
  <c r="AE823" i="1"/>
  <c r="AE824" i="1"/>
  <c r="AE825" i="1"/>
  <c r="AE826" i="1"/>
  <c r="AE827" i="1"/>
  <c r="AE828" i="1"/>
  <c r="AE829" i="1"/>
  <c r="AE830" i="1"/>
  <c r="AE831" i="1"/>
  <c r="AE832" i="1"/>
  <c r="AE833" i="1"/>
  <c r="AE834" i="1"/>
  <c r="AE835" i="1"/>
  <c r="AE836" i="1"/>
  <c r="AE838" i="1"/>
  <c r="AE839" i="1"/>
  <c r="AE840" i="1"/>
  <c r="AE841" i="1"/>
  <c r="AE842" i="1"/>
  <c r="AE843" i="1"/>
  <c r="AE844" i="1"/>
  <c r="AE845" i="1"/>
  <c r="AE846" i="1"/>
  <c r="AE847" i="1"/>
  <c r="AE848" i="1"/>
  <c r="AE849" i="1"/>
  <c r="AE850" i="1"/>
  <c r="AE851" i="1"/>
  <c r="AE852" i="1"/>
  <c r="AE853" i="1"/>
  <c r="AE854" i="1"/>
  <c r="AE855" i="1"/>
  <c r="AE856" i="1"/>
  <c r="AE857" i="1"/>
  <c r="AE858" i="1"/>
  <c r="AE859" i="1"/>
  <c r="AE861" i="1"/>
  <c r="AE862" i="1"/>
  <c r="AE863" i="1"/>
  <c r="AE864" i="1"/>
  <c r="AE865" i="1"/>
  <c r="AE866" i="1"/>
  <c r="AE868" i="1"/>
  <c r="AE869" i="1"/>
  <c r="AE870" i="1"/>
  <c r="AE871" i="1"/>
  <c r="AE872" i="1"/>
  <c r="AE873" i="1"/>
  <c r="AE874" i="1"/>
  <c r="AE875" i="1"/>
  <c r="AE876" i="1"/>
  <c r="AE877" i="1"/>
  <c r="AE878" i="1"/>
  <c r="AE879" i="1"/>
  <c r="AE880" i="1"/>
  <c r="AE881" i="1"/>
  <c r="AE882" i="1"/>
  <c r="AE883" i="1"/>
  <c r="AE884" i="1"/>
  <c r="AE885" i="1"/>
  <c r="AE886" i="1"/>
  <c r="AE887" i="1"/>
  <c r="AE888" i="1"/>
  <c r="AE889" i="1"/>
  <c r="AE890" i="1"/>
  <c r="AE891" i="1"/>
  <c r="AE892" i="1"/>
  <c r="AE893" i="1"/>
  <c r="AE894" i="1"/>
  <c r="AE895" i="1"/>
  <c r="AE896" i="1"/>
  <c r="AE897" i="1"/>
  <c r="AE898" i="1"/>
  <c r="AE899" i="1"/>
  <c r="AE900" i="1"/>
  <c r="AE901" i="1"/>
  <c r="AE902" i="1"/>
  <c r="AE903" i="1"/>
  <c r="AE904" i="1"/>
  <c r="AE905" i="1"/>
  <c r="AE906" i="1"/>
  <c r="AE907" i="1"/>
  <c r="AE908" i="1"/>
  <c r="AE909" i="1"/>
  <c r="AE910" i="1"/>
  <c r="AE911" i="1"/>
  <c r="AE912" i="1"/>
  <c r="AE913" i="1"/>
  <c r="AE914" i="1"/>
  <c r="AE915" i="1"/>
  <c r="AE916" i="1"/>
  <c r="AE917" i="1"/>
  <c r="AE918" i="1"/>
  <c r="AE919" i="1"/>
  <c r="AE920" i="1"/>
  <c r="AE921" i="1"/>
  <c r="AE922" i="1"/>
  <c r="AE923" i="1"/>
  <c r="AE924" i="1"/>
  <c r="AE925" i="1"/>
  <c r="AE926" i="1"/>
  <c r="AE927" i="1"/>
  <c r="AE928" i="1"/>
  <c r="AE929" i="1"/>
  <c r="AE930" i="1"/>
  <c r="AE931" i="1"/>
  <c r="AE932" i="1"/>
  <c r="AE933" i="1"/>
  <c r="AE934" i="1"/>
  <c r="AE935" i="1"/>
  <c r="AE936" i="1"/>
  <c r="AE937" i="1"/>
  <c r="AE938" i="1"/>
  <c r="AE939" i="1"/>
  <c r="AE940" i="1"/>
  <c r="AE941" i="1"/>
  <c r="AE942" i="1"/>
  <c r="AE943" i="1"/>
  <c r="AE944" i="1"/>
  <c r="AE945" i="1"/>
  <c r="AE946" i="1"/>
  <c r="AE947" i="1"/>
  <c r="AE948" i="1"/>
  <c r="AE950" i="1"/>
  <c r="AE951" i="1"/>
  <c r="AE952" i="1"/>
  <c r="AE953" i="1"/>
  <c r="AE954" i="1"/>
  <c r="AE955" i="1"/>
  <c r="AE956" i="1"/>
  <c r="AE957" i="1"/>
  <c r="AE958" i="1"/>
  <c r="AE959" i="1"/>
  <c r="AE960" i="1"/>
  <c r="AE961" i="1"/>
  <c r="AE962" i="1"/>
  <c r="AE963" i="1"/>
  <c r="AE965" i="1"/>
  <c r="AE966" i="1"/>
  <c r="AE967" i="1"/>
  <c r="AE968" i="1"/>
  <c r="AE969" i="1"/>
  <c r="AE970" i="1"/>
  <c r="AE971" i="1"/>
  <c r="AE972" i="1"/>
  <c r="AE973" i="1"/>
  <c r="AE974" i="1"/>
  <c r="AE975" i="1"/>
  <c r="AE976" i="1"/>
  <c r="AE977" i="1"/>
  <c r="AE978" i="1"/>
  <c r="AE979" i="1"/>
  <c r="AE980" i="1"/>
  <c r="AE981" i="1"/>
  <c r="AE982" i="1"/>
  <c r="AE983" i="1"/>
  <c r="AE984" i="1"/>
  <c r="AE985" i="1"/>
  <c r="AE986" i="1"/>
  <c r="AE987" i="1"/>
  <c r="AE988" i="1"/>
  <c r="AE989" i="1"/>
  <c r="AE990" i="1"/>
  <c r="AE991" i="1"/>
  <c r="AE992" i="1"/>
  <c r="AE993" i="1"/>
  <c r="AE994" i="1"/>
  <c r="AE995" i="1"/>
  <c r="AE996" i="1"/>
  <c r="AE997" i="1"/>
  <c r="AE998" i="1"/>
  <c r="AE999" i="1"/>
  <c r="AE1000" i="1"/>
  <c r="AE1001" i="1"/>
  <c r="AE1002" i="1"/>
  <c r="AE1003" i="1"/>
  <c r="AE1004" i="1"/>
  <c r="AE1005" i="1"/>
  <c r="AE1006" i="1"/>
  <c r="AE1007" i="1"/>
  <c r="AE1008" i="1"/>
  <c r="AE1010" i="1"/>
  <c r="AE1011" i="1"/>
  <c r="AE1012" i="1"/>
  <c r="AE1013" i="1"/>
  <c r="AE1014" i="1"/>
  <c r="AE1015" i="1"/>
  <c r="AE1016" i="1"/>
  <c r="AE1017" i="1"/>
  <c r="AE1018" i="1"/>
  <c r="AE1019" i="1"/>
  <c r="AE1020" i="1"/>
  <c r="AE1021" i="1"/>
  <c r="AE1022" i="1"/>
  <c r="AE1023" i="1"/>
  <c r="AE1024" i="1"/>
  <c r="AE1025" i="1"/>
  <c r="AE1026" i="1"/>
  <c r="AE1027" i="1"/>
  <c r="AE1028" i="1"/>
  <c r="AE1029" i="1"/>
  <c r="AE1030" i="1"/>
  <c r="AE1031" i="1"/>
  <c r="AE1032" i="1"/>
  <c r="AE1033" i="1"/>
  <c r="AE1034" i="1"/>
  <c r="AE1035" i="1"/>
  <c r="AE1036" i="1"/>
  <c r="AE1037" i="1"/>
  <c r="AE1038" i="1"/>
  <c r="AE1039" i="1"/>
  <c r="AE1040" i="1"/>
  <c r="AE1042" i="1"/>
  <c r="AE1043" i="1"/>
  <c r="AE1044" i="1"/>
  <c r="AE1045" i="1"/>
  <c r="AE1046" i="1"/>
  <c r="AE1047" i="1"/>
  <c r="AE1048" i="1"/>
  <c r="AE1049" i="1"/>
  <c r="AE1050" i="1"/>
  <c r="AE1051" i="1"/>
  <c r="AE1052" i="1"/>
  <c r="AE1053" i="1"/>
  <c r="AE1054" i="1"/>
  <c r="AE1055" i="1"/>
  <c r="AE1056" i="1"/>
  <c r="AE1057" i="1"/>
  <c r="AE1058" i="1"/>
  <c r="AE1059" i="1"/>
  <c r="AE1060" i="1"/>
  <c r="AE1061" i="1"/>
  <c r="AE1062" i="1"/>
  <c r="AE1063" i="1"/>
  <c r="AE1064" i="1"/>
  <c r="AE1065" i="1"/>
  <c r="AE1066" i="1"/>
  <c r="AE1067" i="1"/>
  <c r="AE1068" i="1"/>
  <c r="AE1069" i="1"/>
  <c r="AE1070" i="1"/>
  <c r="AE1071" i="1"/>
  <c r="AE1072" i="1"/>
  <c r="AE1073" i="1"/>
  <c r="AE1074" i="1"/>
  <c r="AE1075" i="1"/>
  <c r="AE1076" i="1"/>
  <c r="AE1077" i="1"/>
  <c r="AE1078" i="1"/>
  <c r="AE1079" i="1"/>
  <c r="AE1080" i="1"/>
  <c r="AE1081" i="1"/>
  <c r="AE1082" i="1"/>
  <c r="AE1083" i="1"/>
  <c r="AE1084" i="1"/>
  <c r="AE1085" i="1"/>
  <c r="AE1086" i="1"/>
  <c r="AE1087" i="1"/>
  <c r="AE1088" i="1"/>
  <c r="AE1089" i="1"/>
  <c r="AE1090" i="1"/>
  <c r="AE1091" i="1"/>
  <c r="AE1092" i="1"/>
  <c r="AE1093" i="1"/>
  <c r="AE1094" i="1"/>
  <c r="AE1095" i="1"/>
  <c r="AE1096" i="1"/>
  <c r="AE1097" i="1"/>
  <c r="AE1098" i="1"/>
  <c r="AE1099" i="1"/>
  <c r="AE1100" i="1"/>
  <c r="AE1101" i="1"/>
  <c r="AE1102" i="1"/>
  <c r="AE1103" i="1"/>
  <c r="AE1104" i="1"/>
  <c r="AE1105" i="1"/>
  <c r="AE1106" i="1"/>
  <c r="AE1107" i="1"/>
  <c r="AE1108" i="1"/>
  <c r="AE1109" i="1"/>
  <c r="AE1110" i="1"/>
  <c r="AE1111" i="1"/>
  <c r="AE1112" i="1"/>
  <c r="AE1113" i="1"/>
  <c r="AE1114" i="1"/>
  <c r="AE1115" i="1"/>
  <c r="AE1116" i="1"/>
  <c r="AE1117" i="1"/>
  <c r="AE1118" i="1"/>
  <c r="AE1119" i="1"/>
  <c r="AE1120" i="1"/>
  <c r="AE1121" i="1"/>
  <c r="AE1122" i="1"/>
  <c r="AE1123" i="1"/>
  <c r="AE1124" i="1"/>
  <c r="AE1125" i="1"/>
  <c r="AE1126" i="1"/>
  <c r="AE1127" i="1"/>
  <c r="AE1128" i="1"/>
  <c r="AE1129" i="1"/>
  <c r="AE1130" i="1"/>
  <c r="AE1132" i="1"/>
  <c r="AE1133" i="1"/>
  <c r="AE1134" i="1"/>
  <c r="AE1135" i="1"/>
  <c r="AE1136" i="1"/>
  <c r="AE1137" i="1"/>
  <c r="AE1138" i="1"/>
  <c r="AE1139" i="1"/>
  <c r="AE1140" i="1"/>
  <c r="AE1141" i="1"/>
  <c r="AE1142" i="1"/>
  <c r="AE1143" i="1"/>
  <c r="AE1144" i="1"/>
  <c r="AE1145" i="1"/>
  <c r="AE1146" i="1"/>
  <c r="AE1147" i="1"/>
  <c r="AE1148" i="1"/>
  <c r="AE1149" i="1"/>
  <c r="AE1150" i="1"/>
  <c r="AE1151" i="1"/>
  <c r="AE1152" i="1"/>
  <c r="AE1153" i="1"/>
  <c r="AE1154" i="1"/>
  <c r="AE1155" i="1"/>
  <c r="AE1156" i="1"/>
  <c r="AE1157" i="1"/>
  <c r="AE1158" i="1"/>
  <c r="AE1159" i="1"/>
  <c r="AE1160" i="1"/>
  <c r="AE1161" i="1"/>
  <c r="AE1162" i="1"/>
  <c r="AE1163" i="1"/>
  <c r="AE1164" i="1"/>
  <c r="AE1165" i="1"/>
  <c r="AE1166" i="1"/>
  <c r="AE1167" i="1"/>
  <c r="AE1168" i="1"/>
  <c r="AE1169" i="1"/>
  <c r="AE1170" i="1"/>
  <c r="AE1171" i="1"/>
  <c r="AE1172" i="1"/>
  <c r="AE1173" i="1"/>
  <c r="AE1174" i="1"/>
  <c r="AE1175" i="1"/>
  <c r="AE1176" i="1"/>
  <c r="AE1177" i="1"/>
  <c r="AE1178" i="1"/>
  <c r="AE1179" i="1"/>
  <c r="AE1180" i="1"/>
  <c r="AE1181" i="1"/>
  <c r="AE1182" i="1"/>
  <c r="AE1183" i="1"/>
  <c r="AE1184" i="1"/>
  <c r="AE1185" i="1"/>
  <c r="AE1186" i="1"/>
  <c r="AE1187" i="1"/>
  <c r="AE1188" i="1"/>
  <c r="AE1189" i="1"/>
  <c r="AE1190" i="1"/>
  <c r="AE1191" i="1"/>
  <c r="AE1192" i="1"/>
  <c r="AE1193" i="1"/>
  <c r="AE1194" i="1"/>
  <c r="AE1195" i="1"/>
  <c r="AE1196" i="1"/>
  <c r="AE1197" i="1"/>
  <c r="AE1198" i="1"/>
  <c r="AE1199" i="1"/>
  <c r="AE1200" i="1"/>
  <c r="AE1201" i="1"/>
  <c r="AE1202" i="1"/>
  <c r="AE1203" i="1"/>
  <c r="AE1204" i="1"/>
  <c r="AE1206" i="1"/>
  <c r="AE1207" i="1"/>
  <c r="AE1208" i="1"/>
  <c r="AE1209" i="1"/>
  <c r="AE1210" i="1"/>
  <c r="AE1211" i="1"/>
  <c r="AE1212" i="1"/>
  <c r="AE1214" i="1"/>
  <c r="AE1215" i="1"/>
  <c r="AE1216" i="1"/>
  <c r="AE1217" i="1"/>
  <c r="AE1218" i="1"/>
  <c r="AE1219" i="1"/>
  <c r="AE1220" i="1"/>
  <c r="AE1221" i="1"/>
  <c r="AE1222" i="1"/>
  <c r="AE1223" i="1"/>
  <c r="AE1224" i="1"/>
  <c r="AE1225" i="1"/>
  <c r="AE1226" i="1"/>
  <c r="AE1227" i="1"/>
  <c r="AE1228" i="1"/>
  <c r="AE1229" i="1"/>
  <c r="AE1230" i="1"/>
  <c r="AE1231" i="1"/>
  <c r="AE1232" i="1"/>
  <c r="AE1233" i="1"/>
  <c r="AE1234" i="1"/>
  <c r="AE1235" i="1"/>
  <c r="AE1236" i="1"/>
  <c r="AE1237" i="1"/>
  <c r="AE1238" i="1"/>
  <c r="AE1239" i="1"/>
  <c r="AE1240" i="1"/>
  <c r="AE1241" i="1"/>
  <c r="AE1242" i="1"/>
  <c r="AE1243" i="1"/>
  <c r="AE1244" i="1"/>
  <c r="AE1245" i="1"/>
  <c r="AE1246" i="1"/>
  <c r="AE1247" i="1"/>
  <c r="AE1248" i="1"/>
  <c r="AE1249" i="1"/>
  <c r="AE1250" i="1"/>
  <c r="AE1251" i="1"/>
  <c r="AE1252" i="1"/>
  <c r="AE1253" i="1"/>
  <c r="AE1254" i="1"/>
  <c r="AE1255" i="1"/>
  <c r="AE1256" i="1"/>
  <c r="AE1257" i="1"/>
  <c r="AE1258" i="1"/>
  <c r="AE1259" i="1"/>
  <c r="AE1260" i="1"/>
  <c r="AE1261" i="1"/>
  <c r="AE1262" i="1"/>
  <c r="AE1263" i="1"/>
  <c r="AE1264" i="1"/>
  <c r="AE1265" i="1"/>
  <c r="AE1266" i="1"/>
  <c r="AE1267" i="1"/>
  <c r="AE1268" i="1"/>
  <c r="AE1269" i="1"/>
  <c r="AE1270" i="1"/>
  <c r="AE1271" i="1"/>
  <c r="AE1272" i="1"/>
  <c r="AE1273" i="1"/>
  <c r="AE1274" i="1"/>
  <c r="AE1275" i="1"/>
  <c r="AE1276" i="1"/>
  <c r="AE1277" i="1"/>
  <c r="AE1278" i="1"/>
  <c r="AE1279" i="1"/>
  <c r="AE1280" i="1"/>
  <c r="AE1281" i="1"/>
  <c r="AE1282" i="1"/>
  <c r="AE1283" i="1"/>
  <c r="AE1284" i="1"/>
  <c r="AE1285" i="1"/>
  <c r="AE1286" i="1"/>
  <c r="AE1287" i="1"/>
  <c r="AE1288" i="1"/>
  <c r="AE1289" i="1"/>
  <c r="AE1290" i="1"/>
  <c r="AE1291" i="1"/>
  <c r="AE1292" i="1"/>
  <c r="AE1293" i="1"/>
  <c r="AE1294" i="1"/>
  <c r="AE1295" i="1"/>
  <c r="AE1296" i="1"/>
  <c r="AE1297" i="1"/>
  <c r="AE1298" i="1"/>
  <c r="AE1299" i="1"/>
  <c r="AE1300" i="1"/>
  <c r="AE1301" i="1"/>
  <c r="AE1302" i="1"/>
  <c r="AE1303" i="1"/>
  <c r="AE1304" i="1"/>
  <c r="AE1305" i="1"/>
  <c r="AE1306" i="1"/>
  <c r="AE1307" i="1"/>
  <c r="AE1308" i="1"/>
  <c r="AE1309" i="1"/>
  <c r="AE1310" i="1"/>
  <c r="AE1311" i="1"/>
  <c r="AE1312" i="1"/>
  <c r="AE1313" i="1"/>
  <c r="AE1314" i="1"/>
  <c r="AE1315" i="1"/>
  <c r="AE1316" i="1"/>
  <c r="AE1317" i="1"/>
  <c r="AE1318" i="1"/>
  <c r="AE1319" i="1"/>
  <c r="AE1320" i="1"/>
  <c r="AE1321" i="1"/>
  <c r="AE1322" i="1"/>
  <c r="AE1323" i="1"/>
  <c r="AE1324" i="1"/>
  <c r="AE1325" i="1"/>
  <c r="AE1326" i="1"/>
  <c r="AE1327" i="1"/>
  <c r="AE1328" i="1"/>
  <c r="AE1329" i="1"/>
  <c r="AE1330" i="1"/>
  <c r="AE1331" i="1"/>
  <c r="AE1333" i="1"/>
  <c r="AE1334" i="1"/>
  <c r="AE1335" i="1"/>
  <c r="AE1336" i="1"/>
  <c r="AE1337" i="1"/>
  <c r="AE1338" i="1"/>
  <c r="AE1339" i="1"/>
  <c r="AE1340" i="1"/>
  <c r="AE1341" i="1"/>
  <c r="AE1342" i="1"/>
  <c r="AE1343" i="1"/>
  <c r="AE1344" i="1"/>
  <c r="AE1345" i="1"/>
  <c r="AE1346" i="1"/>
  <c r="AE1347" i="1"/>
  <c r="AE1348" i="1"/>
  <c r="AE1349" i="1"/>
  <c r="AE1350" i="1"/>
  <c r="AE1351" i="1"/>
  <c r="AE1352" i="1"/>
  <c r="AE1353" i="1"/>
  <c r="AE1354" i="1"/>
  <c r="AE1355" i="1"/>
  <c r="AE1356" i="1"/>
  <c r="AE1357" i="1"/>
  <c r="AE1358" i="1"/>
  <c r="AE1359" i="1"/>
  <c r="AE1360" i="1"/>
  <c r="AE1361" i="1"/>
  <c r="AE1362" i="1"/>
  <c r="AE1363" i="1"/>
  <c r="AE1364" i="1"/>
  <c r="AE1365" i="1"/>
  <c r="AE1366" i="1"/>
  <c r="AE1367" i="1"/>
  <c r="AE1368" i="1"/>
  <c r="AE1369" i="1"/>
  <c r="AE1370" i="1"/>
  <c r="AE1371" i="1"/>
  <c r="AE1372" i="1"/>
  <c r="AE1373" i="1"/>
  <c r="AE1374" i="1"/>
  <c r="AE1375" i="1"/>
  <c r="AE1376" i="1"/>
  <c r="AE1377" i="1"/>
  <c r="AE1378" i="1"/>
  <c r="AE1379" i="1"/>
  <c r="AE1380" i="1"/>
  <c r="AE1381" i="1"/>
  <c r="AE1382" i="1"/>
  <c r="AE1383" i="1"/>
  <c r="AE1384" i="1"/>
  <c r="AE1385" i="1"/>
  <c r="AE1386" i="1"/>
  <c r="AE1387" i="1"/>
  <c r="AE1388" i="1"/>
  <c r="AE1389" i="1"/>
  <c r="AE1390" i="1"/>
  <c r="AE1391" i="1"/>
  <c r="AE1392" i="1"/>
  <c r="AE1393" i="1"/>
  <c r="AE1394" i="1"/>
  <c r="AE1395" i="1"/>
  <c r="AE1396" i="1"/>
  <c r="AE1397" i="1"/>
  <c r="AE1398" i="1"/>
  <c r="AE1399" i="1"/>
  <c r="AE1400" i="1"/>
  <c r="AE1401" i="1"/>
  <c r="AE1402" i="1"/>
  <c r="AE1404" i="1"/>
  <c r="AE1405" i="1"/>
  <c r="AE1406" i="1"/>
  <c r="AE1407" i="1"/>
  <c r="AE1408" i="1"/>
  <c r="AE1409" i="1"/>
  <c r="AE1410" i="1"/>
  <c r="AE1411" i="1"/>
  <c r="AE1412" i="1"/>
  <c r="AE1413" i="1"/>
  <c r="AE1414" i="1"/>
  <c r="AE1415" i="1"/>
  <c r="AE1417" i="1"/>
  <c r="AE1418" i="1"/>
  <c r="AE1419" i="1"/>
  <c r="AE1420" i="1"/>
  <c r="AE1421" i="1"/>
  <c r="AE1422" i="1"/>
  <c r="AE1423" i="1"/>
  <c r="AE1424" i="1"/>
  <c r="AE1425" i="1"/>
  <c r="AE1426" i="1"/>
  <c r="AE1427" i="1"/>
  <c r="AE1428" i="1"/>
  <c r="AE1429" i="1"/>
  <c r="AE1430" i="1"/>
  <c r="AE1431" i="1"/>
  <c r="AE1432" i="1"/>
  <c r="AE1433" i="1"/>
  <c r="AE1434" i="1"/>
  <c r="AE1435" i="1"/>
  <c r="AE1436" i="1"/>
  <c r="AE1438" i="1"/>
  <c r="AE1439" i="1"/>
  <c r="AE1440" i="1"/>
  <c r="AE1441" i="1"/>
  <c r="AE1442" i="1"/>
  <c r="AE1443" i="1"/>
  <c r="AE1444" i="1"/>
  <c r="AE1445" i="1"/>
  <c r="AE1446" i="1"/>
  <c r="AE1447" i="1"/>
  <c r="AE1448" i="1"/>
  <c r="AE1449" i="1"/>
  <c r="AE1450" i="1"/>
  <c r="AE1451" i="1"/>
  <c r="AE1452" i="1"/>
  <c r="AE1453" i="1"/>
  <c r="AE1454" i="1"/>
  <c r="AE1455" i="1"/>
  <c r="AE1456" i="1"/>
  <c r="AE1457" i="1"/>
  <c r="AE1458" i="1"/>
  <c r="AE1459" i="1"/>
  <c r="AE1460" i="1"/>
  <c r="AE1461" i="1"/>
  <c r="AE1462" i="1"/>
  <c r="AE1463" i="1"/>
  <c r="AE1464" i="1"/>
  <c r="AE1465" i="1"/>
  <c r="AE1466" i="1"/>
  <c r="AE1467" i="1"/>
  <c r="AE1468" i="1"/>
  <c r="AE1469" i="1"/>
  <c r="AE1470" i="1"/>
  <c r="AE1471" i="1"/>
  <c r="AE1472" i="1"/>
  <c r="AE1473" i="1"/>
  <c r="AE1474" i="1"/>
  <c r="AE1475" i="1"/>
  <c r="AE1476" i="1"/>
  <c r="AE1477" i="1"/>
  <c r="AE1478" i="1"/>
  <c r="AE1479" i="1"/>
  <c r="AE1480" i="1"/>
  <c r="AE1481" i="1"/>
  <c r="AE1482" i="1"/>
  <c r="AE1483" i="1"/>
  <c r="AE1484" i="1"/>
  <c r="AE1485" i="1"/>
  <c r="AE1487" i="1"/>
  <c r="AE1488" i="1"/>
  <c r="AE1489" i="1"/>
  <c r="AE1490" i="1"/>
  <c r="AE1491" i="1"/>
  <c r="AE1492" i="1"/>
  <c r="AE1493" i="1"/>
  <c r="AE1494" i="1"/>
  <c r="AE1495" i="1"/>
  <c r="AE1496" i="1"/>
  <c r="AE1497" i="1"/>
  <c r="AE1498" i="1"/>
  <c r="AE1499" i="1"/>
  <c r="AE1500" i="1"/>
  <c r="AE1501" i="1"/>
  <c r="AE1502" i="1"/>
  <c r="AE1504" i="1"/>
  <c r="AE1505" i="1"/>
  <c r="AE1506" i="1"/>
  <c r="AE1507" i="1"/>
  <c r="AE1508" i="1"/>
  <c r="AE1509" i="1"/>
  <c r="AE1510" i="1"/>
  <c r="AE1511" i="1"/>
  <c r="AE1512" i="1"/>
  <c r="AE1513" i="1"/>
  <c r="AE1514" i="1"/>
  <c r="AE1515" i="1"/>
  <c r="AE1516" i="1"/>
  <c r="AE1517" i="1"/>
  <c r="AE1518" i="1"/>
  <c r="AE1519" i="1"/>
  <c r="AE1520" i="1"/>
  <c r="AE1521" i="1"/>
  <c r="AE1522" i="1"/>
  <c r="AE1523" i="1"/>
  <c r="AE1524" i="1"/>
  <c r="AE1525" i="1"/>
  <c r="AE1526" i="1"/>
  <c r="AE1527" i="1"/>
  <c r="AE1528" i="1"/>
  <c r="AE1529" i="1"/>
  <c r="AE1530" i="1"/>
  <c r="AE1531" i="1"/>
  <c r="AE1532" i="1"/>
  <c r="AE1533" i="1"/>
  <c r="AE1534" i="1"/>
  <c r="AE1535" i="1"/>
  <c r="AE1536" i="1"/>
  <c r="AE1537" i="1"/>
  <c r="AE1538" i="1"/>
  <c r="AE1539" i="1"/>
  <c r="AE1540" i="1"/>
  <c r="AE1541" i="1"/>
  <c r="AE1542" i="1"/>
  <c r="AE1543" i="1"/>
  <c r="AE1544" i="1"/>
  <c r="AE1545" i="1"/>
  <c r="AE1547" i="1"/>
  <c r="AE1548" i="1"/>
  <c r="AE1549" i="1"/>
  <c r="AE1550" i="1"/>
  <c r="AE1551" i="1"/>
  <c r="AE1552" i="1"/>
  <c r="AE1553" i="1"/>
  <c r="AE1554" i="1"/>
  <c r="AE1555" i="1"/>
  <c r="AE1556" i="1"/>
  <c r="AE1557" i="1"/>
  <c r="AE1558" i="1"/>
  <c r="AE1559" i="1"/>
  <c r="AE1560" i="1"/>
  <c r="AE1561" i="1"/>
  <c r="AE1562" i="1"/>
  <c r="AE1563" i="1"/>
  <c r="AE1564" i="1"/>
  <c r="AE1565" i="1"/>
  <c r="AE1566" i="1"/>
  <c r="AE1567" i="1"/>
  <c r="AE1568" i="1"/>
  <c r="AE1569" i="1"/>
  <c r="AE1570" i="1"/>
  <c r="AE1571" i="1"/>
  <c r="AE1572" i="1"/>
  <c r="AE1573" i="1"/>
  <c r="AE1574" i="1"/>
  <c r="AE1575" i="1"/>
  <c r="AE1576" i="1"/>
  <c r="AE1577" i="1"/>
  <c r="AE1578" i="1"/>
  <c r="AE1579" i="1"/>
  <c r="AE1580" i="1"/>
  <c r="AE1581" i="1"/>
  <c r="AE1583" i="1"/>
  <c r="AE1584" i="1"/>
  <c r="AE1585" i="1"/>
  <c r="AE1586" i="1"/>
  <c r="AE1587" i="1"/>
  <c r="AE1588" i="1"/>
  <c r="AE1589" i="1"/>
  <c r="AE1590" i="1"/>
  <c r="AE1591" i="1"/>
  <c r="AE1592" i="1"/>
  <c r="AE1593" i="1"/>
  <c r="AE1594" i="1"/>
  <c r="AE1595" i="1"/>
  <c r="AE1596" i="1"/>
  <c r="AE1597" i="1"/>
  <c r="AE1598" i="1"/>
  <c r="AE1599" i="1"/>
  <c r="AE1600" i="1"/>
  <c r="AE1601" i="1"/>
  <c r="AE1602" i="1"/>
  <c r="AE1603" i="1"/>
  <c r="AE1605" i="1"/>
  <c r="AE1606" i="1"/>
  <c r="AE1607" i="1"/>
  <c r="AE1608" i="1"/>
  <c r="AE1609" i="1"/>
  <c r="AE1610" i="1"/>
  <c r="AE1611" i="1"/>
  <c r="AE1612" i="1"/>
  <c r="AE1613" i="1"/>
  <c r="AE1614" i="1"/>
  <c r="AE1615" i="1"/>
  <c r="AE1616" i="1"/>
  <c r="AE1617" i="1"/>
  <c r="AE1618" i="1"/>
  <c r="AE1619" i="1"/>
  <c r="AE1620" i="1"/>
  <c r="AE1621" i="1"/>
  <c r="AE1622" i="1"/>
  <c r="AE1623" i="1"/>
  <c r="AE1624" i="1"/>
  <c r="AE1625" i="1"/>
  <c r="AE1626" i="1"/>
  <c r="AE1627" i="1"/>
  <c r="AE1628" i="1"/>
  <c r="AE1629" i="1"/>
  <c r="AE1630" i="1"/>
  <c r="AE1631" i="1"/>
  <c r="AE1632" i="1"/>
  <c r="AE1633" i="1"/>
  <c r="AE1634" i="1"/>
  <c r="AE1635" i="1"/>
  <c r="AE1636" i="1"/>
  <c r="AE1637" i="1"/>
  <c r="AE1638" i="1"/>
  <c r="AE1639" i="1"/>
  <c r="AE1640" i="1"/>
  <c r="AE1641" i="1"/>
  <c r="AE1642" i="1"/>
  <c r="AE1643" i="1"/>
  <c r="AE1644" i="1"/>
  <c r="AE1645" i="1"/>
  <c r="AE1646" i="1"/>
  <c r="AE1647" i="1"/>
  <c r="AE1648" i="1"/>
  <c r="AE1649" i="1"/>
  <c r="AE1650" i="1"/>
  <c r="AE1651" i="1"/>
  <c r="AE1652" i="1"/>
  <c r="AE1653" i="1"/>
  <c r="AE1654" i="1"/>
  <c r="AE1655" i="1"/>
  <c r="AE1656" i="1"/>
  <c r="AE1657" i="1"/>
  <c r="AE1658" i="1"/>
  <c r="AE1659" i="1"/>
  <c r="AE1660" i="1"/>
  <c r="AE1661" i="1"/>
  <c r="AE1662" i="1"/>
  <c r="AE1663" i="1"/>
  <c r="AE1664" i="1"/>
  <c r="AE1665" i="1"/>
  <c r="AE1666" i="1"/>
  <c r="AE1667" i="1"/>
  <c r="AE1668" i="1"/>
  <c r="AE1669" i="1"/>
  <c r="AE1670" i="1"/>
  <c r="AE1671" i="1"/>
  <c r="AE1672" i="1"/>
  <c r="AE1673" i="1"/>
  <c r="AE1674" i="1"/>
  <c r="AE1675" i="1"/>
  <c r="AE1676" i="1"/>
  <c r="AE1677" i="1"/>
  <c r="AE1678" i="1"/>
  <c r="AE1679" i="1"/>
  <c r="AE1680" i="1"/>
  <c r="AE1681" i="1"/>
  <c r="AE1683" i="1"/>
  <c r="AE1684" i="1"/>
  <c r="AE1685" i="1"/>
  <c r="AE1686" i="1"/>
  <c r="AE1687" i="1"/>
  <c r="AE1689" i="1"/>
  <c r="AE1690" i="1"/>
  <c r="AE1691" i="1"/>
  <c r="AE1692" i="1"/>
  <c r="AE1693" i="1"/>
  <c r="AE1694" i="1"/>
  <c r="AE1695" i="1"/>
  <c r="AE1696" i="1"/>
  <c r="AE1697" i="1"/>
  <c r="AE1698" i="1"/>
  <c r="AE1699" i="1"/>
  <c r="AE1700" i="1"/>
  <c r="AE1701" i="1"/>
  <c r="AE1702" i="1"/>
  <c r="AE1703" i="1"/>
  <c r="AE1704" i="1"/>
  <c r="AE1706" i="1"/>
  <c r="AE1707" i="1"/>
  <c r="AE1708" i="1"/>
  <c r="AE1709" i="1"/>
  <c r="AE1710" i="1"/>
  <c r="AE1711" i="1"/>
  <c r="AE1712" i="1"/>
  <c r="AE1713" i="1"/>
  <c r="AE1714" i="1"/>
  <c r="AE1715" i="1"/>
  <c r="AE1716" i="1"/>
  <c r="AE1717" i="1"/>
  <c r="AE1718" i="1"/>
  <c r="AE1719" i="1"/>
  <c r="AE1720" i="1"/>
  <c r="AE1721" i="1"/>
  <c r="AE1722" i="1"/>
  <c r="AE1723" i="1"/>
  <c r="AE1724" i="1"/>
  <c r="AE1725" i="1"/>
  <c r="AE1726" i="1"/>
  <c r="AE1727" i="1"/>
  <c r="AE1728" i="1"/>
  <c r="AE1729" i="1"/>
  <c r="AE1730" i="1"/>
  <c r="AE1731" i="1"/>
  <c r="AE1732" i="1"/>
  <c r="AE1733" i="1"/>
  <c r="AE1734" i="1"/>
  <c r="AE1735" i="1"/>
  <c r="AE1736" i="1"/>
  <c r="AE1737" i="1"/>
  <c r="AE1739" i="1"/>
  <c r="AE1740" i="1"/>
  <c r="AE1741" i="1"/>
  <c r="AE1742" i="1"/>
  <c r="AE1743" i="1"/>
  <c r="AE1744" i="1"/>
  <c r="AE1745" i="1"/>
  <c r="AE1746" i="1"/>
  <c r="AE1747" i="1"/>
  <c r="AE1748" i="1"/>
  <c r="AE1749" i="1"/>
  <c r="AE1750" i="1"/>
  <c r="AE1751" i="1"/>
  <c r="AE1753" i="1"/>
  <c r="AE1754" i="1"/>
  <c r="AE1755" i="1"/>
  <c r="AE1756" i="1"/>
  <c r="AE1757" i="1"/>
  <c r="AE1758" i="1"/>
  <c r="AE1759" i="1"/>
  <c r="AE1760" i="1"/>
  <c r="AE1761" i="1"/>
  <c r="AE1762" i="1"/>
  <c r="AE1763" i="1"/>
  <c r="AE1764" i="1"/>
  <c r="AE1765" i="1"/>
  <c r="AE1766" i="1"/>
  <c r="AE1767" i="1"/>
  <c r="AE1768" i="1"/>
  <c r="AE1769" i="1"/>
  <c r="AE1770" i="1"/>
  <c r="AE1771" i="1"/>
  <c r="AE1772" i="1"/>
  <c r="AE1773" i="1"/>
  <c r="AE1774" i="1"/>
  <c r="AE1775" i="1"/>
  <c r="AE1776" i="1"/>
  <c r="AE1777" i="1"/>
  <c r="AE1778" i="1"/>
  <c r="AE1779" i="1"/>
  <c r="AE1780" i="1"/>
  <c r="AE1781" i="1"/>
  <c r="AE1782" i="1"/>
  <c r="AE1783" i="1"/>
  <c r="AE1784" i="1"/>
  <c r="AE1785" i="1"/>
  <c r="AE1786" i="1"/>
  <c r="AE1787" i="1"/>
  <c r="AE1788" i="1"/>
  <c r="AE1789" i="1"/>
  <c r="AE1790" i="1"/>
  <c r="AE1791" i="1"/>
  <c r="AE1792" i="1"/>
  <c r="AE1794" i="1"/>
  <c r="AE1795" i="1"/>
  <c r="AE1796" i="1"/>
  <c r="AE1797" i="1"/>
  <c r="AE1798" i="1"/>
  <c r="AE1799" i="1"/>
  <c r="AE1800" i="1"/>
  <c r="AE1801" i="1"/>
  <c r="AE1802" i="1"/>
  <c r="AE1803" i="1"/>
  <c r="AE1804" i="1"/>
  <c r="AE1805" i="1"/>
  <c r="AE1806" i="1"/>
  <c r="AE1807" i="1"/>
  <c r="AE1808" i="1"/>
  <c r="AE1809" i="1"/>
  <c r="AE1810" i="1"/>
  <c r="AE1811" i="1"/>
  <c r="AE1812" i="1"/>
  <c r="AE1813" i="1"/>
  <c r="AE1814" i="1"/>
  <c r="AE1815" i="1"/>
  <c r="AE1816" i="1"/>
  <c r="AE1817" i="1"/>
  <c r="AE1818" i="1"/>
  <c r="AE1819" i="1"/>
  <c r="AE1820" i="1"/>
  <c r="AE1821" i="1"/>
  <c r="AE1822" i="1"/>
  <c r="AE1823" i="1"/>
  <c r="AE1824" i="1"/>
  <c r="AE1825" i="1"/>
  <c r="AE1826" i="1"/>
  <c r="AE1827" i="1"/>
  <c r="AE1828" i="1"/>
  <c r="AE1829" i="1"/>
  <c r="AE1830" i="1"/>
  <c r="AE1831" i="1"/>
  <c r="AE1832" i="1"/>
  <c r="AE1833" i="1"/>
  <c r="AE1834" i="1"/>
  <c r="AE1835" i="1"/>
  <c r="AE1836" i="1"/>
  <c r="AE1837" i="1"/>
  <c r="AE1838" i="1"/>
  <c r="AE1839" i="1"/>
  <c r="AE1840" i="1"/>
  <c r="AE1841" i="1"/>
  <c r="AE1842" i="1"/>
  <c r="AE1843" i="1"/>
  <c r="AE1844" i="1"/>
  <c r="AE1845" i="1"/>
  <c r="AE1846" i="1"/>
  <c r="AE1847" i="1"/>
  <c r="AE1848" i="1"/>
  <c r="AE1849" i="1"/>
  <c r="AE1850" i="1"/>
  <c r="AE1852" i="1"/>
  <c r="AE1853" i="1"/>
  <c r="AE1854" i="1"/>
  <c r="AE1855" i="1"/>
  <c r="AE1856" i="1"/>
  <c r="AE1857" i="1"/>
  <c r="AE1858" i="1"/>
  <c r="AE1859" i="1"/>
  <c r="AE1860" i="1"/>
  <c r="AE1861" i="1"/>
  <c r="AE1862" i="1"/>
  <c r="AE1864" i="1"/>
  <c r="AE1865" i="1"/>
  <c r="AE1866" i="1"/>
  <c r="AE1867" i="1"/>
  <c r="AE1868" i="1"/>
  <c r="AE1869" i="1"/>
  <c r="AE1870" i="1"/>
  <c r="AE1871" i="1"/>
  <c r="AE1872" i="1"/>
  <c r="AE1873" i="1"/>
  <c r="AE1874" i="1"/>
  <c r="AE1875" i="1"/>
  <c r="AE1876" i="1"/>
  <c r="AE1877" i="1"/>
  <c r="AE1878" i="1"/>
  <c r="AE1879" i="1"/>
  <c r="AE1880" i="1"/>
  <c r="AE1881" i="1"/>
  <c r="AE1882" i="1"/>
  <c r="AE1883" i="1"/>
  <c r="AE1884" i="1"/>
  <c r="AE1885" i="1"/>
  <c r="AE1886" i="1"/>
  <c r="AE1887" i="1"/>
  <c r="AE1888" i="1"/>
  <c r="AE1890" i="1"/>
  <c r="AE1891" i="1"/>
  <c r="AE1892" i="1"/>
  <c r="AE1893" i="1"/>
  <c r="AE1895" i="1"/>
  <c r="AE1896" i="1"/>
  <c r="AE1897" i="1"/>
  <c r="AE1898" i="1"/>
  <c r="AE1899" i="1"/>
  <c r="AE1900" i="1"/>
  <c r="AE1901" i="1"/>
  <c r="AE1902" i="1"/>
  <c r="AE1903" i="1"/>
  <c r="AE1904" i="1"/>
  <c r="AE1905" i="1"/>
  <c r="AE1906" i="1"/>
  <c r="AE1907" i="1"/>
  <c r="AE1908" i="1"/>
  <c r="AE1909" i="1"/>
  <c r="AE1910" i="1"/>
  <c r="AE1911" i="1"/>
  <c r="AE1912" i="1"/>
  <c r="AE1913" i="1"/>
  <c r="AE1914" i="1"/>
  <c r="AE1915" i="1"/>
  <c r="AE1916" i="1"/>
  <c r="AE1917" i="1"/>
  <c r="AE1919" i="1"/>
  <c r="AE1920" i="1"/>
  <c r="AE1921" i="1"/>
  <c r="AE1922" i="1"/>
  <c r="AE1923" i="1"/>
  <c r="AE1924" i="1"/>
  <c r="AE1925" i="1"/>
  <c r="AE1926" i="1"/>
  <c r="AE1927" i="1"/>
  <c r="AE1928" i="1"/>
  <c r="AE1929" i="1"/>
  <c r="AE1930" i="1"/>
  <c r="AE1931" i="1"/>
  <c r="AE1932" i="1"/>
  <c r="AE1933" i="1"/>
  <c r="AE1934" i="1"/>
  <c r="AE1935" i="1"/>
  <c r="AE1936" i="1"/>
  <c r="AE1937" i="1"/>
  <c r="AE1938" i="1"/>
  <c r="AE1939" i="1"/>
  <c r="AE1940" i="1"/>
  <c r="AE1941" i="1"/>
  <c r="AE1942" i="1"/>
  <c r="AE1943" i="1"/>
  <c r="AE1944" i="1"/>
  <c r="AE1945" i="1"/>
  <c r="AE1946" i="1"/>
  <c r="AE1947" i="1"/>
  <c r="AE1948" i="1"/>
  <c r="AE1949" i="1"/>
  <c r="AE1950" i="1"/>
  <c r="AE1951" i="1"/>
  <c r="AE1952" i="1"/>
  <c r="AE1953" i="1"/>
  <c r="AE1954" i="1"/>
  <c r="AE1955" i="1"/>
  <c r="AE1956" i="1"/>
  <c r="AE1957" i="1"/>
  <c r="AE1958" i="1"/>
  <c r="AE1959" i="1"/>
  <c r="AE1960" i="1"/>
  <c r="AE1961" i="1"/>
  <c r="AE1962" i="1"/>
  <c r="AE1963" i="1"/>
  <c r="AE1964" i="1"/>
  <c r="AE1965" i="1"/>
  <c r="AE1966" i="1"/>
  <c r="AE1967" i="1"/>
  <c r="AE1968" i="1"/>
  <c r="AE1969" i="1"/>
  <c r="AE1970" i="1"/>
  <c r="AE1971" i="1"/>
  <c r="AE1972" i="1"/>
  <c r="AE1973" i="1"/>
  <c r="AE1974" i="1"/>
  <c r="AE1975" i="1"/>
  <c r="AE1976" i="1"/>
  <c r="AE1977" i="1"/>
  <c r="AE1978" i="1"/>
  <c r="AE1979" i="1"/>
  <c r="AE1980" i="1"/>
  <c r="AE1981" i="1"/>
  <c r="AE1982" i="1"/>
  <c r="AE1983" i="1"/>
  <c r="AE1984" i="1"/>
  <c r="AE1985" i="1"/>
  <c r="AE1986" i="1"/>
  <c r="AE1987" i="1"/>
  <c r="AE1988" i="1"/>
  <c r="AE1989" i="1"/>
  <c r="AE1990" i="1"/>
  <c r="AE1991" i="1"/>
  <c r="AE1992" i="1"/>
  <c r="AE1993" i="1"/>
  <c r="AE1994" i="1"/>
  <c r="AE1995" i="1"/>
  <c r="AE1996" i="1"/>
  <c r="AE1997" i="1"/>
  <c r="AE1998" i="1"/>
  <c r="AE1999" i="1"/>
  <c r="AE2000" i="1"/>
  <c r="AE2001" i="1"/>
  <c r="AE43" i="1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3" i="2"/>
  <c r="W1998" i="1" l="1"/>
  <c r="W1990" i="1"/>
  <c r="W1982" i="1"/>
  <c r="W1974" i="1"/>
  <c r="W1966" i="1"/>
  <c r="X1966" i="1" s="1"/>
  <c r="W1958" i="1"/>
  <c r="X1958" i="1" s="1"/>
  <c r="W1950" i="1"/>
  <c r="X1950" i="1" s="1"/>
  <c r="W1942" i="1"/>
  <c r="X1942" i="1" s="1"/>
  <c r="W1934" i="1"/>
  <c r="W1926" i="1"/>
  <c r="W1917" i="1"/>
  <c r="W1909" i="1"/>
  <c r="W1901" i="1"/>
  <c r="X1901" i="1" s="1"/>
  <c r="W1892" i="1"/>
  <c r="X1892" i="1" s="1"/>
  <c r="W1883" i="1"/>
  <c r="X1883" i="1" s="1"/>
  <c r="W1875" i="1"/>
  <c r="X1875" i="1" s="1"/>
  <c r="W1867" i="1"/>
  <c r="W1858" i="1"/>
  <c r="W1849" i="1"/>
  <c r="W1841" i="1"/>
  <c r="W1833" i="1"/>
  <c r="X1833" i="1" s="1"/>
  <c r="W1825" i="1"/>
  <c r="X1825" i="1" s="1"/>
  <c r="W1817" i="1"/>
  <c r="X1817" i="1" s="1"/>
  <c r="W1809" i="1"/>
  <c r="X1809" i="1" s="1"/>
  <c r="W1801" i="1"/>
  <c r="W1792" i="1"/>
  <c r="W1784" i="1"/>
  <c r="W1776" i="1"/>
  <c r="W1768" i="1"/>
  <c r="X1768" i="1" s="1"/>
  <c r="W1760" i="1"/>
  <c r="X1760" i="1" s="1"/>
  <c r="W1751" i="1"/>
  <c r="X1751" i="1" s="1"/>
  <c r="W1743" i="1"/>
  <c r="X1743" i="1" s="1"/>
  <c r="W1734" i="1"/>
  <c r="W1726" i="1"/>
  <c r="W1718" i="1"/>
  <c r="W1710" i="1"/>
  <c r="W1701" i="1"/>
  <c r="W1693" i="1"/>
  <c r="X1693" i="1" s="1"/>
  <c r="W1684" i="1"/>
  <c r="X1684" i="1" s="1"/>
  <c r="W1675" i="1"/>
  <c r="X1675" i="1" s="1"/>
  <c r="W1667" i="1"/>
  <c r="W1659" i="1"/>
  <c r="W1651" i="1"/>
  <c r="W1643" i="1"/>
  <c r="W1635" i="1"/>
  <c r="X1635" i="1" s="1"/>
  <c r="W1627" i="1"/>
  <c r="X1627" i="1" s="1"/>
  <c r="W1619" i="1"/>
  <c r="X1619" i="1" s="1"/>
  <c r="W1611" i="1"/>
  <c r="X1611" i="1" s="1"/>
  <c r="W1602" i="1"/>
  <c r="W1594" i="1"/>
  <c r="W1586" i="1"/>
  <c r="W1577" i="1"/>
  <c r="W1569" i="1"/>
  <c r="X1569" i="1" s="1"/>
  <c r="W1561" i="1"/>
  <c r="X1561" i="1" s="1"/>
  <c r="W1553" i="1"/>
  <c r="X1553" i="1" s="1"/>
  <c r="W1544" i="1"/>
  <c r="X1544" i="1" s="1"/>
  <c r="W1536" i="1"/>
  <c r="W1528" i="1"/>
  <c r="W1520" i="1"/>
  <c r="W1512" i="1"/>
  <c r="W1504" i="1"/>
  <c r="X1504" i="1" s="1"/>
  <c r="W1495" i="1"/>
  <c r="X1495" i="1" s="1"/>
  <c r="W1487" i="1"/>
  <c r="X1487" i="1" s="1"/>
  <c r="W1478" i="1"/>
  <c r="X1478" i="1" s="1"/>
  <c r="W1470" i="1"/>
  <c r="W1462" i="1"/>
  <c r="W1454" i="1"/>
  <c r="W1446" i="1"/>
  <c r="W1438" i="1"/>
  <c r="X1438" i="1" s="1"/>
  <c r="W1429" i="1"/>
  <c r="X1429" i="1" s="1"/>
  <c r="W1421" i="1"/>
  <c r="X1421" i="1" s="1"/>
  <c r="W1412" i="1"/>
  <c r="X1412" i="1" s="1"/>
  <c r="W1404" i="1"/>
  <c r="W1395" i="1"/>
  <c r="W1387" i="1"/>
  <c r="W1379" i="1"/>
  <c r="W1371" i="1"/>
  <c r="X1371" i="1" s="1"/>
  <c r="W1363" i="1"/>
  <c r="X1363" i="1" s="1"/>
  <c r="W1355" i="1"/>
  <c r="X1355" i="1" s="1"/>
  <c r="W1347" i="1"/>
  <c r="X1347" i="1" s="1"/>
  <c r="W1339" i="1"/>
  <c r="W1330" i="1"/>
  <c r="W1322" i="1"/>
  <c r="W1314" i="1"/>
  <c r="W1306" i="1"/>
  <c r="X1306" i="1" s="1"/>
  <c r="W1298" i="1"/>
  <c r="X1298" i="1" s="1"/>
  <c r="W1290" i="1"/>
  <c r="X1290" i="1" s="1"/>
  <c r="W1282" i="1"/>
  <c r="X1282" i="1" s="1"/>
  <c r="W1274" i="1"/>
  <c r="W1266" i="1"/>
  <c r="W1258" i="1"/>
  <c r="W1250" i="1"/>
  <c r="W1242" i="1"/>
  <c r="X1242" i="1" s="1"/>
  <c r="W1234" i="1"/>
  <c r="X1234" i="1" s="1"/>
  <c r="W1226" i="1"/>
  <c r="X1226" i="1" s="1"/>
  <c r="W1218" i="1"/>
  <c r="X1218" i="1" s="1"/>
  <c r="W1209" i="1"/>
  <c r="W1200" i="1"/>
  <c r="W1192" i="1"/>
  <c r="W1184" i="1"/>
  <c r="W1176" i="1"/>
  <c r="X1176" i="1" s="1"/>
  <c r="W1168" i="1"/>
  <c r="X1168" i="1" s="1"/>
  <c r="W1160" i="1"/>
  <c r="X1160" i="1" s="1"/>
  <c r="W1152" i="1"/>
  <c r="X1152" i="1" s="1"/>
  <c r="W1144" i="1"/>
  <c r="W1136" i="1"/>
  <c r="W1127" i="1"/>
  <c r="W1119" i="1"/>
  <c r="W1111" i="1"/>
  <c r="X1111" i="1" s="1"/>
  <c r="W1103" i="1"/>
  <c r="X1103" i="1" s="1"/>
  <c r="W1095" i="1"/>
  <c r="X1095" i="1" s="1"/>
  <c r="W1087" i="1"/>
  <c r="X1087" i="1" s="1"/>
  <c r="W1079" i="1"/>
  <c r="W1071" i="1"/>
  <c r="W1063" i="1"/>
  <c r="W1055" i="1"/>
  <c r="W1047" i="1"/>
  <c r="X1047" i="1" s="1"/>
  <c r="W1038" i="1"/>
  <c r="X1038" i="1" s="1"/>
  <c r="W1030" i="1"/>
  <c r="X1030" i="1" s="1"/>
  <c r="W1022" i="1"/>
  <c r="X1022" i="1" s="1"/>
  <c r="W1014" i="1"/>
  <c r="W1005" i="1"/>
  <c r="W997" i="1"/>
  <c r="W989" i="1"/>
  <c r="W981" i="1"/>
  <c r="X981" i="1" s="1"/>
  <c r="W973" i="1"/>
  <c r="X973" i="1" s="1"/>
  <c r="W965" i="1"/>
  <c r="X965" i="1" s="1"/>
  <c r="W956" i="1"/>
  <c r="X956" i="1" s="1"/>
  <c r="W947" i="1"/>
  <c r="W939" i="1"/>
  <c r="W931" i="1"/>
  <c r="W923" i="1"/>
  <c r="W915" i="1"/>
  <c r="X915" i="1" s="1"/>
  <c r="W907" i="1"/>
  <c r="X907" i="1" s="1"/>
  <c r="W899" i="1"/>
  <c r="X899" i="1" s="1"/>
  <c r="W891" i="1"/>
  <c r="X891" i="1" s="1"/>
  <c r="W883" i="1"/>
  <c r="W875" i="1"/>
  <c r="W866" i="1"/>
  <c r="W857" i="1"/>
  <c r="W849" i="1"/>
  <c r="X849" i="1" s="1"/>
  <c r="W841" i="1"/>
  <c r="X841" i="1" s="1"/>
  <c r="W832" i="1"/>
  <c r="X832" i="1" s="1"/>
  <c r="W824" i="1"/>
  <c r="X824" i="1" s="1"/>
  <c r="W815" i="1"/>
  <c r="W807" i="1"/>
  <c r="W798" i="1"/>
  <c r="W790" i="1"/>
  <c r="W781" i="1"/>
  <c r="X781" i="1" s="1"/>
  <c r="W773" i="1"/>
  <c r="X773" i="1" s="1"/>
  <c r="W765" i="1"/>
  <c r="X765" i="1" s="1"/>
  <c r="W757" i="1"/>
  <c r="X757" i="1" s="1"/>
  <c r="W749" i="1"/>
  <c r="W741" i="1"/>
  <c r="W733" i="1"/>
  <c r="W725" i="1"/>
  <c r="W716" i="1"/>
  <c r="X716" i="1" s="1"/>
  <c r="W708" i="1"/>
  <c r="X708" i="1" s="1"/>
  <c r="W700" i="1"/>
  <c r="X700" i="1" s="1"/>
  <c r="W692" i="1"/>
  <c r="X692" i="1" s="1"/>
  <c r="W684" i="1"/>
  <c r="W676" i="1"/>
  <c r="W668" i="1"/>
  <c r="W660" i="1"/>
  <c r="W651" i="1"/>
  <c r="X651" i="1" s="1"/>
  <c r="W643" i="1"/>
  <c r="X643" i="1" s="1"/>
  <c r="W635" i="1"/>
  <c r="X635" i="1" s="1"/>
  <c r="W626" i="1"/>
  <c r="X626" i="1" s="1"/>
  <c r="W618" i="1"/>
  <c r="W610" i="1"/>
  <c r="W602" i="1"/>
  <c r="W594" i="1"/>
  <c r="W586" i="1"/>
  <c r="X586" i="1" s="1"/>
  <c r="W578" i="1"/>
  <c r="X578" i="1" s="1"/>
  <c r="W570" i="1"/>
  <c r="X570" i="1" s="1"/>
  <c r="W562" i="1"/>
  <c r="X562" i="1" s="1"/>
  <c r="W554" i="1"/>
  <c r="W546" i="1"/>
  <c r="W538" i="1"/>
  <c r="W530" i="1"/>
  <c r="W522" i="1"/>
  <c r="X522" i="1" s="1"/>
  <c r="W514" i="1"/>
  <c r="X514" i="1" s="1"/>
  <c r="W506" i="1"/>
  <c r="X506" i="1" s="1"/>
  <c r="W498" i="1"/>
  <c r="X498" i="1" s="1"/>
  <c r="W490" i="1"/>
  <c r="W482" i="1"/>
  <c r="W474" i="1"/>
  <c r="W465" i="1"/>
  <c r="W456" i="1"/>
  <c r="X456" i="1" s="1"/>
  <c r="W448" i="1"/>
  <c r="X448" i="1" s="1"/>
  <c r="W440" i="1"/>
  <c r="X440" i="1" s="1"/>
  <c r="W432" i="1"/>
  <c r="X432" i="1" s="1"/>
  <c r="W424" i="1"/>
  <c r="W416" i="1"/>
  <c r="W408" i="1"/>
  <c r="W400" i="1"/>
  <c r="W392" i="1"/>
  <c r="X392" i="1" s="1"/>
  <c r="W384" i="1"/>
  <c r="W376" i="1"/>
  <c r="X376" i="1" s="1"/>
  <c r="W367" i="1"/>
  <c r="X367" i="1" s="1"/>
  <c r="W359" i="1"/>
  <c r="W351" i="1"/>
  <c r="W343" i="1"/>
  <c r="W335" i="1"/>
  <c r="W327" i="1"/>
  <c r="X327" i="1" s="1"/>
  <c r="W319" i="1"/>
  <c r="X319" i="1" s="1"/>
  <c r="W311" i="1"/>
  <c r="X311" i="1" s="1"/>
  <c r="W302" i="1"/>
  <c r="X302" i="1" s="1"/>
  <c r="W294" i="1"/>
  <c r="W286" i="1"/>
  <c r="W278" i="1"/>
  <c r="W270" i="1"/>
  <c r="W260" i="1"/>
  <c r="X260" i="1" s="1"/>
  <c r="W252" i="1"/>
  <c r="X252" i="1" s="1"/>
  <c r="W244" i="1"/>
  <c r="X244" i="1" s="1"/>
  <c r="W236" i="1"/>
  <c r="X236" i="1" s="1"/>
  <c r="W228" i="1"/>
  <c r="W220" i="1"/>
  <c r="W212" i="1"/>
  <c r="W204" i="1"/>
  <c r="W196" i="1"/>
  <c r="X196" i="1" s="1"/>
  <c r="W188" i="1"/>
  <c r="X188" i="1" s="1"/>
  <c r="W180" i="1"/>
  <c r="X180" i="1" s="1"/>
  <c r="W171" i="1"/>
  <c r="X171" i="1" s="1"/>
  <c r="W163" i="1"/>
  <c r="W155" i="1"/>
  <c r="W147" i="1"/>
  <c r="W139" i="1"/>
  <c r="W131" i="1"/>
  <c r="X131" i="1" s="1"/>
  <c r="W123" i="1"/>
  <c r="X123" i="1" s="1"/>
  <c r="W115" i="1"/>
  <c r="X115" i="1" s="1"/>
  <c r="W107" i="1"/>
  <c r="X107" i="1" s="1"/>
  <c r="W99" i="1"/>
  <c r="W91" i="1"/>
  <c r="W82" i="1"/>
  <c r="W74" i="1"/>
  <c r="W66" i="1"/>
  <c r="X66" i="1" s="1"/>
  <c r="W58" i="1"/>
  <c r="X58" i="1" s="1"/>
  <c r="W50" i="1"/>
  <c r="X50" i="1" s="1"/>
  <c r="W41" i="1"/>
  <c r="X41" i="1" s="1"/>
  <c r="W33" i="1"/>
  <c r="X33" i="1" s="1"/>
  <c r="W24" i="1"/>
  <c r="W16" i="1"/>
  <c r="W8" i="1"/>
  <c r="W4" i="1"/>
  <c r="X4" i="1" s="1"/>
  <c r="W1918" i="1"/>
  <c r="X1918" i="1" s="1"/>
  <c r="W1437" i="1"/>
  <c r="X1437" i="1" s="1"/>
  <c r="W1270" i="1"/>
  <c r="X1270" i="1" s="1"/>
  <c r="W1262" i="1"/>
  <c r="X1262" i="1" s="1"/>
  <c r="W1254" i="1"/>
  <c r="W1246" i="1"/>
  <c r="W1238" i="1"/>
  <c r="W1230" i="1"/>
  <c r="X1230" i="1" s="1"/>
  <c r="W1222" i="1"/>
  <c r="X1222" i="1" s="1"/>
  <c r="W1214" i="1"/>
  <c r="X1214" i="1" s="1"/>
  <c r="W1204" i="1"/>
  <c r="X1204" i="1" s="1"/>
  <c r="W1196" i="1"/>
  <c r="X1196" i="1" s="1"/>
  <c r="W1188" i="1"/>
  <c r="W1180" i="1"/>
  <c r="W1172" i="1"/>
  <c r="W1164" i="1"/>
  <c r="X1164" i="1" s="1"/>
  <c r="W1156" i="1"/>
  <c r="X1156" i="1" s="1"/>
  <c r="W1148" i="1"/>
  <c r="X1148" i="1" s="1"/>
  <c r="W1140" i="1"/>
  <c r="X1140" i="1" s="1"/>
  <c r="W1132" i="1"/>
  <c r="W1123" i="1"/>
  <c r="W1115" i="1"/>
  <c r="W1107" i="1"/>
  <c r="W1099" i="1"/>
  <c r="X1099" i="1" s="1"/>
  <c r="W1091" i="1"/>
  <c r="X1091" i="1" s="1"/>
  <c r="W1083" i="1"/>
  <c r="X1083" i="1" s="1"/>
  <c r="W1075" i="1"/>
  <c r="X1075" i="1" s="1"/>
  <c r="W1067" i="1"/>
  <c r="X1067" i="1" s="1"/>
  <c r="W1059" i="1"/>
  <c r="X1059" i="1" s="1"/>
  <c r="W1051" i="1"/>
  <c r="W1043" i="1"/>
  <c r="W1034" i="1"/>
  <c r="X1034" i="1" s="1"/>
  <c r="W1026" i="1"/>
  <c r="X1026" i="1" s="1"/>
  <c r="W1018" i="1"/>
  <c r="X1018" i="1" s="1"/>
  <c r="W1010" i="1"/>
  <c r="X1010" i="1" s="1"/>
  <c r="W1001" i="1"/>
  <c r="X1001" i="1" s="1"/>
  <c r="W993" i="1"/>
  <c r="W985" i="1"/>
  <c r="W977" i="1"/>
  <c r="W969" i="1"/>
  <c r="X969" i="1" s="1"/>
  <c r="W960" i="1"/>
  <c r="X960" i="1" s="1"/>
  <c r="W952" i="1"/>
  <c r="X952" i="1" s="1"/>
  <c r="W943" i="1"/>
  <c r="X943" i="1" s="1"/>
  <c r="W935" i="1"/>
  <c r="X935" i="1" s="1"/>
  <c r="W927" i="1"/>
  <c r="X927" i="1" s="1"/>
  <c r="W919" i="1"/>
  <c r="W911" i="1"/>
  <c r="W903" i="1"/>
  <c r="X903" i="1" s="1"/>
  <c r="W895" i="1"/>
  <c r="X895" i="1" s="1"/>
  <c r="W887" i="1"/>
  <c r="X887" i="1" s="1"/>
  <c r="W879" i="1"/>
  <c r="X879" i="1" s="1"/>
  <c r="W871" i="1"/>
  <c r="W862" i="1"/>
  <c r="W853" i="1"/>
  <c r="W845" i="1"/>
  <c r="W836" i="1"/>
  <c r="X836" i="1" s="1"/>
  <c r="W828" i="1"/>
  <c r="X828" i="1" s="1"/>
  <c r="W820" i="1"/>
  <c r="X820" i="1" s="1"/>
  <c r="W811" i="1"/>
  <c r="X811" i="1" s="1"/>
  <c r="W803" i="1"/>
  <c r="X803" i="1" s="1"/>
  <c r="W794" i="1"/>
  <c r="X794" i="1" s="1"/>
  <c r="W786" i="1"/>
  <c r="W777" i="1"/>
  <c r="W769" i="1"/>
  <c r="X769" i="1" s="1"/>
  <c r="W761" i="1"/>
  <c r="X761" i="1" s="1"/>
  <c r="W753" i="1"/>
  <c r="X753" i="1" s="1"/>
  <c r="W745" i="1"/>
  <c r="X745" i="1" s="1"/>
  <c r="W737" i="1"/>
  <c r="X737" i="1" s="1"/>
  <c r="W729" i="1"/>
  <c r="X729" i="1" s="1"/>
  <c r="W721" i="1"/>
  <c r="W712" i="1"/>
  <c r="W704" i="1"/>
  <c r="X704" i="1" s="1"/>
  <c r="W696" i="1"/>
  <c r="X696" i="1" s="1"/>
  <c r="W688" i="1"/>
  <c r="X688" i="1" s="1"/>
  <c r="W680" i="1"/>
  <c r="X680" i="1" s="1"/>
  <c r="W672" i="1"/>
  <c r="W664" i="1"/>
  <c r="X664" i="1" s="1"/>
  <c r="W656" i="1"/>
  <c r="W647" i="1"/>
  <c r="W639" i="1"/>
  <c r="X639" i="1" s="1"/>
  <c r="W630" i="1"/>
  <c r="X630" i="1" s="1"/>
  <c r="W622" i="1"/>
  <c r="X622" i="1" s="1"/>
  <c r="W614" i="1"/>
  <c r="X614" i="1" s="1"/>
  <c r="W606" i="1"/>
  <c r="X606" i="1" s="1"/>
  <c r="W598" i="1"/>
  <c r="X598" i="1" s="1"/>
  <c r="W590" i="1"/>
  <c r="W582" i="1"/>
  <c r="W574" i="1"/>
  <c r="X574" i="1" s="1"/>
  <c r="W566" i="1"/>
  <c r="X566" i="1" s="1"/>
  <c r="W558" i="1"/>
  <c r="X558" i="1" s="1"/>
  <c r="W550" i="1"/>
  <c r="X550" i="1" s="1"/>
  <c r="W542" i="1"/>
  <c r="X542" i="1" s="1"/>
  <c r="W534" i="1"/>
  <c r="W526" i="1"/>
  <c r="W518" i="1"/>
  <c r="W510" i="1"/>
  <c r="X510" i="1" s="1"/>
  <c r="W502" i="1"/>
  <c r="X502" i="1" s="1"/>
  <c r="W494" i="1"/>
  <c r="X494" i="1" s="1"/>
  <c r="W486" i="1"/>
  <c r="X486" i="1" s="1"/>
  <c r="W478" i="1"/>
  <c r="X478" i="1" s="1"/>
  <c r="W469" i="1"/>
  <c r="X469" i="1" s="1"/>
  <c r="W460" i="1"/>
  <c r="W452" i="1"/>
  <c r="W444" i="1"/>
  <c r="X444" i="1" s="1"/>
  <c r="W436" i="1"/>
  <c r="X436" i="1" s="1"/>
  <c r="W428" i="1"/>
  <c r="X428" i="1" s="1"/>
  <c r="W420" i="1"/>
  <c r="X420" i="1" s="1"/>
  <c r="W412" i="1"/>
  <c r="X412" i="1" s="1"/>
  <c r="W404" i="1"/>
  <c r="X404" i="1" s="1"/>
  <c r="W396" i="1"/>
  <c r="W388" i="1"/>
  <c r="W380" i="1"/>
  <c r="X380" i="1" s="1"/>
  <c r="W371" i="1"/>
  <c r="X371" i="1" s="1"/>
  <c r="W363" i="1"/>
  <c r="X363" i="1" s="1"/>
  <c r="W355" i="1"/>
  <c r="X355" i="1" s="1"/>
  <c r="W347" i="1"/>
  <c r="W339" i="1"/>
  <c r="X339" i="1" s="1"/>
  <c r="W331" i="1"/>
  <c r="W323" i="1"/>
  <c r="W315" i="1"/>
  <c r="X315" i="1" s="1"/>
  <c r="W307" i="1"/>
  <c r="X307" i="1" s="1"/>
  <c r="W298" i="1"/>
  <c r="X298" i="1" s="1"/>
  <c r="W290" i="1"/>
  <c r="X290" i="1" s="1"/>
  <c r="W282" i="1"/>
  <c r="X282" i="1" s="1"/>
  <c r="W274" i="1"/>
  <c r="X274" i="1" s="1"/>
  <c r="W266" i="1"/>
  <c r="X266" i="1" s="1"/>
  <c r="W256" i="1"/>
  <c r="W248" i="1"/>
  <c r="X248" i="1" s="1"/>
  <c r="W240" i="1"/>
  <c r="X240" i="1" s="1"/>
  <c r="W232" i="1"/>
  <c r="X232" i="1" s="1"/>
  <c r="W224" i="1"/>
  <c r="X224" i="1" s="1"/>
  <c r="W216" i="1"/>
  <c r="W208" i="1"/>
  <c r="X208" i="1" s="1"/>
  <c r="W200" i="1"/>
  <c r="W192" i="1"/>
  <c r="X192" i="1" s="1"/>
  <c r="W184" i="1"/>
  <c r="X184" i="1" s="1"/>
  <c r="W176" i="1"/>
  <c r="X176" i="1" s="1"/>
  <c r="W167" i="1"/>
  <c r="X167" i="1" s="1"/>
  <c r="W159" i="1"/>
  <c r="X159" i="1" s="1"/>
  <c r="W151" i="1"/>
  <c r="X151" i="1" s="1"/>
  <c r="W143" i="1"/>
  <c r="X143" i="1" s="1"/>
  <c r="W135" i="1"/>
  <c r="X135" i="1" s="1"/>
  <c r="W127" i="1"/>
  <c r="W119" i="1"/>
  <c r="X119" i="1" s="1"/>
  <c r="W111" i="1"/>
  <c r="X111" i="1" s="1"/>
  <c r="W103" i="1"/>
  <c r="X103" i="1" s="1"/>
  <c r="W95" i="1"/>
  <c r="X95" i="1" s="1"/>
  <c r="W87" i="1"/>
  <c r="W78" i="1"/>
  <c r="X78" i="1" s="1"/>
  <c r="W70" i="1"/>
  <c r="W62" i="1"/>
  <c r="X62" i="1" s="1"/>
  <c r="W54" i="1"/>
  <c r="X54" i="1" s="1"/>
  <c r="W46" i="1"/>
  <c r="X46" i="1" s="1"/>
  <c r="W37" i="1"/>
  <c r="X37" i="1" s="1"/>
  <c r="W1705" i="1"/>
  <c r="X1705" i="1" s="1"/>
  <c r="W1752" i="1"/>
  <c r="X1752" i="1" s="1"/>
  <c r="W1131" i="1"/>
  <c r="X1131" i="1" s="1"/>
  <c r="W1009" i="1"/>
  <c r="W860" i="1"/>
  <c r="W1889" i="1"/>
  <c r="X1889" i="1" s="1"/>
  <c r="W464" i="1"/>
  <c r="X464" i="1" s="1"/>
  <c r="W2001" i="1"/>
  <c r="W1993" i="1"/>
  <c r="X1993" i="1" s="1"/>
  <c r="W1985" i="1"/>
  <c r="W1977" i="1"/>
  <c r="W1969" i="1"/>
  <c r="W1961" i="1"/>
  <c r="W1953" i="1"/>
  <c r="W1945" i="1"/>
  <c r="W1937" i="1"/>
  <c r="W1929" i="1"/>
  <c r="X1929" i="1" s="1"/>
  <c r="W1921" i="1"/>
  <c r="W1912" i="1"/>
  <c r="W1904" i="1"/>
  <c r="W1896" i="1"/>
  <c r="W1886" i="1"/>
  <c r="W1878" i="1"/>
  <c r="W1870" i="1"/>
  <c r="W1861" i="1"/>
  <c r="X1861" i="1" s="1"/>
  <c r="W1853" i="1"/>
  <c r="W1844" i="1"/>
  <c r="W1836" i="1"/>
  <c r="W1828" i="1"/>
  <c r="W1820" i="1"/>
  <c r="W1812" i="1"/>
  <c r="W1804" i="1"/>
  <c r="W1796" i="1"/>
  <c r="X1796" i="1" s="1"/>
  <c r="W1787" i="1"/>
  <c r="W1779" i="1"/>
  <c r="W1771" i="1"/>
  <c r="W1763" i="1"/>
  <c r="W1755" i="1"/>
  <c r="W1746" i="1"/>
  <c r="W1737" i="1"/>
  <c r="W1729" i="1"/>
  <c r="X1729" i="1" s="1"/>
  <c r="W1721" i="1"/>
  <c r="X1721" i="1" s="1"/>
  <c r="W1713" i="1"/>
  <c r="X1713" i="1" s="1"/>
  <c r="W1704" i="1"/>
  <c r="X1704" i="1" s="1"/>
  <c r="W1696" i="1"/>
  <c r="X1696" i="1" s="1"/>
  <c r="W1687" i="1"/>
  <c r="X1687" i="1" s="1"/>
  <c r="W1678" i="1"/>
  <c r="X1678" i="1" s="1"/>
  <c r="W1670" i="1"/>
  <c r="X1670" i="1" s="1"/>
  <c r="W1662" i="1"/>
  <c r="X1662" i="1" s="1"/>
  <c r="W1654" i="1"/>
  <c r="X1654" i="1" s="1"/>
  <c r="W1646" i="1"/>
  <c r="X1646" i="1" s="1"/>
  <c r="W1638" i="1"/>
  <c r="X1638" i="1" s="1"/>
  <c r="W1630" i="1"/>
  <c r="X1630" i="1" s="1"/>
  <c r="W1622" i="1"/>
  <c r="X1622" i="1" s="1"/>
  <c r="W1614" i="1"/>
  <c r="X1614" i="1" s="1"/>
  <c r="W1606" i="1"/>
  <c r="X1606" i="1" s="1"/>
  <c r="W1597" i="1"/>
  <c r="X1597" i="1" s="1"/>
  <c r="W1589" i="1"/>
  <c r="X1589" i="1" s="1"/>
  <c r="W1580" i="1"/>
  <c r="X1580" i="1" s="1"/>
  <c r="W1572" i="1"/>
  <c r="W1564" i="1"/>
  <c r="X1564" i="1" s="1"/>
  <c r="W1556" i="1"/>
  <c r="X1556" i="1" s="1"/>
  <c r="W1548" i="1"/>
  <c r="X1548" i="1" s="1"/>
  <c r="W1539" i="1"/>
  <c r="X1539" i="1" s="1"/>
  <c r="W1531" i="1"/>
  <c r="X1531" i="1" s="1"/>
  <c r="W1523" i="1"/>
  <c r="X1523" i="1" s="1"/>
  <c r="W1515" i="1"/>
  <c r="X1515" i="1" s="1"/>
  <c r="W1507" i="1"/>
  <c r="X1507" i="1" s="1"/>
  <c r="W1498" i="1"/>
  <c r="X1498" i="1" s="1"/>
  <c r="W1490" i="1"/>
  <c r="X1490" i="1" s="1"/>
  <c r="W1481" i="1"/>
  <c r="X1481" i="1" s="1"/>
  <c r="W1473" i="1"/>
  <c r="X1473" i="1" s="1"/>
  <c r="W1465" i="1"/>
  <c r="X1465" i="1" s="1"/>
  <c r="W1457" i="1"/>
  <c r="X1457" i="1" s="1"/>
  <c r="W1449" i="1"/>
  <c r="X1449" i="1" s="1"/>
  <c r="W1441" i="1"/>
  <c r="X1441" i="1" s="1"/>
  <c r="W1432" i="1"/>
  <c r="W1424" i="1"/>
  <c r="X1424" i="1" s="1"/>
  <c r="W1415" i="1"/>
  <c r="X1415" i="1" s="1"/>
  <c r="W1407" i="1"/>
  <c r="X1407" i="1" s="1"/>
  <c r="W1398" i="1"/>
  <c r="X1398" i="1" s="1"/>
  <c r="W1390" i="1"/>
  <c r="X1390" i="1" s="1"/>
  <c r="W1382" i="1"/>
  <c r="X1382" i="1" s="1"/>
  <c r="W1374" i="1"/>
  <c r="X1374" i="1" s="1"/>
  <c r="W1366" i="1"/>
  <c r="W1358" i="1"/>
  <c r="X1358" i="1" s="1"/>
  <c r="W1350" i="1"/>
  <c r="X1350" i="1" s="1"/>
  <c r="W1342" i="1"/>
  <c r="X1342" i="1" s="1"/>
  <c r="W1334" i="1"/>
  <c r="X1334" i="1" s="1"/>
  <c r="W1325" i="1"/>
  <c r="X1325" i="1" s="1"/>
  <c r="W1317" i="1"/>
  <c r="X1317" i="1" s="1"/>
  <c r="W1309" i="1"/>
  <c r="X1309" i="1" s="1"/>
  <c r="W1301" i="1"/>
  <c r="X1301" i="1" s="1"/>
  <c r="W1293" i="1"/>
  <c r="X1293" i="1" s="1"/>
  <c r="W1285" i="1"/>
  <c r="X1285" i="1" s="1"/>
  <c r="W1277" i="1"/>
  <c r="X1277" i="1" s="1"/>
  <c r="W1269" i="1"/>
  <c r="X1269" i="1" s="1"/>
  <c r="W1261" i="1"/>
  <c r="X1261" i="1" s="1"/>
  <c r="W1253" i="1"/>
  <c r="X1253" i="1" s="1"/>
  <c r="W1245" i="1"/>
  <c r="X1245" i="1" s="1"/>
  <c r="W1237" i="1"/>
  <c r="X1237" i="1" s="1"/>
  <c r="W1229" i="1"/>
  <c r="X1229" i="1" s="1"/>
  <c r="W1221" i="1"/>
  <c r="X1221" i="1" s="1"/>
  <c r="W1212" i="1"/>
  <c r="X1212" i="1" s="1"/>
  <c r="W1203" i="1"/>
  <c r="X1203" i="1" s="1"/>
  <c r="W1195" i="1"/>
  <c r="X1195" i="1" s="1"/>
  <c r="W1187" i="1"/>
  <c r="X1187" i="1" s="1"/>
  <c r="W1179" i="1"/>
  <c r="W1171" i="1"/>
  <c r="X1171" i="1" s="1"/>
  <c r="W1163" i="1"/>
  <c r="X1163" i="1" s="1"/>
  <c r="W1155" i="1"/>
  <c r="X1155" i="1" s="1"/>
  <c r="W1147" i="1"/>
  <c r="X1147" i="1" s="1"/>
  <c r="W1139" i="1"/>
  <c r="X1139" i="1" s="1"/>
  <c r="W1130" i="1"/>
  <c r="X1130" i="1" s="1"/>
  <c r="W1122" i="1"/>
  <c r="X1122" i="1" s="1"/>
  <c r="W1114" i="1"/>
  <c r="X1114" i="1" s="1"/>
  <c r="W1106" i="1"/>
  <c r="X1106" i="1" s="1"/>
  <c r="W1098" i="1"/>
  <c r="X1098" i="1" s="1"/>
  <c r="W1090" i="1"/>
  <c r="X1090" i="1" s="1"/>
  <c r="W1082" i="1"/>
  <c r="X1082" i="1" s="1"/>
  <c r="W1074" i="1"/>
  <c r="X1074" i="1" s="1"/>
  <c r="W1066" i="1"/>
  <c r="X1066" i="1" s="1"/>
  <c r="W1058" i="1"/>
  <c r="X1058" i="1" s="1"/>
  <c r="W1050" i="1"/>
  <c r="W1042" i="1"/>
  <c r="X1042" i="1" s="1"/>
  <c r="W1033" i="1"/>
  <c r="X1033" i="1" s="1"/>
  <c r="W1025" i="1"/>
  <c r="X1025" i="1" s="1"/>
  <c r="W1017" i="1"/>
  <c r="X1017" i="1" s="1"/>
  <c r="W1008" i="1"/>
  <c r="X1008" i="1" s="1"/>
  <c r="W1000" i="1"/>
  <c r="X1000" i="1" s="1"/>
  <c r="W992" i="1"/>
  <c r="X992" i="1" s="1"/>
  <c r="W984" i="1"/>
  <c r="X984" i="1" s="1"/>
  <c r="W976" i="1"/>
  <c r="X976" i="1" s="1"/>
  <c r="W968" i="1"/>
  <c r="X968" i="1" s="1"/>
  <c r="W959" i="1"/>
  <c r="X959" i="1" s="1"/>
  <c r="W951" i="1"/>
  <c r="X951" i="1" s="1"/>
  <c r="W942" i="1"/>
  <c r="X942" i="1" s="1"/>
  <c r="W934" i="1"/>
  <c r="W926" i="1"/>
  <c r="X926" i="1" s="1"/>
  <c r="W918" i="1"/>
  <c r="X918" i="1" s="1"/>
  <c r="W910" i="1"/>
  <c r="X910" i="1" s="1"/>
  <c r="W902" i="1"/>
  <c r="X902" i="1" s="1"/>
  <c r="W894" i="1"/>
  <c r="X894" i="1" s="1"/>
  <c r="W886" i="1"/>
  <c r="X886" i="1" s="1"/>
  <c r="W878" i="1"/>
  <c r="X878" i="1" s="1"/>
  <c r="W870" i="1"/>
  <c r="X870" i="1" s="1"/>
  <c r="W861" i="1"/>
  <c r="X861" i="1" s="1"/>
  <c r="W852" i="1"/>
  <c r="X852" i="1" s="1"/>
  <c r="W844" i="1"/>
  <c r="X844" i="1" s="1"/>
  <c r="W835" i="1"/>
  <c r="X835" i="1" s="1"/>
  <c r="W827" i="1"/>
  <c r="X827" i="1" s="1"/>
  <c r="W818" i="1"/>
  <c r="X818" i="1" s="1"/>
  <c r="W810" i="1"/>
  <c r="X810" i="1" s="1"/>
  <c r="W802" i="1"/>
  <c r="X802" i="1" s="1"/>
  <c r="W793" i="1"/>
  <c r="X793" i="1" s="1"/>
  <c r="W785" i="1"/>
  <c r="X785" i="1" s="1"/>
  <c r="W776" i="1"/>
  <c r="X776" i="1" s="1"/>
  <c r="W768" i="1"/>
  <c r="X768" i="1" s="1"/>
  <c r="W760" i="1"/>
  <c r="X760" i="1" s="1"/>
  <c r="W752" i="1"/>
  <c r="X752" i="1" s="1"/>
  <c r="W744" i="1"/>
  <c r="X744" i="1" s="1"/>
  <c r="W736" i="1"/>
  <c r="X736" i="1" s="1"/>
  <c r="W728" i="1"/>
  <c r="X728" i="1" s="1"/>
  <c r="W719" i="1"/>
  <c r="X719" i="1" s="1"/>
  <c r="W711" i="1"/>
  <c r="X711" i="1" s="1"/>
  <c r="W703" i="1"/>
  <c r="X703" i="1" s="1"/>
  <c r="W695" i="1"/>
  <c r="X695" i="1" s="1"/>
  <c r="W687" i="1"/>
  <c r="X687" i="1" s="1"/>
  <c r="W679" i="1"/>
  <c r="X679" i="1" s="1"/>
  <c r="W671" i="1"/>
  <c r="W663" i="1"/>
  <c r="X663" i="1" s="1"/>
  <c r="W655" i="1"/>
  <c r="X655" i="1" s="1"/>
  <c r="W646" i="1"/>
  <c r="X646" i="1" s="1"/>
  <c r="W638" i="1"/>
  <c r="X638" i="1" s="1"/>
  <c r="W629" i="1"/>
  <c r="X629" i="1" s="1"/>
  <c r="W621" i="1"/>
  <c r="X621" i="1" s="1"/>
  <c r="W613" i="1"/>
  <c r="X613" i="1" s="1"/>
  <c r="W605" i="1"/>
  <c r="X605" i="1" s="1"/>
  <c r="W597" i="1"/>
  <c r="X597" i="1" s="1"/>
  <c r="W589" i="1"/>
  <c r="X589" i="1" s="1"/>
  <c r="W581" i="1"/>
  <c r="X581" i="1" s="1"/>
  <c r="W573" i="1"/>
  <c r="X573" i="1" s="1"/>
  <c r="W565" i="1"/>
  <c r="X565" i="1" s="1"/>
  <c r="W557" i="1"/>
  <c r="X557" i="1" s="1"/>
  <c r="W549" i="1"/>
  <c r="X549" i="1" s="1"/>
  <c r="W541" i="1"/>
  <c r="X541" i="1" s="1"/>
  <c r="W533" i="1"/>
  <c r="X533" i="1" s="1"/>
  <c r="W525" i="1"/>
  <c r="X525" i="1" s="1"/>
  <c r="W517" i="1"/>
  <c r="X517" i="1" s="1"/>
  <c r="W509" i="1"/>
  <c r="X509" i="1" s="1"/>
  <c r="W501" i="1"/>
  <c r="X501" i="1" s="1"/>
  <c r="W493" i="1"/>
  <c r="X493" i="1" s="1"/>
  <c r="W485" i="1"/>
  <c r="X485" i="1" s="1"/>
  <c r="W477" i="1"/>
  <c r="X477" i="1" s="1"/>
  <c r="W468" i="1"/>
  <c r="X468" i="1" s="1"/>
  <c r="W459" i="1"/>
  <c r="X459" i="1" s="1"/>
  <c r="W451" i="1"/>
  <c r="X451" i="1" s="1"/>
  <c r="W443" i="1"/>
  <c r="X443" i="1" s="1"/>
  <c r="W435" i="1"/>
  <c r="X435" i="1" s="1"/>
  <c r="W427" i="1"/>
  <c r="X427" i="1" s="1"/>
  <c r="W419" i="1"/>
  <c r="X419" i="1" s="1"/>
  <c r="W411" i="1"/>
  <c r="X411" i="1" s="1"/>
  <c r="W403" i="1"/>
  <c r="X403" i="1" s="1"/>
  <c r="W395" i="1"/>
  <c r="X395" i="1" s="1"/>
  <c r="W387" i="1"/>
  <c r="X387" i="1" s="1"/>
  <c r="W379" i="1"/>
  <c r="X379" i="1" s="1"/>
  <c r="W370" i="1"/>
  <c r="X370" i="1" s="1"/>
  <c r="W362" i="1"/>
  <c r="X362" i="1" s="1"/>
  <c r="W354" i="1"/>
  <c r="X354" i="1" s="1"/>
  <c r="W2000" i="1"/>
  <c r="X2000" i="1" s="1"/>
  <c r="W1992" i="1"/>
  <c r="X1992" i="1" s="1"/>
  <c r="W1984" i="1"/>
  <c r="X1984" i="1" s="1"/>
  <c r="W1976" i="1"/>
  <c r="W1968" i="1"/>
  <c r="X1968" i="1" s="1"/>
  <c r="W1960" i="1"/>
  <c r="X1960" i="1" s="1"/>
  <c r="W1952" i="1"/>
  <c r="X1952" i="1" s="1"/>
  <c r="W1944" i="1"/>
  <c r="X1944" i="1" s="1"/>
  <c r="W1936" i="1"/>
  <c r="X1936" i="1" s="1"/>
  <c r="W1928" i="1"/>
  <c r="X1928" i="1" s="1"/>
  <c r="W1920" i="1"/>
  <c r="X1920" i="1" s="1"/>
  <c r="W1911" i="1"/>
  <c r="W1903" i="1"/>
  <c r="X1903" i="1" s="1"/>
  <c r="W1895" i="1"/>
  <c r="X1895" i="1" s="1"/>
  <c r="W1885" i="1"/>
  <c r="X1885" i="1" s="1"/>
  <c r="W1877" i="1"/>
  <c r="X1877" i="1" s="1"/>
  <c r="W1869" i="1"/>
  <c r="X1869" i="1" s="1"/>
  <c r="W1860" i="1"/>
  <c r="X1860" i="1" s="1"/>
  <c r="W1852" i="1"/>
  <c r="X1852" i="1" s="1"/>
  <c r="W1843" i="1"/>
  <c r="X1843" i="1" s="1"/>
  <c r="W1835" i="1"/>
  <c r="X1835" i="1" s="1"/>
  <c r="W1827" i="1"/>
  <c r="X1827" i="1" s="1"/>
  <c r="W1819" i="1"/>
  <c r="X1819" i="1" s="1"/>
  <c r="W1811" i="1"/>
  <c r="X1811" i="1" s="1"/>
  <c r="W1803" i="1"/>
  <c r="X1803" i="1" s="1"/>
  <c r="W1795" i="1"/>
  <c r="X1795" i="1" s="1"/>
  <c r="W1786" i="1"/>
  <c r="X1786" i="1" s="1"/>
  <c r="W1778" i="1"/>
  <c r="X1778" i="1" s="1"/>
  <c r="W1770" i="1"/>
  <c r="X1770" i="1" s="1"/>
  <c r="W1762" i="1"/>
  <c r="X1762" i="1" s="1"/>
  <c r="W1754" i="1"/>
  <c r="X1754" i="1" s="1"/>
  <c r="W1745" i="1"/>
  <c r="X1745" i="1" s="1"/>
  <c r="W1736" i="1"/>
  <c r="X1736" i="1" s="1"/>
  <c r="W1728" i="1"/>
  <c r="X1728" i="1" s="1"/>
  <c r="W1720" i="1"/>
  <c r="X1720" i="1" s="1"/>
  <c r="W1712" i="1"/>
  <c r="X1712" i="1" s="1"/>
  <c r="W1703" i="1"/>
  <c r="X1703" i="1" s="1"/>
  <c r="W1695" i="1"/>
  <c r="X1695" i="1" s="1"/>
  <c r="W1686" i="1"/>
  <c r="X1686" i="1" s="1"/>
  <c r="W1677" i="1"/>
  <c r="X1677" i="1" s="1"/>
  <c r="W1669" i="1"/>
  <c r="X1669" i="1" s="1"/>
  <c r="W1661" i="1"/>
  <c r="X1661" i="1" s="1"/>
  <c r="W1653" i="1"/>
  <c r="X1653" i="1" s="1"/>
  <c r="W1645" i="1"/>
  <c r="X1645" i="1" s="1"/>
  <c r="W1637" i="1"/>
  <c r="X1637" i="1" s="1"/>
  <c r="W1629" i="1"/>
  <c r="X1629" i="1" s="1"/>
  <c r="W1621" i="1"/>
  <c r="X1621" i="1" s="1"/>
  <c r="W1613" i="1"/>
  <c r="X1613" i="1" s="1"/>
  <c r="W1605" i="1"/>
  <c r="X1605" i="1" s="1"/>
  <c r="W1596" i="1"/>
  <c r="X1596" i="1" s="1"/>
  <c r="W1588" i="1"/>
  <c r="X1588" i="1" s="1"/>
  <c r="W1579" i="1"/>
  <c r="W1571" i="1"/>
  <c r="X1571" i="1" s="1"/>
  <c r="W1563" i="1"/>
  <c r="X1563" i="1" s="1"/>
  <c r="W1555" i="1"/>
  <c r="X1555" i="1" s="1"/>
  <c r="W1547" i="1"/>
  <c r="X1547" i="1" s="1"/>
  <c r="W1538" i="1"/>
  <c r="X1538" i="1" s="1"/>
  <c r="W1530" i="1"/>
  <c r="X1530" i="1" s="1"/>
  <c r="W1522" i="1"/>
  <c r="X1522" i="1" s="1"/>
  <c r="W1514" i="1"/>
  <c r="X1514" i="1" s="1"/>
  <c r="W1506" i="1"/>
  <c r="X1506" i="1" s="1"/>
  <c r="W1497" i="1"/>
  <c r="X1497" i="1" s="1"/>
  <c r="W1489" i="1"/>
  <c r="X1489" i="1" s="1"/>
  <c r="W1480" i="1"/>
  <c r="X1480" i="1" s="1"/>
  <c r="W1472" i="1"/>
  <c r="X1472" i="1" s="1"/>
  <c r="W1464" i="1"/>
  <c r="X1464" i="1" s="1"/>
  <c r="W1456" i="1"/>
  <c r="X1456" i="1" s="1"/>
  <c r="W1448" i="1"/>
  <c r="X1448" i="1" s="1"/>
  <c r="W1440" i="1"/>
  <c r="X1440" i="1" s="1"/>
  <c r="W1431" i="1"/>
  <c r="X1431" i="1" s="1"/>
  <c r="W1423" i="1"/>
  <c r="X1423" i="1" s="1"/>
  <c r="W1414" i="1"/>
  <c r="X1414" i="1" s="1"/>
  <c r="W1406" i="1"/>
  <c r="X1406" i="1" s="1"/>
  <c r="W1397" i="1"/>
  <c r="X1397" i="1" s="1"/>
  <c r="W1389" i="1"/>
  <c r="X1389" i="1" s="1"/>
  <c r="W1381" i="1"/>
  <c r="W1373" i="1"/>
  <c r="X1373" i="1" s="1"/>
  <c r="W1365" i="1"/>
  <c r="X1365" i="1" s="1"/>
  <c r="W1357" i="1"/>
  <c r="X1357" i="1" s="1"/>
  <c r="W1349" i="1"/>
  <c r="X1349" i="1" s="1"/>
  <c r="W1341" i="1"/>
  <c r="X1341" i="1" s="1"/>
  <c r="W1333" i="1"/>
  <c r="X1333" i="1" s="1"/>
  <c r="W1324" i="1"/>
  <c r="X1324" i="1" s="1"/>
  <c r="W1316" i="1"/>
  <c r="W1308" i="1"/>
  <c r="X1308" i="1" s="1"/>
  <c r="W1300" i="1"/>
  <c r="X1300" i="1" s="1"/>
  <c r="W1292" i="1"/>
  <c r="X1292" i="1" s="1"/>
  <c r="W1284" i="1"/>
  <c r="X1284" i="1" s="1"/>
  <c r="W1276" i="1"/>
  <c r="X1276" i="1" s="1"/>
  <c r="W1268" i="1"/>
  <c r="X1268" i="1" s="1"/>
  <c r="W1260" i="1"/>
  <c r="X1260" i="1" s="1"/>
  <c r="W1252" i="1"/>
  <c r="X1252" i="1" s="1"/>
  <c r="W1244" i="1"/>
  <c r="X1244" i="1" s="1"/>
  <c r="W1236" i="1"/>
  <c r="X1236" i="1" s="1"/>
  <c r="W1228" i="1"/>
  <c r="X1228" i="1" s="1"/>
  <c r="W1220" i="1"/>
  <c r="X1220" i="1" s="1"/>
  <c r="W1211" i="1"/>
  <c r="X1211" i="1" s="1"/>
  <c r="W1202" i="1"/>
  <c r="X1202" i="1" s="1"/>
  <c r="W1194" i="1"/>
  <c r="X1194" i="1" s="1"/>
  <c r="W1186" i="1"/>
  <c r="X1186" i="1" s="1"/>
  <c r="W1178" i="1"/>
  <c r="X1178" i="1" s="1"/>
  <c r="W1170" i="1"/>
  <c r="X1170" i="1" s="1"/>
  <c r="W1162" i="1"/>
  <c r="X1162" i="1" s="1"/>
  <c r="W1154" i="1"/>
  <c r="X1154" i="1" s="1"/>
  <c r="W1146" i="1"/>
  <c r="X1146" i="1" s="1"/>
  <c r="W1138" i="1"/>
  <c r="X1138" i="1" s="1"/>
  <c r="W1129" i="1"/>
  <c r="X1129" i="1" s="1"/>
  <c r="W1121" i="1"/>
  <c r="X1121" i="1" s="1"/>
  <c r="W1113" i="1"/>
  <c r="X1113" i="1" s="1"/>
  <c r="W1105" i="1"/>
  <c r="X1105" i="1" s="1"/>
  <c r="W1097" i="1"/>
  <c r="X1097" i="1" s="1"/>
  <c r="W1089" i="1"/>
  <c r="X1089" i="1" s="1"/>
  <c r="W1081" i="1"/>
  <c r="X1081" i="1" s="1"/>
  <c r="W1073" i="1"/>
  <c r="X1073" i="1" s="1"/>
  <c r="W1065" i="1"/>
  <c r="X1065" i="1" s="1"/>
  <c r="W1057" i="1"/>
  <c r="X1057" i="1" s="1"/>
  <c r="W1049" i="1"/>
  <c r="X1049" i="1" s="1"/>
  <c r="W1040" i="1"/>
  <c r="X1040" i="1" s="1"/>
  <c r="W1032" i="1"/>
  <c r="X1032" i="1" s="1"/>
  <c r="W1024" i="1"/>
  <c r="X1024" i="1" s="1"/>
  <c r="W1016" i="1"/>
  <c r="X1016" i="1" s="1"/>
  <c r="W1007" i="1"/>
  <c r="X1007" i="1" s="1"/>
  <c r="W999" i="1"/>
  <c r="X999" i="1" s="1"/>
  <c r="W991" i="1"/>
  <c r="X991" i="1" s="1"/>
  <c r="W983" i="1"/>
  <c r="X983" i="1" s="1"/>
  <c r="W975" i="1"/>
  <c r="X975" i="1" s="1"/>
  <c r="W967" i="1"/>
  <c r="X967" i="1" s="1"/>
  <c r="W958" i="1"/>
  <c r="X958" i="1" s="1"/>
  <c r="W950" i="1"/>
  <c r="X950" i="1" s="1"/>
  <c r="W941" i="1"/>
  <c r="X941" i="1" s="1"/>
  <c r="W933" i="1"/>
  <c r="X933" i="1" s="1"/>
  <c r="W925" i="1"/>
  <c r="W917" i="1"/>
  <c r="X917" i="1" s="1"/>
  <c r="W909" i="1"/>
  <c r="X909" i="1" s="1"/>
  <c r="W901" i="1"/>
  <c r="X901" i="1" s="1"/>
  <c r="W893" i="1"/>
  <c r="X893" i="1" s="1"/>
  <c r="W885" i="1"/>
  <c r="X885" i="1" s="1"/>
  <c r="W877" i="1"/>
  <c r="X877" i="1" s="1"/>
  <c r="W869" i="1"/>
  <c r="X869" i="1" s="1"/>
  <c r="W859" i="1"/>
  <c r="X859" i="1" s="1"/>
  <c r="W851" i="1"/>
  <c r="X851" i="1" s="1"/>
  <c r="W843" i="1"/>
  <c r="X843" i="1" s="1"/>
  <c r="W834" i="1"/>
  <c r="X834" i="1" s="1"/>
  <c r="W826" i="1"/>
  <c r="X826" i="1" s="1"/>
  <c r="W817" i="1"/>
  <c r="X817" i="1" s="1"/>
  <c r="W809" i="1"/>
  <c r="X809" i="1" s="1"/>
  <c r="W801" i="1"/>
  <c r="X801" i="1" s="1"/>
  <c r="W792" i="1"/>
  <c r="X792" i="1" s="1"/>
  <c r="W784" i="1"/>
  <c r="X784" i="1" s="1"/>
  <c r="W775" i="1"/>
  <c r="X775" i="1" s="1"/>
  <c r="W767" i="1"/>
  <c r="X767" i="1" s="1"/>
  <c r="W759" i="1"/>
  <c r="X759" i="1" s="1"/>
  <c r="W751" i="1"/>
  <c r="X751" i="1" s="1"/>
  <c r="W743" i="1"/>
  <c r="X743" i="1" s="1"/>
  <c r="W735" i="1"/>
  <c r="X735" i="1" s="1"/>
  <c r="W727" i="1"/>
  <c r="X727" i="1" s="1"/>
  <c r="W718" i="1"/>
  <c r="X718" i="1" s="1"/>
  <c r="W710" i="1"/>
  <c r="X710" i="1" s="1"/>
  <c r="W702" i="1"/>
  <c r="X702" i="1" s="1"/>
  <c r="W694" i="1"/>
  <c r="X694" i="1" s="1"/>
  <c r="W686" i="1"/>
  <c r="X686" i="1" s="1"/>
  <c r="W678" i="1"/>
  <c r="X678" i="1" s="1"/>
  <c r="W670" i="1"/>
  <c r="X670" i="1" s="1"/>
  <c r="W662" i="1"/>
  <c r="X662" i="1" s="1"/>
  <c r="W654" i="1"/>
  <c r="X654" i="1" s="1"/>
  <c r="W645" i="1"/>
  <c r="X645" i="1" s="1"/>
  <c r="W637" i="1"/>
  <c r="X637" i="1" s="1"/>
  <c r="W628" i="1"/>
  <c r="X628" i="1" s="1"/>
  <c r="W620" i="1"/>
  <c r="X620" i="1" s="1"/>
  <c r="W612" i="1"/>
  <c r="X612" i="1" s="1"/>
  <c r="W604" i="1"/>
  <c r="X604" i="1" s="1"/>
  <c r="W596" i="1"/>
  <c r="X596" i="1" s="1"/>
  <c r="W588" i="1"/>
  <c r="X588" i="1" s="1"/>
  <c r="W580" i="1"/>
  <c r="X580" i="1" s="1"/>
  <c r="W572" i="1"/>
  <c r="X572" i="1" s="1"/>
  <c r="W564" i="1"/>
  <c r="X564" i="1" s="1"/>
  <c r="W556" i="1"/>
  <c r="X556" i="1" s="1"/>
  <c r="W548" i="1"/>
  <c r="X548" i="1" s="1"/>
  <c r="W540" i="1"/>
  <c r="X540" i="1" s="1"/>
  <c r="W532" i="1"/>
  <c r="X532" i="1" s="1"/>
  <c r="W524" i="1"/>
  <c r="X524" i="1" s="1"/>
  <c r="W516" i="1"/>
  <c r="X516" i="1" s="1"/>
  <c r="W508" i="1"/>
  <c r="X508" i="1" s="1"/>
  <c r="W500" i="1"/>
  <c r="X500" i="1" s="1"/>
  <c r="W492" i="1"/>
  <c r="X492" i="1" s="1"/>
  <c r="W484" i="1"/>
  <c r="X484" i="1" s="1"/>
  <c r="W476" i="1"/>
  <c r="X476" i="1" s="1"/>
  <c r="W467" i="1"/>
  <c r="W458" i="1"/>
  <c r="X458" i="1" s="1"/>
  <c r="W450" i="1"/>
  <c r="X450" i="1" s="1"/>
  <c r="W442" i="1"/>
  <c r="X442" i="1" s="1"/>
  <c r="W434" i="1"/>
  <c r="X434" i="1" s="1"/>
  <c r="W426" i="1"/>
  <c r="X426" i="1" s="1"/>
  <c r="W418" i="1"/>
  <c r="X418" i="1" s="1"/>
  <c r="W410" i="1"/>
  <c r="X410" i="1" s="1"/>
  <c r="W402" i="1"/>
  <c r="X402" i="1" s="1"/>
  <c r="W394" i="1"/>
  <c r="X394" i="1" s="1"/>
  <c r="W386" i="1"/>
  <c r="X386" i="1" s="1"/>
  <c r="W378" i="1"/>
  <c r="X378" i="1" s="1"/>
  <c r="W369" i="1"/>
  <c r="X369" i="1" s="1"/>
  <c r="W361" i="1"/>
  <c r="X361" i="1" s="1"/>
  <c r="W353" i="1"/>
  <c r="X353" i="1" s="1"/>
  <c r="W345" i="1"/>
  <c r="X345" i="1" s="1"/>
  <c r="W337" i="1"/>
  <c r="X337" i="1" s="1"/>
  <c r="W329" i="1"/>
  <c r="X329" i="1" s="1"/>
  <c r="W321" i="1"/>
  <c r="X321" i="1" s="1"/>
  <c r="W313" i="1"/>
  <c r="X313" i="1" s="1"/>
  <c r="W304" i="1"/>
  <c r="X304" i="1" s="1"/>
  <c r="W296" i="1"/>
  <c r="X296" i="1" s="1"/>
  <c r="W288" i="1"/>
  <c r="X288" i="1" s="1"/>
  <c r="W280" i="1"/>
  <c r="X280" i="1" s="1"/>
  <c r="W272" i="1"/>
  <c r="W264" i="1"/>
  <c r="X264" i="1" s="1"/>
  <c r="W254" i="1"/>
  <c r="X254" i="1" s="1"/>
  <c r="W246" i="1"/>
  <c r="X246" i="1" s="1"/>
  <c r="W238" i="1"/>
  <c r="X238" i="1" s="1"/>
  <c r="W230" i="1"/>
  <c r="X230" i="1" s="1"/>
  <c r="W222" i="1"/>
  <c r="X222" i="1" s="1"/>
  <c r="W214" i="1"/>
  <c r="X214" i="1" s="1"/>
  <c r="W206" i="1"/>
  <c r="X206" i="1" s="1"/>
  <c r="W198" i="1"/>
  <c r="X198" i="1" s="1"/>
  <c r="W190" i="1"/>
  <c r="X190" i="1" s="1"/>
  <c r="W182" i="1"/>
  <c r="X182" i="1" s="1"/>
  <c r="W174" i="1"/>
  <c r="X174" i="1" s="1"/>
  <c r="W165" i="1"/>
  <c r="X165" i="1" s="1"/>
  <c r="W157" i="1"/>
  <c r="X157" i="1" s="1"/>
  <c r="W149" i="1"/>
  <c r="X149" i="1" s="1"/>
  <c r="W141" i="1"/>
  <c r="X141" i="1" s="1"/>
  <c r="W133" i="1"/>
  <c r="X133" i="1" s="1"/>
  <c r="W125" i="1"/>
  <c r="X125" i="1" s="1"/>
  <c r="W117" i="1"/>
  <c r="X117" i="1" s="1"/>
  <c r="W109" i="1"/>
  <c r="X109" i="1" s="1"/>
  <c r="W101" i="1"/>
  <c r="X101" i="1" s="1"/>
  <c r="W93" i="1"/>
  <c r="X93" i="1" s="1"/>
  <c r="W85" i="1"/>
  <c r="X85" i="1" s="1"/>
  <c r="W76" i="1"/>
  <c r="X76" i="1" s="1"/>
  <c r="W68" i="1"/>
  <c r="X68" i="1" s="1"/>
  <c r="W60" i="1"/>
  <c r="X60" i="1" s="1"/>
  <c r="W52" i="1"/>
  <c r="X52" i="1" s="1"/>
  <c r="W44" i="1"/>
  <c r="X44" i="1" s="1"/>
  <c r="W35" i="1"/>
  <c r="X35" i="1" s="1"/>
  <c r="W26" i="1"/>
  <c r="X26" i="1" s="1"/>
  <c r="W18" i="1"/>
  <c r="X18" i="1" s="1"/>
  <c r="W10" i="1"/>
  <c r="X10" i="1" s="1"/>
  <c r="W964" i="1"/>
  <c r="X964" i="1" s="1"/>
  <c r="W782" i="1"/>
  <c r="X782" i="1" s="1"/>
  <c r="W1582" i="1"/>
  <c r="X1582" i="1" s="1"/>
  <c r="W949" i="1"/>
  <c r="X949" i="1" s="1"/>
  <c r="W261" i="1"/>
  <c r="X261" i="1" s="1"/>
  <c r="W633" i="1"/>
  <c r="X633" i="1" s="1"/>
  <c r="W1999" i="1"/>
  <c r="W1991" i="1"/>
  <c r="W1983" i="1"/>
  <c r="W1975" i="1"/>
  <c r="W1967" i="1"/>
  <c r="W1959" i="1"/>
  <c r="W1951" i="1"/>
  <c r="W1943" i="1"/>
  <c r="W1935" i="1"/>
  <c r="W1927" i="1"/>
  <c r="W1919" i="1"/>
  <c r="W1910" i="1"/>
  <c r="W1902" i="1"/>
  <c r="W1893" i="1"/>
  <c r="W1884" i="1"/>
  <c r="W1876" i="1"/>
  <c r="W1868" i="1"/>
  <c r="W1859" i="1"/>
  <c r="W1850" i="1"/>
  <c r="W1842" i="1"/>
  <c r="W1834" i="1"/>
  <c r="W1826" i="1"/>
  <c r="W1818" i="1"/>
  <c r="W1810" i="1"/>
  <c r="W1802" i="1"/>
  <c r="W1794" i="1"/>
  <c r="W1785" i="1"/>
  <c r="W1777" i="1"/>
  <c r="W1769" i="1"/>
  <c r="W1761" i="1"/>
  <c r="W1753" i="1"/>
  <c r="W1744" i="1"/>
  <c r="W1735" i="1"/>
  <c r="X1735" i="1" s="1"/>
  <c r="W1727" i="1"/>
  <c r="W1719" i="1"/>
  <c r="W1711" i="1"/>
  <c r="W1702" i="1"/>
  <c r="W1694" i="1"/>
  <c r="W1685" i="1"/>
  <c r="W1676" i="1"/>
  <c r="W1668" i="1"/>
  <c r="W1660" i="1"/>
  <c r="W1652" i="1"/>
  <c r="W1644" i="1"/>
  <c r="W1636" i="1"/>
  <c r="W1628" i="1"/>
  <c r="W1620" i="1"/>
  <c r="W1612" i="1"/>
  <c r="W1603" i="1"/>
  <c r="W1595" i="1"/>
  <c r="W1587" i="1"/>
  <c r="W1578" i="1"/>
  <c r="W1570" i="1"/>
  <c r="W1562" i="1"/>
  <c r="W1554" i="1"/>
  <c r="W1545" i="1"/>
  <c r="W1537" i="1"/>
  <c r="W1529" i="1"/>
  <c r="W1521" i="1"/>
  <c r="W1513" i="1"/>
  <c r="W1505" i="1"/>
  <c r="W1496" i="1"/>
  <c r="W1488" i="1"/>
  <c r="W1479" i="1"/>
  <c r="W1471" i="1"/>
  <c r="X1471" i="1" s="1"/>
  <c r="W1463" i="1"/>
  <c r="W1455" i="1"/>
  <c r="W1447" i="1"/>
  <c r="W1439" i="1"/>
  <c r="W1430" i="1"/>
  <c r="W1422" i="1"/>
  <c r="W1413" i="1"/>
  <c r="X1413" i="1" s="1"/>
  <c r="W1405" i="1"/>
  <c r="W1396" i="1"/>
  <c r="W1388" i="1"/>
  <c r="W1380" i="1"/>
  <c r="W1372" i="1"/>
  <c r="W1364" i="1"/>
  <c r="W1356" i="1"/>
  <c r="W1348" i="1"/>
  <c r="W1340" i="1"/>
  <c r="W1331" i="1"/>
  <c r="W1323" i="1"/>
  <c r="W1315" i="1"/>
  <c r="W1307" i="1"/>
  <c r="W1299" i="1"/>
  <c r="W1291" i="1"/>
  <c r="W1283" i="1"/>
  <c r="W1275" i="1"/>
  <c r="W1267" i="1"/>
  <c r="W1259" i="1"/>
  <c r="W1251" i="1"/>
  <c r="W1243" i="1"/>
  <c r="W1235" i="1"/>
  <c r="W1227" i="1"/>
  <c r="W1219" i="1"/>
  <c r="W1210" i="1"/>
  <c r="X1210" i="1" s="1"/>
  <c r="W1201" i="1"/>
  <c r="W1193" i="1"/>
  <c r="W1185" i="1"/>
  <c r="W1177" i="1"/>
  <c r="W1169" i="1"/>
  <c r="W1161" i="1"/>
  <c r="W1153" i="1"/>
  <c r="W1145" i="1"/>
  <c r="W1137" i="1"/>
  <c r="W1128" i="1"/>
  <c r="W1120" i="1"/>
  <c r="W1112" i="1"/>
  <c r="W1104" i="1"/>
  <c r="W1096" i="1"/>
  <c r="W1088" i="1"/>
  <c r="W1080" i="1"/>
  <c r="X1080" i="1" s="1"/>
  <c r="W1072" i="1"/>
  <c r="W1064" i="1"/>
  <c r="W1056" i="1"/>
  <c r="W1048" i="1"/>
  <c r="W1039" i="1"/>
  <c r="W1031" i="1"/>
  <c r="W1023" i="1"/>
  <c r="W1015" i="1"/>
  <c r="W1006" i="1"/>
  <c r="W998" i="1"/>
  <c r="W990" i="1"/>
  <c r="W982" i="1"/>
  <c r="W974" i="1"/>
  <c r="W966" i="1"/>
  <c r="W957" i="1"/>
  <c r="W948" i="1"/>
  <c r="X948" i="1" s="1"/>
  <c r="W940" i="1"/>
  <c r="W932" i="1"/>
  <c r="W924" i="1"/>
  <c r="W916" i="1"/>
  <c r="W908" i="1"/>
  <c r="W900" i="1"/>
  <c r="W892" i="1"/>
  <c r="W884" i="1"/>
  <c r="W876" i="1"/>
  <c r="W868" i="1"/>
  <c r="W858" i="1"/>
  <c r="W850" i="1"/>
  <c r="W842" i="1"/>
  <c r="W833" i="1"/>
  <c r="W825" i="1"/>
  <c r="W816" i="1"/>
  <c r="X816" i="1" s="1"/>
  <c r="W808" i="1"/>
  <c r="W800" i="1"/>
  <c r="W791" i="1"/>
  <c r="W783" i="1"/>
  <c r="W774" i="1"/>
  <c r="W766" i="1"/>
  <c r="W758" i="1"/>
  <c r="W750" i="1"/>
  <c r="X750" i="1" s="1"/>
  <c r="W742" i="1"/>
  <c r="W734" i="1"/>
  <c r="W726" i="1"/>
  <c r="W717" i="1"/>
  <c r="W709" i="1"/>
  <c r="W701" i="1"/>
  <c r="W693" i="1"/>
  <c r="W685" i="1"/>
  <c r="W677" i="1"/>
  <c r="W669" i="1"/>
  <c r="W661" i="1"/>
  <c r="W652" i="1"/>
  <c r="W644" i="1"/>
  <c r="W636" i="1"/>
  <c r="W627" i="1"/>
  <c r="W619" i="1"/>
  <c r="W611" i="1"/>
  <c r="W603" i="1"/>
  <c r="X603" i="1" s="1"/>
  <c r="W595" i="1"/>
  <c r="W587" i="1"/>
  <c r="W579" i="1"/>
  <c r="W571" i="1"/>
  <c r="W563" i="1"/>
  <c r="W555" i="1"/>
  <c r="W547" i="1"/>
  <c r="W539" i="1"/>
  <c r="W531" i="1"/>
  <c r="W523" i="1"/>
  <c r="W515" i="1"/>
  <c r="W507" i="1"/>
  <c r="W499" i="1"/>
  <c r="W491" i="1"/>
  <c r="W483" i="1"/>
  <c r="W475" i="1"/>
  <c r="W466" i="1"/>
  <c r="W457" i="1"/>
  <c r="W449" i="1"/>
  <c r="W441" i="1"/>
  <c r="W433" i="1"/>
  <c r="W425" i="1"/>
  <c r="W417" i="1"/>
  <c r="W409" i="1"/>
  <c r="X409" i="1" s="1"/>
  <c r="W401" i="1"/>
  <c r="W393" i="1"/>
  <c r="W385" i="1"/>
  <c r="W377" i="1"/>
  <c r="W368" i="1"/>
  <c r="W360" i="1"/>
  <c r="X360" i="1" s="1"/>
  <c r="W352" i="1"/>
  <c r="W344" i="1"/>
  <c r="W336" i="1"/>
  <c r="W328" i="1"/>
  <c r="W320" i="1"/>
  <c r="W312" i="1"/>
  <c r="W303" i="1"/>
  <c r="W295" i="1"/>
  <c r="W287" i="1"/>
  <c r="W279" i="1"/>
  <c r="X279" i="1" s="1"/>
  <c r="W271" i="1"/>
  <c r="W262" i="1"/>
  <c r="W253" i="1"/>
  <c r="W245" i="1"/>
  <c r="W237" i="1"/>
  <c r="W229" i="1"/>
  <c r="W221" i="1"/>
  <c r="W213" i="1"/>
  <c r="W205" i="1"/>
  <c r="W197" i="1"/>
  <c r="W189" i="1"/>
  <c r="W181" i="1"/>
  <c r="X181" i="1" s="1"/>
  <c r="W172" i="1"/>
  <c r="W164" i="1"/>
  <c r="W156" i="1"/>
  <c r="W148" i="1"/>
  <c r="W140" i="1"/>
  <c r="W132" i="1"/>
  <c r="W124" i="1"/>
  <c r="W116" i="1"/>
  <c r="W108" i="1"/>
  <c r="W100" i="1"/>
  <c r="W92" i="1"/>
  <c r="W83" i="1"/>
  <c r="W75" i="1"/>
  <c r="W67" i="1"/>
  <c r="W59" i="1"/>
  <c r="W51" i="1"/>
  <c r="W42" i="1"/>
  <c r="W34" i="1"/>
  <c r="W25" i="1"/>
  <c r="W17" i="1"/>
  <c r="W9" i="1"/>
  <c r="W1332" i="1"/>
  <c r="W1205" i="1"/>
  <c r="W1546" i="1"/>
  <c r="W867" i="1"/>
  <c r="W28" i="1"/>
  <c r="W473" i="1"/>
  <c r="X1572" i="1"/>
  <c r="X1432" i="1"/>
  <c r="X1366" i="1"/>
  <c r="X1179" i="1"/>
  <c r="X1050" i="1"/>
  <c r="X934" i="1"/>
  <c r="X671" i="1"/>
  <c r="W346" i="1"/>
  <c r="W338" i="1"/>
  <c r="W330" i="1"/>
  <c r="W322" i="1"/>
  <c r="W314" i="1"/>
  <c r="X314" i="1" s="1"/>
  <c r="W305" i="1"/>
  <c r="X305" i="1" s="1"/>
  <c r="W297" i="1"/>
  <c r="W289" i="1"/>
  <c r="W281" i="1"/>
  <c r="W273" i="1"/>
  <c r="X273" i="1" s="1"/>
  <c r="W265" i="1"/>
  <c r="X265" i="1" s="1"/>
  <c r="W255" i="1"/>
  <c r="W247" i="1"/>
  <c r="X247" i="1" s="1"/>
  <c r="W239" i="1"/>
  <c r="X239" i="1" s="1"/>
  <c r="W231" i="1"/>
  <c r="W223" i="1"/>
  <c r="X223" i="1" s="1"/>
  <c r="W215" i="1"/>
  <c r="W207" i="1"/>
  <c r="X207" i="1" s="1"/>
  <c r="W199" i="1"/>
  <c r="W191" i="1"/>
  <c r="W183" i="1"/>
  <c r="X183" i="1" s="1"/>
  <c r="W175" i="1"/>
  <c r="X175" i="1" s="1"/>
  <c r="W166" i="1"/>
  <c r="W158" i="1"/>
  <c r="X158" i="1" s="1"/>
  <c r="W150" i="1"/>
  <c r="W142" i="1"/>
  <c r="X142" i="1" s="1"/>
  <c r="W134" i="1"/>
  <c r="X134" i="1" s="1"/>
  <c r="W126" i="1"/>
  <c r="W118" i="1"/>
  <c r="X118" i="1" s="1"/>
  <c r="W110" i="1"/>
  <c r="X110" i="1" s="1"/>
  <c r="W102" i="1"/>
  <c r="W94" i="1"/>
  <c r="X94" i="1" s="1"/>
  <c r="W86" i="1"/>
  <c r="W77" i="1"/>
  <c r="W69" i="1"/>
  <c r="W61" i="1"/>
  <c r="W53" i="1"/>
  <c r="X53" i="1" s="1"/>
  <c r="W45" i="1"/>
  <c r="X45" i="1" s="1"/>
  <c r="W36" i="1"/>
  <c r="W27" i="1"/>
  <c r="W19" i="1"/>
  <c r="W11" i="1"/>
  <c r="X11" i="1" s="1"/>
  <c r="W2" i="1"/>
  <c r="X2" i="1" s="1"/>
  <c r="W819" i="1"/>
  <c r="W1738" i="1"/>
  <c r="X1738" i="1" s="1"/>
  <c r="W1041" i="1"/>
  <c r="X1041" i="1" s="1"/>
  <c r="W263" i="1"/>
  <c r="W837" i="1"/>
  <c r="X837" i="1" s="1"/>
  <c r="X1976" i="1"/>
  <c r="X1911" i="1"/>
  <c r="X1579" i="1"/>
  <c r="X1381" i="1"/>
  <c r="X1316" i="1"/>
  <c r="X925" i="1"/>
  <c r="X467" i="1"/>
  <c r="X272" i="1"/>
  <c r="X1998" i="1"/>
  <c r="X1990" i="1"/>
  <c r="X1982" i="1"/>
  <c r="X1974" i="1"/>
  <c r="X1934" i="1"/>
  <c r="X1926" i="1"/>
  <c r="X1917" i="1"/>
  <c r="X1909" i="1"/>
  <c r="X1867" i="1"/>
  <c r="X1858" i="1"/>
  <c r="X1849" i="1"/>
  <c r="X1841" i="1"/>
  <c r="X1801" i="1"/>
  <c r="X1792" i="1"/>
  <c r="X1784" i="1"/>
  <c r="X1776" i="1"/>
  <c r="X1734" i="1"/>
  <c r="X1726" i="1"/>
  <c r="X1718" i="1"/>
  <c r="X1710" i="1"/>
  <c r="X1701" i="1"/>
  <c r="X1667" i="1"/>
  <c r="X1659" i="1"/>
  <c r="X1651" i="1"/>
  <c r="X1643" i="1"/>
  <c r="X1602" i="1"/>
  <c r="X1594" i="1"/>
  <c r="X1586" i="1"/>
  <c r="X1577" i="1"/>
  <c r="X1536" i="1"/>
  <c r="X1528" i="1"/>
  <c r="X1520" i="1"/>
  <c r="X1512" i="1"/>
  <c r="X1470" i="1"/>
  <c r="X1462" i="1"/>
  <c r="X1454" i="1"/>
  <c r="X1446" i="1"/>
  <c r="X1404" i="1"/>
  <c r="X1395" i="1"/>
  <c r="X1387" i="1"/>
  <c r="X1379" i="1"/>
  <c r="X1254" i="1"/>
  <c r="X1246" i="1"/>
  <c r="X1238" i="1"/>
  <c r="X1188" i="1"/>
  <c r="X1180" i="1"/>
  <c r="X1172" i="1"/>
  <c r="X1132" i="1"/>
  <c r="X1123" i="1"/>
  <c r="X1115" i="1"/>
  <c r="X1107" i="1"/>
  <c r="X1051" i="1"/>
  <c r="X1043" i="1"/>
  <c r="X993" i="1"/>
  <c r="X985" i="1"/>
  <c r="X977" i="1"/>
  <c r="X919" i="1"/>
  <c r="X911" i="1"/>
  <c r="X871" i="1"/>
  <c r="X862" i="1"/>
  <c r="X853" i="1"/>
  <c r="X845" i="1"/>
  <c r="X786" i="1"/>
  <c r="X777" i="1"/>
  <c r="X721" i="1"/>
  <c r="X712" i="1"/>
  <c r="X672" i="1"/>
  <c r="X656" i="1"/>
  <c r="X647" i="1"/>
  <c r="X590" i="1"/>
  <c r="X582" i="1"/>
  <c r="X534" i="1"/>
  <c r="X526" i="1"/>
  <c r="X518" i="1"/>
  <c r="X460" i="1"/>
  <c r="X452" i="1"/>
  <c r="X1009" i="1"/>
  <c r="X1339" i="1"/>
  <c r="X1330" i="1"/>
  <c r="X1322" i="1"/>
  <c r="X1314" i="1"/>
  <c r="X1274" i="1"/>
  <c r="X1266" i="1"/>
  <c r="X1258" i="1"/>
  <c r="X1250" i="1"/>
  <c r="X1209" i="1"/>
  <c r="X1200" i="1"/>
  <c r="X1192" i="1"/>
  <c r="X1184" i="1"/>
  <c r="X1144" i="1"/>
  <c r="X1136" i="1"/>
  <c r="X1127" i="1"/>
  <c r="X1119" i="1"/>
  <c r="X1079" i="1"/>
  <c r="X1071" i="1"/>
  <c r="X1063" i="1"/>
  <c r="X1055" i="1"/>
  <c r="X1014" i="1"/>
  <c r="X1005" i="1"/>
  <c r="X997" i="1"/>
  <c r="X989" i="1"/>
  <c r="X947" i="1"/>
  <c r="X939" i="1"/>
  <c r="X931" i="1"/>
  <c r="X923" i="1"/>
  <c r="X883" i="1"/>
  <c r="X875" i="1"/>
  <c r="X866" i="1"/>
  <c r="X857" i="1"/>
  <c r="X815" i="1"/>
  <c r="X807" i="1"/>
  <c r="X798" i="1"/>
  <c r="X790" i="1"/>
  <c r="X749" i="1"/>
  <c r="X741" i="1"/>
  <c r="X733" i="1"/>
  <c r="X725" i="1"/>
  <c r="X684" i="1"/>
  <c r="X676" i="1"/>
  <c r="X668" i="1"/>
  <c r="X660" i="1"/>
  <c r="X618" i="1"/>
  <c r="X610" i="1"/>
  <c r="X602" i="1"/>
  <c r="X594" i="1"/>
  <c r="X554" i="1"/>
  <c r="X546" i="1"/>
  <c r="X538" i="1"/>
  <c r="X530" i="1"/>
  <c r="X490" i="1"/>
  <c r="X482" i="1"/>
  <c r="X474" i="1"/>
  <c r="X465" i="1"/>
  <c r="X424" i="1"/>
  <c r="X416" i="1"/>
  <c r="X408" i="1"/>
  <c r="X400" i="1"/>
  <c r="X384" i="1"/>
  <c r="X359" i="1"/>
  <c r="X351" i="1"/>
  <c r="X343" i="1"/>
  <c r="X335" i="1"/>
  <c r="X294" i="1"/>
  <c r="X286" i="1"/>
  <c r="X278" i="1"/>
  <c r="X270" i="1"/>
  <c r="X228" i="1"/>
  <c r="X220" i="1"/>
  <c r="X212" i="1"/>
  <c r="X204" i="1"/>
  <c r="X163" i="1"/>
  <c r="X155" i="1"/>
  <c r="X147" i="1"/>
  <c r="X139" i="1"/>
  <c r="X99" i="1"/>
  <c r="X91" i="1"/>
  <c r="X82" i="1"/>
  <c r="X74" i="1"/>
  <c r="X24" i="1"/>
  <c r="X16" i="1"/>
  <c r="X8" i="1"/>
  <c r="X860" i="1"/>
  <c r="X396" i="1"/>
  <c r="X388" i="1"/>
  <c r="X347" i="1"/>
  <c r="X331" i="1"/>
  <c r="X323" i="1"/>
  <c r="X256" i="1"/>
  <c r="X216" i="1"/>
  <c r="X200" i="1"/>
  <c r="X127" i="1"/>
  <c r="X87" i="1"/>
  <c r="X70" i="1"/>
  <c r="W1997" i="1"/>
  <c r="W1989" i="1"/>
  <c r="W1981" i="1"/>
  <c r="W1973" i="1"/>
  <c r="W1965" i="1"/>
  <c r="W1957" i="1"/>
  <c r="W1949" i="1"/>
  <c r="W1941" i="1"/>
  <c r="W1933" i="1"/>
  <c r="W1925" i="1"/>
  <c r="W1916" i="1"/>
  <c r="W1908" i="1"/>
  <c r="W1900" i="1"/>
  <c r="W1891" i="1"/>
  <c r="W1882" i="1"/>
  <c r="W1874" i="1"/>
  <c r="W1866" i="1"/>
  <c r="W1857" i="1"/>
  <c r="W1848" i="1"/>
  <c r="W1840" i="1"/>
  <c r="W1832" i="1"/>
  <c r="W1824" i="1"/>
  <c r="W1816" i="1"/>
  <c r="W1808" i="1"/>
  <c r="W1800" i="1"/>
  <c r="W1791" i="1"/>
  <c r="W1783" i="1"/>
  <c r="W1775" i="1"/>
  <c r="W1767" i="1"/>
  <c r="W1759" i="1"/>
  <c r="W1750" i="1"/>
  <c r="W1742" i="1"/>
  <c r="W1733" i="1"/>
  <c r="W1725" i="1"/>
  <c r="W1717" i="1"/>
  <c r="W1709" i="1"/>
  <c r="W1700" i="1"/>
  <c r="W1692" i="1"/>
  <c r="W1683" i="1"/>
  <c r="W1674" i="1"/>
  <c r="W1666" i="1"/>
  <c r="W1658" i="1"/>
  <c r="W1650" i="1"/>
  <c r="W1642" i="1"/>
  <c r="W1634" i="1"/>
  <c r="W1626" i="1"/>
  <c r="W1618" i="1"/>
  <c r="W1610" i="1"/>
  <c r="W1601" i="1"/>
  <c r="W1593" i="1"/>
  <c r="W1585" i="1"/>
  <c r="W1576" i="1"/>
  <c r="W1568" i="1"/>
  <c r="W1560" i="1"/>
  <c r="W1552" i="1"/>
  <c r="W1543" i="1"/>
  <c r="W1535" i="1"/>
  <c r="W1527" i="1"/>
  <c r="W1519" i="1"/>
  <c r="W1511" i="1"/>
  <c r="W1502" i="1"/>
  <c r="W1494" i="1"/>
  <c r="W1485" i="1"/>
  <c r="W1477" i="1"/>
  <c r="W1469" i="1"/>
  <c r="W1461" i="1"/>
  <c r="W1453" i="1"/>
  <c r="W1445" i="1"/>
  <c r="W1436" i="1"/>
  <c r="W1428" i="1"/>
  <c r="W1420" i="1"/>
  <c r="W1411" i="1"/>
  <c r="W1402" i="1"/>
  <c r="W1394" i="1"/>
  <c r="W1386" i="1"/>
  <c r="W1378" i="1"/>
  <c r="W1370" i="1"/>
  <c r="W1362" i="1"/>
  <c r="W1354" i="1"/>
  <c r="W1346" i="1"/>
  <c r="W1338" i="1"/>
  <c r="W1329" i="1"/>
  <c r="W1321" i="1"/>
  <c r="W1313" i="1"/>
  <c r="W1305" i="1"/>
  <c r="W1297" i="1"/>
  <c r="W1289" i="1"/>
  <c r="W1281" i="1"/>
  <c r="W1273" i="1"/>
  <c r="W1265" i="1"/>
  <c r="W1257" i="1"/>
  <c r="W1249" i="1"/>
  <c r="W1241" i="1"/>
  <c r="W1233" i="1"/>
  <c r="W1225" i="1"/>
  <c r="W1217" i="1"/>
  <c r="W1208" i="1"/>
  <c r="W1199" i="1"/>
  <c r="W1191" i="1"/>
  <c r="W1183" i="1"/>
  <c r="W1175" i="1"/>
  <c r="W1167" i="1"/>
  <c r="W1159" i="1"/>
  <c r="W1151" i="1"/>
  <c r="W1143" i="1"/>
  <c r="W1135" i="1"/>
  <c r="W1126" i="1"/>
  <c r="W1118" i="1"/>
  <c r="W1110" i="1"/>
  <c r="W1102" i="1"/>
  <c r="W1094" i="1"/>
  <c r="W1086" i="1"/>
  <c r="W1078" i="1"/>
  <c r="W1070" i="1"/>
  <c r="W1062" i="1"/>
  <c r="W1054" i="1"/>
  <c r="W1046" i="1"/>
  <c r="W1037" i="1"/>
  <c r="W1029" i="1"/>
  <c r="W1021" i="1"/>
  <c r="W1013" i="1"/>
  <c r="W1004" i="1"/>
  <c r="W996" i="1"/>
  <c r="W988" i="1"/>
  <c r="W980" i="1"/>
  <c r="W972" i="1"/>
  <c r="W963" i="1"/>
  <c r="W955" i="1"/>
  <c r="W946" i="1"/>
  <c r="W938" i="1"/>
  <c r="W930" i="1"/>
  <c r="W922" i="1"/>
  <c r="W914" i="1"/>
  <c r="W906" i="1"/>
  <c r="W898" i="1"/>
  <c r="W890" i="1"/>
  <c r="W882" i="1"/>
  <c r="W874" i="1"/>
  <c r="W865" i="1"/>
  <c r="W856" i="1"/>
  <c r="W848" i="1"/>
  <c r="W1996" i="1"/>
  <c r="W1988" i="1"/>
  <c r="W1980" i="1"/>
  <c r="W1972" i="1"/>
  <c r="W1964" i="1"/>
  <c r="W1956" i="1"/>
  <c r="W1948" i="1"/>
  <c r="W1940" i="1"/>
  <c r="W1932" i="1"/>
  <c r="W1924" i="1"/>
  <c r="W1915" i="1"/>
  <c r="W1907" i="1"/>
  <c r="W1899" i="1"/>
  <c r="W1890" i="1"/>
  <c r="W1881" i="1"/>
  <c r="W1873" i="1"/>
  <c r="W1865" i="1"/>
  <c r="W1856" i="1"/>
  <c r="W1847" i="1"/>
  <c r="W1839" i="1"/>
  <c r="W1831" i="1"/>
  <c r="W1823" i="1"/>
  <c r="W1815" i="1"/>
  <c r="W1807" i="1"/>
  <c r="W1799" i="1"/>
  <c r="W1790" i="1"/>
  <c r="W1782" i="1"/>
  <c r="W1774" i="1"/>
  <c r="W1766" i="1"/>
  <c r="W1758" i="1"/>
  <c r="W1749" i="1"/>
  <c r="W1741" i="1"/>
  <c r="W1732" i="1"/>
  <c r="W1724" i="1"/>
  <c r="W1716" i="1"/>
  <c r="W1708" i="1"/>
  <c r="W1699" i="1"/>
  <c r="W1691" i="1"/>
  <c r="W1681" i="1"/>
  <c r="W1673" i="1"/>
  <c r="W1665" i="1"/>
  <c r="W1657" i="1"/>
  <c r="W1649" i="1"/>
  <c r="W1641" i="1"/>
  <c r="W1633" i="1"/>
  <c r="W1625" i="1"/>
  <c r="W1617" i="1"/>
  <c r="W1609" i="1"/>
  <c r="W1600" i="1"/>
  <c r="W1592" i="1"/>
  <c r="W1584" i="1"/>
  <c r="W1575" i="1"/>
  <c r="W1567" i="1"/>
  <c r="W1559" i="1"/>
  <c r="W1551" i="1"/>
  <c r="W1542" i="1"/>
  <c r="W1534" i="1"/>
  <c r="W1526" i="1"/>
  <c r="W1518" i="1"/>
  <c r="W1510" i="1"/>
  <c r="W1501" i="1"/>
  <c r="W1493" i="1"/>
  <c r="W1484" i="1"/>
  <c r="W1476" i="1"/>
  <c r="W1468" i="1"/>
  <c r="W1460" i="1"/>
  <c r="W1452" i="1"/>
  <c r="W1444" i="1"/>
  <c r="W1435" i="1"/>
  <c r="W1427" i="1"/>
  <c r="W1419" i="1"/>
  <c r="W1410" i="1"/>
  <c r="W1401" i="1"/>
  <c r="W1393" i="1"/>
  <c r="W1385" i="1"/>
  <c r="W1377" i="1"/>
  <c r="W1369" i="1"/>
  <c r="W1361" i="1"/>
  <c r="W1353" i="1"/>
  <c r="W1345" i="1"/>
  <c r="W1995" i="1"/>
  <c r="W1987" i="1"/>
  <c r="W1979" i="1"/>
  <c r="W1971" i="1"/>
  <c r="W1963" i="1"/>
  <c r="W1955" i="1"/>
  <c r="W1947" i="1"/>
  <c r="W1939" i="1"/>
  <c r="W1931" i="1"/>
  <c r="W1923" i="1"/>
  <c r="W1914" i="1"/>
  <c r="W1906" i="1"/>
  <c r="W1898" i="1"/>
  <c r="W1888" i="1"/>
  <c r="W1880" i="1"/>
  <c r="W1872" i="1"/>
  <c r="W1864" i="1"/>
  <c r="W1855" i="1"/>
  <c r="W1846" i="1"/>
  <c r="W1838" i="1"/>
  <c r="W1830" i="1"/>
  <c r="W1822" i="1"/>
  <c r="W1814" i="1"/>
  <c r="W1806" i="1"/>
  <c r="W1798" i="1"/>
  <c r="W1789" i="1"/>
  <c r="W1781" i="1"/>
  <c r="W1773" i="1"/>
  <c r="W1765" i="1"/>
  <c r="W1757" i="1"/>
  <c r="W1748" i="1"/>
  <c r="W1740" i="1"/>
  <c r="W1731" i="1"/>
  <c r="W1723" i="1"/>
  <c r="W1715" i="1"/>
  <c r="W1707" i="1"/>
  <c r="W1698" i="1"/>
  <c r="W1690" i="1"/>
  <c r="W1680" i="1"/>
  <c r="W1672" i="1"/>
  <c r="W1664" i="1"/>
  <c r="W1656" i="1"/>
  <c r="W1648" i="1"/>
  <c r="W1640" i="1"/>
  <c r="W1632" i="1"/>
  <c r="W1624" i="1"/>
  <c r="W1616" i="1"/>
  <c r="W1608" i="1"/>
  <c r="W1599" i="1"/>
  <c r="W1591" i="1"/>
  <c r="W1583" i="1"/>
  <c r="W1574" i="1"/>
  <c r="W1566" i="1"/>
  <c r="W1558" i="1"/>
  <c r="W1550" i="1"/>
  <c r="W1541" i="1"/>
  <c r="W1533" i="1"/>
  <c r="W1525" i="1"/>
  <c r="W1517" i="1"/>
  <c r="W1509" i="1"/>
  <c r="W1500" i="1"/>
  <c r="W1492" i="1"/>
  <c r="W1483" i="1"/>
  <c r="W1475" i="1"/>
  <c r="W1467" i="1"/>
  <c r="W1459" i="1"/>
  <c r="W1451" i="1"/>
  <c r="W1443" i="1"/>
  <c r="W1434" i="1"/>
  <c r="W1426" i="1"/>
  <c r="W1418" i="1"/>
  <c r="W1409" i="1"/>
  <c r="W1400" i="1"/>
  <c r="W1392" i="1"/>
  <c r="W1384" i="1"/>
  <c r="W1376" i="1"/>
  <c r="W1368" i="1"/>
  <c r="W1360" i="1"/>
  <c r="W1352" i="1"/>
  <c r="W1344" i="1"/>
  <c r="W1336" i="1"/>
  <c r="W1327" i="1"/>
  <c r="W1319" i="1"/>
  <c r="W1311" i="1"/>
  <c r="W1303" i="1"/>
  <c r="W1295" i="1"/>
  <c r="W1287" i="1"/>
  <c r="W1279" i="1"/>
  <c r="W1271" i="1"/>
  <c r="W1263" i="1"/>
  <c r="W1255" i="1"/>
  <c r="W1247" i="1"/>
  <c r="W1239" i="1"/>
  <c r="W1231" i="1"/>
  <c r="W1223" i="1"/>
  <c r="W1215" i="1"/>
  <c r="W1206" i="1"/>
  <c r="W1197" i="1"/>
  <c r="W1189" i="1"/>
  <c r="W1181" i="1"/>
  <c r="W1173" i="1"/>
  <c r="W1165" i="1"/>
  <c r="W1157" i="1"/>
  <c r="W1149" i="1"/>
  <c r="W1141" i="1"/>
  <c r="W1133" i="1"/>
  <c r="W1124" i="1"/>
  <c r="W1116" i="1"/>
  <c r="W1108" i="1"/>
  <c r="W1100" i="1"/>
  <c r="W1092" i="1"/>
  <c r="W1084" i="1"/>
  <c r="W1076" i="1"/>
  <c r="W1068" i="1"/>
  <c r="W1060" i="1"/>
  <c r="W1052" i="1"/>
  <c r="W1044" i="1"/>
  <c r="W1035" i="1"/>
  <c r="W1027" i="1"/>
  <c r="W840" i="1"/>
  <c r="W831" i="1"/>
  <c r="W823" i="1"/>
  <c r="W814" i="1"/>
  <c r="W806" i="1"/>
  <c r="W797" i="1"/>
  <c r="W789" i="1"/>
  <c r="W780" i="1"/>
  <c r="W772" i="1"/>
  <c r="W764" i="1"/>
  <c r="W756" i="1"/>
  <c r="W748" i="1"/>
  <c r="W740" i="1"/>
  <c r="W732" i="1"/>
  <c r="W724" i="1"/>
  <c r="W715" i="1"/>
  <c r="W707" i="1"/>
  <c r="W699" i="1"/>
  <c r="W691" i="1"/>
  <c r="W683" i="1"/>
  <c r="W675" i="1"/>
  <c r="W667" i="1"/>
  <c r="W659" i="1"/>
  <c r="W650" i="1"/>
  <c r="W642" i="1"/>
  <c r="W634" i="1"/>
  <c r="W625" i="1"/>
  <c r="W617" i="1"/>
  <c r="W609" i="1"/>
  <c r="W601" i="1"/>
  <c r="W593" i="1"/>
  <c r="W585" i="1"/>
  <c r="W577" i="1"/>
  <c r="W569" i="1"/>
  <c r="W561" i="1"/>
  <c r="W553" i="1"/>
  <c r="W545" i="1"/>
  <c r="W537" i="1"/>
  <c r="W529" i="1"/>
  <c r="W521" i="1"/>
  <c r="W513" i="1"/>
  <c r="W505" i="1"/>
  <c r="W497" i="1"/>
  <c r="W489" i="1"/>
  <c r="W481" i="1"/>
  <c r="W472" i="1"/>
  <c r="W463" i="1"/>
  <c r="W455" i="1"/>
  <c r="W447" i="1"/>
  <c r="W439" i="1"/>
  <c r="W431" i="1"/>
  <c r="W423" i="1"/>
  <c r="W415" i="1"/>
  <c r="W407" i="1"/>
  <c r="W399" i="1"/>
  <c r="W391" i="1"/>
  <c r="W383" i="1"/>
  <c r="W375" i="1"/>
  <c r="W366" i="1"/>
  <c r="W358" i="1"/>
  <c r="W350" i="1"/>
  <c r="W342" i="1"/>
  <c r="W334" i="1"/>
  <c r="W326" i="1"/>
  <c r="W318" i="1"/>
  <c r="W310" i="1"/>
  <c r="W301" i="1"/>
  <c r="W293" i="1"/>
  <c r="W285" i="1"/>
  <c r="W277" i="1"/>
  <c r="W269" i="1"/>
  <c r="W259" i="1"/>
  <c r="W251" i="1"/>
  <c r="W243" i="1"/>
  <c r="W235" i="1"/>
  <c r="W227" i="1"/>
  <c r="W219" i="1"/>
  <c r="W211" i="1"/>
  <c r="W203" i="1"/>
  <c r="W195" i="1"/>
  <c r="W187" i="1"/>
  <c r="W179" i="1"/>
  <c r="W170" i="1"/>
  <c r="W162" i="1"/>
  <c r="W154" i="1"/>
  <c r="W146" i="1"/>
  <c r="W138" i="1"/>
  <c r="W130" i="1"/>
  <c r="W122" i="1"/>
  <c r="W114" i="1"/>
  <c r="W106" i="1"/>
  <c r="W98" i="1"/>
  <c r="W90" i="1"/>
  <c r="W81" i="1"/>
  <c r="W73" i="1"/>
  <c r="W65" i="1"/>
  <c r="W57" i="1"/>
  <c r="W49" i="1"/>
  <c r="W40" i="1"/>
  <c r="W32" i="1"/>
  <c r="W23" i="1"/>
  <c r="W15" i="1"/>
  <c r="W7" i="1"/>
  <c r="W1604" i="1"/>
  <c r="W1894" i="1"/>
  <c r="W1416" i="1"/>
  <c r="W799" i="1"/>
  <c r="W1863" i="1"/>
  <c r="W372" i="1"/>
  <c r="W1337" i="1"/>
  <c r="W1328" i="1"/>
  <c r="W1320" i="1"/>
  <c r="W1312" i="1"/>
  <c r="W1304" i="1"/>
  <c r="W1296" i="1"/>
  <c r="W1288" i="1"/>
  <c r="W1280" i="1"/>
  <c r="W1272" i="1"/>
  <c r="W1264" i="1"/>
  <c r="W1256" i="1"/>
  <c r="W1248" i="1"/>
  <c r="W1240" i="1"/>
  <c r="W1232" i="1"/>
  <c r="W1224" i="1"/>
  <c r="W1216" i="1"/>
  <c r="W1207" i="1"/>
  <c r="W1198" i="1"/>
  <c r="W1190" i="1"/>
  <c r="W1182" i="1"/>
  <c r="W1174" i="1"/>
  <c r="W1166" i="1"/>
  <c r="W1158" i="1"/>
  <c r="W1150" i="1"/>
  <c r="W1142" i="1"/>
  <c r="W1134" i="1"/>
  <c r="W1125" i="1"/>
  <c r="W1117" i="1"/>
  <c r="W1109" i="1"/>
  <c r="W1101" i="1"/>
  <c r="W1093" i="1"/>
  <c r="W1085" i="1"/>
  <c r="W1077" i="1"/>
  <c r="W1069" i="1"/>
  <c r="W1061" i="1"/>
  <c r="W1053" i="1"/>
  <c r="W1045" i="1"/>
  <c r="W1036" i="1"/>
  <c r="W1028" i="1"/>
  <c r="W1020" i="1"/>
  <c r="W1012" i="1"/>
  <c r="W1003" i="1"/>
  <c r="W995" i="1"/>
  <c r="W987" i="1"/>
  <c r="W979" i="1"/>
  <c r="W971" i="1"/>
  <c r="W962" i="1"/>
  <c r="W954" i="1"/>
  <c r="W945" i="1"/>
  <c r="W937" i="1"/>
  <c r="W929" i="1"/>
  <c r="W921" i="1"/>
  <c r="W913" i="1"/>
  <c r="W905" i="1"/>
  <c r="W897" i="1"/>
  <c r="W889" i="1"/>
  <c r="W881" i="1"/>
  <c r="W873" i="1"/>
  <c r="W864" i="1"/>
  <c r="W855" i="1"/>
  <c r="W847" i="1"/>
  <c r="W839" i="1"/>
  <c r="W830" i="1"/>
  <c r="W822" i="1"/>
  <c r="W813" i="1"/>
  <c r="W805" i="1"/>
  <c r="W796" i="1"/>
  <c r="W788" i="1"/>
  <c r="W779" i="1"/>
  <c r="W771" i="1"/>
  <c r="W763" i="1"/>
  <c r="W755" i="1"/>
  <c r="W747" i="1"/>
  <c r="W739" i="1"/>
  <c r="W731" i="1"/>
  <c r="W723" i="1"/>
  <c r="W714" i="1"/>
  <c r="W706" i="1"/>
  <c r="W698" i="1"/>
  <c r="W690" i="1"/>
  <c r="W682" i="1"/>
  <c r="W674" i="1"/>
  <c r="W666" i="1"/>
  <c r="W658" i="1"/>
  <c r="W649" i="1"/>
  <c r="W641" i="1"/>
  <c r="W632" i="1"/>
  <c r="W624" i="1"/>
  <c r="W616" i="1"/>
  <c r="W608" i="1"/>
  <c r="W600" i="1"/>
  <c r="W592" i="1"/>
  <c r="W584" i="1"/>
  <c r="W576" i="1"/>
  <c r="W568" i="1"/>
  <c r="W560" i="1"/>
  <c r="W552" i="1"/>
  <c r="W544" i="1"/>
  <c r="W536" i="1"/>
  <c r="W528" i="1"/>
  <c r="W520" i="1"/>
  <c r="W512" i="1"/>
  <c r="W504" i="1"/>
  <c r="W496" i="1"/>
  <c r="W488" i="1"/>
  <c r="W480" i="1"/>
  <c r="W471" i="1"/>
  <c r="W462" i="1"/>
  <c r="W454" i="1"/>
  <c r="W446" i="1"/>
  <c r="W438" i="1"/>
  <c r="W430" i="1"/>
  <c r="W422" i="1"/>
  <c r="W414" i="1"/>
  <c r="W406" i="1"/>
  <c r="W398" i="1"/>
  <c r="W390" i="1"/>
  <c r="W382" i="1"/>
  <c r="W374" i="1"/>
  <c r="W365" i="1"/>
  <c r="W357" i="1"/>
  <c r="W349" i="1"/>
  <c r="W341" i="1"/>
  <c r="W333" i="1"/>
  <c r="W325" i="1"/>
  <c r="W317" i="1"/>
  <c r="W309" i="1"/>
  <c r="W300" i="1"/>
  <c r="W292" i="1"/>
  <c r="W284" i="1"/>
  <c r="W276" i="1"/>
  <c r="W268" i="1"/>
  <c r="W258" i="1"/>
  <c r="W250" i="1"/>
  <c r="W242" i="1"/>
  <c r="W234" i="1"/>
  <c r="W226" i="1"/>
  <c r="W218" i="1"/>
  <c r="W210" i="1"/>
  <c r="W202" i="1"/>
  <c r="W194" i="1"/>
  <c r="W186" i="1"/>
  <c r="W178" i="1"/>
  <c r="W169" i="1"/>
  <c r="W161" i="1"/>
  <c r="W153" i="1"/>
  <c r="W145" i="1"/>
  <c r="W137" i="1"/>
  <c r="W129" i="1"/>
  <c r="W121" i="1"/>
  <c r="W113" i="1"/>
  <c r="W105" i="1"/>
  <c r="W97" i="1"/>
  <c r="W89" i="1"/>
  <c r="W80" i="1"/>
  <c r="W72" i="1"/>
  <c r="W64" i="1"/>
  <c r="W56" i="1"/>
  <c r="W48" i="1"/>
  <c r="W39" i="1"/>
  <c r="W31" i="1"/>
  <c r="W22" i="1"/>
  <c r="W14" i="1"/>
  <c r="W6" i="1"/>
  <c r="W1503" i="1"/>
  <c r="W1851" i="1"/>
  <c r="W1403" i="1"/>
  <c r="W720" i="1"/>
  <c r="W1688" i="1"/>
  <c r="W84" i="1"/>
  <c r="W1019" i="1"/>
  <c r="W1011" i="1"/>
  <c r="W1002" i="1"/>
  <c r="W994" i="1"/>
  <c r="W986" i="1"/>
  <c r="W978" i="1"/>
  <c r="W970" i="1"/>
  <c r="W961" i="1"/>
  <c r="W953" i="1"/>
  <c r="W944" i="1"/>
  <c r="W936" i="1"/>
  <c r="W928" i="1"/>
  <c r="W920" i="1"/>
  <c r="W912" i="1"/>
  <c r="W904" i="1"/>
  <c r="W896" i="1"/>
  <c r="W888" i="1"/>
  <c r="W880" i="1"/>
  <c r="W872" i="1"/>
  <c r="W863" i="1"/>
  <c r="W854" i="1"/>
  <c r="W846" i="1"/>
  <c r="W838" i="1"/>
  <c r="W829" i="1"/>
  <c r="W821" i="1"/>
  <c r="W812" i="1"/>
  <c r="W804" i="1"/>
  <c r="W795" i="1"/>
  <c r="W787" i="1"/>
  <c r="W778" i="1"/>
  <c r="W770" i="1"/>
  <c r="W762" i="1"/>
  <c r="W754" i="1"/>
  <c r="W746" i="1"/>
  <c r="W738" i="1"/>
  <c r="W730" i="1"/>
  <c r="W722" i="1"/>
  <c r="W713" i="1"/>
  <c r="W705" i="1"/>
  <c r="W697" i="1"/>
  <c r="W689" i="1"/>
  <c r="W681" i="1"/>
  <c r="W673" i="1"/>
  <c r="W665" i="1"/>
  <c r="W657" i="1"/>
  <c r="W648" i="1"/>
  <c r="W640" i="1"/>
  <c r="W631" i="1"/>
  <c r="W623" i="1"/>
  <c r="W615" i="1"/>
  <c r="W607" i="1"/>
  <c r="W599" i="1"/>
  <c r="W591" i="1"/>
  <c r="W583" i="1"/>
  <c r="W575" i="1"/>
  <c r="W567" i="1"/>
  <c r="W559" i="1"/>
  <c r="W551" i="1"/>
  <c r="W543" i="1"/>
  <c r="W535" i="1"/>
  <c r="W527" i="1"/>
  <c r="W519" i="1"/>
  <c r="W511" i="1"/>
  <c r="W503" i="1"/>
  <c r="W495" i="1"/>
  <c r="W487" i="1"/>
  <c r="W479" i="1"/>
  <c r="W470" i="1"/>
  <c r="W461" i="1"/>
  <c r="W453" i="1"/>
  <c r="W445" i="1"/>
  <c r="W437" i="1"/>
  <c r="W429" i="1"/>
  <c r="W421" i="1"/>
  <c r="W413" i="1"/>
  <c r="W405" i="1"/>
  <c r="W397" i="1"/>
  <c r="W389" i="1"/>
  <c r="W381" i="1"/>
  <c r="W373" i="1"/>
  <c r="W364" i="1"/>
  <c r="W356" i="1"/>
  <c r="W348" i="1"/>
  <c r="W340" i="1"/>
  <c r="W332" i="1"/>
  <c r="W324" i="1"/>
  <c r="W316" i="1"/>
  <c r="W308" i="1"/>
  <c r="W299" i="1"/>
  <c r="W291" i="1"/>
  <c r="W283" i="1"/>
  <c r="W275" i="1"/>
  <c r="W267" i="1"/>
  <c r="W257" i="1"/>
  <c r="W249" i="1"/>
  <c r="W241" i="1"/>
  <c r="W233" i="1"/>
  <c r="W225" i="1"/>
  <c r="W217" i="1"/>
  <c r="W209" i="1"/>
  <c r="W201" i="1"/>
  <c r="W193" i="1"/>
  <c r="W185" i="1"/>
  <c r="W177" i="1"/>
  <c r="W168" i="1"/>
  <c r="W160" i="1"/>
  <c r="W152" i="1"/>
  <c r="W144" i="1"/>
  <c r="W136" i="1"/>
  <c r="W128" i="1"/>
  <c r="W120" i="1"/>
  <c r="W112" i="1"/>
  <c r="W104" i="1"/>
  <c r="W96" i="1"/>
  <c r="W88" i="1"/>
  <c r="W79" i="1"/>
  <c r="W71" i="1"/>
  <c r="W63" i="1"/>
  <c r="W55" i="1"/>
  <c r="W47" i="1"/>
  <c r="W38" i="1"/>
  <c r="W30" i="1"/>
  <c r="W21" i="1"/>
  <c r="W13" i="1"/>
  <c r="W5" i="1"/>
  <c r="W1682" i="1"/>
  <c r="W1793" i="1"/>
  <c r="W1213" i="1"/>
  <c r="W653" i="1"/>
  <c r="W1486" i="1"/>
  <c r="W43" i="1"/>
  <c r="W1994" i="1"/>
  <c r="W1986" i="1"/>
  <c r="W1978" i="1"/>
  <c r="W1970" i="1"/>
  <c r="W1962" i="1"/>
  <c r="W1954" i="1"/>
  <c r="W1946" i="1"/>
  <c r="W1938" i="1"/>
  <c r="W1930" i="1"/>
  <c r="W1922" i="1"/>
  <c r="W1913" i="1"/>
  <c r="W1905" i="1"/>
  <c r="W1897" i="1"/>
  <c r="W1887" i="1"/>
  <c r="W1879" i="1"/>
  <c r="W1871" i="1"/>
  <c r="W1862" i="1"/>
  <c r="W1854" i="1"/>
  <c r="W1845" i="1"/>
  <c r="W1837" i="1"/>
  <c r="W1829" i="1"/>
  <c r="W1821" i="1"/>
  <c r="W1813" i="1"/>
  <c r="W1805" i="1"/>
  <c r="W1797" i="1"/>
  <c r="W1788" i="1"/>
  <c r="W1780" i="1"/>
  <c r="W1772" i="1"/>
  <c r="W1764" i="1"/>
  <c r="W1756" i="1"/>
  <c r="W1747" i="1"/>
  <c r="W1739" i="1"/>
  <c r="W1730" i="1"/>
  <c r="W1722" i="1"/>
  <c r="W1714" i="1"/>
  <c r="W1706" i="1"/>
  <c r="W1697" i="1"/>
  <c r="W1689" i="1"/>
  <c r="W1679" i="1"/>
  <c r="W1671" i="1"/>
  <c r="W1663" i="1"/>
  <c r="W1655" i="1"/>
  <c r="W1647" i="1"/>
  <c r="W1639" i="1"/>
  <c r="W1631" i="1"/>
  <c r="W1623" i="1"/>
  <c r="W1615" i="1"/>
  <c r="W1607" i="1"/>
  <c r="W1598" i="1"/>
  <c r="W1590" i="1"/>
  <c r="W1581" i="1"/>
  <c r="W1573" i="1"/>
  <c r="W1565" i="1"/>
  <c r="W1557" i="1"/>
  <c r="W1549" i="1"/>
  <c r="W1540" i="1"/>
  <c r="W1532" i="1"/>
  <c r="W1524" i="1"/>
  <c r="W1516" i="1"/>
  <c r="W1508" i="1"/>
  <c r="W1499" i="1"/>
  <c r="W1491" i="1"/>
  <c r="W1482" i="1"/>
  <c r="W1474" i="1"/>
  <c r="W1466" i="1"/>
  <c r="W1458" i="1"/>
  <c r="W1450" i="1"/>
  <c r="W1442" i="1"/>
  <c r="W1433" i="1"/>
  <c r="W1425" i="1"/>
  <c r="W1417" i="1"/>
  <c r="W1408" i="1"/>
  <c r="W1399" i="1"/>
  <c r="W1391" i="1"/>
  <c r="W1383" i="1"/>
  <c r="W1375" i="1"/>
  <c r="W1367" i="1"/>
  <c r="W1359" i="1"/>
  <c r="W1351" i="1"/>
  <c r="W1343" i="1"/>
  <c r="W1335" i="1"/>
  <c r="W1326" i="1"/>
  <c r="W1318" i="1"/>
  <c r="W1310" i="1"/>
  <c r="W1302" i="1"/>
  <c r="W1294" i="1"/>
  <c r="W1286" i="1"/>
  <c r="W1278" i="1"/>
  <c r="W173" i="1"/>
  <c r="W29" i="1"/>
  <c r="W20" i="1"/>
  <c r="W12" i="1"/>
  <c r="W3" i="1"/>
  <c r="W306" i="1"/>
  <c r="N11" i="4"/>
  <c r="E5" i="4"/>
  <c r="E4" i="4"/>
  <c r="E6" i="4"/>
  <c r="X173" i="1" l="1"/>
  <c r="X1335" i="1"/>
  <c r="X1399" i="1"/>
  <c r="X1466" i="1"/>
  <c r="X1532" i="1"/>
  <c r="X1598" i="1"/>
  <c r="X1663" i="1"/>
  <c r="X1730" i="1"/>
  <c r="X1797" i="1"/>
  <c r="X1862" i="1"/>
  <c r="X1930" i="1"/>
  <c r="X1994" i="1"/>
  <c r="X13" i="1"/>
  <c r="X79" i="1"/>
  <c r="X144" i="1"/>
  <c r="X209" i="1"/>
  <c r="X275" i="1"/>
  <c r="X340" i="1"/>
  <c r="X405" i="1"/>
  <c r="X470" i="1"/>
  <c r="X535" i="1"/>
  <c r="X599" i="1"/>
  <c r="X665" i="1"/>
  <c r="X730" i="1"/>
  <c r="X795" i="1"/>
  <c r="X863" i="1"/>
  <c r="X928" i="1"/>
  <c r="X994" i="1"/>
  <c r="X1851" i="1"/>
  <c r="X56" i="1"/>
  <c r="X121" i="1"/>
  <c r="X186" i="1"/>
  <c r="X250" i="1"/>
  <c r="X317" i="1"/>
  <c r="X382" i="1"/>
  <c r="X446" i="1"/>
  <c r="X512" i="1"/>
  <c r="X576" i="1"/>
  <c r="X641" i="1"/>
  <c r="X706" i="1"/>
  <c r="X771" i="1"/>
  <c r="X839" i="1"/>
  <c r="X905" i="1"/>
  <c r="X971" i="1"/>
  <c r="X1036" i="1"/>
  <c r="X1101" i="1"/>
  <c r="X1166" i="1"/>
  <c r="X1232" i="1"/>
  <c r="X1296" i="1"/>
  <c r="X799" i="1"/>
  <c r="X40" i="1"/>
  <c r="X106" i="1"/>
  <c r="X170" i="1"/>
  <c r="X235" i="1"/>
  <c r="X301" i="1"/>
  <c r="X366" i="1"/>
  <c r="X431" i="1"/>
  <c r="X497" i="1"/>
  <c r="X561" i="1"/>
  <c r="X625" i="1"/>
  <c r="X691" i="1"/>
  <c r="X756" i="1"/>
  <c r="X823" i="1"/>
  <c r="X1068" i="1"/>
  <c r="X1133" i="1"/>
  <c r="X1197" i="1"/>
  <c r="X1263" i="1"/>
  <c r="X1327" i="1"/>
  <c r="X1392" i="1"/>
  <c r="X1459" i="1"/>
  <c r="X1525" i="1"/>
  <c r="X1591" i="1"/>
  <c r="X1656" i="1"/>
  <c r="X1723" i="1"/>
  <c r="X1789" i="1"/>
  <c r="X1855" i="1"/>
  <c r="X1923" i="1"/>
  <c r="X1987" i="1"/>
  <c r="X1393" i="1"/>
  <c r="X1460" i="1"/>
  <c r="X1526" i="1"/>
  <c r="X1592" i="1"/>
  <c r="X1657" i="1"/>
  <c r="X1724" i="1"/>
  <c r="X1790" i="1"/>
  <c r="X1856" i="1"/>
  <c r="X1924" i="1"/>
  <c r="X1988" i="1"/>
  <c r="X898" i="1"/>
  <c r="X963" i="1"/>
  <c r="X1029" i="1"/>
  <c r="X1094" i="1"/>
  <c r="X1159" i="1"/>
  <c r="X1225" i="1"/>
  <c r="X1289" i="1"/>
  <c r="X1354" i="1"/>
  <c r="X1420" i="1"/>
  <c r="X1485" i="1"/>
  <c r="X1552" i="1"/>
  <c r="X1618" i="1"/>
  <c r="X1683" i="1"/>
  <c r="X1750" i="1"/>
  <c r="X1816" i="1"/>
  <c r="X1882" i="1"/>
  <c r="X1949" i="1"/>
  <c r="X1326" i="1"/>
  <c r="X1391" i="1"/>
  <c r="X1524" i="1"/>
  <c r="X1655" i="1"/>
  <c r="X1788" i="1"/>
  <c r="X1922" i="1"/>
  <c r="X5" i="1"/>
  <c r="X136" i="1"/>
  <c r="X267" i="1"/>
  <c r="X397" i="1"/>
  <c r="X722" i="1"/>
  <c r="X1278" i="1"/>
  <c r="X1408" i="1"/>
  <c r="X1540" i="1"/>
  <c r="X1671" i="1"/>
  <c r="X1805" i="1"/>
  <c r="X1871" i="1"/>
  <c r="X43" i="1"/>
  <c r="X21" i="1"/>
  <c r="X152" i="1"/>
  <c r="X283" i="1"/>
  <c r="X413" i="1"/>
  <c r="X543" i="1"/>
  <c r="X673" i="1"/>
  <c r="X804" i="1"/>
  <c r="X872" i="1"/>
  <c r="X1002" i="1"/>
  <c r="X64" i="1"/>
  <c r="X194" i="1"/>
  <c r="X325" i="1"/>
  <c r="X390" i="1"/>
  <c r="X520" i="1"/>
  <c r="X649" i="1"/>
  <c r="X714" i="1"/>
  <c r="X847" i="1"/>
  <c r="X979" i="1"/>
  <c r="X1109" i="1"/>
  <c r="X1240" i="1"/>
  <c r="X1416" i="1"/>
  <c r="X114" i="1"/>
  <c r="X243" i="1"/>
  <c r="X375" i="1"/>
  <c r="X505" i="1"/>
  <c r="X634" i="1"/>
  <c r="X699" i="1"/>
  <c r="X831" i="1"/>
  <c r="X1076" i="1"/>
  <c r="X1141" i="1"/>
  <c r="X1206" i="1"/>
  <c r="X1271" i="1"/>
  <c r="X1336" i="1"/>
  <c r="X1400" i="1"/>
  <c r="X1467" i="1"/>
  <c r="X1533" i="1"/>
  <c r="X1599" i="1"/>
  <c r="X1664" i="1"/>
  <c r="X1731" i="1"/>
  <c r="X1798" i="1"/>
  <c r="X1864" i="1"/>
  <c r="X1931" i="1"/>
  <c r="X1995" i="1"/>
  <c r="X1468" i="1"/>
  <c r="X1534" i="1"/>
  <c r="X1600" i="1"/>
  <c r="X1665" i="1"/>
  <c r="X1732" i="1"/>
  <c r="X1799" i="1"/>
  <c r="X1865" i="1"/>
  <c r="X1932" i="1"/>
  <c r="X1996" i="1"/>
  <c r="X906" i="1"/>
  <c r="X972" i="1"/>
  <c r="X1037" i="1"/>
  <c r="X1102" i="1"/>
  <c r="X1167" i="1"/>
  <c r="X1233" i="1"/>
  <c r="X1297" i="1"/>
  <c r="X1362" i="1"/>
  <c r="X1428" i="1"/>
  <c r="X1494" i="1"/>
  <c r="X1560" i="1"/>
  <c r="X1626" i="1"/>
  <c r="X1692" i="1"/>
  <c r="X1759" i="1"/>
  <c r="X1824" i="1"/>
  <c r="X1891" i="1"/>
  <c r="X1957" i="1"/>
  <c r="X819" i="1"/>
  <c r="X61" i="1"/>
  <c r="X126" i="1"/>
  <c r="X191" i="1"/>
  <c r="X255" i="1"/>
  <c r="X322" i="1"/>
  <c r="X1343" i="1"/>
  <c r="X1474" i="1"/>
  <c r="X1607" i="1"/>
  <c r="X1739" i="1"/>
  <c r="X1938" i="1"/>
  <c r="X88" i="1"/>
  <c r="X217" i="1"/>
  <c r="X348" i="1"/>
  <c r="X479" i="1"/>
  <c r="X607" i="1"/>
  <c r="X738" i="1"/>
  <c r="X936" i="1"/>
  <c r="X1503" i="1"/>
  <c r="X129" i="1"/>
  <c r="X258" i="1"/>
  <c r="X454" i="1"/>
  <c r="X584" i="1"/>
  <c r="X779" i="1"/>
  <c r="X913" i="1"/>
  <c r="X1045" i="1"/>
  <c r="X1174" i="1"/>
  <c r="X1304" i="1"/>
  <c r="X49" i="1"/>
  <c r="X179" i="1"/>
  <c r="X310" i="1"/>
  <c r="X439" i="1"/>
  <c r="X569" i="1"/>
  <c r="X764" i="1"/>
  <c r="X1401" i="1"/>
  <c r="X1286" i="1"/>
  <c r="X1549" i="1"/>
  <c r="X1747" i="1"/>
  <c r="X1486" i="1"/>
  <c r="X160" i="1"/>
  <c r="X291" i="1"/>
  <c r="X421" i="1"/>
  <c r="X487" i="1"/>
  <c r="X615" i="1"/>
  <c r="X681" i="1"/>
  <c r="X746" i="1"/>
  <c r="X812" i="1"/>
  <c r="X880" i="1"/>
  <c r="X944" i="1"/>
  <c r="X1011" i="1"/>
  <c r="X6" i="1"/>
  <c r="X72" i="1"/>
  <c r="X137" i="1"/>
  <c r="X202" i="1"/>
  <c r="X268" i="1"/>
  <c r="X333" i="1"/>
  <c r="X398" i="1"/>
  <c r="X462" i="1"/>
  <c r="X528" i="1"/>
  <c r="X592" i="1"/>
  <c r="X658" i="1"/>
  <c r="X723" i="1"/>
  <c r="X788" i="1"/>
  <c r="X855" i="1"/>
  <c r="X921" i="1"/>
  <c r="X987" i="1"/>
  <c r="X1053" i="1"/>
  <c r="X1117" i="1"/>
  <c r="X1182" i="1"/>
  <c r="X1248" i="1"/>
  <c r="X1312" i="1"/>
  <c r="X1894" i="1"/>
  <c r="X57" i="1"/>
  <c r="X122" i="1"/>
  <c r="X187" i="1"/>
  <c r="X251" i="1"/>
  <c r="X318" i="1"/>
  <c r="X383" i="1"/>
  <c r="X447" i="1"/>
  <c r="X513" i="1"/>
  <c r="X577" i="1"/>
  <c r="X642" i="1"/>
  <c r="X707" i="1"/>
  <c r="X772" i="1"/>
  <c r="X840" i="1"/>
  <c r="X1084" i="1"/>
  <c r="X1351" i="1"/>
  <c r="X1417" i="1"/>
  <c r="X1482" i="1"/>
  <c r="X1615" i="1"/>
  <c r="X1679" i="1"/>
  <c r="X1813" i="1"/>
  <c r="X1879" i="1"/>
  <c r="X1946" i="1"/>
  <c r="X30" i="1"/>
  <c r="X96" i="1"/>
  <c r="X225" i="1"/>
  <c r="X356" i="1"/>
  <c r="X551" i="1"/>
  <c r="X306" i="1"/>
  <c r="X1294" i="1"/>
  <c r="X1359" i="1"/>
  <c r="X1425" i="1"/>
  <c r="X1491" i="1"/>
  <c r="X1557" i="1"/>
  <c r="X1623" i="1"/>
  <c r="X1689" i="1"/>
  <c r="X1756" i="1"/>
  <c r="X1821" i="1"/>
  <c r="X1887" i="1"/>
  <c r="X1954" i="1"/>
  <c r="X653" i="1"/>
  <c r="X38" i="1"/>
  <c r="X104" i="1"/>
  <c r="X168" i="1"/>
  <c r="X233" i="1"/>
  <c r="X299" i="1"/>
  <c r="X364" i="1"/>
  <c r="X429" i="1"/>
  <c r="X495" i="1"/>
  <c r="X559" i="1"/>
  <c r="X623" i="1"/>
  <c r="X689" i="1"/>
  <c r="X754" i="1"/>
  <c r="X821" i="1"/>
  <c r="X888" i="1"/>
  <c r="X953" i="1"/>
  <c r="X1019" i="1"/>
  <c r="X14" i="1"/>
  <c r="X80" i="1"/>
  <c r="X145" i="1"/>
  <c r="X210" i="1"/>
  <c r="X276" i="1"/>
  <c r="X341" i="1"/>
  <c r="X406" i="1"/>
  <c r="X471" i="1"/>
  <c r="X536" i="1"/>
  <c r="X600" i="1"/>
  <c r="X666" i="1"/>
  <c r="X731" i="1"/>
  <c r="X796" i="1"/>
  <c r="X864" i="1"/>
  <c r="X929" i="1"/>
  <c r="X995" i="1"/>
  <c r="X1061" i="1"/>
  <c r="X1125" i="1"/>
  <c r="X1190" i="1"/>
  <c r="X1256" i="1"/>
  <c r="X1320" i="1"/>
  <c r="X1604" i="1"/>
  <c r="X65" i="1"/>
  <c r="X130" i="1"/>
  <c r="X195" i="1"/>
  <c r="X259" i="1"/>
  <c r="X326" i="1"/>
  <c r="X391" i="1"/>
  <c r="X455" i="1"/>
  <c r="X521" i="1"/>
  <c r="X585" i="1"/>
  <c r="X650" i="1"/>
  <c r="X715" i="1"/>
  <c r="X780" i="1"/>
  <c r="X1027" i="1"/>
  <c r="X1092" i="1"/>
  <c r="X1157" i="1"/>
  <c r="X1223" i="1"/>
  <c r="X1287" i="1"/>
  <c r="X1352" i="1"/>
  <c r="X1418" i="1"/>
  <c r="X1483" i="1"/>
  <c r="X1550" i="1"/>
  <c r="X1616" i="1"/>
  <c r="X1680" i="1"/>
  <c r="X1748" i="1"/>
  <c r="X1814" i="1"/>
  <c r="X1880" i="1"/>
  <c r="X1947" i="1"/>
  <c r="X1353" i="1"/>
  <c r="X1419" i="1"/>
  <c r="X1484" i="1"/>
  <c r="X1551" i="1"/>
  <c r="X1617" i="1"/>
  <c r="X1681" i="1"/>
  <c r="X1749" i="1"/>
  <c r="X1815" i="1"/>
  <c r="X1881" i="1"/>
  <c r="X1948" i="1"/>
  <c r="X856" i="1"/>
  <c r="X922" i="1"/>
  <c r="X988" i="1"/>
  <c r="X1054" i="1"/>
  <c r="X1118" i="1"/>
  <c r="X1183" i="1"/>
  <c r="X1249" i="1"/>
  <c r="X1313" i="1"/>
  <c r="X1378" i="1"/>
  <c r="X1445" i="1"/>
  <c r="X1511" i="1"/>
  <c r="X1576" i="1"/>
  <c r="X1642" i="1"/>
  <c r="X1709" i="1"/>
  <c r="X1775" i="1"/>
  <c r="X1840" i="1"/>
  <c r="X1908" i="1"/>
  <c r="X1973" i="1"/>
  <c r="X1433" i="1"/>
  <c r="X1697" i="1"/>
  <c r="X1897" i="1"/>
  <c r="X112" i="1"/>
  <c r="X308" i="1"/>
  <c r="X503" i="1"/>
  <c r="X762" i="1"/>
  <c r="X896" i="1"/>
  <c r="X22" i="1"/>
  <c r="X218" i="1"/>
  <c r="X349" i="1"/>
  <c r="X480" i="1"/>
  <c r="X674" i="1"/>
  <c r="X805" i="1"/>
  <c r="X873" i="1"/>
  <c r="X937" i="1"/>
  <c r="X1003" i="1"/>
  <c r="X1069" i="1"/>
  <c r="X1134" i="1"/>
  <c r="X1198" i="1"/>
  <c r="X1328" i="1"/>
  <c r="X73" i="1"/>
  <c r="X138" i="1"/>
  <c r="X203" i="1"/>
  <c r="X269" i="1"/>
  <c r="X334" i="1"/>
  <c r="X399" i="1"/>
  <c r="X463" i="1"/>
  <c r="X529" i="1"/>
  <c r="X593" i="1"/>
  <c r="X659" i="1"/>
  <c r="X724" i="1"/>
  <c r="X789" i="1"/>
  <c r="X1035" i="1"/>
  <c r="X1100" i="1"/>
  <c r="X1165" i="1"/>
  <c r="X1231" i="1"/>
  <c r="X1295" i="1"/>
  <c r="X1360" i="1"/>
  <c r="X1426" i="1"/>
  <c r="X1492" i="1"/>
  <c r="X1558" i="1"/>
  <c r="X1624" i="1"/>
  <c r="X1690" i="1"/>
  <c r="X1757" i="1"/>
  <c r="X1822" i="1"/>
  <c r="X1888" i="1"/>
  <c r="X1955" i="1"/>
  <c r="X1361" i="1"/>
  <c r="X1427" i="1"/>
  <c r="X1493" i="1"/>
  <c r="X1559" i="1"/>
  <c r="X1625" i="1"/>
  <c r="X1691" i="1"/>
  <c r="X1758" i="1"/>
  <c r="X1823" i="1"/>
  <c r="X1890" i="1"/>
  <c r="X1956" i="1"/>
  <c r="X865" i="1"/>
  <c r="X930" i="1"/>
  <c r="X996" i="1"/>
  <c r="X1062" i="1"/>
  <c r="X1126" i="1"/>
  <c r="X1191" i="1"/>
  <c r="X1257" i="1"/>
  <c r="X1321" i="1"/>
  <c r="X1386" i="1"/>
  <c r="X1453" i="1"/>
  <c r="X1519" i="1"/>
  <c r="X1585" i="1"/>
  <c r="X1650" i="1"/>
  <c r="X1717" i="1"/>
  <c r="X1783" i="1"/>
  <c r="X1848" i="1"/>
  <c r="X1916" i="1"/>
  <c r="X1981" i="1"/>
  <c r="X1367" i="1"/>
  <c r="X1631" i="1"/>
  <c r="X1829" i="1"/>
  <c r="X47" i="1"/>
  <c r="X241" i="1"/>
  <c r="X373" i="1"/>
  <c r="X631" i="1"/>
  <c r="X829" i="1"/>
  <c r="X84" i="1"/>
  <c r="X89" i="1"/>
  <c r="X284" i="1"/>
  <c r="X414" i="1"/>
  <c r="X544" i="1"/>
  <c r="X739" i="1"/>
  <c r="X1264" i="1"/>
  <c r="X1375" i="1"/>
  <c r="X1573" i="1"/>
  <c r="X1772" i="1"/>
  <c r="X1905" i="1"/>
  <c r="X55" i="1"/>
  <c r="X249" i="1"/>
  <c r="X445" i="1"/>
  <c r="X705" i="1"/>
  <c r="X838" i="1"/>
  <c r="X1688" i="1"/>
  <c r="X161" i="1"/>
  <c r="X292" i="1"/>
  <c r="X488" i="1"/>
  <c r="X682" i="1"/>
  <c r="X881" i="1"/>
  <c r="X1012" i="1"/>
  <c r="X1207" i="1"/>
  <c r="X15" i="1"/>
  <c r="X146" i="1"/>
  <c r="X211" i="1"/>
  <c r="X342" i="1"/>
  <c r="X407" i="1"/>
  <c r="X472" i="1"/>
  <c r="X537" i="1"/>
  <c r="X601" i="1"/>
  <c r="X667" i="1"/>
  <c r="X732" i="1"/>
  <c r="X797" i="1"/>
  <c r="X1044" i="1"/>
  <c r="X1108" i="1"/>
  <c r="X1173" i="1"/>
  <c r="X1303" i="1"/>
  <c r="X1368" i="1"/>
  <c r="X1434" i="1"/>
  <c r="X1500" i="1"/>
  <c r="X1566" i="1"/>
  <c r="X1632" i="1"/>
  <c r="X1698" i="1"/>
  <c r="X1765" i="1"/>
  <c r="X1830" i="1"/>
  <c r="X1898" i="1"/>
  <c r="X1963" i="1"/>
  <c r="X1369" i="1"/>
  <c r="X1435" i="1"/>
  <c r="X1501" i="1"/>
  <c r="X1567" i="1"/>
  <c r="X1633" i="1"/>
  <c r="X1699" i="1"/>
  <c r="X1766" i="1"/>
  <c r="X1831" i="1"/>
  <c r="X1899" i="1"/>
  <c r="X1964" i="1"/>
  <c r="X874" i="1"/>
  <c r="X938" i="1"/>
  <c r="X1004" i="1"/>
  <c r="X1070" i="1"/>
  <c r="X1135" i="1"/>
  <c r="X1199" i="1"/>
  <c r="X1265" i="1"/>
  <c r="X1329" i="1"/>
  <c r="X1394" i="1"/>
  <c r="X1461" i="1"/>
  <c r="X1527" i="1"/>
  <c r="X1593" i="1"/>
  <c r="X1658" i="1"/>
  <c r="X1725" i="1"/>
  <c r="X1791" i="1"/>
  <c r="X1857" i="1"/>
  <c r="X1925" i="1"/>
  <c r="X1989" i="1"/>
  <c r="X3" i="1"/>
  <c r="X1499" i="1"/>
  <c r="X1764" i="1"/>
  <c r="X1213" i="1"/>
  <c r="X177" i="1"/>
  <c r="X437" i="1"/>
  <c r="X697" i="1"/>
  <c r="X961" i="1"/>
  <c r="X153" i="1"/>
  <c r="X608" i="1"/>
  <c r="X7" i="1"/>
  <c r="X12" i="1"/>
  <c r="X1310" i="1"/>
  <c r="X1442" i="1"/>
  <c r="X1508" i="1"/>
  <c r="X1639" i="1"/>
  <c r="X1706" i="1"/>
  <c r="X1837" i="1"/>
  <c r="X1970" i="1"/>
  <c r="X1793" i="1"/>
  <c r="X120" i="1"/>
  <c r="X185" i="1"/>
  <c r="X316" i="1"/>
  <c r="X381" i="1"/>
  <c r="X511" i="1"/>
  <c r="X575" i="1"/>
  <c r="X640" i="1"/>
  <c r="X770" i="1"/>
  <c r="X904" i="1"/>
  <c r="X970" i="1"/>
  <c r="X31" i="1"/>
  <c r="X97" i="1"/>
  <c r="X226" i="1"/>
  <c r="X357" i="1"/>
  <c r="X422" i="1"/>
  <c r="X552" i="1"/>
  <c r="X616" i="1"/>
  <c r="X747" i="1"/>
  <c r="X813" i="1"/>
  <c r="X945" i="1"/>
  <c r="X1077" i="1"/>
  <c r="X1142" i="1"/>
  <c r="X1272" i="1"/>
  <c r="X1337" i="1"/>
  <c r="X81" i="1"/>
  <c r="X277" i="1"/>
  <c r="X1239" i="1"/>
  <c r="X20" i="1"/>
  <c r="X1318" i="1"/>
  <c r="X1383" i="1"/>
  <c r="X1450" i="1"/>
  <c r="X1516" i="1"/>
  <c r="X1581" i="1"/>
  <c r="X1647" i="1"/>
  <c r="X1714" i="1"/>
  <c r="X1780" i="1"/>
  <c r="X1845" i="1"/>
  <c r="X1913" i="1"/>
  <c r="X1978" i="1"/>
  <c r="X1682" i="1"/>
  <c r="X63" i="1"/>
  <c r="X128" i="1"/>
  <c r="X193" i="1"/>
  <c r="X257" i="1"/>
  <c r="X324" i="1"/>
  <c r="X389" i="1"/>
  <c r="X453" i="1"/>
  <c r="X519" i="1"/>
  <c r="X583" i="1"/>
  <c r="X648" i="1"/>
  <c r="X713" i="1"/>
  <c r="X778" i="1"/>
  <c r="X846" i="1"/>
  <c r="X912" i="1"/>
  <c r="X978" i="1"/>
  <c r="X720" i="1"/>
  <c r="X39" i="1"/>
  <c r="X105" i="1"/>
  <c r="X169" i="1"/>
  <c r="X234" i="1"/>
  <c r="X300" i="1"/>
  <c r="X365" i="1"/>
  <c r="X430" i="1"/>
  <c r="X496" i="1"/>
  <c r="X560" i="1"/>
  <c r="X624" i="1"/>
  <c r="X690" i="1"/>
  <c r="X755" i="1"/>
  <c r="X822" i="1"/>
  <c r="X889" i="1"/>
  <c r="X954" i="1"/>
  <c r="X1020" i="1"/>
  <c r="X1085" i="1"/>
  <c r="X1150" i="1"/>
  <c r="X1216" i="1"/>
  <c r="X1280" i="1"/>
  <c r="X372" i="1"/>
  <c r="X23" i="1"/>
  <c r="X90" i="1"/>
  <c r="X154" i="1"/>
  <c r="X219" i="1"/>
  <c r="X285" i="1"/>
  <c r="X350" i="1"/>
  <c r="X415" i="1"/>
  <c r="X481" i="1"/>
  <c r="X545" i="1"/>
  <c r="X609" i="1"/>
  <c r="X675" i="1"/>
  <c r="X740" i="1"/>
  <c r="X806" i="1"/>
  <c r="X1052" i="1"/>
  <c r="X263" i="1"/>
  <c r="X36" i="1"/>
  <c r="X166" i="1"/>
  <c r="X231" i="1"/>
  <c r="X297" i="1"/>
  <c r="X1302" i="1"/>
  <c r="X1565" i="1"/>
  <c r="X1962" i="1"/>
  <c r="X567" i="1"/>
  <c r="X29" i="1"/>
  <c r="X1458" i="1"/>
  <c r="X1590" i="1"/>
  <c r="X1722" i="1"/>
  <c r="X1854" i="1"/>
  <c r="X1986" i="1"/>
  <c r="X71" i="1"/>
  <c r="X201" i="1"/>
  <c r="X332" i="1"/>
  <c r="X461" i="1"/>
  <c r="X527" i="1"/>
  <c r="X591" i="1"/>
  <c r="X657" i="1"/>
  <c r="X787" i="1"/>
  <c r="X854" i="1"/>
  <c r="X920" i="1"/>
  <c r="X986" i="1"/>
  <c r="X1403" i="1"/>
  <c r="X48" i="1"/>
  <c r="X113" i="1"/>
  <c r="X178" i="1"/>
  <c r="X242" i="1"/>
  <c r="X309" i="1"/>
  <c r="X374" i="1"/>
  <c r="X438" i="1"/>
  <c r="X504" i="1"/>
  <c r="X568" i="1"/>
  <c r="X632" i="1"/>
  <c r="X698" i="1"/>
  <c r="X763" i="1"/>
  <c r="X830" i="1"/>
  <c r="X897" i="1"/>
  <c r="X962" i="1"/>
  <c r="X1028" i="1"/>
  <c r="X1093" i="1"/>
  <c r="X1158" i="1"/>
  <c r="X1224" i="1"/>
  <c r="X1288" i="1"/>
  <c r="X1863" i="1"/>
  <c r="X32" i="1"/>
  <c r="X98" i="1"/>
  <c r="X162" i="1"/>
  <c r="X227" i="1"/>
  <c r="X293" i="1"/>
  <c r="X358" i="1"/>
  <c r="X423" i="1"/>
  <c r="X489" i="1"/>
  <c r="X553" i="1"/>
  <c r="X617" i="1"/>
  <c r="X683" i="1"/>
  <c r="X748" i="1"/>
  <c r="X814" i="1"/>
  <c r="X1060" i="1"/>
  <c r="X1124" i="1"/>
  <c r="X1189" i="1"/>
  <c r="X1255" i="1"/>
  <c r="X1319" i="1"/>
  <c r="X1384" i="1"/>
  <c r="X1451" i="1"/>
  <c r="X1517" i="1"/>
  <c r="X1583" i="1"/>
  <c r="X1648" i="1"/>
  <c r="X1715" i="1"/>
  <c r="X1781" i="1"/>
  <c r="X1846" i="1"/>
  <c r="X1914" i="1"/>
  <c r="X1979" i="1"/>
  <c r="X1385" i="1"/>
  <c r="X1452" i="1"/>
  <c r="X1518" i="1"/>
  <c r="X1584" i="1"/>
  <c r="X1649" i="1"/>
  <c r="X1716" i="1"/>
  <c r="X1782" i="1"/>
  <c r="X1847" i="1"/>
  <c r="X1915" i="1"/>
  <c r="X1980" i="1"/>
  <c r="X890" i="1"/>
  <c r="X955" i="1"/>
  <c r="X1021" i="1"/>
  <c r="X1086" i="1"/>
  <c r="X1151" i="1"/>
  <c r="X1217" i="1"/>
  <c r="X1281" i="1"/>
  <c r="X1346" i="1"/>
  <c r="X1411" i="1"/>
  <c r="X1477" i="1"/>
  <c r="X1543" i="1"/>
  <c r="X1610" i="1"/>
  <c r="X1674" i="1"/>
  <c r="X1742" i="1"/>
  <c r="X1808" i="1"/>
  <c r="X1874" i="1"/>
  <c r="X1941" i="1"/>
  <c r="X102" i="1"/>
  <c r="X1116" i="1"/>
  <c r="X1181" i="1"/>
  <c r="X1247" i="1"/>
  <c r="X1311" i="1"/>
  <c r="X1376" i="1"/>
  <c r="X1443" i="1"/>
  <c r="X1509" i="1"/>
  <c r="X1574" i="1"/>
  <c r="X1640" i="1"/>
  <c r="X1707" i="1"/>
  <c r="X1773" i="1"/>
  <c r="X1838" i="1"/>
  <c r="X1906" i="1"/>
  <c r="X1971" i="1"/>
  <c r="X1377" i="1"/>
  <c r="X1444" i="1"/>
  <c r="X1510" i="1"/>
  <c r="X1575" i="1"/>
  <c r="X1641" i="1"/>
  <c r="X1708" i="1"/>
  <c r="X1774" i="1"/>
  <c r="X1839" i="1"/>
  <c r="X1907" i="1"/>
  <c r="X1972" i="1"/>
  <c r="X882" i="1"/>
  <c r="X946" i="1"/>
  <c r="X1013" i="1"/>
  <c r="X1078" i="1"/>
  <c r="X1143" i="1"/>
  <c r="X1208" i="1"/>
  <c r="X1273" i="1"/>
  <c r="X1338" i="1"/>
  <c r="X1402" i="1"/>
  <c r="X1469" i="1"/>
  <c r="X1535" i="1"/>
  <c r="X1601" i="1"/>
  <c r="X1666" i="1"/>
  <c r="X1733" i="1"/>
  <c r="X1800" i="1"/>
  <c r="X1866" i="1"/>
  <c r="X1933" i="1"/>
  <c r="X1997" i="1"/>
  <c r="X867" i="1"/>
  <c r="X42" i="1"/>
  <c r="X108" i="1"/>
  <c r="X172" i="1"/>
  <c r="X237" i="1"/>
  <c r="X303" i="1"/>
  <c r="X368" i="1"/>
  <c r="X433" i="1"/>
  <c r="X499" i="1"/>
  <c r="X563" i="1"/>
  <c r="X627" i="1"/>
  <c r="X693" i="1"/>
  <c r="X758" i="1"/>
  <c r="X825" i="1"/>
  <c r="X892" i="1"/>
  <c r="X957" i="1"/>
  <c r="X1023" i="1"/>
  <c r="X1088" i="1"/>
  <c r="X1153" i="1"/>
  <c r="X1219" i="1"/>
  <c r="X1283" i="1"/>
  <c r="X1348" i="1"/>
  <c r="X1479" i="1"/>
  <c r="X1545" i="1"/>
  <c r="X1612" i="1"/>
  <c r="X1676" i="1"/>
  <c r="X1744" i="1"/>
  <c r="X1810" i="1"/>
  <c r="X1876" i="1"/>
  <c r="X1943" i="1"/>
  <c r="X1771" i="1"/>
  <c r="X1836" i="1"/>
  <c r="X1904" i="1"/>
  <c r="X1969" i="1"/>
  <c r="X1546" i="1"/>
  <c r="X51" i="1"/>
  <c r="X116" i="1"/>
  <c r="X245" i="1"/>
  <c r="X312" i="1"/>
  <c r="X377" i="1"/>
  <c r="X441" i="1"/>
  <c r="X507" i="1"/>
  <c r="X571" i="1"/>
  <c r="X636" i="1"/>
  <c r="X701" i="1"/>
  <c r="X766" i="1"/>
  <c r="X833" i="1"/>
  <c r="X900" i="1"/>
  <c r="X966" i="1"/>
  <c r="X1031" i="1"/>
  <c r="X1096" i="1"/>
  <c r="X1161" i="1"/>
  <c r="X1227" i="1"/>
  <c r="X1356" i="1"/>
  <c r="X1422" i="1"/>
  <c r="X1488" i="1"/>
  <c r="X1554" i="1"/>
  <c r="X1620" i="1"/>
  <c r="X1685" i="1"/>
  <c r="X1753" i="1"/>
  <c r="X1818" i="1"/>
  <c r="X1884" i="1"/>
  <c r="X1951" i="1"/>
  <c r="X1779" i="1"/>
  <c r="X1844" i="1"/>
  <c r="X1912" i="1"/>
  <c r="X1977" i="1"/>
  <c r="X1205" i="1"/>
  <c r="X59" i="1"/>
  <c r="X124" i="1"/>
  <c r="X189" i="1"/>
  <c r="X253" i="1"/>
  <c r="X320" i="1"/>
  <c r="X385" i="1"/>
  <c r="X449" i="1"/>
  <c r="X515" i="1"/>
  <c r="X579" i="1"/>
  <c r="X644" i="1"/>
  <c r="X709" i="1"/>
  <c r="X774" i="1"/>
  <c r="X842" i="1"/>
  <c r="X908" i="1"/>
  <c r="X974" i="1"/>
  <c r="X1104" i="1"/>
  <c r="X1169" i="1"/>
  <c r="X1235" i="1"/>
  <c r="X1299" i="1"/>
  <c r="X1364" i="1"/>
  <c r="X1430" i="1"/>
  <c r="X1496" i="1"/>
  <c r="X1628" i="1"/>
  <c r="X1694" i="1"/>
  <c r="X1761" i="1"/>
  <c r="X1826" i="1"/>
  <c r="X1893" i="1"/>
  <c r="X1959" i="1"/>
  <c r="X1291" i="1"/>
  <c r="X69" i="1"/>
  <c r="X330" i="1"/>
  <c r="X1332" i="1"/>
  <c r="X67" i="1"/>
  <c r="X132" i="1"/>
  <c r="X197" i="1"/>
  <c r="X262" i="1"/>
  <c r="X328" i="1"/>
  <c r="X393" i="1"/>
  <c r="X457" i="1"/>
  <c r="X523" i="1"/>
  <c r="X587" i="1"/>
  <c r="X652" i="1"/>
  <c r="X717" i="1"/>
  <c r="X783" i="1"/>
  <c r="X850" i="1"/>
  <c r="X916" i="1"/>
  <c r="X982" i="1"/>
  <c r="X1048" i="1"/>
  <c r="X1112" i="1"/>
  <c r="X1177" i="1"/>
  <c r="X1243" i="1"/>
  <c r="X1307" i="1"/>
  <c r="X1372" i="1"/>
  <c r="X1439" i="1"/>
  <c r="X1505" i="1"/>
  <c r="X1570" i="1"/>
  <c r="X1636" i="1"/>
  <c r="X1702" i="1"/>
  <c r="X1769" i="1"/>
  <c r="X1834" i="1"/>
  <c r="X1902" i="1"/>
  <c r="X1967" i="1"/>
  <c r="X1149" i="1"/>
  <c r="X1215" i="1"/>
  <c r="X1279" i="1"/>
  <c r="X1344" i="1"/>
  <c r="X1409" i="1"/>
  <c r="X1475" i="1"/>
  <c r="X1541" i="1"/>
  <c r="X1608" i="1"/>
  <c r="X1672" i="1"/>
  <c r="X1740" i="1"/>
  <c r="X1806" i="1"/>
  <c r="X1872" i="1"/>
  <c r="X1939" i="1"/>
  <c r="X1345" i="1"/>
  <c r="X1410" i="1"/>
  <c r="X1476" i="1"/>
  <c r="X1542" i="1"/>
  <c r="X1609" i="1"/>
  <c r="X1673" i="1"/>
  <c r="X1741" i="1"/>
  <c r="X1807" i="1"/>
  <c r="X1873" i="1"/>
  <c r="X1940" i="1"/>
  <c r="X848" i="1"/>
  <c r="X914" i="1"/>
  <c r="X980" i="1"/>
  <c r="X1046" i="1"/>
  <c r="X1110" i="1"/>
  <c r="X1175" i="1"/>
  <c r="X1241" i="1"/>
  <c r="X1305" i="1"/>
  <c r="X1370" i="1"/>
  <c r="X1436" i="1"/>
  <c r="X1502" i="1"/>
  <c r="X1568" i="1"/>
  <c r="X1634" i="1"/>
  <c r="X1700" i="1"/>
  <c r="X1767" i="1"/>
  <c r="X1832" i="1"/>
  <c r="X1900" i="1"/>
  <c r="X1965" i="1"/>
  <c r="X77" i="1"/>
  <c r="X338" i="1"/>
  <c r="X19" i="1"/>
  <c r="X86" i="1"/>
  <c r="X150" i="1"/>
  <c r="X215" i="1"/>
  <c r="X281" i="1"/>
  <c r="X346" i="1"/>
  <c r="X9" i="1"/>
  <c r="X75" i="1"/>
  <c r="X140" i="1"/>
  <c r="X205" i="1"/>
  <c r="X271" i="1"/>
  <c r="X336" i="1"/>
  <c r="X401" i="1"/>
  <c r="X466" i="1"/>
  <c r="X531" i="1"/>
  <c r="X595" i="1"/>
  <c r="X661" i="1"/>
  <c r="X726" i="1"/>
  <c r="X791" i="1"/>
  <c r="X858" i="1"/>
  <c r="X924" i="1"/>
  <c r="X990" i="1"/>
  <c r="X1056" i="1"/>
  <c r="X1120" i="1"/>
  <c r="X1185" i="1"/>
  <c r="X1251" i="1"/>
  <c r="X1315" i="1"/>
  <c r="X1380" i="1"/>
  <c r="X1447" i="1"/>
  <c r="X1513" i="1"/>
  <c r="X1578" i="1"/>
  <c r="X1644" i="1"/>
  <c r="X1711" i="1"/>
  <c r="X1777" i="1"/>
  <c r="X1842" i="1"/>
  <c r="X1910" i="1"/>
  <c r="X1975" i="1"/>
  <c r="X1562" i="1"/>
  <c r="X1737" i="1"/>
  <c r="X1804" i="1"/>
  <c r="X1870" i="1"/>
  <c r="X1937" i="1"/>
  <c r="X2001" i="1"/>
  <c r="X17" i="1"/>
  <c r="X83" i="1"/>
  <c r="X148" i="1"/>
  <c r="X213" i="1"/>
  <c r="X344" i="1"/>
  <c r="X475" i="1"/>
  <c r="X539" i="1"/>
  <c r="X669" i="1"/>
  <c r="X734" i="1"/>
  <c r="X800" i="1"/>
  <c r="X868" i="1"/>
  <c r="X932" i="1"/>
  <c r="X998" i="1"/>
  <c r="X1064" i="1"/>
  <c r="X1128" i="1"/>
  <c r="X1193" i="1"/>
  <c r="X1259" i="1"/>
  <c r="X1323" i="1"/>
  <c r="X1388" i="1"/>
  <c r="X1455" i="1"/>
  <c r="X1521" i="1"/>
  <c r="X1587" i="1"/>
  <c r="X1719" i="1"/>
  <c r="X1785" i="1"/>
  <c r="X1850" i="1"/>
  <c r="X1919" i="1"/>
  <c r="X1983" i="1"/>
  <c r="X1652" i="1"/>
  <c r="X473" i="1"/>
  <c r="X25" i="1"/>
  <c r="X92" i="1"/>
  <c r="X156" i="1"/>
  <c r="X221" i="1"/>
  <c r="X287" i="1"/>
  <c r="X352" i="1"/>
  <c r="X417" i="1"/>
  <c r="X483" i="1"/>
  <c r="X547" i="1"/>
  <c r="X611" i="1"/>
  <c r="X677" i="1"/>
  <c r="X742" i="1"/>
  <c r="X808" i="1"/>
  <c r="X876" i="1"/>
  <c r="X940" i="1"/>
  <c r="X1006" i="1"/>
  <c r="X1072" i="1"/>
  <c r="X1137" i="1"/>
  <c r="X1201" i="1"/>
  <c r="X1267" i="1"/>
  <c r="X1331" i="1"/>
  <c r="X1396" i="1"/>
  <c r="X1463" i="1"/>
  <c r="X1529" i="1"/>
  <c r="X1595" i="1"/>
  <c r="X1660" i="1"/>
  <c r="X1727" i="1"/>
  <c r="X1794" i="1"/>
  <c r="X1859" i="1"/>
  <c r="X1927" i="1"/>
  <c r="X1991" i="1"/>
  <c r="X1755" i="1"/>
  <c r="X1820" i="1"/>
  <c r="X1953" i="1"/>
  <c r="X27" i="1"/>
  <c r="X199" i="1"/>
  <c r="X289" i="1"/>
  <c r="X28" i="1"/>
  <c r="X34" i="1"/>
  <c r="X100" i="1"/>
  <c r="X164" i="1"/>
  <c r="X229" i="1"/>
  <c r="X295" i="1"/>
  <c r="X425" i="1"/>
  <c r="X491" i="1"/>
  <c r="X555" i="1"/>
  <c r="X619" i="1"/>
  <c r="X685" i="1"/>
  <c r="X884" i="1"/>
  <c r="X1015" i="1"/>
  <c r="X1145" i="1"/>
  <c r="X1275" i="1"/>
  <c r="X1340" i="1"/>
  <c r="X1405" i="1"/>
  <c r="X1537" i="1"/>
  <c r="X1603" i="1"/>
  <c r="X1668" i="1"/>
  <c r="X1802" i="1"/>
  <c r="X1868" i="1"/>
  <c r="X1935" i="1"/>
  <c r="X1999" i="1"/>
  <c r="X1039" i="1"/>
  <c r="X1886" i="1"/>
  <c r="X1746" i="1"/>
  <c r="X1812" i="1"/>
  <c r="X1878" i="1"/>
  <c r="X1945" i="1"/>
  <c r="X1763" i="1"/>
  <c r="X1828" i="1"/>
  <c r="X1896" i="1"/>
  <c r="X1961" i="1"/>
  <c r="X1787" i="1"/>
  <c r="X1853" i="1"/>
  <c r="X1921" i="1"/>
  <c r="X1985" i="1"/>
  <c r="E18" i="4"/>
  <c r="D18" i="4"/>
  <c r="F18" i="4" l="1"/>
  <c r="G18" i="4" s="1"/>
  <c r="H18" i="4" l="1"/>
  <c r="Y1370" i="1" s="1"/>
  <c r="Y709" i="1" l="1"/>
  <c r="Y554" i="1"/>
  <c r="Y4" i="1"/>
  <c r="Y440" i="1"/>
  <c r="Y67" i="1"/>
  <c r="Y175" i="1"/>
  <c r="Y1462" i="1"/>
  <c r="Y222" i="1"/>
  <c r="Y482" i="1"/>
  <c r="Y432" i="1"/>
  <c r="Y1193" i="1"/>
  <c r="Y1080" i="1"/>
  <c r="Y1561" i="1"/>
  <c r="Y1079" i="1"/>
  <c r="Y877" i="1"/>
  <c r="Y435" i="1"/>
  <c r="Y1022" i="1"/>
  <c r="Y530" i="1"/>
  <c r="Y1514" i="1"/>
  <c r="Y1009" i="1"/>
  <c r="Y100" i="1"/>
  <c r="Y959" i="1"/>
  <c r="Y981" i="1"/>
  <c r="Y280" i="1"/>
  <c r="Y1254" i="1"/>
  <c r="Y1237" i="1"/>
  <c r="Y8" i="1"/>
  <c r="Y646" i="1"/>
  <c r="Y1542" i="1"/>
  <c r="Y1241" i="1"/>
  <c r="Y1279" i="1"/>
  <c r="Y1230" i="1"/>
  <c r="Y870" i="1"/>
  <c r="Y993" i="1"/>
  <c r="Y1038" i="1"/>
  <c r="Y1736" i="1"/>
  <c r="Y206" i="1"/>
  <c r="Y1520" i="1"/>
  <c r="Y110" i="1"/>
  <c r="Y1541" i="1"/>
  <c r="Y1071" i="1"/>
  <c r="Y448" i="1"/>
  <c r="Y1470" i="1"/>
  <c r="Y392" i="1"/>
  <c r="Y1703" i="1"/>
  <c r="Y1456" i="1"/>
  <c r="Y62" i="1"/>
  <c r="Y1063" i="1"/>
  <c r="Y256" i="1"/>
  <c r="Y1553" i="1"/>
  <c r="Y550" i="1"/>
  <c r="Y469" i="1"/>
  <c r="Y213" i="1"/>
  <c r="Y315" i="1"/>
  <c r="Y1895" i="1"/>
  <c r="Y474" i="1"/>
  <c r="Y486" i="1"/>
  <c r="Y404" i="1"/>
  <c r="Y903" i="1"/>
  <c r="Y1170" i="1"/>
  <c r="Y668" i="1"/>
  <c r="Y989" i="1"/>
  <c r="Y1929" i="1"/>
  <c r="Y1596" i="1"/>
  <c r="Y947" i="1"/>
  <c r="Y400" i="1"/>
  <c r="Y1958" i="1"/>
  <c r="Y891" i="1"/>
  <c r="Y619" i="1"/>
  <c r="Y1397" i="1"/>
  <c r="Y727" i="1"/>
  <c r="Y802" i="1"/>
  <c r="Y388" i="1"/>
  <c r="Y1538" i="1"/>
  <c r="Y282" i="1"/>
  <c r="Y538" i="1"/>
  <c r="Y1498" i="1"/>
  <c r="Y1918" i="1"/>
  <c r="Y1030" i="1"/>
  <c r="Y1993" i="1"/>
  <c r="Y556" i="1"/>
  <c r="Y1886" i="1"/>
  <c r="Y25" i="1"/>
  <c r="Y223" i="1"/>
  <c r="Y595" i="1"/>
  <c r="Y1049" i="1"/>
  <c r="Y1236" i="1"/>
  <c r="Y1014" i="1"/>
  <c r="Y1512" i="1"/>
  <c r="Y176" i="1"/>
  <c r="Y1334" i="1"/>
  <c r="Y573" i="1"/>
  <c r="Y141" i="1"/>
  <c r="Y248" i="1"/>
  <c r="Y386" i="1"/>
  <c r="Y861" i="1"/>
  <c r="Y651" i="1"/>
  <c r="Y490" i="1"/>
  <c r="Y1238" i="1"/>
  <c r="Y1812" i="1"/>
  <c r="Y679" i="1"/>
  <c r="Y157" i="1"/>
  <c r="Y27" i="1"/>
  <c r="Y424" i="1"/>
  <c r="Y1982" i="1"/>
  <c r="Y1172" i="1"/>
  <c r="Y1429" i="1"/>
  <c r="Y1984" i="1"/>
  <c r="Y302" i="1"/>
  <c r="Y517" i="1"/>
  <c r="Y295" i="1"/>
  <c r="Y743" i="1"/>
  <c r="Y18" i="1"/>
  <c r="Y1711" i="1"/>
  <c r="Y836" i="1"/>
  <c r="Y1762" i="1"/>
  <c r="Y749" i="1"/>
  <c r="Y1934" i="1"/>
  <c r="Y1858" i="1"/>
  <c r="Y1909" i="1"/>
  <c r="Y1901" i="1"/>
  <c r="Y1091" i="1"/>
  <c r="Y1355" i="1"/>
  <c r="Y355" i="1"/>
  <c r="Y885" i="1"/>
  <c r="Y1098" i="1"/>
  <c r="Y526" i="1"/>
  <c r="Y1082" i="1"/>
  <c r="Y1767" i="1"/>
  <c r="Y262" i="1"/>
  <c r="Y1713" i="1"/>
  <c r="Y798" i="1"/>
  <c r="Y1306" i="1"/>
  <c r="Y1852" i="1"/>
  <c r="Y224" i="1"/>
  <c r="Y1935" i="1"/>
  <c r="Y1660" i="1"/>
  <c r="Y1670" i="1"/>
  <c r="Y1740" i="1"/>
  <c r="Y1629" i="1"/>
  <c r="Y1001" i="1"/>
  <c r="Y1250" i="1"/>
  <c r="Y1234" i="1"/>
  <c r="Y1751" i="1"/>
  <c r="Y1597" i="1"/>
  <c r="Y664" i="1"/>
  <c r="Y1051" i="1"/>
  <c r="Y818" i="1"/>
  <c r="Y1372" i="1"/>
  <c r="Y1654" i="1"/>
  <c r="Y1720" i="1"/>
  <c r="Y1276" i="1"/>
  <c r="Y331" i="1"/>
  <c r="Y1609" i="1"/>
  <c r="Y774" i="1"/>
  <c r="Y871" i="1"/>
  <c r="Y1564" i="1"/>
  <c r="Y1619" i="1"/>
  <c r="Y1211" i="1"/>
  <c r="Y1859" i="1"/>
  <c r="Y924" i="1"/>
  <c r="Y1300" i="1"/>
  <c r="Y721" i="1"/>
  <c r="Y76" i="1"/>
  <c r="Y124" i="1"/>
  <c r="Y1572" i="1"/>
  <c r="Y1451" i="1"/>
  <c r="Y1725" i="1"/>
  <c r="Y929" i="1"/>
  <c r="Y950" i="1"/>
  <c r="Y1727" i="1"/>
  <c r="Y734" i="1"/>
  <c r="Y346" i="1"/>
  <c r="Y859" i="1"/>
  <c r="Y1478" i="1"/>
  <c r="Y1148" i="1"/>
  <c r="Y956" i="1"/>
  <c r="Y33" i="1"/>
  <c r="Y1588" i="1"/>
  <c r="Y1529" i="1"/>
  <c r="Y969" i="1"/>
  <c r="Y973" i="1"/>
  <c r="Y494" i="1"/>
  <c r="Y1523" i="1"/>
  <c r="Y16" i="1"/>
  <c r="Y1569" i="1"/>
  <c r="Y761" i="1"/>
  <c r="Y506" i="1"/>
  <c r="Y1398" i="1"/>
  <c r="Y261" i="1"/>
  <c r="Y1293" i="1"/>
  <c r="Y853" i="1"/>
  <c r="Y1804" i="1"/>
  <c r="Y9" i="1"/>
  <c r="Y394" i="1"/>
  <c r="Y580" i="1"/>
  <c r="Y1262" i="1"/>
  <c r="Y465" i="1"/>
  <c r="Y1415" i="1"/>
  <c r="Y1770" i="1"/>
  <c r="Y809" i="1"/>
  <c r="Y858" i="1"/>
  <c r="Y983" i="1"/>
  <c r="Y1628" i="1"/>
  <c r="Y1339" i="1"/>
  <c r="Y1667" i="1"/>
  <c r="Y216" i="1"/>
  <c r="Y712" i="1"/>
  <c r="Y894" i="1"/>
  <c r="Y1171" i="1"/>
  <c r="Y287" i="1"/>
  <c r="Y1212" i="1"/>
  <c r="Y1196" i="1"/>
  <c r="Y1454" i="1"/>
  <c r="Y647" i="1"/>
  <c r="Y907" i="1"/>
  <c r="Y1950" i="1"/>
  <c r="Y1010" i="1"/>
  <c r="Y1605" i="1"/>
  <c r="Y34" i="1"/>
  <c r="Y93" i="1"/>
  <c r="Y1128" i="1"/>
  <c r="Y1120" i="1"/>
  <c r="Y54" i="1"/>
  <c r="Y1105" i="1"/>
  <c r="Y1721" i="1"/>
  <c r="Y1404" i="1"/>
  <c r="Y1330" i="1"/>
  <c r="Y1379" i="1"/>
  <c r="Y1371" i="1"/>
  <c r="Y566" i="1"/>
  <c r="Y832" i="1"/>
  <c r="Y1729" i="1"/>
  <c r="Y296" i="1"/>
  <c r="Y443" i="1"/>
  <c r="Y1389" i="1"/>
  <c r="Y1976" i="1"/>
  <c r="Y1175" i="1"/>
  <c r="Y1695" i="1"/>
  <c r="Y1867" i="1"/>
  <c r="Y278" i="1"/>
  <c r="Y1825" i="1"/>
  <c r="Y1817" i="1"/>
  <c r="Y1662" i="1"/>
  <c r="Y229" i="1"/>
  <c r="Y1072" i="1"/>
  <c r="Y886" i="1"/>
  <c r="Y1440" i="1"/>
  <c r="Y843" i="1"/>
  <c r="Y1726" i="1"/>
  <c r="Y977" i="1"/>
  <c r="Y708" i="1"/>
  <c r="Y1226" i="1"/>
  <c r="Y1506" i="1"/>
  <c r="Y1131" i="1"/>
  <c r="Y396" i="1"/>
  <c r="Y402" i="1"/>
  <c r="Y1261" i="1"/>
  <c r="Y911" i="1"/>
  <c r="Y635" i="1"/>
  <c r="Y1868" i="1"/>
  <c r="Y1919" i="1"/>
  <c r="Y444" i="1"/>
  <c r="Y688" i="1"/>
  <c r="Y546" i="1"/>
  <c r="Y586" i="1"/>
  <c r="Y50" i="1"/>
  <c r="Y1537" i="1"/>
  <c r="Y919" i="1"/>
  <c r="Y1305" i="1"/>
  <c r="Y1364" i="1"/>
  <c r="Y670" i="1"/>
  <c r="Y1178" i="1"/>
  <c r="Y363" i="1"/>
  <c r="Y1613" i="1"/>
  <c r="Y568" i="1"/>
  <c r="Y1434" i="1"/>
  <c r="Y812" i="1"/>
  <c r="Y1145" i="1"/>
  <c r="Y940" i="1"/>
  <c r="Y951" i="1"/>
  <c r="Y1634" i="1"/>
  <c r="Y416" i="1"/>
  <c r="Y1589" i="1"/>
  <c r="Y1528" i="1"/>
  <c r="Y1047" i="1"/>
  <c r="Y1437" i="1"/>
  <c r="Y638" i="1"/>
  <c r="Y1277" i="1"/>
  <c r="Y1570" i="1"/>
  <c r="Y737" i="1"/>
  <c r="Y370" i="1"/>
  <c r="Y1794" i="1"/>
  <c r="Y1299" i="1"/>
  <c r="Y618" i="1"/>
  <c r="Y1828" i="1"/>
  <c r="Y786" i="1"/>
  <c r="Y672" i="1"/>
  <c r="Y127" i="1"/>
  <c r="Y1421" i="1"/>
  <c r="Y1016" i="1"/>
  <c r="Y1137" i="1"/>
  <c r="Y531" i="1"/>
  <c r="Y321" i="1"/>
  <c r="Y883" i="1"/>
  <c r="Y849" i="1"/>
  <c r="Y311" i="1"/>
  <c r="Y1668" i="1"/>
  <c r="Y735" i="1"/>
  <c r="Y909" i="1"/>
  <c r="Y1841" i="1"/>
  <c r="Y1290" i="1"/>
  <c r="Y483" i="1"/>
  <c r="Y784" i="1"/>
  <c r="Y1200" i="1"/>
  <c r="Y188" i="1"/>
  <c r="Y910" i="1"/>
  <c r="Y1622" i="1"/>
  <c r="Y1910" i="1"/>
  <c r="Y605" i="1"/>
  <c r="Y1630" i="1"/>
  <c r="Y115" i="1"/>
  <c r="Y164" i="1"/>
  <c r="Y1587" i="1"/>
  <c r="Y1308" i="1"/>
  <c r="Y1317" i="1"/>
  <c r="Y24" i="1"/>
  <c r="Y66" i="1"/>
  <c r="Y1210" i="1"/>
  <c r="Y266" i="1"/>
  <c r="Y1873" i="1"/>
  <c r="Y449" i="1"/>
  <c r="Y149" i="1"/>
  <c r="Y654" i="1"/>
  <c r="Y1912" i="1"/>
  <c r="Y1089" i="1"/>
  <c r="Y1403" i="1"/>
  <c r="Y601" i="1"/>
  <c r="Y562" i="1"/>
  <c r="Y816" i="1"/>
  <c r="Y677" i="1"/>
  <c r="Y427" i="1"/>
  <c r="Y173" i="1"/>
  <c r="Y250" i="1"/>
  <c r="Y1133" i="1"/>
  <c r="Y1420" i="1"/>
  <c r="Y673" i="1"/>
  <c r="Y1664" i="1"/>
  <c r="Y819" i="1"/>
  <c r="Y569" i="1"/>
  <c r="Y921" i="1"/>
  <c r="Y225" i="1"/>
  <c r="Y14" i="1"/>
  <c r="Y715" i="1"/>
  <c r="Y340" i="1"/>
  <c r="Y799" i="1"/>
  <c r="Y1592" i="1"/>
  <c r="Y267" i="1"/>
  <c r="Y243" i="1"/>
  <c r="Y1037" i="1"/>
  <c r="Y936" i="1"/>
  <c r="Y1011" i="1"/>
  <c r="Y642" i="1"/>
  <c r="Y104" i="1"/>
  <c r="Y1125" i="1"/>
  <c r="Y1353" i="1"/>
  <c r="Y308" i="1"/>
  <c r="Y1663" i="1"/>
  <c r="Y641" i="1"/>
  <c r="Y1525" i="1"/>
  <c r="Y1816" i="1"/>
  <c r="Y325" i="1"/>
  <c r="Y1468" i="1"/>
  <c r="Y1343" i="1"/>
  <c r="Y1486" i="1"/>
  <c r="Y986" i="1"/>
  <c r="Y617" i="1"/>
  <c r="Y1086" i="1"/>
  <c r="Y186" i="1"/>
  <c r="Y1068" i="1"/>
  <c r="Y1354" i="1"/>
  <c r="Y543" i="1"/>
  <c r="Y1599" i="1"/>
  <c r="Y1957" i="1"/>
  <c r="Y439" i="1"/>
  <c r="Y855" i="1"/>
  <c r="Y96" i="1"/>
  <c r="Y1019" i="1"/>
  <c r="Y650" i="1"/>
  <c r="Y1118" i="1"/>
  <c r="Y1134" i="1"/>
  <c r="Y1493" i="1"/>
  <c r="Y631" i="1"/>
  <c r="Y537" i="1"/>
  <c r="Y1070" i="1"/>
  <c r="Y1837" i="1"/>
  <c r="Y1383" i="1"/>
  <c r="Y365" i="1"/>
  <c r="Y166" i="1"/>
  <c r="Y1445" i="1"/>
  <c r="Y544" i="1"/>
  <c r="Y1508" i="1"/>
  <c r="Y372" i="1"/>
  <c r="Y1189" i="1"/>
  <c r="Y1143" i="1"/>
  <c r="Y957" i="1"/>
  <c r="Y1638" i="1"/>
  <c r="Y1162" i="1"/>
  <c r="Y1840" i="1"/>
  <c r="Y1772" i="1"/>
  <c r="Y1793" i="1"/>
  <c r="Y609" i="1"/>
  <c r="Y1782" i="1"/>
  <c r="Y694" i="1"/>
  <c r="Y1554" i="1"/>
  <c r="Y1689" i="1"/>
  <c r="Y1361" i="1"/>
  <c r="Y1501" i="1"/>
  <c r="Y1845" i="1"/>
  <c r="Y1288" i="1"/>
  <c r="Y1575" i="1"/>
  <c r="Y237" i="1"/>
  <c r="Y1811" i="1"/>
  <c r="Y767" i="1"/>
  <c r="Y953" i="1"/>
  <c r="Y1691" i="1"/>
  <c r="Y1831" i="1"/>
  <c r="Y453" i="1"/>
  <c r="Y113" i="1"/>
  <c r="Y1808" i="1"/>
  <c r="Y1877" i="1"/>
  <c r="Y313" i="1"/>
  <c r="Y1190" i="1"/>
  <c r="Y1783" i="1"/>
  <c r="Y1925" i="1"/>
  <c r="Y300" i="1"/>
  <c r="Y553" i="1"/>
  <c r="Y1907" i="1"/>
  <c r="Y563" i="1"/>
  <c r="Y852" i="1"/>
  <c r="Y1423" i="1"/>
  <c r="Y503" i="1"/>
  <c r="Y1688" i="1"/>
  <c r="Y640" i="1"/>
  <c r="Y740" i="1"/>
  <c r="Y1915" i="1"/>
  <c r="Y434" i="1"/>
  <c r="Y1422" i="1"/>
  <c r="Y1449" i="1"/>
  <c r="Y1709" i="1"/>
  <c r="Y414" i="1"/>
  <c r="Y153" i="1"/>
  <c r="Y1280" i="1"/>
  <c r="Y1124" i="1"/>
  <c r="Y1078" i="1"/>
  <c r="Y892" i="1"/>
  <c r="Y1507" i="1"/>
  <c r="Y1555" i="1"/>
  <c r="Y1430" i="1"/>
  <c r="Y197" i="1"/>
  <c r="Y1532" i="1"/>
  <c r="Y512" i="1"/>
  <c r="Y1392" i="1"/>
  <c r="Y1683" i="1"/>
  <c r="Y64" i="1"/>
  <c r="Y1931" i="1"/>
  <c r="Y255" i="1"/>
  <c r="Y1549" i="1"/>
  <c r="Y1182" i="1"/>
  <c r="Y1294" i="1"/>
  <c r="Y276" i="1"/>
  <c r="Y1157" i="1"/>
  <c r="Y599" i="1"/>
  <c r="Y235" i="1"/>
  <c r="Y1856" i="1"/>
  <c r="Y1408" i="1"/>
  <c r="Y699" i="1"/>
  <c r="Y1297" i="1"/>
  <c r="Y454" i="1"/>
  <c r="Y202" i="1"/>
  <c r="Y1084" i="1"/>
  <c r="Y364" i="1"/>
  <c r="Y1604" i="1"/>
  <c r="Y1617" i="1"/>
  <c r="Y22" i="1"/>
  <c r="Y1930" i="1"/>
  <c r="Y905" i="1"/>
  <c r="Y1789" i="1"/>
  <c r="Y1391" i="1"/>
  <c r="Y714" i="1"/>
  <c r="Y1732" i="1"/>
  <c r="Y1938" i="1"/>
  <c r="Y487" i="1"/>
  <c r="Y178" i="1"/>
  <c r="Y1060" i="1"/>
  <c r="Y1466" i="1"/>
  <c r="Y446" i="1"/>
  <c r="Y1327" i="1"/>
  <c r="Y1618" i="1"/>
  <c r="Y1002" i="1"/>
  <c r="Y1864" i="1"/>
  <c r="Y191" i="1"/>
  <c r="Y1286" i="1"/>
  <c r="Y1117" i="1"/>
  <c r="Y306" i="1"/>
  <c r="Y210" i="1"/>
  <c r="Y1092" i="1"/>
  <c r="Y1378" i="1"/>
  <c r="Y138" i="1"/>
  <c r="Y1758" i="1"/>
  <c r="Y284" i="1"/>
  <c r="Y797" i="1"/>
  <c r="Y1329" i="1"/>
  <c r="Y185" i="1"/>
  <c r="Y1647" i="1"/>
  <c r="Y624" i="1"/>
  <c r="Y1247" i="1"/>
  <c r="Y896" i="1"/>
  <c r="Y445" i="1"/>
  <c r="Y381" i="1"/>
  <c r="Y1052" i="1"/>
  <c r="Y1781" i="1"/>
  <c r="Y1402" i="1"/>
  <c r="Y1219" i="1"/>
  <c r="Y181" i="1"/>
  <c r="Y1686" i="1"/>
  <c r="Y805" i="1"/>
  <c r="Y1207" i="1"/>
  <c r="Y904" i="1"/>
  <c r="Y263" i="1"/>
  <c r="Y1217" i="1"/>
  <c r="Y1220" i="1"/>
  <c r="Y1818" i="1"/>
  <c r="Y666" i="1"/>
  <c r="Y1956" i="1"/>
  <c r="Y938" i="1"/>
  <c r="Y713" i="1"/>
  <c r="Y489" i="1"/>
  <c r="Y1839" i="1"/>
  <c r="Y499" i="1"/>
  <c r="Y719" i="1"/>
  <c r="Y1292" i="1"/>
  <c r="Y585" i="1"/>
  <c r="Y1453" i="1"/>
  <c r="Y1265" i="1"/>
  <c r="Y720" i="1"/>
  <c r="Y1028" i="1"/>
  <c r="Y1443" i="1"/>
  <c r="Y785" i="1"/>
  <c r="Y834" i="1"/>
  <c r="Y922" i="1"/>
  <c r="Y373" i="1"/>
  <c r="Y961" i="1"/>
  <c r="Y1216" i="1"/>
  <c r="Y1648" i="1"/>
  <c r="Y1013" i="1"/>
  <c r="Y825" i="1"/>
  <c r="Y1374" i="1"/>
  <c r="Y1952" i="1"/>
  <c r="Y73" i="1"/>
  <c r="Y146" i="1"/>
  <c r="Y552" i="1"/>
  <c r="Y1590" i="1"/>
  <c r="Y1346" i="1"/>
  <c r="Y958" i="1"/>
  <c r="Y1685" i="1"/>
  <c r="Y1844" i="1"/>
  <c r="Y480" i="1"/>
  <c r="Y249" i="1"/>
  <c r="Y316" i="1"/>
  <c r="Y481" i="1"/>
  <c r="Y1715" i="1"/>
  <c r="Y1338" i="1"/>
  <c r="Y1153" i="1"/>
  <c r="Y377" i="1"/>
  <c r="Y468" i="1"/>
  <c r="Y450" i="1"/>
  <c r="Y457" i="1"/>
  <c r="Y1113" i="1"/>
  <c r="Y1797" i="1"/>
  <c r="Y771" i="1"/>
  <c r="Y1656" i="1"/>
  <c r="Y1949" i="1"/>
  <c r="Y520" i="1"/>
  <c r="Y1600" i="1"/>
  <c r="Y1607" i="1"/>
  <c r="Y291" i="1"/>
  <c r="Y57" i="1"/>
  <c r="Y1557" i="1"/>
  <c r="Y536" i="1"/>
  <c r="Y1418" i="1"/>
  <c r="Y863" i="1"/>
  <c r="Y497" i="1"/>
  <c r="Y963" i="1"/>
  <c r="Y1871" i="1"/>
  <c r="Y1206" i="1"/>
  <c r="Y1560" i="1"/>
  <c r="Y1045" i="1"/>
  <c r="Y462" i="1"/>
  <c r="Y1615" i="1"/>
  <c r="Y623" i="1"/>
  <c r="Y259" i="1"/>
  <c r="Y1881" i="1"/>
  <c r="Y674" i="1"/>
  <c r="Y144" i="1"/>
  <c r="Y1166" i="1"/>
  <c r="Y1393" i="1"/>
  <c r="Y1922" i="1"/>
  <c r="Y1240" i="1"/>
  <c r="Y1996" i="1"/>
  <c r="Y479" i="1"/>
  <c r="Y102" i="1"/>
  <c r="Y438" i="1"/>
  <c r="Y1319" i="1"/>
  <c r="Y1730" i="1"/>
  <c r="Y706" i="1"/>
  <c r="Y1591" i="1"/>
  <c r="Y1882" i="1"/>
  <c r="Y390" i="1"/>
  <c r="Y1534" i="1"/>
  <c r="Y1474" i="1"/>
  <c r="Y160" i="1"/>
  <c r="Y1894" i="1"/>
  <c r="Y1491" i="1"/>
  <c r="Y471" i="1"/>
  <c r="Y1352" i="1"/>
  <c r="Y1642" i="1"/>
  <c r="Y399" i="1"/>
  <c r="Y865" i="1"/>
  <c r="Y1264" i="1"/>
  <c r="Y1303" i="1"/>
  <c r="Y1593" i="1"/>
  <c r="Y575" i="1"/>
  <c r="Y1913" i="1"/>
  <c r="Y889" i="1"/>
  <c r="Y1509" i="1"/>
  <c r="Y203" i="1"/>
  <c r="Y342" i="1"/>
  <c r="Y226" i="1"/>
  <c r="Y297" i="1"/>
  <c r="Y890" i="1"/>
  <c r="Y1666" i="1"/>
  <c r="Y109" i="1"/>
  <c r="Y441" i="1"/>
  <c r="Y597" i="1"/>
  <c r="Y593" i="1"/>
  <c r="Y667" i="1"/>
  <c r="Y1272" i="1"/>
  <c r="Y461" i="1"/>
  <c r="Y1477" i="1"/>
  <c r="Y1745" i="1"/>
  <c r="Y182" i="1"/>
  <c r="Y1550" i="1"/>
  <c r="Y1717" i="1"/>
  <c r="Y1527" i="1"/>
  <c r="Y234" i="1"/>
  <c r="Y1255" i="1"/>
  <c r="Y946" i="1"/>
  <c r="Y758" i="1"/>
  <c r="Y1245" i="1"/>
  <c r="Y1819" i="1"/>
  <c r="Y1681" i="1"/>
  <c r="Y1367" i="1"/>
  <c r="Y1764" i="1"/>
  <c r="Y560" i="1"/>
  <c r="Y227" i="1"/>
  <c r="Y1738" i="1"/>
  <c r="Y1309" i="1"/>
  <c r="Y1357" i="1"/>
  <c r="Y1973" i="1"/>
  <c r="Y55" i="1"/>
  <c r="Y1706" i="1"/>
  <c r="Y415" i="1"/>
  <c r="Y1584" i="1"/>
  <c r="Y1273" i="1"/>
  <c r="Y1088" i="1"/>
  <c r="Y312" i="1"/>
  <c r="Y1312" i="1"/>
  <c r="Y1231" i="1"/>
  <c r="Y1368" i="1"/>
  <c r="Y81" i="1"/>
  <c r="Y591" i="1"/>
  <c r="Y1610" i="1"/>
  <c r="Y1480" i="1"/>
  <c r="Y1951" i="1"/>
  <c r="Y232" i="1"/>
  <c r="Y463" i="1"/>
  <c r="Y881" i="1"/>
  <c r="Y97" i="1"/>
  <c r="Y231" i="1"/>
  <c r="Y1649" i="1"/>
  <c r="Y1601" i="1"/>
  <c r="Y949" i="1"/>
  <c r="Y636" i="1"/>
  <c r="Y992" i="1"/>
  <c r="Y975" i="1"/>
  <c r="Y717" i="1"/>
  <c r="Y119" i="1"/>
  <c r="Y848" i="1"/>
  <c r="Y466" i="1"/>
  <c r="Y1057" i="1"/>
  <c r="Y1259" i="1"/>
  <c r="Y156" i="1"/>
  <c r="Y418" i="1"/>
  <c r="Y729" i="1"/>
  <c r="Y2000" i="1"/>
  <c r="Y811" i="1"/>
  <c r="Y1054" i="1"/>
  <c r="Y1573" i="1"/>
  <c r="Y1970" i="1"/>
  <c r="Y219" i="1"/>
  <c r="Y1151" i="1"/>
  <c r="Y44" i="1"/>
  <c r="Y116" i="1"/>
  <c r="Y1058" i="1"/>
  <c r="Y644" i="1"/>
  <c r="Y1000" i="1"/>
  <c r="Y1121" i="1"/>
  <c r="Y475" i="1"/>
  <c r="Y484" i="1"/>
  <c r="Y622" i="1"/>
  <c r="Y1130" i="1"/>
  <c r="Y1034" i="1"/>
  <c r="Y272" i="1"/>
  <c r="Y345" i="1"/>
  <c r="Y1073" i="1"/>
  <c r="Y425" i="1"/>
  <c r="Y711" i="1"/>
  <c r="Y498" i="1"/>
  <c r="Y501" i="1"/>
  <c r="Y1103" i="1"/>
  <c r="Y323" i="1"/>
  <c r="Y1127" i="1"/>
  <c r="Y1701" i="1"/>
  <c r="Y228" i="1"/>
  <c r="Y60" i="1"/>
  <c r="Y1636" i="1"/>
  <c r="Y1965" i="1"/>
  <c r="Y1407" i="1"/>
  <c r="Y92" i="1"/>
  <c r="Y598" i="1"/>
  <c r="Y776" i="1"/>
  <c r="Y1152" i="1"/>
  <c r="Y1090" i="1"/>
  <c r="Y131" i="1"/>
  <c r="Y1801" i="1"/>
  <c r="Y775" i="1"/>
  <c r="Y718" i="1"/>
  <c r="Y401" i="1"/>
  <c r="Y13" i="1"/>
  <c r="Y1036" i="1"/>
  <c r="Y1923" i="1"/>
  <c r="Y1655" i="1"/>
  <c r="Y979" i="1"/>
  <c r="Y1865" i="1"/>
  <c r="Y217" i="1"/>
  <c r="Y681" i="1"/>
  <c r="Y318" i="1"/>
  <c r="Y1821" i="1"/>
  <c r="Y796" i="1"/>
  <c r="Y1680" i="1"/>
  <c r="Y56" i="1"/>
  <c r="Y756" i="1"/>
  <c r="Y1225" i="1"/>
  <c r="Y283" i="1"/>
  <c r="Y1467" i="1"/>
  <c r="Y1824" i="1"/>
  <c r="Y179" i="1"/>
  <c r="Y723" i="1"/>
  <c r="Y1946" i="1"/>
  <c r="Y888" i="1"/>
  <c r="Y521" i="1"/>
  <c r="Y988" i="1"/>
  <c r="Y1003" i="1"/>
  <c r="Y405" i="1"/>
  <c r="Y40" i="1"/>
  <c r="Y1657" i="1"/>
  <c r="Y397" i="1"/>
  <c r="Y375" i="1"/>
  <c r="Y1102" i="1"/>
  <c r="Y1503" i="1"/>
  <c r="Y1302" i="1"/>
  <c r="Y698" i="1"/>
  <c r="Y1583" i="1"/>
  <c r="Y1994" i="1"/>
  <c r="Y971" i="1"/>
  <c r="Y1855" i="1"/>
  <c r="Y1524" i="1"/>
  <c r="Y847" i="1"/>
  <c r="Y1799" i="1"/>
  <c r="Y88" i="1"/>
  <c r="Y615" i="1"/>
  <c r="Y251" i="1"/>
  <c r="Y1756" i="1"/>
  <c r="Y731" i="1"/>
  <c r="Y1616" i="1"/>
  <c r="Y1908" i="1"/>
  <c r="Y659" i="1"/>
  <c r="Y1126" i="1"/>
  <c r="Y1905" i="1"/>
  <c r="Y1566" i="1"/>
  <c r="Y1857" i="1"/>
  <c r="Y970" i="1"/>
  <c r="Y128" i="1"/>
  <c r="Y1150" i="1"/>
  <c r="Y1053" i="1"/>
  <c r="Y1035" i="1"/>
  <c r="Y1108" i="1"/>
  <c r="Y1239" i="1"/>
  <c r="Y567" i="1"/>
  <c r="Y1640" i="1"/>
  <c r="Y1933" i="1"/>
  <c r="Y628" i="1"/>
  <c r="Y701" i="1"/>
  <c r="Y268" i="1"/>
  <c r="Y1690" i="1"/>
  <c r="Y1500" i="1"/>
  <c r="Y1516" i="1"/>
  <c r="Y48" i="1"/>
  <c r="Y1742" i="1"/>
  <c r="Y655" i="1"/>
  <c r="Y702" i="1"/>
  <c r="Y1947" i="1"/>
  <c r="Y241" i="1"/>
  <c r="Y697" i="1"/>
  <c r="Y822" i="1"/>
  <c r="Y1518" i="1"/>
  <c r="Y1208" i="1"/>
  <c r="Y1023" i="1"/>
  <c r="Y245" i="1"/>
  <c r="Y728" i="1"/>
  <c r="Y1576" i="1"/>
  <c r="Y89" i="1"/>
  <c r="Y12" i="1"/>
  <c r="Y90" i="1"/>
  <c r="Y814" i="1"/>
  <c r="Y1612" i="1"/>
  <c r="Y1771" i="1"/>
  <c r="Y1885" i="1"/>
  <c r="Y937" i="1"/>
  <c r="Y682" i="1"/>
  <c r="Y31" i="1"/>
  <c r="Y1565" i="1"/>
  <c r="Y1021" i="1"/>
  <c r="Y1535" i="1"/>
  <c r="Y1348" i="1"/>
  <c r="Y571" i="1"/>
  <c r="Y1425" i="1"/>
  <c r="Y1822" i="1"/>
  <c r="Y1963" i="1"/>
  <c r="Y1978" i="1"/>
  <c r="Y504" i="1"/>
  <c r="Y1874" i="1"/>
  <c r="Y395" i="1"/>
  <c r="Y442" i="1"/>
  <c r="Y528" i="1"/>
  <c r="Y789" i="1"/>
  <c r="Y1044" i="1"/>
  <c r="Y1077" i="1"/>
  <c r="Y1962" i="1"/>
  <c r="Y1574" i="1"/>
  <c r="Y1866" i="1"/>
  <c r="Y500" i="1"/>
  <c r="Y900" i="1"/>
  <c r="Y1515" i="1"/>
  <c r="Y1497" i="1"/>
  <c r="Y982" i="1"/>
  <c r="Y639" i="1"/>
  <c r="Y1110" i="1"/>
  <c r="Y726" i="1"/>
  <c r="Y1579" i="1"/>
  <c r="Y1521" i="1"/>
  <c r="Y417" i="1"/>
  <c r="Y941" i="1"/>
  <c r="Y491" i="1"/>
  <c r="Y844" i="1"/>
  <c r="Y41" i="1"/>
  <c r="Y1697" i="1"/>
  <c r="Y161" i="1"/>
  <c r="Y770" i="1"/>
  <c r="Y1722" i="1"/>
  <c r="Y1411" i="1"/>
  <c r="Y564" i="1"/>
  <c r="Y1488" i="1"/>
  <c r="Y1580" i="1"/>
  <c r="Y908" i="1"/>
  <c r="Y133" i="1"/>
  <c r="Y1645" i="1"/>
  <c r="Y1850" i="1"/>
  <c r="Y1007" i="1"/>
  <c r="Y69" i="1"/>
  <c r="Y77" i="1"/>
  <c r="Y1939" i="1"/>
  <c r="Y925" i="1"/>
  <c r="Y999" i="1"/>
  <c r="Y1728" i="1"/>
  <c r="Y750" i="1"/>
  <c r="Y1301" i="1"/>
  <c r="Y1087" i="1"/>
  <c r="Y1025" i="1"/>
  <c r="Y1627" i="1"/>
  <c r="Y845" i="1"/>
  <c r="Y1651" i="1"/>
  <c r="Y139" i="1"/>
  <c r="Y1067" i="1"/>
  <c r="Y710" i="1"/>
  <c r="Y524" i="1"/>
  <c r="Y75" i="1"/>
  <c r="Y669" i="1"/>
  <c r="Y1006" i="1"/>
  <c r="Y305" i="1"/>
  <c r="Y354" i="1"/>
  <c r="Y1675" i="1"/>
  <c r="Y1614" i="1"/>
  <c r="Y1176" i="1"/>
  <c r="Y294" i="1"/>
  <c r="Y1431" i="1"/>
  <c r="Y1373" i="1"/>
  <c r="Y1315" i="1"/>
  <c r="Y275" i="1"/>
  <c r="Y1296" i="1"/>
  <c r="Y1526" i="1"/>
  <c r="Y136" i="1"/>
  <c r="Y114" i="1"/>
  <c r="Y972" i="1"/>
  <c r="Y738" i="1"/>
  <c r="Y944" i="1"/>
  <c r="Y577" i="1"/>
  <c r="Y38" i="1"/>
  <c r="Y1061" i="1"/>
  <c r="Y1335" i="1"/>
  <c r="Y317" i="1"/>
  <c r="Y1197" i="1"/>
  <c r="Y1485" i="1"/>
  <c r="Y804" i="1"/>
  <c r="Y1731" i="1"/>
  <c r="Y61" i="1"/>
  <c r="Y764" i="1"/>
  <c r="Y987" i="1"/>
  <c r="Y356" i="1"/>
  <c r="Y80" i="1"/>
  <c r="Y780" i="1"/>
  <c r="Y1249" i="1"/>
  <c r="Y1328" i="1"/>
  <c r="Y665" i="1"/>
  <c r="Y301" i="1"/>
  <c r="Y1924" i="1"/>
  <c r="Y1540" i="1"/>
  <c r="Y831" i="1"/>
  <c r="Y1362" i="1"/>
  <c r="Y584" i="1"/>
  <c r="Y29" i="1"/>
  <c r="Y962" i="1"/>
  <c r="Y1846" i="1"/>
  <c r="Y209" i="1"/>
  <c r="Y1232" i="1"/>
  <c r="Y1460" i="1"/>
  <c r="Y5" i="1"/>
  <c r="Y1416" i="1"/>
  <c r="Y906" i="1"/>
  <c r="Y607" i="1"/>
  <c r="Y880" i="1"/>
  <c r="Y513" i="1"/>
  <c r="Y653" i="1"/>
  <c r="Y995" i="1"/>
  <c r="Y1880" i="1"/>
  <c r="Y1897" i="1"/>
  <c r="Y1100" i="1"/>
  <c r="Y1386" i="1"/>
  <c r="Y705" i="1"/>
  <c r="Y1830" i="1"/>
  <c r="Y1499" i="1"/>
  <c r="Y357" i="1"/>
  <c r="Y389" i="1"/>
  <c r="Y23" i="1"/>
  <c r="Y551" i="1"/>
  <c r="Y1955" i="1"/>
  <c r="Y1765" i="1"/>
  <c r="Y1780" i="1"/>
  <c r="Y787" i="1"/>
  <c r="Y1906" i="1"/>
  <c r="Y314" i="1"/>
  <c r="Y1154" i="1"/>
  <c r="Y966" i="1"/>
  <c r="Y1351" i="1"/>
  <c r="Y1625" i="1"/>
  <c r="Y1766" i="1"/>
  <c r="Y63" i="1"/>
  <c r="Y632" i="1"/>
  <c r="Y1376" i="1"/>
  <c r="Y1179" i="1"/>
  <c r="Y1228" i="1"/>
  <c r="Y1183" i="1"/>
  <c r="Y739" i="1"/>
  <c r="Y1639" i="1"/>
  <c r="Y350" i="1"/>
  <c r="Y955" i="1"/>
  <c r="Y1469" i="1"/>
  <c r="Y1283" i="1"/>
  <c r="Y507" i="1"/>
  <c r="Y1253" i="1"/>
  <c r="Y218" i="1"/>
  <c r="Y838" i="1"/>
  <c r="Y120" i="1"/>
  <c r="Y675" i="1"/>
  <c r="Y1914" i="1"/>
  <c r="Y1876" i="1"/>
  <c r="Y1546" i="1"/>
  <c r="Y793" i="1"/>
  <c r="Y724" i="1"/>
  <c r="Y472" i="1"/>
  <c r="Y945" i="1"/>
  <c r="Y71" i="1"/>
  <c r="Y1181" i="1"/>
  <c r="Y1800" i="1"/>
  <c r="Y369" i="1"/>
  <c r="Y833" i="1"/>
  <c r="Y406" i="1"/>
  <c r="Y930" i="1"/>
  <c r="Y1899" i="1"/>
  <c r="Y519" i="1"/>
  <c r="Y1093" i="1"/>
  <c r="Y118" i="1"/>
  <c r="Y918" i="1"/>
  <c r="Y967" i="1"/>
  <c r="Y1679" i="1"/>
  <c r="Y1558" i="1"/>
  <c r="Y1698" i="1"/>
  <c r="Y1714" i="1"/>
  <c r="Y201" i="1"/>
  <c r="Y1838" i="1"/>
  <c r="Y183" i="1"/>
  <c r="Y1024" i="1"/>
  <c r="Y1161" i="1"/>
  <c r="Y298" i="1"/>
  <c r="Y411" i="1"/>
  <c r="Y1243" i="1"/>
  <c r="Y535" i="1"/>
  <c r="Y170" i="1"/>
  <c r="Y1790" i="1"/>
  <c r="Y1278" i="1"/>
  <c r="Y634" i="1"/>
  <c r="Y1233" i="1"/>
  <c r="Y258" i="1"/>
  <c r="Y137" i="1"/>
  <c r="Y840" i="1"/>
  <c r="Y299" i="1"/>
  <c r="Y1320" i="1"/>
  <c r="Y1598" i="1"/>
  <c r="Y576" i="1"/>
  <c r="Y1459" i="1"/>
  <c r="Y1750" i="1"/>
  <c r="Y194" i="1"/>
  <c r="Y1995" i="1"/>
  <c r="Y322" i="1"/>
  <c r="Y1747" i="1"/>
  <c r="Y1248" i="1"/>
  <c r="Y1359" i="1"/>
  <c r="Y341" i="1"/>
  <c r="Y1223" i="1"/>
  <c r="Y1511" i="1"/>
  <c r="Y269" i="1"/>
  <c r="Y928" i="1"/>
  <c r="Y561" i="1"/>
  <c r="Y1029" i="1"/>
  <c r="Y43" i="1"/>
  <c r="Y1271" i="1"/>
  <c r="Y1626" i="1"/>
  <c r="Y1174" i="1"/>
  <c r="Y1854" i="1"/>
  <c r="Y1224" i="1"/>
  <c r="Y1452" i="1"/>
  <c r="Y470" i="1"/>
  <c r="Y106" i="1"/>
  <c r="Y1724" i="1"/>
  <c r="Y722" i="1"/>
  <c r="Y505" i="1"/>
  <c r="Y1167" i="1"/>
  <c r="Y129" i="1"/>
  <c r="Y72" i="1"/>
  <c r="Y772" i="1"/>
  <c r="Y233" i="1"/>
  <c r="Y1256" i="1"/>
  <c r="Y1484" i="1"/>
  <c r="Y762" i="1"/>
  <c r="Y1360" i="1"/>
  <c r="Y1650" i="1"/>
  <c r="Y292" i="1"/>
  <c r="Y1435" i="1"/>
  <c r="Y437" i="1"/>
  <c r="Y747" i="1"/>
  <c r="Y648" i="1"/>
  <c r="Y285" i="1"/>
  <c r="Y145" i="1"/>
  <c r="Y1890" i="1"/>
  <c r="Y874" i="1"/>
  <c r="Y324" i="1"/>
  <c r="Y309" i="1"/>
  <c r="Y1510" i="1"/>
  <c r="Y172" i="1"/>
  <c r="Y1677" i="1"/>
  <c r="Y1227" i="1"/>
  <c r="Y429" i="1"/>
  <c r="Y1062" i="1"/>
  <c r="Y1199" i="1"/>
  <c r="Y978" i="1"/>
  <c r="Y162" i="1"/>
  <c r="Y1545" i="1"/>
  <c r="Y1704" i="1"/>
  <c r="Y1754" i="1"/>
  <c r="Y112" i="1"/>
  <c r="Y488" i="1"/>
  <c r="Y511" i="1"/>
  <c r="Y1986" i="1"/>
  <c r="Y1116" i="1"/>
  <c r="Y1733" i="1"/>
  <c r="Y238" i="1"/>
  <c r="Y766" i="1"/>
  <c r="Y37" i="1"/>
  <c r="Y334" i="1"/>
  <c r="Y15" i="1"/>
  <c r="Y422" i="1"/>
  <c r="Y36" i="1"/>
  <c r="Y1847" i="1"/>
  <c r="Y304" i="1"/>
  <c r="Y1356" i="1"/>
  <c r="Y6" i="1"/>
  <c r="Y1492" i="1"/>
  <c r="Y1632" i="1"/>
  <c r="Y1318" i="1"/>
  <c r="Y920" i="1"/>
  <c r="Y1773" i="1"/>
  <c r="Y53" i="1"/>
  <c r="Y893" i="1"/>
  <c r="Y1096" i="1"/>
  <c r="Y1287" i="1"/>
  <c r="Y1519" i="1"/>
  <c r="Y1658" i="1"/>
  <c r="Y39" i="1"/>
  <c r="Y293" i="1"/>
  <c r="Y1413" i="1"/>
  <c r="Y1441" i="1"/>
  <c r="Y1489" i="1"/>
  <c r="Y689" i="1"/>
  <c r="Y1823" i="1"/>
  <c r="Y1633" i="1"/>
  <c r="Y257" i="1"/>
  <c r="Y242" i="1"/>
  <c r="Y1444" i="1"/>
  <c r="Y108" i="1"/>
  <c r="Y1547" i="1"/>
  <c r="Y1582" i="1"/>
  <c r="Y820" i="1"/>
  <c r="Y934" i="1"/>
  <c r="Y1505" i="1"/>
  <c r="Y795" i="1"/>
  <c r="Y431" i="1"/>
  <c r="Y898" i="1"/>
  <c r="Y1805" i="1"/>
  <c r="Y1141" i="1"/>
  <c r="Y1494" i="1"/>
  <c r="Y913" i="1"/>
  <c r="Y398" i="1"/>
  <c r="Y1482" i="1"/>
  <c r="Y559" i="1"/>
  <c r="Y195" i="1"/>
  <c r="Y1862" i="1"/>
  <c r="Y839" i="1"/>
  <c r="Y1723" i="1"/>
  <c r="Y1326" i="1"/>
  <c r="Y649" i="1"/>
  <c r="Y1665" i="1"/>
  <c r="Y1739" i="1"/>
  <c r="Y421" i="1"/>
  <c r="Y122" i="1"/>
  <c r="Y1623" i="1"/>
  <c r="Y600" i="1"/>
  <c r="Y1483" i="1"/>
  <c r="Y1775" i="1"/>
  <c r="Y529" i="1"/>
  <c r="Y121" i="1"/>
  <c r="Y823" i="1"/>
  <c r="Y1289" i="1"/>
  <c r="Y413" i="1"/>
  <c r="Y1533" i="1"/>
  <c r="Y1891" i="1"/>
  <c r="Y310" i="1"/>
  <c r="Y332" i="1"/>
  <c r="Y98" i="1"/>
  <c r="Y1716" i="1"/>
  <c r="Y730" i="1"/>
  <c r="Y366" i="1"/>
  <c r="Y1988" i="1"/>
  <c r="Y1671" i="1"/>
  <c r="Y1076" i="1"/>
  <c r="Y1428" i="1"/>
  <c r="Y779" i="1"/>
  <c r="Y333" i="1"/>
  <c r="Y1417" i="1"/>
  <c r="Y495" i="1"/>
  <c r="Y130" i="1"/>
  <c r="Y1749" i="1"/>
  <c r="Y349" i="1"/>
  <c r="Y1624" i="1"/>
  <c r="Y1916" i="1"/>
  <c r="Y1012" i="1"/>
  <c r="Y1699" i="1"/>
  <c r="Y608" i="1"/>
  <c r="Y1142" i="1"/>
  <c r="Y912" i="1"/>
  <c r="Y545" i="1"/>
  <c r="Y1027" i="1"/>
  <c r="Y1321" i="1"/>
  <c r="Y1461" i="1"/>
  <c r="Y169" i="1"/>
  <c r="Y897" i="1"/>
  <c r="Y1774" i="1"/>
  <c r="Y433" i="1"/>
  <c r="Y589" i="1"/>
  <c r="Y117" i="1"/>
  <c r="Y65" i="1"/>
  <c r="Y1981" i="1"/>
  <c r="Y1791" i="1"/>
  <c r="Y496" i="1"/>
  <c r="Y748" i="1"/>
  <c r="Y1810" i="1"/>
  <c r="Y1969" i="1"/>
  <c r="Y663" i="1"/>
  <c r="Y1198" i="1"/>
  <c r="Y407" i="1"/>
  <c r="Y813" i="1"/>
  <c r="Y854" i="1"/>
  <c r="Y1707" i="1"/>
  <c r="Y1997" i="1"/>
  <c r="Y759" i="1"/>
  <c r="Y1031" i="1"/>
  <c r="Y788" i="1"/>
  <c r="Y1165" i="1"/>
  <c r="Y732" i="1"/>
  <c r="Y1337" i="1"/>
  <c r="Y1458" i="1"/>
  <c r="Y1281" i="1"/>
  <c r="Y826" i="1"/>
  <c r="Y1620" i="1"/>
  <c r="Y707" i="1"/>
  <c r="Y1427" i="1"/>
  <c r="Y1567" i="1"/>
  <c r="Y193" i="1"/>
  <c r="Y763" i="1"/>
  <c r="Y1377" i="1"/>
  <c r="Y42" i="1"/>
  <c r="Y1414" i="1"/>
  <c r="Y378" i="1"/>
  <c r="Y1419" i="1"/>
  <c r="Y1631" i="1"/>
  <c r="Y1213" i="1"/>
  <c r="Y954" i="1"/>
  <c r="Y1384" i="1"/>
  <c r="Y1676" i="1"/>
  <c r="Y1836" i="1"/>
  <c r="Y403" i="1"/>
  <c r="Y326" i="1"/>
  <c r="Y1257" i="1"/>
  <c r="Y1394" i="1"/>
  <c r="Y846" i="1"/>
  <c r="Y830" i="1"/>
  <c r="Y1708" i="1"/>
  <c r="Y368" i="1"/>
  <c r="Y459" i="1"/>
  <c r="Y508" i="1"/>
  <c r="Y134" i="1"/>
  <c r="Y1457" i="1"/>
  <c r="Y1769" i="1"/>
  <c r="Y1608" i="1"/>
  <c r="Y1900" i="1"/>
  <c r="Y1513" i="1"/>
  <c r="Y1473" i="1"/>
  <c r="Y1129" i="1"/>
  <c r="Y1201" i="1"/>
  <c r="Y835" i="1"/>
  <c r="Y1471" i="1"/>
  <c r="Y744" i="1"/>
  <c r="Y447" i="1"/>
  <c r="Y1559" i="1"/>
  <c r="Y1369" i="1"/>
  <c r="Y1682" i="1"/>
  <c r="Y1158" i="1"/>
  <c r="Y1311" i="1"/>
  <c r="Y525" i="1"/>
  <c r="Y572" i="1"/>
  <c r="Y887" i="1"/>
  <c r="Y516" i="1"/>
  <c r="Y184" i="1"/>
  <c r="Y1539" i="1"/>
  <c r="Y1194" i="1"/>
  <c r="Y902" i="1"/>
  <c r="Y1694" i="1"/>
  <c r="Y1902" i="1"/>
  <c r="Y150" i="1"/>
  <c r="Y1342" i="1"/>
  <c r="Y352" i="1"/>
  <c r="Y1953" i="1"/>
  <c r="Y35" i="1"/>
  <c r="Y1465" i="1"/>
  <c r="Y570" i="1"/>
  <c r="Y307" i="1"/>
  <c r="Y1111" i="1"/>
  <c r="Y1119" i="1"/>
  <c r="Y1594" i="1"/>
  <c r="Y1659" i="1"/>
  <c r="Y265" i="1"/>
  <c r="Y1195" i="1"/>
  <c r="Y1099" i="1"/>
  <c r="Y337" i="1"/>
  <c r="Y410" i="1"/>
  <c r="Y1138" i="1"/>
  <c r="Y101" i="1"/>
  <c r="Y95" i="1"/>
  <c r="Y1160" i="1"/>
  <c r="Y123" i="1"/>
  <c r="Y1184" i="1"/>
  <c r="Y753" i="1"/>
  <c r="Y207" i="1"/>
  <c r="Y1345" i="1"/>
  <c r="Y1186" i="1"/>
  <c r="Y1652" i="1"/>
  <c r="Y548" i="1"/>
  <c r="Y1275" i="1"/>
  <c r="Y419" i="1"/>
  <c r="Y1743" i="1"/>
  <c r="Y1678" i="1"/>
  <c r="Y196" i="1"/>
  <c r="Y204" i="1"/>
  <c r="Y155" i="1"/>
  <c r="Y253" i="1"/>
  <c r="Y1325" i="1"/>
  <c r="Y574" i="1"/>
  <c r="Y467" i="1"/>
  <c r="Y540" i="1"/>
  <c r="Y1268" i="1"/>
  <c r="Y555" i="1"/>
  <c r="Y1571" i="1"/>
  <c r="Y1282" i="1"/>
  <c r="Y1221" i="1"/>
  <c r="Y260" i="1"/>
  <c r="Y790" i="1"/>
  <c r="Y741" i="1"/>
  <c r="Y1018" i="1"/>
  <c r="Y736" i="1"/>
  <c r="Y769" i="1"/>
  <c r="Y1851" i="1"/>
  <c r="Y691" i="1"/>
  <c r="Y1159" i="1"/>
  <c r="Y152" i="1"/>
  <c r="Y1400" i="1"/>
  <c r="Y1759" i="1"/>
  <c r="Y49" i="1"/>
  <c r="Y658" i="1"/>
  <c r="Y1879" i="1"/>
  <c r="Y821" i="1"/>
  <c r="Y455" i="1"/>
  <c r="Y79" i="1"/>
  <c r="Y1101" i="1"/>
  <c r="Y1987" i="1"/>
  <c r="Y1788" i="1"/>
  <c r="Y1109" i="1"/>
  <c r="Y1932" i="1"/>
  <c r="Y348" i="1"/>
  <c r="Y746" i="1"/>
  <c r="Y383" i="1"/>
  <c r="Y1887" i="1"/>
  <c r="Y864" i="1"/>
  <c r="Y1748" i="1"/>
  <c r="Y1433" i="1"/>
  <c r="Y1399" i="1"/>
  <c r="Y382" i="1"/>
  <c r="Y1263" i="1"/>
  <c r="Y1552" i="1"/>
  <c r="Y872" i="1"/>
  <c r="Y1798" i="1"/>
  <c r="Y126" i="1"/>
  <c r="Y1401" i="1"/>
  <c r="Y657" i="1"/>
  <c r="Y358" i="1"/>
  <c r="Y1980" i="1"/>
  <c r="Y994" i="1"/>
  <c r="Y625" i="1"/>
  <c r="Y1094" i="1"/>
  <c r="Y21" i="1"/>
  <c r="Y1336" i="1"/>
  <c r="Y1692" i="1"/>
  <c r="Y1304" i="1"/>
  <c r="Y592" i="1"/>
  <c r="Y1813" i="1"/>
  <c r="Y754" i="1"/>
  <c r="Y391" i="1"/>
  <c r="Y856" i="1"/>
  <c r="Y873" i="1"/>
  <c r="Y1888" i="1"/>
  <c r="Y1829" i="1"/>
  <c r="Y211" i="1"/>
  <c r="Y1964" i="1"/>
  <c r="Y1442" i="1"/>
  <c r="Y277" i="1"/>
  <c r="Y105" i="1"/>
  <c r="Y806" i="1"/>
  <c r="Y1551" i="1"/>
  <c r="Y47" i="1"/>
  <c r="Y3" i="1"/>
  <c r="Y755" i="1"/>
  <c r="Y423" i="1"/>
  <c r="Y882" i="1"/>
  <c r="Y693" i="1"/>
  <c r="Y1114" i="1"/>
  <c r="Y637" i="1"/>
  <c r="Y1948" i="1"/>
  <c r="Y84" i="1"/>
  <c r="Y7" i="1"/>
  <c r="Y1085" i="1"/>
  <c r="Y1517" i="1"/>
  <c r="Y174" i="1"/>
  <c r="Y1291" i="1"/>
  <c r="Y187" i="1"/>
  <c r="Y1426" i="1"/>
  <c r="Y1173" i="1"/>
  <c r="Y20" i="1"/>
  <c r="Y374" i="1"/>
  <c r="Y1971" i="1"/>
  <c r="Y867" i="1"/>
  <c r="Y1284" i="1"/>
  <c r="Y246" i="1"/>
  <c r="Y30" i="1"/>
  <c r="Y1757" i="1"/>
  <c r="Y1898" i="1"/>
  <c r="Y1581" i="1"/>
  <c r="Y527" i="1"/>
  <c r="Y1543" i="1"/>
  <c r="Y1349" i="1"/>
  <c r="Y1884" i="1"/>
  <c r="Y168" i="1"/>
  <c r="Y1191" i="1"/>
  <c r="Y1004" i="1"/>
  <c r="Y778" i="1"/>
  <c r="Y1863" i="1"/>
  <c r="Y1641" i="1"/>
  <c r="Y303" i="1"/>
  <c r="Y1944" i="1"/>
  <c r="Y901" i="1"/>
  <c r="Y1313" i="1"/>
  <c r="Y1375" i="1"/>
  <c r="Y1310" i="1"/>
  <c r="Y154" i="1"/>
  <c r="Y1979" i="1"/>
  <c r="Y1943" i="1"/>
  <c r="Y51" i="1"/>
  <c r="Y926" i="1"/>
  <c r="Y1815" i="1"/>
  <c r="Y1848" i="1"/>
  <c r="Y1989" i="1"/>
  <c r="Y690" i="1"/>
  <c r="Y32" i="1"/>
  <c r="Y1972" i="1"/>
  <c r="Y627" i="1"/>
  <c r="Y984" i="1"/>
  <c r="Y1032" i="1"/>
  <c r="Y1169" i="1"/>
  <c r="Y338" i="1"/>
  <c r="Y68" i="1"/>
  <c r="Y1872" i="1"/>
  <c r="Y86" i="1"/>
  <c r="Y1777" i="1"/>
  <c r="Y94" i="1"/>
  <c r="Y135" i="1"/>
  <c r="Y1463" i="1"/>
  <c r="Y1358" i="1"/>
  <c r="Y426" i="1"/>
  <c r="Y1269" i="1"/>
  <c r="Y1954" i="1"/>
  <c r="Y996" i="1"/>
  <c r="Y1135" i="1"/>
  <c r="Y583" i="1"/>
  <c r="Y683" i="1"/>
  <c r="Y247" i="1"/>
  <c r="Y1050" i="1"/>
  <c r="Y1097" i="1"/>
  <c r="Y199" i="1"/>
  <c r="Y1040" i="1"/>
  <c r="Y704" i="1"/>
  <c r="Y1870" i="1"/>
  <c r="Y200" i="1"/>
  <c r="Y1424" i="1"/>
  <c r="Y645" i="1"/>
  <c r="Y458" i="1"/>
  <c r="Y336" i="1"/>
  <c r="Y289" i="1"/>
  <c r="Y1267" i="1"/>
  <c r="Y534" i="1"/>
  <c r="Y620" i="1"/>
  <c r="Y1705" i="1"/>
  <c r="Y1095" i="1"/>
  <c r="Y828" i="1"/>
  <c r="Y1635" i="1"/>
  <c r="Y1643" i="1"/>
  <c r="Y1921" i="1"/>
  <c r="Y412" i="1"/>
  <c r="Y189" i="1"/>
  <c r="Y142" i="1"/>
  <c r="Y1672" i="1"/>
  <c r="Y991" i="1"/>
  <c r="Y1065" i="1"/>
  <c r="Y1795" i="1"/>
  <c r="Y686" i="1"/>
  <c r="Y680" i="1"/>
  <c r="Y1684" i="1"/>
  <c r="Y643" i="1"/>
  <c r="Y1718" i="1"/>
  <c r="Y330" i="1"/>
  <c r="Y783" i="1"/>
  <c r="Y1940" i="1"/>
  <c r="Y1843" i="1"/>
  <c r="Y476" i="1"/>
  <c r="Y1202" i="1"/>
  <c r="Y1603" i="1"/>
  <c r="Y1008" i="1"/>
  <c r="Y180" i="1"/>
  <c r="Y1945" i="1"/>
  <c r="Y716" i="1"/>
  <c r="Y725" i="1"/>
  <c r="Y676" i="1"/>
  <c r="Y842" i="1"/>
  <c r="Y273" i="1"/>
  <c r="Y1149" i="1"/>
  <c r="Y1252" i="1"/>
  <c r="Y1324" i="1"/>
  <c r="Y1928" i="1"/>
  <c r="Y948" i="1"/>
  <c r="Y485" i="1"/>
  <c r="Y1809" i="1"/>
  <c r="Y464" i="1"/>
  <c r="Y781" i="1"/>
  <c r="Y1314" i="1"/>
  <c r="Y1266" i="1"/>
  <c r="Y1205" i="1"/>
  <c r="Y1390" i="1"/>
  <c r="Y1475" i="1"/>
  <c r="Y1577" i="1"/>
  <c r="Y240" i="1"/>
  <c r="Y810" i="1"/>
  <c r="Y1802" i="1"/>
  <c r="Y70" i="1"/>
  <c r="Y1568" i="1"/>
  <c r="Y1959" i="1"/>
  <c r="Y192" i="1"/>
  <c r="Y581" i="1"/>
  <c r="Y271" i="1"/>
  <c r="Y329" i="1"/>
  <c r="Y1274" i="1"/>
  <c r="Y1990" i="1"/>
  <c r="Y1522" i="1"/>
  <c r="Y1669" i="1"/>
  <c r="Y1448" i="1"/>
  <c r="Y931" i="1"/>
  <c r="Y384" i="1"/>
  <c r="Y420" i="1"/>
  <c r="Y45" i="1"/>
  <c r="Y837" i="1"/>
  <c r="Y917" i="1"/>
  <c r="Y1209" i="1"/>
  <c r="Y807" i="1"/>
  <c r="Y857" i="1"/>
  <c r="Y46" i="1"/>
  <c r="Y1139" i="1"/>
  <c r="Y1333" i="1"/>
  <c r="Y1316" i="1"/>
  <c r="Y1410" i="1"/>
  <c r="Y542" i="1"/>
  <c r="Y1298" i="1"/>
  <c r="Y1074" i="1"/>
  <c r="Y28" i="1"/>
  <c r="Y1911" i="1"/>
  <c r="Y190" i="1"/>
  <c r="Y452" i="1"/>
  <c r="Y700" i="1"/>
  <c r="Y1260" i="1"/>
  <c r="Y1611" i="1"/>
  <c r="Y1602" i="1"/>
  <c r="Y1005" i="1"/>
  <c r="Y1055" i="1"/>
  <c r="Y522" i="1"/>
  <c r="Y1481" i="1"/>
  <c r="Y1544" i="1"/>
  <c r="Y1835" i="1"/>
  <c r="Y685" i="1"/>
  <c r="Y1661" i="1"/>
  <c r="Y933" i="1"/>
  <c r="Y621" i="1"/>
  <c r="Y980" i="1"/>
  <c r="Y652" i="1"/>
  <c r="Y1039" i="1"/>
  <c r="Y1853" i="1"/>
  <c r="Y1432" i="1"/>
  <c r="Y1487" i="1"/>
  <c r="Y1081" i="1"/>
  <c r="Y876" i="1"/>
  <c r="Y1832" i="1"/>
  <c r="Y1834" i="1"/>
  <c r="Y974" i="1"/>
  <c r="Y478" i="1"/>
  <c r="Y99" i="1"/>
  <c r="Y939" i="1"/>
  <c r="Y1504" i="1"/>
  <c r="Y965" i="1"/>
  <c r="Y492" i="1"/>
  <c r="Y869" i="1"/>
  <c r="Y1447" i="1"/>
  <c r="Y151" i="1"/>
  <c r="Y408" i="1"/>
  <c r="Y1966" i="1"/>
  <c r="Y1156" i="1"/>
  <c r="Y899" i="1"/>
  <c r="Y1861" i="1"/>
  <c r="Y361" i="1"/>
  <c r="Y927" i="1"/>
  <c r="Y547" i="1"/>
  <c r="Y1737" i="1"/>
  <c r="Y19" i="1"/>
  <c r="Y264" i="1"/>
  <c r="Y1893" i="1"/>
  <c r="Y1136" i="1"/>
  <c r="Y359" i="1"/>
  <c r="Y286" i="1"/>
  <c r="Y335" i="1"/>
  <c r="Y327" i="1"/>
  <c r="Y1746" i="1"/>
  <c r="Y1875" i="1"/>
  <c r="Y549" i="1"/>
  <c r="Y1340" i="1"/>
  <c r="Y678" i="1"/>
  <c r="Y1719" i="1"/>
  <c r="Y662" i="1"/>
  <c r="Y1889" i="1"/>
  <c r="Y254" i="1"/>
  <c r="Y1752" i="1"/>
  <c r="Y270" i="1"/>
  <c r="Y773" i="1"/>
  <c r="Y765" i="1"/>
  <c r="Y976" i="1"/>
  <c r="Y794" i="1"/>
  <c r="Y1115" i="1"/>
  <c r="Y1644" i="1"/>
  <c r="Y964" i="1"/>
  <c r="Y1826" i="1"/>
  <c r="Y1784" i="1"/>
  <c r="Y1961" i="1"/>
  <c r="Y960" i="1"/>
  <c r="Y1218" i="1"/>
  <c r="Y1936" i="1"/>
  <c r="Y968" i="1"/>
  <c r="Y1323" i="1"/>
  <c r="Y215" i="1"/>
  <c r="Y125" i="1"/>
  <c r="Y1693" i="1"/>
  <c r="Y626" i="1"/>
  <c r="Y1556" i="1"/>
  <c r="Y752" i="1"/>
  <c r="Y1048" i="1"/>
  <c r="Y1985" i="1"/>
  <c r="Y602" i="1"/>
  <c r="Y578" i="1"/>
  <c r="Y1204" i="1"/>
  <c r="Y239" i="1"/>
  <c r="Y932" i="1"/>
  <c r="Y380" i="1"/>
  <c r="Y1187" i="1"/>
  <c r="Y148" i="1"/>
  <c r="Y477" i="1"/>
  <c r="Y533" i="1"/>
  <c r="Y1744" i="1"/>
  <c r="Y1020" i="1"/>
  <c r="Y829" i="1"/>
  <c r="Y290" i="1"/>
  <c r="Y208" i="1"/>
  <c r="Y1180" i="1"/>
  <c r="Y532" i="1"/>
  <c r="Y1741" i="1"/>
  <c r="Y328" i="1"/>
  <c r="Y59" i="1"/>
  <c r="Y684" i="1"/>
  <c r="Y347" i="1"/>
  <c r="Y1188" i="1"/>
  <c r="Y456" i="1"/>
  <c r="Y1214" i="1"/>
  <c r="Y1405" i="1"/>
  <c r="Y1785" i="1"/>
  <c r="Y916" i="1"/>
  <c r="Y1926" i="1"/>
  <c r="Y1974" i="1"/>
  <c r="Y1438" i="1"/>
  <c r="Y630" i="1"/>
  <c r="Y376" i="1"/>
  <c r="Y1203" i="1"/>
  <c r="Y1999" i="1"/>
  <c r="Y339" i="1"/>
  <c r="Y473" i="1"/>
  <c r="Y1147" i="1"/>
  <c r="Y1502" i="1"/>
  <c r="Y1177" i="1"/>
  <c r="Y320" i="1"/>
  <c r="Y1192" i="1"/>
  <c r="Y1132" i="1"/>
  <c r="Y1917" i="1"/>
  <c r="Y1107" i="1"/>
  <c r="Y1892" i="1"/>
  <c r="Y1285" i="1"/>
  <c r="Y1347" i="1"/>
  <c r="Y1637" i="1"/>
  <c r="Y1041" i="1"/>
  <c r="Y26" i="1"/>
  <c r="Y1388" i="1"/>
  <c r="Y1975" i="1"/>
  <c r="Y851" i="1"/>
  <c r="Y1562" i="1"/>
  <c r="Y1792" i="1"/>
  <c r="Y1043" i="1"/>
  <c r="Y252" i="1"/>
  <c r="Y244" i="1"/>
  <c r="Y387" i="1"/>
  <c r="Y78" i="1"/>
  <c r="Y460" i="1"/>
  <c r="Y1056" i="1"/>
  <c r="Y1702" i="1"/>
  <c r="Y1496" i="1"/>
  <c r="Y1258" i="1"/>
  <c r="Y1696" i="1"/>
  <c r="Y436" i="1"/>
  <c r="Y692" i="1"/>
  <c r="Y1341" i="1"/>
  <c r="Y1860" i="1"/>
  <c r="Y344" i="1"/>
  <c r="Y1700" i="1"/>
  <c r="Y515" i="1"/>
  <c r="Y1168" i="1"/>
  <c r="Y1270" i="1"/>
  <c r="Y768" i="1"/>
  <c r="Y1778" i="1"/>
  <c r="Y132" i="1"/>
  <c r="Y163" i="1"/>
  <c r="Y82" i="1"/>
  <c r="Y58" i="1"/>
  <c r="Y614" i="1"/>
  <c r="Y1123" i="1"/>
  <c r="Y279" i="1"/>
  <c r="Y1244" i="1"/>
  <c r="Y274" i="1"/>
  <c r="Y158" i="1"/>
  <c r="Y1563" i="1"/>
  <c r="Y1621" i="1"/>
  <c r="Y1479" i="1"/>
  <c r="Y430" i="1"/>
  <c r="Y1585" i="1"/>
  <c r="Y1796" i="1"/>
  <c r="Y1820" i="1"/>
  <c r="Y656" i="1"/>
  <c r="Y10" i="1"/>
  <c r="Y1476" i="1"/>
  <c r="Y11" i="1"/>
  <c r="Y214" i="1"/>
  <c r="Y935" i="1"/>
  <c r="Y1495" i="1"/>
  <c r="Y1998" i="1"/>
  <c r="Y1395" i="1"/>
  <c r="Y1446" i="1"/>
  <c r="Y915" i="1"/>
  <c r="Y111" i="1"/>
  <c r="Y1942" i="1"/>
  <c r="Y613" i="1"/>
  <c r="Y1735" i="1"/>
  <c r="Y1163" i="1"/>
  <c r="Y590" i="1"/>
  <c r="Y362" i="1"/>
  <c r="Y914" i="1"/>
  <c r="Y587" i="1"/>
  <c r="Y1083" i="1"/>
  <c r="Y1710" i="1"/>
  <c r="Y606" i="1"/>
  <c r="Y1387" i="1"/>
  <c r="Y582" i="1"/>
  <c r="Y1363" i="1"/>
  <c r="Y760" i="1"/>
  <c r="Y824" i="1"/>
  <c r="Y1042" i="1"/>
  <c r="Y862" i="1"/>
  <c r="Y1396" i="1"/>
  <c r="Y800" i="1"/>
  <c r="Y1380" i="1"/>
  <c r="Y198" i="1"/>
  <c r="Y1235" i="1"/>
  <c r="Y220" i="1"/>
  <c r="Y518" i="1"/>
  <c r="Y1026" i="1"/>
  <c r="Y757" i="1"/>
  <c r="Y1406" i="1"/>
  <c r="Y1687" i="1"/>
  <c r="Y1983" i="1"/>
  <c r="Y140" i="1"/>
  <c r="Y1112" i="1"/>
  <c r="Y952" i="1"/>
  <c r="Y733" i="1"/>
  <c r="Y1768" i="1"/>
  <c r="Y1155" i="1"/>
  <c r="Y107" i="1"/>
  <c r="Y751" i="1"/>
  <c r="Y1927" i="1"/>
  <c r="Y17" i="1"/>
  <c r="Y1409" i="1"/>
  <c r="Y1977" i="1"/>
  <c r="Y895" i="1"/>
  <c r="Y1531" i="1"/>
  <c r="Y353" i="1"/>
  <c r="Y1578" i="1"/>
  <c r="Y541" i="1"/>
  <c r="Y91" i="1"/>
  <c r="Y594" i="1"/>
  <c r="Y1878" i="1"/>
  <c r="Y878" i="1"/>
  <c r="Y1490" i="1"/>
  <c r="Y687" i="1"/>
  <c r="Y1307" i="1"/>
  <c r="Y379" i="1"/>
  <c r="Y1017" i="1"/>
  <c r="Y782" i="1"/>
  <c r="Y52" i="1"/>
  <c r="Y1941" i="1"/>
  <c r="Y1450" i="1"/>
  <c r="Y1295" i="1"/>
  <c r="Y1903" i="1"/>
  <c r="Y1992" i="1"/>
  <c r="Y604" i="1"/>
  <c r="Y1251" i="1"/>
  <c r="Y1344" i="1"/>
  <c r="Y360" i="1"/>
  <c r="Y997" i="1"/>
  <c r="Y1586" i="1"/>
  <c r="Y1059" i="1"/>
  <c r="Y558" i="1"/>
  <c r="Y557" i="1"/>
  <c r="Y610" i="1"/>
  <c r="Y1075" i="1"/>
  <c r="Y875" i="1"/>
  <c r="Y1350" i="1"/>
  <c r="Y509" i="1"/>
  <c r="Y1806" i="1"/>
  <c r="Y1332" i="1"/>
  <c r="Y428" i="1"/>
  <c r="Y660" i="1"/>
  <c r="Y866" i="1"/>
  <c r="Y841" i="1"/>
  <c r="Y1920" i="1"/>
  <c r="Y236" i="1"/>
  <c r="Y451" i="1"/>
  <c r="Y143" i="1"/>
  <c r="Y808" i="1"/>
  <c r="Y83" i="1"/>
  <c r="Y791" i="1"/>
  <c r="Y1439" i="1"/>
  <c r="Y579" i="1"/>
  <c r="Y1849" i="1"/>
  <c r="Y860" i="1"/>
  <c r="Y502" i="1"/>
  <c r="Y171" i="1"/>
  <c r="Y817" i="1"/>
  <c r="Y1033" i="1"/>
  <c r="Y1064" i="1"/>
  <c r="Y1436" i="1"/>
  <c r="Y523" i="1"/>
  <c r="Y103" i="1"/>
  <c r="Y212" i="1"/>
  <c r="Y1242" i="1"/>
  <c r="Y629" i="1"/>
  <c r="Y745" i="1"/>
  <c r="Y165" i="1"/>
  <c r="Y1331" i="1"/>
  <c r="Y1937" i="1"/>
  <c r="Y510" i="1"/>
  <c r="Y1382" i="1"/>
  <c r="Y371" i="1"/>
  <c r="Y942" i="1"/>
  <c r="Y1595" i="1"/>
  <c r="Y661" i="1"/>
  <c r="Y1365" i="1"/>
  <c r="Y147" i="1"/>
  <c r="Y74" i="1"/>
  <c r="Y1548" i="1"/>
  <c r="Y1968" i="1"/>
  <c r="Y703" i="1"/>
  <c r="Y1712" i="1"/>
  <c r="Y393" i="1"/>
  <c r="Y1530" i="1"/>
  <c r="Y493" i="1"/>
  <c r="Y1761" i="1"/>
  <c r="Y1753" i="1"/>
  <c r="Y1674" i="1"/>
  <c r="Y616" i="1"/>
  <c r="Y1069" i="1"/>
  <c r="Y1366" i="1"/>
  <c r="Y1464" i="1"/>
  <c r="Y85" i="1"/>
  <c r="Y990" i="1"/>
  <c r="Y1164" i="1"/>
  <c r="Y2" i="1"/>
  <c r="C10" i="5" s="1"/>
  <c r="Y1807" i="1"/>
  <c r="Y1455" i="1"/>
  <c r="Y777" i="1"/>
  <c r="Y1140" i="1"/>
  <c r="Y603" i="1"/>
  <c r="Y1066" i="1"/>
  <c r="Y367" i="1"/>
  <c r="Y1827" i="1"/>
  <c r="Y1246" i="1"/>
  <c r="Y1229" i="1"/>
  <c r="Y868" i="1"/>
  <c r="Y923" i="1"/>
  <c r="Y1412" i="1"/>
  <c r="Y1015" i="1"/>
  <c r="Y1381" i="1"/>
  <c r="Y87" i="1"/>
  <c r="Y803" i="1"/>
  <c r="Y514" i="1"/>
  <c r="Y1146" i="1"/>
  <c r="Y611" i="1"/>
  <c r="Y1185" i="1"/>
  <c r="Y1122" i="1"/>
  <c r="Y1222" i="1"/>
  <c r="Y792" i="1"/>
  <c r="Y1779" i="1"/>
  <c r="Y1536" i="1"/>
  <c r="Y696" i="1"/>
  <c r="Y539" i="1"/>
  <c r="Y351" i="1"/>
  <c r="Y827" i="1"/>
  <c r="Y1106" i="1"/>
  <c r="Y801" i="1"/>
  <c r="Y1215" i="1"/>
  <c r="Y815" i="1"/>
  <c r="Y1787" i="1"/>
  <c r="Y343" i="1"/>
  <c r="Y1763" i="1"/>
  <c r="Y319" i="1"/>
  <c r="Y1883" i="1"/>
  <c r="Y943" i="1"/>
  <c r="Y1755" i="1"/>
  <c r="Y221" i="1"/>
  <c r="Y2001" i="1"/>
  <c r="Y281" i="1"/>
  <c r="Y850" i="1"/>
  <c r="Y167" i="1"/>
  <c r="Y1322" i="1"/>
  <c r="Y1833" i="1"/>
  <c r="Y695" i="1"/>
  <c r="Y879" i="1"/>
  <c r="Y230" i="1"/>
  <c r="Y612" i="1"/>
  <c r="Y409" i="1"/>
  <c r="Y1673" i="1"/>
  <c r="Y671" i="1"/>
  <c r="Y1646" i="1"/>
  <c r="Y1776" i="1"/>
  <c r="Y1760" i="1"/>
  <c r="Y1786" i="1"/>
  <c r="Y159" i="1"/>
  <c r="Y884" i="1"/>
  <c r="Y742" i="1"/>
  <c r="Y1606" i="1"/>
  <c r="Y1967" i="1"/>
  <c r="Y1734" i="1"/>
  <c r="Y565" i="1"/>
  <c r="Y1869" i="1"/>
  <c r="Y985" i="1"/>
  <c r="Y1046" i="1"/>
  <c r="Y1104" i="1"/>
  <c r="Y1144" i="1"/>
  <c r="Y1896" i="1"/>
  <c r="Y1653" i="1"/>
  <c r="Y1803" i="1"/>
  <c r="Y288" i="1"/>
  <c r="Y1842" i="1"/>
  <c r="Y1960" i="1"/>
  <c r="Y633" i="1"/>
  <c r="Y596" i="1"/>
  <c r="Y385" i="1"/>
  <c r="Y1904" i="1"/>
  <c r="Y1385" i="1"/>
  <c r="Y177" i="1"/>
  <c r="Y1814" i="1"/>
  <c r="Y1472" i="1"/>
  <c r="Y1991" i="1"/>
  <c r="Y998" i="1"/>
  <c r="Y205" i="1"/>
  <c r="Y588" i="1"/>
</calcChain>
</file>

<file path=xl/sharedStrings.xml><?xml version="1.0" encoding="utf-8"?>
<sst xmlns="http://schemas.openxmlformats.org/spreadsheetml/2006/main" count="24805" uniqueCount="5253">
  <si>
    <t>Order ID</t>
  </si>
  <si>
    <t>Order Date</t>
  </si>
  <si>
    <t>Customer Name</t>
  </si>
  <si>
    <t>Customer Email</t>
  </si>
  <si>
    <t>Product Name</t>
  </si>
  <si>
    <t>Category</t>
  </si>
  <si>
    <t>SKU</t>
  </si>
  <si>
    <t>Quantity</t>
  </si>
  <si>
    <t>Unit Price</t>
  </si>
  <si>
    <t>Discount Code</t>
  </si>
  <si>
    <t>Discount Amount</t>
  </si>
  <si>
    <t>Shipping</t>
  </si>
  <si>
    <t>Total</t>
  </si>
  <si>
    <t>Payment Method</t>
  </si>
  <si>
    <t>Channel</t>
  </si>
  <si>
    <t>Order Status</t>
  </si>
  <si>
    <t>Country</t>
  </si>
  <si>
    <t>State</t>
  </si>
  <si>
    <t>City</t>
  </si>
  <si>
    <t>#1001</t>
  </si>
  <si>
    <t>Glenn Mcmahon</t>
  </si>
  <si>
    <t>glenn.mcmahon733@yahoo.com</t>
  </si>
  <si>
    <t>Home &amp; Kitchen</t>
  </si>
  <si>
    <t>HK-BTL-750</t>
  </si>
  <si>
    <t>SAVE20</t>
  </si>
  <si>
    <t>$2.60</t>
  </si>
  <si>
    <t>Google Pay</t>
  </si>
  <si>
    <t>Online Store</t>
  </si>
  <si>
    <t>pending</t>
  </si>
  <si>
    <t>United States</t>
  </si>
  <si>
    <t>Georgia</t>
  </si>
  <si>
    <t>Jamesfurt</t>
  </si>
  <si>
    <t>#1002</t>
  </si>
  <si>
    <t>Miranda Gray</t>
  </si>
  <si>
    <t>miranda.gray649@yahoo.com</t>
  </si>
  <si>
    <t>Portable Power Bank 10000mAh</t>
  </si>
  <si>
    <t>Electronics</t>
  </si>
  <si>
    <t>ELC-PWB-10K</t>
  </si>
  <si>
    <t>FREESHIP</t>
  </si>
  <si>
    <t>Shopify Payments</t>
  </si>
  <si>
    <t>Facebook</t>
  </si>
  <si>
    <t>refunded</t>
  </si>
  <si>
    <t>Pakistan</t>
  </si>
  <si>
    <t>Port Davidshire</t>
  </si>
  <si>
    <t>#1003</t>
  </si>
  <si>
    <t>thomas.rojas667@icloud.com</t>
  </si>
  <si>
    <t>Slim Fit Denim Jeans</t>
  </si>
  <si>
    <t>Apparel</t>
  </si>
  <si>
    <t>JNS-BLU-32</t>
  </si>
  <si>
    <t>Credit Card</t>
  </si>
  <si>
    <t>fulfilled</t>
  </si>
  <si>
    <t>North Carolina</t>
  </si>
  <si>
    <t>West Cynthialand</t>
  </si>
  <si>
    <t>#1004</t>
  </si>
  <si>
    <t>Robyn Hughes</t>
  </si>
  <si>
    <t>robyn.hughes771@gmail.com</t>
  </si>
  <si>
    <t>Scented Soy Candle - Vanilla</t>
  </si>
  <si>
    <t>HK-CND-VAN</t>
  </si>
  <si>
    <t>New York</t>
  </si>
  <si>
    <t>New Debra</t>
  </si>
  <si>
    <t>#1005</t>
  </si>
  <si>
    <t>Sharon Brown</t>
  </si>
  <si>
    <t>sharon.brown14@gmail.com</t>
  </si>
  <si>
    <t>Classic Cotton T-Shirt</t>
  </si>
  <si>
    <t>TSH-BLK-L</t>
  </si>
  <si>
    <t>WELCOME10</t>
  </si>
  <si>
    <t>Apple Pay</t>
  </si>
  <si>
    <t>Illinois</t>
  </si>
  <si>
    <t>Lake Angel</t>
  </si>
  <si>
    <t>#1006</t>
  </si>
  <si>
    <t>Joshua Anderson</t>
  </si>
  <si>
    <t>joshua.anderson662@gmail.com</t>
  </si>
  <si>
    <t>PayPal</t>
  </si>
  <si>
    <t>Canada</t>
  </si>
  <si>
    <t>Joshuastad</t>
  </si>
  <si>
    <t>#1007</t>
  </si>
  <si>
    <t>Maria Leon</t>
  </si>
  <si>
    <t>maria.leon163@outlook.com</t>
  </si>
  <si>
    <t>Adjustable Dumbbell Set</t>
  </si>
  <si>
    <t>Sports &amp; Outdoors</t>
  </si>
  <si>
    <t>SP-DMB-ADJ</t>
  </si>
  <si>
    <t>North Rebeccaland</t>
  </si>
  <si>
    <t>#1008</t>
  </si>
  <si>
    <t>austin norris</t>
  </si>
  <si>
    <t>austin.norris15@gmail.com</t>
  </si>
  <si>
    <t>Running Shoes - Women's</t>
  </si>
  <si>
    <t>Footwear</t>
  </si>
  <si>
    <t>FTW-RUN-W</t>
  </si>
  <si>
    <t>Instagram</t>
  </si>
  <si>
    <t>Florida</t>
  </si>
  <si>
    <t>South Kaitlyn</t>
  </si>
  <si>
    <t>#1009</t>
  </si>
  <si>
    <t>Jennifer Burke</t>
  </si>
  <si>
    <t>jennifer.burke472@icloud.com</t>
  </si>
  <si>
    <t>save20</t>
  </si>
  <si>
    <t>$131.98</t>
  </si>
  <si>
    <t>cancelled</t>
  </si>
  <si>
    <t>Reneemouth</t>
  </si>
  <si>
    <t>#1010</t>
  </si>
  <si>
    <t>04-08-2026 14:06</t>
  </si>
  <si>
    <t>Robert Miller</t>
  </si>
  <si>
    <t>robert.miller69@yahoo.com</t>
  </si>
  <si>
    <t>Leather Wallet - Brown</t>
  </si>
  <si>
    <t>Accessories</t>
  </si>
  <si>
    <t>ACC-WLT-BRN</t>
  </si>
  <si>
    <t>Australia</t>
  </si>
  <si>
    <t>Ortizview</t>
  </si>
  <si>
    <t>#1011</t>
  </si>
  <si>
    <t>Patricia Townsend</t>
  </si>
  <si>
    <t>Yoga Mat - Extra Thick</t>
  </si>
  <si>
    <t>SP-YGM-EX</t>
  </si>
  <si>
    <t>POS</t>
  </si>
  <si>
    <t>Ohio</t>
  </si>
  <si>
    <t>West Stephentown</t>
  </si>
  <si>
    <t>#1012</t>
  </si>
  <si>
    <t>Karen Jones</t>
  </si>
  <si>
    <t>karen.jones287@icloud.com</t>
  </si>
  <si>
    <t>Stainless Steel Water Bottle</t>
  </si>
  <si>
    <t>BFCM25</t>
  </si>
  <si>
    <t>$14.73</t>
  </si>
  <si>
    <t>South Joseph</t>
  </si>
  <si>
    <t>#1013</t>
  </si>
  <si>
    <t>Anthony Patterson</t>
  </si>
  <si>
    <t>anthony.patterson944@gmail.com</t>
  </si>
  <si>
    <t>Resistance Bands Set</t>
  </si>
  <si>
    <t>SP-RBS-SET</t>
  </si>
  <si>
    <t>West Denisemouth</t>
  </si>
  <si>
    <t>#1014</t>
  </si>
  <si>
    <t>Frederick Bean</t>
  </si>
  <si>
    <t>frederick.bean141@outlook.com</t>
  </si>
  <si>
    <t>Polarized Sunglasses</t>
  </si>
  <si>
    <t>ACC-SUN-01</t>
  </si>
  <si>
    <t>Kimberlychester</t>
  </si>
  <si>
    <t>#1015</t>
  </si>
  <si>
    <t>Linda Byrd</t>
  </si>
  <si>
    <t>linda.byrd87@outlook.com</t>
  </si>
  <si>
    <t>Deanstad</t>
  </si>
  <si>
    <t>#1016</t>
  </si>
  <si>
    <t>Rachel Jimenez</t>
  </si>
  <si>
    <t>rachel.jimenez326@outlook.com</t>
  </si>
  <si>
    <t>Texas</t>
  </si>
  <si>
    <t>Larsonchester</t>
  </si>
  <si>
    <t>#1017</t>
  </si>
  <si>
    <t>2026-08-04</t>
  </si>
  <si>
    <t>John Jacobs</t>
  </si>
  <si>
    <t>john.jacobs137@yahoo.com</t>
  </si>
  <si>
    <t>Hooded Sweatshirt</t>
  </si>
  <si>
    <t>APR-HOD-GRY</t>
  </si>
  <si>
    <t>South Beverlyton</t>
  </si>
  <si>
    <t>#1018</t>
  </si>
  <si>
    <t>Mary Phillips</t>
  </si>
  <si>
    <t>mary.phillips944@yahoo.com</t>
  </si>
  <si>
    <t>Wireless Bluetooth Earbuds</t>
  </si>
  <si>
    <t>ELC-WBE-01</t>
  </si>
  <si>
    <t>Guerraton</t>
  </si>
  <si>
    <t>#1019</t>
  </si>
  <si>
    <t>Alison Schroeder</t>
  </si>
  <si>
    <t>alison.schroeder943@icloud.com</t>
  </si>
  <si>
    <t>West Jonathanview</t>
  </si>
  <si>
    <t>#1020</t>
  </si>
  <si>
    <t>John Carson</t>
  </si>
  <si>
    <t>john.carson203@yahoo.com</t>
  </si>
  <si>
    <t>Nathanieltown</t>
  </si>
  <si>
    <t>#1021</t>
  </si>
  <si>
    <t>Tyler Williams</t>
  </si>
  <si>
    <t>tyler.williams938@outlook.com</t>
  </si>
  <si>
    <t>Backpack - 25L</t>
  </si>
  <si>
    <t>ACC-BPK-25L</t>
  </si>
  <si>
    <t>$32.99</t>
  </si>
  <si>
    <t>North Michellestad</t>
  </si>
  <si>
    <t>#1022</t>
  </si>
  <si>
    <t>Aug 04, 2026</t>
  </si>
  <si>
    <t>Rebecca Watts</t>
  </si>
  <si>
    <t>rebecca.watts779@gmail.com</t>
  </si>
  <si>
    <t>Tammystad</t>
  </si>
  <si>
    <t>#1023</t>
  </si>
  <si>
    <t>Angela Carr</t>
  </si>
  <si>
    <t>angela.carr488@yahoo.com</t>
  </si>
  <si>
    <t>Hansenberg</t>
  </si>
  <si>
    <t>#1024</t>
  </si>
  <si>
    <t>Michelle Bell</t>
  </si>
  <si>
    <t>michelle.bell28@yahoo.com</t>
  </si>
  <si>
    <t>Wireless Mouse</t>
  </si>
  <si>
    <t>ELC-MSE-WL</t>
  </si>
  <si>
    <t>$0.00</t>
  </si>
  <si>
    <t>$16.98</t>
  </si>
  <si>
    <t>Michaelmouth</t>
  </si>
  <si>
    <t>#1025</t>
  </si>
  <si>
    <t>Amanda Robinson</t>
  </si>
  <si>
    <t>amanda.robinson263@icloud.com</t>
  </si>
  <si>
    <t>Facial Cleanser 200ml</t>
  </si>
  <si>
    <t>Beauty</t>
  </si>
  <si>
    <t>BTY-CLN-200</t>
  </si>
  <si>
    <t>Martineztown</t>
  </si>
  <si>
    <t>#1026</t>
  </si>
  <si>
    <t>Amanda Rodriguez</t>
  </si>
  <si>
    <t>amanda.rodriguez770@yahoo.com</t>
  </si>
  <si>
    <t>Port Brittneyview</t>
  </si>
  <si>
    <t>#1027</t>
  </si>
  <si>
    <t>Sandra Wilson</t>
  </si>
  <si>
    <t>sandra.wilson554@outlook.com</t>
  </si>
  <si>
    <t>Vitamin C Serum 30ml</t>
  </si>
  <si>
    <t>BTY-SRM-30</t>
  </si>
  <si>
    <t>VIP15</t>
  </si>
  <si>
    <t>Hollyport</t>
  </si>
  <si>
    <t>#1028</t>
  </si>
  <si>
    <t>Andrea Martinez</t>
  </si>
  <si>
    <t>andrea.martinez756@yahoo.com</t>
  </si>
  <si>
    <t>$9.99</t>
  </si>
  <si>
    <t>East Sarah</t>
  </si>
  <si>
    <t>#1029</t>
  </si>
  <si>
    <t>Terrymouth</t>
  </si>
  <si>
    <t>#1030</t>
  </si>
  <si>
    <t>Kenneth Davis</t>
  </si>
  <si>
    <t>kenneth.davis106@yahoo.com</t>
  </si>
  <si>
    <t>Millerside</t>
  </si>
  <si>
    <t>#1031</t>
  </si>
  <si>
    <t>Donaldshire</t>
  </si>
  <si>
    <t>#1032</t>
  </si>
  <si>
    <t>Joe Taylor</t>
  </si>
  <si>
    <t>joe.taylor714@yahoo.com</t>
  </si>
  <si>
    <t>Throw Blanket - Fleece</t>
  </si>
  <si>
    <t>HK-BLK-FLC</t>
  </si>
  <si>
    <t>Germany</t>
  </si>
  <si>
    <t>New Marciatown</t>
  </si>
  <si>
    <t>#1033</t>
  </si>
  <si>
    <t>Anthony Marshall</t>
  </si>
  <si>
    <t>anthony.marshall823@yahoo.com</t>
  </si>
  <si>
    <t>vip15</t>
  </si>
  <si>
    <t>Timothyton</t>
  </si>
  <si>
    <t>#1034</t>
  </si>
  <si>
    <t>Amy Barnett</t>
  </si>
  <si>
    <t>Joshuaborough</t>
  </si>
  <si>
    <t>#1035</t>
  </si>
  <si>
    <t>Glenn Smith</t>
  </si>
  <si>
    <t>glenn.smith305@gmail.com</t>
  </si>
  <si>
    <t>Kids Building Blocks Set</t>
  </si>
  <si>
    <t>Toys</t>
  </si>
  <si>
    <t>TOY-BLK-SET</t>
  </si>
  <si>
    <t>East Jeffreybury</t>
  </si>
  <si>
    <t>#1036</t>
  </si>
  <si>
    <t>Diane Campos</t>
  </si>
  <si>
    <t>diane.campos325@gmail.com</t>
  </si>
  <si>
    <t>Washington</t>
  </si>
  <si>
    <t>West Patrickmouth</t>
  </si>
  <si>
    <t>#1037</t>
  </si>
  <si>
    <t>Tamara Dodson</t>
  </si>
  <si>
    <t>tamara.dodson539@gmail.com</t>
  </si>
  <si>
    <t>Williamfort</t>
  </si>
  <si>
    <t>#1038</t>
  </si>
  <si>
    <t>04-08-2026 13:58</t>
  </si>
  <si>
    <t>William Houston</t>
  </si>
  <si>
    <t>Greenfurt</t>
  </si>
  <si>
    <t>#1039</t>
  </si>
  <si>
    <t>Rivera, Thomas</t>
  </si>
  <si>
    <t>thomas.rivera720@yahoo.com</t>
  </si>
  <si>
    <t>$3.50</t>
  </si>
  <si>
    <t>Lake Tiffany</t>
  </si>
  <si>
    <t>#1040</t>
  </si>
  <si>
    <t xml:space="preserve">  Monica Hicks</t>
  </si>
  <si>
    <t>monica.hicks473@yahoo.com</t>
  </si>
  <si>
    <t>USB-C Fast Charger 20W</t>
  </si>
  <si>
    <t>ELC-CHG-20</t>
  </si>
  <si>
    <t>West Lanceview</t>
  </si>
  <si>
    <t>#1041</t>
  </si>
  <si>
    <t>Dustin Griffin</t>
  </si>
  <si>
    <t>dustin.griffin434@gmail.com</t>
  </si>
  <si>
    <t>Ceramic Coffee Mug Set (4pc)</t>
  </si>
  <si>
    <t>HK-MUG-4PK</t>
  </si>
  <si>
    <t>Mooretown</t>
  </si>
  <si>
    <t>#1042</t>
  </si>
  <si>
    <t>Angie Martin</t>
  </si>
  <si>
    <t>angie.martin506@icloud.com</t>
  </si>
  <si>
    <t>West Travis</t>
  </si>
  <si>
    <t>#1043</t>
  </si>
  <si>
    <t>Linda Scott</t>
  </si>
  <si>
    <t>linda.scott2@icloud.com</t>
  </si>
  <si>
    <t>North Tonyfurt</t>
  </si>
  <si>
    <t>#1044</t>
  </si>
  <si>
    <t>Non-Stick Frying Pan 10in</t>
  </si>
  <si>
    <t>HK-PAN-10</t>
  </si>
  <si>
    <t>Bakerborough</t>
  </si>
  <si>
    <t>#1045</t>
  </si>
  <si>
    <t>Jose Ingram</t>
  </si>
  <si>
    <t>jose.ingram37@gmail.com</t>
  </si>
  <si>
    <t>Port Rosebury</t>
  </si>
  <si>
    <t>#1046</t>
  </si>
  <si>
    <t>Kristen Lewis</t>
  </si>
  <si>
    <t>kristen.lewis649@icloud.com</t>
  </si>
  <si>
    <t>North Jacqueline</t>
  </si>
  <si>
    <t>#1047</t>
  </si>
  <si>
    <t>Michael Jacobson</t>
  </si>
  <si>
    <t>michael.jacobson69@outlook.com</t>
  </si>
  <si>
    <t>$33.48</t>
  </si>
  <si>
    <t>Craigmouth</t>
  </si>
  <si>
    <t>#1048</t>
  </si>
  <si>
    <t>Andrew Johnson</t>
  </si>
  <si>
    <t>andrew.johnson94@outlook.com</t>
  </si>
  <si>
    <t>Briannahaven</t>
  </si>
  <si>
    <t>#1049</t>
  </si>
  <si>
    <t>Byrd, Linda</t>
  </si>
  <si>
    <t>Robertfurt</t>
  </si>
  <si>
    <t>#1050</t>
  </si>
  <si>
    <t>Tina Singh</t>
  </si>
  <si>
    <t>tina.singh98@icloud.com</t>
  </si>
  <si>
    <t>Port Angela</t>
  </si>
  <si>
    <t>#1051</t>
  </si>
  <si>
    <t>Paul Dillon</t>
  </si>
  <si>
    <t>paul.dillon750@icloud.com</t>
  </si>
  <si>
    <t>Phone Case - Clear</t>
  </si>
  <si>
    <t>ELC-CSE-CLR</t>
  </si>
  <si>
    <t>Comptonstad</t>
  </si>
  <si>
    <t>#1052</t>
  </si>
  <si>
    <t>Leon Oliver</t>
  </si>
  <si>
    <t>leon.oliver578@gmail.com</t>
  </si>
  <si>
    <t>Samuelshire</t>
  </si>
  <si>
    <t>#1053</t>
  </si>
  <si>
    <t>Anthony Parsons</t>
  </si>
  <si>
    <t>$15.49</t>
  </si>
  <si>
    <t>Alexanderland</t>
  </si>
  <si>
    <t>#1054</t>
  </si>
  <si>
    <t>Stacey Johnson</t>
  </si>
  <si>
    <t>stacey.johnson95@gmail.com</t>
  </si>
  <si>
    <t>Lake Jeffrey</t>
  </si>
  <si>
    <t>#1055</t>
  </si>
  <si>
    <t>Anthony Mullen</t>
  </si>
  <si>
    <t>anthony.mullen523@yahoo.com</t>
  </si>
  <si>
    <t>Geraldhaven</t>
  </si>
  <si>
    <t>#1056</t>
  </si>
  <si>
    <t>Lauren Nguyen</t>
  </si>
  <si>
    <t>lauren.nguyen819@outlook.com</t>
  </si>
  <si>
    <t>United Kingdom</t>
  </si>
  <si>
    <t>North Christopherview</t>
  </si>
  <si>
    <t>#1057</t>
  </si>
  <si>
    <t>Melissa Smith</t>
  </si>
  <si>
    <t>melissa.smith711@gmail.com</t>
  </si>
  <si>
    <t>Nancymouth</t>
  </si>
  <si>
    <t>#1058</t>
  </si>
  <si>
    <t>04-08-2026 13:54</t>
  </si>
  <si>
    <t>Amanda Harris</t>
  </si>
  <si>
    <t>$34.99</t>
  </si>
  <si>
    <t>Arizona</t>
  </si>
  <si>
    <t>Lake Alyssa</t>
  </si>
  <si>
    <t>#1059</t>
  </si>
  <si>
    <t>william.houston340@outlook.com</t>
  </si>
  <si>
    <t>Mooreport</t>
  </si>
  <si>
    <t>#1060</t>
  </si>
  <si>
    <t>Heather Davis</t>
  </si>
  <si>
    <t>heather.davis117@icloud.com</t>
  </si>
  <si>
    <t>East Tiffany</t>
  </si>
  <si>
    <t>#1061</t>
  </si>
  <si>
    <t>West Charles</t>
  </si>
  <si>
    <t>#1062</t>
  </si>
  <si>
    <t>Lisa Flowers</t>
  </si>
  <si>
    <t>lisa.flowers14@icloud.com</t>
  </si>
  <si>
    <t>Port Patriciaborough</t>
  </si>
  <si>
    <t>#1063</t>
  </si>
  <si>
    <t>Robert Boyd</t>
  </si>
  <si>
    <t>robert.boyd184@yahoo.com</t>
  </si>
  <si>
    <t>North Ariel</t>
  </si>
  <si>
    <t>#1064</t>
  </si>
  <si>
    <t>Running Shoes - Men's</t>
  </si>
  <si>
    <t>FTW-RUN-M</t>
  </si>
  <si>
    <t>$54.99</t>
  </si>
  <si>
    <t>Arroyomouth</t>
  </si>
  <si>
    <t>#1065</t>
  </si>
  <si>
    <t>Jaime Vargas</t>
  </si>
  <si>
    <t>jaime.vargas795@outlook.com</t>
  </si>
  <si>
    <t>North Victoriamouth</t>
  </si>
  <si>
    <t>#1066</t>
  </si>
  <si>
    <t>Kristen Aguirre</t>
  </si>
  <si>
    <t>kristen.aguirre898@gmail.com</t>
  </si>
  <si>
    <t>Dennisborough</t>
  </si>
  <si>
    <t>#1067</t>
  </si>
  <si>
    <t>freeship</t>
  </si>
  <si>
    <t>Lake Josehaven</t>
  </si>
  <si>
    <t>#1068</t>
  </si>
  <si>
    <t>Mary Garcia</t>
  </si>
  <si>
    <t>mary.garcia899@icloud.com</t>
  </si>
  <si>
    <t>Lake Rebecca</t>
  </si>
  <si>
    <t>#1069</t>
  </si>
  <si>
    <t>Kristina Cook</t>
  </si>
  <si>
    <t>kristina.cook392@outlook.com</t>
  </si>
  <si>
    <t>Copelandburgh</t>
  </si>
  <si>
    <t>#1070</t>
  </si>
  <si>
    <t>Shelly Griffith</t>
  </si>
  <si>
    <t>shelly.griffith342@icloud.com</t>
  </si>
  <si>
    <t>Lake Michele</t>
  </si>
  <si>
    <t>#1071</t>
  </si>
  <si>
    <t>Kathryn Robinson</t>
  </si>
  <si>
    <t>kathryn.robinson965@gmail.com</t>
  </si>
  <si>
    <t>BFCM25 </t>
  </si>
  <si>
    <t>South Katherine</t>
  </si>
  <si>
    <t>#1072</t>
  </si>
  <si>
    <t>Katie Coleman</t>
  </si>
  <si>
    <t>katie.coleman262@outlook.com</t>
  </si>
  <si>
    <t>Kennethfurt</t>
  </si>
  <si>
    <t>#1073</t>
  </si>
  <si>
    <t>Brittney Thomas</t>
  </si>
  <si>
    <t>brittney.thomas484@gmail.com</t>
  </si>
  <si>
    <t>Moyerstad</t>
  </si>
  <si>
    <t>#1074</t>
  </si>
  <si>
    <t>$11.99</t>
  </si>
  <si>
    <t>West Loganbury</t>
  </si>
  <si>
    <t>#1075</t>
  </si>
  <si>
    <t>Dustin Ward</t>
  </si>
  <si>
    <t>dustin.ward756@icloud.com</t>
  </si>
  <si>
    <t>Lake Stephanieville</t>
  </si>
  <si>
    <t>#1076</t>
  </si>
  <si>
    <t>Chad Smith</t>
  </si>
  <si>
    <t>chad.smith773@icloud.com</t>
  </si>
  <si>
    <t>North Andreafort</t>
  </si>
  <si>
    <t>#1077</t>
  </si>
  <si>
    <t>Cody Murray</t>
  </si>
  <si>
    <t>cody.murray456@gmail.com</t>
  </si>
  <si>
    <t>Haydenport</t>
  </si>
  <si>
    <t>#1078</t>
  </si>
  <si>
    <t>Sandra Potter</t>
  </si>
  <si>
    <t>sandra.potter166@yahoo.com</t>
  </si>
  <si>
    <t>South Moniquehaven</t>
  </si>
  <si>
    <t>#1079</t>
  </si>
  <si>
    <t>Nicole Taylor</t>
  </si>
  <si>
    <t>nicole.taylor607@icloud.com</t>
  </si>
  <si>
    <t>Port Traviston</t>
  </si>
  <si>
    <t>#1080</t>
  </si>
  <si>
    <t>Andrew Jones</t>
  </si>
  <si>
    <t>andrew.jones338@icloud.com</t>
  </si>
  <si>
    <t>Fitzgeraldtown</t>
  </si>
  <si>
    <t>#1081</t>
  </si>
  <si>
    <t>Lake Franciscoton</t>
  </si>
  <si>
    <t>#1082</t>
  </si>
  <si>
    <t>Michele Davis</t>
  </si>
  <si>
    <t>michele.davis844@gmail.com</t>
  </si>
  <si>
    <t>$15.38</t>
  </si>
  <si>
    <t>Perkinschester</t>
  </si>
  <si>
    <t>#1083</t>
  </si>
  <si>
    <t>Johnathan Sloan</t>
  </si>
  <si>
    <t>johnathan.sloan721@outlook.com</t>
  </si>
  <si>
    <t>$11.00</t>
  </si>
  <si>
    <t>Robertborough</t>
  </si>
  <si>
    <t>#1084</t>
  </si>
  <si>
    <t>Megan Herman</t>
  </si>
  <si>
    <t>megan.herman268@yahoo.com</t>
  </si>
  <si>
    <t>Yvetteville</t>
  </si>
  <si>
    <t>#1085</t>
  </si>
  <si>
    <t>amanda.harris197@gmail.com</t>
  </si>
  <si>
    <t>TSH-BLK-M</t>
  </si>
  <si>
    <t>California</t>
  </si>
  <si>
    <t>#1086</t>
  </si>
  <si>
    <t>Joshua Chavez</t>
  </si>
  <si>
    <t>joshua.chavez332@outlook.com</t>
  </si>
  <si>
    <t>$19.99</t>
  </si>
  <si>
    <t>Newmanborough</t>
  </si>
  <si>
    <t>#1087</t>
  </si>
  <si>
    <t>Deborah Wilson</t>
  </si>
  <si>
    <t>deborah.wilson691@icloud.com</t>
  </si>
  <si>
    <t>$41.97</t>
  </si>
  <si>
    <t>Lake Gary</t>
  </si>
  <si>
    <t>#1088</t>
  </si>
  <si>
    <t>Brian Ruiz</t>
  </si>
  <si>
    <t>brian.ruiz246@gmail.com</t>
  </si>
  <si>
    <t>South Melissaborough</t>
  </si>
  <si>
    <t>#1089</t>
  </si>
  <si>
    <t>Kimberly Cordova</t>
  </si>
  <si>
    <t>kimberly.cordova508@icloud.com</t>
  </si>
  <si>
    <t>Brendaside</t>
  </si>
  <si>
    <t>#1090</t>
  </si>
  <si>
    <t>West Thomaschester</t>
  </si>
  <si>
    <t>#1091</t>
  </si>
  <si>
    <t>Sara Sims</t>
  </si>
  <si>
    <t>sara.sims992@icloud.com</t>
  </si>
  <si>
    <t>Powellland</t>
  </si>
  <si>
    <t>#1092</t>
  </si>
  <si>
    <t>Julia Atkinson</t>
  </si>
  <si>
    <t>julia.atkinson939@gmail.com</t>
  </si>
  <si>
    <t>New Christopher</t>
  </si>
  <si>
    <t>#1093</t>
  </si>
  <si>
    <t>gerald li</t>
  </si>
  <si>
    <t>gerald.li856@icloud.com</t>
  </si>
  <si>
    <t>Melissafurt</t>
  </si>
  <si>
    <t>#1094</t>
  </si>
  <si>
    <t>Angela Rose</t>
  </si>
  <si>
    <t>angela.rose740@outlook.com</t>
  </si>
  <si>
    <t>Williamsview</t>
  </si>
  <si>
    <t>#1095</t>
  </si>
  <si>
    <t>Nicholas Jarvis</t>
  </si>
  <si>
    <t>nicholas.jarvis112@icloud.com</t>
  </si>
  <si>
    <t>West Brookebury</t>
  </si>
  <si>
    <t>#1096</t>
  </si>
  <si>
    <t>Natalie Dixon</t>
  </si>
  <si>
    <t>natalie.dixon388@outlook.com</t>
  </si>
  <si>
    <t>$30.97</t>
  </si>
  <si>
    <t>East Emilyfort</t>
  </si>
  <si>
    <t>#1097</t>
  </si>
  <si>
    <t>Christopher Harrington</t>
  </si>
  <si>
    <t>christopher.harrington960@gmail.com</t>
  </si>
  <si>
    <t>$79.96</t>
  </si>
  <si>
    <t>Smithton</t>
  </si>
  <si>
    <t>#1098</t>
  </si>
  <si>
    <t>Timothy Becker</t>
  </si>
  <si>
    <t>timothy.becker88@yahoo.com</t>
  </si>
  <si>
    <t>New Richardmouth</t>
  </si>
  <si>
    <t>#1099</t>
  </si>
  <si>
    <t>Michael Davis</t>
  </si>
  <si>
    <t>michael.davis313@outlook.com</t>
  </si>
  <si>
    <t>Sarahborough</t>
  </si>
  <si>
    <t>#1100</t>
  </si>
  <si>
    <t>OMAR SANDERS</t>
  </si>
  <si>
    <t>omar.sanders208@outlook.com</t>
  </si>
  <si>
    <t>$57.48</t>
  </si>
  <si>
    <t>Mclaughlinbury</t>
  </si>
  <si>
    <t>#1101</t>
  </si>
  <si>
    <t>Jerryborough</t>
  </si>
  <si>
    <t>#1102</t>
  </si>
  <si>
    <t>Port Melissa</t>
  </si>
  <si>
    <t>#1103</t>
  </si>
  <si>
    <t>Tracy Adams</t>
  </si>
  <si>
    <t>tracy.adams712@icloud.com</t>
  </si>
  <si>
    <t>Harrisonville</t>
  </si>
  <si>
    <t>#1104</t>
  </si>
  <si>
    <t>Lake Williamstad</t>
  </si>
  <si>
    <t>#1105</t>
  </si>
  <si>
    <t>North Jenniferhaven</t>
  </si>
  <si>
    <t>#1106</t>
  </si>
  <si>
    <t>Thomas Smith</t>
  </si>
  <si>
    <t>thomas.smith633@gmail.com</t>
  </si>
  <si>
    <t>East Seth</t>
  </si>
  <si>
    <t>#1107</t>
  </si>
  <si>
    <t>Peter Alvarez</t>
  </si>
  <si>
    <t>peter.alvarez465@yahoo.com</t>
  </si>
  <si>
    <t>Angelaborough</t>
  </si>
  <si>
    <t>#1108</t>
  </si>
  <si>
    <t>George Gould</t>
  </si>
  <si>
    <t>george.gould10@yahoo.com</t>
  </si>
  <si>
    <t>Sierrastad</t>
  </si>
  <si>
    <t>#1109</t>
  </si>
  <si>
    <t>Emily Hicks</t>
  </si>
  <si>
    <t>emily.hicks49@outlook.com</t>
  </si>
  <si>
    <t>$43.98</t>
  </si>
  <si>
    <t>Kendrafurt</t>
  </si>
  <si>
    <t>#1110</t>
  </si>
  <si>
    <t>Ryan Jones</t>
  </si>
  <si>
    <t>ryan.jones314@gmail.com</t>
  </si>
  <si>
    <t>West Jimmy</t>
  </si>
  <si>
    <t>#1111</t>
  </si>
  <si>
    <t>Robert Bryant</t>
  </si>
  <si>
    <t>robert.bryant21@gmail.com</t>
  </si>
  <si>
    <t>$17.98</t>
  </si>
  <si>
    <t>Lake Adrianport</t>
  </si>
  <si>
    <t>#1112</t>
  </si>
  <si>
    <t>Pamela Miller</t>
  </si>
  <si>
    <t>pamela.miller171@icloud.com</t>
  </si>
  <si>
    <t>Reeseburgh</t>
  </si>
  <si>
    <t>#1113</t>
  </si>
  <si>
    <t>Thomas Rojas</t>
  </si>
  <si>
    <t>Joseton</t>
  </si>
  <si>
    <t>#1114</t>
  </si>
  <si>
    <t>Kayla Cruz</t>
  </si>
  <si>
    <t>kayla.cruz151@outlook.com</t>
  </si>
  <si>
    <t>East Samantha</t>
  </si>
  <si>
    <t>#1115</t>
  </si>
  <si>
    <t>Tina Crane</t>
  </si>
  <si>
    <t>tina.crane554@gmail.com</t>
  </si>
  <si>
    <t>$21.99</t>
  </si>
  <si>
    <t>Elizabethhaven</t>
  </si>
  <si>
    <t>#1116</t>
  </si>
  <si>
    <t>Arthur Kelley</t>
  </si>
  <si>
    <t>arthur.kelley558@gmail.com</t>
  </si>
  <si>
    <t>#1117</t>
  </si>
  <si>
    <t>Stacey Morales</t>
  </si>
  <si>
    <t>stacey.morales538@yahoo.com</t>
  </si>
  <si>
    <t>$89.99</t>
  </si>
  <si>
    <t>Morganmouth</t>
  </si>
  <si>
    <t>#1118</t>
  </si>
  <si>
    <t>David Torres</t>
  </si>
  <si>
    <t>Donaldborough</t>
  </si>
  <si>
    <t>#1119</t>
  </si>
  <si>
    <t>Justin Smith</t>
  </si>
  <si>
    <t>justin.smith204@yahoo.com</t>
  </si>
  <si>
    <t>Butlerhaven</t>
  </si>
  <si>
    <t>#1120</t>
  </si>
  <si>
    <t>Jennifer Martin</t>
  </si>
  <si>
    <t>jennifer.martin986@outlook.com</t>
  </si>
  <si>
    <t>$26.98</t>
  </si>
  <si>
    <t>Tamarastad</t>
  </si>
  <si>
    <t>#1121</t>
  </si>
  <si>
    <t xml:space="preserve">  Barbara Brown</t>
  </si>
  <si>
    <t>barbara.brown26@gmail.com</t>
  </si>
  <si>
    <t>Doughertyport</t>
  </si>
  <si>
    <t>#1122</t>
  </si>
  <si>
    <t>Knightfort</t>
  </si>
  <si>
    <t>#1123</t>
  </si>
  <si>
    <t>Ashley Allen</t>
  </si>
  <si>
    <t>ashley.allen918@yahoo.com</t>
  </si>
  <si>
    <t>$1.90</t>
  </si>
  <si>
    <t>Hernandezstad</t>
  </si>
  <si>
    <t>#1124</t>
  </si>
  <si>
    <t xml:space="preserve">  Daniel Parsons</t>
  </si>
  <si>
    <t>daniel.parsons636@gmail.com</t>
  </si>
  <si>
    <t>$16.79</t>
  </si>
  <si>
    <t>Jeffreyberg</t>
  </si>
  <si>
    <t>#1125</t>
  </si>
  <si>
    <t>James Castro</t>
  </si>
  <si>
    <t>james.castro923@icloud.com</t>
  </si>
  <si>
    <t>West Debrabury</t>
  </si>
  <si>
    <t>#1126</t>
  </si>
  <si>
    <t>James Miller</t>
  </si>
  <si>
    <t>james.miller866@yahoo.com</t>
  </si>
  <si>
    <t>Adrianview</t>
  </si>
  <si>
    <t>#1127</t>
  </si>
  <si>
    <t>$29.99</t>
  </si>
  <si>
    <t>Johnsonborough</t>
  </si>
  <si>
    <t>#1128</t>
  </si>
  <si>
    <t>Seth Price</t>
  </si>
  <si>
    <t>seth.price179@gmail.com</t>
  </si>
  <si>
    <t>West Jasmine</t>
  </si>
  <si>
    <t>#1129</t>
  </si>
  <si>
    <t>Kari Cooke</t>
  </si>
  <si>
    <t>kari.cooke871@gmail.com</t>
  </si>
  <si>
    <t>Coxtown</t>
  </si>
  <si>
    <t>#1130</t>
  </si>
  <si>
    <t>Andrew Wheeler</t>
  </si>
  <si>
    <t>andrew.wheeler379@yahoo.com</t>
  </si>
  <si>
    <t>Perezville</t>
  </si>
  <si>
    <t>#1131</t>
  </si>
  <si>
    <t>Janet Martinez</t>
  </si>
  <si>
    <t>janet.martinez20@yahoo.com</t>
  </si>
  <si>
    <t>West Brian</t>
  </si>
  <si>
    <t>#1132</t>
  </si>
  <si>
    <t>Sheryl Nguyen</t>
  </si>
  <si>
    <t>sheryl.nguyen272@outlook.com</t>
  </si>
  <si>
    <t>$18.99</t>
  </si>
  <si>
    <t>$23.08</t>
  </si>
  <si>
    <t>North Zacharymouth</t>
  </si>
  <si>
    <t>#1133</t>
  </si>
  <si>
    <t>Christopher Hayes</t>
  </si>
  <si>
    <t>christopher.hayes809@icloud.com</t>
  </si>
  <si>
    <t>Seanport</t>
  </si>
  <si>
    <t>#1134</t>
  </si>
  <si>
    <t>Frank Diaz</t>
  </si>
  <si>
    <t>frank.diaz795@gmail.com</t>
  </si>
  <si>
    <t>Tannerbury</t>
  </si>
  <si>
    <t>#1135</t>
  </si>
  <si>
    <t>Christopher Martin</t>
  </si>
  <si>
    <t>christopher.martin10@gmail.com</t>
  </si>
  <si>
    <t>Lake Teresa</t>
  </si>
  <si>
    <t>#1136</t>
  </si>
  <si>
    <t>Lori Davis</t>
  </si>
  <si>
    <t>lori.davis757@yahoo.com</t>
  </si>
  <si>
    <t>Harveymouth</t>
  </si>
  <si>
    <t>#1137</t>
  </si>
  <si>
    <t>sheryl nguyen</t>
  </si>
  <si>
    <t>Angelaton</t>
  </si>
  <si>
    <t>#1138</t>
  </si>
  <si>
    <t>Samuel Padilla</t>
  </si>
  <si>
    <t>samuel.padilla79@gmail.com</t>
  </si>
  <si>
    <t>Port Lisamouth</t>
  </si>
  <si>
    <t>#1139</t>
  </si>
  <si>
    <t>Rose Campos</t>
  </si>
  <si>
    <t>rose.campos542@gmail.com</t>
  </si>
  <si>
    <t>Williamside</t>
  </si>
  <si>
    <t>#1140</t>
  </si>
  <si>
    <t>DOMINIQUE HUERTA</t>
  </si>
  <si>
    <t>dominique.huerta708@outlook.com</t>
  </si>
  <si>
    <t>East Katie</t>
  </si>
  <si>
    <t>#1141</t>
  </si>
  <si>
    <t>James Andrade</t>
  </si>
  <si>
    <t>james.andrade258@icloud.com</t>
  </si>
  <si>
    <t>New Dawn</t>
  </si>
  <si>
    <t>#1142</t>
  </si>
  <si>
    <t>karen.bautista779@icloud.com</t>
  </si>
  <si>
    <t>Lake Katherine</t>
  </si>
  <si>
    <t>#1143</t>
  </si>
  <si>
    <t>Donald Davis</t>
  </si>
  <si>
    <t>donald.davis404@icloud.com</t>
  </si>
  <si>
    <t>Lake David</t>
  </si>
  <si>
    <t>#1144</t>
  </si>
  <si>
    <t>Gerald Li</t>
  </si>
  <si>
    <t>New Bonnie</t>
  </si>
  <si>
    <t>#1145</t>
  </si>
  <si>
    <t>Sandersstad</t>
  </si>
  <si>
    <t>#1146</t>
  </si>
  <si>
    <t>Lake Rickyland</t>
  </si>
  <si>
    <t>#1147</t>
  </si>
  <si>
    <t>South Joelstad</t>
  </si>
  <si>
    <t>#1148</t>
  </si>
  <si>
    <t>Johnathan Everett</t>
  </si>
  <si>
    <t>johnathan.everett6@outlook.com</t>
  </si>
  <si>
    <t>Davischester</t>
  </si>
  <si>
    <t>#1149</t>
  </si>
  <si>
    <t>Brittney Conway</t>
  </si>
  <si>
    <t>brittney.conway383@outlook.com</t>
  </si>
  <si>
    <t>Scottmouth</t>
  </si>
  <si>
    <t>#1150</t>
  </si>
  <si>
    <t>Perryberg</t>
  </si>
  <si>
    <t>#1151</t>
  </si>
  <si>
    <t>Manuelview</t>
  </si>
  <si>
    <t>#1152</t>
  </si>
  <si>
    <t>Trevor Carter</t>
  </si>
  <si>
    <t>trevor.carter617@icloud.com</t>
  </si>
  <si>
    <t>$17.99</t>
  </si>
  <si>
    <t>South Richardville</t>
  </si>
  <si>
    <t>#1153</t>
  </si>
  <si>
    <t>Juanshire</t>
  </si>
  <si>
    <t>#1154</t>
  </si>
  <si>
    <t>Megan Dickson</t>
  </si>
  <si>
    <t>megan.dickson508@gmail.com</t>
  </si>
  <si>
    <t>$3.60</t>
  </si>
  <si>
    <t>West Joseph</t>
  </si>
  <si>
    <t>#1155</t>
  </si>
  <si>
    <t>Monique Bowman</t>
  </si>
  <si>
    <t>monique.bowman430@gmail.com</t>
  </si>
  <si>
    <t>West Anna</t>
  </si>
  <si>
    <t>#1156</t>
  </si>
  <si>
    <t>04-08-2026 14:00</t>
  </si>
  <si>
    <t xml:space="preserve">  Barbara Case</t>
  </si>
  <si>
    <t>barbara.case365@yahoo.com</t>
  </si>
  <si>
    <t>Port Matthewfurt</t>
  </si>
  <si>
    <t>#1157</t>
  </si>
  <si>
    <t>West Danny</t>
  </si>
  <si>
    <t>#1158</t>
  </si>
  <si>
    <t>South Rebecca</t>
  </si>
  <si>
    <t>#1159</t>
  </si>
  <si>
    <t>Sarahfort</t>
  </si>
  <si>
    <t>#1160</t>
  </si>
  <si>
    <t>Sean Frank</t>
  </si>
  <si>
    <t>sean.frank587@icloud.com</t>
  </si>
  <si>
    <t>Willisview</t>
  </si>
  <si>
    <t>#1161</t>
  </si>
  <si>
    <t>Omar Sanders</t>
  </si>
  <si>
    <t>Port Sonya</t>
  </si>
  <si>
    <t>#1162</t>
  </si>
  <si>
    <t>Cynthia Williams</t>
  </si>
  <si>
    <t>cynthia.williams720@yahoo.com</t>
  </si>
  <si>
    <t>Jordanmouth</t>
  </si>
  <si>
    <t>#1163</t>
  </si>
  <si>
    <t>nancy nichols</t>
  </si>
  <si>
    <t>nancy.nichols189@yahoo.com</t>
  </si>
  <si>
    <t>Shafferchester</t>
  </si>
  <si>
    <t>#1164</t>
  </si>
  <si>
    <t>Timothy Hodges</t>
  </si>
  <si>
    <t>timothy.hodges687@icloud.com</t>
  </si>
  <si>
    <t>New Steveberg</t>
  </si>
  <si>
    <t>#1165</t>
  </si>
  <si>
    <t>Traceyberg</t>
  </si>
  <si>
    <t>#1166</t>
  </si>
  <si>
    <t>Hawkinsborough</t>
  </si>
  <si>
    <t>#1167</t>
  </si>
  <si>
    <t>Anthony Hunt</t>
  </si>
  <si>
    <t>anthony.hunt521@outlook.com</t>
  </si>
  <si>
    <t>Evansburgh</t>
  </si>
  <si>
    <t>#1168</t>
  </si>
  <si>
    <t>Lisa Williams</t>
  </si>
  <si>
    <t>lisa.williams715@yahoo.com</t>
  </si>
  <si>
    <t>Jacksonborough</t>
  </si>
  <si>
    <t>#1169</t>
  </si>
  <si>
    <t>Jesus Mason</t>
  </si>
  <si>
    <t>jesus.mason798@icloud.com</t>
  </si>
  <si>
    <t>Williamschester</t>
  </si>
  <si>
    <t>#1170</t>
  </si>
  <si>
    <t>Philip Stevens</t>
  </si>
  <si>
    <t>philip.stevens908@outlook.com</t>
  </si>
  <si>
    <t>Jessicaville</t>
  </si>
  <si>
    <t>#1171</t>
  </si>
  <si>
    <t>Amyburgh</t>
  </si>
  <si>
    <t>#1172</t>
  </si>
  <si>
    <t>East Heathertown</t>
  </si>
  <si>
    <t>#1173</t>
  </si>
  <si>
    <t>Samuel Lee</t>
  </si>
  <si>
    <t>samuel.lee63@icloud.com</t>
  </si>
  <si>
    <t>South Ericburgh</t>
  </si>
  <si>
    <t>#1174</t>
  </si>
  <si>
    <t>South John</t>
  </si>
  <si>
    <t>#1175</t>
  </si>
  <si>
    <t>Lawrencestad</t>
  </si>
  <si>
    <t>#1176</t>
  </si>
  <si>
    <t>Kristiburgh</t>
  </si>
  <si>
    <t>#1177</t>
  </si>
  <si>
    <t>Mcphersonmouth</t>
  </si>
  <si>
    <t>#1178</t>
  </si>
  <si>
    <t>Lisa Zuniga</t>
  </si>
  <si>
    <t>lisa.zuniga825@outlook.com</t>
  </si>
  <si>
    <t>$35.98</t>
  </si>
  <si>
    <t>Griffithville</t>
  </si>
  <si>
    <t>#1179</t>
  </si>
  <si>
    <t>Bellfurt</t>
  </si>
  <si>
    <t>#1180</t>
  </si>
  <si>
    <t>Lindsay Shaw</t>
  </si>
  <si>
    <t>lindsay.shaw178@icloud.com</t>
  </si>
  <si>
    <t>Riverafort</t>
  </si>
  <si>
    <t>#1181</t>
  </si>
  <si>
    <t>Hernandezberg</t>
  </si>
  <si>
    <t>#1182</t>
  </si>
  <si>
    <t>Lake Rebeccaberg</t>
  </si>
  <si>
    <t>#1183</t>
  </si>
  <si>
    <t>Benjamin Collins</t>
  </si>
  <si>
    <t>benjamin.collins953@icloud.com</t>
  </si>
  <si>
    <t>Lake Patriciaview</t>
  </si>
  <si>
    <t>#1184</t>
  </si>
  <si>
    <t>$5.25</t>
  </si>
  <si>
    <t>$37.73</t>
  </si>
  <si>
    <t>Cummingsbury</t>
  </si>
  <si>
    <t>#1185</t>
  </si>
  <si>
    <t>North Garyfurt</t>
  </si>
  <si>
    <t>#1186</t>
  </si>
  <si>
    <t>Patrick Richardson</t>
  </si>
  <si>
    <t>patrick.richardson270@icloud.com</t>
  </si>
  <si>
    <t>Timothyhaven</t>
  </si>
  <si>
    <t>#1187</t>
  </si>
  <si>
    <t>Ronald Stanley</t>
  </si>
  <si>
    <t>ronald.stanley7@yahoo.com</t>
  </si>
  <si>
    <t>North Briannahaven</t>
  </si>
  <si>
    <t>#1188</t>
  </si>
  <si>
    <t>North Christina</t>
  </si>
  <si>
    <t>#1189</t>
  </si>
  <si>
    <t>Dustin Mccoy</t>
  </si>
  <si>
    <t>dustin.mccoy570@gmail.com</t>
  </si>
  <si>
    <t>South Ryan</t>
  </si>
  <si>
    <t>#1190</t>
  </si>
  <si>
    <t>John Hoffman</t>
  </si>
  <si>
    <t>john.hoffman175@gmail.com</t>
  </si>
  <si>
    <t>West Jenniferfurt</t>
  </si>
  <si>
    <t>#1191</t>
  </si>
  <si>
    <t>North Lance</t>
  </si>
  <si>
    <t>#1192</t>
  </si>
  <si>
    <t>Lake Susan</t>
  </si>
  <si>
    <t>#1193</t>
  </si>
  <si>
    <t>Anthonyhaven</t>
  </si>
  <si>
    <t>#1194</t>
  </si>
  <si>
    <t>West Deanna</t>
  </si>
  <si>
    <t>#1195</t>
  </si>
  <si>
    <t>Justin Chavez</t>
  </si>
  <si>
    <t>justin.chavez556@gmail.com</t>
  </si>
  <si>
    <t>South Andrea</t>
  </si>
  <si>
    <t>#1196</t>
  </si>
  <si>
    <t>Carrie Boyd</t>
  </si>
  <si>
    <t>carrie.boyd968@gmail.com</t>
  </si>
  <si>
    <t>Nathanberg</t>
  </si>
  <si>
    <t>#1197</t>
  </si>
  <si>
    <t>Carly Johnson</t>
  </si>
  <si>
    <t>carly.johnson664@gmail.com</t>
  </si>
  <si>
    <t>Thomasfurt</t>
  </si>
  <si>
    <t>#1198</t>
  </si>
  <si>
    <t>Michael Hays</t>
  </si>
  <si>
    <t>michael.hays590@gmail.com</t>
  </si>
  <si>
    <t>$69.98</t>
  </si>
  <si>
    <t>East Juliafort</t>
  </si>
  <si>
    <t>#1199</t>
  </si>
  <si>
    <t>East Andrew</t>
  </si>
  <si>
    <t>#1200</t>
  </si>
  <si>
    <t>Victor Herrera</t>
  </si>
  <si>
    <t>victor.herrera394@outlook.com</t>
  </si>
  <si>
    <t>Danielborough</t>
  </si>
  <si>
    <t>#1201</t>
  </si>
  <si>
    <t>Kimberlymouth</t>
  </si>
  <si>
    <t>#1202</t>
  </si>
  <si>
    <t>Alexandria Miller</t>
  </si>
  <si>
    <t>alexandria.miller414@outlook.com</t>
  </si>
  <si>
    <t>East Anthonyton</t>
  </si>
  <si>
    <t>#1203</t>
  </si>
  <si>
    <t>michael hays</t>
  </si>
  <si>
    <t>Gallegosmouth</t>
  </si>
  <si>
    <t>#1204</t>
  </si>
  <si>
    <t>Padillamouth</t>
  </si>
  <si>
    <t>#1205</t>
  </si>
  <si>
    <t>Gibsontown</t>
  </si>
  <si>
    <t>#1206</t>
  </si>
  <si>
    <t>Jacqueline Miller</t>
  </si>
  <si>
    <t>jacqueline.miller687@yahoo.com</t>
  </si>
  <si>
    <t>East Antonio</t>
  </si>
  <si>
    <t>#1207</t>
  </si>
  <si>
    <t>Natalie Roberts</t>
  </si>
  <si>
    <t>natalie.roberts628@yahoo.com</t>
  </si>
  <si>
    <t>West Misty</t>
  </si>
  <si>
    <t>#1208</t>
  </si>
  <si>
    <t>West Codyberg</t>
  </si>
  <si>
    <t>#1209</t>
  </si>
  <si>
    <t>West Amyport</t>
  </si>
  <si>
    <t>#1210</t>
  </si>
  <si>
    <t>Port Josephmouth</t>
  </si>
  <si>
    <t>#1211</t>
  </si>
  <si>
    <t xml:space="preserve">  Angela Gonzalez</t>
  </si>
  <si>
    <t>angela.gonzalez50@icloud.com</t>
  </si>
  <si>
    <t>West Miranda</t>
  </si>
  <si>
    <t>#1212</t>
  </si>
  <si>
    <t>Aimee Smith</t>
  </si>
  <si>
    <t>aimee.smith857@icloud.com</t>
  </si>
  <si>
    <t>Hollyville</t>
  </si>
  <si>
    <t>#1213</t>
  </si>
  <si>
    <t>Jon Lambert</t>
  </si>
  <si>
    <t>jon.lambert231@icloud.com</t>
  </si>
  <si>
    <t>New Jordan</t>
  </si>
  <si>
    <t>#1214</t>
  </si>
  <si>
    <t>Lake Sarahfurt</t>
  </si>
  <si>
    <t>#1215</t>
  </si>
  <si>
    <t>Tracy Dominguez</t>
  </si>
  <si>
    <t>tracy.dominguez23@gmail.com</t>
  </si>
  <si>
    <t>Lake Anitaview</t>
  </si>
  <si>
    <t>#1216</t>
  </si>
  <si>
    <t>Port Natalieview</t>
  </si>
  <si>
    <t>#1217</t>
  </si>
  <si>
    <t>Brown, Barbara</t>
  </si>
  <si>
    <t>East Patricialand</t>
  </si>
  <si>
    <t>#1218</t>
  </si>
  <si>
    <t>Zachary Hanson</t>
  </si>
  <si>
    <t>zachary.hanson261@outlook.com</t>
  </si>
  <si>
    <t>Santosburgh</t>
  </si>
  <si>
    <t>#1219</t>
  </si>
  <si>
    <t>Veronica Price</t>
  </si>
  <si>
    <t>North Matthewstad</t>
  </si>
  <si>
    <t>#1220</t>
  </si>
  <si>
    <t>04-08-2026 13:53</t>
  </si>
  <si>
    <t xml:space="preserve">  Megan Dickson</t>
  </si>
  <si>
    <t>Lake Joe</t>
  </si>
  <si>
    <t>#1221</t>
  </si>
  <si>
    <t>David Knapp</t>
  </si>
  <si>
    <t>david.knapp687@yahoo.com</t>
  </si>
  <si>
    <t>West Stephenburgh</t>
  </si>
  <si>
    <t>#1222</t>
  </si>
  <si>
    <t>$5.00</t>
  </si>
  <si>
    <t>Cookton</t>
  </si>
  <si>
    <t>#1223</t>
  </si>
  <si>
    <t>Michelle Owens</t>
  </si>
  <si>
    <t>michelle.owens269@yahoo.com</t>
  </si>
  <si>
    <t>Owenschester</t>
  </si>
  <si>
    <t>#1224</t>
  </si>
  <si>
    <t>$54.97</t>
  </si>
  <si>
    <t>West Laceyberg</t>
  </si>
  <si>
    <t>#1225</t>
  </si>
  <si>
    <t>Lake Christopherside</t>
  </si>
  <si>
    <t>#1226</t>
  </si>
  <si>
    <t>Waremouth</t>
  </si>
  <si>
    <t>#1227</t>
  </si>
  <si>
    <t>Andreaport</t>
  </si>
  <si>
    <t>#1228</t>
  </si>
  <si>
    <t>Andrew Cross</t>
  </si>
  <si>
    <t>andrew.cross512@yahoo.com</t>
  </si>
  <si>
    <t>New Kelly</t>
  </si>
  <si>
    <t>#1229</t>
  </si>
  <si>
    <t>Randy Wheeler</t>
  </si>
  <si>
    <t>randy.wheeler304@icloud.com</t>
  </si>
  <si>
    <t>$24.98</t>
  </si>
  <si>
    <t>East Michelleside</t>
  </si>
  <si>
    <t>#1230</t>
  </si>
  <si>
    <t>$13.49</t>
  </si>
  <si>
    <t>New Emilyshire</t>
  </si>
  <si>
    <t>#1231</t>
  </si>
  <si>
    <t>Lindamouth</t>
  </si>
  <si>
    <t>#1232</t>
  </si>
  <si>
    <t>South Malloryview</t>
  </si>
  <si>
    <t>#1233</t>
  </si>
  <si>
    <t>KEVIN STOUT</t>
  </si>
  <si>
    <t>kevin.stout35@icloud.com</t>
  </si>
  <si>
    <t>New Paul</t>
  </si>
  <si>
    <t>#1234</t>
  </si>
  <si>
    <t>Jennifertown</t>
  </si>
  <si>
    <t>#1235</t>
  </si>
  <si>
    <t>Melinda Henderson</t>
  </si>
  <si>
    <t>melinda.henderson831@gmail.com</t>
  </si>
  <si>
    <t>Port Patrick</t>
  </si>
  <si>
    <t>#1236</t>
  </si>
  <si>
    <t>Suzanne Robertson</t>
  </si>
  <si>
    <t>suzanne.robertson435@gmail.com</t>
  </si>
  <si>
    <t>New Austinfort</t>
  </si>
  <si>
    <t>#1237</t>
  </si>
  <si>
    <t xml:space="preserve">  Shawn Oliver</t>
  </si>
  <si>
    <t>shawn.oliver540@icloud.com</t>
  </si>
  <si>
    <t>East April</t>
  </si>
  <si>
    <t>#1238</t>
  </si>
  <si>
    <t>Ann Byrd</t>
  </si>
  <si>
    <t>Ewingchester</t>
  </si>
  <si>
    <t>#1239</t>
  </si>
  <si>
    <t>Berryside</t>
  </si>
  <si>
    <t>#1240</t>
  </si>
  <si>
    <t>Anthony Parker</t>
  </si>
  <si>
    <t>anthony.parker256@icloud.com</t>
  </si>
  <si>
    <t>$14.98</t>
  </si>
  <si>
    <t>Oneillborough</t>
  </si>
  <si>
    <t>#1241</t>
  </si>
  <si>
    <t>Karen Bautista</t>
  </si>
  <si>
    <t>Callahanside</t>
  </si>
  <si>
    <t>#1242</t>
  </si>
  <si>
    <t>$5.40</t>
  </si>
  <si>
    <t>Taylorberg</t>
  </si>
  <si>
    <t>#1243</t>
  </si>
  <si>
    <t>$16.99</t>
  </si>
  <si>
    <t>South Benjaminstad</t>
  </si>
  <si>
    <t>#1244</t>
  </si>
  <si>
    <t>Robert Lopez</t>
  </si>
  <si>
    <t>robert.lopez980@outlook.com</t>
  </si>
  <si>
    <t>$22.99</t>
  </si>
  <si>
    <t>Collinsborough</t>
  </si>
  <si>
    <t>#1245</t>
  </si>
  <si>
    <t>Christy Phillips</t>
  </si>
  <si>
    <t>christy.phillips291@gmail.com</t>
  </si>
  <si>
    <t>Devinburgh</t>
  </si>
  <si>
    <t>#1246</t>
  </si>
  <si>
    <t>South Matthew</t>
  </si>
  <si>
    <t>#1247</t>
  </si>
  <si>
    <t>$2.50</t>
  </si>
  <si>
    <t>North Christopherport</t>
  </si>
  <si>
    <t>#1248</t>
  </si>
  <si>
    <t>Thompsonshire</t>
  </si>
  <si>
    <t>#1249</t>
  </si>
  <si>
    <t>South Mark</t>
  </si>
  <si>
    <t>#1250</t>
  </si>
  <si>
    <t>Debra Thomas</t>
  </si>
  <si>
    <t>debra.thomas509@icloud.com</t>
  </si>
  <si>
    <t>Richardside</t>
  </si>
  <si>
    <t>#1251</t>
  </si>
  <si>
    <t>New Crystal</t>
  </si>
  <si>
    <t>#1252</t>
  </si>
  <si>
    <t>amy.barnett396@icloud.com</t>
  </si>
  <si>
    <t>Port Ethanshire</t>
  </si>
  <si>
    <t>#1253</t>
  </si>
  <si>
    <t>East Mirandashire</t>
  </si>
  <si>
    <t>#1254</t>
  </si>
  <si>
    <t>East Marcus</t>
  </si>
  <si>
    <t>#1255</t>
  </si>
  <si>
    <t>Katelyn Johnson</t>
  </si>
  <si>
    <t>katelyn.johnson502@outlook.com</t>
  </si>
  <si>
    <t>East Danielle</t>
  </si>
  <si>
    <t>#1256</t>
  </si>
  <si>
    <t>04-08-2026 13:55</t>
  </si>
  <si>
    <t>Andrew Mora</t>
  </si>
  <si>
    <t>andrew.mora959@outlook.com</t>
  </si>
  <si>
    <t>New Allison</t>
  </si>
  <si>
    <t>#1257</t>
  </si>
  <si>
    <t>Matthewchester</t>
  </si>
  <si>
    <t>#1258</t>
  </si>
  <si>
    <t>#1259</t>
  </si>
  <si>
    <t>Erika Maxwell</t>
  </si>
  <si>
    <t>erika.maxwell281@gmail.com</t>
  </si>
  <si>
    <t>Owensland</t>
  </si>
  <si>
    <t>#1260</t>
  </si>
  <si>
    <t>Morgan Brown</t>
  </si>
  <si>
    <t>morgan.brown933@gmail.com</t>
  </si>
  <si>
    <t>Austinbury</t>
  </si>
  <si>
    <t>#1261</t>
  </si>
  <si>
    <t>South Jasonmouth</t>
  </si>
  <si>
    <t>#1262</t>
  </si>
  <si>
    <t>Mark Mata</t>
  </si>
  <si>
    <t>mark.mata757@outlook.com</t>
  </si>
  <si>
    <t>Davidburgh</t>
  </si>
  <si>
    <t>#1263</t>
  </si>
  <si>
    <t>Jacqueline Graham</t>
  </si>
  <si>
    <t>jacqueline.graham958@gmail.com</t>
  </si>
  <si>
    <t>Port Christopher</t>
  </si>
  <si>
    <t>#1264</t>
  </si>
  <si>
    <t>New Ralphview</t>
  </si>
  <si>
    <t>#1265</t>
  </si>
  <si>
    <t>New Danielshire</t>
  </si>
  <si>
    <t>#1266</t>
  </si>
  <si>
    <t xml:space="preserve">  Laura Pruitt</t>
  </si>
  <si>
    <t>$23.68</t>
  </si>
  <si>
    <t>Steveshire</t>
  </si>
  <si>
    <t>#1267</t>
  </si>
  <si>
    <t>Danielle Morrow</t>
  </si>
  <si>
    <t>danielle.morrow805@outlook.com</t>
  </si>
  <si>
    <t>New Jasonville</t>
  </si>
  <si>
    <t>#1268</t>
  </si>
  <si>
    <t>Port Shawn</t>
  </si>
  <si>
    <t>#1269</t>
  </si>
  <si>
    <t>Lake Todd</t>
  </si>
  <si>
    <t>#1270</t>
  </si>
  <si>
    <t>Lake John</t>
  </si>
  <si>
    <t>#1271</t>
  </si>
  <si>
    <t>North Cindy</t>
  </si>
  <si>
    <t>#1272</t>
  </si>
  <si>
    <t>Owenfort</t>
  </si>
  <si>
    <t>#1273</t>
  </si>
  <si>
    <t>Jason Miller</t>
  </si>
  <si>
    <t>jason.miller334@outlook.com</t>
  </si>
  <si>
    <t>West Curtis</t>
  </si>
  <si>
    <t>#1274</t>
  </si>
  <si>
    <t>Barbara Brown</t>
  </si>
  <si>
    <t>Port Troy</t>
  </si>
  <si>
    <t>#1275</t>
  </si>
  <si>
    <t>New Lydia</t>
  </si>
  <si>
    <t>#1276</t>
  </si>
  <si>
    <t>Richard Sosa</t>
  </si>
  <si>
    <t>richard.sosa486@yahoo.com</t>
  </si>
  <si>
    <t>Stephenberg</t>
  </si>
  <si>
    <t>#1277</t>
  </si>
  <si>
    <t>Vincent Rosales</t>
  </si>
  <si>
    <t>vincent.rosales30@icloud.com</t>
  </si>
  <si>
    <t>$13.99</t>
  </si>
  <si>
    <t>Mcdonaldhaven</t>
  </si>
  <si>
    <t>#1278</t>
  </si>
  <si>
    <t>Douglas Walker</t>
  </si>
  <si>
    <t>douglas.walker28@outlook.com</t>
  </si>
  <si>
    <t>South Robert</t>
  </si>
  <si>
    <t>#1279</t>
  </si>
  <si>
    <t>Marcusfurt</t>
  </si>
  <si>
    <t>#1280</t>
  </si>
  <si>
    <t>Corey Hudson</t>
  </si>
  <si>
    <t>corey.hudson168@gmail.com</t>
  </si>
  <si>
    <t>Jonathanfort</t>
  </si>
  <si>
    <t>#1281</t>
  </si>
  <si>
    <t>Charles Franco</t>
  </si>
  <si>
    <t>charles.franco761@outlook.com</t>
  </si>
  <si>
    <t>Dawnberg</t>
  </si>
  <si>
    <t>#1282</t>
  </si>
  <si>
    <t>ruth.duncan434@icloud.com</t>
  </si>
  <si>
    <t>South Susan</t>
  </si>
  <si>
    <t>#1283</t>
  </si>
  <si>
    <t>East Brandi</t>
  </si>
  <si>
    <t>#1284</t>
  </si>
  <si>
    <t>Kevinmouth</t>
  </si>
  <si>
    <t>#1285</t>
  </si>
  <si>
    <t>jennifer willis</t>
  </si>
  <si>
    <t>jennifer.willis714@gmail.com</t>
  </si>
  <si>
    <t>$17.73</t>
  </si>
  <si>
    <t>Aaronville</t>
  </si>
  <si>
    <t>#1286</t>
  </si>
  <si>
    <t>West Davidberg</t>
  </si>
  <si>
    <t>#1287</t>
  </si>
  <si>
    <t>Autumn Stewart</t>
  </si>
  <si>
    <t>autumn.stewart565@outlook.com</t>
  </si>
  <si>
    <t>South Timothy</t>
  </si>
  <si>
    <t>#1288</t>
  </si>
  <si>
    <t>Stewartshire</t>
  </si>
  <si>
    <t>#1289</t>
  </si>
  <si>
    <t>04-08-2026 14:02</t>
  </si>
  <si>
    <t>welcome10</t>
  </si>
  <si>
    <t>Port Allen</t>
  </si>
  <si>
    <t>#1290</t>
  </si>
  <si>
    <t>John Lin</t>
  </si>
  <si>
    <t>john.lin901@outlook.com</t>
  </si>
  <si>
    <t>Simsland</t>
  </si>
  <si>
    <t>#1291</t>
  </si>
  <si>
    <t xml:space="preserve">  Julia Atkinson</t>
  </si>
  <si>
    <t>$43.97</t>
  </si>
  <si>
    <t>Anthonyburgh</t>
  </si>
  <si>
    <t>#1292</t>
  </si>
  <si>
    <t>$13.98</t>
  </si>
  <si>
    <t>East Victor</t>
  </si>
  <si>
    <t>#1293</t>
  </si>
  <si>
    <t>DAVID TORRES</t>
  </si>
  <si>
    <t>david.torres833@outlook.com</t>
  </si>
  <si>
    <t>$17.13</t>
  </si>
  <si>
    <t>Cruzport</t>
  </si>
  <si>
    <t>#1294</t>
  </si>
  <si>
    <t>Theodoreport</t>
  </si>
  <si>
    <t>#1295</t>
  </si>
  <si>
    <t>Williamsfort</t>
  </si>
  <si>
    <t>#1296</t>
  </si>
  <si>
    <t>04-08-2026 14:08</t>
  </si>
  <si>
    <t>$12.99</t>
  </si>
  <si>
    <t>Lake Seanfort</t>
  </si>
  <si>
    <t>#1297</t>
  </si>
  <si>
    <t>Nicholas Parker</t>
  </si>
  <si>
    <t>nicholas.parker656@yahoo.com</t>
  </si>
  <si>
    <t>Bennettbury</t>
  </si>
  <si>
    <t>#1298</t>
  </si>
  <si>
    <t>Rosaleshaven</t>
  </si>
  <si>
    <t>#1299</t>
  </si>
  <si>
    <t>Devin Jones</t>
  </si>
  <si>
    <t>devin.jones807@yahoo.com</t>
  </si>
  <si>
    <t>Huffmanfurt</t>
  </si>
  <si>
    <t>#1300</t>
  </si>
  <si>
    <t>South Michaelmouth</t>
  </si>
  <si>
    <t>#1301</t>
  </si>
  <si>
    <t>Ronaldport</t>
  </si>
  <si>
    <t>#1302</t>
  </si>
  <si>
    <t>bfcm25</t>
  </si>
  <si>
    <t>$15.73</t>
  </si>
  <si>
    <t>North Paulberg</t>
  </si>
  <si>
    <t>#1303</t>
  </si>
  <si>
    <t>Port Sarah</t>
  </si>
  <si>
    <t>#1304</t>
  </si>
  <si>
    <t>Alfredchester</t>
  </si>
  <si>
    <t>#1305</t>
  </si>
  <si>
    <t>Amy Maldonado</t>
  </si>
  <si>
    <t>amy.maldonado44@gmail.com</t>
  </si>
  <si>
    <t>Matthewstad</t>
  </si>
  <si>
    <t>#1306</t>
  </si>
  <si>
    <t>Timothy Maldonado</t>
  </si>
  <si>
    <t>timothy.maldonado551@gmail.com</t>
  </si>
  <si>
    <t>South Christinabury</t>
  </si>
  <si>
    <t>#1307</t>
  </si>
  <si>
    <t>Samanthaview</t>
  </si>
  <si>
    <t>#1308</t>
  </si>
  <si>
    <t>karen.jones794@outlook.com</t>
  </si>
  <si>
    <t>Wrightchester</t>
  </si>
  <si>
    <t>#1309</t>
  </si>
  <si>
    <t>04-08-2026 13:56</t>
  </si>
  <si>
    <t>Lake Danielfurt</t>
  </si>
  <si>
    <t>#1310</t>
  </si>
  <si>
    <t>Johnsonview</t>
  </si>
  <si>
    <t>#1311</t>
  </si>
  <si>
    <t>Michaelhaven</t>
  </si>
  <si>
    <t>#1312</t>
  </si>
  <si>
    <t>04-08-2026 13:59</t>
  </si>
  <si>
    <t>David Hernandez</t>
  </si>
  <si>
    <t>david.hernandez260@yahoo.com</t>
  </si>
  <si>
    <t>South Marissa</t>
  </si>
  <si>
    <t>#1313</t>
  </si>
  <si>
    <t>04-08-2026 14:01</t>
  </si>
  <si>
    <t>Joshua Owens</t>
  </si>
  <si>
    <t>joshua.owens56@icloud.com</t>
  </si>
  <si>
    <t>West Raymondbury</t>
  </si>
  <si>
    <t>#1314</t>
  </si>
  <si>
    <t>Darin Alvarez</t>
  </si>
  <si>
    <t>darin.alvarez843@gmail.com</t>
  </si>
  <si>
    <t>Santiagohaven</t>
  </si>
  <si>
    <t>#1315</t>
  </si>
  <si>
    <t>East Rebeccaton</t>
  </si>
  <si>
    <t>#1316</t>
  </si>
  <si>
    <t>#1317</t>
  </si>
  <si>
    <t>David Duke</t>
  </si>
  <si>
    <t>david.duke814@icloud.com</t>
  </si>
  <si>
    <t>$24.99</t>
  </si>
  <si>
    <t>$30.98</t>
  </si>
  <si>
    <t>Jenniferfort</t>
  </si>
  <si>
    <t>#1318</t>
  </si>
  <si>
    <t>Sarah Webb</t>
  </si>
  <si>
    <t>sarah.webb997@outlook.com</t>
  </si>
  <si>
    <t>Lake Ariel</t>
  </si>
  <si>
    <t>#1319</t>
  </si>
  <si>
    <t>Lake Johnmouth</t>
  </si>
  <si>
    <t>#1320</t>
  </si>
  <si>
    <t>Richard Weber</t>
  </si>
  <si>
    <t>richard.weber156@yahoo.com</t>
  </si>
  <si>
    <t>Barronside</t>
  </si>
  <si>
    <t>#1321</t>
  </si>
  <si>
    <t>Lake Paul</t>
  </si>
  <si>
    <t>#1322</t>
  </si>
  <si>
    <t>04-08-2026 14:04</t>
  </si>
  <si>
    <t>Tammyshire</t>
  </si>
  <si>
    <t>#1323</t>
  </si>
  <si>
    <t>Suzanne White</t>
  </si>
  <si>
    <t>suzanne.white877@gmail.com</t>
  </si>
  <si>
    <t>Lake Leahtown</t>
  </si>
  <si>
    <t>#1324</t>
  </si>
  <si>
    <t>Stephanie Mcgee</t>
  </si>
  <si>
    <t>stephanie.mcgee557@outlook.com</t>
  </si>
  <si>
    <t>Lake Kimberly</t>
  </si>
  <si>
    <t>#1325</t>
  </si>
  <si>
    <t>South Aaronburgh</t>
  </si>
  <si>
    <t>#1326</t>
  </si>
  <si>
    <t>Nguyentown</t>
  </si>
  <si>
    <t>#1327</t>
  </si>
  <si>
    <t>Patricia Thompson</t>
  </si>
  <si>
    <t>patricia.thompson164@icloud.com</t>
  </si>
  <si>
    <t>West Bethanyburgh</t>
  </si>
  <si>
    <t>#1328</t>
  </si>
  <si>
    <t>South Charlesland</t>
  </si>
  <si>
    <t>#1329</t>
  </si>
  <si>
    <t>West Andrew</t>
  </si>
  <si>
    <t>#1330</t>
  </si>
  <si>
    <t>Michaelburgh</t>
  </si>
  <si>
    <t>#1331</t>
  </si>
  <si>
    <t>Perezmouth</t>
  </si>
  <si>
    <t>#1332</t>
  </si>
  <si>
    <t>CHRISTOPHER HARRIS</t>
  </si>
  <si>
    <t>christopher.harris618@yahoo.com</t>
  </si>
  <si>
    <t>Corychester</t>
  </si>
  <si>
    <t>#1333</t>
  </si>
  <si>
    <t>Middletonshire</t>
  </si>
  <si>
    <t>#1334</t>
  </si>
  <si>
    <t>Elizabeth Johnston</t>
  </si>
  <si>
    <t>elizabeth.johnston946@gmail.com</t>
  </si>
  <si>
    <t>Bakershire</t>
  </si>
  <si>
    <t>#1335</t>
  </si>
  <si>
    <t>Eric Golden</t>
  </si>
  <si>
    <t>eric.golden379@outlook.com</t>
  </si>
  <si>
    <t>East Heather</t>
  </si>
  <si>
    <t>#1336</t>
  </si>
  <si>
    <t>New Ashley</t>
  </si>
  <si>
    <t>#1337</t>
  </si>
  <si>
    <t>Sarah Williams</t>
  </si>
  <si>
    <t>sarah.williams329@icloud.com</t>
  </si>
  <si>
    <t>Lake Michaelstad</t>
  </si>
  <si>
    <t>#1338</t>
  </si>
  <si>
    <t>Christopher Harris</t>
  </si>
  <si>
    <t>Lake Crystal</t>
  </si>
  <si>
    <t>#1339</t>
  </si>
  <si>
    <t xml:space="preserve">  Christopher Osborne</t>
  </si>
  <si>
    <t>christopher.osborne481@yahoo.com</t>
  </si>
  <si>
    <t xml:space="preserve"> VIP15 </t>
  </si>
  <si>
    <t>Michaelbury</t>
  </si>
  <si>
    <t>#1340</t>
  </si>
  <si>
    <t>Matthew Perez</t>
  </si>
  <si>
    <t>matthew.perez875@gmail.com</t>
  </si>
  <si>
    <t>North Steven</t>
  </si>
  <si>
    <t>#1341</t>
  </si>
  <si>
    <t>Elizabeth Carter</t>
  </si>
  <si>
    <t>elizabeth.carter304@icloud.com</t>
  </si>
  <si>
    <t>$58.96</t>
  </si>
  <si>
    <t>Maryborough</t>
  </si>
  <si>
    <t>#1342</t>
  </si>
  <si>
    <t>Melvinside</t>
  </si>
  <si>
    <t>#1343</t>
  </si>
  <si>
    <t>Albert Salazar</t>
  </si>
  <si>
    <t>albert.salazar398@outlook.com</t>
  </si>
  <si>
    <t>Angelaport</t>
  </si>
  <si>
    <t>#1344</t>
  </si>
  <si>
    <t>Leahchester</t>
  </si>
  <si>
    <t>#1345</t>
  </si>
  <si>
    <t>New Jason</t>
  </si>
  <si>
    <t>#1346</t>
  </si>
  <si>
    <t>Rhonda Chapman</t>
  </si>
  <si>
    <t>rhonda.chapman481@yahoo.com</t>
  </si>
  <si>
    <t>East Williamstad</t>
  </si>
  <si>
    <t>#1347</t>
  </si>
  <si>
    <t>Kenneth Coleman</t>
  </si>
  <si>
    <t>kenneth.coleman447@icloud.com</t>
  </si>
  <si>
    <t>Mcbrideton</t>
  </si>
  <si>
    <t>#1348</t>
  </si>
  <si>
    <t>Lake Kimberlybury</t>
  </si>
  <si>
    <t>#1349</t>
  </si>
  <si>
    <t>Terranceburgh</t>
  </si>
  <si>
    <t>#1350</t>
  </si>
  <si>
    <t>New Sandra</t>
  </si>
  <si>
    <t>#1351</t>
  </si>
  <si>
    <t>East Emily</t>
  </si>
  <si>
    <t>#1352</t>
  </si>
  <si>
    <t>Alexanderfort</t>
  </si>
  <si>
    <t>#1353</t>
  </si>
  <si>
    <t>Dawn Randolph</t>
  </si>
  <si>
    <t>dawn.randolph179@icloud.com</t>
  </si>
  <si>
    <t>West Noah</t>
  </si>
  <si>
    <t>#1354</t>
  </si>
  <si>
    <t>Scottchester</t>
  </si>
  <si>
    <t>#1355</t>
  </si>
  <si>
    <t>Wardstad</t>
  </si>
  <si>
    <t>#1356</t>
  </si>
  <si>
    <t>Martinmouth</t>
  </si>
  <si>
    <t>#1357</t>
  </si>
  <si>
    <t>East Wendyton</t>
  </si>
  <si>
    <t>#1358</t>
  </si>
  <si>
    <t>Lake Jeffreyshire</t>
  </si>
  <si>
    <t>#1359</t>
  </si>
  <si>
    <t>Barbara Case</t>
  </si>
  <si>
    <t>East Andrewfurt</t>
  </si>
  <si>
    <t>#1360</t>
  </si>
  <si>
    <t>Barnesmouth</t>
  </si>
  <si>
    <t>#1361</t>
  </si>
  <si>
    <t>Darryl Cook</t>
  </si>
  <si>
    <t>darryl.cook98@yahoo.com</t>
  </si>
  <si>
    <t>Christineland</t>
  </si>
  <si>
    <t>#1362</t>
  </si>
  <si>
    <t>David Mcknight</t>
  </si>
  <si>
    <t>david.mcknight827@gmail.com</t>
  </si>
  <si>
    <t>West William</t>
  </si>
  <si>
    <t>#1363</t>
  </si>
  <si>
    <t>Adamhaven</t>
  </si>
  <si>
    <t>#1364</t>
  </si>
  <si>
    <t>Anthony Krueger</t>
  </si>
  <si>
    <t>anthony.krueger812@yahoo.com</t>
  </si>
  <si>
    <t>Jessicaberg</t>
  </si>
  <si>
    <t>#1365</t>
  </si>
  <si>
    <t>Lake Kaitlyn</t>
  </si>
  <si>
    <t>#1366</t>
  </si>
  <si>
    <t>Arnoldberg</t>
  </si>
  <si>
    <t>#1367</t>
  </si>
  <si>
    <t>New Melissabury</t>
  </si>
  <si>
    <t>#1368</t>
  </si>
  <si>
    <t>Mary Bradley</t>
  </si>
  <si>
    <t>mary.bradley289@gmail.com</t>
  </si>
  <si>
    <t>Andersonburgh</t>
  </si>
  <si>
    <t>#1369</t>
  </si>
  <si>
    <t>Kendra Price</t>
  </si>
  <si>
    <t>kendra.price237@outlook.com</t>
  </si>
  <si>
    <t>Stephensshire</t>
  </si>
  <si>
    <t>#1370</t>
  </si>
  <si>
    <t>Lake Jaredborough</t>
  </si>
  <si>
    <t>#1371</t>
  </si>
  <si>
    <t>Andrew Vargas</t>
  </si>
  <si>
    <t>andrew.vargas381@outlook.com</t>
  </si>
  <si>
    <t>Port Jasmineview</t>
  </si>
  <si>
    <t>#1372</t>
  </si>
  <si>
    <t>Jane Gregory</t>
  </si>
  <si>
    <t>jane.gregory935@icloud.com</t>
  </si>
  <si>
    <t>Fletcherberg</t>
  </si>
  <si>
    <t>#1373</t>
  </si>
  <si>
    <t>Calebstad</t>
  </si>
  <si>
    <t>#1374</t>
  </si>
  <si>
    <t>Kellyfort</t>
  </si>
  <si>
    <t>#1375</t>
  </si>
  <si>
    <t>Medinaville</t>
  </si>
  <si>
    <t>#1376</t>
  </si>
  <si>
    <t>Piercehaven</t>
  </si>
  <si>
    <t>#1377</t>
  </si>
  <si>
    <t>Sarah Singh</t>
  </si>
  <si>
    <t>sarah.singh298@gmail.com</t>
  </si>
  <si>
    <t>New Jamesshire</t>
  </si>
  <si>
    <t>#1378</t>
  </si>
  <si>
    <t>Cynthiaside</t>
  </si>
  <si>
    <t>#1379</t>
  </si>
  <si>
    <t>Melissa James</t>
  </si>
  <si>
    <t>melissa.james674@outlook.com</t>
  </si>
  <si>
    <t>East Courtneyport</t>
  </si>
  <si>
    <t>#1380</t>
  </si>
  <si>
    <t>Daltonstad</t>
  </si>
  <si>
    <t>#1381</t>
  </si>
  <si>
    <t>$16.08</t>
  </si>
  <si>
    <t>South Justintown</t>
  </si>
  <si>
    <t>#1382</t>
  </si>
  <si>
    <t>Susan Stark</t>
  </si>
  <si>
    <t>susan.stark500@yahoo.com</t>
  </si>
  <si>
    <t>Petersonland</t>
  </si>
  <si>
    <t>#1383</t>
  </si>
  <si>
    <t>Ryan Gonzalez</t>
  </si>
  <si>
    <t>ryan.gonzalez192@gmail.com</t>
  </si>
  <si>
    <t>East Jameston</t>
  </si>
  <si>
    <t>#1384</t>
  </si>
  <si>
    <t>Evantown</t>
  </si>
  <si>
    <t>#1385</t>
  </si>
  <si>
    <t>New Kevintown</t>
  </si>
  <si>
    <t>#1386</t>
  </si>
  <si>
    <t>North Wendyview</t>
  </si>
  <si>
    <t>#1387</t>
  </si>
  <si>
    <t xml:space="preserve">  Thomas Rojas</t>
  </si>
  <si>
    <t>Port Sarahview</t>
  </si>
  <si>
    <t>#1388</t>
  </si>
  <si>
    <t>kimberly estrada</t>
  </si>
  <si>
    <t>Josephbury</t>
  </si>
  <si>
    <t>#1389</t>
  </si>
  <si>
    <t>Melissastad</t>
  </si>
  <si>
    <t>#1390</t>
  </si>
  <si>
    <t>Reynoldsshire</t>
  </si>
  <si>
    <t>#1391</t>
  </si>
  <si>
    <t>Debbie Joseph</t>
  </si>
  <si>
    <t>debbie.joseph531@outlook.com</t>
  </si>
  <si>
    <t>New Heidiland</t>
  </si>
  <si>
    <t>#1392</t>
  </si>
  <si>
    <t>North Karina</t>
  </si>
  <si>
    <t>#1393</t>
  </si>
  <si>
    <t>Cheyennefurt</t>
  </si>
  <si>
    <t>#1394</t>
  </si>
  <si>
    <t>New Richard</t>
  </si>
  <si>
    <t>#1395</t>
  </si>
  <si>
    <t>West Danielhaven</t>
  </si>
  <si>
    <t>#1396</t>
  </si>
  <si>
    <t xml:space="preserve">  Peter Alvarez</t>
  </si>
  <si>
    <t>Ritterborough</t>
  </si>
  <si>
    <t>#1397</t>
  </si>
  <si>
    <t>Kristina Thompson</t>
  </si>
  <si>
    <t>kristina.thompson501@icloud.com</t>
  </si>
  <si>
    <t>New Dennis</t>
  </si>
  <si>
    <t>#1398</t>
  </si>
  <si>
    <t>Cheryl Coleman</t>
  </si>
  <si>
    <t>cheryl.coleman261@icloud.com</t>
  </si>
  <si>
    <t>Port Danielleview</t>
  </si>
  <si>
    <t>#1399</t>
  </si>
  <si>
    <t>vicki johnson</t>
  </si>
  <si>
    <t>vicki.johnson369@outlook.com</t>
  </si>
  <si>
    <t>Jamesmouth</t>
  </si>
  <si>
    <t>#1400</t>
  </si>
  <si>
    <t>Joel Davidson</t>
  </si>
  <si>
    <t>joel.davidson94@icloud.com</t>
  </si>
  <si>
    <t>North Elizabeth</t>
  </si>
  <si>
    <t>#1401</t>
  </si>
  <si>
    <t>Christopher Osborne</t>
  </si>
  <si>
    <t>Harrisonhaven</t>
  </si>
  <si>
    <t>#1402</t>
  </si>
  <si>
    <t>Samuelport</t>
  </si>
  <si>
    <t>#1403</t>
  </si>
  <si>
    <t>Port Nicoleberg</t>
  </si>
  <si>
    <t>#1404</t>
  </si>
  <si>
    <t>Kayla Morris</t>
  </si>
  <si>
    <t>kayla.morris339@outlook.com</t>
  </si>
  <si>
    <t>FREESHIP </t>
  </si>
  <si>
    <t>$14.99</t>
  </si>
  <si>
    <t>Vanessafurt</t>
  </si>
  <si>
    <t>#1405</t>
  </si>
  <si>
    <t>Cynthiabury</t>
  </si>
  <si>
    <t>#1406</t>
  </si>
  <si>
    <t>Ruth Duncan</t>
  </si>
  <si>
    <t>Macdonaldton</t>
  </si>
  <si>
    <t>#1407</t>
  </si>
  <si>
    <t>Meganborough</t>
  </si>
  <si>
    <t>#1408</t>
  </si>
  <si>
    <t>Ian Morris</t>
  </si>
  <si>
    <t>ian.morris90@outlook.com</t>
  </si>
  <si>
    <t>$47.98</t>
  </si>
  <si>
    <t>West Christine</t>
  </si>
  <si>
    <t>#1409</t>
  </si>
  <si>
    <t>West Anaton</t>
  </si>
  <si>
    <t>#1410</t>
  </si>
  <si>
    <t>Jesse Hammond</t>
  </si>
  <si>
    <t>jesse.hammond987@gmail.com</t>
  </si>
  <si>
    <t>Cynthiatown</t>
  </si>
  <si>
    <t>#1411</t>
  </si>
  <si>
    <t>Lucas Lyons</t>
  </si>
  <si>
    <t>lucas.lyons594@icloud.com</t>
  </si>
  <si>
    <t>Ethanville</t>
  </si>
  <si>
    <t>#1412</t>
  </si>
  <si>
    <t>Kaitlyn Hernandez</t>
  </si>
  <si>
    <t>East Ashleyland</t>
  </si>
  <si>
    <t>#1413</t>
  </si>
  <si>
    <t>$39.99</t>
  </si>
  <si>
    <t>North Cynthia</t>
  </si>
  <si>
    <t>#1414</t>
  </si>
  <si>
    <t>North Dustin</t>
  </si>
  <si>
    <t>#1415</t>
  </si>
  <si>
    <t>Port Kerryton</t>
  </si>
  <si>
    <t>#1416</t>
  </si>
  <si>
    <t>Tammy Hawkins</t>
  </si>
  <si>
    <t>tammy.hawkins461@outlook.com</t>
  </si>
  <si>
    <t>South Williamhaven</t>
  </si>
  <si>
    <t>#1417</t>
  </si>
  <si>
    <t>$5.50</t>
  </si>
  <si>
    <t>#1418</t>
  </si>
  <si>
    <t>Walter Rodriguez</t>
  </si>
  <si>
    <t>walter.rodriguez829@gmail.com</t>
  </si>
  <si>
    <t>Riversport</t>
  </si>
  <si>
    <t>#1419</t>
  </si>
  <si>
    <t>Jordan Wilkins</t>
  </si>
  <si>
    <t>jordan.wilkins318@outlook.com</t>
  </si>
  <si>
    <t>$27.99</t>
  </si>
  <si>
    <t>Lake Nicholas</t>
  </si>
  <si>
    <t>#1420</t>
  </si>
  <si>
    <t>Matthew Riley</t>
  </si>
  <si>
    <t>matthew.riley309@yahoo.com</t>
  </si>
  <si>
    <t>Allisonmouth</t>
  </si>
  <si>
    <t>#1421</t>
  </si>
  <si>
    <t>Bowenmouth</t>
  </si>
  <si>
    <t>#1422</t>
  </si>
  <si>
    <t>Nicolestad</t>
  </si>
  <si>
    <t>#1423</t>
  </si>
  <si>
    <t>Joseph Martin</t>
  </si>
  <si>
    <t>joseph.martin348@icloud.com</t>
  </si>
  <si>
    <t>Walkerchester</t>
  </si>
  <si>
    <t>#1424</t>
  </si>
  <si>
    <t>patricia.townsend96@yahoo.com</t>
  </si>
  <si>
    <t>Lisamouth</t>
  </si>
  <si>
    <t>#1425</t>
  </si>
  <si>
    <t>North Ashley</t>
  </si>
  <si>
    <t>#1426</t>
  </si>
  <si>
    <t>ALAN DAVIS</t>
  </si>
  <si>
    <t>alan.davis483@icloud.com</t>
  </si>
  <si>
    <t>Manningview</t>
  </si>
  <si>
    <t>#1427</t>
  </si>
  <si>
    <t>South Nancy</t>
  </si>
  <si>
    <t>#1428</t>
  </si>
  <si>
    <t>South Dana</t>
  </si>
  <si>
    <t>#1429</t>
  </si>
  <si>
    <t>Tracy Barr</t>
  </si>
  <si>
    <t>tracy.barr550@icloud.com</t>
  </si>
  <si>
    <t>Vazquezton</t>
  </si>
  <si>
    <t>#1430</t>
  </si>
  <si>
    <t>Denise Phillips</t>
  </si>
  <si>
    <t>denise.phillips810@gmail.com</t>
  </si>
  <si>
    <t>Wangmouth</t>
  </si>
  <si>
    <t>#1431</t>
  </si>
  <si>
    <t>Michaeltown</t>
  </si>
  <si>
    <t>#1432</t>
  </si>
  <si>
    <t>Jasmine Parker</t>
  </si>
  <si>
    <t>jasmine.parker47@icloud.com</t>
  </si>
  <si>
    <t>New Christina</t>
  </si>
  <si>
    <t>#1433</t>
  </si>
  <si>
    <t>04-08-2026 14:07</t>
  </si>
  <si>
    <t>Timothy Weaver</t>
  </si>
  <si>
    <t>timothy.weaver591@gmail.com</t>
  </si>
  <si>
    <t>North Reginaside</t>
  </si>
  <si>
    <t>#1434</t>
  </si>
  <si>
    <t>Haleystad</t>
  </si>
  <si>
    <t>#1435</t>
  </si>
  <si>
    <t>Dianaville</t>
  </si>
  <si>
    <t>#1436</t>
  </si>
  <si>
    <t>Zacharyside</t>
  </si>
  <si>
    <t>#1437</t>
  </si>
  <si>
    <t>Knighthaven</t>
  </si>
  <si>
    <t>#1438</t>
  </si>
  <si>
    <t>Adam Krause</t>
  </si>
  <si>
    <t>adam.krause31@yahoo.com</t>
  </si>
  <si>
    <t>$22.23</t>
  </si>
  <si>
    <t>Riddlebury</t>
  </si>
  <si>
    <t>#1439</t>
  </si>
  <si>
    <t>West Ashleyborough</t>
  </si>
  <si>
    <t>#1440</t>
  </si>
  <si>
    <t>East Scottport</t>
  </si>
  <si>
    <t>#1441</t>
  </si>
  <si>
    <t>Carr, Angela</t>
  </si>
  <si>
    <t>$7.50</t>
  </si>
  <si>
    <t>Johnsonhaven</t>
  </si>
  <si>
    <t>#1442</t>
  </si>
  <si>
    <t>Schmidtchester</t>
  </si>
  <si>
    <t>#1443</t>
  </si>
  <si>
    <t>tracy dominguez</t>
  </si>
  <si>
    <t>$4.95</t>
  </si>
  <si>
    <t>New Brittany</t>
  </si>
  <si>
    <t>#1444</t>
  </si>
  <si>
    <t>Lake Allisonport</t>
  </si>
  <si>
    <t>#1445</t>
  </si>
  <si>
    <t>William Morales</t>
  </si>
  <si>
    <t>william.morales943@outlook.com</t>
  </si>
  <si>
    <t>Vanessaberg</t>
  </si>
  <si>
    <t>#1446</t>
  </si>
  <si>
    <t>Timothy Santos</t>
  </si>
  <si>
    <t>timothy.santos549@outlook.com</t>
  </si>
  <si>
    <t>Kellyside</t>
  </si>
  <si>
    <t>#1447</t>
  </si>
  <si>
    <t>Joshua Miller</t>
  </si>
  <si>
    <t>joshua.miller362@gmail.com</t>
  </si>
  <si>
    <t>Annefort</t>
  </si>
  <si>
    <t>#1448</t>
  </si>
  <si>
    <t>East Charles</t>
  </si>
  <si>
    <t>#1449</t>
  </si>
  <si>
    <t>West Larry</t>
  </si>
  <si>
    <t>#1450</t>
  </si>
  <si>
    <t>DEBBIE JOSEPH</t>
  </si>
  <si>
    <t>South Yvonnehaven</t>
  </si>
  <si>
    <t>#1451</t>
  </si>
  <si>
    <t>Vincentchester</t>
  </si>
  <si>
    <t>#1452</t>
  </si>
  <si>
    <t>Lake Cynthiafort</t>
  </si>
  <si>
    <t>#1453</t>
  </si>
  <si>
    <t>Laura Pruitt</t>
  </si>
  <si>
    <t>laura.pruitt212@yahoo.com</t>
  </si>
  <si>
    <t>East Amberbury</t>
  </si>
  <si>
    <t>#1454</t>
  </si>
  <si>
    <t>Maddoxborough</t>
  </si>
  <si>
    <t>#1455</t>
  </si>
  <si>
    <t>Henryview</t>
  </si>
  <si>
    <t>#1456</t>
  </si>
  <si>
    <t>Kristopher Barnett</t>
  </si>
  <si>
    <t>kristopher.barnett178@outlook.com</t>
  </si>
  <si>
    <t>South Lisaberg</t>
  </si>
  <si>
    <t>#1457</t>
  </si>
  <si>
    <t>Alisonville</t>
  </si>
  <si>
    <t>#1458</t>
  </si>
  <si>
    <t>Alan Davis</t>
  </si>
  <si>
    <t>$18.00</t>
  </si>
  <si>
    <t>West Debraland</t>
  </si>
  <si>
    <t>#1459</t>
  </si>
  <si>
    <t>Nicholsonshire</t>
  </si>
  <si>
    <t>#1460</t>
  </si>
  <si>
    <t>Simpsonburgh</t>
  </si>
  <si>
    <t>#1461</t>
  </si>
  <si>
    <t>Matthew Newman</t>
  </si>
  <si>
    <t>matthew.newman714@gmail.com</t>
  </si>
  <si>
    <t>$1.40</t>
  </si>
  <si>
    <t>Michaelborough</t>
  </si>
  <si>
    <t>#1462</t>
  </si>
  <si>
    <t>$33.98</t>
  </si>
  <si>
    <t>Ingramfurt</t>
  </si>
  <si>
    <t>#1463</t>
  </si>
  <si>
    <t>Conway, Brittney</t>
  </si>
  <si>
    <t>North Nathan</t>
  </si>
  <si>
    <t>#1464</t>
  </si>
  <si>
    <t>New Scottberg</t>
  </si>
  <si>
    <t>#1465</t>
  </si>
  <si>
    <t>Lake Lindaborough</t>
  </si>
  <si>
    <t>#1466</t>
  </si>
  <si>
    <t>Ramirezland</t>
  </si>
  <si>
    <t>#1467</t>
  </si>
  <si>
    <t>Jeremy Tucker</t>
  </si>
  <si>
    <t>jeremy.tucker26@yahoo.com</t>
  </si>
  <si>
    <t>Hayleychester</t>
  </si>
  <si>
    <t>#1468</t>
  </si>
  <si>
    <t>Lawrenceton</t>
  </si>
  <si>
    <t>#1469</t>
  </si>
  <si>
    <t>Melissa Thompson</t>
  </si>
  <si>
    <t>melissa.thompson241@yahoo.com</t>
  </si>
  <si>
    <t>Noblehaven</t>
  </si>
  <si>
    <t>#1470</t>
  </si>
  <si>
    <t>New Jennifer</t>
  </si>
  <si>
    <t>#1471</t>
  </si>
  <si>
    <t>Richardsonchester</t>
  </si>
  <si>
    <t>#1472</t>
  </si>
  <si>
    <t>New Claire</t>
  </si>
  <si>
    <t>#1473</t>
  </si>
  <si>
    <t>New Blake</t>
  </si>
  <si>
    <t>#1474</t>
  </si>
  <si>
    <t>Port Amy</t>
  </si>
  <si>
    <t>#1475</t>
  </si>
  <si>
    <t>North Emilyshire</t>
  </si>
  <si>
    <t>#1476</t>
  </si>
  <si>
    <t>Garzachester</t>
  </si>
  <si>
    <t>#1477</t>
  </si>
  <si>
    <t>West Coryhaven</t>
  </si>
  <si>
    <t>#1478</t>
  </si>
  <si>
    <t>Wayneburgh</t>
  </si>
  <si>
    <t>#1479</t>
  </si>
  <si>
    <t>Angel Clark</t>
  </si>
  <si>
    <t>angel.clark280@yahoo.com</t>
  </si>
  <si>
    <t>Davidshire</t>
  </si>
  <si>
    <t>#1480</t>
  </si>
  <si>
    <t>Julieburgh</t>
  </si>
  <si>
    <t>#1481</t>
  </si>
  <si>
    <t xml:space="preserve"> WELCOME10 </t>
  </si>
  <si>
    <t>Margaretchester</t>
  </si>
  <si>
    <t>#1482</t>
  </si>
  <si>
    <t>Kristinastad</t>
  </si>
  <si>
    <t>#1483</t>
  </si>
  <si>
    <t>Port Katie</t>
  </si>
  <si>
    <t>#1484</t>
  </si>
  <si>
    <t>Lake Jeff</t>
  </si>
  <si>
    <t>#1485</t>
  </si>
  <si>
    <t>East Stacyfurt</t>
  </si>
  <si>
    <t>#1486</t>
  </si>
  <si>
    <t>Markport</t>
  </si>
  <si>
    <t>#1487</t>
  </si>
  <si>
    <t>South Rachelmouth</t>
  </si>
  <si>
    <t>#1488</t>
  </si>
  <si>
    <t>New Colleenberg</t>
  </si>
  <si>
    <t>#1489</t>
  </si>
  <si>
    <t>Daniel Parsons</t>
  </si>
  <si>
    <t>Johnborough</t>
  </si>
  <si>
    <t>#1490</t>
  </si>
  <si>
    <t>sandra.wilson840@outlook.com</t>
  </si>
  <si>
    <t>Owenside</t>
  </si>
  <si>
    <t>#1491</t>
  </si>
  <si>
    <t>Stacy Webb</t>
  </si>
  <si>
    <t>stacy.webb586@yahoo.com</t>
  </si>
  <si>
    <t>$1.30</t>
  </si>
  <si>
    <t>East Alexis</t>
  </si>
  <si>
    <t>#1492</t>
  </si>
  <si>
    <t>Taylor Lee</t>
  </si>
  <si>
    <t>taylor.lee613@gmail.com</t>
  </si>
  <si>
    <t>Dawnville</t>
  </si>
  <si>
    <t>#1493</t>
  </si>
  <si>
    <t>04-08-2026 14:03</t>
  </si>
  <si>
    <t>Carriestad</t>
  </si>
  <si>
    <t>#1494</t>
  </si>
  <si>
    <t>Kaylastad</t>
  </si>
  <si>
    <t>#1495</t>
  </si>
  <si>
    <t>Port David</t>
  </si>
  <si>
    <t>#1496</t>
  </si>
  <si>
    <t>East Jasonshire</t>
  </si>
  <si>
    <t>#1497</t>
  </si>
  <si>
    <t>Margarethaven</t>
  </si>
  <si>
    <t>#1498</t>
  </si>
  <si>
    <t>Sarah Mendoza</t>
  </si>
  <si>
    <t>sarah.mendoza691@outlook.com</t>
  </si>
  <si>
    <t>Vincentview</t>
  </si>
  <si>
    <t>#1499</t>
  </si>
  <si>
    <t>Monica Becker</t>
  </si>
  <si>
    <t>monica.becker291@outlook.com</t>
  </si>
  <si>
    <t>North Terry</t>
  </si>
  <si>
    <t>#1500</t>
  </si>
  <si>
    <t>Joshua Medina</t>
  </si>
  <si>
    <t>joshua.medina38@yahoo.com</t>
  </si>
  <si>
    <t>Port James</t>
  </si>
  <si>
    <t>#1501</t>
  </si>
  <si>
    <t>East Taylorfurt</t>
  </si>
  <si>
    <t>#1502</t>
  </si>
  <si>
    <t>Davis, Heather</t>
  </si>
  <si>
    <t>Starkhaven</t>
  </si>
  <si>
    <t>#1503</t>
  </si>
  <si>
    <t>Frank White</t>
  </si>
  <si>
    <t>frank.white670@icloud.com</t>
  </si>
  <si>
    <t>Markchester</t>
  </si>
  <si>
    <t>#1504</t>
  </si>
  <si>
    <t>Williams, Tyler</t>
  </si>
  <si>
    <t>Wallaceberg</t>
  </si>
  <si>
    <t>#1505</t>
  </si>
  <si>
    <t>Johnside</t>
  </si>
  <si>
    <t>#1506</t>
  </si>
  <si>
    <t>New Stephen</t>
  </si>
  <si>
    <t>#1507</t>
  </si>
  <si>
    <t>$18.48</t>
  </si>
  <si>
    <t>Lake Joseview</t>
  </si>
  <si>
    <t>#1508</t>
  </si>
  <si>
    <t>PETER ALVAREZ</t>
  </si>
  <si>
    <t>Port Rebecca</t>
  </si>
  <si>
    <t>#1509</t>
  </si>
  <si>
    <t>$1.70</t>
  </si>
  <si>
    <t>Lake Andrewbury</t>
  </si>
  <si>
    <t>#1510</t>
  </si>
  <si>
    <t>Bryan Smith</t>
  </si>
  <si>
    <t>bryan.smith876@yahoo.com</t>
  </si>
  <si>
    <t>$3.25</t>
  </si>
  <si>
    <t>Davidfurt</t>
  </si>
  <si>
    <t>#1511</t>
  </si>
  <si>
    <t>Alec Chambers</t>
  </si>
  <si>
    <t>alec.chambers767@outlook.com</t>
  </si>
  <si>
    <t>Loganmouth</t>
  </si>
  <si>
    <t>#1512</t>
  </si>
  <si>
    <t>North Alicia</t>
  </si>
  <si>
    <t>#1513</t>
  </si>
  <si>
    <t>West Nancybury</t>
  </si>
  <si>
    <t>#1514</t>
  </si>
  <si>
    <t>Michael Perez</t>
  </si>
  <si>
    <t>michael.perez206@gmail.com</t>
  </si>
  <si>
    <t>East Timothybury</t>
  </si>
  <si>
    <t>#1515</t>
  </si>
  <si>
    <t>#1516</t>
  </si>
  <si>
    <t>Jessica Garcia</t>
  </si>
  <si>
    <t>jessica.garcia931@gmail.com</t>
  </si>
  <si>
    <t>West Bridget</t>
  </si>
  <si>
    <t>#1517</t>
  </si>
  <si>
    <t>Justin Mcguire</t>
  </si>
  <si>
    <t>justin.mcguire224@icloud.com</t>
  </si>
  <si>
    <t>Lake Lisa</t>
  </si>
  <si>
    <t>#1518</t>
  </si>
  <si>
    <t>Williamsport</t>
  </si>
  <si>
    <t>#1519</t>
  </si>
  <si>
    <t>Carrie White</t>
  </si>
  <si>
    <t>carrie.white846@gmail.com</t>
  </si>
  <si>
    <t>$20.00</t>
  </si>
  <si>
    <t>Ethanland</t>
  </si>
  <si>
    <t>#1520</t>
  </si>
  <si>
    <t>Denniston</t>
  </si>
  <si>
    <t>#1521</t>
  </si>
  <si>
    <t>Perezhaven</t>
  </si>
  <si>
    <t>#1522</t>
  </si>
  <si>
    <t>Lake Corey</t>
  </si>
  <si>
    <t>#1523</t>
  </si>
  <si>
    <t>Jeffreyfort</t>
  </si>
  <si>
    <t>#1524</t>
  </si>
  <si>
    <t>Port Sheri</t>
  </si>
  <si>
    <t>#1525</t>
  </si>
  <si>
    <t>West Sethport</t>
  </si>
  <si>
    <t>#1526</t>
  </si>
  <si>
    <t>New Danny</t>
  </si>
  <si>
    <t>#1527</t>
  </si>
  <si>
    <t>New Benjamin</t>
  </si>
  <si>
    <t>#1528</t>
  </si>
  <si>
    <t>$19.98</t>
  </si>
  <si>
    <t>Phillipsmouth</t>
  </si>
  <si>
    <t>#1529</t>
  </si>
  <si>
    <t>Glovermouth</t>
  </si>
  <si>
    <t>#1530</t>
  </si>
  <si>
    <t>Logan Fox</t>
  </si>
  <si>
    <t>logan.fox165@gmail.com</t>
  </si>
  <si>
    <t>East Sheila</t>
  </si>
  <si>
    <t>#1531</t>
  </si>
  <si>
    <t>Julie Hoffman</t>
  </si>
  <si>
    <t>julie.hoffman913@gmail.com</t>
  </si>
  <si>
    <t>Gallaghermouth</t>
  </si>
  <si>
    <t>#1532</t>
  </si>
  <si>
    <t>Timothy Sanchez</t>
  </si>
  <si>
    <t>timothy.sanchez728@gmail.com</t>
  </si>
  <si>
    <t>North Joseph</t>
  </si>
  <si>
    <t>#1533</t>
  </si>
  <si>
    <t>Lake Monicaville</t>
  </si>
  <si>
    <t>#1534</t>
  </si>
  <si>
    <t>Brian Shaffer</t>
  </si>
  <si>
    <t>brian.shaffer90@yahoo.com</t>
  </si>
  <si>
    <t>North Robert</t>
  </si>
  <si>
    <t>#1535</t>
  </si>
  <si>
    <t>Joshua Thompson</t>
  </si>
  <si>
    <t>joshua.thompson522@outlook.com</t>
  </si>
  <si>
    <t>West Sean</t>
  </si>
  <si>
    <t>#1536</t>
  </si>
  <si>
    <t>Angelatown</t>
  </si>
  <si>
    <t>#1537</t>
  </si>
  <si>
    <t>Morrisfurt</t>
  </si>
  <si>
    <t>#1538</t>
  </si>
  <si>
    <t>Gonzalezfort</t>
  </si>
  <si>
    <t>#1539</t>
  </si>
  <si>
    <t>North Randymouth</t>
  </si>
  <si>
    <t>#1540</t>
  </si>
  <si>
    <t>Port Richardfurt</t>
  </si>
  <si>
    <t>#1541</t>
  </si>
  <si>
    <t>Lake Allenburgh</t>
  </si>
  <si>
    <t>#1542</t>
  </si>
  <si>
    <t>$21.28</t>
  </si>
  <si>
    <t>Port Darrylville</t>
  </si>
  <si>
    <t>#1543</t>
  </si>
  <si>
    <t>samuel.smith76@outlook.com</t>
  </si>
  <si>
    <t>South Andrewmouth</t>
  </si>
  <si>
    <t>#1544</t>
  </si>
  <si>
    <t>Nancy Williams</t>
  </si>
  <si>
    <t>nancy.williams148@outlook.com</t>
  </si>
  <si>
    <t>North Austin</t>
  </si>
  <si>
    <t>#1545</t>
  </si>
  <si>
    <t>Shawnton</t>
  </si>
  <si>
    <t>#1546</t>
  </si>
  <si>
    <t>New Amy</t>
  </si>
  <si>
    <t>#1547</t>
  </si>
  <si>
    <t>East Carla</t>
  </si>
  <si>
    <t>#1548</t>
  </si>
  <si>
    <t>Andrewfurt</t>
  </si>
  <si>
    <t>#1549</t>
  </si>
  <si>
    <t>Aaron Thompson</t>
  </si>
  <si>
    <t>aaron.thompson601@yahoo.com</t>
  </si>
  <si>
    <t>West Kevin</t>
  </si>
  <si>
    <t>#1550</t>
  </si>
  <si>
    <t>Samantha Robinson</t>
  </si>
  <si>
    <t>samantha.robinson35@icloud.com</t>
  </si>
  <si>
    <t>Angelastad</t>
  </si>
  <si>
    <t>#1551</t>
  </si>
  <si>
    <t>$23.38</t>
  </si>
  <si>
    <t>Lake Brittanymouth</t>
  </si>
  <si>
    <t>#1552</t>
  </si>
  <si>
    <t>Port Lisa</t>
  </si>
  <si>
    <t>#1553</t>
  </si>
  <si>
    <t>SETH PRICE</t>
  </si>
  <si>
    <t>Port Kimberlyborough</t>
  </si>
  <si>
    <t>#1554</t>
  </si>
  <si>
    <t>Kiara Burke</t>
  </si>
  <si>
    <t>kiara.burke246@yahoo.com</t>
  </si>
  <si>
    <t>#1555</t>
  </si>
  <si>
    <t>$33.97</t>
  </si>
  <si>
    <t>Lake Kaylee</t>
  </si>
  <si>
    <t>#1556</t>
  </si>
  <si>
    <t>New Aaronfort</t>
  </si>
  <si>
    <t>#1557</t>
  </si>
  <si>
    <t>East Nicole</t>
  </si>
  <si>
    <t>#1558</t>
  </si>
  <si>
    <t>Port Cherylhaven</t>
  </si>
  <si>
    <t>#1559</t>
  </si>
  <si>
    <t>Port Eileen</t>
  </si>
  <si>
    <t>#1560</t>
  </si>
  <si>
    <t>South Jeremiah</t>
  </si>
  <si>
    <t>#1561</t>
  </si>
  <si>
    <t>Port Jordan</t>
  </si>
  <si>
    <t>#1562</t>
  </si>
  <si>
    <t>Contrerasview</t>
  </si>
  <si>
    <t>#1563</t>
  </si>
  <si>
    <t>Reedmouth</t>
  </si>
  <si>
    <t>#1564</t>
  </si>
  <si>
    <t>North Anthonyland</t>
  </si>
  <si>
    <t>#1565</t>
  </si>
  <si>
    <t>$79.18</t>
  </si>
  <si>
    <t>Hoodberg</t>
  </si>
  <si>
    <t>#1566</t>
  </si>
  <si>
    <t>Daniel Contreras</t>
  </si>
  <si>
    <t>daniel.contreras749@yahoo.com</t>
  </si>
  <si>
    <t>West Philip</t>
  </si>
  <si>
    <t>#1567</t>
  </si>
  <si>
    <t>Port Cynthia</t>
  </si>
  <si>
    <t>#1568</t>
  </si>
  <si>
    <t>East Katelynberg</t>
  </si>
  <si>
    <t>#1569</t>
  </si>
  <si>
    <t>New Davidmouth</t>
  </si>
  <si>
    <t>#1570</t>
  </si>
  <si>
    <t>Rodriguez, Devon</t>
  </si>
  <si>
    <t>devon.rodriguez635@outlook.com</t>
  </si>
  <si>
    <t>New Joseph</t>
  </si>
  <si>
    <t>#1571</t>
  </si>
  <si>
    <t>WELCOME10 </t>
  </si>
  <si>
    <t>West Stephanie</t>
  </si>
  <si>
    <t>#1572</t>
  </si>
  <si>
    <t>Andrea Gallegos</t>
  </si>
  <si>
    <t>Ashleybury</t>
  </si>
  <si>
    <t>#1573</t>
  </si>
  <si>
    <t>Cameronport</t>
  </si>
  <si>
    <t>#1574</t>
  </si>
  <si>
    <t>Ericchester</t>
  </si>
  <si>
    <t>#1575</t>
  </si>
  <si>
    <t>Timothy Curry</t>
  </si>
  <si>
    <t>timothy.curry5@gmail.com</t>
  </si>
  <si>
    <t>Port Paigeview</t>
  </si>
  <si>
    <t>#1576</t>
  </si>
  <si>
    <t>Kayla Lee</t>
  </si>
  <si>
    <t>kayla.lee278@yahoo.com</t>
  </si>
  <si>
    <t>Edwardsmouth</t>
  </si>
  <si>
    <t>#1577</t>
  </si>
  <si>
    <t>Deckerton</t>
  </si>
  <si>
    <t>#1578</t>
  </si>
  <si>
    <t>Kimberly Johnson</t>
  </si>
  <si>
    <t>kimberly.johnson443@icloud.com</t>
  </si>
  <si>
    <t>Maryburgh</t>
  </si>
  <si>
    <t>#1579</t>
  </si>
  <si>
    <t>#1580</t>
  </si>
  <si>
    <t>$28.48</t>
  </si>
  <si>
    <t>Hermanbury</t>
  </si>
  <si>
    <t>#1581</t>
  </si>
  <si>
    <t>Alanfort</t>
  </si>
  <si>
    <t>#1582</t>
  </si>
  <si>
    <t>mary phillips</t>
  </si>
  <si>
    <t>East Thomasview</t>
  </si>
  <si>
    <t>#1583</t>
  </si>
  <si>
    <t>Joel Williams</t>
  </si>
  <si>
    <t>joel.williams850@gmail.com</t>
  </si>
  <si>
    <t>Lake Marilyn</t>
  </si>
  <si>
    <t>#1584</t>
  </si>
  <si>
    <t>Leahfort</t>
  </si>
  <si>
    <t>#1585</t>
  </si>
  <si>
    <t>Ronald Johnson</t>
  </si>
  <si>
    <t>ronald.johnson972@icloud.com</t>
  </si>
  <si>
    <t>Hamptonbury</t>
  </si>
  <si>
    <t>#1586</t>
  </si>
  <si>
    <t>$22.00</t>
  </si>
  <si>
    <t>South Jeremyside</t>
  </si>
  <si>
    <t>#1587</t>
  </si>
  <si>
    <t>Lake Ashley</t>
  </si>
  <si>
    <t>#1588</t>
  </si>
  <si>
    <t>Thomas Rivera</t>
  </si>
  <si>
    <t>East Scott</t>
  </si>
  <si>
    <t>#1589</t>
  </si>
  <si>
    <t>Josehaven</t>
  </si>
  <si>
    <t>#1590</t>
  </si>
  <si>
    <t>kaitlyn hernandez</t>
  </si>
  <si>
    <t>kaitlyn.hernandez192@gmail.com</t>
  </si>
  <si>
    <t>Ianside</t>
  </si>
  <si>
    <t>#1591</t>
  </si>
  <si>
    <t>$21.13</t>
  </si>
  <si>
    <t>Ramirezfurt</t>
  </si>
  <si>
    <t>#1592</t>
  </si>
  <si>
    <t>Tyronemouth</t>
  </si>
  <si>
    <t>#1593</t>
  </si>
  <si>
    <t>Sergio Turner</t>
  </si>
  <si>
    <t>sergio.turner744@outlook.com</t>
  </si>
  <si>
    <t>Angelaville</t>
  </si>
  <si>
    <t>#1594</t>
  </si>
  <si>
    <t>Wallerland</t>
  </si>
  <si>
    <t>#1595</t>
  </si>
  <si>
    <t>South Melissa</t>
  </si>
  <si>
    <t>#1596</t>
  </si>
  <si>
    <t>Stephanie Mcdonald</t>
  </si>
  <si>
    <t>stephanie.mcdonald873@icloud.com</t>
  </si>
  <si>
    <t>Wilsonstad</t>
  </si>
  <si>
    <t>#1597</t>
  </si>
  <si>
    <t>East Pamela</t>
  </si>
  <si>
    <t>#1598</t>
  </si>
  <si>
    <t>Banksshire</t>
  </si>
  <si>
    <t>#1599</t>
  </si>
  <si>
    <t>East Aprilshire</t>
  </si>
  <si>
    <t>#1600</t>
  </si>
  <si>
    <t>Sarahmouth</t>
  </si>
  <si>
    <t>#1601</t>
  </si>
  <si>
    <t>Tasha Morales</t>
  </si>
  <si>
    <t>tasha.morales378@outlook.com</t>
  </si>
  <si>
    <t>New Katherine</t>
  </si>
  <si>
    <t>#1602</t>
  </si>
  <si>
    <t>Sarah Hart</t>
  </si>
  <si>
    <t>sarah.hart267@yahoo.com</t>
  </si>
  <si>
    <t>Alexisville</t>
  </si>
  <si>
    <t>#1603</t>
  </si>
  <si>
    <t>Taylortown</t>
  </si>
  <si>
    <t>#1604</t>
  </si>
  <si>
    <t>West Douglas</t>
  </si>
  <si>
    <t>#1605</t>
  </si>
  <si>
    <t>Brady Garcia</t>
  </si>
  <si>
    <t>brady.garcia57@yahoo.com</t>
  </si>
  <si>
    <t>Elliottchester</t>
  </si>
  <si>
    <t>#1606</t>
  </si>
  <si>
    <t>Dalestad</t>
  </si>
  <si>
    <t>#1607</t>
  </si>
  <si>
    <t>Brooke Crawford</t>
  </si>
  <si>
    <t>brooke.crawford896@outlook.com</t>
  </si>
  <si>
    <t>Allentown</t>
  </si>
  <si>
    <t>#1608</t>
  </si>
  <si>
    <t>Sara Hernandez</t>
  </si>
  <si>
    <t>sara.hernandez651@icloud.com</t>
  </si>
  <si>
    <t>Port Valerie</t>
  </si>
  <si>
    <t>#1609</t>
  </si>
  <si>
    <t>Taylor Davis</t>
  </si>
  <si>
    <t>Baileyfort</t>
  </si>
  <si>
    <t>#1610</t>
  </si>
  <si>
    <t>Sullivanside</t>
  </si>
  <si>
    <t>#1611</t>
  </si>
  <si>
    <t>Leblanchaven</t>
  </si>
  <si>
    <t>#1612</t>
  </si>
  <si>
    <t>Billyton</t>
  </si>
  <si>
    <t>#1613</t>
  </si>
  <si>
    <t>#1614</t>
  </si>
  <si>
    <t>Daniel Hill</t>
  </si>
  <si>
    <t>Calvinshire</t>
  </si>
  <si>
    <t>#1615</t>
  </si>
  <si>
    <t>Millerton</t>
  </si>
  <si>
    <t>#1616</t>
  </si>
  <si>
    <t>04-08-2026 14:05</t>
  </si>
  <si>
    <t>$71.97</t>
  </si>
  <si>
    <t>Lake Jacob</t>
  </si>
  <si>
    <t>#1617</t>
  </si>
  <si>
    <t>James Mason</t>
  </si>
  <si>
    <t>james.mason603@gmail.com</t>
  </si>
  <si>
    <t>Williamsshire</t>
  </si>
  <si>
    <t>#1618</t>
  </si>
  <si>
    <t>Brittanyburgh</t>
  </si>
  <si>
    <t>#1619</t>
  </si>
  <si>
    <t>Vincentborough</t>
  </si>
  <si>
    <t>#1620</t>
  </si>
  <si>
    <t>South Justin</t>
  </si>
  <si>
    <t>#1621</t>
  </si>
  <si>
    <t>Mariaport</t>
  </si>
  <si>
    <t>#1622</t>
  </si>
  <si>
    <t>Catherineside</t>
  </si>
  <si>
    <t>#1623</t>
  </si>
  <si>
    <t>Mark Woods</t>
  </si>
  <si>
    <t>mark.woods108@yahoo.com</t>
  </si>
  <si>
    <t>New James</t>
  </si>
  <si>
    <t>#1624</t>
  </si>
  <si>
    <t>Morgan Johnson</t>
  </si>
  <si>
    <t>Thomaston</t>
  </si>
  <si>
    <t>#1625</t>
  </si>
  <si>
    <t>thomas vazquez</t>
  </si>
  <si>
    <t>thomas.vazquez673@icloud.com</t>
  </si>
  <si>
    <t>New Oliviaborough</t>
  </si>
  <si>
    <t>#1626</t>
  </si>
  <si>
    <t>AMANDA HARRIS</t>
  </si>
  <si>
    <t>Jenniferborough</t>
  </si>
  <si>
    <t>#1627</t>
  </si>
  <si>
    <t>Sierrachester</t>
  </si>
  <si>
    <t>#1628</t>
  </si>
  <si>
    <t>Port Jeffreymouth</t>
  </si>
  <si>
    <t>#1629</t>
  </si>
  <si>
    <t>Ryanton</t>
  </si>
  <si>
    <t>#1630</t>
  </si>
  <si>
    <t>Miller, Alexandria</t>
  </si>
  <si>
    <t>Evansfort</t>
  </si>
  <si>
    <t>#1631</t>
  </si>
  <si>
    <t>Anitamouth</t>
  </si>
  <si>
    <t>#1632</t>
  </si>
  <si>
    <t>Kenneth Morgan</t>
  </si>
  <si>
    <t>kenneth.morgan181@outlook.com</t>
  </si>
  <si>
    <t>West David</t>
  </si>
  <si>
    <t>#1633</t>
  </si>
  <si>
    <t>Gloria Ballard</t>
  </si>
  <si>
    <t>gloria.ballard194@outlook.com</t>
  </si>
  <si>
    <t>East Jenniferport</t>
  </si>
  <si>
    <t>#1634</t>
  </si>
  <si>
    <t>Williamsborough</t>
  </si>
  <si>
    <t>#1635</t>
  </si>
  <si>
    <t>$30.18</t>
  </si>
  <si>
    <t>#1636</t>
  </si>
  <si>
    <t>Franco, Charles</t>
  </si>
  <si>
    <t>North Kristineview</t>
  </si>
  <si>
    <t>#1637</t>
  </si>
  <si>
    <t>East Seanbury</t>
  </si>
  <si>
    <t>#1638</t>
  </si>
  <si>
    <t>Hallmouth</t>
  </si>
  <si>
    <t>#1639</t>
  </si>
  <si>
    <t>Shannonmouth</t>
  </si>
  <si>
    <t>#1640</t>
  </si>
  <si>
    <t>West Juliefort</t>
  </si>
  <si>
    <t>#1641</t>
  </si>
  <si>
    <t>Edwardton</t>
  </si>
  <si>
    <t>#1642</t>
  </si>
  <si>
    <t>Lake Ian</t>
  </si>
  <si>
    <t>#1643</t>
  </si>
  <si>
    <t>Lake Patriciamouth</t>
  </si>
  <si>
    <t>#1644</t>
  </si>
  <si>
    <t>Pam Hudson</t>
  </si>
  <si>
    <t>pam.hudson109@gmail.com</t>
  </si>
  <si>
    <t>$6.00</t>
  </si>
  <si>
    <t>$61.97</t>
  </si>
  <si>
    <t>Heidifurt</t>
  </si>
  <si>
    <t>#1645</t>
  </si>
  <si>
    <t>$179.98</t>
  </si>
  <si>
    <t>Alexview</t>
  </si>
  <si>
    <t>#1646</t>
  </si>
  <si>
    <t>Patrick Stevens</t>
  </si>
  <si>
    <t>patrick.stevens218@gmail.com</t>
  </si>
  <si>
    <t>Kylieside</t>
  </si>
  <si>
    <t>#1647</t>
  </si>
  <si>
    <t>Thomasburgh</t>
  </si>
  <si>
    <t>#1648</t>
  </si>
  <si>
    <t>Gregorymouth</t>
  </si>
  <si>
    <t>#1649</t>
  </si>
  <si>
    <t>West Michael</t>
  </si>
  <si>
    <t>#1650</t>
  </si>
  <si>
    <t>#1651</t>
  </si>
  <si>
    <t>Kevin Williams</t>
  </si>
  <si>
    <t>kevin.williams971@yahoo.com</t>
  </si>
  <si>
    <t>South Laurenland</t>
  </si>
  <si>
    <t>#1652</t>
  </si>
  <si>
    <t>$58.37</t>
  </si>
  <si>
    <t>Port Josephborough</t>
  </si>
  <si>
    <t>#1653</t>
  </si>
  <si>
    <t>Melinda Williams</t>
  </si>
  <si>
    <t>South Tinastad</t>
  </si>
  <si>
    <t>#1654</t>
  </si>
  <si>
    <t>Meganfort</t>
  </si>
  <si>
    <t>#1655</t>
  </si>
  <si>
    <t>taylor.davis403@outlook.com</t>
  </si>
  <si>
    <t>Lake Evan</t>
  </si>
  <si>
    <t>#1656</t>
  </si>
  <si>
    <t>Anthony Vaughn</t>
  </si>
  <si>
    <t>West Karen</t>
  </si>
  <si>
    <t>#1657</t>
  </si>
  <si>
    <t>George Green</t>
  </si>
  <si>
    <t>Port Williamstad</t>
  </si>
  <si>
    <t>#1658</t>
  </si>
  <si>
    <t>Courtneyview</t>
  </si>
  <si>
    <t>#1659</t>
  </si>
  <si>
    <t>Carrollchester</t>
  </si>
  <si>
    <t>#1660</t>
  </si>
  <si>
    <t>Davidchester</t>
  </si>
  <si>
    <t>#1661</t>
  </si>
  <si>
    <t>Lake Tracybury</t>
  </si>
  <si>
    <t>#1662</t>
  </si>
  <si>
    <t>SAVE20 </t>
  </si>
  <si>
    <t>North Jefferyberg</t>
  </si>
  <si>
    <t>#1663</t>
  </si>
  <si>
    <t>Kyle Rice</t>
  </si>
  <si>
    <t>kyle.rice164@icloud.com</t>
  </si>
  <si>
    <t>East Jenniferchester</t>
  </si>
  <si>
    <t>#1664</t>
  </si>
  <si>
    <t>Larryfort</t>
  </si>
  <si>
    <t>#1665</t>
  </si>
  <si>
    <t>Cindytown</t>
  </si>
  <si>
    <t>#1666</t>
  </si>
  <si>
    <t>North Kayla</t>
  </si>
  <si>
    <t>#1667</t>
  </si>
  <si>
    <t>Savannahburgh</t>
  </si>
  <si>
    <t>#1668</t>
  </si>
  <si>
    <t>Matthewberg</t>
  </si>
  <si>
    <t>#1669</t>
  </si>
  <si>
    <t>Schultzfort</t>
  </si>
  <si>
    <t>#1670</t>
  </si>
  <si>
    <t>South David</t>
  </si>
  <si>
    <t>#1671</t>
  </si>
  <si>
    <t>Samuel Smith</t>
  </si>
  <si>
    <t>Grayview</t>
  </si>
  <si>
    <t>#1672</t>
  </si>
  <si>
    <t>New Andrew</t>
  </si>
  <si>
    <t>#1673</t>
  </si>
  <si>
    <t>Matthewmouth</t>
  </si>
  <si>
    <t>#1674</t>
  </si>
  <si>
    <t>Mary Meza</t>
  </si>
  <si>
    <t>mary.meza759@gmail.com</t>
  </si>
  <si>
    <t>#1675</t>
  </si>
  <si>
    <t>Foxburgh</t>
  </si>
  <si>
    <t>#1676</t>
  </si>
  <si>
    <t>North Derek</t>
  </si>
  <si>
    <t>#1677</t>
  </si>
  <si>
    <t>$87.98</t>
  </si>
  <si>
    <t>South Jeffrey</t>
  </si>
  <si>
    <t>#1678</t>
  </si>
  <si>
    <t>West Deborahshire</t>
  </si>
  <si>
    <t>#1679</t>
  </si>
  <si>
    <t>New Robynberg</t>
  </si>
  <si>
    <t>#1680</t>
  </si>
  <si>
    <t>New Christian</t>
  </si>
  <si>
    <t>#1681</t>
  </si>
  <si>
    <t>Mirandaside</t>
  </si>
  <si>
    <t>#1682</t>
  </si>
  <si>
    <t>KIMBERLY TORRES</t>
  </si>
  <si>
    <t>kimberly.torres39@yahoo.com</t>
  </si>
  <si>
    <t>$29.98</t>
  </si>
  <si>
    <t>Cassandraville</t>
  </si>
  <si>
    <t>#1683</t>
  </si>
  <si>
    <t>East Steventon</t>
  </si>
  <si>
    <t>#1684</t>
  </si>
  <si>
    <t>Kevinbury</t>
  </si>
  <si>
    <t>#1685</t>
  </si>
  <si>
    <t>East Drewmouth</t>
  </si>
  <si>
    <t>#1686</t>
  </si>
  <si>
    <t>Garnerborough</t>
  </si>
  <si>
    <t>#1687</t>
  </si>
  <si>
    <t>New Gregory</t>
  </si>
  <si>
    <t>#1688</t>
  </si>
  <si>
    <t>#1689</t>
  </si>
  <si>
    <t>Dominique Huerta</t>
  </si>
  <si>
    <t>Haynesfurt</t>
  </si>
  <si>
    <t>#1690</t>
  </si>
  <si>
    <t>Tara Jackson</t>
  </si>
  <si>
    <t>tara.jackson708@outlook.com</t>
  </si>
  <si>
    <t>Georgeside</t>
  </si>
  <si>
    <t>#1691</t>
  </si>
  <si>
    <t>New David</t>
  </si>
  <si>
    <t>#1692</t>
  </si>
  <si>
    <t>$8.99</t>
  </si>
  <si>
    <t>Lake Andrewshire</t>
  </si>
  <si>
    <t>#1693</t>
  </si>
  <si>
    <t>Jack Bryant</t>
  </si>
  <si>
    <t>jack.bryant173@gmail.com</t>
  </si>
  <si>
    <t>Ambertown</t>
  </si>
  <si>
    <t>#1694</t>
  </si>
  <si>
    <t>South Henrystad</t>
  </si>
  <si>
    <t>#1695</t>
  </si>
  <si>
    <t>$79.98</t>
  </si>
  <si>
    <t>Thompsonport</t>
  </si>
  <si>
    <t>#1696</t>
  </si>
  <si>
    <t>Lake Michael</t>
  </si>
  <si>
    <t>#1697</t>
  </si>
  <si>
    <t>North Barbaratown</t>
  </si>
  <si>
    <t>#1698</t>
  </si>
  <si>
    <t>South Madison</t>
  </si>
  <si>
    <t>#1699</t>
  </si>
  <si>
    <t>South Francisco</t>
  </si>
  <si>
    <t>#1700</t>
  </si>
  <si>
    <t>Port Nancymouth</t>
  </si>
  <si>
    <t>#1701</t>
  </si>
  <si>
    <t>Port Karenshire</t>
  </si>
  <si>
    <t>#1702</t>
  </si>
  <si>
    <t>rose.english118@icloud.com</t>
  </si>
  <si>
    <t>#1703</t>
  </si>
  <si>
    <t>Luke Keller</t>
  </si>
  <si>
    <t>luke.keller471@icloud.com</t>
  </si>
  <si>
    <t>Port Crystalmouth</t>
  </si>
  <si>
    <t>#1704</t>
  </si>
  <si>
    <t>Allen Diaz</t>
  </si>
  <si>
    <t>allen.diaz546@gmail.com</t>
  </si>
  <si>
    <t>East Sharon</t>
  </si>
  <si>
    <t>#1705</t>
  </si>
  <si>
    <t>Erichaven</t>
  </si>
  <si>
    <t>#1706</t>
  </si>
  <si>
    <t>North Daniel</t>
  </si>
  <si>
    <t>#1707</t>
  </si>
  <si>
    <t>Jacqueline Richmond</t>
  </si>
  <si>
    <t>jacqueline.richmond595@outlook.com</t>
  </si>
  <si>
    <t>East Heidi</t>
  </si>
  <si>
    <t>#1708</t>
  </si>
  <si>
    <t>#1709</t>
  </si>
  <si>
    <t>Port Charles</t>
  </si>
  <si>
    <t>#1710</t>
  </si>
  <si>
    <t>$2.25</t>
  </si>
  <si>
    <t>Campbellborough</t>
  </si>
  <si>
    <t>#1711</t>
  </si>
  <si>
    <t>East Sarahfort</t>
  </si>
  <si>
    <t>#1712</t>
  </si>
  <si>
    <t>David Hayden</t>
  </si>
  <si>
    <t>david.hayden411@outlook.com</t>
  </si>
  <si>
    <t>New Daniel</t>
  </si>
  <si>
    <t>#1713</t>
  </si>
  <si>
    <t>Christian Leonard</t>
  </si>
  <si>
    <t>christian.leonard732@gmail.com</t>
  </si>
  <si>
    <t>Katietown</t>
  </si>
  <si>
    <t>#1714</t>
  </si>
  <si>
    <t>New Jefferyton</t>
  </si>
  <si>
    <t>#1715</t>
  </si>
  <si>
    <t>Solomonchester</t>
  </si>
  <si>
    <t>#1716</t>
  </si>
  <si>
    <t>Rita Hall</t>
  </si>
  <si>
    <t>rita.hall18@outlook.com</t>
  </si>
  <si>
    <t>North Markhaven</t>
  </si>
  <si>
    <t>#1717</t>
  </si>
  <si>
    <t>#1718</t>
  </si>
  <si>
    <t>Stacey Gonzales</t>
  </si>
  <si>
    <t>stacey.gonzales655@icloud.com</t>
  </si>
  <si>
    <t>North Jamesfort</t>
  </si>
  <si>
    <t>#1719</t>
  </si>
  <si>
    <t>GRACE RAY</t>
  </si>
  <si>
    <t>grace.ray807@yahoo.com</t>
  </si>
  <si>
    <t>Lutzton</t>
  </si>
  <si>
    <t>#1720</t>
  </si>
  <si>
    <t>Gregory Vega</t>
  </si>
  <si>
    <t>gregory.vega882@outlook.com</t>
  </si>
  <si>
    <t>East Julianshire</t>
  </si>
  <si>
    <t>#1721</t>
  </si>
  <si>
    <t>JAMES CASTRO</t>
  </si>
  <si>
    <t>New Christopherview</t>
  </si>
  <si>
    <t>#1722</t>
  </si>
  <si>
    <t>South Travis</t>
  </si>
  <si>
    <t>#1723</t>
  </si>
  <si>
    <t>Cervantesmouth</t>
  </si>
  <si>
    <t>#1724</t>
  </si>
  <si>
    <t>Trevorside</t>
  </si>
  <si>
    <t>#1725</t>
  </si>
  <si>
    <t>West Derekport</t>
  </si>
  <si>
    <t>#1726</t>
  </si>
  <si>
    <t>ann.byrd498@icloud.com</t>
  </si>
  <si>
    <t>$20.98</t>
  </si>
  <si>
    <t>Johnhaven</t>
  </si>
  <si>
    <t>#1727</t>
  </si>
  <si>
    <t>Boyerfort</t>
  </si>
  <si>
    <t>#1728</t>
  </si>
  <si>
    <t>Hernandezshire</t>
  </si>
  <si>
    <t>#1729</t>
  </si>
  <si>
    <t>Houstonstad</t>
  </si>
  <si>
    <t>#1730</t>
  </si>
  <si>
    <t>Port Robin</t>
  </si>
  <si>
    <t>#1731</t>
  </si>
  <si>
    <t>KENNETH DAVIS</t>
  </si>
  <si>
    <t>Dylanmouth</t>
  </si>
  <si>
    <t>#1732</t>
  </si>
  <si>
    <t>ANGELA CARR</t>
  </si>
  <si>
    <t>South Jasonside</t>
  </si>
  <si>
    <t>#1733</t>
  </si>
  <si>
    <t>Justinfurt</t>
  </si>
  <si>
    <t>#1734</t>
  </si>
  <si>
    <t>Danielle Johnson</t>
  </si>
  <si>
    <t>danielle.johnson52@yahoo.com</t>
  </si>
  <si>
    <t>Mauriceland</t>
  </si>
  <si>
    <t>#1735</t>
  </si>
  <si>
    <t>North Kelly</t>
  </si>
  <si>
    <t>#1736</t>
  </si>
  <si>
    <t>East Thomasberg</t>
  </si>
  <si>
    <t>#1737</t>
  </si>
  <si>
    <t>Millerland</t>
  </si>
  <si>
    <t>#1738</t>
  </si>
  <si>
    <t>Williamhaven</t>
  </si>
  <si>
    <t>#1739</t>
  </si>
  <si>
    <t>Lake Jamesbury</t>
  </si>
  <si>
    <t>#1740</t>
  </si>
  <si>
    <t>Port Markport</t>
  </si>
  <si>
    <t>#1741</t>
  </si>
  <si>
    <t>Port Nicholasport</t>
  </si>
  <si>
    <t>#1742</t>
  </si>
  <si>
    <t>Rodney Lamb</t>
  </si>
  <si>
    <t>rodney.lamb872@icloud.com</t>
  </si>
  <si>
    <t>East Corey</t>
  </si>
  <si>
    <t>#1743</t>
  </si>
  <si>
    <t>Alexandrachester</t>
  </si>
  <si>
    <t>#1744</t>
  </si>
  <si>
    <t>Velasquezville</t>
  </si>
  <si>
    <t>#1745</t>
  </si>
  <si>
    <t>Richardshire</t>
  </si>
  <si>
    <t>#1746</t>
  </si>
  <si>
    <t>$82.76</t>
  </si>
  <si>
    <t>North Amandafurt</t>
  </si>
  <si>
    <t>#1747</t>
  </si>
  <si>
    <t>Deborahton</t>
  </si>
  <si>
    <t>#1748</t>
  </si>
  <si>
    <t>Cameronberg</t>
  </si>
  <si>
    <t>#1749</t>
  </si>
  <si>
    <t>South Maria</t>
  </si>
  <si>
    <t>#1750</t>
  </si>
  <si>
    <t>Masseyton</t>
  </si>
  <si>
    <t>#1751</t>
  </si>
  <si>
    <t>Zacharyfurt</t>
  </si>
  <si>
    <t>#1752</t>
  </si>
  <si>
    <t>East Lindseyside</t>
  </si>
  <si>
    <t>#1753</t>
  </si>
  <si>
    <t>Kelly Wyatt</t>
  </si>
  <si>
    <t>kelly.wyatt277@yahoo.com</t>
  </si>
  <si>
    <t>Lake Beverlyside</t>
  </si>
  <si>
    <t>#1754</t>
  </si>
  <si>
    <t>#1755</t>
  </si>
  <si>
    <t>melinda.williams310@icloud.com</t>
  </si>
  <si>
    <t>South Brianmouth</t>
  </si>
  <si>
    <t>#1756</t>
  </si>
  <si>
    <t>Heatherfort</t>
  </si>
  <si>
    <t>#1757</t>
  </si>
  <si>
    <t>Justinberg</t>
  </si>
  <si>
    <t>#1758</t>
  </si>
  <si>
    <t>Andersontown</t>
  </si>
  <si>
    <t>#1759</t>
  </si>
  <si>
    <t>Danaport</t>
  </si>
  <si>
    <t>#1760</t>
  </si>
  <si>
    <t>South Aaronstad</t>
  </si>
  <si>
    <t>#1761</t>
  </si>
  <si>
    <t>Amandafurt</t>
  </si>
  <si>
    <t>#1762</t>
  </si>
  <si>
    <t>Caseyhaven</t>
  </si>
  <si>
    <t>#1763</t>
  </si>
  <si>
    <t>Tamaraside</t>
  </si>
  <si>
    <t>#1764</t>
  </si>
  <si>
    <t>Lake Rhondaton</t>
  </si>
  <si>
    <t>#1765</t>
  </si>
  <si>
    <t>Brian Gardner</t>
  </si>
  <si>
    <t>brian.gardner260@outlook.com</t>
  </si>
  <si>
    <t>Chelseafurt</t>
  </si>
  <si>
    <t>#1766</t>
  </si>
  <si>
    <t>East David</t>
  </si>
  <si>
    <t>#1767</t>
  </si>
  <si>
    <t>East Robert</t>
  </si>
  <si>
    <t>#1768</t>
  </si>
  <si>
    <t>Port Melinda</t>
  </si>
  <si>
    <t>#1769</t>
  </si>
  <si>
    <t>North William</t>
  </si>
  <si>
    <t>#1770</t>
  </si>
  <si>
    <t>Richard Ward</t>
  </si>
  <si>
    <t>richard.ward894@icloud.com</t>
  </si>
  <si>
    <t>Lake Aprilstad</t>
  </si>
  <si>
    <t>#1771</t>
  </si>
  <si>
    <t>$25.98</t>
  </si>
  <si>
    <t>East Aaron</t>
  </si>
  <si>
    <t>#1772</t>
  </si>
  <si>
    <t>Haneyhaven</t>
  </si>
  <si>
    <t>#1773</t>
  </si>
  <si>
    <t>morgan.johnson938@outlook.com</t>
  </si>
  <si>
    <t>$2.70</t>
  </si>
  <si>
    <t>Lake Zacharybury</t>
  </si>
  <si>
    <t>#1774</t>
  </si>
  <si>
    <t>Mooremouth</t>
  </si>
  <si>
    <t>#1775</t>
  </si>
  <si>
    <t>East Patricia</t>
  </si>
  <si>
    <t>#1776</t>
  </si>
  <si>
    <t>Michael Wilson</t>
  </si>
  <si>
    <t>michael.wilson464@icloud.com</t>
  </si>
  <si>
    <t>Cookeport</t>
  </si>
  <si>
    <t>#1777</t>
  </si>
  <si>
    <t>Deanmouth</t>
  </si>
  <si>
    <t>#1778</t>
  </si>
  <si>
    <t>West Drewland</t>
  </si>
  <si>
    <t>#1779</t>
  </si>
  <si>
    <t>Lake Joseph</t>
  </si>
  <si>
    <t>#1780</t>
  </si>
  <si>
    <t>West Debra</t>
  </si>
  <si>
    <t>#1781</t>
  </si>
  <si>
    <t>Clarkmouth</t>
  </si>
  <si>
    <t>#1782</t>
  </si>
  <si>
    <t>Peckstad</t>
  </si>
  <si>
    <t>#1783</t>
  </si>
  <si>
    <t>#1784</t>
  </si>
  <si>
    <t>Austin Norris</t>
  </si>
  <si>
    <t>Rebeccaland</t>
  </si>
  <si>
    <t>#1785</t>
  </si>
  <si>
    <t>Wilkins, Jordan</t>
  </si>
  <si>
    <t>South Courtney</t>
  </si>
  <si>
    <t>#1786</t>
  </si>
  <si>
    <t>North Ricardoland</t>
  </si>
  <si>
    <t>#1787</t>
  </si>
  <si>
    <t>New Melissashire</t>
  </si>
  <si>
    <t>#1788</t>
  </si>
  <si>
    <t>North Benjamin</t>
  </si>
  <si>
    <t>#1789</t>
  </si>
  <si>
    <t>Port Martin</t>
  </si>
  <si>
    <t>#1790</t>
  </si>
  <si>
    <t>Carrstad</t>
  </si>
  <si>
    <t>#1791</t>
  </si>
  <si>
    <t>Kathleen Mayer</t>
  </si>
  <si>
    <t>kathleen.mayer237@outlook.com</t>
  </si>
  <si>
    <t>North Thomasmouth</t>
  </si>
  <si>
    <t>#1792</t>
  </si>
  <si>
    <t>Boylechester</t>
  </si>
  <si>
    <t>#1793</t>
  </si>
  <si>
    <t>Pattonville</t>
  </si>
  <si>
    <t>#1794</t>
  </si>
  <si>
    <t>Carson, John</t>
  </si>
  <si>
    <t>Port Cindyhaven</t>
  </si>
  <si>
    <t>#1795</t>
  </si>
  <si>
    <t>South Joside</t>
  </si>
  <si>
    <t>#1796</t>
  </si>
  <si>
    <t>West Christopher</t>
  </si>
  <si>
    <t>#1797</t>
  </si>
  <si>
    <t>Melissahaven</t>
  </si>
  <si>
    <t>#1798</t>
  </si>
  <si>
    <t>North Shannon</t>
  </si>
  <si>
    <t>#1799</t>
  </si>
  <si>
    <t>Taylorbury</t>
  </si>
  <si>
    <t>#1800</t>
  </si>
  <si>
    <t>kaitlyn.hernandez713@gmail.com</t>
  </si>
  <si>
    <t>#1801</t>
  </si>
  <si>
    <t>Nicholasview</t>
  </si>
  <si>
    <t>#1802</t>
  </si>
  <si>
    <t>Ronald Davis</t>
  </si>
  <si>
    <t>ronald.davis995@yahoo.com</t>
  </si>
  <si>
    <t>Nicoletown</t>
  </si>
  <si>
    <t>#1803</t>
  </si>
  <si>
    <t>Pamelabury</t>
  </si>
  <si>
    <t>#1804</t>
  </si>
  <si>
    <t>South Johntown</t>
  </si>
  <si>
    <t>#1805</t>
  </si>
  <si>
    <t>Joshua Vaughan</t>
  </si>
  <si>
    <t>joshua.vaughan453@yahoo.com</t>
  </si>
  <si>
    <t>$31.97</t>
  </si>
  <si>
    <t>New Brianfurt</t>
  </si>
  <si>
    <t>#1806</t>
  </si>
  <si>
    <t>Yangville</t>
  </si>
  <si>
    <t>#1807</t>
  </si>
  <si>
    <t>Claudiashire</t>
  </si>
  <si>
    <t>#1808</t>
  </si>
  <si>
    <t>jeremy tucker</t>
  </si>
  <si>
    <t>Jessicafurt</t>
  </si>
  <si>
    <t>#1809</t>
  </si>
  <si>
    <t>Charleschester</t>
  </si>
  <si>
    <t>#1810</t>
  </si>
  <si>
    <t>North Williamstad</t>
  </si>
  <si>
    <t>#1811</t>
  </si>
  <si>
    <t>East Jeffrey</t>
  </si>
  <si>
    <t>#1812</t>
  </si>
  <si>
    <t>Kathyshire</t>
  </si>
  <si>
    <t>#1813</t>
  </si>
  <si>
    <t>West Kevinview</t>
  </si>
  <si>
    <t>#1814</t>
  </si>
  <si>
    <t>Nicholasburgh</t>
  </si>
  <si>
    <t>#1815</t>
  </si>
  <si>
    <t>Smithfort</t>
  </si>
  <si>
    <t>#1816</t>
  </si>
  <si>
    <t>West Kyle</t>
  </si>
  <si>
    <t>#1817</t>
  </si>
  <si>
    <t>Randall Rhodes</t>
  </si>
  <si>
    <t>randall.rhodes730@outlook.com</t>
  </si>
  <si>
    <t>#1818</t>
  </si>
  <si>
    <t>Richardsonburgh</t>
  </si>
  <si>
    <t>#1819</t>
  </si>
  <si>
    <t>Joseph Phillips</t>
  </si>
  <si>
    <t>joseph.phillips672@yahoo.com</t>
  </si>
  <si>
    <t>Diazfort</t>
  </si>
  <si>
    <t>#1820</t>
  </si>
  <si>
    <t>Albert Phillips</t>
  </si>
  <si>
    <t>albert.phillips237@gmail.com</t>
  </si>
  <si>
    <t>$20.58</t>
  </si>
  <si>
    <t>Berrystad</t>
  </si>
  <si>
    <t>#1821</t>
  </si>
  <si>
    <t>Austinview</t>
  </si>
  <si>
    <t>#1822</t>
  </si>
  <si>
    <t>West Gabrielland</t>
  </si>
  <si>
    <t>#1823</t>
  </si>
  <si>
    <t>#1824</t>
  </si>
  <si>
    <t>South Andrew</t>
  </si>
  <si>
    <t>#1825</t>
  </si>
  <si>
    <t>Port Peter</t>
  </si>
  <si>
    <t>#1826</t>
  </si>
  <si>
    <t>North Aprilburgh</t>
  </si>
  <si>
    <t>#1827</t>
  </si>
  <si>
    <t>Kelly Ramos</t>
  </si>
  <si>
    <t>kelly.ramos77@gmail.com</t>
  </si>
  <si>
    <t>$19.23</t>
  </si>
  <si>
    <t>North Evan</t>
  </si>
  <si>
    <t>#1828</t>
  </si>
  <si>
    <t>East Michael</t>
  </si>
  <si>
    <t>#1829</t>
  </si>
  <si>
    <t>Alvarezstad</t>
  </si>
  <si>
    <t>#1830</t>
  </si>
  <si>
    <t>$2.00</t>
  </si>
  <si>
    <t>Salazarland</t>
  </si>
  <si>
    <t>#1831</t>
  </si>
  <si>
    <t>Port Danielstad</t>
  </si>
  <si>
    <t>#1832</t>
  </si>
  <si>
    <t>Rayhaven</t>
  </si>
  <si>
    <t>#1833</t>
  </si>
  <si>
    <t>Jacksontown</t>
  </si>
  <si>
    <t>#1834</t>
  </si>
  <si>
    <t>Jennyfurt</t>
  </si>
  <si>
    <t>#1835</t>
  </si>
  <si>
    <t>Port Karenland</t>
  </si>
  <si>
    <t>#1836</t>
  </si>
  <si>
    <t>Fordburgh</t>
  </si>
  <si>
    <t>#1837</t>
  </si>
  <si>
    <t>Kristytown</t>
  </si>
  <si>
    <t>#1838</t>
  </si>
  <si>
    <t>$31.98</t>
  </si>
  <si>
    <t>Riverastad</t>
  </si>
  <si>
    <t>#1839</t>
  </si>
  <si>
    <t>West Albertton</t>
  </si>
  <si>
    <t>#1840</t>
  </si>
  <si>
    <t>West Donfurt</t>
  </si>
  <si>
    <t>#1841</t>
  </si>
  <si>
    <t>Port Lynn</t>
  </si>
  <si>
    <t>#1842</t>
  </si>
  <si>
    <t>East Nicolefort</t>
  </si>
  <si>
    <t>#1843</t>
  </si>
  <si>
    <t>New Amyville</t>
  </si>
  <si>
    <t>#1844</t>
  </si>
  <si>
    <t>Katherinestad</t>
  </si>
  <si>
    <t>#1845</t>
  </si>
  <si>
    <t>$55.98</t>
  </si>
  <si>
    <t>Smithberg</t>
  </si>
  <si>
    <t>#1846</t>
  </si>
  <si>
    <t>$24.97</t>
  </si>
  <si>
    <t>Humphreymouth</t>
  </si>
  <si>
    <t>#1847</t>
  </si>
  <si>
    <t>Johnsonberg</t>
  </si>
  <si>
    <t>#1848</t>
  </si>
  <si>
    <t>Jesusland</t>
  </si>
  <si>
    <t>#1849</t>
  </si>
  <si>
    <t>Gravesshire</t>
  </si>
  <si>
    <t>#1850</t>
  </si>
  <si>
    <t>Lake Johnbury</t>
  </si>
  <si>
    <t>#1851</t>
  </si>
  <si>
    <t>Jonesfort</t>
  </si>
  <si>
    <t>#1852</t>
  </si>
  <si>
    <t>South Michelle</t>
  </si>
  <si>
    <t>#1853</t>
  </si>
  <si>
    <t>Maria Patterson</t>
  </si>
  <si>
    <t>maria.patterson62@icloud.com</t>
  </si>
  <si>
    <t>Lake Lindaport</t>
  </si>
  <si>
    <t>#1854</t>
  </si>
  <si>
    <t>Tonybury</t>
  </si>
  <si>
    <t>#1855</t>
  </si>
  <si>
    <t>Denise Chen</t>
  </si>
  <si>
    <t>denise.chen782@outlook.com</t>
  </si>
  <si>
    <t>Jamesfort</t>
  </si>
  <si>
    <t>#1856</t>
  </si>
  <si>
    <t>South Leslie</t>
  </si>
  <si>
    <t>#1857</t>
  </si>
  <si>
    <t>Sydneyville</t>
  </si>
  <si>
    <t>#1858</t>
  </si>
  <si>
    <t>East William</t>
  </si>
  <si>
    <t>#1859</t>
  </si>
  <si>
    <t>North Ronald</t>
  </si>
  <si>
    <t>#1860</t>
  </si>
  <si>
    <t>$55.48</t>
  </si>
  <si>
    <t>Simpsonstad</t>
  </si>
  <si>
    <t>#1861</t>
  </si>
  <si>
    <t>Blackwellland</t>
  </si>
  <si>
    <t>#1862</t>
  </si>
  <si>
    <t>Port Jason</t>
  </si>
  <si>
    <t>#1863</t>
  </si>
  <si>
    <t>Amandaland</t>
  </si>
  <si>
    <t>#1864</t>
  </si>
  <si>
    <t>Coreyton</t>
  </si>
  <si>
    <t>#1865</t>
  </si>
  <si>
    <t>Port Traciburgh</t>
  </si>
  <si>
    <t>#1866</t>
  </si>
  <si>
    <t>Melissa Jones</t>
  </si>
  <si>
    <t>Kelseybury</t>
  </si>
  <si>
    <t>#1867</t>
  </si>
  <si>
    <t>#1868</t>
  </si>
  <si>
    <t>$2.80</t>
  </si>
  <si>
    <t>West Amber</t>
  </si>
  <si>
    <t>#1869</t>
  </si>
  <si>
    <t>Lake Thomasville</t>
  </si>
  <si>
    <t>#1870</t>
  </si>
  <si>
    <t>Danaton</t>
  </si>
  <si>
    <t>#1871</t>
  </si>
  <si>
    <t>West Laura</t>
  </si>
  <si>
    <t>#1872</t>
  </si>
  <si>
    <t>Lake Kennethport</t>
  </si>
  <si>
    <t>#1873</t>
  </si>
  <si>
    <t>Johnsonton</t>
  </si>
  <si>
    <t>#1874</t>
  </si>
  <si>
    <t>Nguyen, Lauren</t>
  </si>
  <si>
    <t>$35.97</t>
  </si>
  <si>
    <t>East Adamview</t>
  </si>
  <si>
    <t>#1875</t>
  </si>
  <si>
    <t>Youngmouth</t>
  </si>
  <si>
    <t>#1876</t>
  </si>
  <si>
    <t>#1877</t>
  </si>
  <si>
    <t>Chavez, Summer</t>
  </si>
  <si>
    <t>summer.chavez101@icloud.com</t>
  </si>
  <si>
    <t>Port Colleen</t>
  </si>
  <si>
    <t>#1878</t>
  </si>
  <si>
    <t>North Lindseymouth</t>
  </si>
  <si>
    <t>#1879</t>
  </si>
  <si>
    <t>Christophermouth</t>
  </si>
  <si>
    <t>#1880</t>
  </si>
  <si>
    <t>West Susanchester</t>
  </si>
  <si>
    <t>#1881</t>
  </si>
  <si>
    <t>Gregory Tanner</t>
  </si>
  <si>
    <t>gregory.tanner968@outlook.com</t>
  </si>
  <si>
    <t>South Josephborough</t>
  </si>
  <si>
    <t>#1882</t>
  </si>
  <si>
    <t>North Travis</t>
  </si>
  <si>
    <t>#1883</t>
  </si>
  <si>
    <t>Robertstad</t>
  </si>
  <si>
    <t>#1884</t>
  </si>
  <si>
    <t>Krueger, Anthony</t>
  </si>
  <si>
    <t>Tiffanyview</t>
  </si>
  <si>
    <t>#1885</t>
  </si>
  <si>
    <t>Loweland</t>
  </si>
  <si>
    <t>#1886</t>
  </si>
  <si>
    <t>Brianmouth</t>
  </si>
  <si>
    <t>#1887</t>
  </si>
  <si>
    <t>Cindyville</t>
  </si>
  <si>
    <t>#1888</t>
  </si>
  <si>
    <t>Lisahaven</t>
  </si>
  <si>
    <t>#1889</t>
  </si>
  <si>
    <t>Johnchester</t>
  </si>
  <si>
    <t>#1890</t>
  </si>
  <si>
    <t>New Brendaville</t>
  </si>
  <si>
    <t>#1891</t>
  </si>
  <si>
    <t>West Alisonstad</t>
  </si>
  <si>
    <t>#1892</t>
  </si>
  <si>
    <t>Thomas Vazquez</t>
  </si>
  <si>
    <t>West Amy</t>
  </si>
  <si>
    <t>#1893</t>
  </si>
  <si>
    <t>Martinezland</t>
  </si>
  <si>
    <t>#1894</t>
  </si>
  <si>
    <t>Davis, Alan</t>
  </si>
  <si>
    <t>#1895</t>
  </si>
  <si>
    <t>Tanya Brown</t>
  </si>
  <si>
    <t>tanya.brown516@outlook.com</t>
  </si>
  <si>
    <t>#1896</t>
  </si>
  <si>
    <t>Lake Brentland</t>
  </si>
  <si>
    <t>#1897</t>
  </si>
  <si>
    <t>Wilkersonberg</t>
  </si>
  <si>
    <t>#1898</t>
  </si>
  <si>
    <t>Westfurt</t>
  </si>
  <si>
    <t>#1899</t>
  </si>
  <si>
    <t>South Amandachester</t>
  </si>
  <si>
    <t>#1900</t>
  </si>
  <si>
    <t>Lake Seanton</t>
  </si>
  <si>
    <t>#1901</t>
  </si>
  <si>
    <t>#1902</t>
  </si>
  <si>
    <t>Robertland</t>
  </si>
  <si>
    <t>#1903</t>
  </si>
  <si>
    <t>Timothyview</t>
  </si>
  <si>
    <t>#1904</t>
  </si>
  <si>
    <t>christopher osborne</t>
  </si>
  <si>
    <t>West Adamport</t>
  </si>
  <si>
    <t>#1905</t>
  </si>
  <si>
    <t>Richardfort</t>
  </si>
  <si>
    <t>#1906</t>
  </si>
  <si>
    <t>Jacksonside</t>
  </si>
  <si>
    <t>#1907</t>
  </si>
  <si>
    <t>04-08-2026 13:57</t>
  </si>
  <si>
    <t>Batesstad</t>
  </si>
  <si>
    <t>#1908</t>
  </si>
  <si>
    <t>East Terryfurt</t>
  </si>
  <si>
    <t>#1909</t>
  </si>
  <si>
    <t>South Monica</t>
  </si>
  <si>
    <t>#1910</t>
  </si>
  <si>
    <t>$74.96</t>
  </si>
  <si>
    <t>Olsenshire</t>
  </si>
  <si>
    <t>#1911</t>
  </si>
  <si>
    <t>Veronicafort</t>
  </si>
  <si>
    <t>#1912</t>
  </si>
  <si>
    <t>Seanshire</t>
  </si>
  <si>
    <t>#1913</t>
  </si>
  <si>
    <t>North Johnview</t>
  </si>
  <si>
    <t>#1914</t>
  </si>
  <si>
    <t>Lake Ashleyton</t>
  </si>
  <si>
    <t>#1915</t>
  </si>
  <si>
    <t>george.green694@icloud.com</t>
  </si>
  <si>
    <t>West Kathryn</t>
  </si>
  <si>
    <t>#1916</t>
  </si>
  <si>
    <t>Greenbury</t>
  </si>
  <si>
    <t>#1917</t>
  </si>
  <si>
    <t>$21.18</t>
  </si>
  <si>
    <t>East Brianna</t>
  </si>
  <si>
    <t>#1918</t>
  </si>
  <si>
    <t>West Stephenton</t>
  </si>
  <si>
    <t>#1919</t>
  </si>
  <si>
    <t xml:space="preserve">  Catherine Mcgee</t>
  </si>
  <si>
    <t>catherine.mcgee63@icloud.com</t>
  </si>
  <si>
    <t>Knightmouth</t>
  </si>
  <si>
    <t>#1920</t>
  </si>
  <si>
    <t>Heather Rivers</t>
  </si>
  <si>
    <t>heather.rivers451@icloud.com</t>
  </si>
  <si>
    <t>Juanland</t>
  </si>
  <si>
    <t>#1921</t>
  </si>
  <si>
    <t>Lauren Howard</t>
  </si>
  <si>
    <t>lauren.howard163@icloud.com</t>
  </si>
  <si>
    <t>New Philip</t>
  </si>
  <si>
    <t>#1922</t>
  </si>
  <si>
    <t>$17.18</t>
  </si>
  <si>
    <t>Lake Jodi</t>
  </si>
  <si>
    <t>#1923</t>
  </si>
  <si>
    <t>Sherryfurt</t>
  </si>
  <si>
    <t>#1924</t>
  </si>
  <si>
    <t>South Stephanie</t>
  </si>
  <si>
    <t>#1925</t>
  </si>
  <si>
    <t>$19.38</t>
  </si>
  <si>
    <t>Rodriguezhaven</t>
  </si>
  <si>
    <t>#1926</t>
  </si>
  <si>
    <t>New John</t>
  </si>
  <si>
    <t>#1927</t>
  </si>
  <si>
    <t>Erinburgh</t>
  </si>
  <si>
    <t>#1928</t>
  </si>
  <si>
    <t>North Jeremyside</t>
  </si>
  <si>
    <t>#1929</t>
  </si>
  <si>
    <t>East Kelly</t>
  </si>
  <si>
    <t>#1930</t>
  </si>
  <si>
    <t>South Cheyenne</t>
  </si>
  <si>
    <t>#1931</t>
  </si>
  <si>
    <t>JANET MARTINEZ</t>
  </si>
  <si>
    <t>North Paul</t>
  </si>
  <si>
    <t>#1932</t>
  </si>
  <si>
    <t>JAIME VARGAS</t>
  </si>
  <si>
    <t>Port Douglas</t>
  </si>
  <si>
    <t>#1933</t>
  </si>
  <si>
    <t>Lake Wandaport</t>
  </si>
  <si>
    <t>#1934</t>
  </si>
  <si>
    <t>North Kristen</t>
  </si>
  <si>
    <t>#1935</t>
  </si>
  <si>
    <t>John Dunlap</t>
  </si>
  <si>
    <t>john.dunlap479@outlook.com</t>
  </si>
  <si>
    <t>Lake Sean</t>
  </si>
  <si>
    <t>#1936</t>
  </si>
  <si>
    <t>West Derekborough</t>
  </si>
  <si>
    <t>#1937</t>
  </si>
  <si>
    <t>Richard Zavala</t>
  </si>
  <si>
    <t>richard.zavala602@gmail.com</t>
  </si>
  <si>
    <t>Lake Blake</t>
  </si>
  <si>
    <t>#1938</t>
  </si>
  <si>
    <t>Rangelborough</t>
  </si>
  <si>
    <t>#1939</t>
  </si>
  <si>
    <t>Lake Joshua</t>
  </si>
  <si>
    <t>#1940</t>
  </si>
  <si>
    <t>New Chad</t>
  </si>
  <si>
    <t>#1941</t>
  </si>
  <si>
    <t>West Corystad</t>
  </si>
  <si>
    <t>#1942</t>
  </si>
  <si>
    <t>Jamie Brown</t>
  </si>
  <si>
    <t>jamie.brown582@icloud.com</t>
  </si>
  <si>
    <t>Port Lorishire</t>
  </si>
  <si>
    <t>#1943</t>
  </si>
  <si>
    <t>William Young</t>
  </si>
  <si>
    <t>william.young346@outlook.com</t>
  </si>
  <si>
    <t>Martinezmouth</t>
  </si>
  <si>
    <t>#1944</t>
  </si>
  <si>
    <t>Cruz, Matthew</t>
  </si>
  <si>
    <t>matthew.cruz992@gmail.com</t>
  </si>
  <si>
    <t>West Crystal</t>
  </si>
  <si>
    <t>#1945</t>
  </si>
  <si>
    <t>Singh, Tina</t>
  </si>
  <si>
    <t>#1946</t>
  </si>
  <si>
    <t>North Angelamouth</t>
  </si>
  <si>
    <t>#1947</t>
  </si>
  <si>
    <t>North Raymond</t>
  </si>
  <si>
    <t>#1948</t>
  </si>
  <si>
    <t>New Jeffreystad</t>
  </si>
  <si>
    <t>#1949</t>
  </si>
  <si>
    <t>Cindyland</t>
  </si>
  <si>
    <t>#1950</t>
  </si>
  <si>
    <t>Lake Brianbury</t>
  </si>
  <si>
    <t>#1951</t>
  </si>
  <si>
    <t>Port Kathrynstad</t>
  </si>
  <si>
    <t>#1952</t>
  </si>
  <si>
    <t>Riosside</t>
  </si>
  <si>
    <t>#1953</t>
  </si>
  <si>
    <t>North Danfort</t>
  </si>
  <si>
    <t>#1954</t>
  </si>
  <si>
    <t>East Jonathanmouth</t>
  </si>
  <si>
    <t>#1955</t>
  </si>
  <si>
    <t>Tiffanyfort</t>
  </si>
  <si>
    <t>#1956</t>
  </si>
  <si>
    <t>Jacob Gibbs</t>
  </si>
  <si>
    <t>jacob.gibbs527@gmail.com</t>
  </si>
  <si>
    <t>Danielstad</t>
  </si>
  <si>
    <t>#1957</t>
  </si>
  <si>
    <t>Jacqueline Wiley</t>
  </si>
  <si>
    <t>jacqueline.wiley718@icloud.com</t>
  </si>
  <si>
    <t>Dawnmouth</t>
  </si>
  <si>
    <t>#1958</t>
  </si>
  <si>
    <t>Lake Erica</t>
  </si>
  <si>
    <t>#1959</t>
  </si>
  <si>
    <t>Reidbury</t>
  </si>
  <si>
    <t>#1960</t>
  </si>
  <si>
    <t>Debramouth</t>
  </si>
  <si>
    <t>#1961</t>
  </si>
  <si>
    <t>Brentport</t>
  </si>
  <si>
    <t>#1962</t>
  </si>
  <si>
    <t>#1963</t>
  </si>
  <si>
    <t xml:space="preserve">  Sean Frank</t>
  </si>
  <si>
    <t>New Bruce</t>
  </si>
  <si>
    <t>#1964</t>
  </si>
  <si>
    <t>New Devin</t>
  </si>
  <si>
    <t>#1965</t>
  </si>
  <si>
    <t>#1966</t>
  </si>
  <si>
    <t>GERALD LI</t>
  </si>
  <si>
    <t>Aaronview</t>
  </si>
  <si>
    <t>#1967</t>
  </si>
  <si>
    <t>Port Triciaburgh</t>
  </si>
  <si>
    <t>#1968</t>
  </si>
  <si>
    <t>West Christyview</t>
  </si>
  <si>
    <t>#1969</t>
  </si>
  <si>
    <t>South Brad</t>
  </si>
  <si>
    <t>#1970</t>
  </si>
  <si>
    <t>Bradfordbury</t>
  </si>
  <si>
    <t>#1971</t>
  </si>
  <si>
    <t>Ryanhaven</t>
  </si>
  <si>
    <t>#1972</t>
  </si>
  <si>
    <t>Timothymouth</t>
  </si>
  <si>
    <t>#1973</t>
  </si>
  <si>
    <t>Jasonfurt</t>
  </si>
  <si>
    <t>#1974</t>
  </si>
  <si>
    <t>Stephanie Miller</t>
  </si>
  <si>
    <t>stephanie.miller962@yahoo.com</t>
  </si>
  <si>
    <t>Jeremychester</t>
  </si>
  <si>
    <t>#1975</t>
  </si>
  <si>
    <t>East Christinaview</t>
  </si>
  <si>
    <t>#1976</t>
  </si>
  <si>
    <t>Christy Long</t>
  </si>
  <si>
    <t>christy.long561@yahoo.com</t>
  </si>
  <si>
    <t>Murphystad</t>
  </si>
  <si>
    <t>#1977</t>
  </si>
  <si>
    <t>Christopher Lopez</t>
  </si>
  <si>
    <t>christopher.lopez666@gmail.com</t>
  </si>
  <si>
    <t>$7.60</t>
  </si>
  <si>
    <t>West Tammy</t>
  </si>
  <si>
    <t>#1978</t>
  </si>
  <si>
    <t>#1979</t>
  </si>
  <si>
    <t>$16.78</t>
  </si>
  <si>
    <t>Karenville</t>
  </si>
  <si>
    <t>#1980</t>
  </si>
  <si>
    <t>Estradashire</t>
  </si>
  <si>
    <t>#1981</t>
  </si>
  <si>
    <t xml:space="preserve"> SAVE20 </t>
  </si>
  <si>
    <t>Davidmouth</t>
  </si>
  <si>
    <t>#1982</t>
  </si>
  <si>
    <t>Ericmouth</t>
  </si>
  <si>
    <t>#1983</t>
  </si>
  <si>
    <t>West Melissaport</t>
  </si>
  <si>
    <t>#1984</t>
  </si>
  <si>
    <t>West Stephen</t>
  </si>
  <si>
    <t>#1985</t>
  </si>
  <si>
    <t>Thompsontown</t>
  </si>
  <si>
    <t>#1986</t>
  </si>
  <si>
    <t>Darrenchester</t>
  </si>
  <si>
    <t>#1987</t>
  </si>
  <si>
    <t>West Timothy</t>
  </si>
  <si>
    <t>#1988</t>
  </si>
  <si>
    <t>Aliciaville</t>
  </si>
  <si>
    <t>#1989</t>
  </si>
  <si>
    <t>$49.98</t>
  </si>
  <si>
    <t>North James</t>
  </si>
  <si>
    <t>#1990</t>
  </si>
  <si>
    <t>Shaffermouth</t>
  </si>
  <si>
    <t>#1991</t>
  </si>
  <si>
    <t>PAUL PRATT</t>
  </si>
  <si>
    <t>paul.pratt856@outlook.com</t>
  </si>
  <si>
    <t>Millershire</t>
  </si>
  <si>
    <t>#1992</t>
  </si>
  <si>
    <t>Megan Holmes</t>
  </si>
  <si>
    <t>megan.holmes105@yahoo.com</t>
  </si>
  <si>
    <t>Lake Brandon</t>
  </si>
  <si>
    <t>#1993</t>
  </si>
  <si>
    <t>Nelsonhaven</t>
  </si>
  <si>
    <t>#1994</t>
  </si>
  <si>
    <t>Jackson, Tara</t>
  </si>
  <si>
    <t>#1995</t>
  </si>
  <si>
    <t>Bryantview</t>
  </si>
  <si>
    <t>#1996</t>
  </si>
  <si>
    <t>Sancheztown</t>
  </si>
  <si>
    <t>#1997</t>
  </si>
  <si>
    <t>Devon Rodriguez</t>
  </si>
  <si>
    <t>Donnachester</t>
  </si>
  <si>
    <t>#1998</t>
  </si>
  <si>
    <t>North Cynthiahaven</t>
  </si>
  <si>
    <t>#1999</t>
  </si>
  <si>
    <t>Barrettbury</t>
  </si>
  <si>
    <t>#2000</t>
  </si>
  <si>
    <t>Kimberlytown</t>
  </si>
  <si>
    <t>#2001</t>
  </si>
  <si>
    <t>South Amymouth</t>
  </si>
  <si>
    <t>#2002</t>
  </si>
  <si>
    <t>Port Lance</t>
  </si>
  <si>
    <t>#2003</t>
  </si>
  <si>
    <t>Boltonberg</t>
  </si>
  <si>
    <t>#2004</t>
  </si>
  <si>
    <t>Bennetttown</t>
  </si>
  <si>
    <t>#2005</t>
  </si>
  <si>
    <t>Brian Johnson</t>
  </si>
  <si>
    <t>brian.johnson756@yahoo.com</t>
  </si>
  <si>
    <t>Russellshire</t>
  </si>
  <si>
    <t>#2006</t>
  </si>
  <si>
    <t>Hannah Lee</t>
  </si>
  <si>
    <t>hannah.lee589@icloud.com</t>
  </si>
  <si>
    <t>$38.98</t>
  </si>
  <si>
    <t>Coleport</t>
  </si>
  <si>
    <t>#2007</t>
  </si>
  <si>
    <t>Dennisfort</t>
  </si>
  <si>
    <t>#2008</t>
  </si>
  <si>
    <t>Keyburgh</t>
  </si>
  <si>
    <t>#2009</t>
  </si>
  <si>
    <t>Shawn Alexander</t>
  </si>
  <si>
    <t>shawn.alexander522@outlook.com</t>
  </si>
  <si>
    <t>Rodgersland</t>
  </si>
  <si>
    <t>#2010</t>
  </si>
  <si>
    <t>East Alicia</t>
  </si>
  <si>
    <t>#2011</t>
  </si>
  <si>
    <t>North Kimberly</t>
  </si>
  <si>
    <t>#2012</t>
  </si>
  <si>
    <t>#2013</t>
  </si>
  <si>
    <t>Kellyport</t>
  </si>
  <si>
    <t>#2014</t>
  </si>
  <si>
    <t>Juan Martin</t>
  </si>
  <si>
    <t>juan.martin929@gmail.com</t>
  </si>
  <si>
    <t>Brownmouth</t>
  </si>
  <si>
    <t>#2015</t>
  </si>
  <si>
    <t>Davisbury</t>
  </si>
  <si>
    <t>#2016</t>
  </si>
  <si>
    <t>Port Ryanmouth</t>
  </si>
  <si>
    <t>#2017</t>
  </si>
  <si>
    <t>North Edwardside</t>
  </si>
  <si>
    <t>#2018</t>
  </si>
  <si>
    <t>East Dawn</t>
  </si>
  <si>
    <t>#2019</t>
  </si>
  <si>
    <t>Angelafort</t>
  </si>
  <si>
    <t>#2020</t>
  </si>
  <si>
    <t>Lake Caitlynbury</t>
  </si>
  <si>
    <t>#2021</t>
  </si>
  <si>
    <t>JOHN CARSON</t>
  </si>
  <si>
    <t>Delgadoside</t>
  </si>
  <si>
    <t>#2022</t>
  </si>
  <si>
    <t>Allison Byrd</t>
  </si>
  <si>
    <t>allison.byrd266@yahoo.com</t>
  </si>
  <si>
    <t>Lewisland</t>
  </si>
  <si>
    <t>#2023</t>
  </si>
  <si>
    <t>Wardview</t>
  </si>
  <si>
    <t>#2024</t>
  </si>
  <si>
    <t>Robertside</t>
  </si>
  <si>
    <t>#2025</t>
  </si>
  <si>
    <t>$2.20</t>
  </si>
  <si>
    <t>East Stephenville</t>
  </si>
  <si>
    <t>#2026</t>
  </si>
  <si>
    <t>Lake Jennifer</t>
  </si>
  <si>
    <t>#2027</t>
  </si>
  <si>
    <t>sandra potter</t>
  </si>
  <si>
    <t>Port Ginaburgh</t>
  </si>
  <si>
    <t>#2028</t>
  </si>
  <si>
    <t>Sarah Smith</t>
  </si>
  <si>
    <t>sarah.smith33@icloud.com</t>
  </si>
  <si>
    <t>Mullinsbury</t>
  </si>
  <si>
    <t>#2029</t>
  </si>
  <si>
    <t>$16.23</t>
  </si>
  <si>
    <t>Emilyton</t>
  </si>
  <si>
    <t>#2030</t>
  </si>
  <si>
    <t>Alexanderville</t>
  </si>
  <si>
    <t>#2031</t>
  </si>
  <si>
    <t>Calderonton</t>
  </si>
  <si>
    <t>#2032</t>
  </si>
  <si>
    <t>West Peter</t>
  </si>
  <si>
    <t>#2033</t>
  </si>
  <si>
    <t>Annetteborough</t>
  </si>
  <si>
    <t>#2034</t>
  </si>
  <si>
    <t>Thomastown</t>
  </si>
  <si>
    <t>#2035</t>
  </si>
  <si>
    <t>South William</t>
  </si>
  <si>
    <t>#2036</t>
  </si>
  <si>
    <t>Garrisonville</t>
  </si>
  <si>
    <t>#2037</t>
  </si>
  <si>
    <t>Sotohaven</t>
  </si>
  <si>
    <t>#2038</t>
  </si>
  <si>
    <t>Donovanburgh</t>
  </si>
  <si>
    <t>#2039</t>
  </si>
  <si>
    <t>Amber Kennedy</t>
  </si>
  <si>
    <t>amber.kennedy723@icloud.com</t>
  </si>
  <si>
    <t>Joshuamouth</t>
  </si>
  <si>
    <t>#2040</t>
  </si>
  <si>
    <t>Thompsonburgh</t>
  </si>
  <si>
    <t>#2041</t>
  </si>
  <si>
    <t>Paul Pratt</t>
  </si>
  <si>
    <t>Port Alexishaven</t>
  </si>
  <si>
    <t>#2042</t>
  </si>
  <si>
    <t>North Jasmin</t>
  </si>
  <si>
    <t>#2043</t>
  </si>
  <si>
    <t>Charlesburgh</t>
  </si>
  <si>
    <t>#2044</t>
  </si>
  <si>
    <t>Juliemouth</t>
  </si>
  <si>
    <t>#2045</t>
  </si>
  <si>
    <t>Tinahaven</t>
  </si>
  <si>
    <t>#2046</t>
  </si>
  <si>
    <t>Brockville</t>
  </si>
  <si>
    <t>#2047</t>
  </si>
  <si>
    <t>Meganville</t>
  </si>
  <si>
    <t>#2048</t>
  </si>
  <si>
    <t>North Amanda</t>
  </si>
  <si>
    <t>#2049</t>
  </si>
  <si>
    <t>Grayville</t>
  </si>
  <si>
    <t>#2050</t>
  </si>
  <si>
    <t>Kylieport</t>
  </si>
  <si>
    <t>#2051</t>
  </si>
  <si>
    <t>West Melissachester</t>
  </si>
  <si>
    <t>#2052</t>
  </si>
  <si>
    <t>Toddville</t>
  </si>
  <si>
    <t>#2053</t>
  </si>
  <si>
    <t>North Anthonyville</t>
  </si>
  <si>
    <t>#2054</t>
  </si>
  <si>
    <t>Monica Hodge</t>
  </si>
  <si>
    <t>monica.hodge369@icloud.com</t>
  </si>
  <si>
    <t>Lauraberg</t>
  </si>
  <si>
    <t>#2055</t>
  </si>
  <si>
    <t>katelyn johnson</t>
  </si>
  <si>
    <t>West Michelletown</t>
  </si>
  <si>
    <t>#2056</t>
  </si>
  <si>
    <t>$59.98</t>
  </si>
  <si>
    <t>Jenniferberg</t>
  </si>
  <si>
    <t>#2057</t>
  </si>
  <si>
    <t>Monica Hicks</t>
  </si>
  <si>
    <t>$57.95</t>
  </si>
  <si>
    <t>North Jamiefort</t>
  </si>
  <si>
    <t>#2058</t>
  </si>
  <si>
    <t>South Dwayne</t>
  </si>
  <si>
    <t>#2059</t>
  </si>
  <si>
    <t>#2060</t>
  </si>
  <si>
    <t>$23.98</t>
  </si>
  <si>
    <t>Spearsmouth</t>
  </si>
  <si>
    <t>#2061</t>
  </si>
  <si>
    <t>Quinnfurt</t>
  </si>
  <si>
    <t>#2062</t>
  </si>
  <si>
    <t>South Laura</t>
  </si>
  <si>
    <t>#2063</t>
  </si>
  <si>
    <t>West Scott</t>
  </si>
  <si>
    <t>#2064</t>
  </si>
  <si>
    <t>Ericaport</t>
  </si>
  <si>
    <t>#2065</t>
  </si>
  <si>
    <t>North Maria</t>
  </si>
  <si>
    <t>#2066</t>
  </si>
  <si>
    <t>Washingtonland</t>
  </si>
  <si>
    <t>#2067</t>
  </si>
  <si>
    <t>$32.38</t>
  </si>
  <si>
    <t>East Douglas</t>
  </si>
  <si>
    <t>#2068</t>
  </si>
  <si>
    <t>Wilsonshire</t>
  </si>
  <si>
    <t>#2069</t>
  </si>
  <si>
    <t xml:space="preserve">  Jeffrey Myers</t>
  </si>
  <si>
    <t>jeffrey.myers692@icloud.com</t>
  </si>
  <si>
    <t>Freemanborough</t>
  </si>
  <si>
    <t>#2070</t>
  </si>
  <si>
    <t>#2071</t>
  </si>
  <si>
    <t>Harrisonbury</t>
  </si>
  <si>
    <t>#2072</t>
  </si>
  <si>
    <t>Lauraport</t>
  </si>
  <si>
    <t>#2073</t>
  </si>
  <si>
    <t>North Dustinborough</t>
  </si>
  <si>
    <t>#2074</t>
  </si>
  <si>
    <t>Allenport</t>
  </si>
  <si>
    <t>#2075</t>
  </si>
  <si>
    <t>North Theresaport</t>
  </si>
  <si>
    <t>#2076</t>
  </si>
  <si>
    <t>Herman, Megan</t>
  </si>
  <si>
    <t>$22.08</t>
  </si>
  <si>
    <t>#2077</t>
  </si>
  <si>
    <t>Mcguireburgh</t>
  </si>
  <si>
    <t>#2078</t>
  </si>
  <si>
    <t>daniel.hill472@outlook.com</t>
  </si>
  <si>
    <t>East Cheryl</t>
  </si>
  <si>
    <t>#2079</t>
  </si>
  <si>
    <t>Joneshaven</t>
  </si>
  <si>
    <t>#2080</t>
  </si>
  <si>
    <t>New Kimberly</t>
  </si>
  <si>
    <t>#2081</t>
  </si>
  <si>
    <t>East Dominicbury</t>
  </si>
  <si>
    <t>#2082</t>
  </si>
  <si>
    <t>Lake Karen</t>
  </si>
  <si>
    <t>#2083</t>
  </si>
  <si>
    <t>Montgomeryberg</t>
  </si>
  <si>
    <t>#2084</t>
  </si>
  <si>
    <t>Luisstad</t>
  </si>
  <si>
    <t>#2085</t>
  </si>
  <si>
    <t>Nixonmouth</t>
  </si>
  <si>
    <t>#2086</t>
  </si>
  <si>
    <t>#2087</t>
  </si>
  <si>
    <t>East Brittany</t>
  </si>
  <si>
    <t>#2088</t>
  </si>
  <si>
    <t>Taylorborough</t>
  </si>
  <si>
    <t>#2089</t>
  </si>
  <si>
    <t>North Justinberg</t>
  </si>
  <si>
    <t>#2090</t>
  </si>
  <si>
    <t>Jeffrey Myers</t>
  </si>
  <si>
    <t>Ericksonshire</t>
  </si>
  <si>
    <t>#2091</t>
  </si>
  <si>
    <t>East Matthew</t>
  </si>
  <si>
    <t>#2092</t>
  </si>
  <si>
    <t>East Cynthiaville</t>
  </si>
  <si>
    <t>#2093</t>
  </si>
  <si>
    <t>Shannonhaven</t>
  </si>
  <si>
    <t>#2094</t>
  </si>
  <si>
    <t>Rebeccastad</t>
  </si>
  <si>
    <t>#2095</t>
  </si>
  <si>
    <t>Douglasberg</t>
  </si>
  <si>
    <t>#2096</t>
  </si>
  <si>
    <t>Bryan, Cynthia</t>
  </si>
  <si>
    <t>cynthia.bryan502@icloud.com</t>
  </si>
  <si>
    <t>Hendersonville</t>
  </si>
  <si>
    <t>#2097</t>
  </si>
  <si>
    <t>North Tommy</t>
  </si>
  <si>
    <t>#2098</t>
  </si>
  <si>
    <t>Port Amberberg</t>
  </si>
  <si>
    <t>#2099</t>
  </si>
  <si>
    <t>Julie Terrell</t>
  </si>
  <si>
    <t>julie.terrell409@icloud.com</t>
  </si>
  <si>
    <t>North Janice</t>
  </si>
  <si>
    <t>#2100</t>
  </si>
  <si>
    <t>Benjaminstad</t>
  </si>
  <si>
    <t>#2101</t>
  </si>
  <si>
    <t>Catherine Mcgee</t>
  </si>
  <si>
    <t>Port Jeremyland</t>
  </si>
  <si>
    <t>#2102</t>
  </si>
  <si>
    <t>Diana Romero</t>
  </si>
  <si>
    <t>diana.romero386@outlook.com</t>
  </si>
  <si>
    <t>Coleburgh</t>
  </si>
  <si>
    <t>#2103</t>
  </si>
  <si>
    <t>Jonestown</t>
  </si>
  <si>
    <t>#2104</t>
  </si>
  <si>
    <t>East Jamesside</t>
  </si>
  <si>
    <t>#2105</t>
  </si>
  <si>
    <t>Sandersport</t>
  </si>
  <si>
    <t>#2106</t>
  </si>
  <si>
    <t>Port Danielland</t>
  </si>
  <si>
    <t>#2107</t>
  </si>
  <si>
    <t>West Lauren</t>
  </si>
  <si>
    <t>#2108</t>
  </si>
  <si>
    <t>Mooreshire</t>
  </si>
  <si>
    <t>#2109</t>
  </si>
  <si>
    <t>Stephenview</t>
  </si>
  <si>
    <t>#2110</t>
  </si>
  <si>
    <t>West Lesliefurt</t>
  </si>
  <si>
    <t>#2111</t>
  </si>
  <si>
    <t>Johnsonfurt</t>
  </si>
  <si>
    <t>#2112</t>
  </si>
  <si>
    <t>East Brandon</t>
  </si>
  <si>
    <t>#2113</t>
  </si>
  <si>
    <t>Lisachester</t>
  </si>
  <si>
    <t>#2114</t>
  </si>
  <si>
    <t>Pittshaven</t>
  </si>
  <si>
    <t>#2115</t>
  </si>
  <si>
    <t>Huffmanhaven</t>
  </si>
  <si>
    <t>#2116</t>
  </si>
  <si>
    <t>South Megantown</t>
  </si>
  <si>
    <t>#2117</t>
  </si>
  <si>
    <t>Murray, Cody</t>
  </si>
  <si>
    <t>East Nicholasshire</t>
  </si>
  <si>
    <t>#2118</t>
  </si>
  <si>
    <t>East Robertmouth</t>
  </si>
  <si>
    <t>#2119</t>
  </si>
  <si>
    <t>Savagefurt</t>
  </si>
  <si>
    <t>#2120</t>
  </si>
  <si>
    <t>Mitchellshire</t>
  </si>
  <si>
    <t>#2121</t>
  </si>
  <si>
    <t>Mcculloughfurt</t>
  </si>
  <si>
    <t>#2122</t>
  </si>
  <si>
    <t>Courtneystad</t>
  </si>
  <si>
    <t>#2123</t>
  </si>
  <si>
    <t>$4.75</t>
  </si>
  <si>
    <t>Santanaport</t>
  </si>
  <si>
    <t>#2124</t>
  </si>
  <si>
    <t>Andreahaven</t>
  </si>
  <si>
    <t>#2125</t>
  </si>
  <si>
    <t>Cummingsburgh</t>
  </si>
  <si>
    <t>#2126</t>
  </si>
  <si>
    <t>Kelseyland</t>
  </si>
  <si>
    <t>#2127</t>
  </si>
  <si>
    <t>West Stephanieberg</t>
  </si>
  <si>
    <t>#2128</t>
  </si>
  <si>
    <t>Adamsshire</t>
  </si>
  <si>
    <t>#2129</t>
  </si>
  <si>
    <t>East Regina</t>
  </si>
  <si>
    <t>#2130</t>
  </si>
  <si>
    <t>West Jeffreystad</t>
  </si>
  <si>
    <t>#2131</t>
  </si>
  <si>
    <t>New Cynthia</t>
  </si>
  <si>
    <t>#2132</t>
  </si>
  <si>
    <t>New Troy</t>
  </si>
  <si>
    <t>#2133</t>
  </si>
  <si>
    <t>David Pierce</t>
  </si>
  <si>
    <t>david.pierce107@outlook.com</t>
  </si>
  <si>
    <t>West Randy</t>
  </si>
  <si>
    <t>#2134</t>
  </si>
  <si>
    <t>North Samantha</t>
  </si>
  <si>
    <t>#2135</t>
  </si>
  <si>
    <t>East Julian</t>
  </si>
  <si>
    <t>#2136</t>
  </si>
  <si>
    <t>Campbellport</t>
  </si>
  <si>
    <t>#2137</t>
  </si>
  <si>
    <t>Hornstad</t>
  </si>
  <si>
    <t>#2138</t>
  </si>
  <si>
    <t>West Lucastown</t>
  </si>
  <si>
    <t>#2139</t>
  </si>
  <si>
    <t>North Anneton</t>
  </si>
  <si>
    <t>#2140</t>
  </si>
  <si>
    <t>Petersberg</t>
  </si>
  <si>
    <t>#2141</t>
  </si>
  <si>
    <t>$34.97</t>
  </si>
  <si>
    <t>West Laurahaven</t>
  </si>
  <si>
    <t>#2142</t>
  </si>
  <si>
    <t>Heatherbury</t>
  </si>
  <si>
    <t>#2143</t>
  </si>
  <si>
    <t>$109.98</t>
  </si>
  <si>
    <t>Sanchezmouth</t>
  </si>
  <si>
    <t>#2144</t>
  </si>
  <si>
    <t>East Margaret</t>
  </si>
  <si>
    <t>#2145</t>
  </si>
  <si>
    <t>Freemanville</t>
  </si>
  <si>
    <t>#2146</t>
  </si>
  <si>
    <t>Nancy Nichols</t>
  </si>
  <si>
    <t>#2147</t>
  </si>
  <si>
    <t>East Reneeborough</t>
  </si>
  <si>
    <t>#2148</t>
  </si>
  <si>
    <t xml:space="preserve">  Jane Gregory</t>
  </si>
  <si>
    <t>Lake Cynthia</t>
  </si>
  <si>
    <t>#2149</t>
  </si>
  <si>
    <t>Hillmouth</t>
  </si>
  <si>
    <t>#2150</t>
  </si>
  <si>
    <t>East Kimberlyborough</t>
  </si>
  <si>
    <t>#2151</t>
  </si>
  <si>
    <t>Marcus Sloan</t>
  </si>
  <si>
    <t>marcus.sloan49@icloud.com</t>
  </si>
  <si>
    <t>Woodardton</t>
  </si>
  <si>
    <t>#2152</t>
  </si>
  <si>
    <t>Jasonchester</t>
  </si>
  <si>
    <t>#2153</t>
  </si>
  <si>
    <t>#2154</t>
  </si>
  <si>
    <t>Christymouth</t>
  </si>
  <si>
    <t>#2155</t>
  </si>
  <si>
    <t>New Annamouth</t>
  </si>
  <si>
    <t>#2156</t>
  </si>
  <si>
    <t>East Melissastad</t>
  </si>
  <si>
    <t>#2157</t>
  </si>
  <si>
    <t>East James</t>
  </si>
  <si>
    <t>#2158</t>
  </si>
  <si>
    <t>Eric Bailey</t>
  </si>
  <si>
    <t>eric.bailey970@yahoo.com</t>
  </si>
  <si>
    <t>Lake Charles</t>
  </si>
  <si>
    <t>#2159</t>
  </si>
  <si>
    <t>Lake Jameston</t>
  </si>
  <si>
    <t>#2160</t>
  </si>
  <si>
    <t>West Angelafurt</t>
  </si>
  <si>
    <t>#2161</t>
  </si>
  <si>
    <t>Victoria Wilson</t>
  </si>
  <si>
    <t>victoria.wilson114@gmail.com</t>
  </si>
  <si>
    <t>West Austin</t>
  </si>
  <si>
    <t>#2162</t>
  </si>
  <si>
    <t>Joditon</t>
  </si>
  <si>
    <t>#2163</t>
  </si>
  <si>
    <t>Kimhaven</t>
  </si>
  <si>
    <t>#2164</t>
  </si>
  <si>
    <t>Smithmouth</t>
  </si>
  <si>
    <t>#2165</t>
  </si>
  <si>
    <t>#2166</t>
  </si>
  <si>
    <t>South Christy</t>
  </si>
  <si>
    <t>#2167</t>
  </si>
  <si>
    <t>Salasfurt</t>
  </si>
  <si>
    <t>#2168</t>
  </si>
  <si>
    <t>Gailmouth</t>
  </si>
  <si>
    <t>#2169</t>
  </si>
  <si>
    <t>West Emilyview</t>
  </si>
  <si>
    <t>#2170</t>
  </si>
  <si>
    <t>Thompsonbury</t>
  </si>
  <si>
    <t>#2171</t>
  </si>
  <si>
    <t>West Steven</t>
  </si>
  <si>
    <t>#2172</t>
  </si>
  <si>
    <t>Bushberg</t>
  </si>
  <si>
    <t>#2173</t>
  </si>
  <si>
    <t>Courtney Bullock</t>
  </si>
  <si>
    <t>courtney.bullock860@outlook.com</t>
  </si>
  <si>
    <t>Tracyshire</t>
  </si>
  <si>
    <t>#2174</t>
  </si>
  <si>
    <t>Port Devinstad</t>
  </si>
  <si>
    <t>#2175</t>
  </si>
  <si>
    <t>Welchberg</t>
  </si>
  <si>
    <t>#2176</t>
  </si>
  <si>
    <t>joseph martin</t>
  </si>
  <si>
    <t>North Patrickbury</t>
  </si>
  <si>
    <t>#2177</t>
  </si>
  <si>
    <t>Clarkeland</t>
  </si>
  <si>
    <t>#2178</t>
  </si>
  <si>
    <t>Jasmineland</t>
  </si>
  <si>
    <t>#2179</t>
  </si>
  <si>
    <t>Danielsview</t>
  </si>
  <si>
    <t>#2180</t>
  </si>
  <si>
    <t>Taylorshire</t>
  </si>
  <si>
    <t>#2181</t>
  </si>
  <si>
    <t>VICKI JOHNSON</t>
  </si>
  <si>
    <t>Calvinfurt</t>
  </si>
  <si>
    <t>#2182</t>
  </si>
  <si>
    <t>Joshuachester</t>
  </si>
  <si>
    <t>#2183</t>
  </si>
  <si>
    <t>East Lesliefort</t>
  </si>
  <si>
    <t>#2184</t>
  </si>
  <si>
    <t>AMANDA ROBINSON</t>
  </si>
  <si>
    <t>New Jameschester</t>
  </si>
  <si>
    <t>#2185</t>
  </si>
  <si>
    <t>Johnmouth</t>
  </si>
  <si>
    <t>#2186</t>
  </si>
  <si>
    <t>Sullivanmouth</t>
  </si>
  <si>
    <t>#2187</t>
  </si>
  <si>
    <t>Tiffany Jones</t>
  </si>
  <si>
    <t>tiffany.jones564@outlook.com</t>
  </si>
  <si>
    <t>Oliviatown</t>
  </si>
  <si>
    <t>#2188</t>
  </si>
  <si>
    <t>Rodriguezbury</t>
  </si>
  <si>
    <t>#2189</t>
  </si>
  <si>
    <t>Adam Johnson</t>
  </si>
  <si>
    <t>adam.johnson932@outlook.com</t>
  </si>
  <si>
    <t>ADJUSTABLE DUMBBELL SET</t>
  </si>
  <si>
    <t>East Justinstad</t>
  </si>
  <si>
    <t>#2190</t>
  </si>
  <si>
    <t>marie rose</t>
  </si>
  <si>
    <t>marie.rose93@gmail.com</t>
  </si>
  <si>
    <t>Shannonfort</t>
  </si>
  <si>
    <t>#2191</t>
  </si>
  <si>
    <t>$74.77</t>
  </si>
  <si>
    <t>Lake Mariaberg</t>
  </si>
  <si>
    <t>#2192</t>
  </si>
  <si>
    <t>New Franciscoberg</t>
  </si>
  <si>
    <t>#2193</t>
  </si>
  <si>
    <t>$4.20</t>
  </si>
  <si>
    <t>Christinastad</t>
  </si>
  <si>
    <t>#2194</t>
  </si>
  <si>
    <t>Tracy Kennedy</t>
  </si>
  <si>
    <t>tracy.kennedy796@outlook.com</t>
  </si>
  <si>
    <t>$45.98</t>
  </si>
  <si>
    <t>Caseyfurt</t>
  </si>
  <si>
    <t>#2195</t>
  </si>
  <si>
    <t>Port Emilyfort</t>
  </si>
  <si>
    <t>#2196</t>
  </si>
  <si>
    <t>anthony.vaughn72@gmail.com</t>
  </si>
  <si>
    <t>Lake Karenchester</t>
  </si>
  <si>
    <t>#2197</t>
  </si>
  <si>
    <t>East Patrick</t>
  </si>
  <si>
    <t>#2198</t>
  </si>
  <si>
    <t>Gloriafurt</t>
  </si>
  <si>
    <t>#2199</t>
  </si>
  <si>
    <t>#2200</t>
  </si>
  <si>
    <t>#2201</t>
  </si>
  <si>
    <t>Rachel Colon</t>
  </si>
  <si>
    <t>$34.68</t>
  </si>
  <si>
    <t>#2202</t>
  </si>
  <si>
    <t>New Jerry</t>
  </si>
  <si>
    <t>#2203</t>
  </si>
  <si>
    <t>Lake Jillianfurt</t>
  </si>
  <si>
    <t>#2204</t>
  </si>
  <si>
    <t>West Ericport</t>
  </si>
  <si>
    <t>#2205</t>
  </si>
  <si>
    <t>New Thomaston</t>
  </si>
  <si>
    <t>#2206</t>
  </si>
  <si>
    <t>Fernandezbury</t>
  </si>
  <si>
    <t>#2207</t>
  </si>
  <si>
    <t>Jefferyberg</t>
  </si>
  <si>
    <t>#2208</t>
  </si>
  <si>
    <t>Lake Gina</t>
  </si>
  <si>
    <t>#2209</t>
  </si>
  <si>
    <t>Markfort</t>
  </si>
  <si>
    <t>#2210</t>
  </si>
  <si>
    <t>Port Thomasville</t>
  </si>
  <si>
    <t>#2211</t>
  </si>
  <si>
    <t>$39.98</t>
  </si>
  <si>
    <t>West Gregoryborough</t>
  </si>
  <si>
    <t>#2212</t>
  </si>
  <si>
    <t>#2213</t>
  </si>
  <si>
    <t>Bradshawshire</t>
  </si>
  <si>
    <t>#2214</t>
  </si>
  <si>
    <t>Kimberly Williams</t>
  </si>
  <si>
    <t>kimberly.williams555@outlook.com</t>
  </si>
  <si>
    <t>New Erin</t>
  </si>
  <si>
    <t>#2215</t>
  </si>
  <si>
    <t>Margaret Conley</t>
  </si>
  <si>
    <t>margaret.conley327@icloud.com</t>
  </si>
  <si>
    <t>Lake Andrewstad</t>
  </si>
  <si>
    <t>#2216</t>
  </si>
  <si>
    <t>Laurenchester</t>
  </si>
  <si>
    <t>#2217</t>
  </si>
  <si>
    <t>#2218</t>
  </si>
  <si>
    <t>melissa.jones297@yahoo.com</t>
  </si>
  <si>
    <t>Haydenton</t>
  </si>
  <si>
    <t>#2219</t>
  </si>
  <si>
    <t>North Nicholas</t>
  </si>
  <si>
    <t>#2220</t>
  </si>
  <si>
    <t>East Williamport</t>
  </si>
  <si>
    <t>#2221</t>
  </si>
  <si>
    <t>East Karen</t>
  </si>
  <si>
    <t>#2222</t>
  </si>
  <si>
    <t>Tiffanyborough</t>
  </si>
  <si>
    <t>#2223</t>
  </si>
  <si>
    <t>West Angela</t>
  </si>
  <si>
    <t>#2224</t>
  </si>
  <si>
    <t>East Jennifer</t>
  </si>
  <si>
    <t>#2225</t>
  </si>
  <si>
    <t>#2226</t>
  </si>
  <si>
    <t>Elizabethside</t>
  </si>
  <si>
    <t>#2227</t>
  </si>
  <si>
    <t>Lake Wendyshire</t>
  </si>
  <si>
    <t>#2228</t>
  </si>
  <si>
    <t>#2229</t>
  </si>
  <si>
    <t>Diane Harper</t>
  </si>
  <si>
    <t>diane.harper925@gmail.com</t>
  </si>
  <si>
    <t>North Jennifer</t>
  </si>
  <si>
    <t>#2230</t>
  </si>
  <si>
    <t>South Chadside</t>
  </si>
  <si>
    <t>#2231</t>
  </si>
  <si>
    <t>Ingram, Jose</t>
  </si>
  <si>
    <t>Daniellefort</t>
  </si>
  <si>
    <t>#2232</t>
  </si>
  <si>
    <t>$12.49</t>
  </si>
  <si>
    <t>Port Michele</t>
  </si>
  <si>
    <t>#2233</t>
  </si>
  <si>
    <t>Port Scottfurt</t>
  </si>
  <si>
    <t>#2234</t>
  </si>
  <si>
    <t>Pettytown</t>
  </si>
  <si>
    <t>#2235</t>
  </si>
  <si>
    <t>Lindastad</t>
  </si>
  <si>
    <t>#2236</t>
  </si>
  <si>
    <t>Katrinastad</t>
  </si>
  <si>
    <t>#2237</t>
  </si>
  <si>
    <t>Port Stephanieview</t>
  </si>
  <si>
    <t>#2238</t>
  </si>
  <si>
    <t>Rossmouth</t>
  </si>
  <si>
    <t>#2239</t>
  </si>
  <si>
    <t>Popeberg</t>
  </si>
  <si>
    <t>#2240</t>
  </si>
  <si>
    <t>Rose English</t>
  </si>
  <si>
    <t>North Lisa</t>
  </si>
  <si>
    <t>#2241</t>
  </si>
  <si>
    <t>South Thomas</t>
  </si>
  <si>
    <t>#2242</t>
  </si>
  <si>
    <t>Bishopland</t>
  </si>
  <si>
    <t>#2243</t>
  </si>
  <si>
    <t>New Williamhaven</t>
  </si>
  <si>
    <t>#2244</t>
  </si>
  <si>
    <t>Nicholsberg</t>
  </si>
  <si>
    <t>#2245</t>
  </si>
  <si>
    <t>North Pamela</t>
  </si>
  <si>
    <t>#2246</t>
  </si>
  <si>
    <t>$21.98</t>
  </si>
  <si>
    <t>Hernandezhaven</t>
  </si>
  <si>
    <t>#2247</t>
  </si>
  <si>
    <t>Walkershire</t>
  </si>
  <si>
    <t>#2248</t>
  </si>
  <si>
    <t>Abbottchester</t>
  </si>
  <si>
    <t>#2249</t>
  </si>
  <si>
    <t>Port Alexander</t>
  </si>
  <si>
    <t>#2250</t>
  </si>
  <si>
    <t>East Michelle</t>
  </si>
  <si>
    <t>#2251</t>
  </si>
  <si>
    <t>East Patriciaborough</t>
  </si>
  <si>
    <t>#2252</t>
  </si>
  <si>
    <t>#2253</t>
  </si>
  <si>
    <t>Amychester</t>
  </si>
  <si>
    <t>#2254</t>
  </si>
  <si>
    <t>Misty Martin</t>
  </si>
  <si>
    <t>misty.martin667@gmail.com</t>
  </si>
  <si>
    <t>Jimeneztown</t>
  </si>
  <si>
    <t>#2255</t>
  </si>
  <si>
    <t>East Tammybury</t>
  </si>
  <si>
    <t>#2256</t>
  </si>
  <si>
    <t>Port Rodney</t>
  </si>
  <si>
    <t>#2257</t>
  </si>
  <si>
    <t>Romeroview</t>
  </si>
  <si>
    <t>#2258</t>
  </si>
  <si>
    <t>$18.16</t>
  </si>
  <si>
    <t>West Shawna</t>
  </si>
  <si>
    <t>#2259</t>
  </si>
  <si>
    <t>Karen Lewis</t>
  </si>
  <si>
    <t>karen.lewis137@icloud.com</t>
  </si>
  <si>
    <t>Port Tylerstad</t>
  </si>
  <si>
    <t>#2260</t>
  </si>
  <si>
    <t xml:space="preserve">  Stacey Johnson</t>
  </si>
  <si>
    <t>Simonchester</t>
  </si>
  <si>
    <t>#2261</t>
  </si>
  <si>
    <t>East Lisaland</t>
  </si>
  <si>
    <t>#2262</t>
  </si>
  <si>
    <t>#2263</t>
  </si>
  <si>
    <t>Joeview</t>
  </si>
  <si>
    <t>#2264</t>
  </si>
  <si>
    <t>Richardsonview</t>
  </si>
  <si>
    <t>#2265</t>
  </si>
  <si>
    <t>North Allisonville</t>
  </si>
  <si>
    <t>#2266</t>
  </si>
  <si>
    <t>New Richardhaven</t>
  </si>
  <si>
    <t>#2267</t>
  </si>
  <si>
    <t>Port Megan</t>
  </si>
  <si>
    <t>#2268</t>
  </si>
  <si>
    <t>Jeremy Hicks</t>
  </si>
  <si>
    <t>jeremy.hicks984@yahoo.com</t>
  </si>
  <si>
    <t>Port Patrickton</t>
  </si>
  <si>
    <t>#2269</t>
  </si>
  <si>
    <t>Lake Elizabethside</t>
  </si>
  <si>
    <t>#2270</t>
  </si>
  <si>
    <t>Mcdonaldfurt</t>
  </si>
  <si>
    <t>#2271</t>
  </si>
  <si>
    <t>Chelseatown</t>
  </si>
  <si>
    <t>#2272</t>
  </si>
  <si>
    <t>North Kevinville</t>
  </si>
  <si>
    <t>#2273</t>
  </si>
  <si>
    <t>Wrighttown</t>
  </si>
  <si>
    <t>#2274</t>
  </si>
  <si>
    <t>#2275</t>
  </si>
  <si>
    <t>East Patriciahaven</t>
  </si>
  <si>
    <t>#2276</t>
  </si>
  <si>
    <t>North Katherine</t>
  </si>
  <si>
    <t>#2277</t>
  </si>
  <si>
    <t>Alextown</t>
  </si>
  <si>
    <t>#2278</t>
  </si>
  <si>
    <t>Howardmouth</t>
  </si>
  <si>
    <t>#2279</t>
  </si>
  <si>
    <t>New Angela</t>
  </si>
  <si>
    <t>#2280</t>
  </si>
  <si>
    <t>East Peggyport</t>
  </si>
  <si>
    <t>#2281</t>
  </si>
  <si>
    <t>New Charlesport</t>
  </si>
  <si>
    <t>#2282</t>
  </si>
  <si>
    <t>$1.80</t>
  </si>
  <si>
    <t>East Wesleyberg</t>
  </si>
  <si>
    <t>#2283</t>
  </si>
  <si>
    <t>$59.95</t>
  </si>
  <si>
    <t>New Ann</t>
  </si>
  <si>
    <t>#2284</t>
  </si>
  <si>
    <t>Simonton</t>
  </si>
  <si>
    <t>#2285</t>
  </si>
  <si>
    <t>$2.40</t>
  </si>
  <si>
    <t>Hodgechester</t>
  </si>
  <si>
    <t>#2286</t>
  </si>
  <si>
    <t>Kathrynshire</t>
  </si>
  <si>
    <t>#2287</t>
  </si>
  <si>
    <t>Barbaraland</t>
  </si>
  <si>
    <t>#2288</t>
  </si>
  <si>
    <t>Stevensberg</t>
  </si>
  <si>
    <t>#2289</t>
  </si>
  <si>
    <t>West Donald</t>
  </si>
  <si>
    <t>#2290</t>
  </si>
  <si>
    <t>Mariatown</t>
  </si>
  <si>
    <t>#2291</t>
  </si>
  <si>
    <t>Christopherland</t>
  </si>
  <si>
    <t>#2292</t>
  </si>
  <si>
    <t>DANIELLE THORNTON</t>
  </si>
  <si>
    <t>danielle.thornton674@icloud.com</t>
  </si>
  <si>
    <t>Christophershire</t>
  </si>
  <si>
    <t>#2293</t>
  </si>
  <si>
    <t>New Danielle</t>
  </si>
  <si>
    <t>#2294</t>
  </si>
  <si>
    <t>Port Brentton</t>
  </si>
  <si>
    <t>#2295</t>
  </si>
  <si>
    <t>MICHELE DAVIS</t>
  </si>
  <si>
    <t>North April</t>
  </si>
  <si>
    <t>#2296</t>
  </si>
  <si>
    <t>Ashleyborough</t>
  </si>
  <si>
    <t>#2297</t>
  </si>
  <si>
    <t>East Sandra</t>
  </si>
  <si>
    <t>#2298</t>
  </si>
  <si>
    <t>New Bradley</t>
  </si>
  <si>
    <t>#2299</t>
  </si>
  <si>
    <t>Port Alejandrohaven</t>
  </si>
  <si>
    <t>#2300</t>
  </si>
  <si>
    <t>Bestview</t>
  </si>
  <si>
    <t>#2301</t>
  </si>
  <si>
    <t>Stanleyside</t>
  </si>
  <si>
    <t>#2302</t>
  </si>
  <si>
    <t>North Angela</t>
  </si>
  <si>
    <t>#2303</t>
  </si>
  <si>
    <t>Port Traceyton</t>
  </si>
  <si>
    <t>#2304</t>
  </si>
  <si>
    <t>Michealtown</t>
  </si>
  <si>
    <t>#2305</t>
  </si>
  <si>
    <t>Johnsonmouth</t>
  </si>
  <si>
    <t>#2306</t>
  </si>
  <si>
    <t>Kimberly Estrada</t>
  </si>
  <si>
    <t>kimberly.estrada858@gmail.com</t>
  </si>
  <si>
    <t>Grimesport</t>
  </si>
  <si>
    <t>#2307</t>
  </si>
  <si>
    <t>Jennifershire</t>
  </si>
  <si>
    <t>#2308</t>
  </si>
  <si>
    <t>Joseborough</t>
  </si>
  <si>
    <t>#2309</t>
  </si>
  <si>
    <t>Andresmouth</t>
  </si>
  <si>
    <t>#2310</t>
  </si>
  <si>
    <t>Harrischester</t>
  </si>
  <si>
    <t>#2311</t>
  </si>
  <si>
    <t>Jenniferfurt</t>
  </si>
  <si>
    <t>#2312</t>
  </si>
  <si>
    <t>Velezshire</t>
  </si>
  <si>
    <t>#2313</t>
  </si>
  <si>
    <t>South Anthony</t>
  </si>
  <si>
    <t>#2314</t>
  </si>
  <si>
    <t>darin alvarez</t>
  </si>
  <si>
    <t>Port Russellstad</t>
  </si>
  <si>
    <t>#2315</t>
  </si>
  <si>
    <t>#2316</t>
  </si>
  <si>
    <t>West Jesseside</t>
  </si>
  <si>
    <t>#2317</t>
  </si>
  <si>
    <t>Katherineborough</t>
  </si>
  <si>
    <t>#2318</t>
  </si>
  <si>
    <t>South Michealfort</t>
  </si>
  <si>
    <t>#2319</t>
  </si>
  <si>
    <t>$27.98</t>
  </si>
  <si>
    <t>Andreastad</t>
  </si>
  <si>
    <t>#2320</t>
  </si>
  <si>
    <t>Yangburgh</t>
  </si>
  <si>
    <t>#2321</t>
  </si>
  <si>
    <t>New Keith</t>
  </si>
  <si>
    <t>#2322</t>
  </si>
  <si>
    <t>Scottfort</t>
  </si>
  <si>
    <t>#2323</t>
  </si>
  <si>
    <t>Edwardside</t>
  </si>
  <si>
    <t>#2324</t>
  </si>
  <si>
    <t>Lake Steven</t>
  </si>
  <si>
    <t>#2325</t>
  </si>
  <si>
    <t>West Cole</t>
  </si>
  <si>
    <t>#2326</t>
  </si>
  <si>
    <t>New Darius</t>
  </si>
  <si>
    <t>#2327</t>
  </si>
  <si>
    <t>Lake Yolandatown</t>
  </si>
  <si>
    <t>#2328</t>
  </si>
  <si>
    <t>$30.48</t>
  </si>
  <si>
    <t>South Holly</t>
  </si>
  <si>
    <t>#2329</t>
  </si>
  <si>
    <t>#2330</t>
  </si>
  <si>
    <t>Rossland</t>
  </si>
  <si>
    <t>#2331</t>
  </si>
  <si>
    <t>East Rhonda</t>
  </si>
  <si>
    <t>#2332</t>
  </si>
  <si>
    <t>Robert Clark</t>
  </si>
  <si>
    <t>robert.clark185@icloud.com</t>
  </si>
  <si>
    <t>Garciaborough</t>
  </si>
  <si>
    <t>#2333</t>
  </si>
  <si>
    <t>Lake Jasmine</t>
  </si>
  <si>
    <t>#2334</t>
  </si>
  <si>
    <t>Lake Claudiastad</t>
  </si>
  <si>
    <t>#2335</t>
  </si>
  <si>
    <t>Rileyborough</t>
  </si>
  <si>
    <t>#2336</t>
  </si>
  <si>
    <t>Lake Josephborough</t>
  </si>
  <si>
    <t>#2337</t>
  </si>
  <si>
    <t>Jennifer Willis</t>
  </si>
  <si>
    <t>North Nicolefurt</t>
  </si>
  <si>
    <t>#2338</t>
  </si>
  <si>
    <t>East Donaldfort</t>
  </si>
  <si>
    <t>#2339</t>
  </si>
  <si>
    <t>Elizabethville</t>
  </si>
  <si>
    <t>#2340</t>
  </si>
  <si>
    <t>Joshua Ayers</t>
  </si>
  <si>
    <t>joshua.ayers935@yahoo.com</t>
  </si>
  <si>
    <t>South Loganbury</t>
  </si>
  <si>
    <t>#2341</t>
  </si>
  <si>
    <t>#2342</t>
  </si>
  <si>
    <t>West Paulamouth</t>
  </si>
  <si>
    <t>#2343</t>
  </si>
  <si>
    <t>Rasmussenbury</t>
  </si>
  <si>
    <t>#2344</t>
  </si>
  <si>
    <t>#2345</t>
  </si>
  <si>
    <t>South Erik</t>
  </si>
  <si>
    <t>#2346</t>
  </si>
  <si>
    <t>Maldonado, Timothy</t>
  </si>
  <si>
    <t>West Jamie</t>
  </si>
  <si>
    <t>#2347</t>
  </si>
  <si>
    <t>Andersonstad</t>
  </si>
  <si>
    <t>#2348</t>
  </si>
  <si>
    <t>Susanbury</t>
  </si>
  <si>
    <t>#2349</t>
  </si>
  <si>
    <t>Nealtown</t>
  </si>
  <si>
    <t>#2350</t>
  </si>
  <si>
    <t>Silvaside</t>
  </si>
  <si>
    <t>#2351</t>
  </si>
  <si>
    <t>$1.00</t>
  </si>
  <si>
    <t>Lisaton</t>
  </si>
  <si>
    <t>#2352</t>
  </si>
  <si>
    <t>Ianberg</t>
  </si>
  <si>
    <t>#2353</t>
  </si>
  <si>
    <t>East Desiree</t>
  </si>
  <si>
    <t>#2354</t>
  </si>
  <si>
    <t>Racheltown</t>
  </si>
  <si>
    <t>#2355</t>
  </si>
  <si>
    <t>Thomas Hall</t>
  </si>
  <si>
    <t>thomas.hall134@gmail.com</t>
  </si>
  <si>
    <t>$20.28</t>
  </si>
  <si>
    <t>Wilsonborough</t>
  </si>
  <si>
    <t>#2356</t>
  </si>
  <si>
    <t>Joanne Perez</t>
  </si>
  <si>
    <t>joanne.perez120@gmail.com</t>
  </si>
  <si>
    <t>South Tammieborough</t>
  </si>
  <si>
    <t>#2357</t>
  </si>
  <si>
    <t>Frederickbury</t>
  </si>
  <si>
    <t>#2358</t>
  </si>
  <si>
    <t>Robert Ramsey</t>
  </si>
  <si>
    <t>robert.ramsey440@outlook.com</t>
  </si>
  <si>
    <t>Robinsonton</t>
  </si>
  <si>
    <t>#2359</t>
  </si>
  <si>
    <t>Paul Hopkins</t>
  </si>
  <si>
    <t>paul.hopkins457@yahoo.com</t>
  </si>
  <si>
    <t>#2360</t>
  </si>
  <si>
    <t>Wesleymouth</t>
  </si>
  <si>
    <t>#2361</t>
  </si>
  <si>
    <t>New Steven</t>
  </si>
  <si>
    <t>#2362</t>
  </si>
  <si>
    <t>West Beth</t>
  </si>
  <si>
    <t>#2363</t>
  </si>
  <si>
    <t>Rebeccaton</t>
  </si>
  <si>
    <t>#2364</t>
  </si>
  <si>
    <t>New Alyssa</t>
  </si>
  <si>
    <t>#2365</t>
  </si>
  <si>
    <t>Lake Charlesview</t>
  </si>
  <si>
    <t>#2366</t>
  </si>
  <si>
    <t>Lake Amanda</t>
  </si>
  <si>
    <t>#2367</t>
  </si>
  <si>
    <t>CATHERINE VANG</t>
  </si>
  <si>
    <t>catherine.vang600@yahoo.com</t>
  </si>
  <si>
    <t>Brittneychester</t>
  </si>
  <si>
    <t>#2368</t>
  </si>
  <si>
    <t>South Marciafurt</t>
  </si>
  <si>
    <t>#2369</t>
  </si>
  <si>
    <t>#2370</t>
  </si>
  <si>
    <t>East Jamesshire</t>
  </si>
  <si>
    <t>#2371</t>
  </si>
  <si>
    <t>North Nicholasport</t>
  </si>
  <si>
    <t>#2372</t>
  </si>
  <si>
    <t>Lisa Cook</t>
  </si>
  <si>
    <t>lisa.cook622@gmail.com</t>
  </si>
  <si>
    <t>#2373</t>
  </si>
  <si>
    <t>#2374</t>
  </si>
  <si>
    <t>$34.32</t>
  </si>
  <si>
    <t>New Jacqueline</t>
  </si>
  <si>
    <t>#2375</t>
  </si>
  <si>
    <t>#2376</t>
  </si>
  <si>
    <t>Teresa Campbell</t>
  </si>
  <si>
    <t>teresa.campbell610@icloud.com</t>
  </si>
  <si>
    <t>Burkemouth</t>
  </si>
  <si>
    <t>#2377</t>
  </si>
  <si>
    <t>Brenda Perez</t>
  </si>
  <si>
    <t>brenda.perez884@outlook.com</t>
  </si>
  <si>
    <t>Singhtown</t>
  </si>
  <si>
    <t>#2378</t>
  </si>
  <si>
    <t>Turnerchester</t>
  </si>
  <si>
    <t>#2379</t>
  </si>
  <si>
    <t>Danielle Thornton</t>
  </si>
  <si>
    <t>West Tamara</t>
  </si>
  <si>
    <t>#2380</t>
  </si>
  <si>
    <t>Tinachester</t>
  </si>
  <si>
    <t>#2381</t>
  </si>
  <si>
    <t>Kingmouth</t>
  </si>
  <si>
    <t>#2382</t>
  </si>
  <si>
    <t>Port Bradhaven</t>
  </si>
  <si>
    <t>#2383</t>
  </si>
  <si>
    <t>Johntown</t>
  </si>
  <si>
    <t>#2384</t>
  </si>
  <si>
    <t>New Patrick</t>
  </si>
  <si>
    <t>#2385</t>
  </si>
  <si>
    <t>Lake Nancyside</t>
  </si>
  <si>
    <t>#2386</t>
  </si>
  <si>
    <t>West Katherine</t>
  </si>
  <si>
    <t>#2387</t>
  </si>
  <si>
    <t>Guzmanfort</t>
  </si>
  <si>
    <t>#2388</t>
  </si>
  <si>
    <t>New Crystalside</t>
  </si>
  <si>
    <t>#2389</t>
  </si>
  <si>
    <t>#2390</t>
  </si>
  <si>
    <t>Richardton</t>
  </si>
  <si>
    <t>#2391</t>
  </si>
  <si>
    <t>West Shelbytown</t>
  </si>
  <si>
    <t>#2392</t>
  </si>
  <si>
    <t>Gabrielbury</t>
  </si>
  <si>
    <t>#2393</t>
  </si>
  <si>
    <t>BRYAN BARNES</t>
  </si>
  <si>
    <t>bryan.barnes666@yahoo.com</t>
  </si>
  <si>
    <t>South Angel</t>
  </si>
  <si>
    <t>#2394</t>
  </si>
  <si>
    <t>$8.40</t>
  </si>
  <si>
    <t>$52.57</t>
  </si>
  <si>
    <t>North Isabellamouth</t>
  </si>
  <si>
    <t>#2395</t>
  </si>
  <si>
    <t>Christinachester</t>
  </si>
  <si>
    <t>#2396</t>
  </si>
  <si>
    <t>Lake Meganland</t>
  </si>
  <si>
    <t>#2397</t>
  </si>
  <si>
    <t>Alexandraport</t>
  </si>
  <si>
    <t>#2398</t>
  </si>
  <si>
    <t>Lake Devinstad</t>
  </si>
  <si>
    <t>#2399</t>
  </si>
  <si>
    <t>$49.31</t>
  </si>
  <si>
    <t>Port Marvinport</t>
  </si>
  <si>
    <t>#2400</t>
  </si>
  <si>
    <t>#2401</t>
  </si>
  <si>
    <t>Patrick Evans</t>
  </si>
  <si>
    <t>patrick.evans152@icloud.com</t>
  </si>
  <si>
    <t>Lake Pamelaport</t>
  </si>
  <si>
    <t>#2402</t>
  </si>
  <si>
    <t>Lake Mariatown</t>
  </si>
  <si>
    <t>#2403</t>
  </si>
  <si>
    <t>Hansenmouth</t>
  </si>
  <si>
    <t>#2404</t>
  </si>
  <si>
    <t>$7.00</t>
  </si>
  <si>
    <t>Roberthaven</t>
  </si>
  <si>
    <t>#2405</t>
  </si>
  <si>
    <t>#2406</t>
  </si>
  <si>
    <t>Lake Alexanderfort</t>
  </si>
  <si>
    <t>#2407</t>
  </si>
  <si>
    <t>West Richardland</t>
  </si>
  <si>
    <t>#2408</t>
  </si>
  <si>
    <t>Grantshire</t>
  </si>
  <si>
    <t>#2409</t>
  </si>
  <si>
    <t xml:space="preserve">  Charles Franco</t>
  </si>
  <si>
    <t>#2410</t>
  </si>
  <si>
    <t>Port Jose</t>
  </si>
  <si>
    <t>#2411</t>
  </si>
  <si>
    <t xml:space="preserve">  Cheryl Coleman</t>
  </si>
  <si>
    <t>West Jasonborough</t>
  </si>
  <si>
    <t>#2412</t>
  </si>
  <si>
    <t>Veronicashire</t>
  </si>
  <si>
    <t>#2413</t>
  </si>
  <si>
    <t>Greerhaven</t>
  </si>
  <si>
    <t>#2414</t>
  </si>
  <si>
    <t>Janetton</t>
  </si>
  <si>
    <t>#2415</t>
  </si>
  <si>
    <t>Stephaniebury</t>
  </si>
  <si>
    <t>#2416</t>
  </si>
  <si>
    <t>East Robertburgh</t>
  </si>
  <si>
    <t>#2417</t>
  </si>
  <si>
    <t>Jeremyfort</t>
  </si>
  <si>
    <t>#2418</t>
  </si>
  <si>
    <t>Jenningsborough</t>
  </si>
  <si>
    <t>#2419</t>
  </si>
  <si>
    <t>Hardymouth</t>
  </si>
  <si>
    <t>#2420</t>
  </si>
  <si>
    <t>Myerschester</t>
  </si>
  <si>
    <t>#2421</t>
  </si>
  <si>
    <t>Bradleyview</t>
  </si>
  <si>
    <t>#2422</t>
  </si>
  <si>
    <t>Michaelberg</t>
  </si>
  <si>
    <t>#2423</t>
  </si>
  <si>
    <t>Washingtonburgh</t>
  </si>
  <si>
    <t>#2424</t>
  </si>
  <si>
    <t>Matthewland</t>
  </si>
  <si>
    <t>#2425</t>
  </si>
  <si>
    <t>Floresfort</t>
  </si>
  <si>
    <t>#2426</t>
  </si>
  <si>
    <t>#2427</t>
  </si>
  <si>
    <t>South Garyside</t>
  </si>
  <si>
    <t>#2428</t>
  </si>
  <si>
    <t>Jessicafort</t>
  </si>
  <si>
    <t>#2429</t>
  </si>
  <si>
    <t>Elizabethborough</t>
  </si>
  <si>
    <t>#2430</t>
  </si>
  <si>
    <t>South Andreastad</t>
  </si>
  <si>
    <t>#2431</t>
  </si>
  <si>
    <t>$20.23</t>
  </si>
  <si>
    <t>West Jennifer</t>
  </si>
  <si>
    <t>#2432</t>
  </si>
  <si>
    <t>$2.55</t>
  </si>
  <si>
    <t>Port Michaelton</t>
  </si>
  <si>
    <t>#2433</t>
  </si>
  <si>
    <t>Luisville</t>
  </si>
  <si>
    <t>#2434</t>
  </si>
  <si>
    <t>New Rogerside</t>
  </si>
  <si>
    <t>#2435</t>
  </si>
  <si>
    <t>Shannonport</t>
  </si>
  <si>
    <t>#2436</t>
  </si>
  <si>
    <t>David Fleming</t>
  </si>
  <si>
    <t>david.fleming778@gmail.com</t>
  </si>
  <si>
    <t>Port Dustin</t>
  </si>
  <si>
    <t>#2437</t>
  </si>
  <si>
    <t>Lake Ianmouth</t>
  </si>
  <si>
    <t>#2438</t>
  </si>
  <si>
    <t>#2439</t>
  </si>
  <si>
    <t>Russell Walton</t>
  </si>
  <si>
    <t>#2440</t>
  </si>
  <si>
    <t>#2441</t>
  </si>
  <si>
    <t>Delgadobury</t>
  </si>
  <si>
    <t>#2442</t>
  </si>
  <si>
    <t>Martinezshire</t>
  </si>
  <si>
    <t>#2443</t>
  </si>
  <si>
    <t>$40.98</t>
  </si>
  <si>
    <t>South Patriciastad</t>
  </si>
  <si>
    <t>#2444</t>
  </si>
  <si>
    <t>South Justinland</t>
  </si>
  <si>
    <t>#2445</t>
  </si>
  <si>
    <t>Thomasbury</t>
  </si>
  <si>
    <t>#2446</t>
  </si>
  <si>
    <t>$13.50</t>
  </si>
  <si>
    <t>East Edwardburgh</t>
  </si>
  <si>
    <t>#2447</t>
  </si>
  <si>
    <t>Lake Tamarahaven</t>
  </si>
  <si>
    <t>#2448</t>
  </si>
  <si>
    <t>peter alvarez</t>
  </si>
  <si>
    <t>South Kelly</t>
  </si>
  <si>
    <t>#2449</t>
  </si>
  <si>
    <t>Jennyburgh</t>
  </si>
  <si>
    <t>#2450</t>
  </si>
  <si>
    <t>Rebeccamouth</t>
  </si>
  <si>
    <t>#2451</t>
  </si>
  <si>
    <t>$33.77</t>
  </si>
  <si>
    <t>South Nathanville</t>
  </si>
  <si>
    <t>#2452</t>
  </si>
  <si>
    <t>andrea.gallegos495@gmail.com</t>
  </si>
  <si>
    <t>New Eric</t>
  </si>
  <si>
    <t>#2453</t>
  </si>
  <si>
    <t>Williams, Cynthia</t>
  </si>
  <si>
    <t>$50.47</t>
  </si>
  <si>
    <t>Hectorville</t>
  </si>
  <si>
    <t>#2454</t>
  </si>
  <si>
    <t>North Evelyn</t>
  </si>
  <si>
    <t>#2455</t>
  </si>
  <si>
    <t>East Kenneth</t>
  </si>
  <si>
    <t>#2456</t>
  </si>
  <si>
    <t>East Miranda</t>
  </si>
  <si>
    <t>#2457</t>
  </si>
  <si>
    <t>East Andrea</t>
  </si>
  <si>
    <t>#2458</t>
  </si>
  <si>
    <t>New Kevinborough</t>
  </si>
  <si>
    <t>#2459</t>
  </si>
  <si>
    <t>North Patriciaton</t>
  </si>
  <si>
    <t>#2460</t>
  </si>
  <si>
    <t>East Darryl</t>
  </si>
  <si>
    <t>#2461</t>
  </si>
  <si>
    <t>Pearsonchester</t>
  </si>
  <si>
    <t>#2462</t>
  </si>
  <si>
    <t>Warrenfurt</t>
  </si>
  <si>
    <t>#2463</t>
  </si>
  <si>
    <t>New Anne</t>
  </si>
  <si>
    <t>#2464</t>
  </si>
  <si>
    <t>West Tiffanyfurt</t>
  </si>
  <si>
    <t>#2465</t>
  </si>
  <si>
    <t>Wayneside</t>
  </si>
  <si>
    <t>#2466</t>
  </si>
  <si>
    <t>Port Haydentown</t>
  </si>
  <si>
    <t>#2467</t>
  </si>
  <si>
    <t>#2468</t>
  </si>
  <si>
    <t>East Anthony</t>
  </si>
  <si>
    <t>#2469</t>
  </si>
  <si>
    <t>Davishaven</t>
  </si>
  <si>
    <t>#2470</t>
  </si>
  <si>
    <t>Bryan Barnes</t>
  </si>
  <si>
    <t>East Daniel</t>
  </si>
  <si>
    <t>#2471</t>
  </si>
  <si>
    <t>Michelleborough</t>
  </si>
  <si>
    <t>#2472</t>
  </si>
  <si>
    <t>East Jason</t>
  </si>
  <si>
    <t>#2473</t>
  </si>
  <si>
    <t>Lake Donna</t>
  </si>
  <si>
    <t>#2474</t>
  </si>
  <si>
    <t>TEST TEST</t>
  </si>
  <si>
    <t>test@test.com</t>
  </si>
  <si>
    <t>Angelamouth</t>
  </si>
  <si>
    <t>#2475</t>
  </si>
  <si>
    <t>Robertton</t>
  </si>
  <si>
    <t>#2476</t>
  </si>
  <si>
    <t>Larryburgh</t>
  </si>
  <si>
    <t>#2477</t>
  </si>
  <si>
    <t>tara jackson</t>
  </si>
  <si>
    <t>Cunninghammouth</t>
  </si>
  <si>
    <t>#2478</t>
  </si>
  <si>
    <t>$3.75</t>
  </si>
  <si>
    <t>Longland</t>
  </si>
  <si>
    <t>#2479</t>
  </si>
  <si>
    <t>North Timothy</t>
  </si>
  <si>
    <t>#2480</t>
  </si>
  <si>
    <t>stacey.johnson444@outlook.com</t>
  </si>
  <si>
    <t>Kimberlyberg</t>
  </si>
  <si>
    <t>#2481</t>
  </si>
  <si>
    <t>veronica.price991@outlook.com</t>
  </si>
  <si>
    <t>Armstrongborough</t>
  </si>
  <si>
    <t>#2482</t>
  </si>
  <si>
    <t>Mclaughlinmouth</t>
  </si>
  <si>
    <t>#2483</t>
  </si>
  <si>
    <t>#2484</t>
  </si>
  <si>
    <t>CORY WALTON</t>
  </si>
  <si>
    <t>cory.walton975@outlook.com</t>
  </si>
  <si>
    <t>Derekville</t>
  </si>
  <si>
    <t>#2485</t>
  </si>
  <si>
    <t>Port Jenniferburgh</t>
  </si>
  <si>
    <t>#2486</t>
  </si>
  <si>
    <t>New Jessicachester</t>
  </si>
  <si>
    <t>#2487</t>
  </si>
  <si>
    <t>Lawrenceshire</t>
  </si>
  <si>
    <t>#2488</t>
  </si>
  <si>
    <t xml:space="preserve">  James Miller</t>
  </si>
  <si>
    <t>New Michelleshire</t>
  </si>
  <si>
    <t>#2489</t>
  </si>
  <si>
    <t>North Carla</t>
  </si>
  <si>
    <t>#2490</t>
  </si>
  <si>
    <t>Luisfort</t>
  </si>
  <si>
    <t>#2491</t>
  </si>
  <si>
    <t>Whitefort</t>
  </si>
  <si>
    <t>#2492</t>
  </si>
  <si>
    <t>Lisa Mckinney</t>
  </si>
  <si>
    <t>lisa.mckinney195@gmail.com</t>
  </si>
  <si>
    <t>West Williamstad</t>
  </si>
  <si>
    <t>#2493</t>
  </si>
  <si>
    <t>South Jesse</t>
  </si>
  <si>
    <t>#2494</t>
  </si>
  <si>
    <t>Tateville</t>
  </si>
  <si>
    <t>#2495</t>
  </si>
  <si>
    <t>Kinghaven</t>
  </si>
  <si>
    <t>#2496</t>
  </si>
  <si>
    <t>Port Kristina</t>
  </si>
  <si>
    <t>#2497</t>
  </si>
  <si>
    <t>$8.75</t>
  </si>
  <si>
    <t>East Brian</t>
  </si>
  <si>
    <t>#2498</t>
  </si>
  <si>
    <t>Cooperchester</t>
  </si>
  <si>
    <t>#2499</t>
  </si>
  <si>
    <t>East Linda</t>
  </si>
  <si>
    <t>#2500</t>
  </si>
  <si>
    <t>kayla lee</t>
  </si>
  <si>
    <t>Duncanport</t>
  </si>
  <si>
    <t>#2501</t>
  </si>
  <si>
    <t>#2502</t>
  </si>
  <si>
    <t>North Benjamintown</t>
  </si>
  <si>
    <t>#2503</t>
  </si>
  <si>
    <t>North Michaelside</t>
  </si>
  <si>
    <t>#2504</t>
  </si>
  <si>
    <t>#2505</t>
  </si>
  <si>
    <t>Nelsontown</t>
  </si>
  <si>
    <t>#2506</t>
  </si>
  <si>
    <t>Ryanshire</t>
  </si>
  <si>
    <t>#2507</t>
  </si>
  <si>
    <t>$2.02</t>
  </si>
  <si>
    <t>#2508</t>
  </si>
  <si>
    <t>West Aaronside</t>
  </si>
  <si>
    <t>#2509</t>
  </si>
  <si>
    <t>#2510</t>
  </si>
  <si>
    <t>Kylie Riddle</t>
  </si>
  <si>
    <t>kylie.riddle17@gmail.com</t>
  </si>
  <si>
    <t>Johnsonburgh</t>
  </si>
  <si>
    <t>#2511</t>
  </si>
  <si>
    <t>Paul Mills</t>
  </si>
  <si>
    <t>paul.mills467@gmail.com</t>
  </si>
  <si>
    <t>West Tabithamouth</t>
  </si>
  <si>
    <t>#2512</t>
  </si>
  <si>
    <t>Higginsborough</t>
  </si>
  <si>
    <t>#2513</t>
  </si>
  <si>
    <t>Eric Santiago</t>
  </si>
  <si>
    <t>eric.santiago110@icloud.com</t>
  </si>
  <si>
    <t>West Devon</t>
  </si>
  <si>
    <t>#2514</t>
  </si>
  <si>
    <t>russell.walton605@icloud.com</t>
  </si>
  <si>
    <t>New Kyle</t>
  </si>
  <si>
    <t>#2515</t>
  </si>
  <si>
    <t>Wilsonburgh</t>
  </si>
  <si>
    <t>#2516</t>
  </si>
  <si>
    <t>Lake Danielbury</t>
  </si>
  <si>
    <t>#2517</t>
  </si>
  <si>
    <t>Andrewmouth</t>
  </si>
  <si>
    <t>#2518</t>
  </si>
  <si>
    <t xml:space="preserve">  John Hoffman</t>
  </si>
  <si>
    <t>#2519</t>
  </si>
  <si>
    <t>NATALIE DIXON</t>
  </si>
  <si>
    <t>Lake Veronica</t>
  </si>
  <si>
    <t>#2520</t>
  </si>
  <si>
    <t>South Johnhaven</t>
  </si>
  <si>
    <t>#2521</t>
  </si>
  <si>
    <t>Frenchbury</t>
  </si>
  <si>
    <t>#2522</t>
  </si>
  <si>
    <t>West Rebecca</t>
  </si>
  <si>
    <t>#2523</t>
  </si>
  <si>
    <t>New Carolyn</t>
  </si>
  <si>
    <t>#2524</t>
  </si>
  <si>
    <t>Robertschester</t>
  </si>
  <si>
    <t>#2525</t>
  </si>
  <si>
    <t>Danielsport</t>
  </si>
  <si>
    <t>#2526</t>
  </si>
  <si>
    <t>West Shaunberg</t>
  </si>
  <si>
    <t>#2527</t>
  </si>
  <si>
    <t>Samuel Snyder</t>
  </si>
  <si>
    <t>samuel.snyder328@icloud.com</t>
  </si>
  <si>
    <t>Myersburgh</t>
  </si>
  <si>
    <t>#2528</t>
  </si>
  <si>
    <t>East Bradleyfurt</t>
  </si>
  <si>
    <t>#2529</t>
  </si>
  <si>
    <t>South Troychester</t>
  </si>
  <si>
    <t>#2530</t>
  </si>
  <si>
    <t>West Dennis</t>
  </si>
  <si>
    <t>#2531</t>
  </si>
  <si>
    <t>West Leslieton</t>
  </si>
  <si>
    <t>#2532</t>
  </si>
  <si>
    <t>West Ebony</t>
  </si>
  <si>
    <t>#2533</t>
  </si>
  <si>
    <t>South Janetport</t>
  </si>
  <si>
    <t>#2534</t>
  </si>
  <si>
    <t>South Hector</t>
  </si>
  <si>
    <t>#2535</t>
  </si>
  <si>
    <t>Stephaniechester</t>
  </si>
  <si>
    <t>#2536</t>
  </si>
  <si>
    <t>Lauraburgh</t>
  </si>
  <si>
    <t>#2537</t>
  </si>
  <si>
    <t>East Joseph</t>
  </si>
  <si>
    <t>#2538</t>
  </si>
  <si>
    <t>New Brandi</t>
  </si>
  <si>
    <t>#2539</t>
  </si>
  <si>
    <t>Lake George</t>
  </si>
  <si>
    <t>#2540</t>
  </si>
  <si>
    <t>Elizabethmouth</t>
  </si>
  <si>
    <t>#2541</t>
  </si>
  <si>
    <t>West Erikabury</t>
  </si>
  <si>
    <t>#2542</t>
  </si>
  <si>
    <t>South Kathleenhaven</t>
  </si>
  <si>
    <t>#2543</t>
  </si>
  <si>
    <t>Brownchester</t>
  </si>
  <si>
    <t>#2544</t>
  </si>
  <si>
    <t>Lake Leah</t>
  </si>
  <si>
    <t>#2545</t>
  </si>
  <si>
    <t>South Savannahton</t>
  </si>
  <si>
    <t>#2546</t>
  </si>
  <si>
    <t>$24.68</t>
  </si>
  <si>
    <t>East Karla</t>
  </si>
  <si>
    <t>#2547</t>
  </si>
  <si>
    <t>Marie Rose</t>
  </si>
  <si>
    <t>North Susan</t>
  </si>
  <si>
    <t>#2548</t>
  </si>
  <si>
    <t>New Melissaview</t>
  </si>
  <si>
    <t>#2549</t>
  </si>
  <si>
    <t>Buchananchester</t>
  </si>
  <si>
    <t>#2550</t>
  </si>
  <si>
    <t>East Stephen</t>
  </si>
  <si>
    <t>#2551</t>
  </si>
  <si>
    <t>Karentown</t>
  </si>
  <si>
    <t>#2552</t>
  </si>
  <si>
    <t>michael jacobson</t>
  </si>
  <si>
    <t>Nathanport</t>
  </si>
  <si>
    <t>#2553</t>
  </si>
  <si>
    <t>Lloydtown</t>
  </si>
  <si>
    <t>#2554</t>
  </si>
  <si>
    <t>Port Davidmouth</t>
  </si>
  <si>
    <t>#2555</t>
  </si>
  <si>
    <t>South Melissamouth</t>
  </si>
  <si>
    <t>#2556</t>
  </si>
  <si>
    <t>Thomasside</t>
  </si>
  <si>
    <t>#2557</t>
  </si>
  <si>
    <t>Caldwellstad</t>
  </si>
  <si>
    <t>#2558</t>
  </si>
  <si>
    <t>North Lauraburgh</t>
  </si>
  <si>
    <t>#2559</t>
  </si>
  <si>
    <t>#2560</t>
  </si>
  <si>
    <t>Dana Davenport</t>
  </si>
  <si>
    <t>dana.davenport907@yahoo.com</t>
  </si>
  <si>
    <t>#2561</t>
  </si>
  <si>
    <t>#2562</t>
  </si>
  <si>
    <t>Lake Angela</t>
  </si>
  <si>
    <t>#2563</t>
  </si>
  <si>
    <t>#2564</t>
  </si>
  <si>
    <t>Jodyport</t>
  </si>
  <si>
    <t>#2565</t>
  </si>
  <si>
    <t>Lukehaven</t>
  </si>
  <si>
    <t>#2566</t>
  </si>
  <si>
    <t>Diane Nunez</t>
  </si>
  <si>
    <t>diane.nunez756@outlook.com</t>
  </si>
  <si>
    <t>Lake Oscarmouth</t>
  </si>
  <si>
    <t>#2567</t>
  </si>
  <si>
    <t>Test Order</t>
  </si>
  <si>
    <t>Elizabethchester</t>
  </si>
  <si>
    <t>#2568</t>
  </si>
  <si>
    <t>East Deborah</t>
  </si>
  <si>
    <t>#2569</t>
  </si>
  <si>
    <t>West Sarahmouth</t>
  </si>
  <si>
    <t>#2570</t>
  </si>
  <si>
    <t>#2571</t>
  </si>
  <si>
    <t>Camposville</t>
  </si>
  <si>
    <t>#2572</t>
  </si>
  <si>
    <t>South Daniel</t>
  </si>
  <si>
    <t>#2573</t>
  </si>
  <si>
    <t>Lake Dillon</t>
  </si>
  <si>
    <t>#2574</t>
  </si>
  <si>
    <t>Teresaberg</t>
  </si>
  <si>
    <t>#2575</t>
  </si>
  <si>
    <t>Craigborough</t>
  </si>
  <si>
    <t>#2576</t>
  </si>
  <si>
    <t>New Courtney</t>
  </si>
  <si>
    <t>#2577</t>
  </si>
  <si>
    <t>Sarahside</t>
  </si>
  <si>
    <t>#2578</t>
  </si>
  <si>
    <t>TYLER WILLIAMS</t>
  </si>
  <si>
    <t>Jackfurt</t>
  </si>
  <si>
    <t>#2579</t>
  </si>
  <si>
    <t>Lake Jason</t>
  </si>
  <si>
    <t>#2580</t>
  </si>
  <si>
    <t>Oliver, Shawn</t>
  </si>
  <si>
    <t>Rivasmouth</t>
  </si>
  <si>
    <t>#2581</t>
  </si>
  <si>
    <t>Campbellmouth</t>
  </si>
  <si>
    <t>#2582</t>
  </si>
  <si>
    <t>East Raymondview</t>
  </si>
  <si>
    <t>#2583</t>
  </si>
  <si>
    <t>Leeview</t>
  </si>
  <si>
    <t>#2584</t>
  </si>
  <si>
    <t>Robin Ruiz</t>
  </si>
  <si>
    <t>robin.ruiz407@yahoo.com</t>
  </si>
  <si>
    <t>Hernandezchester</t>
  </si>
  <si>
    <t>#2585</t>
  </si>
  <si>
    <t>Rachelfort</t>
  </si>
  <si>
    <t>#2586</t>
  </si>
  <si>
    <t>West Dale</t>
  </si>
  <si>
    <t>#2587</t>
  </si>
  <si>
    <t>RONNIE JOHNSON</t>
  </si>
  <si>
    <t>ronnie.johnson454@outlook.com</t>
  </si>
  <si>
    <t>Patrickshire</t>
  </si>
  <si>
    <t>#2588</t>
  </si>
  <si>
    <t>Port Jackville</t>
  </si>
  <si>
    <t>#2589</t>
  </si>
  <si>
    <t>Manntown</t>
  </si>
  <si>
    <t>#2590</t>
  </si>
  <si>
    <t>West Howardland</t>
  </si>
  <si>
    <t>#2591</t>
  </si>
  <si>
    <t>Gonzalezmouth</t>
  </si>
  <si>
    <t>#2592</t>
  </si>
  <si>
    <t>Riceborough</t>
  </si>
  <si>
    <t>#2593</t>
  </si>
  <si>
    <t>Marystad</t>
  </si>
  <si>
    <t>#2594</t>
  </si>
  <si>
    <t>Lake Daniellechester</t>
  </si>
  <si>
    <t>#2595</t>
  </si>
  <si>
    <t>New Malloryburgh</t>
  </si>
  <si>
    <t>#2596</t>
  </si>
  <si>
    <t>#2597</t>
  </si>
  <si>
    <t>Joe Duran</t>
  </si>
  <si>
    <t>joe.duran923@icloud.com</t>
  </si>
  <si>
    <t>Mcclainfurt</t>
  </si>
  <si>
    <t>#2598</t>
  </si>
  <si>
    <t>Bergville</t>
  </si>
  <si>
    <t>#2599</t>
  </si>
  <si>
    <t>#2600</t>
  </si>
  <si>
    <t>New Shawn</t>
  </si>
  <si>
    <t>#2601</t>
  </si>
  <si>
    <t>Austinborough</t>
  </si>
  <si>
    <t>#2602</t>
  </si>
  <si>
    <t>East Leah</t>
  </si>
  <si>
    <t>#2603</t>
  </si>
  <si>
    <t>#2604</t>
  </si>
  <si>
    <t>Parkerstad</t>
  </si>
  <si>
    <t>#2605</t>
  </si>
  <si>
    <t>brooke crawford</t>
  </si>
  <si>
    <t>Samanthastad</t>
  </si>
  <si>
    <t>#2606</t>
  </si>
  <si>
    <t>New Joyce</t>
  </si>
  <si>
    <t>#2607</t>
  </si>
  <si>
    <t>Chelseyhaven</t>
  </si>
  <si>
    <t>#2608</t>
  </si>
  <si>
    <t>Perez, Joanne</t>
  </si>
  <si>
    <t>Rossville</t>
  </si>
  <si>
    <t>#2609</t>
  </si>
  <si>
    <t>West Carly</t>
  </si>
  <si>
    <t>#2610</t>
  </si>
  <si>
    <t>South Roy</t>
  </si>
  <si>
    <t>#2611</t>
  </si>
  <si>
    <t>New Michaelmouth</t>
  </si>
  <si>
    <t>#2612</t>
  </si>
  <si>
    <t>North Laurenville</t>
  </si>
  <si>
    <t>#2613</t>
  </si>
  <si>
    <t>laura pruitt</t>
  </si>
  <si>
    <t>Gutierrezstad</t>
  </si>
  <si>
    <t>#2614</t>
  </si>
  <si>
    <t>South Douglas</t>
  </si>
  <si>
    <t>#2615</t>
  </si>
  <si>
    <t>Lake Jeremiah</t>
  </si>
  <si>
    <t>#2616</t>
  </si>
  <si>
    <t>North Andrewshire</t>
  </si>
  <si>
    <t>#2617</t>
  </si>
  <si>
    <t>Blevinsborough</t>
  </si>
  <si>
    <t>#2618</t>
  </si>
  <si>
    <t>Harrisfurt</t>
  </si>
  <si>
    <t>#2619</t>
  </si>
  <si>
    <t>Reedtown</t>
  </si>
  <si>
    <t>#2620</t>
  </si>
  <si>
    <t>Lake Lori</t>
  </si>
  <si>
    <t>#2621</t>
  </si>
  <si>
    <t>South Jamesview</t>
  </si>
  <si>
    <t>#2622</t>
  </si>
  <si>
    <t>Lake Nancyberg</t>
  </si>
  <si>
    <t>#2623</t>
  </si>
  <si>
    <t>Snyderside</t>
  </si>
  <si>
    <t>#2624</t>
  </si>
  <si>
    <t>Sheltonfurt</t>
  </si>
  <si>
    <t>#2625</t>
  </si>
  <si>
    <t>NICHOLAS PARKER</t>
  </si>
  <si>
    <t>#2626</t>
  </si>
  <si>
    <t>Port Ashleyview</t>
  </si>
  <si>
    <t>#2627</t>
  </si>
  <si>
    <t>Taylorton</t>
  </si>
  <si>
    <t>#2628</t>
  </si>
  <si>
    <t>Jillmouth</t>
  </si>
  <si>
    <t>#2629</t>
  </si>
  <si>
    <t>North Kevinbury</t>
  </si>
  <si>
    <t>#2630</t>
  </si>
  <si>
    <t>New Andrea</t>
  </si>
  <si>
    <t>#2631</t>
  </si>
  <si>
    <t>Heathtown</t>
  </si>
  <si>
    <t>#2632</t>
  </si>
  <si>
    <t>New Melinda</t>
  </si>
  <si>
    <t>#2633</t>
  </si>
  <si>
    <t>New Meghanhaven</t>
  </si>
  <si>
    <t>#2634</t>
  </si>
  <si>
    <t>East Gwendolynport</t>
  </si>
  <si>
    <t>#2635</t>
  </si>
  <si>
    <t>Port Ethan</t>
  </si>
  <si>
    <t>#2636</t>
  </si>
  <si>
    <t>Gutierrezville</t>
  </si>
  <si>
    <t>#2637</t>
  </si>
  <si>
    <t>North Brittanyville</t>
  </si>
  <si>
    <t>#2638</t>
  </si>
  <si>
    <t>South Bobberg</t>
  </si>
  <si>
    <t>#2639</t>
  </si>
  <si>
    <t>Port Natalieport</t>
  </si>
  <si>
    <t>#2640</t>
  </si>
  <si>
    <t>East Faith</t>
  </si>
  <si>
    <t>#2641</t>
  </si>
  <si>
    <t>Port Heathertown</t>
  </si>
  <si>
    <t>#2642</t>
  </si>
  <si>
    <t>Marshberg</t>
  </si>
  <si>
    <t>#2643</t>
  </si>
  <si>
    <t>#2644</t>
  </si>
  <si>
    <t>West Ashleyside</t>
  </si>
  <si>
    <t>#2645</t>
  </si>
  <si>
    <t>South Carlberg</t>
  </si>
  <si>
    <t>#2646</t>
  </si>
  <si>
    <t>South Juanview</t>
  </si>
  <si>
    <t>#2647</t>
  </si>
  <si>
    <t>West Ianmouth</t>
  </si>
  <si>
    <t>#2648</t>
  </si>
  <si>
    <t>Eugenefurt</t>
  </si>
  <si>
    <t>#2649</t>
  </si>
  <si>
    <t>Kimberly Mitchell</t>
  </si>
  <si>
    <t>kimberly.mitchell299@gmail.com</t>
  </si>
  <si>
    <t>Garyton</t>
  </si>
  <si>
    <t>#2650</t>
  </si>
  <si>
    <t>Sullivanhaven</t>
  </si>
  <si>
    <t>#2651</t>
  </si>
  <si>
    <t>Haley Glover</t>
  </si>
  <si>
    <t>haley.glover361@yahoo.com</t>
  </si>
  <si>
    <t>Markside</t>
  </si>
  <si>
    <t>#2652</t>
  </si>
  <si>
    <t>South Juliafort</t>
  </si>
  <si>
    <t>#2653</t>
  </si>
  <si>
    <t>Georgemouth</t>
  </si>
  <si>
    <t>#2654</t>
  </si>
  <si>
    <t>Amy Thompson</t>
  </si>
  <si>
    <t>amy.thompson410@outlook.com</t>
  </si>
  <si>
    <t>Aguilarmouth</t>
  </si>
  <si>
    <t>#2655</t>
  </si>
  <si>
    <t>West Anthony</t>
  </si>
  <si>
    <t>#2656</t>
  </si>
  <si>
    <t>Lake Brittneyton</t>
  </si>
  <si>
    <t>#2657</t>
  </si>
  <si>
    <t>Kristiberg</t>
  </si>
  <si>
    <t>#2658</t>
  </si>
  <si>
    <t>#2659</t>
  </si>
  <si>
    <t>#2660</t>
  </si>
  <si>
    <t>Patriciaside</t>
  </si>
  <si>
    <t>#2661</t>
  </si>
  <si>
    <t>Weaverborough</t>
  </si>
  <si>
    <t>#2662</t>
  </si>
  <si>
    <t>Perkinsville</t>
  </si>
  <si>
    <t>#2663</t>
  </si>
  <si>
    <t xml:space="preserve">  Dustin Griffin</t>
  </si>
  <si>
    <t>#2664</t>
  </si>
  <si>
    <t>Michelleland</t>
  </si>
  <si>
    <t>#2665</t>
  </si>
  <si>
    <t>West Christopherberg</t>
  </si>
  <si>
    <t>#2666</t>
  </si>
  <si>
    <t>Port Jasminefort</t>
  </si>
  <si>
    <t>#2667</t>
  </si>
  <si>
    <t>Gibbsbury</t>
  </si>
  <si>
    <t>#2668</t>
  </si>
  <si>
    <t>South Sabrinatown</t>
  </si>
  <si>
    <t>#2669</t>
  </si>
  <si>
    <t>Lake Mark</t>
  </si>
  <si>
    <t>#2670</t>
  </si>
  <si>
    <t>New Franciscoshire</t>
  </si>
  <si>
    <t>#2671</t>
  </si>
  <si>
    <t>#2672</t>
  </si>
  <si>
    <t>New Robertchester</t>
  </si>
  <si>
    <t>#2673</t>
  </si>
  <si>
    <t>Catherine Vang</t>
  </si>
  <si>
    <t>#2674</t>
  </si>
  <si>
    <t>Jonathanville</t>
  </si>
  <si>
    <t>#2675</t>
  </si>
  <si>
    <t>South Julie</t>
  </si>
  <si>
    <t>#2676</t>
  </si>
  <si>
    <t>Luisbury</t>
  </si>
  <si>
    <t>#2677</t>
  </si>
  <si>
    <t>DEREK RICHARDSON</t>
  </si>
  <si>
    <t>derek.richardson414@outlook.com</t>
  </si>
  <si>
    <t>South Raymond</t>
  </si>
  <si>
    <t>#2678</t>
  </si>
  <si>
    <t>New Gordon</t>
  </si>
  <si>
    <t>#2679</t>
  </si>
  <si>
    <t>West Ryanville</t>
  </si>
  <si>
    <t>#2680</t>
  </si>
  <si>
    <t>james castro</t>
  </si>
  <si>
    <t>South Manuel</t>
  </si>
  <si>
    <t>#2681</t>
  </si>
  <si>
    <t>bradley.farmer290@icloud.com</t>
  </si>
  <si>
    <t>Kimberlyview</t>
  </si>
  <si>
    <t>#2682</t>
  </si>
  <si>
    <t>Port Deborahchester</t>
  </si>
  <si>
    <t>#2683</t>
  </si>
  <si>
    <t>$60.98</t>
  </si>
  <si>
    <t>Michelleview</t>
  </si>
  <si>
    <t>#2684</t>
  </si>
  <si>
    <t xml:space="preserve">  Linda Byrd</t>
  </si>
  <si>
    <t>Lake Christopherberg</t>
  </si>
  <si>
    <t>#2685</t>
  </si>
  <si>
    <t>#2686</t>
  </si>
  <si>
    <t>erika maxwell</t>
  </si>
  <si>
    <t>Wilsonview</t>
  </si>
  <si>
    <t>#2687</t>
  </si>
  <si>
    <t>Patrickmouth</t>
  </si>
  <si>
    <t>#2688</t>
  </si>
  <si>
    <t>Smithview</t>
  </si>
  <si>
    <t>#2689</t>
  </si>
  <si>
    <t>Sarabury</t>
  </si>
  <si>
    <t>#2690</t>
  </si>
  <si>
    <t>Andrewton</t>
  </si>
  <si>
    <t>#2691</t>
  </si>
  <si>
    <t>$1.50</t>
  </si>
  <si>
    <t>Veronicaborough</t>
  </si>
  <si>
    <t>#2692</t>
  </si>
  <si>
    <t>New Sarahfurt</t>
  </si>
  <si>
    <t>#2693</t>
  </si>
  <si>
    <t>Glennmouth</t>
  </si>
  <si>
    <t>#2694</t>
  </si>
  <si>
    <t>North Rogerberg</t>
  </si>
  <si>
    <t>#2695</t>
  </si>
  <si>
    <t>Alimouth</t>
  </si>
  <si>
    <t>#2696</t>
  </si>
  <si>
    <t>New Brandon</t>
  </si>
  <si>
    <t>#2697</t>
  </si>
  <si>
    <t>West Melissa</t>
  </si>
  <si>
    <t>#2698</t>
  </si>
  <si>
    <t>New Michael</t>
  </si>
  <si>
    <t>#2699</t>
  </si>
  <si>
    <t>New Madison</t>
  </si>
  <si>
    <t>#2700</t>
  </si>
  <si>
    <t>Markbury</t>
  </si>
  <si>
    <t>#2701</t>
  </si>
  <si>
    <t>Kennethshire</t>
  </si>
  <si>
    <t>#2702</t>
  </si>
  <si>
    <t>North Karenchester</t>
  </si>
  <si>
    <t>#2703</t>
  </si>
  <si>
    <t>East Catherinechester</t>
  </si>
  <si>
    <t>#2704</t>
  </si>
  <si>
    <t>East Annaville</t>
  </si>
  <si>
    <t>#2705</t>
  </si>
  <si>
    <t>Castillostad</t>
  </si>
  <si>
    <t>#2706</t>
  </si>
  <si>
    <t>Matthewfurt</t>
  </si>
  <si>
    <t>#2707</t>
  </si>
  <si>
    <t>Lauren Williams</t>
  </si>
  <si>
    <t>lauren.williams316@icloud.com</t>
  </si>
  <si>
    <t>Amandachester</t>
  </si>
  <si>
    <t>#2708</t>
  </si>
  <si>
    <t>Watershaven</t>
  </si>
  <si>
    <t>#2709</t>
  </si>
  <si>
    <t>Port Sherry</t>
  </si>
  <si>
    <t>#2710</t>
  </si>
  <si>
    <t>West Nicholastown</t>
  </si>
  <si>
    <t>#2711</t>
  </si>
  <si>
    <t>North Andrewmouth</t>
  </si>
  <si>
    <t>#2712</t>
  </si>
  <si>
    <t>East Christine</t>
  </si>
  <si>
    <t>#2713</t>
  </si>
  <si>
    <t>Carmenland</t>
  </si>
  <si>
    <t>#2714</t>
  </si>
  <si>
    <t>South Edwardtown</t>
  </si>
  <si>
    <t>#2715</t>
  </si>
  <si>
    <t>Adamston</t>
  </si>
  <si>
    <t>#2716</t>
  </si>
  <si>
    <t>North Kari</t>
  </si>
  <si>
    <t>#2717</t>
  </si>
  <si>
    <t>Milesberg</t>
  </si>
  <si>
    <t>#2718</t>
  </si>
  <si>
    <t>North Patricialand</t>
  </si>
  <si>
    <t>#2719</t>
  </si>
  <si>
    <t>Burnshaven</t>
  </si>
  <si>
    <t>#2720</t>
  </si>
  <si>
    <t>Christopherburgh</t>
  </si>
  <si>
    <t>#2721</t>
  </si>
  <si>
    <t>$3.00</t>
  </si>
  <si>
    <t>Hendersonview</t>
  </si>
  <si>
    <t>#2722</t>
  </si>
  <si>
    <t>Petersonhaven</t>
  </si>
  <si>
    <t>#2723</t>
  </si>
  <si>
    <t>Laura Johnson</t>
  </si>
  <si>
    <t>laura.johnson708@outlook.com</t>
  </si>
  <si>
    <t>Jessicatown</t>
  </si>
  <si>
    <t>#2724</t>
  </si>
  <si>
    <t>New Hectormouth</t>
  </si>
  <si>
    <t>#2725</t>
  </si>
  <si>
    <t>Jennifer Lee</t>
  </si>
  <si>
    <t>jennifer.lee321@icloud.com</t>
  </si>
  <si>
    <t>Garciamouth</t>
  </si>
  <si>
    <t>#2726</t>
  </si>
  <si>
    <t xml:space="preserve">  Sandra Potter</t>
  </si>
  <si>
    <t>Reeseport</t>
  </si>
  <si>
    <t>#2727</t>
  </si>
  <si>
    <t>East Joseview</t>
  </si>
  <si>
    <t>#2728</t>
  </si>
  <si>
    <t>Darrylfort</t>
  </si>
  <si>
    <t>#2729</t>
  </si>
  <si>
    <t>New Deanna</t>
  </si>
  <si>
    <t>#2730</t>
  </si>
  <si>
    <t>Melaniehaven</t>
  </si>
  <si>
    <t>#2731</t>
  </si>
  <si>
    <t>Batesborough</t>
  </si>
  <si>
    <t>#2732</t>
  </si>
  <si>
    <t>Jacksonfurt</t>
  </si>
  <si>
    <t>#2733</t>
  </si>
  <si>
    <t>Angela Martin</t>
  </si>
  <si>
    <t>Garciaville</t>
  </si>
  <si>
    <t>#2734</t>
  </si>
  <si>
    <t>Timothyshire</t>
  </si>
  <si>
    <t>#2735</t>
  </si>
  <si>
    <t>North Deborah</t>
  </si>
  <si>
    <t>#2736</t>
  </si>
  <si>
    <t>Henryside</t>
  </si>
  <si>
    <t>#2737</t>
  </si>
  <si>
    <t>East Courtneystad</t>
  </si>
  <si>
    <t>#2738</t>
  </si>
  <si>
    <t>Melanie Kennedy</t>
  </si>
  <si>
    <t>melanie.kennedy658@yahoo.com</t>
  </si>
  <si>
    <t>#2739</t>
  </si>
  <si>
    <t>$22.98</t>
  </si>
  <si>
    <t>Lake Vincentburgh</t>
  </si>
  <si>
    <t>#2740</t>
  </si>
  <si>
    <t>North Christopher</t>
  </si>
  <si>
    <t>#2741</t>
  </si>
  <si>
    <t>North Samanthaland</t>
  </si>
  <si>
    <t>#2742</t>
  </si>
  <si>
    <t>Pamfurt</t>
  </si>
  <si>
    <t>#2743</t>
  </si>
  <si>
    <t>North Heidi</t>
  </si>
  <si>
    <t>#2744</t>
  </si>
  <si>
    <t>$55.97</t>
  </si>
  <si>
    <t>Fosterview</t>
  </si>
  <si>
    <t>#2745</t>
  </si>
  <si>
    <t>Madisonfort</t>
  </si>
  <si>
    <t>#2746</t>
  </si>
  <si>
    <t>East Derekhaven</t>
  </si>
  <si>
    <t>#2747</t>
  </si>
  <si>
    <t>MICHELLE BELL</t>
  </si>
  <si>
    <t>Krystaltown</t>
  </si>
  <si>
    <t>#2748</t>
  </si>
  <si>
    <t>#2749</t>
  </si>
  <si>
    <t>Mortonview</t>
  </si>
  <si>
    <t>#2750</t>
  </si>
  <si>
    <t>Danielsfurt</t>
  </si>
  <si>
    <t>#2751</t>
  </si>
  <si>
    <t>West Melissafurt</t>
  </si>
  <si>
    <t>#2752</t>
  </si>
  <si>
    <t>$29.97</t>
  </si>
  <si>
    <t>#2753</t>
  </si>
  <si>
    <t>$10.00</t>
  </si>
  <si>
    <t>East Deniseburgh</t>
  </si>
  <si>
    <t>#2754</t>
  </si>
  <si>
    <t>jaime vargas</t>
  </si>
  <si>
    <t>#2755</t>
  </si>
  <si>
    <t>Rojas, Thomas</t>
  </si>
  <si>
    <t>Rodriguezport</t>
  </si>
  <si>
    <t>#2756</t>
  </si>
  <si>
    <t>Port John</t>
  </si>
  <si>
    <t>#2757</t>
  </si>
  <si>
    <t xml:space="preserve">  Amy West</t>
  </si>
  <si>
    <t>amy.west811@icloud.com</t>
  </si>
  <si>
    <t>Cunninghamland</t>
  </si>
  <si>
    <t>#2758</t>
  </si>
  <si>
    <t>Gibbsfurt</t>
  </si>
  <si>
    <t>#2759</t>
  </si>
  <si>
    <t>Davidville</t>
  </si>
  <si>
    <t>#2760</t>
  </si>
  <si>
    <t>JACQUELINE RICHMOND</t>
  </si>
  <si>
    <t>West Annaport</t>
  </si>
  <si>
    <t>#2761</t>
  </si>
  <si>
    <t>East Sarahstad</t>
  </si>
  <si>
    <t>#2762</t>
  </si>
  <si>
    <t>South Brianport</t>
  </si>
  <si>
    <t>#2763</t>
  </si>
  <si>
    <t>Duncan, Ruth</t>
  </si>
  <si>
    <t>New Frances</t>
  </si>
  <si>
    <t>#2764</t>
  </si>
  <si>
    <t>Calhountown</t>
  </si>
  <si>
    <t>#2765</t>
  </si>
  <si>
    <t>West Ashley</t>
  </si>
  <si>
    <t>#2766</t>
  </si>
  <si>
    <t>West Gabrielside</t>
  </si>
  <si>
    <t>#2767</t>
  </si>
  <si>
    <t>East Beth</t>
  </si>
  <si>
    <t>#2768</t>
  </si>
  <si>
    <t>North Heatherberg</t>
  </si>
  <si>
    <t>#2769</t>
  </si>
  <si>
    <t>Ramosberg</t>
  </si>
  <si>
    <t>#2770</t>
  </si>
  <si>
    <t>West Lynn</t>
  </si>
  <si>
    <t>#2771</t>
  </si>
  <si>
    <t>Roseton</t>
  </si>
  <si>
    <t>#2772</t>
  </si>
  <si>
    <t>West Sarahchester</t>
  </si>
  <si>
    <t>#2773</t>
  </si>
  <si>
    <t>Gregoryland</t>
  </si>
  <si>
    <t>#2774</t>
  </si>
  <si>
    <t>Lake Kyleborough</t>
  </si>
  <si>
    <t>#2775</t>
  </si>
  <si>
    <t>Jacobton</t>
  </si>
  <si>
    <t>#2776</t>
  </si>
  <si>
    <t>Lake Frankton</t>
  </si>
  <si>
    <t>#2777</t>
  </si>
  <si>
    <t>West Jamesfort</t>
  </si>
  <si>
    <t>#2778</t>
  </si>
  <si>
    <t>Flynnport</t>
  </si>
  <si>
    <t>#2779</t>
  </si>
  <si>
    <t>Hughesmouth</t>
  </si>
  <si>
    <t>#2780</t>
  </si>
  <si>
    <t>North Matthewfurt</t>
  </si>
  <si>
    <t>#2781</t>
  </si>
  <si>
    <t>Terryport</t>
  </si>
  <si>
    <t>#2782</t>
  </si>
  <si>
    <t>Bergton</t>
  </si>
  <si>
    <t>#2783</t>
  </si>
  <si>
    <t>New Cindy</t>
  </si>
  <si>
    <t>#2784</t>
  </si>
  <si>
    <t>West Anthonymouth</t>
  </si>
  <si>
    <t>#2785</t>
  </si>
  <si>
    <t>Marcmouth</t>
  </si>
  <si>
    <t>#2786</t>
  </si>
  <si>
    <t>North Teresa</t>
  </si>
  <si>
    <t>#2787</t>
  </si>
  <si>
    <t>South Stacie</t>
  </si>
  <si>
    <t>#2788</t>
  </si>
  <si>
    <t>West Dawn</t>
  </si>
  <si>
    <t>#2789</t>
  </si>
  <si>
    <t>Olsonberg</t>
  </si>
  <si>
    <t>#2790</t>
  </si>
  <si>
    <t>Thompsonton</t>
  </si>
  <si>
    <t>#2791</t>
  </si>
  <si>
    <t>Rosemouth</t>
  </si>
  <si>
    <t>#2792</t>
  </si>
  <si>
    <t>West Marcus</t>
  </si>
  <si>
    <t>#2793</t>
  </si>
  <si>
    <t>South Danielshire</t>
  </si>
  <si>
    <t>#2794</t>
  </si>
  <si>
    <t>Andradeburgh</t>
  </si>
  <si>
    <t>#2795</t>
  </si>
  <si>
    <t>Port Caitlin</t>
  </si>
  <si>
    <t>#2796</t>
  </si>
  <si>
    <t>Ricardomouth</t>
  </si>
  <si>
    <t>#2797</t>
  </si>
  <si>
    <t>Mcintoshbury</t>
  </si>
  <si>
    <t>#2798</t>
  </si>
  <si>
    <t>West Daniel</t>
  </si>
  <si>
    <t>#2799</t>
  </si>
  <si>
    <t>Port Jamie</t>
  </si>
  <si>
    <t>#2800</t>
  </si>
  <si>
    <t>#2801</t>
  </si>
  <si>
    <t>Lake Scottmouth</t>
  </si>
  <si>
    <t>#2802</t>
  </si>
  <si>
    <t>Johnsontown</t>
  </si>
  <si>
    <t>#2803</t>
  </si>
  <si>
    <t>West Keith</t>
  </si>
  <si>
    <t>#2804</t>
  </si>
  <si>
    <t>Rileystad</t>
  </si>
  <si>
    <t>#2805</t>
  </si>
  <si>
    <t>North Mark</t>
  </si>
  <si>
    <t>#2806</t>
  </si>
  <si>
    <t>Bennettside</t>
  </si>
  <si>
    <t>#2807</t>
  </si>
  <si>
    <t>New Loriport</t>
  </si>
  <si>
    <t>#2808</t>
  </si>
  <si>
    <t>#2809</t>
  </si>
  <si>
    <t>Timothyfort</t>
  </si>
  <si>
    <t>#2810</t>
  </si>
  <si>
    <t>Natashaview</t>
  </si>
  <si>
    <t>#2811</t>
  </si>
  <si>
    <t>#2812</t>
  </si>
  <si>
    <t>#2813</t>
  </si>
  <si>
    <t>Lake Breannashire</t>
  </si>
  <si>
    <t>#2814</t>
  </si>
  <si>
    <t>Alisonton</t>
  </si>
  <si>
    <t>#2815</t>
  </si>
  <si>
    <t>Danielle Franco</t>
  </si>
  <si>
    <t>danielle.franco952@yahoo.com</t>
  </si>
  <si>
    <t>Port Daniel</t>
  </si>
  <si>
    <t>#2816</t>
  </si>
  <si>
    <t>$11.20</t>
  </si>
  <si>
    <t>Andreaview</t>
  </si>
  <si>
    <t>#2817</t>
  </si>
  <si>
    <t>Charlesland</t>
  </si>
  <si>
    <t>#2818</t>
  </si>
  <si>
    <t>COURTNEY BULLOCK</t>
  </si>
  <si>
    <t>#2819</t>
  </si>
  <si>
    <t>East Michellefurt</t>
  </si>
  <si>
    <t>#2820</t>
  </si>
  <si>
    <t>#2821</t>
  </si>
  <si>
    <t>Lake Savannah</t>
  </si>
  <si>
    <t>#2822</t>
  </si>
  <si>
    <t>Smithhaven</t>
  </si>
  <si>
    <t>#2823</t>
  </si>
  <si>
    <t>New Tony</t>
  </si>
  <si>
    <t>#2824</t>
  </si>
  <si>
    <t>South Nicholasberg</t>
  </si>
  <si>
    <t>#2825</t>
  </si>
  <si>
    <t>Greenmouth</t>
  </si>
  <si>
    <t>#2826</t>
  </si>
  <si>
    <t>Jonburgh</t>
  </si>
  <si>
    <t>#2827</t>
  </si>
  <si>
    <t>East Nicholas</t>
  </si>
  <si>
    <t>#2828</t>
  </si>
  <si>
    <t>East Nicoleburgh</t>
  </si>
  <si>
    <t>#2829</t>
  </si>
  <si>
    <t>West Jessica</t>
  </si>
  <si>
    <t>#2830</t>
  </si>
  <si>
    <t>Branchberg</t>
  </si>
  <si>
    <t>#2831</t>
  </si>
  <si>
    <t>North Stefanie</t>
  </si>
  <si>
    <t>#2832</t>
  </si>
  <si>
    <t>Nobletown</t>
  </si>
  <si>
    <t>#2833</t>
  </si>
  <si>
    <t>North Theresaton</t>
  </si>
  <si>
    <t>#2834</t>
  </si>
  <si>
    <t>rachel.colon654@yahoo.com</t>
  </si>
  <si>
    <t>North Javier</t>
  </si>
  <si>
    <t>#2835</t>
  </si>
  <si>
    <t>West Heathershire</t>
  </si>
  <si>
    <t>#2836</t>
  </si>
  <si>
    <t>South Catherineland</t>
  </si>
  <si>
    <t>#2837</t>
  </si>
  <si>
    <t>East Jamesfurt</t>
  </si>
  <si>
    <t>#2838</t>
  </si>
  <si>
    <t>Lake Troy</t>
  </si>
  <si>
    <t>#2839</t>
  </si>
  <si>
    <t>Port Michael</t>
  </si>
  <si>
    <t>#2840</t>
  </si>
  <si>
    <t>Robertsfort</t>
  </si>
  <si>
    <t>#2841</t>
  </si>
  <si>
    <t>Smithland</t>
  </si>
  <si>
    <t>#2842</t>
  </si>
  <si>
    <t>East Melissa</t>
  </si>
  <si>
    <t>#2843</t>
  </si>
  <si>
    <t>Lynchport</t>
  </si>
  <si>
    <t>#2844</t>
  </si>
  <si>
    <t>Lake Rickystad</t>
  </si>
  <si>
    <t>#2845</t>
  </si>
  <si>
    <t>Shepherdshire</t>
  </si>
  <si>
    <t>#2846</t>
  </si>
  <si>
    <t>Christina Mcknight</t>
  </si>
  <si>
    <t>christina.mcknight904@outlook.com</t>
  </si>
  <si>
    <t>Rodriguezmouth</t>
  </si>
  <si>
    <t>#2847</t>
  </si>
  <si>
    <t>William Fry</t>
  </si>
  <si>
    <t>william.fry209@gmail.com</t>
  </si>
  <si>
    <t>Murrayburgh</t>
  </si>
  <si>
    <t>#2848</t>
  </si>
  <si>
    <t>East Tamaraberg</t>
  </si>
  <si>
    <t>#2849</t>
  </si>
  <si>
    <t>alexandria miller</t>
  </si>
  <si>
    <t>Youngshire</t>
  </si>
  <si>
    <t>#2850</t>
  </si>
  <si>
    <t>East Kimville</t>
  </si>
  <si>
    <t>#2851</t>
  </si>
  <si>
    <t>Lawrencebury</t>
  </si>
  <si>
    <t>#2852</t>
  </si>
  <si>
    <t>West Susan</t>
  </si>
  <si>
    <t>#2853</t>
  </si>
  <si>
    <t>Port Andrewburgh</t>
  </si>
  <si>
    <t>#2854</t>
  </si>
  <si>
    <t>Jacobside</t>
  </si>
  <si>
    <t>#2855</t>
  </si>
  <si>
    <t>North Richard</t>
  </si>
  <si>
    <t>#2856</t>
  </si>
  <si>
    <t>Burnsbury</t>
  </si>
  <si>
    <t>#2857</t>
  </si>
  <si>
    <t>Angelabury</t>
  </si>
  <si>
    <t>#2858</t>
  </si>
  <si>
    <t>Brianview</t>
  </si>
  <si>
    <t>#2859</t>
  </si>
  <si>
    <t>Heatherside</t>
  </si>
  <si>
    <t>#2860</t>
  </si>
  <si>
    <t>Port Patricia</t>
  </si>
  <si>
    <t>#2861</t>
  </si>
  <si>
    <t>West Brittanyborough</t>
  </si>
  <si>
    <t>#2862</t>
  </si>
  <si>
    <t>South Lisaton</t>
  </si>
  <si>
    <t>#2863</t>
  </si>
  <si>
    <t>Thomasborough</t>
  </si>
  <si>
    <t>#2864</t>
  </si>
  <si>
    <t>#2865</t>
  </si>
  <si>
    <t>New Lisaton</t>
  </si>
  <si>
    <t>#2866</t>
  </si>
  <si>
    <t>Hunt, Anthony</t>
  </si>
  <si>
    <t>$43.96</t>
  </si>
  <si>
    <t>East Catherine</t>
  </si>
  <si>
    <t>#2867</t>
  </si>
  <si>
    <t>Bonillaside</t>
  </si>
  <si>
    <t>#2868</t>
  </si>
  <si>
    <t>Reginafurt</t>
  </si>
  <si>
    <t>#2869</t>
  </si>
  <si>
    <t>Moodytown</t>
  </si>
  <si>
    <t>#2870</t>
  </si>
  <si>
    <t>Deniseshire</t>
  </si>
  <si>
    <t>#2871</t>
  </si>
  <si>
    <t>Michaelchester</t>
  </si>
  <si>
    <t>#2872</t>
  </si>
  <si>
    <t>Crawfordland</t>
  </si>
  <si>
    <t>#2873</t>
  </si>
  <si>
    <t>Lake Cynthialand</t>
  </si>
  <si>
    <t>#2874</t>
  </si>
  <si>
    <t>#2875</t>
  </si>
  <si>
    <t>VIP15 </t>
  </si>
  <si>
    <t>$35.73</t>
  </si>
  <si>
    <t>Cardenaston</t>
  </si>
  <si>
    <t>#2876</t>
  </si>
  <si>
    <t>Richardville</t>
  </si>
  <si>
    <t>#2877</t>
  </si>
  <si>
    <t>Jennifer White</t>
  </si>
  <si>
    <t>jennifer.white450@icloud.com</t>
  </si>
  <si>
    <t>#2878</t>
  </si>
  <si>
    <t>East Jakeberg</t>
  </si>
  <si>
    <t>#2879</t>
  </si>
  <si>
    <t>Roberttown</t>
  </si>
  <si>
    <t>#2880</t>
  </si>
  <si>
    <t>Brianna Hicks</t>
  </si>
  <si>
    <t>brianna.hicks972@icloud.com</t>
  </si>
  <si>
    <t>Shawnshire</t>
  </si>
  <si>
    <t>#2881</t>
  </si>
  <si>
    <t>East Briannamouth</t>
  </si>
  <si>
    <t>#2882</t>
  </si>
  <si>
    <t>Nicholasside</t>
  </si>
  <si>
    <t>#2883</t>
  </si>
  <si>
    <t>Teresaton</t>
  </si>
  <si>
    <t>#2884</t>
  </si>
  <si>
    <t>Shopify Test</t>
  </si>
  <si>
    <t>New Emilystad</t>
  </si>
  <si>
    <t>#2885</t>
  </si>
  <si>
    <t>Jessica Tucker</t>
  </si>
  <si>
    <t>jessica.tucker963@gmail.com</t>
  </si>
  <si>
    <t>Ryantown</t>
  </si>
  <si>
    <t>#2886</t>
  </si>
  <si>
    <t>Hernandezbury</t>
  </si>
  <si>
    <t>#2887</t>
  </si>
  <si>
    <t>East Charlestown</t>
  </si>
  <si>
    <t>#2888</t>
  </si>
  <si>
    <t>Barnesville</t>
  </si>
  <si>
    <t>#2889</t>
  </si>
  <si>
    <t>North Christopherhaven</t>
  </si>
  <si>
    <t>#2890</t>
  </si>
  <si>
    <t>South Earlburgh</t>
  </si>
  <si>
    <t>#2891</t>
  </si>
  <si>
    <t>Angelicamouth</t>
  </si>
  <si>
    <t>#2892</t>
  </si>
  <si>
    <t>#2893</t>
  </si>
  <si>
    <t>Lake William</t>
  </si>
  <si>
    <t>#2894</t>
  </si>
  <si>
    <t>Amymouth</t>
  </si>
  <si>
    <t>#2895</t>
  </si>
  <si>
    <t>Kevinberg</t>
  </si>
  <si>
    <t>#2896</t>
  </si>
  <si>
    <t>Huffmanmouth</t>
  </si>
  <si>
    <t>#2897</t>
  </si>
  <si>
    <t>Lake Mitchelltown</t>
  </si>
  <si>
    <t>#2898</t>
  </si>
  <si>
    <t>Pruittshire</t>
  </si>
  <si>
    <t>#2899</t>
  </si>
  <si>
    <t>TINA CRANE</t>
  </si>
  <si>
    <t>Samuelstad</t>
  </si>
  <si>
    <t>#2900</t>
  </si>
  <si>
    <t>West Shelleyside</t>
  </si>
  <si>
    <t>#2901</t>
  </si>
  <si>
    <t>#2902</t>
  </si>
  <si>
    <t>North Alexandraborough</t>
  </si>
  <si>
    <t>#2903</t>
  </si>
  <si>
    <t>Jeffreyport</t>
  </si>
  <si>
    <t>#2904</t>
  </si>
  <si>
    <t>Grantchester</t>
  </si>
  <si>
    <t>#2905</t>
  </si>
  <si>
    <t>Prattfurt</t>
  </si>
  <si>
    <t>#2906</t>
  </si>
  <si>
    <t>Jonesshire</t>
  </si>
  <si>
    <t>#2907</t>
  </si>
  <si>
    <t>Amyshire</t>
  </si>
  <si>
    <t>#2908</t>
  </si>
  <si>
    <t>$26.23</t>
  </si>
  <si>
    <t>#2909</t>
  </si>
  <si>
    <t>#2910</t>
  </si>
  <si>
    <t>Andresburgh</t>
  </si>
  <si>
    <t>#2911</t>
  </si>
  <si>
    <t>Grantbury</t>
  </si>
  <si>
    <t>#2912</t>
  </si>
  <si>
    <t>Longstad</t>
  </si>
  <si>
    <t>#2913</t>
  </si>
  <si>
    <t>JAMES MILLER</t>
  </si>
  <si>
    <t>Mercadostad</t>
  </si>
  <si>
    <t>#2914</t>
  </si>
  <si>
    <t>New Amanda</t>
  </si>
  <si>
    <t>#2915</t>
  </si>
  <si>
    <t>Port Courtney</t>
  </si>
  <si>
    <t>#2916</t>
  </si>
  <si>
    <t>Faithhaven</t>
  </si>
  <si>
    <t>#2917</t>
  </si>
  <si>
    <t>West Robert</t>
  </si>
  <si>
    <t>#2918</t>
  </si>
  <si>
    <t>New Justin</t>
  </si>
  <si>
    <t>#2919</t>
  </si>
  <si>
    <t>Hendrixmouth</t>
  </si>
  <si>
    <t>#2920</t>
  </si>
  <si>
    <t>JENNIFER BURKE</t>
  </si>
  <si>
    <t>Johnnyland</t>
  </si>
  <si>
    <t>#2921</t>
  </si>
  <si>
    <t>$23.48</t>
  </si>
  <si>
    <t>Port Ashley</t>
  </si>
  <si>
    <t>#2922</t>
  </si>
  <si>
    <t>Shawnbury</t>
  </si>
  <si>
    <t>#2923</t>
  </si>
  <si>
    <t>Rivasborough</t>
  </si>
  <si>
    <t>#2924</t>
  </si>
  <si>
    <t>Port Nina</t>
  </si>
  <si>
    <t>#2925</t>
  </si>
  <si>
    <t>Montoyaside</t>
  </si>
  <si>
    <t>#2926</t>
  </si>
  <si>
    <t>West Laurie</t>
  </si>
  <si>
    <t>#2927</t>
  </si>
  <si>
    <t>#2928</t>
  </si>
  <si>
    <t>North Jamesbury</t>
  </si>
  <si>
    <t>#2929</t>
  </si>
  <si>
    <t>Bakerburgh</t>
  </si>
  <si>
    <t>#2930</t>
  </si>
  <si>
    <t>North Tonybury</t>
  </si>
  <si>
    <t>#2931</t>
  </si>
  <si>
    <t>South Cassandraton</t>
  </si>
  <si>
    <t>#2932</t>
  </si>
  <si>
    <t>Chad Pierce</t>
  </si>
  <si>
    <t>chad.pierce440@outlook.com</t>
  </si>
  <si>
    <t>West Benjamin</t>
  </si>
  <si>
    <t>#2933</t>
  </si>
  <si>
    <t>East Kimberly</t>
  </si>
  <si>
    <t>#2934</t>
  </si>
  <si>
    <t>South Antonio</t>
  </si>
  <si>
    <t>#2935</t>
  </si>
  <si>
    <t>Christopherside</t>
  </si>
  <si>
    <t>#2936</t>
  </si>
  <si>
    <t>Pennymouth</t>
  </si>
  <si>
    <t>#2937</t>
  </si>
  <si>
    <t>#2938</t>
  </si>
  <si>
    <t>Rogersborough</t>
  </si>
  <si>
    <t>#2939</t>
  </si>
  <si>
    <t>$18.13</t>
  </si>
  <si>
    <t>Williamsstad</t>
  </si>
  <si>
    <t>#2940</t>
  </si>
  <si>
    <t>New Alejandra</t>
  </si>
  <si>
    <t>#2941</t>
  </si>
  <si>
    <t>Martinezville</t>
  </si>
  <si>
    <t>#2942</t>
  </si>
  <si>
    <t>$4.60</t>
  </si>
  <si>
    <t>Merrittchester</t>
  </si>
  <si>
    <t>#2943</t>
  </si>
  <si>
    <t>Isaiahport</t>
  </si>
  <si>
    <t>#2944</t>
  </si>
  <si>
    <t>North Melanie</t>
  </si>
  <si>
    <t>#2945</t>
  </si>
  <si>
    <t>Tracyton</t>
  </si>
  <si>
    <t>#2946</t>
  </si>
  <si>
    <t>Maystad</t>
  </si>
  <si>
    <t>#2947</t>
  </si>
  <si>
    <t>Martinezfurt</t>
  </si>
  <si>
    <t>#2948</t>
  </si>
  <si>
    <t>#2949</t>
  </si>
  <si>
    <t>Medinabury</t>
  </si>
  <si>
    <t>#2950</t>
  </si>
  <si>
    <t>Sandyshire</t>
  </si>
  <si>
    <t>#2951</t>
  </si>
  <si>
    <t>Brianchester</t>
  </si>
  <si>
    <t>#2952</t>
  </si>
  <si>
    <t>South Drewport</t>
  </si>
  <si>
    <t>#2953</t>
  </si>
  <si>
    <t>Stephenschester</t>
  </si>
  <si>
    <t>#2954</t>
  </si>
  <si>
    <t>#2955</t>
  </si>
  <si>
    <t>#2956</t>
  </si>
  <si>
    <t xml:space="preserve">  Ronald Stanley</t>
  </si>
  <si>
    <t>New Benjaminfort</t>
  </si>
  <si>
    <t>#2957</t>
  </si>
  <si>
    <t>South Oliviaburgh</t>
  </si>
  <si>
    <t>#2958</t>
  </si>
  <si>
    <t>Walker, Douglas</t>
  </si>
  <si>
    <t>Hallton</t>
  </si>
  <si>
    <t>#2959</t>
  </si>
  <si>
    <t>Campbellfurt</t>
  </si>
  <si>
    <t>#2960</t>
  </si>
  <si>
    <t>Port Mandyville</t>
  </si>
  <si>
    <t>#2961</t>
  </si>
  <si>
    <t>$18.98</t>
  </si>
  <si>
    <t>New Raymond</t>
  </si>
  <si>
    <t>#2962</t>
  </si>
  <si>
    <t>West Margaretstad</t>
  </si>
  <si>
    <t>#2963</t>
  </si>
  <si>
    <t>Keithfort</t>
  </si>
  <si>
    <t>#2964</t>
  </si>
  <si>
    <t>Ashleyberg</t>
  </si>
  <si>
    <t>#2965</t>
  </si>
  <si>
    <t>HEATHER RIVERS</t>
  </si>
  <si>
    <t>New Jessicamouth</t>
  </si>
  <si>
    <t>#2966</t>
  </si>
  <si>
    <t>New Amberbury</t>
  </si>
  <si>
    <t>#2967</t>
  </si>
  <si>
    <t>South Donna</t>
  </si>
  <si>
    <t>#2968</t>
  </si>
  <si>
    <t>Johnson, Kimberly</t>
  </si>
  <si>
    <t>Lake Craigburgh</t>
  </si>
  <si>
    <t>#2969</t>
  </si>
  <si>
    <t>South Lindsey</t>
  </si>
  <si>
    <t>#2970</t>
  </si>
  <si>
    <t>Carlsonhaven</t>
  </si>
  <si>
    <t>#2971</t>
  </si>
  <si>
    <t xml:space="preserve">  Amy Thompson</t>
  </si>
  <si>
    <t>Monicafort</t>
  </si>
  <si>
    <t>#2972</t>
  </si>
  <si>
    <t>Catherinefurt</t>
  </si>
  <si>
    <t>#2973</t>
  </si>
  <si>
    <t>Port Janetville</t>
  </si>
  <si>
    <t>#2974</t>
  </si>
  <si>
    <t>Meganhaven</t>
  </si>
  <si>
    <t>#2975</t>
  </si>
  <si>
    <t>Neilburgh</t>
  </si>
  <si>
    <t>#2976</t>
  </si>
  <si>
    <t>Abigailtown</t>
  </si>
  <si>
    <t>#2977</t>
  </si>
  <si>
    <t>#2978</t>
  </si>
  <si>
    <t>Dennisshire</t>
  </si>
  <si>
    <t>#2979</t>
  </si>
  <si>
    <t>Joycebury</t>
  </si>
  <si>
    <t>#2980</t>
  </si>
  <si>
    <t>Taylorville</t>
  </si>
  <si>
    <t>#2981</t>
  </si>
  <si>
    <t>Andreamouth</t>
  </si>
  <si>
    <t>#2982</t>
  </si>
  <si>
    <t>Bradley Farmer</t>
  </si>
  <si>
    <t>Port Darryl</t>
  </si>
  <si>
    <t>#2983</t>
  </si>
  <si>
    <t>Smithside</t>
  </si>
  <si>
    <t>#2984</t>
  </si>
  <si>
    <t>Garrettland</t>
  </si>
  <si>
    <t>#2985</t>
  </si>
  <si>
    <t>North Kevin</t>
  </si>
  <si>
    <t>#2986</t>
  </si>
  <si>
    <t>melissa smith</t>
  </si>
  <si>
    <t>Jacobmouth</t>
  </si>
  <si>
    <t>#2987</t>
  </si>
  <si>
    <t>Martinezview</t>
  </si>
  <si>
    <t>#2988</t>
  </si>
  <si>
    <t>North Lindaberg</t>
  </si>
  <si>
    <t>#2989</t>
  </si>
  <si>
    <t>Ramoshaven</t>
  </si>
  <si>
    <t>#2990</t>
  </si>
  <si>
    <t>Port Michaelborough</t>
  </si>
  <si>
    <t>#2991</t>
  </si>
  <si>
    <t>East Adamville</t>
  </si>
  <si>
    <t>#2992</t>
  </si>
  <si>
    <t>Robinsonberg</t>
  </si>
  <si>
    <t>#2993</t>
  </si>
  <si>
    <t>#2994</t>
  </si>
  <si>
    <t>Boydhaven</t>
  </si>
  <si>
    <t>#2995</t>
  </si>
  <si>
    <t>Delgadofurt</t>
  </si>
  <si>
    <t>#2996</t>
  </si>
  <si>
    <t>New Denise</t>
  </si>
  <si>
    <t>#2997</t>
  </si>
  <si>
    <t>Moorefurt</t>
  </si>
  <si>
    <t>#2998</t>
  </si>
  <si>
    <t>stephanie mcdonald</t>
  </si>
  <si>
    <t>Estradafort</t>
  </si>
  <si>
    <t>#2999</t>
  </si>
  <si>
    <t>Christianport</t>
  </si>
  <si>
    <t>#3000</t>
  </si>
  <si>
    <t>$31.78</t>
  </si>
  <si>
    <t xml:space="preserve">  Sharon Brown</t>
  </si>
  <si>
    <t>$21.48</t>
  </si>
  <si>
    <t>Total Orders</t>
  </si>
  <si>
    <t>Blank Values</t>
  </si>
  <si>
    <t>Order status</t>
  </si>
  <si>
    <t>Duplicate Oders</t>
  </si>
  <si>
    <t>Country Variations</t>
  </si>
  <si>
    <t>United Kindom</t>
  </si>
  <si>
    <t>Inconsistent Date Formats</t>
  </si>
  <si>
    <t>Negative Quantity Orders</t>
  </si>
  <si>
    <t>Test Orders</t>
  </si>
  <si>
    <t>Currency as Text</t>
  </si>
  <si>
    <t>None</t>
  </si>
  <si>
    <t>Data Quality Assessment</t>
  </si>
  <si>
    <t>Row Labels</t>
  </si>
  <si>
    <t>Grand Total</t>
  </si>
  <si>
    <t>Sum of Sales</t>
  </si>
  <si>
    <t>State Status</t>
  </si>
  <si>
    <t>Valid</t>
  </si>
  <si>
    <t>Missing</t>
  </si>
  <si>
    <t>Not Required</t>
  </si>
  <si>
    <t>Status</t>
  </si>
  <si>
    <t>Count</t>
  </si>
  <si>
    <t>Missing States Probem</t>
  </si>
  <si>
    <t>Sales by Country</t>
  </si>
  <si>
    <t>Formatted Order Date</t>
  </si>
  <si>
    <t>Missing Email %</t>
  </si>
  <si>
    <t>Missing Emails</t>
  </si>
  <si>
    <t>Email Status</t>
  </si>
  <si>
    <t>Email Available</t>
  </si>
  <si>
    <t>Missing Email</t>
  </si>
  <si>
    <t>Column Labels</t>
  </si>
  <si>
    <t>Count of Order ID</t>
  </si>
  <si>
    <t>Missing Customer Emails</t>
  </si>
  <si>
    <t>Emails status by differet channels</t>
  </si>
  <si>
    <t>Clean Discount Code</t>
  </si>
  <si>
    <t>No Discount Orders</t>
  </si>
  <si>
    <t>Clean Unit Price</t>
  </si>
  <si>
    <t>Discount Amount datatype</t>
  </si>
  <si>
    <t>Clean Discount Amount</t>
  </si>
  <si>
    <t>Clean Shipping</t>
  </si>
  <si>
    <t>Clean Total</t>
  </si>
  <si>
    <t>Order ID Duplication</t>
  </si>
  <si>
    <t>Corrected Total</t>
  </si>
  <si>
    <t>Total Status</t>
  </si>
  <si>
    <t>Sales (Q1)</t>
  </si>
  <si>
    <t>Sales(Q3)</t>
  </si>
  <si>
    <t>IQR</t>
  </si>
  <si>
    <t>Lower Bound</t>
  </si>
  <si>
    <t>Upper Bound</t>
  </si>
  <si>
    <t>Total Outlier</t>
  </si>
  <si>
    <t>Count of SKU</t>
  </si>
  <si>
    <t>Total Rows</t>
  </si>
  <si>
    <t>Issues Found</t>
  </si>
  <si>
    <t>Records Clean</t>
  </si>
  <si>
    <t>Duplicate Records</t>
  </si>
  <si>
    <t>Negative Qty</t>
  </si>
  <si>
    <t>SKU Issues</t>
  </si>
  <si>
    <t>Blank Rows</t>
  </si>
  <si>
    <t xml:space="preserve"> Missing Emails</t>
  </si>
  <si>
    <t>Potential Outliers</t>
  </si>
  <si>
    <t>Issue</t>
  </si>
  <si>
    <t>Decision</t>
  </si>
  <si>
    <t>Mixed Country Names</t>
  </si>
  <si>
    <t>Standardized</t>
  </si>
  <si>
    <t>Mixed Date Formats</t>
  </si>
  <si>
    <t>Converted to valid dates</t>
  </si>
  <si>
    <t>Retained and flagged</t>
  </si>
  <si>
    <t>Discount Code Blanks</t>
  </si>
  <si>
    <t>Retained as legitimate</t>
  </si>
  <si>
    <t>Converted to numbers</t>
  </si>
  <si>
    <t>Duplicate Rows</t>
  </si>
  <si>
    <t>Removed after validation</t>
  </si>
  <si>
    <t>Negative Quantities</t>
  </si>
  <si>
    <t>Removed</t>
  </si>
  <si>
    <t>Validated and retained</t>
  </si>
  <si>
    <t>SKU/Product Names</t>
  </si>
  <si>
    <t>Investigated and corrected</t>
  </si>
  <si>
    <t>Data Quality Dashboard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</si>
</sst>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$-409]#,##0"/>
    <numFmt numFmtId="165" formatCode="[$]dd\-mmm\-yyyy;@" x16r2:formatCode16="[$-en-PK,1]dd\-mmm\-yyyy;@"/>
    <numFmt numFmtId="166" formatCode="[$$-409]#,##0.00"/>
  </numFmts>
  <fonts count="11" x14ac:knownFonts="1">
    <font>
      <sz val="11"/>
      <color theme="1"/>
      <name val="Calibri"/>
      <family val="2"/>
      <scheme val="minor"/>
    </font>
    <font>
      <b/>
      <sz val="10"/>
      <name val="Arial"/>
    </font>
    <font>
      <sz val="10"/>
      <name val="Arial"/>
    </font>
    <font>
      <sz val="16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20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 tint="-0.249977111117893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54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8" xfId="0" applyBorder="1"/>
    <xf numFmtId="0" fontId="0" fillId="0" borderId="0" xfId="0" pivotButton="1"/>
    <xf numFmtId="0" fontId="0" fillId="0" borderId="0" xfId="0" applyAlignment="1">
      <alignment horizontal="left"/>
    </xf>
    <xf numFmtId="164" fontId="0" fillId="0" borderId="0" xfId="0" applyNumberFormat="1"/>
    <xf numFmtId="0" fontId="0" fillId="4" borderId="0" xfId="0" applyFill="1"/>
    <xf numFmtId="165" fontId="2" fillId="0" borderId="0" xfId="0" applyNumberFormat="1" applyFont="1"/>
    <xf numFmtId="14" fontId="2" fillId="0" borderId="0" xfId="0" applyNumberFormat="1" applyFont="1"/>
    <xf numFmtId="14" fontId="1" fillId="0" borderId="0" xfId="0" applyNumberFormat="1" applyFont="1"/>
    <xf numFmtId="14" fontId="0" fillId="0" borderId="0" xfId="0" applyNumberFormat="1"/>
    <xf numFmtId="0" fontId="7" fillId="0" borderId="0" xfId="0" applyFont="1"/>
    <xf numFmtId="9" fontId="0" fillId="0" borderId="0" xfId="1" applyFont="1"/>
    <xf numFmtId="0" fontId="0" fillId="8" borderId="0" xfId="0" applyFill="1"/>
    <xf numFmtId="166" fontId="2" fillId="0" borderId="0" xfId="0" applyNumberFormat="1" applyFont="1"/>
    <xf numFmtId="0" fontId="0" fillId="9" borderId="0" xfId="0" applyFill="1" applyAlignment="1">
      <alignment horizontal="center" vertical="center"/>
    </xf>
    <xf numFmtId="0" fontId="0" fillId="0" borderId="0" xfId="0" applyAlignment="1">
      <alignment horizontal="left" indent="1"/>
    </xf>
    <xf numFmtId="0" fontId="6" fillId="0" borderId="0" xfId="0" applyFont="1"/>
    <xf numFmtId="0" fontId="9" fillId="10" borderId="9" xfId="0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0" fillId="0" borderId="4" xfId="1" applyNumberFormat="1" applyFont="1" applyBorder="1"/>
    <xf numFmtId="0" fontId="0" fillId="0" borderId="3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9" fontId="0" fillId="0" borderId="4" xfId="1" applyFont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3" fillId="3" borderId="0" xfId="0" applyFont="1" applyFill="1" applyAlignment="1">
      <alignment horizontal="center"/>
    </xf>
    <xf numFmtId="0" fontId="4" fillId="6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5" borderId="0" xfId="0" applyFont="1" applyFill="1" applyAlignment="1">
      <alignment horizontal="center"/>
    </xf>
    <xf numFmtId="0" fontId="3" fillId="6" borderId="0" xfId="0" applyFont="1" applyFill="1" applyAlignment="1">
      <alignment horizontal="center" vertical="center"/>
    </xf>
    <xf numFmtId="0" fontId="8" fillId="7" borderId="0" xfId="0" applyFont="1" applyFill="1" applyAlignment="1">
      <alignment horizontal="center" vertical="center"/>
    </xf>
    <xf numFmtId="0" fontId="10" fillId="4" borderId="1" xfId="0" applyFont="1" applyFill="1" applyBorder="1" applyAlignment="1">
      <alignment horizontal="center" vertical="center"/>
    </xf>
    <xf numFmtId="0" fontId="10" fillId="4" borderId="7" xfId="0" applyFont="1" applyFill="1" applyBorder="1" applyAlignment="1">
      <alignment horizontal="center" vertical="center"/>
    </xf>
    <xf numFmtId="0" fontId="10" fillId="4" borderId="2" xfId="0" applyFont="1" applyFill="1" applyBorder="1" applyAlignment="1">
      <alignment horizontal="center" vertical="center"/>
    </xf>
    <xf numFmtId="0" fontId="10" fillId="4" borderId="3" xfId="0" applyFont="1" applyFill="1" applyBorder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9" fillId="10" borderId="10" xfId="0" applyFont="1" applyFill="1" applyBorder="1" applyAlignment="1">
      <alignment horizontal="center" vertical="center" wrapText="1"/>
    </xf>
    <xf numFmtId="0" fontId="9" fillId="10" borderId="11" xfId="0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1">
    <dxf>
      <numFmt numFmtId="164" formatCode="[$$-409]#,##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3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Data Quality Issues Identified</a:t>
            </a:r>
          </a:p>
        </c:rich>
      </c:tx>
      <c:layout>
        <c:manualLayout>
          <c:xMode val="edge"/>
          <c:yMode val="edge"/>
          <c:x val="0.17927077865266841"/>
          <c:y val="3.24074074074074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PK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PK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'Data Quality Dashboard'!$B$5:$B$10</c:f>
              <c:strCache>
                <c:ptCount val="6"/>
                <c:pt idx="0">
                  <c:v> Missing Emails</c:v>
                </c:pt>
                <c:pt idx="1">
                  <c:v>Duplicate Records</c:v>
                </c:pt>
                <c:pt idx="2">
                  <c:v>Blank Rows</c:v>
                </c:pt>
                <c:pt idx="3">
                  <c:v>Negative Qty</c:v>
                </c:pt>
                <c:pt idx="4">
                  <c:v>SKU Issues</c:v>
                </c:pt>
                <c:pt idx="5">
                  <c:v>Potential Outliers</c:v>
                </c:pt>
              </c:strCache>
            </c:strRef>
          </c:cat>
          <c:val>
            <c:numRef>
              <c:f>'Data Quality Dashboard'!$C$5:$C$10</c:f>
              <c:numCache>
                <c:formatCode>General</c:formatCode>
                <c:ptCount val="6"/>
                <c:pt idx="0">
                  <c:v>114</c:v>
                </c:pt>
                <c:pt idx="1">
                  <c:v>35</c:v>
                </c:pt>
                <c:pt idx="2">
                  <c:v>8</c:v>
                </c:pt>
                <c:pt idx="3">
                  <c:v>12</c:v>
                </c:pt>
                <c:pt idx="4">
                  <c:v>1</c:v>
                </c:pt>
                <c:pt idx="5">
                  <c:v>133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538-42F8-8CC4-B30FA9B530A9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15"/>
        <c:overlap val="-20"/>
        <c:axId val="1130866672"/>
        <c:axId val="1099880144"/>
      </c:barChart>
      <c:catAx>
        <c:axId val="1130866672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Data Quality Issue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PK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K"/>
          </a:p>
        </c:txPr>
        <c:crossAx val="1099880144"/>
        <c:crosses val="autoZero"/>
        <c:auto val="1"/>
        <c:lblAlgn val="ctr"/>
        <c:lblOffset val="100"/>
        <c:noMultiLvlLbl val="0"/>
      </c:catAx>
      <c:valAx>
        <c:axId val="10998801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PK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K"/>
          </a:p>
        </c:txPr>
        <c:crossAx val="11308666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PK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222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ize="5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7620</xdr:colOff>
      <xdr:row>3</xdr:row>
      <xdr:rowOff>179070</xdr:rowOff>
    </xdr:from>
    <xdr:to>
      <xdr:col>2</xdr:col>
      <xdr:colOff>1844040</xdr:colOff>
      <xdr:row>18</xdr:row>
      <xdr:rowOff>167640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CA211BA-AABA-6F3C-0503-4FDC2DF5F0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atitude 7310" refreshedDate="46240.994593981479" createdVersion="8" refreshedVersion="8" minRefreshableVersion="3" recordCount="327" xr:uid="{075E7064-AAAB-418F-9659-676EF2A6DB6E}">
  <cacheSource type="worksheet">
    <worksheetSource ref="A1:AF316" sheet="Orders"/>
  </cacheSource>
  <cacheFields count="19">
    <cacheField name="Order ID" numFmtId="0">
      <sharedItems/>
    </cacheField>
    <cacheField name="Order Date" numFmtId="0">
      <sharedItems containsDate="1" containsMixedTypes="1" minDate="2026-08-04T13:53:34" maxDate="2026-08-04T14:08:21"/>
    </cacheField>
    <cacheField name="Customer Name" numFmtId="0">
      <sharedItems containsBlank="1"/>
    </cacheField>
    <cacheField name="Customer Email" numFmtId="0">
      <sharedItems containsBlank="1"/>
    </cacheField>
    <cacheField name="Product Name" numFmtId="0">
      <sharedItems/>
    </cacheField>
    <cacheField name="Category" numFmtId="0">
      <sharedItems/>
    </cacheField>
    <cacheField name="SKU" numFmtId="0">
      <sharedItems/>
    </cacheField>
    <cacheField name="Quantity" numFmtId="0">
      <sharedItems containsSemiMixedTypes="0" containsString="0" containsNumber="1" containsInteger="1" minValue="-3" maxValue="4"/>
    </cacheField>
    <cacheField name="Unit Price" numFmtId="0">
      <sharedItems containsMixedTypes="1" containsNumber="1" minValue="8.99" maxValue="89.99"/>
    </cacheField>
    <cacheField name="Discount Code" numFmtId="0">
      <sharedItems containsBlank="1"/>
    </cacheField>
    <cacheField name="Discount Amount" numFmtId="0">
      <sharedItems containsMixedTypes="1" containsNumber="1" minValue="0" maxValue="40.5"/>
    </cacheField>
    <cacheField name="Shipping" numFmtId="0">
      <sharedItems containsSemiMixedTypes="0" containsString="0" containsNumber="1" minValue="0" maxValue="7.99"/>
    </cacheField>
    <cacheField name="Total" numFmtId="0">
      <sharedItems containsMixedTypes="1" containsNumber="1" minValue="9.99" maxValue="949.5"/>
    </cacheField>
    <cacheField name="Payment Method" numFmtId="0">
      <sharedItems/>
    </cacheField>
    <cacheField name="Channel" numFmtId="0">
      <sharedItems/>
    </cacheField>
    <cacheField name="Order Status" numFmtId="0">
      <sharedItems/>
    </cacheField>
    <cacheField name="Country" numFmtId="0">
      <sharedItems count="7">
        <s v="Pakistan"/>
        <s v="Canada"/>
        <s v="United States"/>
        <s v="Germany"/>
        <s v="Australia"/>
        <s v="United Kingdom"/>
        <s v="United States " u="1"/>
      </sharedItems>
    </cacheField>
    <cacheField name="State" numFmtId="0">
      <sharedItems containsBlank="1"/>
    </cacheField>
    <cacheField name="City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atitude 7310" refreshedDate="46251.482721643515" createdVersion="8" refreshedVersion="8" minRefreshableVersion="3" recordCount="1992" xr:uid="{204EEE61-62A4-4C3A-A6C5-FC20211811F3}">
  <cacheSource type="worksheet">
    <worksheetSource ref="A1:AF1993" sheet="Orders"/>
  </cacheSource>
  <cacheFields count="33">
    <cacheField name="Order ID" numFmtId="0">
      <sharedItems/>
    </cacheField>
    <cacheField name="Order ID Duplication" numFmtId="0">
      <sharedItems containsSemiMixedTypes="0" containsString="0" containsNumber="1" containsInteger="1" minValue="1" maxValue="1"/>
    </cacheField>
    <cacheField name="Formatted Order Date" numFmtId="165">
      <sharedItems containsSemiMixedTypes="0" containsNonDate="0" containsDate="1" containsString="0" minDate="2026-04-08T00:00:00" maxDate="2026-08-04T14:08:26"/>
    </cacheField>
    <cacheField name="Order Date" numFmtId="14">
      <sharedItems containsDate="1" containsMixedTypes="1" minDate="2026-04-08T00:00:00" maxDate="2026-08-04T14:08:26"/>
    </cacheField>
    <cacheField name="Customer Name" numFmtId="0">
      <sharedItems containsBlank="1"/>
    </cacheField>
    <cacheField name="Email Status" numFmtId="0">
      <sharedItems count="2">
        <s v="Email Available"/>
        <s v="Missing Email"/>
      </sharedItems>
    </cacheField>
    <cacheField name="Customer Email" numFmtId="0">
      <sharedItems containsBlank="1"/>
    </cacheField>
    <cacheField name="Product Name" numFmtId="0">
      <sharedItems/>
    </cacheField>
    <cacheField name="Corrected Product Name" numFmtId="0">
      <sharedItems count="47">
        <s v="Adjustable Dumbbell Set"/>
        <s v="Backpack - 25L"/>
        <s v="Ceramic Coffee Mug Set (4pc)"/>
        <s v="Classic Cotton T-Shirt"/>
        <s v="Facial Cleanser 200ml"/>
        <s v="Hooded Sweatshirt"/>
        <s v="Kids Building Blocks Set"/>
        <s v="Leather Wallet - Brown"/>
        <s v="Non-Stick Frying Pan 10in"/>
        <s v="Phone Case - Clear"/>
        <s v="Polarized Sunglasses"/>
        <s v="Portable Power Bank 10000mAh"/>
        <s v="Resistance Bands Set"/>
        <s v="Running Shoes - Men's"/>
        <s v="Running Shoes - Women's"/>
        <s v="Scented Soy Candle - Vanilla"/>
        <s v="Slim Fit Denim Jeans"/>
        <s v="Stainless Steel Water Bottle"/>
        <s v="Throw Blanket - Fleece"/>
        <s v="USB-C Fast Charger 20W"/>
        <s v="Vitamin C Serum 30ml"/>
        <s v="Wireless Bluetooth Earbuds"/>
        <s v="Wireless Mouse"/>
        <s v="Yoga Mat - Extra Thick"/>
        <s v="Backpack 25L" u="1"/>
        <s v="Leather Wallet Brown" u="1"/>
        <s v="Phone Case Clear" u="1"/>
        <s v="Running Shoes - Womens" u="1"/>
        <s v="Running Shoes Men's" u="1"/>
        <s v="USB C Fast Charger 20W" u="1"/>
        <s v="Classic Cotton T Shirt" u="1"/>
        <s v="Non Stick Frying Pan 10in" u="1"/>
        <s v="Stainless Steel Water Bottle  " u="1"/>
        <s v="Running Shoes - Women's  " u="1"/>
        <s v="Kids Building Blocks Set  " u="1"/>
        <s v="Leather Wallet - Brown  " u="1"/>
        <s v="Phone Case   Clear" u="1"/>
        <s v="Throw Blanket - Fleece  " u="1"/>
        <s v="Running Shoes   Men's" u="1"/>
        <s v="Backpack - 25L  " u="1"/>
        <s v="Ceramic Coffee Mug Set (4pc)  " u="1"/>
        <s v="Leather Wallet   Brown" u="1"/>
        <s v="Backpack   25L" u="1"/>
        <s v="USB-C Fast Charger 20W  " u="1"/>
        <s v="Portable Power Bank 10000mAh  " u="1"/>
        <s v="Polarized Sunglasses  " u="1"/>
        <s v="Vitamin C Serum 30ml  " u="1"/>
      </sharedItems>
    </cacheField>
    <cacheField name="Category" numFmtId="0">
      <sharedItems/>
    </cacheField>
    <cacheField name="SKU" numFmtId="0">
      <sharedItems count="25">
        <s v="SP-DMB-ADJ"/>
        <s v="ACC-BPK-25L"/>
        <s v="HK-MUG-4PK"/>
        <s v="TSH-BLK-L"/>
        <s v="TSH-BLK-M"/>
        <s v="BTY-CLN-200"/>
        <s v="APR-HOD-GRY"/>
        <s v="TOY-BLK-SET"/>
        <s v="ACC-WLT-BRN"/>
        <s v="HK-PAN-10"/>
        <s v="ELC-CSE-CLR"/>
        <s v="ACC-SUN-01"/>
        <s v="ELC-PWB-10K"/>
        <s v="SP-RBS-SET"/>
        <s v="FTW-RUN-M"/>
        <s v="FTW-RUN-W"/>
        <s v="HK-CND-VAN"/>
        <s v="JNS-BLU-32"/>
        <s v="HK-BTL-750"/>
        <s v="HK-BLK-FLC"/>
        <s v="ELC-CHG-20"/>
        <s v="BTY-SRM-30"/>
        <s v="ELC-WBE-01"/>
        <s v="ELC-MSE-WL"/>
        <s v="SP-YGM-EX"/>
      </sharedItems>
    </cacheField>
    <cacheField name="Quantity" numFmtId="0">
      <sharedItems containsSemiMixedTypes="0" containsString="0" containsNumber="1" containsInteger="1" minValue="1" maxValue="4"/>
    </cacheField>
    <cacheField name="Unit Price" numFmtId="0">
      <sharedItems containsMixedTypes="1" containsNumber="1" minValue="8.99" maxValue="89.99"/>
    </cacheField>
    <cacheField name="Clean Unit Price" numFmtId="166">
      <sharedItems containsSemiMixedTypes="0" containsString="0" containsNumber="1" minValue="8.99" maxValue="89.99"/>
    </cacheField>
    <cacheField name="Discount Code" numFmtId="0">
      <sharedItems containsBlank="1"/>
    </cacheField>
    <cacheField name="Clean Discount Code" numFmtId="0">
      <sharedItems count="6">
        <s v=""/>
        <s v="WELCOME10"/>
        <s v="SAVE20"/>
        <s v="BFCM25"/>
        <s v="VIP15"/>
        <s v="FREESHIP"/>
      </sharedItems>
    </cacheField>
    <cacheField name="Discount Amount" numFmtId="0">
      <sharedItems containsMixedTypes="1" containsNumber="1" minValue="0" maxValue="53.99"/>
    </cacheField>
    <cacheField name="Clean Discount Amount" numFmtId="166">
      <sharedItems containsSemiMixedTypes="0" containsString="0" containsNumber="1" minValue="0" maxValue="53.99"/>
    </cacheField>
    <cacheField name="Discount Amount datatype" numFmtId="0">
      <sharedItems/>
    </cacheField>
    <cacheField name="Shipping" numFmtId="0">
      <sharedItems containsSemiMixedTypes="0" containsString="0" containsNumber="1" minValue="0" maxValue="7.99"/>
    </cacheField>
    <cacheField name="Clean Shipping" numFmtId="166">
      <sharedItems containsSemiMixedTypes="0" containsString="0" containsNumber="1" minValue="0" maxValue="7.99"/>
    </cacheField>
    <cacheField name="Total" numFmtId="0">
      <sharedItems containsMixedTypes="1" containsNumber="1" minValue="0" maxValue="2999"/>
    </cacheField>
    <cacheField name="Clean Total" numFmtId="166">
      <sharedItems containsSemiMixedTypes="0" containsString="0" containsNumber="1" minValue="0" maxValue="2999"/>
    </cacheField>
    <cacheField name="Corrected Total" numFmtId="166">
      <sharedItems containsSemiMixedTypes="0" containsString="0" containsNumber="1" minValue="8.99" maxValue="359.96"/>
    </cacheField>
    <cacheField name="Total Status" numFmtId="166">
      <sharedItems/>
    </cacheField>
    <cacheField name="Total Outlier" numFmtId="166">
      <sharedItems/>
    </cacheField>
    <cacheField name="Payment Method" numFmtId="0">
      <sharedItems/>
    </cacheField>
    <cacheField name="Channel" numFmtId="0">
      <sharedItems count="4">
        <s v="Online Store"/>
        <s v="POS"/>
        <s v="Instagram"/>
        <s v="Facebook"/>
      </sharedItems>
    </cacheField>
    <cacheField name="Order Status" numFmtId="0">
      <sharedItems/>
    </cacheField>
    <cacheField name="Country" numFmtId="0">
      <sharedItems/>
    </cacheField>
    <cacheField name="State" numFmtId="0">
      <sharedItems containsBlank="1"/>
    </cacheField>
    <cacheField name="State Status" numFmtId="0">
      <sharedItems/>
    </cacheField>
    <cacheField name="City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atitude 7310" refreshedDate="46251.496960300923" createdVersion="8" refreshedVersion="8" minRefreshableVersion="3" recordCount="2000" xr:uid="{A54E8864-227F-417E-8801-A9B1E29F8064}">
  <cacheSource type="worksheet">
    <worksheetSource ref="A1:AF2001" sheet="Orders"/>
  </cacheSource>
  <cacheFields count="32">
    <cacheField name="Order ID" numFmtId="0">
      <sharedItems/>
    </cacheField>
    <cacheField name="Order ID Duplication" numFmtId="0">
      <sharedItems containsSemiMixedTypes="0" containsString="0" containsNumber="1" containsInteger="1" minValue="0" maxValue="1"/>
    </cacheField>
    <cacheField name="Formatted Order Date" numFmtId="165">
      <sharedItems containsSemiMixedTypes="0" containsNonDate="0" containsDate="1" containsString="0" minDate="2026-04-08T00:00:00" maxDate="2026-08-04T14:08:26"/>
    </cacheField>
    <cacheField name="Order Date" numFmtId="14">
      <sharedItems containsDate="1" containsMixedTypes="1" minDate="2026-04-08T00:00:00" maxDate="2026-08-04T14:08:26"/>
    </cacheField>
    <cacheField name="Customer Name" numFmtId="0">
      <sharedItems containsBlank="1"/>
    </cacheField>
    <cacheField name="Email Status" numFmtId="0">
      <sharedItems/>
    </cacheField>
    <cacheField name="Customer Email" numFmtId="0">
      <sharedItems containsBlank="1"/>
    </cacheField>
    <cacheField name="Product Name" numFmtId="0">
      <sharedItems count="24">
        <s v="Adjustable Dumbbell Set"/>
        <s v="Backpack - 25L"/>
        <s v="Ceramic Coffee Mug Set (4pc)"/>
        <s v="Classic Cotton T-Shirt"/>
        <s v="Facial Cleanser 200ml"/>
        <s v="Hooded Sweatshirt"/>
        <s v="Kids Building Blocks Set"/>
        <s v="Leather Wallet - Brown"/>
        <s v="Non-Stick Frying Pan 10in"/>
        <s v="Phone Case - Clear"/>
        <s v="Polarized Sunglasses"/>
        <s v="Portable Power Bank 10000mAh"/>
        <s v="Resistance Bands Set"/>
        <s v="Running Shoes - Men's"/>
        <s v="Running Shoes - Women's"/>
        <s v="Scented Soy Candle - Vanilla"/>
        <s v="Slim Fit Denim Jeans"/>
        <s v="Stainless Steel Water Bottle"/>
        <s v="Throw Blanket - Fleece"/>
        <s v="USB-C Fast Charger 20W"/>
        <s v="Vitamin C Serum 30ml"/>
        <s v="Wireless Bluetooth Earbuds"/>
        <s v="Wireless Mouse"/>
        <s v="Yoga Mat - Extra Thick"/>
      </sharedItems>
    </cacheField>
    <cacheField name="Category" numFmtId="0">
      <sharedItems/>
    </cacheField>
    <cacheField name="SKU" numFmtId="0">
      <sharedItems count="25">
        <s v="SP-DMB-ADJ"/>
        <s v="ACC-BPK-25L"/>
        <s v="HK-MUG-4PK"/>
        <s v="TSH-BLK-L"/>
        <s v="TSH-BLK-M"/>
        <s v="BTY-CLN-200"/>
        <s v="APR-HOD-GRY"/>
        <s v="TOY-BLK-SET"/>
        <s v="ACC-WLT-BRN"/>
        <s v="HK-PAN-10"/>
        <s v="ELC-CSE-CLR"/>
        <s v="ACC-SUN-01"/>
        <s v="ELC-PWB-10K"/>
        <s v="SP-RBS-SET"/>
        <s v="FTW-RUN-M"/>
        <s v="FTW-RUN-W"/>
        <s v="HK-CND-VAN"/>
        <s v="JNS-BLU-32"/>
        <s v="HK-BTL-750"/>
        <s v="HK-BLK-FLC"/>
        <s v="ELC-CHG-20"/>
        <s v="BTY-SRM-30"/>
        <s v="ELC-WBE-01"/>
        <s v="ELC-MSE-WL"/>
        <s v="SP-YGM-EX"/>
      </sharedItems>
    </cacheField>
    <cacheField name="Quantity" numFmtId="0">
      <sharedItems containsSemiMixedTypes="0" containsString="0" containsNumber="1" containsInteger="1" minValue="1" maxValue="4"/>
    </cacheField>
    <cacheField name="Unit Price" numFmtId="0">
      <sharedItems containsMixedTypes="1" containsNumber="1" minValue="8.99" maxValue="89.99"/>
    </cacheField>
    <cacheField name="Clean Unit Price" numFmtId="166">
      <sharedItems containsSemiMixedTypes="0" containsString="0" containsNumber="1" minValue="8.99" maxValue="89.99"/>
    </cacheField>
    <cacheField name="Discount Code" numFmtId="0">
      <sharedItems containsBlank="1"/>
    </cacheField>
    <cacheField name="Clean Discount Code" numFmtId="0">
      <sharedItems/>
    </cacheField>
    <cacheField name="Discount Amount" numFmtId="0">
      <sharedItems containsMixedTypes="1" containsNumber="1" minValue="0" maxValue="53.99"/>
    </cacheField>
    <cacheField name="Clean Discount Amount" numFmtId="166">
      <sharedItems containsSemiMixedTypes="0" containsString="0" containsNumber="1" minValue="0" maxValue="53.99"/>
    </cacheField>
    <cacheField name="Discount Amount datatype" numFmtId="0">
      <sharedItems/>
    </cacheField>
    <cacheField name="Shipping" numFmtId="0">
      <sharedItems containsSemiMixedTypes="0" containsString="0" containsNumber="1" minValue="0" maxValue="7.99"/>
    </cacheField>
    <cacheField name="Clean Shipping" numFmtId="166">
      <sharedItems containsSemiMixedTypes="0" containsString="0" containsNumber="1" minValue="0" maxValue="7.99"/>
    </cacheField>
    <cacheField name="Total" numFmtId="0">
      <sharedItems containsMixedTypes="1" containsNumber="1" minValue="0" maxValue="2999"/>
    </cacheField>
    <cacheField name="Clean Total" numFmtId="166">
      <sharedItems containsSemiMixedTypes="0" containsString="0" containsNumber="1" minValue="0" maxValue="2999"/>
    </cacheField>
    <cacheField name="Corrected Total" numFmtId="166">
      <sharedItems containsSemiMixedTypes="0" containsString="0" containsNumber="1" minValue="8.99" maxValue="359.96"/>
    </cacheField>
    <cacheField name="Total Status" numFmtId="166">
      <sharedItems/>
    </cacheField>
    <cacheField name="Total Outlier" numFmtId="166">
      <sharedItems/>
    </cacheField>
    <cacheField name="Payment Method" numFmtId="0">
      <sharedItems/>
    </cacheField>
    <cacheField name="Channel" numFmtId="0">
      <sharedItems/>
    </cacheField>
    <cacheField name="Order Status" numFmtId="0">
      <sharedItems/>
    </cacheField>
    <cacheField name="Country" numFmtId="0">
      <sharedItems/>
    </cacheField>
    <cacheField name="State" numFmtId="0">
      <sharedItems containsBlank="1"/>
    </cacheField>
    <cacheField name="State Status" numFmtId="0">
      <sharedItems/>
    </cacheField>
    <cacheField name="City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7">
  <r>
    <s v="#1042"/>
    <d v="2026-08-04T13:55:24"/>
    <s v="Angie Martin"/>
    <s v="angie.martin506@icloud.com"/>
    <s v="Running Shoes - Women's"/>
    <s v="Footwear"/>
    <s v="FTW-RUN-W"/>
    <n v="-1"/>
    <n v="54.99"/>
    <s v="VIP15"/>
    <n v="8.25"/>
    <n v="5.99"/>
    <n v="52.73"/>
    <s v="PayPal"/>
    <s v="Online Store"/>
    <s v="fulfilled"/>
    <x v="0"/>
    <m/>
    <s v="West Travis"/>
  </r>
  <r>
    <s v="#1083"/>
    <d v="2026-08-04T13:54:56"/>
    <s v="Johnathan Sloan"/>
    <s v="johnathan.sloan721@outlook.com"/>
    <s v="Running Shoes - Men's"/>
    <s v="Footwear"/>
    <s v="FTW-RUN-M"/>
    <n v="-1"/>
    <n v="54.99"/>
    <s v="SAVE20"/>
    <s v="$11.00"/>
    <n v="5.99"/>
    <n v="49.98"/>
    <s v="Apple Pay"/>
    <s v="Online Store"/>
    <s v="fulfilled"/>
    <x v="0"/>
    <m/>
    <s v="Robertborough"/>
  </r>
  <r>
    <s v="#1371"/>
    <d v="2026-08-04T13:59:50"/>
    <s v="Andrew Vargas"/>
    <s v="andrew.vargas381@outlook.com"/>
    <s v="Hooded Sweatshirt"/>
    <s v="Apparel"/>
    <s v="APR-HOD-GRY"/>
    <n v="-1"/>
    <n v="34.99"/>
    <m/>
    <n v="0"/>
    <n v="4.99"/>
    <n v="39.979999999999997"/>
    <s v="PayPal"/>
    <s v="Online Store"/>
    <s v="cancelled"/>
    <x v="1"/>
    <m/>
    <s v="Port Jasmineview"/>
  </r>
  <r>
    <s v="#1463"/>
    <d v="2026-08-04T13:56:52"/>
    <s v="Conway, Brittney"/>
    <s v="brittney.conway383@outlook.com"/>
    <s v="Yoga Mat - Extra Thick"/>
    <s v="Sports &amp; Outdoors"/>
    <s v="SP-YGM-EX"/>
    <n v="-2"/>
    <n v="22.99"/>
    <m/>
    <s v="$0.00"/>
    <n v="7.99"/>
    <n v="53.97"/>
    <s v="Apple Pay"/>
    <s v="Online Store"/>
    <s v="fulfilled"/>
    <x v="2"/>
    <s v="Texas"/>
    <s v="North Nathan"/>
  </r>
  <r>
    <s v="#1472"/>
    <s v="08/04/2026"/>
    <s v="Christy Phillips"/>
    <s v="christy.phillips291@gmail.com"/>
    <s v="Hooded Sweatshirt"/>
    <s v="Apparel"/>
    <s v="APR-HOD-GRY"/>
    <n v="-1"/>
    <n v="34.99"/>
    <s v="VIP15"/>
    <n v="5.25"/>
    <n v="7.99"/>
    <n v="37.729999999999997"/>
    <s v="Apple Pay"/>
    <s v="POS"/>
    <s v="cancelled"/>
    <x v="0"/>
    <m/>
    <s v="New Claire"/>
  </r>
  <r>
    <s v="#1632"/>
    <s v="08/04/2026"/>
    <s v="Kenneth Morgan"/>
    <s v="kenneth.morgan181@outlook.com"/>
    <s v="Backpack - 25L"/>
    <s v="Accessories"/>
    <s v="ACC-BPK-25L"/>
    <n v="-3"/>
    <n v="32.99"/>
    <s v="WELCOME10"/>
    <n v="9.9"/>
    <n v="0"/>
    <n v="89.07"/>
    <s v="Apple Pay"/>
    <s v="Online Store"/>
    <s v="fulfilled"/>
    <x v="2"/>
    <s v="Arizona"/>
    <s v="West David"/>
  </r>
  <r>
    <s v="#1836"/>
    <d v="2026-08-04T14:03:31"/>
    <s v="Sergio Turner"/>
    <s v="sergio.turner744@outlook.com"/>
    <s v="Wireless Mouse"/>
    <s v="Electronics"/>
    <s v="ELC-MSE-WL"/>
    <n v="-2"/>
    <n v="11.99"/>
    <m/>
    <n v="0"/>
    <n v="4.99"/>
    <n v="28.97"/>
    <s v="Credit Card"/>
    <s v="Facebook"/>
    <s v="fulfilled"/>
    <x v="3"/>
    <m/>
    <s v="Fordburgh"/>
  </r>
  <r>
    <s v="#2008"/>
    <d v="2026-08-04T14:08:04"/>
    <s v="Jacob Gibbs"/>
    <s v="jacob.gibbs527@gmail.com"/>
    <s v="Classic Cotton T-Shirt"/>
    <s v="Apparel"/>
    <s v="TSH-BLK-M"/>
    <n v="-2"/>
    <n v="14.99"/>
    <m/>
    <n v="0"/>
    <n v="4.99"/>
    <n v="34.97"/>
    <s v="Shopify Payments"/>
    <s v="Online Store"/>
    <s v="fulfilled"/>
    <x v="2"/>
    <s v="North Carolina"/>
    <s v="Keyburgh"/>
  </r>
  <r>
    <s v="#2485"/>
    <d v="2026-08-04T14:05:20"/>
    <s v="George Gould"/>
    <s v="george.gould10@yahoo.com"/>
    <s v="Running Shoes - Women's"/>
    <s v="Footwear"/>
    <s v="FTW-RUN-W"/>
    <n v="-1"/>
    <s v="$54.99"/>
    <m/>
    <n v="0"/>
    <n v="7.99"/>
    <n v="62.98"/>
    <s v="Google Pay"/>
    <s v="Online Store"/>
    <s v="fulfilled"/>
    <x v="1"/>
    <m/>
    <s v="Port Jenniferburgh"/>
  </r>
  <r>
    <s v="#2687"/>
    <d v="2026-08-04T13:59:31"/>
    <s v="Karen Bautista"/>
    <s v="karen.bautista779@icloud.com"/>
    <s v="Vitamin C Serum 30ml"/>
    <s v="Beauty"/>
    <s v="BTY-SRM-30"/>
    <n v="-1"/>
    <n v="24.99"/>
    <m/>
    <n v="0"/>
    <n v="5.99"/>
    <n v="30.98"/>
    <s v="Apple Pay"/>
    <s v="Online Store"/>
    <s v="fulfilled"/>
    <x v="2"/>
    <s v="Washington"/>
    <s v="Patrickmouth"/>
  </r>
  <r>
    <s v="#2862"/>
    <s v="2026-08-04"/>
    <s v="Linda Scott"/>
    <s v="linda.scott2@icloud.com"/>
    <s v="Vitamin C Serum 30ml"/>
    <s v="Beauty"/>
    <s v="BTY-SRM-30"/>
    <n v="-1"/>
    <n v="24.99"/>
    <m/>
    <n v="0"/>
    <n v="4.99"/>
    <n v="29.98"/>
    <s v="Google Pay"/>
    <s v="Facebook"/>
    <s v="fulfilled"/>
    <x v="1"/>
    <m/>
    <s v="South Lisaton"/>
  </r>
  <r>
    <s v="#2888"/>
    <d v="2026-08-04T13:59:49"/>
    <s v="Frederick Bean"/>
    <s v="frederick.bean141@outlook.com"/>
    <s v="Leather Wallet - Brown"/>
    <s v="Accessories"/>
    <s v="ACC-WLT-BRN"/>
    <n v="-2"/>
    <n v="19.989999999999998"/>
    <m/>
    <n v="0"/>
    <n v="7.99"/>
    <n v="47.97"/>
    <s v="Google Pay"/>
    <s v="Online Store"/>
    <s v="pending"/>
    <x v="2"/>
    <s v="California"/>
    <s v="Barnesville"/>
  </r>
  <r>
    <s v="#1003"/>
    <d v="2026-08-04T13:55:36"/>
    <s v="THOMAS ROJAS"/>
    <s v="thomas.rojas667@icloud.com"/>
    <s v="Slim Fit Denim Jeans"/>
    <s v="Apparel"/>
    <s v="JNS-BLU-32"/>
    <n v="1"/>
    <n v="39.99"/>
    <m/>
    <n v="0"/>
    <n v="5.99"/>
    <n v="45.98"/>
    <s v="Credit Card"/>
    <s v="Online Store"/>
    <s v="fulfilled"/>
    <x v="2"/>
    <s v="North Carolina"/>
    <s v="West Cynthialand"/>
  </r>
  <r>
    <s v="#1027"/>
    <d v="2026-08-04T13:58:50"/>
    <s v="Sandra Wilson"/>
    <s v="sandra.wilson554@outlook.com"/>
    <s v="Vitamin C Serum 30ml"/>
    <s v="Beauty"/>
    <s v="BTY-SRM-30"/>
    <n v="1"/>
    <n v="24.99"/>
    <s v="VIP15"/>
    <n v="3.75"/>
    <n v="7.99"/>
    <n v="29.23"/>
    <s v="Apple Pay"/>
    <s v="Online Store"/>
    <s v="pending"/>
    <x v="1"/>
    <m/>
    <s v="Hollyport"/>
  </r>
  <r>
    <s v="#1172"/>
    <d v="2026-08-04T14:01:00"/>
    <s v="TINA SINGH"/>
    <s v="tina.singh98@icloud.com"/>
    <s v="Leather Wallet - Brown"/>
    <s v="Accessories"/>
    <s v="ACC-WLT-BRN"/>
    <n v="1"/>
    <n v="19.989999999999998"/>
    <m/>
    <n v="0"/>
    <n v="5.99"/>
    <n v="25.98"/>
    <s v="Credit Card"/>
    <s v="Online Store"/>
    <s v="fulfilled"/>
    <x v="2"/>
    <s v="Washington"/>
    <s v="East Heathertown"/>
  </r>
  <r>
    <s v="#1260"/>
    <d v="2026-08-04T14:03:58"/>
    <s v="Morgan Brown"/>
    <s v="morgan.brown933@gmail.com"/>
    <s v="Wireless Bluetooth Earbuds"/>
    <s v="Electronics"/>
    <s v="ELC-WBE-01"/>
    <n v="1"/>
    <n v="29.99"/>
    <s v="FREESHIP"/>
    <n v="0"/>
    <n v="0"/>
    <n v="29.99"/>
    <s v="Apple Pay"/>
    <s v="Online Store"/>
    <s v="pending"/>
    <x v="2"/>
    <s v="Florida"/>
    <s v="Austinbury"/>
  </r>
  <r>
    <s v="#1262"/>
    <d v="2026-08-04T14:04:08"/>
    <s v="Mark Mata"/>
    <s v="mark.mata757@outlook.com"/>
    <s v="Facial Cleanser 200ml"/>
    <s v="Beauty"/>
    <s v="BTY-CLN-200"/>
    <n v="1"/>
    <n v="13.49"/>
    <m/>
    <n v="0"/>
    <n v="7.99"/>
    <n v="21.48"/>
    <s v="Apple Pay"/>
    <s v="Facebook"/>
    <s v="pending"/>
    <x v="2"/>
    <s v="Washington"/>
    <s v="Davidburgh"/>
  </r>
  <r>
    <s v="#1305"/>
    <d v="2026-08-04T14:04:15"/>
    <s v="Amy Maldonado"/>
    <s v="amy.maldonado44@gmail.com"/>
    <s v="Polarized Sunglasses"/>
    <s v="Accessories"/>
    <s v="ACC-SUN-01"/>
    <n v="1"/>
    <n v="16.989999999999998"/>
    <m/>
    <n v="0"/>
    <n v="5.99"/>
    <n v="22.98"/>
    <s v="PayPal"/>
    <s v="Online Store"/>
    <s v="fulfilled"/>
    <x v="0"/>
    <m/>
    <s v="Matthewstad"/>
  </r>
  <r>
    <s v="#1652"/>
    <d v="2026-08-04T14:02:11"/>
    <s v="Sean Frank"/>
    <s v="sean.frank587@icloud.com"/>
    <s v="Kids Building Blocks Set"/>
    <s v="Toys"/>
    <s v="TOY-BLK-SET"/>
    <n v="2"/>
    <n v="27.99"/>
    <s v="WELCOME10"/>
    <n v="5.6"/>
    <n v="7.99"/>
    <s v="$58.37"/>
    <s v="Credit Card"/>
    <s v="Facebook"/>
    <s v="fulfilled"/>
    <x v="4"/>
    <m/>
    <s v="Port Josephborough"/>
  </r>
  <r>
    <s v="#1719"/>
    <d v="2026-08-04T14:08:07"/>
    <s v="GRACE RAY"/>
    <s v="grace.ray807@yahoo.com"/>
    <s v="Wireless Mouse"/>
    <s v="Electronics"/>
    <s v="ELC-MSE-WL"/>
    <n v="2"/>
    <n v="11.99"/>
    <m/>
    <n v="0"/>
    <n v="7.99"/>
    <n v="31.97"/>
    <s v="Apple Pay"/>
    <s v="Facebook"/>
    <s v="cancelled"/>
    <x v="5"/>
    <m/>
    <s v="Lutzton"/>
  </r>
  <r>
    <s v="#1781"/>
    <s v="Aug 04, 2026"/>
    <s v="Sharon Brown"/>
    <m/>
    <s v="Running Shoes - Men's"/>
    <s v="Footwear"/>
    <s v="FTW-RUN-M"/>
    <n v="1"/>
    <n v="54.99"/>
    <m/>
    <n v="0"/>
    <n v="4.99"/>
    <n v="59.98"/>
    <s v="Shopify Payments"/>
    <s v="POS"/>
    <s v="fulfilled"/>
    <x v="2"/>
    <s v="Arizona"/>
    <s v="Clarkmouth"/>
  </r>
  <r>
    <s v="#1798"/>
    <d v="2026-08-04T13:57:37"/>
    <s v="TINA SINGH"/>
    <s v="tina.singh98@icloud.com"/>
    <s v="Adjustable Dumbbell Set"/>
    <s v="Sports &amp; Outdoors"/>
    <s v="SP-DMB-ADJ"/>
    <n v="2"/>
    <n v="89.99"/>
    <m/>
    <n v="0"/>
    <n v="0"/>
    <n v="179.98"/>
    <s v="Google Pay"/>
    <s v="POS"/>
    <s v="pending"/>
    <x v="2"/>
    <s v="Georgia"/>
    <s v="North Shannon"/>
  </r>
  <r>
    <s v="#1818"/>
    <s v="08/04/2026"/>
    <s v="Amanda Harris"/>
    <s v="amanda.harris197@gmail.com"/>
    <s v="USB-C Fast Charger 20W  "/>
    <s v="Electronics"/>
    <s v="ELC-CHG-20"/>
    <n v="1"/>
    <n v="15.49"/>
    <m/>
    <n v="0"/>
    <n v="5.99"/>
    <n v="21.48"/>
    <s v="Google Pay"/>
    <s v="Instagram"/>
    <s v="pending"/>
    <x v="2"/>
    <s v="Washington"/>
    <s v="Richardsonburgh"/>
  </r>
  <r>
    <s v="#1859"/>
    <d v="2026-08-04T13:55:24"/>
    <s v="Sarah Webb"/>
    <s v="sarah.webb997@outlook.com"/>
    <s v="Adjustable Dumbbell Set"/>
    <s v="Sports &amp; Outdoors"/>
    <s v="SP-DMB-ADJ"/>
    <n v="3"/>
    <n v="89.99"/>
    <s v="VIP15"/>
    <n v="40.5"/>
    <n v="0"/>
    <n v="229.47"/>
    <s v="PayPal"/>
    <s v="Facebook"/>
    <s v="fulfilled"/>
    <x v="3"/>
    <m/>
    <s v="North Ronald"/>
  </r>
  <r>
    <s v="#1866"/>
    <d v="2026-08-04T13:54:26"/>
    <s v="Melissa Jones"/>
    <m/>
    <s v="Ceramic Coffee Mug Set (4pc)"/>
    <s v="Home &amp; Kitchen"/>
    <s v="HK-MUG-4PK"/>
    <n v="1"/>
    <n v="18.989999999999998"/>
    <s v="FREESHIP"/>
    <n v="0"/>
    <n v="0"/>
    <n v="18.989999999999998"/>
    <s v="Credit Card"/>
    <s v="Online Store"/>
    <s v="pending"/>
    <x v="2"/>
    <s v="Florida"/>
    <s v="Kelseybury"/>
  </r>
  <r>
    <s v="#1948"/>
    <d v="2026-08-04T13:57:22"/>
    <s v="Peter Alvarez"/>
    <s v="peter.alvarez465@yahoo.com"/>
    <s v="Wireless Mouse"/>
    <s v="Electronics"/>
    <s v="ELC-MSE-WL"/>
    <n v="1"/>
    <n v="11.99"/>
    <s v="VIP15"/>
    <n v="1.8"/>
    <n v="5.99"/>
    <n v="16.18"/>
    <s v="PayPal"/>
    <s v="Online Store"/>
    <s v="fulfilled"/>
    <x v="2"/>
    <s v="Illinois"/>
    <s v="New Jeffreystad"/>
  </r>
  <r>
    <s v="#1963"/>
    <s v="04-08-2026 13:58"/>
    <s v="  Sean Frank"/>
    <s v="sean.frank587@icloud.com"/>
    <s v="Yoga Mat - Extra Thick"/>
    <s v="Sports &amp; Outdoors"/>
    <s v="SP-YGM-EX"/>
    <n v="1"/>
    <n v="22.99"/>
    <s v="VIP15"/>
    <n v="3.45"/>
    <n v="7.99"/>
    <n v="27.53"/>
    <s v="Credit Card"/>
    <s v="Online Store"/>
    <s v="fulfilled"/>
    <x v="4"/>
    <m/>
    <s v="New Bruce"/>
  </r>
  <r>
    <s v="#2040"/>
    <d v="2026-08-04T13:54:02"/>
    <s v="Sean Frank"/>
    <s v="sean.frank587@icloud.com"/>
    <s v="Stainless Steel Water Bottle"/>
    <s v="Home &amp; Kitchen"/>
    <s v="HK-BTL-750"/>
    <n v="1"/>
    <n v="12.99"/>
    <s v="VIP15"/>
    <n v="1.95"/>
    <n v="7.99"/>
    <n v="19.03"/>
    <s v="PayPal"/>
    <s v="Facebook"/>
    <s v="fulfilled"/>
    <x v="4"/>
    <m/>
    <s v="Thompsonburgh"/>
  </r>
  <r>
    <s v="#2130"/>
    <d v="2026-08-04T14:04:01"/>
    <s v="Jacqueline Graham"/>
    <s v="jacqueline.graham958@gmail.com"/>
    <s v="Phone Case - Clear"/>
    <s v="Electronics"/>
    <s v="ELC-CSE-CLR"/>
    <n v="1"/>
    <n v="8.99"/>
    <m/>
    <n v="0"/>
    <n v="5.99"/>
    <n v="14.98"/>
    <s v="Shopify Payments"/>
    <s v="POS"/>
    <s v="refunded"/>
    <x v="4"/>
    <m/>
    <s v="West Jeffreystad"/>
  </r>
  <r>
    <s v="#2204"/>
    <s v="08/04/2026"/>
    <s v="Maria Patterson"/>
    <s v="maria.patterson62@icloud.com"/>
    <s v="Yoga Mat - Extra Thick  "/>
    <s v="Sports &amp; Outdoors"/>
    <s v="SP-YGM-EX"/>
    <n v="1"/>
    <n v="22.99"/>
    <s v="VIP15"/>
    <n v="3.45"/>
    <n v="5.99"/>
    <n v="25.53"/>
    <s v="Credit Card"/>
    <s v="Instagram"/>
    <s v="cancelled"/>
    <x v="2"/>
    <s v="Texas"/>
    <s v="West Ericport"/>
  </r>
  <r>
    <s v="#2212"/>
    <d v="2026-08-04T14:01:47"/>
    <s v="  Anthony Patterson"/>
    <s v="anthony.patterson944@gmail.com"/>
    <s v="Scented Soy Candle - Vanilla"/>
    <s v="Home &amp; Kitchen"/>
    <s v="HK-CND-VAN"/>
    <n v="1"/>
    <n v="9.99"/>
    <s v="BFCM25"/>
    <n v="2.5"/>
    <n v="4.99"/>
    <n v="12.48"/>
    <s v="Shopify Payments"/>
    <s v="Instagram"/>
    <s v="refunded"/>
    <x v="0"/>
    <m/>
    <s v="Josephbury"/>
  </r>
  <r>
    <s v="#2331"/>
    <s v="04-08-2026 13:55"/>
    <s v="Taylor Davis"/>
    <s v="taylor.davis403@outlook.com"/>
    <s v="Scented Soy Candle - Vanilla"/>
    <s v="Home &amp; Kitchen"/>
    <s v="HK-CND-VAN"/>
    <n v="2"/>
    <s v="$9.99"/>
    <s v="FREESHIP"/>
    <n v="0"/>
    <n v="0"/>
    <n v="19.98"/>
    <s v="PayPal"/>
    <s v="Online Store"/>
    <s v="fulfilled"/>
    <x v="2"/>
    <s v="Florida"/>
    <s v="East Rhonda"/>
  </r>
  <r>
    <s v="#2402"/>
    <d v="2026-08-04T14:05:27"/>
    <s v="Dustin Mccoy"/>
    <s v="dustin.mccoy570@gmail.com"/>
    <s v="Running Shoes - Men's"/>
    <s v="Footwear"/>
    <s v="FTW-RUN-M"/>
    <n v="1"/>
    <n v="54.99"/>
    <m/>
    <n v="0"/>
    <n v="5.99"/>
    <n v="60.98"/>
    <s v="PayPal"/>
    <s v="Online Store"/>
    <s v="fulfilled"/>
    <x v="1"/>
    <m/>
    <s v="Lake Mariatown"/>
  </r>
  <r>
    <s v="#2415"/>
    <d v="2026-08-04T13:55:10"/>
    <s v="Vincent Rosales"/>
    <s v="vincent.rosales30@icloud.com"/>
    <s v="Scented Soy Candle - Vanilla"/>
    <s v="Home &amp; Kitchen"/>
    <s v="HK-CND-VAN"/>
    <n v="2"/>
    <n v="9.99"/>
    <s v="FREESHIP"/>
    <n v="0"/>
    <n v="0"/>
    <n v="19.98"/>
    <s v="PayPal"/>
    <s v="Online Store"/>
    <s v="pending"/>
    <x v="2"/>
    <s v="Texas"/>
    <s v="Stephaniebury"/>
  </r>
  <r>
    <s v="#2436"/>
    <d v="2026-08-04T13:59:22"/>
    <s v="David Fleming"/>
    <s v="david.fleming778@gmail.com"/>
    <s v="USB-C Fast Charger 20W"/>
    <s v="Electronics"/>
    <s v="ELC-CHG-20"/>
    <n v="1"/>
    <n v="15.49"/>
    <m/>
    <n v="0"/>
    <n v="4.99"/>
    <n v="20.48"/>
    <s v="PayPal"/>
    <s v="Instagram"/>
    <s v="fulfilled"/>
    <x v="4"/>
    <m/>
    <s v="Port Dustin"/>
  </r>
  <r>
    <s v="#2502"/>
    <s v="04-08-2026 13:57"/>
    <s v="Barbara Brown"/>
    <s v="barbara.brown26@gmail.com"/>
    <s v="Slim Fit Denim Jeans"/>
    <s v="Apparel"/>
    <s v="JNS-BLU-32"/>
    <n v="1"/>
    <n v="39.99"/>
    <s v="VIP15"/>
    <n v="6"/>
    <n v="7.99"/>
    <n v="41.98"/>
    <s v="Google Pay"/>
    <s v="Instagram"/>
    <s v="refunded"/>
    <x v="2"/>
    <s v="California"/>
    <s v="North Benjamintown"/>
  </r>
  <r>
    <s v="#2545"/>
    <d v="2026-08-04T14:04:38"/>
    <s v="Courtney Bullock"/>
    <s v="courtney.bullock860@outlook.com"/>
    <s v="Ceramic Coffee Mug Set (4pc)"/>
    <s v="Home &amp; Kitchen"/>
    <s v="HK-MUG-4PK"/>
    <n v="1"/>
    <n v="18.989999999999998"/>
    <s v="FREESHIP"/>
    <n v="0"/>
    <n v="0"/>
    <n v="18.989999999999998"/>
    <s v="Google Pay"/>
    <s v="Instagram"/>
    <s v="fulfilled"/>
    <x v="5"/>
    <m/>
    <s v="South Savannahton"/>
  </r>
  <r>
    <s v="#2581"/>
    <d v="2026-08-04T14:04:33"/>
    <s v="Lindsay Shaw"/>
    <s v="lindsay.shaw178@icloud.com"/>
    <s v="Leather Wallet - Brown"/>
    <s v="Accessories"/>
    <s v="ACC-WLT-BRN"/>
    <n v="1"/>
    <n v="19.989999999999998"/>
    <m/>
    <n v="0"/>
    <n v="4.99"/>
    <n v="24.98"/>
    <s v="Google Pay"/>
    <s v="Online Store"/>
    <s v="refunded"/>
    <x v="5"/>
    <m/>
    <s v="Campbellmouth"/>
  </r>
  <r>
    <s v="#2603"/>
    <s v="08/04/2026"/>
    <s v="Amanda Harris"/>
    <m/>
    <s v="Polarized Sunglasses"/>
    <s v="Accessories"/>
    <s v="ACC-SUN-01"/>
    <n v="1"/>
    <n v="16.989999999999998"/>
    <m/>
    <n v="0"/>
    <n v="7.99"/>
    <n v="24.98"/>
    <s v="Apple Pay"/>
    <s v="POS"/>
    <s v="cancelled"/>
    <x v="2"/>
    <s v="New York"/>
    <s v="Lake Steven"/>
  </r>
  <r>
    <s v="#2681"/>
    <s v="Aug 04, 2026"/>
    <s v="Farmer, Bradley"/>
    <s v="bradley.farmer290@icloud.com"/>
    <s v="Running Shoes - Men's"/>
    <s v="Footwear"/>
    <s v="FTW-RUN-M"/>
    <n v="1"/>
    <n v="54.99"/>
    <m/>
    <n v="0"/>
    <n v="7.99"/>
    <n v="62.98"/>
    <s v="PayPal"/>
    <s v="Instagram"/>
    <s v="fulfilled"/>
    <x v="5"/>
    <m/>
    <s v="Kimberlyview"/>
  </r>
  <r>
    <s v="#2704"/>
    <s v="08/04/2026"/>
    <s v="Katie Coleman"/>
    <s v="katie.coleman262@outlook.com"/>
    <s v="Classic Cotton T-Shirt"/>
    <s v="Apparel"/>
    <s v="TSH-BLK-M"/>
    <n v="1"/>
    <n v="14.99"/>
    <s v="VIP15"/>
    <n v="2.25"/>
    <n v="5.99"/>
    <n v="18.73"/>
    <s v="Google Pay"/>
    <s v="Online Store"/>
    <s v="fulfilled"/>
    <x v="1"/>
    <m/>
    <s v="East Annaville"/>
  </r>
  <r>
    <s v="#2737"/>
    <d v="2026-08-04T14:06:48"/>
    <s v="Rose English"/>
    <s v="rose.english118@icloud.com"/>
    <s v="Wireless Bluetooth Earbuds"/>
    <s v="Electronics"/>
    <s v="ELC-WBE-01"/>
    <n v="1"/>
    <n v="29.99"/>
    <m/>
    <n v="0"/>
    <n v="5.99"/>
    <s v="$35.98"/>
    <s v="Apple Pay"/>
    <s v="POS"/>
    <s v="fulfilled"/>
    <x v="3"/>
    <m/>
    <s v="East Courtneystad"/>
  </r>
  <r>
    <s v="#2751"/>
    <d v="2026-08-04T14:00:28"/>
    <s v="Amanda Harris"/>
    <s v="amanda.harris197@gmail.com"/>
    <s v="Vitamin C Serum 30ml"/>
    <s v="Beauty"/>
    <s v="BTY-SRM-30"/>
    <n v="1"/>
    <n v="24.99"/>
    <m/>
    <n v="0"/>
    <n v="4.99"/>
    <n v="29.98"/>
    <s v="Credit Card"/>
    <s v="Facebook"/>
    <s v="fulfilled"/>
    <x v="2"/>
    <s v="AZ"/>
    <s v="West Melissafurt"/>
  </r>
  <r>
    <s v="#2792"/>
    <d v="2026-08-04T13:57:37"/>
    <s v="Donald Davis"/>
    <s v="donald.davis404@icloud.com"/>
    <s v="Classic Cotton T-Shirt"/>
    <s v="Apparel"/>
    <s v="TSH-BLK-M"/>
    <n v="1"/>
    <n v="14.99"/>
    <s v="BFCM25"/>
    <n v="3.75"/>
    <n v="7.99"/>
    <n v="19.23"/>
    <s v="Shopify Payments"/>
    <s v="POS"/>
    <s v="pending"/>
    <x v="1"/>
    <m/>
    <s v="West Marcus"/>
  </r>
  <r>
    <s v="#2850"/>
    <s v="2026-08-04"/>
    <s v="Houston, William"/>
    <s v="william.houston340@outlook.com"/>
    <s v="Facial Cleanser 200ml"/>
    <s v="Beauty"/>
    <s v="BTY-CLN-200"/>
    <n v="1"/>
    <s v="$13.49"/>
    <m/>
    <n v="0"/>
    <n v="5.99"/>
    <n v="19.48"/>
    <s v="Apple Pay"/>
    <s v="Facebook"/>
    <s v="fulfilled"/>
    <x v="2"/>
    <s v="Ohio"/>
    <s v="East Kimville"/>
  </r>
  <r>
    <s v="#2893"/>
    <d v="2026-08-04T13:57:11"/>
    <s v="Darin Alvarez"/>
    <s v="darin.alvarez843@gmail.com"/>
    <s v="Classic Cotton T-Shirt"/>
    <s v="Apparel"/>
    <s v="TSH-BLK-M"/>
    <n v="4"/>
    <n v="14.99"/>
    <s v="SAVE20"/>
    <n v="11.99"/>
    <n v="7.99"/>
    <n v="55.96"/>
    <s v="PayPal"/>
    <s v="Online Store"/>
    <s v="cancelled"/>
    <x v="1"/>
    <m/>
    <s v="Lake William"/>
  </r>
  <r>
    <s v="#2917"/>
    <d v="2026-08-04T14:05:06"/>
    <s v="Andrew Cross"/>
    <s v="andrew.cross512@yahoo.com"/>
    <s v="Scented Soy Candle - Vanilla  "/>
    <s v="Home &amp; Kitchen"/>
    <s v="HK-CND-VAN"/>
    <n v="2"/>
    <n v="9.99"/>
    <s v="VIP15"/>
    <n v="3"/>
    <n v="7.99"/>
    <n v="24.97"/>
    <s v="Google Pay"/>
    <s v="Online Store"/>
    <s v="cancelled"/>
    <x v="2"/>
    <s v="Arizona"/>
    <s v="West Robert"/>
  </r>
  <r>
    <s v="#2415"/>
    <d v="2026-08-04T13:55:10"/>
    <s v="Vincent Rosales"/>
    <s v="vincent.rosales30@icloud.com"/>
    <s v="Scented Soy Candle - Vanilla"/>
    <s v="Home &amp; Kitchen"/>
    <s v="HK-CND-VAN"/>
    <n v="2"/>
    <s v="$9.99"/>
    <s v="FREESHIP"/>
    <n v="0"/>
    <n v="0"/>
    <n v="19.98"/>
    <s v="PayPal"/>
    <s v="Online Store"/>
    <s v="pending"/>
    <x v="2"/>
    <s v="Texas"/>
    <s v="Stephaniebury"/>
  </r>
  <r>
    <s v="#2751"/>
    <s v="2026-08-04"/>
    <s v="Amanda Harris"/>
    <m/>
    <s v="Vitamin C Serum 30ml"/>
    <s v="Beauty"/>
    <s v="BTY-SRM-30"/>
    <n v="1"/>
    <s v="$24.99"/>
    <m/>
    <n v="0"/>
    <n v="4.99"/>
    <n v="29.98"/>
    <s v="Credit Card"/>
    <s v="Facebook"/>
    <s v="fulfilled"/>
    <x v="2"/>
    <s v="Arizona"/>
    <s v="West Melissafurt"/>
  </r>
  <r>
    <s v="#1719"/>
    <s v="08/04/2026"/>
    <s v="GRACE RAY"/>
    <s v="grace.ray807@yahoo.com"/>
    <s v="Wireless Mouse"/>
    <s v="Electronics"/>
    <s v="ELC-MSE-WL"/>
    <n v="2"/>
    <n v="11.99"/>
    <m/>
    <n v="0"/>
    <n v="7.99"/>
    <n v="31.97"/>
    <s v="Apple Pay"/>
    <s v="Facebook"/>
    <s v="cancelled"/>
    <x v="5"/>
    <m/>
    <s v="Lutzton"/>
  </r>
  <r>
    <s v="#2204"/>
    <s v="Aug 04, 2026"/>
    <s v="Maria Patterson"/>
    <s v="maria.patterson62@icloud.com"/>
    <s v="Yoga Mat - Extra Thick"/>
    <s v="Sports &amp; Outdoors"/>
    <s v="SP-YGM-EX"/>
    <n v="1"/>
    <n v="22.99"/>
    <s v="VIP15"/>
    <n v="3.45"/>
    <n v="5.99"/>
    <n v="25.53"/>
    <s v="Credit Card"/>
    <s v="Instagram"/>
    <s v="cancelled"/>
    <x v="2"/>
    <s v="Texas"/>
    <s v="West Ericport"/>
  </r>
  <r>
    <s v="#1305"/>
    <d v="2026-08-04T14:04:15"/>
    <s v="Amy Maldonado"/>
    <s v="amy.maldonado44@gmail.com"/>
    <s v="Polarized Sunglasses"/>
    <s v="Accessories"/>
    <s v="ACC-SUN-01"/>
    <n v="1"/>
    <n v="16.989999999999998"/>
    <m/>
    <n v="0"/>
    <n v="5.99"/>
    <n v="22.98"/>
    <s v="PayPal"/>
    <s v="Online Store"/>
    <s v="fulfilled"/>
    <x v="0"/>
    <m/>
    <s v="Matthewstad"/>
  </r>
  <r>
    <s v="#1781"/>
    <d v="2026-08-04T13:55:08"/>
    <s v="  Sharon Brown"/>
    <s v="sharon.brown14@gmail.com"/>
    <s v="Running Shoes - Men's"/>
    <s v="Footwear"/>
    <s v="FTW-RUN-M"/>
    <n v="1"/>
    <n v="54.99"/>
    <m/>
    <n v="0"/>
    <n v="4.99"/>
    <n v="59.98"/>
    <s v="Shopify Payments"/>
    <s v="POS"/>
    <s v="fulfilled"/>
    <x v="2"/>
    <s v="Arizona"/>
    <s v="Clarkmouth"/>
  </r>
  <r>
    <s v="#2130"/>
    <s v="08/04/2026"/>
    <s v="Jacqueline Graham"/>
    <s v="jacqueline.graham958@gmail.com"/>
    <s v="Phone Case - Clear"/>
    <s v="Electronics"/>
    <s v="ELC-CSE-CLR"/>
    <n v="1"/>
    <n v="8.99"/>
    <m/>
    <n v="0"/>
    <n v="5.99"/>
    <n v="749"/>
    <s v="Shopify Payments"/>
    <s v="POS"/>
    <s v="refunded"/>
    <x v="4"/>
    <m/>
    <s v="West Jeffreystad"/>
  </r>
  <r>
    <s v="#1866"/>
    <d v="2026-08-04T13:54:26"/>
    <s v="Melissa Jones"/>
    <s v="melissa.jones297@yahoo.com"/>
    <s v="Ceramic Coffee Mug Set (4pc)"/>
    <s v="Home &amp; Kitchen"/>
    <s v="HK-MUG-4PK"/>
    <n v="1"/>
    <n v="18.989999999999998"/>
    <s v="FREESHIP"/>
    <n v="0"/>
    <n v="0"/>
    <n v="949.5"/>
    <s v="Credit Card"/>
    <s v="Online Store"/>
    <s v="pending"/>
    <x v="2"/>
    <s v="Florida"/>
    <s v="Kelseybury"/>
  </r>
  <r>
    <s v="#1859"/>
    <d v="2026-08-04T13:55:24"/>
    <s v="Sarah Webb"/>
    <s v="sarah.webb997@outlook.com"/>
    <s v="Adjustable Dumbbell Set"/>
    <s v="Sports &amp; Outdoors"/>
    <s v="SP-DMB-ADJ"/>
    <n v="3"/>
    <n v="89.99"/>
    <s v="VIP15"/>
    <n v="40.5"/>
    <n v="0"/>
    <n v="229.47"/>
    <s v="PayPal"/>
    <s v="Facebook"/>
    <s v="fulfilled"/>
    <x v="3"/>
    <m/>
    <s v="North Ronald"/>
  </r>
  <r>
    <s v="#2545"/>
    <d v="2026-08-04T14:04:38"/>
    <s v="Courtney Bullock"/>
    <s v="courtney.bullock860@outlook.com"/>
    <s v="Ceramic Coffee Mug Set (4pc)"/>
    <s v="Home &amp; Kitchen"/>
    <s v="HK-MUG-4PK"/>
    <n v="1"/>
    <n v="18.989999999999998"/>
    <s v="FREESHIP"/>
    <n v="0"/>
    <n v="0"/>
    <n v="18.989999999999998"/>
    <s v="Google Pay"/>
    <s v="Instagram"/>
    <s v="fulfilled"/>
    <x v="5"/>
    <m/>
    <s v="South Savannahton"/>
  </r>
  <r>
    <s v="#2917"/>
    <s v="08/04/2026"/>
    <s v="Andrew Cross"/>
    <s v="andrew.cross512@yahoo.com"/>
    <s v="Scented Soy Candle - Vanilla"/>
    <s v="Home &amp; Kitchen"/>
    <s v="HK-CND-VAN"/>
    <n v="2"/>
    <n v="9.99"/>
    <s v="VIP15"/>
    <n v="3"/>
    <n v="7.99"/>
    <n v="24.97"/>
    <s v="Google Pay"/>
    <s v="Online Store"/>
    <s v="cancelled"/>
    <x v="2"/>
    <s v="Arizona"/>
    <s v="West Robert"/>
  </r>
  <r>
    <s v="#1818"/>
    <d v="2026-08-04T13:59:54"/>
    <s v="Amanda Harris"/>
    <s v="amanda.harris197@gmail.com"/>
    <s v="USB-C Fast Charger 20W"/>
    <s v="Electronics"/>
    <s v="ELC-CHG-20"/>
    <n v="1"/>
    <n v="15.49"/>
    <m/>
    <n v="0"/>
    <n v="5.99"/>
    <s v="$21.48"/>
    <s v="Google Pay"/>
    <s v="Instagram"/>
    <s v="pending"/>
    <x v="2"/>
    <s v="Washington"/>
    <s v="Richardsonburgh"/>
  </r>
  <r>
    <s v="#1948"/>
    <d v="2026-08-04T13:57:22"/>
    <s v="Peter Alvarez"/>
    <s v="peter.alvarez465@yahoo.com"/>
    <s v="Wireless Mouse"/>
    <s v="Electronics"/>
    <s v="ELC-MSE-WL"/>
    <n v="1"/>
    <s v="$11.99"/>
    <s v="VIP15"/>
    <n v="1.8"/>
    <n v="5.99"/>
    <n v="16.18"/>
    <s v="PayPal"/>
    <s v="Online Store"/>
    <s v="fulfilled"/>
    <x v="2"/>
    <s v="Illinois"/>
    <s v="New Jeffreystad"/>
  </r>
  <r>
    <s v="#2704"/>
    <d v="2026-08-04T14:06:42"/>
    <s v="Katie Coleman"/>
    <s v="katie.coleman262@outlook.com"/>
    <s v="Classic Cotton T-Shirt"/>
    <s v="Apparel"/>
    <s v="TSH-BLK-M"/>
    <n v="1"/>
    <n v="14.99"/>
    <s v="VIP15 "/>
    <n v="2.25"/>
    <n v="5.99"/>
    <n v="18.73"/>
    <s v="Google Pay"/>
    <s v="Online Store"/>
    <s v="fulfilled"/>
    <x v="1"/>
    <m/>
    <s v="East Annaville"/>
  </r>
  <r>
    <s v="#2040"/>
    <d v="2026-08-04T13:54:02"/>
    <s v="Sean Frank"/>
    <s v="sean.frank587@icloud.com"/>
    <s v="Stainless Steel Water Bottle"/>
    <s v="Home &amp; Kitchen"/>
    <s v="HK-BTL-750"/>
    <n v="1"/>
    <n v="12.99"/>
    <s v="VIP15"/>
    <n v="1.95"/>
    <n v="7.99"/>
    <n v="19.03"/>
    <s v="PayPal"/>
    <s v="Facebook"/>
    <s v="fulfilled"/>
    <x v="4"/>
    <m/>
    <s v="Thompsonburgh"/>
  </r>
  <r>
    <s v="#2402"/>
    <d v="2026-08-04T14:05:27"/>
    <s v="Dustin Mccoy"/>
    <s v="dustin.mccoy570@gmail.com"/>
    <s v="Running Shoes - Men's"/>
    <s v="Footwear"/>
    <s v="FTW-RUN-M"/>
    <n v="1"/>
    <n v="54.99"/>
    <m/>
    <n v="0"/>
    <n v="5.99"/>
    <n v="60.98"/>
    <s v="PayPal"/>
    <s v="Online Store"/>
    <s v="fulfilled"/>
    <x v="1"/>
    <m/>
    <s v="Lake Mariatown"/>
  </r>
  <r>
    <s v="#2681"/>
    <d v="2026-08-04T13:59:46"/>
    <s v="Bradley Farmer"/>
    <s v="bradley.farmer290@icloud.com"/>
    <s v="Running Shoes - Men's"/>
    <s v="Footwear"/>
    <s v="FTW-RUN-M"/>
    <n v="1"/>
    <n v="54.99"/>
    <m/>
    <n v="0"/>
    <n v="7.99"/>
    <n v="62.98"/>
    <s v="PayPal"/>
    <s v="Instagram"/>
    <s v="fulfilled"/>
    <x v="5"/>
    <m/>
    <s v="Kimberlyview"/>
  </r>
  <r>
    <s v="#2502"/>
    <d v="2026-08-04T13:57:49"/>
    <s v="Barbara Brown"/>
    <s v="barbara.brown26@gmail.com"/>
    <s v="Slim Fit Denim Jeans"/>
    <s v="Apparel"/>
    <s v="JNS-BLU-32"/>
    <n v="1"/>
    <n v="39.99"/>
    <s v="VIP15"/>
    <n v="6"/>
    <n v="7.99"/>
    <n v="41.98"/>
    <s v="Google Pay"/>
    <s v="Instagram"/>
    <s v="refunded"/>
    <x v="2"/>
    <s v="California"/>
    <s v="North Benjamintown"/>
  </r>
  <r>
    <s v="#2436"/>
    <d v="2026-08-04T13:59:22"/>
    <s v="David Fleming"/>
    <s v="david.fleming778@gmail.com"/>
    <s v="USB-C Fast Charger 20W"/>
    <s v="Electronics"/>
    <s v="ELC-CHG-20"/>
    <n v="1"/>
    <n v="15.49"/>
    <m/>
    <n v="0"/>
    <n v="4.99"/>
    <n v="20.48"/>
    <s v="PayPal"/>
    <s v="Instagram"/>
    <s v="fulfilled"/>
    <x v="4"/>
    <m/>
    <s v="Port Dustin"/>
  </r>
  <r>
    <s v="#1262"/>
    <d v="2026-08-04T14:04:08"/>
    <s v="Mark Mata"/>
    <s v="mark.mata757@outlook.com"/>
    <s v="Facial Cleanser 200ml"/>
    <s v="Beauty"/>
    <s v="BTY-CLN-200"/>
    <n v="1"/>
    <n v="13.49"/>
    <m/>
    <s v="$0.00"/>
    <n v="7.99"/>
    <n v="21.48"/>
    <s v="Apple Pay"/>
    <s v="Facebook"/>
    <s v="pending"/>
    <x v="2"/>
    <s v="Washington"/>
    <s v="Davidburgh"/>
  </r>
  <r>
    <s v="#2792"/>
    <s v="08/04/2026"/>
    <s v="Donald Davis"/>
    <s v="donald.davis404@icloud.com"/>
    <s v="Classic Cotton T-Shirt"/>
    <s v="Apparel"/>
    <s v="TSH-BLK-M"/>
    <n v="1"/>
    <n v="14.99"/>
    <s v="BFCM25"/>
    <n v="3.75"/>
    <n v="7.99"/>
    <n v="19.23"/>
    <s v="Shopify Payments"/>
    <s v="POS"/>
    <s v="pending"/>
    <x v="1"/>
    <m/>
    <s v="West Marcus"/>
  </r>
  <r>
    <s v="#2893"/>
    <d v="2026-08-04T13:57:11"/>
    <s v="Darin Alvarez"/>
    <s v="darin.alvarez843@gmail.com"/>
    <s v="Classic Cotton T-Shirt"/>
    <s v="Apparel"/>
    <s v="TSH-BLK-M"/>
    <n v="4"/>
    <n v="14.99"/>
    <s v="SAVE20"/>
    <n v="11.99"/>
    <n v="7.99"/>
    <n v="55.96"/>
    <s v="PayPal"/>
    <s v="Online Store"/>
    <s v="cancelled"/>
    <x v="1"/>
    <m/>
    <s v="Lake William"/>
  </r>
  <r>
    <s v="#1027"/>
    <d v="2026-08-04T13:58:50"/>
    <s v="Sandra Wilson"/>
    <m/>
    <s v="Vitamin C Serum 30ml"/>
    <s v="Beauty"/>
    <s v="BTY-SRM-30"/>
    <n v="1"/>
    <n v="24.99"/>
    <s v="VIP15"/>
    <n v="3.75"/>
    <n v="7.99"/>
    <n v="29.23"/>
    <s v="Apple Pay"/>
    <s v="Online Store"/>
    <s v="pending"/>
    <x v="1"/>
    <m/>
    <s v="Hollyport"/>
  </r>
  <r>
    <s v="#2581"/>
    <d v="2026-08-04T14:04:33"/>
    <s v="Lindsay Shaw"/>
    <s v="lindsay.shaw178@icloud.com"/>
    <s v="Leather Wallet - Brown"/>
    <s v="Accessories"/>
    <s v="ACC-WLT-BRN"/>
    <n v="1"/>
    <n v="19.989999999999998"/>
    <m/>
    <n v="0"/>
    <n v="4.99"/>
    <n v="24.98"/>
    <s v="Google Pay"/>
    <s v="Online Store"/>
    <s v="refunded"/>
    <x v="5"/>
    <m/>
    <s v="Campbellmouth"/>
  </r>
  <r>
    <s v="#1652"/>
    <d v="2026-08-04T14:02:11"/>
    <s v="Sean Frank"/>
    <s v="sean.frank587@icloud.com"/>
    <s v="Kids Building Blocks Set"/>
    <s v="Toys"/>
    <s v="TOY-BLK-SET"/>
    <n v="2"/>
    <n v="27.99"/>
    <s v="WELCOME10"/>
    <n v="5.6"/>
    <n v="7.99"/>
    <n v="58.37"/>
    <s v="Credit Card"/>
    <s v="Facebook"/>
    <s v="fulfilled"/>
    <x v="4"/>
    <m/>
    <s v="Port Josephborough"/>
  </r>
  <r>
    <s v="#2603"/>
    <d v="2026-08-04T14:01:58"/>
    <s v="Amanda Harris"/>
    <s v="amanda.harris197@gmail.com"/>
    <s v="Polarized Sunglasses"/>
    <s v="Accessories"/>
    <s v="ACC-SUN-01"/>
    <n v="1"/>
    <n v="16.989999999999998"/>
    <m/>
    <n v="0"/>
    <n v="7.99"/>
    <n v="24.98"/>
    <s v="Apple Pay"/>
    <s v="POS"/>
    <s v="cancelled"/>
    <x v="2"/>
    <s v="NY"/>
    <s v="Lake Steven"/>
  </r>
  <r>
    <s v="#2850"/>
    <s v="Aug 04, 2026"/>
    <s v="William Houston"/>
    <m/>
    <s v="Facial Cleanser 200ml"/>
    <s v="Beauty"/>
    <s v="BTY-CLN-200"/>
    <n v="1"/>
    <n v="13.49"/>
    <m/>
    <n v="0"/>
    <n v="5.99"/>
    <n v="19.48"/>
    <s v="Apple Pay"/>
    <s v="Facebook"/>
    <s v="fulfilled"/>
    <x v="2"/>
    <s v="OH"/>
    <s v="East Kimville"/>
  </r>
  <r>
    <s v="#2212"/>
    <d v="2026-08-04T14:01:47"/>
    <s v="Patterson, Anthony"/>
    <s v="anthony.patterson944@gmail.com"/>
    <s v="Scented Soy Candle - Vanilla"/>
    <s v="Home &amp; Kitchen"/>
    <s v="HK-CND-VAN"/>
    <n v="1"/>
    <n v="9.99"/>
    <s v="BFCM25"/>
    <n v="2.5"/>
    <n v="4.99"/>
    <n v="12.48"/>
    <s v="Shopify Payments"/>
    <s v="Instagram"/>
    <s v="refunded"/>
    <x v="0"/>
    <m/>
    <s v="Josephbury"/>
  </r>
  <r>
    <s v="#1003"/>
    <s v="Aug 04, 2026"/>
    <s v="THOMAS ROJAS"/>
    <s v="thomas.rojas667@icloud.com"/>
    <s v="Slim Fit Denim Jeans"/>
    <s v="Apparel"/>
    <s v="JNS-BLU-32"/>
    <n v="1"/>
    <n v="39.99"/>
    <m/>
    <n v="0"/>
    <n v="5.99"/>
    <n v="45.98"/>
    <s v="Credit Card"/>
    <s v="Online Store"/>
    <s v="fulfilled"/>
    <x v="2"/>
    <s v="North Carolina"/>
    <s v="West Cynthialand"/>
  </r>
  <r>
    <s v="#2331"/>
    <d v="2026-08-04T13:55:08"/>
    <s v="Taylor Davis"/>
    <s v="taylor.davis403@outlook.com"/>
    <s v="Scented Soy Candle - Vanilla"/>
    <s v="Home &amp; Kitchen"/>
    <s v="HK-CND-VAN"/>
    <n v="2"/>
    <n v="9.99"/>
    <s v="FREESHIP"/>
    <n v="0"/>
    <n v="0"/>
    <n v="19.98"/>
    <s v="PayPal"/>
    <s v="Online Store"/>
    <s v="fulfilled"/>
    <x v="2"/>
    <s v="Florida"/>
    <s v="East Rhonda"/>
  </r>
  <r>
    <s v="#1172"/>
    <d v="2026-08-04T14:01:00"/>
    <s v="TINA SINGH"/>
    <s v="tina.singh98@icloud.com"/>
    <s v="Leather Wallet - Brown"/>
    <s v="Accessories"/>
    <s v="ACC-WLT-BRN"/>
    <n v="1"/>
    <n v="19.989999999999998"/>
    <m/>
    <n v="0"/>
    <n v="5.99"/>
    <n v="25.98"/>
    <s v="Credit Card"/>
    <s v="Online Store"/>
    <s v="fulfilled"/>
    <x v="2"/>
    <s v="Washington"/>
    <s v="East Heathertown"/>
  </r>
  <r>
    <s v="#2737"/>
    <d v="2026-08-04T14:06:48"/>
    <s v="Rose English"/>
    <s v="rose.english118@icloud.com"/>
    <s v="Wireless Bluetooth Earbuds"/>
    <s v="Electronics"/>
    <s v="ELC-WBE-01"/>
    <n v="1"/>
    <s v="$29.99"/>
    <m/>
    <n v="0"/>
    <n v="5.99"/>
    <n v="35.979999999999997"/>
    <s v="Apple Pay"/>
    <s v="POS"/>
    <s v="fulfilled"/>
    <x v="3"/>
    <m/>
    <s v="East Courtneystad"/>
  </r>
  <r>
    <s v="#1798"/>
    <s v="08/04/2026"/>
    <s v="TINA SINGH"/>
    <m/>
    <s v="Adjustable Dumbbell Set"/>
    <s v="Sports &amp; Outdoors"/>
    <s v="SP-DMB-ADJ"/>
    <n v="2"/>
    <n v="89.99"/>
    <m/>
    <n v="0"/>
    <n v="0"/>
    <n v="179.98"/>
    <s v="Google Pay"/>
    <s v="POS"/>
    <s v="pending"/>
    <x v="2"/>
    <s v="Georgia"/>
    <s v="North Shannon"/>
  </r>
  <r>
    <s v="#1963"/>
    <d v="2026-08-04T13:58:20"/>
    <s v="Sean Frank"/>
    <s v="sean.frank587@icloud.com"/>
    <s v="Yoga Mat - Extra Thick"/>
    <s v="Sports &amp; Outdoors"/>
    <s v="SP-YGM-EX"/>
    <n v="1"/>
    <n v="22.99"/>
    <s v="VIP15"/>
    <n v="3.45"/>
    <n v="7.99"/>
    <n v="27.53"/>
    <s v="Credit Card"/>
    <s v="Online Store"/>
    <s v="fulfilled"/>
    <x v="4"/>
    <m/>
    <s v="New Bruce"/>
  </r>
  <r>
    <s v="#1260"/>
    <d v="2026-08-04T14:03:58"/>
    <s v="Morgan Brown"/>
    <s v="morgan.brown933@gmail.com"/>
    <s v="Wireless Bluetooth Earbuds"/>
    <s v="Electronics"/>
    <s v="ELC-WBE-01"/>
    <n v="1"/>
    <n v="29.99"/>
    <s v="FREESHIP"/>
    <n v="0"/>
    <n v="0"/>
    <n v="29.99"/>
    <s v="Apple Pay"/>
    <s v="Online Store"/>
    <s v="pending"/>
    <x v="2"/>
    <s v="Florida"/>
    <s v="Austinbury"/>
  </r>
  <r>
    <s v="#1001"/>
    <d v="2026-08-04T13:55:58"/>
    <s v="Glenn Mcmahon"/>
    <s v="glenn.mcmahon733@yahoo.com"/>
    <s v="Stainless Steel Water Bottle  "/>
    <s v="Home &amp; Kitchen"/>
    <s v="HK-BTL-750"/>
    <n v="1"/>
    <n v="12.99"/>
    <s v="SAVE20"/>
    <s v="$2.60"/>
    <n v="5.99"/>
    <n v="16.38"/>
    <s v="Google Pay"/>
    <s v="Online Store"/>
    <s v="pending"/>
    <x v="2"/>
    <s v="Georgia"/>
    <s v="Jamesfurt"/>
  </r>
  <r>
    <s v="#1002"/>
    <d v="2026-08-04T14:00:14"/>
    <s v="Miranda Gray"/>
    <s v="miranda.gray649@yahoo.com"/>
    <s v="Portable Power Bank 10000mAh"/>
    <s v="Electronics"/>
    <s v="ELC-PWB-10K"/>
    <n v="1"/>
    <n v="21.99"/>
    <s v="FREESHIP"/>
    <n v="0"/>
    <n v="0"/>
    <n v="21.99"/>
    <s v="Shopify Payments"/>
    <s v="Facebook"/>
    <s v="refunded"/>
    <x v="0"/>
    <m/>
    <s v="Port Davidshire"/>
  </r>
  <r>
    <s v="#1004"/>
    <d v="2026-08-04T14:06:42"/>
    <s v="Robyn Hughes"/>
    <s v="robyn.hughes771@gmail.com"/>
    <s v="Scented Soy Candle - Vanilla"/>
    <s v="Home &amp; Kitchen"/>
    <s v="HK-CND-VAN"/>
    <n v="1"/>
    <n v="9.99"/>
    <s v="FREESHIP"/>
    <n v="0"/>
    <n v="0"/>
    <n v="9.99"/>
    <s v="Google Pay"/>
    <s v="Facebook"/>
    <s v="fulfilled"/>
    <x v="2"/>
    <s v="New York"/>
    <s v="New Debra"/>
  </r>
  <r>
    <s v="#1005"/>
    <d v="2026-08-04T13:53:46"/>
    <s v="Sharon Brown"/>
    <s v="sharon.brown14@gmail.com"/>
    <s v="Classic Cotton T-Shirt"/>
    <s v="Apparel"/>
    <s v="TSH-BLK-L"/>
    <n v="1"/>
    <n v="14.99"/>
    <s v="WELCOME10"/>
    <n v="1.5"/>
    <n v="5.99"/>
    <n v="19.48"/>
    <s v="Apple Pay"/>
    <s v="Online Store"/>
    <s v="fulfilled"/>
    <x v="2"/>
    <s v="Illinois"/>
    <s v="Lake Angel"/>
  </r>
  <r>
    <s v="#1006"/>
    <d v="2026-08-04T14:00:26"/>
    <s v="Joshua Anderson"/>
    <s v="joshua.anderson662@gmail.com"/>
    <s v="Scented Soy Candle - Vanilla"/>
    <s v="Home &amp; Kitchen"/>
    <s v="HK-CND-VAN"/>
    <n v="2"/>
    <n v="9.99"/>
    <s v="WELCOME10"/>
    <n v="2"/>
    <n v="4.99"/>
    <n v="22.97"/>
    <s v="PayPal"/>
    <s v="Facebook"/>
    <s v="fulfilled"/>
    <x v="1"/>
    <m/>
    <s v="Joshuastad"/>
  </r>
  <r>
    <s v="#1007"/>
    <d v="2026-08-04T14:05:52"/>
    <s v="Maria Leon"/>
    <s v="maria.leon163@outlook.com"/>
    <s v="Adjustable Dumbbell Set"/>
    <s v="Sports &amp; Outdoors"/>
    <s v="SP-DMB-ADJ"/>
    <n v="1"/>
    <n v="89.99"/>
    <m/>
    <n v="0"/>
    <n v="0"/>
    <n v="89.99"/>
    <s v="Apple Pay"/>
    <s v="Online Store"/>
    <s v="refunded"/>
    <x v="1"/>
    <m/>
    <s v="North Rebeccaland"/>
  </r>
  <r>
    <s v="#1008"/>
    <d v="2026-08-04T13:55:20"/>
    <s v="austin norris"/>
    <s v="austin.norris15@gmail.com"/>
    <s v="Running Shoes - Women's"/>
    <s v="Footwear"/>
    <s v="FTW-RUN-W"/>
    <n v="1"/>
    <n v="54.99"/>
    <m/>
    <n v="0"/>
    <n v="4.99"/>
    <n v="59.98"/>
    <s v="Credit Card"/>
    <s v="Instagram"/>
    <s v="fulfilled"/>
    <x v="2"/>
    <s v="Florida"/>
    <s v="South Kaitlyn"/>
  </r>
  <r>
    <s v="#1009"/>
    <d v="2026-08-04T14:06:48"/>
    <s v="Jennifer Burke"/>
    <s v="jennifer.burke472@icloud.com"/>
    <s v="Running Shoes - Women's  "/>
    <s v="Footwear"/>
    <s v="FTW-RUN-W"/>
    <n v="3"/>
    <n v="54.99"/>
    <s v="SAVE20"/>
    <n v="32.99"/>
    <n v="0"/>
    <s v="$131.98"/>
    <s v="Google Pay"/>
    <s v="Online Store"/>
    <s v="cancelled"/>
    <x v="0"/>
    <m/>
    <s v="Reneemouth"/>
  </r>
  <r>
    <s v="#1010"/>
    <s v="04-08-2026 14:06"/>
    <s v="Robert Miller"/>
    <s v="robert.miller69@yahoo.com"/>
    <s v="Leather Wallet - Brown"/>
    <s v="Accessories"/>
    <s v="ACC-WLT-BRN"/>
    <n v="1"/>
    <n v="19.989999999999998"/>
    <s v="WELCOME10"/>
    <n v="2"/>
    <n v="4.99"/>
    <n v="22.98"/>
    <s v="PayPal"/>
    <s v="Online Store"/>
    <s v="refunded"/>
    <x v="4"/>
    <m/>
    <s v="Ortizview"/>
  </r>
  <r>
    <s v="#1011"/>
    <d v="2026-08-04T14:02:04"/>
    <s v="Patricia Townsend"/>
    <m/>
    <s v="Yoga Mat - Extra Thick"/>
    <s v="Sports &amp; Outdoors"/>
    <s v="SP-YGM-EX"/>
    <n v="1"/>
    <n v="22.99"/>
    <m/>
    <n v="0"/>
    <n v="7.99"/>
    <n v="30.98"/>
    <s v="Shopify Payments"/>
    <s v="POS"/>
    <s v="fulfilled"/>
    <x v="2"/>
    <s v="Ohio"/>
    <s v="West Stephentown"/>
  </r>
  <r>
    <s v="#1012"/>
    <d v="2026-08-04T13:54:35"/>
    <s v="Karen Jones"/>
    <s v="karen.jones287@icloud.com"/>
    <s v="Stainless Steel Water Bottle"/>
    <s v="Home &amp; Kitchen"/>
    <s v="HK-BTL-750"/>
    <n v="1"/>
    <n v="12.99"/>
    <s v="BFCM25"/>
    <n v="3.25"/>
    <n v="4.99"/>
    <s v="$14.73"/>
    <s v="Shopify Payments"/>
    <s v="Online Store"/>
    <s v="refunded"/>
    <x v="4"/>
    <m/>
    <s v="South Joseph"/>
  </r>
  <r>
    <s v="#1013"/>
    <d v="2026-08-04T14:02:41"/>
    <s v="Anthony Patterson"/>
    <s v="anthony.patterson944@gmail.com"/>
    <s v="Resistance Bands Set"/>
    <s v="Sports &amp; Outdoors"/>
    <s v="SP-RBS-SET"/>
    <n v="1"/>
    <n v="13.99"/>
    <s v="SAVE20"/>
    <n v="2.8"/>
    <n v="5.99"/>
    <n v="17.18"/>
    <s v="Apple Pay"/>
    <s v="Instagram"/>
    <s v="cancelled"/>
    <x v="0"/>
    <m/>
    <s v="West Denisemouth"/>
  </r>
  <r>
    <s v="#1014"/>
    <d v="2026-08-04T14:02:11"/>
    <s v="Frederick Bean"/>
    <s v="frederick.bean141@outlook.com"/>
    <s v="Polarized Sunglasses"/>
    <s v="Accessories"/>
    <s v="ACC-SUN-01"/>
    <n v="1"/>
    <n v="16.989999999999998"/>
    <m/>
    <n v="0"/>
    <n v="5.99"/>
    <n v="22.98"/>
    <s v="Credit Card"/>
    <s v="Online Store"/>
    <s v="fulfilled"/>
    <x v="2"/>
    <s v="Florida"/>
    <s v="Kimberlychester"/>
  </r>
  <r>
    <s v="#1015"/>
    <d v="2026-08-04T14:08:21"/>
    <s v="Linda Byrd"/>
    <s v="linda.byrd87@outlook.com"/>
    <s v="Yoga Mat - Extra Thick"/>
    <s v="Sports &amp; Outdoors"/>
    <s v="SP-YGM-EX"/>
    <n v="1"/>
    <n v="22.99"/>
    <s v="SAVE20"/>
    <n v="4.5999999999999996"/>
    <n v="4.99"/>
    <n v="23.38"/>
    <s v="Google Pay"/>
    <s v="POS"/>
    <s v="fulfilled"/>
    <x v="2"/>
    <s v="AZ"/>
    <s v="Deanstad"/>
  </r>
  <r>
    <s v="#1016"/>
    <s v="08/04/2026"/>
    <s v="Rachel Jimenez"/>
    <s v="rachel.jimenez326@outlook.com"/>
    <s v="Adjustable Dumbbell Set"/>
    <s v="Sports &amp; Outdoors"/>
    <s v="SP-DMB-ADJ"/>
    <n v="1"/>
    <n v="89.99"/>
    <m/>
    <n v="0"/>
    <n v="0"/>
    <n v="89.99"/>
    <s v="Google Pay"/>
    <s v="POS"/>
    <s v="fulfilled"/>
    <x v="2"/>
    <s v="Texas"/>
    <s v="Larsonchester"/>
  </r>
  <r>
    <s v="#1017"/>
    <s v="2026-08-04"/>
    <s v="John Jacobs"/>
    <s v="john.jacobs137@yahoo.com"/>
    <s v="Hooded Sweatshirt"/>
    <s v="Apparel"/>
    <s v="APR-HOD-GRY"/>
    <n v="2"/>
    <n v="34.99"/>
    <m/>
    <n v="0"/>
    <n v="4.99"/>
    <n v="74.97"/>
    <s v="Shopify Payments"/>
    <s v="Online Store"/>
    <s v="fulfilled"/>
    <x v="4"/>
    <m/>
    <s v="South Beverlyton"/>
  </r>
  <r>
    <s v="#1018"/>
    <s v="2026-08-04"/>
    <s v="Mary Phillips"/>
    <s v="mary.phillips944@yahoo.com"/>
    <s v="Wireless Bluetooth Earbuds"/>
    <s v="Electronics"/>
    <s v="ELC-WBE-01"/>
    <n v="1"/>
    <n v="29.99"/>
    <m/>
    <n v="0"/>
    <n v="7.99"/>
    <n v="37.979999999999997"/>
    <s v="PayPal"/>
    <s v="POS"/>
    <s v="fulfilled"/>
    <x v="2"/>
    <s v="AZ"/>
    <s v="Guerraton"/>
  </r>
  <r>
    <s v="#1019"/>
    <d v="2026-08-04T13:53:36"/>
    <s v="Alison Schroeder"/>
    <s v="alison.schroeder943@icloud.com"/>
    <s v="Wireless Bluetooth Earbuds"/>
    <s v="Electronics"/>
    <s v="ELC-WBE-01"/>
    <n v="1"/>
    <n v="29.99"/>
    <s v="FREESHIP"/>
    <n v="0"/>
    <n v="0"/>
    <n v="29.99"/>
    <s v="PayPal"/>
    <s v="Online Store"/>
    <s v="fulfilled"/>
    <x v="4"/>
    <m/>
    <s v="West Jonathanview"/>
  </r>
  <r>
    <s v="#1020"/>
    <d v="2026-08-04T14:06:02"/>
    <s v="John Carson"/>
    <s v="john.carson203@yahoo.com"/>
    <s v="Wireless Bluetooth Earbuds"/>
    <s v="Electronics"/>
    <s v="ELC-WBE-01"/>
    <n v="1"/>
    <n v="29.99"/>
    <s v="SAVE20"/>
    <n v="6"/>
    <n v="5.99"/>
    <n v="29.98"/>
    <s v="Shopify Payments"/>
    <s v="POS"/>
    <s v="fulfilled"/>
    <x v="2"/>
    <s v="Ohio"/>
    <s v="Nathanieltown"/>
  </r>
  <r>
    <s v="#1021"/>
    <d v="2026-08-04T13:55:15"/>
    <s v="Tyler Williams"/>
    <s v="tyler.williams938@outlook.com"/>
    <s v="Backpack - 25L"/>
    <s v="Accessories"/>
    <s v="ACC-BPK-25L"/>
    <n v="1"/>
    <s v="$32.99"/>
    <s v="BFCM25"/>
    <n v="8.25"/>
    <n v="4.99"/>
    <n v="29.73"/>
    <s v="PayPal"/>
    <s v="Instagram"/>
    <s v="refunded"/>
    <x v="4"/>
    <m/>
    <s v="North Michellestad"/>
  </r>
  <r>
    <s v="#1022"/>
    <s v="Aug 04, 2026"/>
    <s v="Rebecca Watts"/>
    <s v="rebecca.watts779@gmail.com"/>
    <s v="Running Shoes - Women's"/>
    <s v="Footwear"/>
    <s v="FTW-RUN-W"/>
    <n v="2"/>
    <n v="54.99"/>
    <m/>
    <n v="0"/>
    <n v="0"/>
    <n v="109.98"/>
    <s v="Shopify Payments"/>
    <s v="Instagram"/>
    <s v="fulfilled"/>
    <x v="2"/>
    <s v="Illinois"/>
    <s v="Tammystad"/>
  </r>
  <r>
    <s v="#1023"/>
    <d v="2026-08-04T13:57:14"/>
    <s v="Angela Carr"/>
    <s v="angela.carr488@yahoo.com"/>
    <s v="Polarized Sunglasses"/>
    <s v="Accessories"/>
    <s v="ACC-SUN-01"/>
    <n v="1"/>
    <n v="16.989999999999998"/>
    <s v="BFCM25"/>
    <n v="4.25"/>
    <n v="7.99"/>
    <n v="20.73"/>
    <s v="Shopify Payments"/>
    <s v="POS"/>
    <s v="pending"/>
    <x v="2"/>
    <s v="Canada"/>
    <s v="Hansenberg"/>
  </r>
  <r>
    <s v="#1024"/>
    <d v="2026-08-04T14:04:07"/>
    <s v="Michelle Bell"/>
    <s v="michelle.bell28@yahoo.com"/>
    <s v="Wireless Mouse"/>
    <s v="Electronics"/>
    <s v="ELC-MSE-WL"/>
    <n v="1"/>
    <n v="11.99"/>
    <m/>
    <s v="$0.00"/>
    <n v="4.99"/>
    <s v="$16.98"/>
    <s v="Google Pay"/>
    <s v="Online Store"/>
    <s v="refunded"/>
    <x v="2"/>
    <s v="New York"/>
    <s v="Michaelmouth"/>
  </r>
  <r>
    <s v="#1025"/>
    <s v="04-08-2026 14:06"/>
    <s v="Amanda Robinson"/>
    <s v="amanda.robinson263@icloud.com"/>
    <s v="Facial Cleanser 200ml"/>
    <s v="Beauty"/>
    <s v="BTY-CLN-200"/>
    <n v="2"/>
    <n v="13.49"/>
    <s v="WELCOME10"/>
    <n v="2.7"/>
    <n v="5.99"/>
    <n v="30.27"/>
    <s v="Google Pay"/>
    <s v="Facebook"/>
    <s v="pending"/>
    <x v="2"/>
    <s v="Georgia"/>
    <s v="Martineztown"/>
  </r>
  <r>
    <s v="#1026"/>
    <d v="2026-08-04T14:04:49"/>
    <s v="Amanda Rodriguez"/>
    <s v="amanda.rodriguez770@yahoo.com"/>
    <s v="Adjustable Dumbbell Set"/>
    <s v="Sports &amp; Outdoors"/>
    <s v="SP-DMB-ADJ"/>
    <n v="1"/>
    <n v="89.99"/>
    <m/>
    <n v="0"/>
    <n v="0"/>
    <n v="89.99"/>
    <s v="PayPal"/>
    <s v="POS"/>
    <s v="fulfilled"/>
    <x v="2"/>
    <s v="North Carolina"/>
    <s v="Port Brittneyview"/>
  </r>
  <r>
    <s v="#1028"/>
    <d v="2026-08-04T13:53:56"/>
    <s v="Andrea Martinez"/>
    <s v="andrea.martinez756@yahoo.com"/>
    <s v="Scented Soy Candle - Vanilla"/>
    <s v="Home &amp; Kitchen"/>
    <s v="HK-CND-VAN"/>
    <n v="1"/>
    <s v="$9.99"/>
    <m/>
    <n v="0"/>
    <n v="7.99"/>
    <n v="17.98"/>
    <s v="Shopify Payments"/>
    <s v="POS"/>
    <s v="fulfilled"/>
    <x v="4"/>
    <m/>
    <s v="East Sarah"/>
  </r>
  <r>
    <s v="#1029"/>
    <d v="2026-08-04T13:54:55"/>
    <s v="Michelle Bell"/>
    <s v="michelle.bell28@yahoo.com"/>
    <s v="Facial Cleanser 200ml"/>
    <s v="Beauty"/>
    <s v="BTY-CLN-200"/>
    <n v="1"/>
    <n v="13.49"/>
    <s v="FREESHIP"/>
    <n v="0"/>
    <n v="0"/>
    <n v="13.49"/>
    <s v="Credit Card"/>
    <s v="Online Store"/>
    <s v="refunded"/>
    <x v="2"/>
    <s v="Florida"/>
    <s v="Terrymouth"/>
  </r>
  <r>
    <s v="#1030"/>
    <d v="2026-08-04T14:03:57"/>
    <s v="Kenneth Davis"/>
    <s v="kenneth.davis106@yahoo.com"/>
    <s v="Backpack - 25L"/>
    <s v="Accessories"/>
    <s v="ACC-BPK-25L"/>
    <n v="2"/>
    <n v="32.99"/>
    <m/>
    <n v="0"/>
    <n v="5.99"/>
    <n v="71.97"/>
    <s v="Shopify Payments"/>
    <s v="Online Store"/>
    <s v="fulfilled"/>
    <x v="2"/>
    <s v="Florida"/>
    <s v="Millerside"/>
  </r>
  <r>
    <s v="#1031"/>
    <s v="Aug 04, 2026"/>
    <s v="Tyler Williams"/>
    <s v="tyler.williams938@outlook.com"/>
    <s v="Wireless Mouse"/>
    <s v="Electronics"/>
    <s v="ELC-MSE-WL"/>
    <n v="1"/>
    <n v="11.99"/>
    <s v="SAVE20"/>
    <n v="2.4"/>
    <n v="7.99"/>
    <n v="17.579999999999998"/>
    <s v="Credit Card"/>
    <s v="Facebook"/>
    <s v="pending"/>
    <x v="4"/>
    <m/>
    <s v="Donaldshire"/>
  </r>
  <r>
    <s v="#1032"/>
    <d v="2026-08-04T14:08:18"/>
    <s v="Joe Taylor"/>
    <s v="joe.taylor714@yahoo.com"/>
    <s v="Throw Blanket - Fleece"/>
    <s v="Home &amp; Kitchen"/>
    <s v="HK-BLK-FLC"/>
    <n v="2"/>
    <n v="17.989999999999998"/>
    <m/>
    <n v="0"/>
    <n v="4.99"/>
    <n v="40.97"/>
    <s v="PayPal"/>
    <s v="Instagram"/>
    <s v="fulfilled"/>
    <x v="3"/>
    <m/>
    <s v="New Marciatown"/>
  </r>
  <r>
    <s v="#1033"/>
    <d v="2026-08-04T14:02:34"/>
    <s v="Anthony Marshall"/>
    <s v="anthony.marshall823@yahoo.com"/>
    <s v="Vitamin C Serum 30ml"/>
    <s v="Beauty"/>
    <s v="BTY-SRM-30"/>
    <n v="1"/>
    <n v="24.99"/>
    <s v="VIP15"/>
    <n v="3.75"/>
    <n v="5.99"/>
    <n v="27.23"/>
    <s v="Google Pay"/>
    <s v="Online Store"/>
    <s v="fulfilled"/>
    <x v="2"/>
    <s v="Ohio"/>
    <s v="Timothyton"/>
  </r>
  <r>
    <s v="#1034"/>
    <d v="2026-08-04T13:55:46"/>
    <s v="Amy Barnett"/>
    <m/>
    <s v="Resistance Bands Set"/>
    <s v="Sports &amp; Outdoors"/>
    <s v="SP-RBS-SET"/>
    <n v="2"/>
    <n v="13.99"/>
    <s v="WELCOME10"/>
    <n v="2.8"/>
    <n v="4.99"/>
    <n v="30.17"/>
    <s v="Shopify Payments"/>
    <s v="Online Store"/>
    <s v="fulfilled"/>
    <x v="0"/>
    <m/>
    <s v="Joshuaborough"/>
  </r>
  <r>
    <s v="#1035"/>
    <d v="2026-08-04T13:59:37"/>
    <s v="Glenn Smith"/>
    <s v="glenn.smith305@gmail.com"/>
    <s v="Kids Building Blocks Set"/>
    <s v="Toys"/>
    <s v="TOY-BLK-SET"/>
    <n v="2"/>
    <n v="27.99"/>
    <m/>
    <n v="0"/>
    <n v="5.99"/>
    <n v="61.97"/>
    <s v="PayPal"/>
    <s v="Online Store"/>
    <s v="fulfilled"/>
    <x v="1"/>
    <m/>
    <s v="East Jeffreybury"/>
  </r>
  <r>
    <s v="#1036"/>
    <d v="2026-08-04T13:56:32"/>
    <s v="Diane Campos"/>
    <s v="diane.campos325@gmail.com"/>
    <s v="Classic Cotton T-Shirt"/>
    <s v="Apparel"/>
    <s v="TSH-BLK-L"/>
    <n v="2"/>
    <n v="14.99"/>
    <s v="WELCOME10"/>
    <n v="3"/>
    <n v="7.99"/>
    <n v="34.97"/>
    <s v="PayPal"/>
    <s v="Facebook"/>
    <s v="fulfilled"/>
    <x v="2"/>
    <s v="Washington"/>
    <s v="West Patrickmouth"/>
  </r>
  <r>
    <s v="#1037"/>
    <s v="08/04/2026"/>
    <s v="Tamara Dodson"/>
    <s v="tamara.dodson539@gmail.com"/>
    <s v="Backpack - 25L"/>
    <s v="Accessories"/>
    <s v="ACC-BPK-25L"/>
    <n v="2"/>
    <n v="32.99"/>
    <s v="SAVE20"/>
    <n v="13.2"/>
    <n v="5.99"/>
    <n v="58.77"/>
    <s v="Credit Card"/>
    <s v="Online Store"/>
    <s v="cancelled"/>
    <x v="0"/>
    <m/>
    <s v="Williamfort"/>
  </r>
  <r>
    <s v="#1038"/>
    <s v="04-08-2026 13:58"/>
    <s v="William Houston"/>
    <m/>
    <s v="Stainless Steel Water Bottle"/>
    <s v="Home &amp; Kitchen"/>
    <s v="HK-BTL-750"/>
    <n v="2"/>
    <n v="12.99"/>
    <m/>
    <n v="0"/>
    <n v="4.99"/>
    <n v="30.97"/>
    <s v="Google Pay"/>
    <s v="Instagram"/>
    <s v="fulfilled"/>
    <x v="2"/>
    <s v="Ohio"/>
    <s v="Greenfurt"/>
  </r>
  <r>
    <s v="#1039"/>
    <d v="2026-08-04T14:02:19"/>
    <s v="Rivera, Thomas"/>
    <s v="thomas.rivera720@yahoo.com"/>
    <s v="Hooded Sweatshirt"/>
    <s v="Apparel"/>
    <s v="APR-HOD-GRY"/>
    <n v="1"/>
    <n v="34.99"/>
    <s v="WELCOME10"/>
    <s v="$3.50"/>
    <n v="7.99"/>
    <n v="39.479999999999997"/>
    <s v="Google Pay"/>
    <s v="POS"/>
    <s v="fulfilled"/>
    <x v="2"/>
    <s v="Washington"/>
    <s v="Lake Tiffany"/>
  </r>
  <r>
    <s v="#1040"/>
    <d v="2026-08-04T14:03:43"/>
    <s v="  Monica Hicks"/>
    <s v="monica.hicks473@yahoo.com"/>
    <s v="USB-C Fast Charger 20W"/>
    <s v="Electronics"/>
    <s v="ELC-CHG-20"/>
    <n v="1"/>
    <n v="15.49"/>
    <m/>
    <n v="0"/>
    <n v="7.99"/>
    <n v="23.48"/>
    <s v="Google Pay"/>
    <s v="Instagram"/>
    <s v="fulfilled"/>
    <x v="2"/>
    <s v="Georgia"/>
    <s v="West Lanceview"/>
  </r>
  <r>
    <s v="#1041"/>
    <d v="2026-08-04T14:07:23"/>
    <s v="Dustin Griffin"/>
    <s v="dustin.griffin434@gmail.com"/>
    <s v="Ceramic Coffee Mug Set (4pc)"/>
    <s v="Home &amp; Kitchen"/>
    <s v="HK-MUG-4PK"/>
    <n v="1"/>
    <n v="18.989999999999998"/>
    <s v="BFCM25"/>
    <n v="4.75"/>
    <n v="7.99"/>
    <n v="22.23"/>
    <s v="Shopify Payments"/>
    <s v="Online Store"/>
    <s v="fulfilled"/>
    <x v="2"/>
    <s v="Florida"/>
    <s v="Mooretown"/>
  </r>
  <r>
    <s v="#1043"/>
    <s v="Aug 04, 2026"/>
    <s v="Linda Scott"/>
    <s v="linda.scott2@icloud.com"/>
    <s v="Scented Soy Candle - Vanilla"/>
    <s v="Home &amp; Kitchen"/>
    <s v="HK-CND-VAN"/>
    <n v="2"/>
    <n v="9.99"/>
    <m/>
    <n v="0"/>
    <n v="5.99"/>
    <n v="25.97"/>
    <s v="PayPal"/>
    <s v="Online Store"/>
    <s v="refunded"/>
    <x v="1"/>
    <m/>
    <s v="North Tonyfurt"/>
  </r>
  <r>
    <s v="#1044"/>
    <d v="2026-08-04T13:54:21"/>
    <s v="Angela Carr"/>
    <s v="angela.carr488@yahoo.com"/>
    <s v="Non-Stick Frying Pan 10in"/>
    <s v="Home &amp; Kitchen"/>
    <s v="HK-PAN-10"/>
    <n v="1"/>
    <n v="24.99"/>
    <s v="SAVE20"/>
    <n v="5"/>
    <n v="7.99"/>
    <n v="27.98"/>
    <s v="Credit Card"/>
    <s v="Facebook"/>
    <s v="cancelled"/>
    <x v="2"/>
    <s v="Georgia"/>
    <s v="Bakerborough"/>
  </r>
  <r>
    <s v="#1045"/>
    <d v="2026-08-04T14:08:13"/>
    <s v="Jose Ingram"/>
    <s v="jose.ingram37@gmail.com"/>
    <s v="USB-C Fast Charger 20W"/>
    <s v="Electronics"/>
    <s v="ELC-CHG-20"/>
    <n v="1"/>
    <n v="15.49"/>
    <m/>
    <n v="0"/>
    <n v="5.99"/>
    <n v="21.48"/>
    <s v="Credit Card"/>
    <s v="POS"/>
    <s v="fulfilled"/>
    <x v="2"/>
    <s v="Canada"/>
    <s v="Port Rosebury"/>
  </r>
  <r>
    <s v="#1046"/>
    <d v="2026-08-04T14:03:04"/>
    <s v="Kristen Lewis"/>
    <s v="kristen.lewis649@icloud.com"/>
    <s v="Running Shoes - Women's"/>
    <s v="Footwear"/>
    <s v="FTW-RUN-W"/>
    <n v="1"/>
    <n v="54.99"/>
    <s v="VIP15"/>
    <n v="8.25"/>
    <n v="7.99"/>
    <n v="54.73"/>
    <s v="Credit Card"/>
    <s v="Online Store"/>
    <s v="fulfilled"/>
    <x v="2"/>
    <s v="WA"/>
    <s v="North Jacqueline"/>
  </r>
  <r>
    <s v="#1047"/>
    <d v="2026-08-04T14:04:42"/>
    <s v="Michael Jacobson"/>
    <s v="michael.jacobson69@outlook.com"/>
    <s v="Wireless Bluetooth Earbuds"/>
    <s v="Electronics"/>
    <s v="ELC-WBE-01"/>
    <n v="1"/>
    <n v="29.99"/>
    <s v="VIP15"/>
    <n v="4.5"/>
    <n v="7.99"/>
    <s v="$33.48"/>
    <s v="Google Pay"/>
    <s v="Online Store"/>
    <s v="fulfilled"/>
    <x v="3"/>
    <m/>
    <s v="Craigmouth"/>
  </r>
  <r>
    <s v="#1048"/>
    <d v="2026-08-04T14:07:11"/>
    <s v="Andrew Johnson"/>
    <s v="andrew.johnson94@outlook.com"/>
    <s v="Vitamin C Serum 30ml"/>
    <s v="Beauty"/>
    <s v="BTY-SRM-30"/>
    <n v="1"/>
    <n v="24.99"/>
    <s v="WELCOME10"/>
    <n v="2.5"/>
    <n v="5.99"/>
    <n v="28.48"/>
    <s v="PayPal"/>
    <s v="Facebook"/>
    <s v="fulfilled"/>
    <x v="4"/>
    <m/>
    <s v="Briannahaven"/>
  </r>
  <r>
    <s v="#1049"/>
    <d v="2026-08-04T14:02:52"/>
    <s v="Byrd, Linda"/>
    <s v="linda.byrd87@outlook.com"/>
    <s v="Wireless Mouse"/>
    <s v="Electronics"/>
    <s v="ELC-MSE-WL"/>
    <n v="2"/>
    <n v="11.99"/>
    <s v="WELCOME10"/>
    <n v="2.4"/>
    <n v="5.99"/>
    <n v="27.57"/>
    <s v="Google Pay"/>
    <s v="Instagram"/>
    <s v="refunded"/>
    <x v="2"/>
    <s v="Georgia"/>
    <s v="Robertfurt"/>
  </r>
  <r>
    <s v="#1050"/>
    <d v="2026-08-04T14:01:55"/>
    <s v="TINA SINGH"/>
    <s v="tina.singh98@icloud.com"/>
    <s v="Resistance Bands Set"/>
    <s v="Sports &amp; Outdoors"/>
    <s v="SP-RBS-SET"/>
    <n v="1"/>
    <n v="13.99"/>
    <s v="BFCM25"/>
    <n v="3.5"/>
    <n v="4.99"/>
    <n v="15.48"/>
    <s v="Shopify Payments"/>
    <s v="Online Store"/>
    <s v="fulfilled"/>
    <x v="2"/>
    <s v="Texas"/>
    <s v="Port Angela"/>
  </r>
  <r>
    <s v="#1051"/>
    <d v="2026-08-04T13:59:15"/>
    <s v="Paul Dillon"/>
    <s v="paul.dillon750@icloud.com"/>
    <s v="Phone Case - Clear"/>
    <s v="Electronics"/>
    <s v="ELC-CSE-CLR"/>
    <n v="1"/>
    <n v="8.99"/>
    <s v="BFCM25"/>
    <n v="2.25"/>
    <n v="7.99"/>
    <n v="14.73"/>
    <s v="PayPal"/>
    <s v="Online Store"/>
    <s v="fulfilled"/>
    <x v="4"/>
    <m/>
    <s v="Comptonstad"/>
  </r>
  <r>
    <s v="#1052"/>
    <d v="2026-08-04T14:03:12"/>
    <s v="Leon Oliver"/>
    <s v="leon.oliver578@gmail.com"/>
    <s v="Stainless Steel Water Bottle"/>
    <s v="Home &amp; Kitchen"/>
    <s v="HK-BTL-750"/>
    <n v="3"/>
    <n v="12.99"/>
    <s v="VIP15"/>
    <n v="5.85"/>
    <n v="7.99"/>
    <n v="41.11"/>
    <s v="PayPal"/>
    <s v="Facebook"/>
    <s v="cancelled"/>
    <x v="1"/>
    <m/>
    <s v="Samuelshire"/>
  </r>
  <r>
    <s v="#1053"/>
    <d v="2026-08-04T14:08:09"/>
    <s v="Anthony Parsons"/>
    <m/>
    <s v="USB-C Fast Charger 20W"/>
    <s v="Electronics"/>
    <s v="ELC-CHG-20"/>
    <n v="2"/>
    <s v="$15.49"/>
    <m/>
    <n v="0"/>
    <n v="4.99"/>
    <n v="35.97"/>
    <s v="Google Pay"/>
    <s v="Facebook"/>
    <s v="cancelled"/>
    <x v="2"/>
    <s v="North Carolina"/>
    <s v="Alexanderland"/>
  </r>
  <r>
    <s v="#1054"/>
    <d v="2026-08-04T13:55:11"/>
    <s v="Stacey Johnson"/>
    <s v="stacey.johnson95@gmail.com"/>
    <s v="Ceramic Coffee Mug Set (4pc)"/>
    <s v="Home &amp; Kitchen"/>
    <s v="HK-MUG-4PK"/>
    <n v="1"/>
    <n v="18.989999999999998"/>
    <m/>
    <s v="$0.00"/>
    <n v="4.99"/>
    <n v="23.98"/>
    <s v="Apple Pay"/>
    <s v="Online Store"/>
    <s v="refunded"/>
    <x v="3"/>
    <m/>
    <s v="Lake Jeffrey"/>
  </r>
  <r>
    <s v="#1055"/>
    <d v="2026-08-04T14:06:30"/>
    <s v="Anthony Mullen"/>
    <s v="anthony.mullen523@yahoo.com"/>
    <s v="Hooded Sweatshirt"/>
    <s v="Apparel"/>
    <s v="APR-HOD-GRY"/>
    <n v="1"/>
    <n v="34.99"/>
    <s v="SAVE20"/>
    <n v="7"/>
    <n v="7.99"/>
    <n v="35.979999999999997"/>
    <s v="Credit Card"/>
    <s v="Facebook"/>
    <s v="pending"/>
    <x v="2"/>
    <s v="Georgia"/>
    <s v="Geraldhaven"/>
  </r>
  <r>
    <s v="#1056"/>
    <d v="2026-08-04T14:04:40"/>
    <s v="Lauren Nguyen"/>
    <s v="lauren.nguyen819@outlook.com"/>
    <s v="Ceramic Coffee Mug Set (4pc)"/>
    <s v="Home &amp; Kitchen"/>
    <s v="HK-MUG-4PK"/>
    <n v="1"/>
    <n v="18.989999999999998"/>
    <s v="SAVE20"/>
    <n v="3.8"/>
    <n v="7.99"/>
    <n v="23.18"/>
    <s v="Apple Pay"/>
    <s v="POS"/>
    <s v="fulfilled"/>
    <x v="5"/>
    <m/>
    <s v="North Christopherview"/>
  </r>
  <r>
    <s v="#1057"/>
    <d v="2026-08-04T13:58:48"/>
    <s v="Melissa Smith"/>
    <s v="melissa.smith711@gmail.com"/>
    <s v="USB-C Fast Charger 20W"/>
    <s v="Electronics"/>
    <s v="ELC-CHG-20"/>
    <n v="1"/>
    <n v="15.49"/>
    <s v="WELCOME10"/>
    <n v="1.55"/>
    <n v="5.99"/>
    <n v="19.93"/>
    <s v="Shopify Payments"/>
    <s v="Online Store"/>
    <s v="fulfilled"/>
    <x v="0"/>
    <m/>
    <s v="Nancymouth"/>
  </r>
  <r>
    <s v="#1058"/>
    <s v="04-08-2026 13:54"/>
    <s v="Amanda Harris"/>
    <m/>
    <s v="Hooded Sweatshirt"/>
    <s v="Apparel"/>
    <s v="APR-HOD-GRY"/>
    <n v="1"/>
    <s v="$34.99"/>
    <m/>
    <n v="0"/>
    <n v="7.99"/>
    <n v="42.98"/>
    <s v="Shopify Payments"/>
    <s v="Online Store"/>
    <s v="fulfilled"/>
    <x v="2"/>
    <s v="Arizona"/>
    <s v="Lake Alyssa"/>
  </r>
  <r>
    <s v="#1059"/>
    <d v="2026-08-04T14:05:24"/>
    <s v="William Houston"/>
    <s v="william.houston340@outlook.com"/>
    <s v="Kids Building Blocks Set"/>
    <s v="Toys"/>
    <s v="TOY-BLK-SET"/>
    <n v="1"/>
    <n v="27.99"/>
    <m/>
    <n v="0"/>
    <n v="5.99"/>
    <n v="33.979999999999997"/>
    <s v="Apple Pay"/>
    <s v="Instagram"/>
    <s v="fulfilled"/>
    <x v="2"/>
    <s v="TX"/>
    <s v="Mooreport"/>
  </r>
  <r>
    <s v="#1060"/>
    <d v="2026-08-04T13:57:58"/>
    <s v="Heather Davis"/>
    <s v="heather.davis117@icloud.com"/>
    <s v="Hooded Sweatshirt"/>
    <s v="Apparel"/>
    <s v="APR-HOD-GRY"/>
    <n v="2"/>
    <s v="$34.99"/>
    <m/>
    <n v="0"/>
    <n v="5.99"/>
    <n v="75.97"/>
    <s v="Apple Pay"/>
    <s v="Online Store"/>
    <s v="fulfilled"/>
    <x v="3"/>
    <m/>
    <s v="East Tiffany"/>
  </r>
  <r>
    <s v="#1061"/>
    <d v="2026-08-04T14:03:34"/>
    <s v="Stacey Johnson"/>
    <s v="stacey.johnson95@gmail.com"/>
    <s v="Phone Case - Clear"/>
    <s v="Electronics"/>
    <s v="ELC-CSE-CLR"/>
    <n v="2"/>
    <n v="8.99"/>
    <s v="FREESHIP"/>
    <n v="0"/>
    <n v="0"/>
    <n v="17.98"/>
    <s v="Credit Card"/>
    <s v="Online Store"/>
    <s v="cancelled"/>
    <x v="3"/>
    <m/>
    <s v="West Charles"/>
  </r>
  <r>
    <s v="#1062"/>
    <d v="2026-08-04T14:00:09"/>
    <s v="Lisa Flowers"/>
    <s v="lisa.flowers14@icloud.com"/>
    <s v="Hooded Sweatshirt"/>
    <s v="Apparel"/>
    <s v="APR-HOD-GRY"/>
    <n v="1"/>
    <n v="34.99"/>
    <s v="FREESHIP"/>
    <n v="0"/>
    <n v="0"/>
    <n v="34.99"/>
    <s v="Shopify Payments"/>
    <s v="Online Store"/>
    <s v="cancelled"/>
    <x v="3"/>
    <m/>
    <s v="Port Patriciaborough"/>
  </r>
  <r>
    <s v="#1063"/>
    <d v="2026-08-04T14:06:16"/>
    <s v="Robert Boyd"/>
    <s v="robert.boyd184@yahoo.com"/>
    <s v="Yoga Mat - Extra Thick"/>
    <s v="Sports &amp; Outdoors"/>
    <s v="SP-YGM-EX"/>
    <n v="2"/>
    <n v="22.99"/>
    <s v="FREESHIP"/>
    <n v="0"/>
    <n v="0"/>
    <n v="45.98"/>
    <s v="Apple Pay"/>
    <s v="Online Store"/>
    <s v="fulfilled"/>
    <x v="1"/>
    <m/>
    <s v="North Ariel"/>
  </r>
  <r>
    <s v="#1064"/>
    <d v="2026-08-04T14:08:12"/>
    <s v="Jennifer Burke"/>
    <s v="jennifer.burke472@icloud.com"/>
    <s v="Running Shoes - Men's"/>
    <s v="Footwear"/>
    <s v="FTW-RUN-M"/>
    <n v="2"/>
    <s v="$54.99"/>
    <m/>
    <n v="0"/>
    <n v="0"/>
    <n v="109.98"/>
    <s v="Apple Pay"/>
    <s v="Online Store"/>
    <s v="cancelled"/>
    <x v="0"/>
    <m/>
    <s v="Arroyomouth"/>
  </r>
  <r>
    <s v="#1065"/>
    <d v="2026-08-04T14:02:18"/>
    <s v="Jaime Vargas"/>
    <s v="jaime.vargas795@outlook.com"/>
    <s v="Adjustable Dumbbell Set"/>
    <s v="Sports &amp; Outdoors"/>
    <s v="SP-DMB-ADJ"/>
    <n v="4"/>
    <n v="89.99"/>
    <m/>
    <n v="0"/>
    <n v="0"/>
    <n v="359.96"/>
    <s v="Apple Pay"/>
    <s v="Instagram"/>
    <s v="fulfilled"/>
    <x v="5"/>
    <m/>
    <s v="North Victoriamouth"/>
  </r>
  <r>
    <s v="#1066"/>
    <d v="2026-08-04T14:01:57"/>
    <s v="Kristen Aguirre"/>
    <s v="kristen.aguirre898@gmail.com"/>
    <s v="Portable Power Bank 10000mAh"/>
    <s v="Electronics"/>
    <s v="ELC-PWB-10K"/>
    <n v="2"/>
    <n v="21.99"/>
    <s v="FREESHIP"/>
    <n v="0"/>
    <n v="0"/>
    <n v="43.98"/>
    <s v="Credit Card"/>
    <s v="Online Store"/>
    <s v="fulfilled"/>
    <x v="3"/>
    <m/>
    <s v="Dennisborough"/>
  </r>
  <r>
    <s v="#1067"/>
    <s v="Aug 04, 2026"/>
    <s v="Amanda Robinson"/>
    <m/>
    <s v="Stainless Steel Water Bottle"/>
    <s v="Home &amp; Kitchen"/>
    <s v="HK-BTL-750"/>
    <n v="2"/>
    <n v="12.99"/>
    <s v="FREESHIP"/>
    <n v="0"/>
    <n v="0"/>
    <n v="25.98"/>
    <s v="Apple Pay"/>
    <s v="Online Store"/>
    <s v="fulfilled"/>
    <x v="2"/>
    <s v="Texas"/>
    <s v="Lake Josehaven"/>
  </r>
  <r>
    <s v="#1068"/>
    <d v="2026-08-04T14:04:01"/>
    <s v="Mary Garcia"/>
    <s v="mary.garcia899@icloud.com"/>
    <s v="Throw Blanket - Fleece"/>
    <s v="Home &amp; Kitchen"/>
    <s v="HK-BLK-FLC"/>
    <n v="1"/>
    <n v="17.989999999999998"/>
    <s v="WELCOME10"/>
    <n v="1.8"/>
    <n v="7.99"/>
    <n v="24.18"/>
    <s v="Credit Card"/>
    <s v="Online Store"/>
    <s v="pending"/>
    <x v="1"/>
    <m/>
    <s v="Lake Rebecca"/>
  </r>
  <r>
    <s v="#1069"/>
    <d v="2026-08-04T14:00:22"/>
    <s v="Kristina Cook"/>
    <s v="kristina.cook392@outlook.com"/>
    <s v="Slim Fit Denim Jeans"/>
    <s v="Apparel"/>
    <s v="JNS-BLU-32"/>
    <n v="1"/>
    <n v="39.99"/>
    <m/>
    <n v="0"/>
    <n v="4.99"/>
    <n v="44.98"/>
    <s v="Credit Card"/>
    <s v="Online Store"/>
    <s v="refunded"/>
    <x v="2"/>
    <s v="TX"/>
    <s v="Copelandburgh"/>
  </r>
  <r>
    <s v="#1070"/>
    <d v="2026-08-04T14:01:09"/>
    <s v="Shelly Griffith"/>
    <s v="shelly.griffith342@icloud.com"/>
    <s v="Vitamin C Serum 30ml"/>
    <s v="Beauty"/>
    <s v="BTY-SRM-30"/>
    <n v="1"/>
    <n v="24.99"/>
    <s v="VIP15"/>
    <n v="3.75"/>
    <n v="4.99"/>
    <n v="26.23"/>
    <s v="PayPal"/>
    <s v="Online Store"/>
    <s v="fulfilled"/>
    <x v="4"/>
    <m/>
    <s v="Lake Michele"/>
  </r>
  <r>
    <s v="#1071"/>
    <d v="2026-08-04T13:55:13"/>
    <s v="Kathryn Robinson"/>
    <s v="kathryn.robinson965@gmail.com"/>
    <s v="Scented Soy Candle - Vanilla"/>
    <s v="Home &amp; Kitchen"/>
    <s v="HK-CND-VAN"/>
    <n v="2"/>
    <n v="9.99"/>
    <s v="BFCM25 "/>
    <n v="5"/>
    <n v="5.99"/>
    <n v="20.97"/>
    <s v="Shopify Payments"/>
    <s v="Instagram"/>
    <s v="fulfilled"/>
    <x v="5"/>
    <m/>
    <s v="South Katherine"/>
  </r>
  <r>
    <s v="#1072"/>
    <s v="08/04/2026"/>
    <s v="Katie Coleman"/>
    <s v="katie.coleman262@outlook.com"/>
    <s v="Phone Case - Clear"/>
    <s v="Electronics"/>
    <s v="ELC-CSE-CLR"/>
    <n v="1"/>
    <n v="8.99"/>
    <m/>
    <n v="0"/>
    <n v="5.99"/>
    <n v="14.98"/>
    <s v="Apple Pay"/>
    <s v="Online Store"/>
    <s v="refunded"/>
    <x v="1"/>
    <m/>
    <s v="Kennethfurt"/>
  </r>
  <r>
    <s v="#1073"/>
    <d v="2026-08-04T14:07:13"/>
    <s v="Brittney Thomas"/>
    <s v="brittney.thomas484@gmail.com"/>
    <s v="Classic Cotton T-Shirt"/>
    <s v="Apparel"/>
    <s v="TSH-BLK-L"/>
    <n v="1"/>
    <n v="14.99"/>
    <s v="WELCOME10"/>
    <n v="1.5"/>
    <n v="7.99"/>
    <n v="21.48"/>
    <s v="Shopify Payments"/>
    <s v="POS"/>
    <s v="refunded"/>
    <x v="2"/>
    <s v="Georgia"/>
    <s v="Moyerstad"/>
  </r>
  <r>
    <s v="#1074"/>
    <d v="2026-08-04T13:57:49"/>
    <s v="Jennifer Burke"/>
    <s v="jennifer.burke472@icloud.com"/>
    <s v="Wireless Mouse"/>
    <s v="Electronics"/>
    <s v="ELC-MSE-WL"/>
    <n v="1"/>
    <s v="$11.99"/>
    <s v="SAVE20"/>
    <n v="2.4"/>
    <n v="7.99"/>
    <n v="17.579999999999998"/>
    <s v="Apple Pay"/>
    <s v="Facebook"/>
    <s v="refunded"/>
    <x v="0"/>
    <m/>
    <s v="West Loganbury"/>
  </r>
  <r>
    <s v="#1075"/>
    <d v="2026-08-04T13:53:59"/>
    <s v="Dustin Ward"/>
    <s v="dustin.ward756@icloud.com"/>
    <s v="Facial Cleanser 200ml"/>
    <s v="Beauty"/>
    <s v="BTY-CLN-200"/>
    <n v="2"/>
    <n v="13.49"/>
    <s v="SAVE20"/>
    <n v="5.4"/>
    <n v="5.99"/>
    <n v="27.57"/>
    <s v="PayPal"/>
    <s v="Instagram"/>
    <s v="fulfilled"/>
    <x v="2"/>
    <s v="Florida"/>
    <s v="Lake Stephanieville"/>
  </r>
  <r>
    <s v="#1076"/>
    <d v="2026-08-04T13:53:44"/>
    <s v="Chad Smith"/>
    <s v="chad.smith773@icloud.com"/>
    <s v="Ceramic Coffee Mug Set (4pc)"/>
    <s v="Home &amp; Kitchen"/>
    <s v="HK-MUG-4PK"/>
    <n v="1"/>
    <n v="18.989999999999998"/>
    <s v="FREESHIP"/>
    <n v="0"/>
    <n v="0"/>
    <n v="18.989999999999998"/>
    <s v="PayPal"/>
    <s v="Online Store"/>
    <s v="refunded"/>
    <x v="0"/>
    <m/>
    <s v="North Andreafort"/>
  </r>
  <r>
    <s v="#1077"/>
    <s v="2026-08-04"/>
    <s v="Cody Murray"/>
    <s v="cody.murray456@gmail.com"/>
    <s v="Stainless Steel Water Bottle"/>
    <s v="Home &amp; Kitchen"/>
    <s v="HK-BTL-750"/>
    <n v="2"/>
    <n v="12.99"/>
    <s v="FREESHIP"/>
    <n v="0"/>
    <n v="0"/>
    <n v="25.98"/>
    <s v="Shopify Payments"/>
    <s v="POS"/>
    <s v="refunded"/>
    <x v="5"/>
    <m/>
    <s v="Haydenport"/>
  </r>
  <r>
    <s v="#1078"/>
    <d v="2026-08-04T14:02:46"/>
    <s v="Sandra Potter"/>
    <s v="sandra.potter166@yahoo.com"/>
    <s v="Phone Case - Clear"/>
    <s v="Electronics"/>
    <s v="ELC-CSE-CLR"/>
    <n v="1"/>
    <n v="8.99"/>
    <m/>
    <n v="0"/>
    <n v="4.99"/>
    <n v="13.98"/>
    <s v="Google Pay"/>
    <s v="Online Store"/>
    <s v="cancelled"/>
    <x v="2"/>
    <s v="North Carolina"/>
    <s v="South Moniquehaven"/>
  </r>
  <r>
    <s v="#1079"/>
    <d v="2026-08-04T14:00:06"/>
    <s v="Nicole Taylor"/>
    <s v="nicole.taylor607@icloud.com"/>
    <s v="Vitamin C Serum 30ml"/>
    <s v="Beauty"/>
    <s v="BTY-SRM-30"/>
    <n v="1"/>
    <n v="24.99"/>
    <m/>
    <n v="0"/>
    <n v="5.99"/>
    <n v="30.98"/>
    <s v="Credit Card"/>
    <s v="Online Store"/>
    <s v="fulfilled"/>
    <x v="2"/>
    <s v="New York"/>
    <s v="Port Traviston"/>
  </r>
  <r>
    <s v="#1080"/>
    <d v="2026-08-04T13:54:54"/>
    <s v="Andrew Jones"/>
    <s v="andrew.jones338@icloud.com"/>
    <s v="Ceramic Coffee Mug Set (4pc)"/>
    <s v="Home &amp; Kitchen"/>
    <s v="HK-MUG-4PK"/>
    <n v="1"/>
    <n v="18.989999999999998"/>
    <m/>
    <n v="0"/>
    <n v="4.99"/>
    <n v="23.98"/>
    <s v="Apple Pay"/>
    <s v="Instagram"/>
    <s v="fulfilled"/>
    <x v="5"/>
    <m/>
    <s v="Fitzgeraldtown"/>
  </r>
  <r>
    <s v="#1081"/>
    <d v="2026-08-04T14:02:07"/>
    <s v="Robert Boyd"/>
    <s v="robert.boyd184@yahoo.com"/>
    <s v="Backpack - 25L"/>
    <s v="Accessories"/>
    <s v="ACC-BPK-25L"/>
    <n v="3"/>
    <n v="32.99"/>
    <s v="FREESHIP"/>
    <s v="$0.00"/>
    <n v="0"/>
    <n v="98.97"/>
    <s v="Shopify Payments"/>
    <s v="Online Store"/>
    <s v="cancelled"/>
    <x v="1"/>
    <m/>
    <s v="Lake Franciscoton"/>
  </r>
  <r>
    <s v="#1082"/>
    <s v="08/04/2026"/>
    <s v="Michele Davis"/>
    <s v="michele.davis844@gmail.com"/>
    <s v="Stainless Steel Water Bottle"/>
    <s v="Home &amp; Kitchen"/>
    <s v="HK-BTL-750"/>
    <n v="1"/>
    <n v="12.99"/>
    <s v="SAVE20"/>
    <n v="2.6"/>
    <n v="4.99"/>
    <s v="$15.38"/>
    <s v="Google Pay"/>
    <s v="Online Store"/>
    <s v="refunded"/>
    <x v="4"/>
    <m/>
    <s v="Perkinschester"/>
  </r>
  <r>
    <s v="#1084"/>
    <d v="2026-08-04T14:07:37"/>
    <s v="Megan Herman"/>
    <s v="megan.herman268@yahoo.com"/>
    <s v="Ceramic Coffee Mug Set (4pc)"/>
    <s v="Home &amp; Kitchen"/>
    <s v="HK-MUG-4PK"/>
    <n v="1"/>
    <n v="18.989999999999998"/>
    <m/>
    <n v="0"/>
    <n v="4.99"/>
    <n v="23.98"/>
    <s v="Apple Pay"/>
    <s v="Online Store"/>
    <s v="refunded"/>
    <x v="2"/>
    <s v="Florida"/>
    <s v="Yvetteville"/>
  </r>
  <r>
    <s v="#1085"/>
    <d v="2026-08-04T14:00:47"/>
    <s v="Amanda Harris"/>
    <s v="amanda.harris197@gmail.com"/>
    <s v="Classic Cotton T-Shirt"/>
    <s v="Apparel"/>
    <s v="TSH-BLK-M"/>
    <n v="1"/>
    <n v="14.99"/>
    <s v="SAVE20"/>
    <n v="3"/>
    <n v="4.99"/>
    <s v="$16.98"/>
    <s v="Google Pay"/>
    <s v="Instagram"/>
    <s v="fulfilled"/>
    <x v="2"/>
    <s v="California"/>
    <s v="Michaelmouth"/>
  </r>
  <r>
    <s v="#1086"/>
    <d v="2026-08-04T13:57:52"/>
    <s v="Joshua Chavez"/>
    <s v="joshua.chavez332@outlook.com"/>
    <s v="Leather Wallet - Brown"/>
    <s v="Accessories"/>
    <s v="ACC-WLT-BRN"/>
    <n v="1"/>
    <s v="$19.99"/>
    <m/>
    <n v="0"/>
    <n v="4.99"/>
    <n v="24.98"/>
    <s v="PayPal"/>
    <s v="Facebook"/>
    <s v="fulfilled"/>
    <x v="2"/>
    <s v="California"/>
    <s v="Newmanborough"/>
  </r>
  <r>
    <s v="#1087"/>
    <d v="2026-08-04T13:53:58"/>
    <s v="Deborah Wilson"/>
    <s v="deborah.wilson691@icloud.com"/>
    <s v="Leather Wallet - Brown"/>
    <s v="Accessories"/>
    <s v="ACC-WLT-BRN"/>
    <n v="2"/>
    <n v="19.989999999999998"/>
    <s v="VIP15"/>
    <n v="6"/>
    <n v="7.99"/>
    <s v="$41.97"/>
    <s v="Apple Pay"/>
    <s v="Online Store"/>
    <s v="refunded"/>
    <x v="5"/>
    <m/>
    <s v="Lake Gary"/>
  </r>
  <r>
    <s v="#1088"/>
    <d v="2026-08-04T14:06:57"/>
    <s v="Brian Ruiz"/>
    <s v="brian.ruiz246@gmail.com"/>
    <s v="Vitamin C Serum 30ml"/>
    <s v="Beauty"/>
    <s v="BTY-SRM-30"/>
    <n v="2"/>
    <n v="24.99"/>
    <s v="FREESHIP"/>
    <n v="0"/>
    <n v="0"/>
    <n v="49.98"/>
    <s v="Credit Card"/>
    <s v="Online Store"/>
    <s v="fulfilled"/>
    <x v="3"/>
    <m/>
    <s v="South Melissaborough"/>
  </r>
  <r>
    <s v="#1089"/>
    <d v="2026-08-04T13:55:06"/>
    <s v="Kimberly Cordova"/>
    <s v="kimberly.cordova508@icloud.com"/>
    <s v="Non-Stick Frying Pan 10in"/>
    <s v="Home &amp; Kitchen"/>
    <s v="HK-PAN-10"/>
    <n v="1"/>
    <n v="24.99"/>
    <s v="BFCM25"/>
    <n v="6.25"/>
    <n v="7.99"/>
    <n v="26.73"/>
    <s v="PayPal"/>
    <s v="Online Store"/>
    <s v="refunded"/>
    <x v="0"/>
    <m/>
    <s v="Brendaside"/>
  </r>
  <r>
    <s v="#1090"/>
    <d v="2026-08-04T13:54:11"/>
    <s v="Glenn Mcmahon"/>
    <s v="glenn.mcmahon733@yahoo.com"/>
    <s v="Adjustable Dumbbell Set"/>
    <s v="Sports &amp; Outdoors"/>
    <s v="SP-DMB-ADJ"/>
    <n v="1"/>
    <n v="89.99"/>
    <s v="WELCOME10"/>
    <n v="9"/>
    <n v="0"/>
    <n v="80.989999999999995"/>
    <s v="PayPal"/>
    <s v="Online Store"/>
    <s v="fulfilled"/>
    <x v="2"/>
    <s v="Illinois"/>
    <s v="West Thomaschester"/>
  </r>
  <r>
    <s v="#1091"/>
    <d v="2026-08-04T13:57:30"/>
    <s v="Sara Sims"/>
    <s v="sara.sims992@icloud.com"/>
    <s v="Wireless Mouse"/>
    <s v="Electronics"/>
    <s v="ELC-MSE-WL"/>
    <n v="1"/>
    <n v="11.99"/>
    <s v="BFCM25"/>
    <n v="3"/>
    <n v="7.99"/>
    <n v="16.98"/>
    <s v="Apple Pay"/>
    <s v="Facebook"/>
    <s v="fulfilled"/>
    <x v="3"/>
    <m/>
    <s v="Powellland"/>
  </r>
  <r>
    <s v="#1092"/>
    <d v="2026-08-04T14:03:38"/>
    <s v="Julia Atkinson"/>
    <s v="julia.atkinson939@gmail.com"/>
    <s v="Backpack - 25L"/>
    <s v="Accessories"/>
    <s v="ACC-BPK-25L"/>
    <n v="1"/>
    <n v="32.99"/>
    <s v="VIP15"/>
    <n v="4.95"/>
    <n v="4.99"/>
    <n v="33.03"/>
    <s v="Credit Card"/>
    <s v="Instagram"/>
    <s v="fulfilled"/>
    <x v="1"/>
    <m/>
    <s v="New Christopher"/>
  </r>
  <r>
    <s v="#1093"/>
    <d v="2026-08-04T14:02:10"/>
    <s v="gerald li"/>
    <s v="gerald.li856@icloud.com"/>
    <s v="Wireless Bluetooth Earbuds"/>
    <s v="Electronics"/>
    <s v="ELC-WBE-01"/>
    <n v="1"/>
    <n v="29.99"/>
    <m/>
    <n v="0"/>
    <n v="7.99"/>
    <n v="37.979999999999997"/>
    <s v="Credit Card"/>
    <s v="Facebook"/>
    <s v="fulfilled"/>
    <x v="2"/>
    <s v="Ohio"/>
    <s v="Melissafurt"/>
  </r>
  <r>
    <s v="#1094"/>
    <d v="2026-08-04T14:01:37"/>
    <s v="Angela Rose"/>
    <s v="angela.rose740@outlook.com"/>
    <s v="Ceramic Coffee Mug Set (4pc)"/>
    <s v="Home &amp; Kitchen"/>
    <s v="HK-MUG-4PK"/>
    <n v="1"/>
    <n v="18.989999999999998"/>
    <m/>
    <n v="0"/>
    <n v="7.99"/>
    <n v="26.98"/>
    <s v="Shopify Payments"/>
    <s v="Facebook"/>
    <s v="cancelled"/>
    <x v="2"/>
    <s v="Arizona"/>
    <s v="Williamsview"/>
  </r>
  <r>
    <s v="#1095"/>
    <d v="2026-08-04T13:56:16"/>
    <s v="Nicholas Jarvis"/>
    <s v="nicholas.jarvis112@icloud.com"/>
    <s v="Classic Cotton T-Shirt"/>
    <s v="Apparel"/>
    <s v="TSH-BLK-M"/>
    <n v="2"/>
    <n v="14.99"/>
    <s v="VIP15"/>
    <n v="4.5"/>
    <n v="7.99"/>
    <n v="33.47"/>
    <s v="Shopify Payments"/>
    <s v="Facebook"/>
    <s v="refunded"/>
    <x v="1"/>
    <m/>
    <s v="West Brookebury"/>
  </r>
  <r>
    <s v="#1096"/>
    <d v="2026-08-04T14:08:13"/>
    <s v="Natalie Dixon"/>
    <s v="natalie.dixon388@outlook.com"/>
    <s v="Stainless Steel Water Bottle"/>
    <s v="Home &amp; Kitchen"/>
    <s v="HK-BTL-750"/>
    <n v="2"/>
    <n v="12.99"/>
    <m/>
    <n v="0"/>
    <n v="4.99"/>
    <s v="$30.97"/>
    <s v="Apple Pay"/>
    <s v="Facebook"/>
    <s v="pending"/>
    <x v="2"/>
    <s v="NC"/>
    <s v="East Emilyfort"/>
  </r>
  <r>
    <s v="#1097"/>
    <d v="2026-08-04T14:07:14"/>
    <s v="Christopher Harrington"/>
    <s v="christopher.harrington960@gmail.com"/>
    <s v="Vitamin C Serum 30ml"/>
    <s v="Beauty"/>
    <s v="BTY-SRM-30"/>
    <n v="3"/>
    <n v="24.99"/>
    <m/>
    <n v="0"/>
    <n v="4.99"/>
    <s v="$79.96"/>
    <s v="Credit Card"/>
    <s v="Facebook"/>
    <s v="fulfilled"/>
    <x v="4"/>
    <m/>
    <s v="Smithton"/>
  </r>
  <r>
    <s v="#1098"/>
    <s v="04-08-2026 13:58"/>
    <s v="Timothy Becker"/>
    <s v="timothy.becker88@yahoo.com"/>
    <s v="Kids Building Blocks Set"/>
    <s v="Toys"/>
    <s v="TOY-BLK-SET"/>
    <n v="2"/>
    <n v="27.99"/>
    <m/>
    <n v="0"/>
    <n v="7.99"/>
    <n v="63.97"/>
    <s v="Google Pay"/>
    <s v="Facebook"/>
    <s v="fulfilled"/>
    <x v="2"/>
    <s v="California"/>
    <s v="New Richardmouth"/>
  </r>
  <r>
    <s v="#1099"/>
    <d v="2026-08-04T14:00:01"/>
    <s v="Michael Davis"/>
    <s v="michael.davis313@outlook.com"/>
    <s v="Running Shoes - Women's"/>
    <s v="Footwear"/>
    <s v="FTW-RUN-W"/>
    <n v="1"/>
    <n v="54.99"/>
    <s v="BFCM25"/>
    <n v="13.75"/>
    <n v="5.99"/>
    <n v="47.23"/>
    <s v="Shopify Payments"/>
    <s v="POS"/>
    <s v="fulfilled"/>
    <x v="2"/>
    <s v="California"/>
    <s v="Sarahborough"/>
  </r>
  <r>
    <s v="#1100"/>
    <d v="2026-08-04T13:56:47"/>
    <s v="OMAR SANDERS"/>
    <s v="omar.sanders208@outlook.com"/>
    <s v="Running Shoes - Women's"/>
    <s v="Footwear"/>
    <s v="FTW-RUN-W"/>
    <n v="1"/>
    <n v="54.99"/>
    <s v="WELCOME10"/>
    <n v="5.5"/>
    <n v="7.99"/>
    <s v="$57.48"/>
    <s v="Credit Card"/>
    <s v="Facebook"/>
    <s v="fulfilled"/>
    <x v="5"/>
    <m/>
    <s v="Mclaughlinbury"/>
  </r>
  <r>
    <s v="#1101"/>
    <d v="2026-08-04T13:54:09"/>
    <s v="Brian Ruiz"/>
    <s v="brian.ruiz246@gmail.com"/>
    <s v="Stainless Steel Water Bottle"/>
    <s v="Home &amp; Kitchen"/>
    <s v="HK-BTL-750"/>
    <n v="1"/>
    <n v="12.99"/>
    <s v="FREESHIP"/>
    <s v="$0.00"/>
    <n v="0"/>
    <n v="12.99"/>
    <s v="Shopify Payments"/>
    <s v="Facebook"/>
    <s v="fulfilled"/>
    <x v="3"/>
    <m/>
    <s v="Jerryborough"/>
  </r>
  <r>
    <s v="#1102"/>
    <d v="2026-08-04T13:57:18"/>
    <s v="Michele Davis"/>
    <s v="michele.davis844@gmail.com"/>
    <s v="Portable Power Bank 10000mAh"/>
    <s v="Electronics"/>
    <s v="ELC-PWB-10K"/>
    <n v="1"/>
    <n v="21.99"/>
    <m/>
    <n v="0"/>
    <n v="5.99"/>
    <n v="27.98"/>
    <s v="PayPal"/>
    <s v="Instagram"/>
    <s v="refunded"/>
    <x v="4"/>
    <m/>
    <s v="Port Melissa"/>
  </r>
  <r>
    <s v="#1103"/>
    <d v="2026-08-04T13:57:04"/>
    <s v="Tracy Adams"/>
    <s v="tracy.adams712@icloud.com"/>
    <s v="Stainless Steel Water Bottle"/>
    <s v="Home &amp; Kitchen"/>
    <s v="HK-BTL-750"/>
    <n v="1"/>
    <n v="12.99"/>
    <s v="BFCM25"/>
    <n v="3.25"/>
    <n v="4.99"/>
    <n v="14.73"/>
    <s v="Google Pay"/>
    <s v="POS"/>
    <s v="fulfilled"/>
    <x v="2"/>
    <s v="Arizona"/>
    <s v="Harrisonville"/>
  </r>
  <r>
    <s v="#1104"/>
    <d v="2026-08-04T14:04:01"/>
    <s v="Julia Atkinson"/>
    <s v="julia.atkinson939@gmail.com"/>
    <s v="Polarized Sunglasses"/>
    <s v="Accessories"/>
    <s v="ACC-SUN-01"/>
    <n v="1"/>
    <n v="16.989999999999998"/>
    <m/>
    <n v="0"/>
    <n v="5.99"/>
    <n v="22.98"/>
    <s v="PayPal"/>
    <s v="Facebook"/>
    <s v="pending"/>
    <x v="1"/>
    <m/>
    <s v="Lake Williamstad"/>
  </r>
  <r>
    <s v="#1105"/>
    <d v="2026-08-04T13:56:34"/>
    <s v="Rebecca Watts"/>
    <s v="rebecca.watts779@gmail.com"/>
    <s v="Backpack - 25L"/>
    <s v="Accessories"/>
    <s v="ACC-BPK-25L"/>
    <n v="1"/>
    <n v="32.99"/>
    <s v="FREESHIP"/>
    <n v="0"/>
    <n v="0"/>
    <n v="32.99"/>
    <s v="Shopify Payments"/>
    <s v="Facebook"/>
    <s v="fulfilled"/>
    <x v="2"/>
    <s v="New York"/>
    <s v="North Jenniferhaven"/>
  </r>
  <r>
    <s v="#1106"/>
    <d v="2026-08-04T14:04:31"/>
    <s v="Thomas Smith"/>
    <s v="thomas.smith633@gmail.com"/>
    <s v="Throw Blanket - Fleece"/>
    <s v="Home &amp; Kitchen"/>
    <s v="HK-BLK-FLC"/>
    <n v="1"/>
    <n v="17.989999999999998"/>
    <s v="FREESHIP"/>
    <n v="0"/>
    <n v="0"/>
    <n v="17.989999999999998"/>
    <s v="Credit Card"/>
    <s v="Instagram"/>
    <s v="cancelled"/>
    <x v="3"/>
    <m/>
    <s v="East Seth"/>
  </r>
  <r>
    <s v="#1107"/>
    <s v="08/04/2026"/>
    <s v="Peter Alvarez"/>
    <s v="peter.alvarez465@yahoo.com"/>
    <s v="Hooded Sweatshirt"/>
    <s v="Apparel"/>
    <s v="APR-HOD-GRY"/>
    <n v="2"/>
    <n v="34.99"/>
    <m/>
    <n v="0"/>
    <n v="4.99"/>
    <n v="74.97"/>
    <s v="PayPal"/>
    <s v="POS"/>
    <s v="cancelled"/>
    <x v="2"/>
    <s v="North Carolina"/>
    <s v="Angelaborough"/>
  </r>
  <r>
    <s v="#1108"/>
    <d v="2026-08-04T14:04:53"/>
    <s v="George Gould"/>
    <s v="george.gould10@yahoo.com"/>
    <s v="Kids Building Blocks Set"/>
    <s v="Toys"/>
    <s v="TOY-BLK-SET"/>
    <n v="2"/>
    <n v="27.99"/>
    <s v="FREESHIP"/>
    <n v="0"/>
    <n v="0"/>
    <n v="55.98"/>
    <s v="PayPal"/>
    <s v="POS"/>
    <s v="fulfilled"/>
    <x v="1"/>
    <m/>
    <s v="Sierrastad"/>
  </r>
  <r>
    <s v="#1109"/>
    <d v="2026-08-04T13:57:49"/>
    <s v="Emily Hicks"/>
    <s v="emily.hicks49@outlook.com"/>
    <s v="Portable Power Bank 10000mAh"/>
    <s v="Electronics"/>
    <s v="ELC-PWB-10K"/>
    <n v="2"/>
    <n v="21.99"/>
    <s v="FREESHIP"/>
    <n v="0"/>
    <n v="0"/>
    <s v="$43.98"/>
    <s v="Google Pay"/>
    <s v="Online Store"/>
    <s v="pending"/>
    <x v="3"/>
    <m/>
    <s v="Kendrafurt"/>
  </r>
  <r>
    <s v="#1110"/>
    <d v="2026-08-04T14:02:51"/>
    <s v="Ryan Jones"/>
    <s v="ryan.jones314@gmail.com"/>
    <s v="USB-C Fast Charger 20W"/>
    <s v="Electronics"/>
    <s v="ELC-CHG-20"/>
    <n v="1"/>
    <n v="15.49"/>
    <s v="FREESHIP"/>
    <n v="0"/>
    <n v="0"/>
    <n v="15.49"/>
    <s v="PayPal"/>
    <s v="POS"/>
    <s v="fulfilled"/>
    <x v="4"/>
    <m/>
    <s v="West Jimmy"/>
  </r>
  <r>
    <s v="#1111"/>
    <s v="08/04/2026"/>
    <s v="Robert Bryant"/>
    <s v="robert.bryant21@gmail.com"/>
    <s v="Classic Cotton T-Shirt"/>
    <s v="Apparel"/>
    <s v="TSH-BLK-L"/>
    <n v="1"/>
    <n v="14.99"/>
    <s v="SAVE20"/>
    <n v="3"/>
    <n v="5.99"/>
    <s v="$17.98"/>
    <s v="Apple Pay"/>
    <s v="Online Store"/>
    <s v="cancelled"/>
    <x v="3"/>
    <m/>
    <s v="Lake Adrianport"/>
  </r>
  <r>
    <s v="#1112"/>
    <d v="2026-08-04T14:07:07"/>
    <s v="Pamela Miller"/>
    <s v="pamela.miller171@icloud.com"/>
    <s v="Hooded Sweatshirt"/>
    <s v="Apparel"/>
    <s v="APR-HOD-GRY"/>
    <n v="1"/>
    <n v="34.99"/>
    <m/>
    <n v="0"/>
    <n v="5.99"/>
    <n v="40.98"/>
    <s v="PayPal"/>
    <s v="POS"/>
    <s v="fulfilled"/>
    <x v="2"/>
    <s v="Texas"/>
    <s v="Reeseburgh"/>
  </r>
  <r>
    <s v="#1113"/>
    <d v="2026-08-04T14:03:08"/>
    <s v="THOMAS ROJAS"/>
    <s v="thomas.rojas667@icloud.com"/>
    <s v="Hooded Sweatshirt"/>
    <s v="Apparel"/>
    <s v="APR-HOD-GRY"/>
    <n v="2"/>
    <n v="34.99"/>
    <m/>
    <n v="0"/>
    <n v="4.99"/>
    <n v="74.97"/>
    <s v="Shopify Payments"/>
    <s v="Facebook"/>
    <s v="fulfilled"/>
    <x v="2"/>
    <s v="Illinois"/>
    <s v="Joseton"/>
  </r>
  <r>
    <s v="#1114"/>
    <s v="08/04/2026"/>
    <s v="Kayla Cruz"/>
    <s v="kayla.cruz151@outlook.com"/>
    <s v="Stainless Steel Water Bottle"/>
    <s v="Home &amp; Kitchen"/>
    <s v="HK-BTL-750"/>
    <n v="1"/>
    <n v="12.99"/>
    <s v="FREESHIP"/>
    <n v="0"/>
    <n v="0"/>
    <n v="12.99"/>
    <s v="Apple Pay"/>
    <s v="Online Store"/>
    <s v="fulfilled"/>
    <x v="0"/>
    <m/>
    <s v="East Samantha"/>
  </r>
  <r>
    <s v="#1115"/>
    <d v="2026-08-04T13:56:20"/>
    <s v="Tina Crane"/>
    <s v="tina.crane554@gmail.com"/>
    <s v="Portable Power Bank 10000mAh"/>
    <s v="Electronics"/>
    <s v="ELC-PWB-10K"/>
    <n v="2"/>
    <s v="$21.99"/>
    <s v="FREESHIP"/>
    <n v="0"/>
    <n v="0"/>
    <n v="43.98"/>
    <s v="Google Pay"/>
    <s v="Online Store"/>
    <s v="fulfilled"/>
    <x v="5"/>
    <m/>
    <s v="Elizabethhaven"/>
  </r>
  <r>
    <s v="#1116"/>
    <d v="2026-08-04T14:01:53"/>
    <s v="Arthur Kelley"/>
    <s v="arthur.kelley558@gmail.com"/>
    <s v="Kids Building Blocks Set"/>
    <s v="Toys"/>
    <s v="TOY-BLK-SET"/>
    <n v="1"/>
    <n v="27.99"/>
    <s v="SAVE20"/>
    <n v="5.6"/>
    <n v="4.99"/>
    <n v="27.38"/>
    <s v="PayPal"/>
    <s v="Online Store"/>
    <s v="pending"/>
    <x v="4"/>
    <m/>
    <s v="Mooreport"/>
  </r>
  <r>
    <s v="#1117"/>
    <s v="04-08-2026 14:06"/>
    <s v="Stacey Morales"/>
    <s v="stacey.morales538@yahoo.com"/>
    <s v="Adjustable Dumbbell Set"/>
    <s v="Sports &amp; Outdoors"/>
    <s v="SP-DMB-ADJ"/>
    <n v="1"/>
    <s v="$89.99"/>
    <m/>
    <n v="0"/>
    <n v="0"/>
    <n v="89.99"/>
    <s v="PayPal"/>
    <s v="Instagram"/>
    <s v="fulfilled"/>
    <x v="4"/>
    <m/>
    <s v="Morganmouth"/>
  </r>
  <r>
    <s v="#1118"/>
    <d v="2026-08-04T14:00:39"/>
    <s v="David Torres"/>
    <m/>
    <s v="Non-Stick Frying Pan 10in"/>
    <s v="Home &amp; Kitchen"/>
    <s v="HK-PAN-10"/>
    <n v="1"/>
    <n v="24.99"/>
    <m/>
    <n v="0"/>
    <n v="4.99"/>
    <n v="29.98"/>
    <s v="PayPal"/>
    <s v="Online Store"/>
    <s v="fulfilled"/>
    <x v="2"/>
    <s v="Florida"/>
    <s v="Donaldborough"/>
  </r>
  <r>
    <s v="#1119"/>
    <d v="2026-08-04T13:53:46"/>
    <s v="Justin Smith"/>
    <s v="justin.smith204@yahoo.com"/>
    <s v="Phone Case - Clear"/>
    <s v="Electronics"/>
    <s v="ELC-CSE-CLR"/>
    <n v="2"/>
    <n v="8.99"/>
    <s v="BFCM25"/>
    <n v="4.5"/>
    <n v="5.99"/>
    <n v="19.47"/>
    <s v="Apple Pay"/>
    <s v="Facebook"/>
    <s v="fulfilled"/>
    <x v="5"/>
    <m/>
    <s v="Butlerhaven"/>
  </r>
  <r>
    <s v="#1120"/>
    <d v="2026-08-04T14:03:06"/>
    <s v="Jennifer Martin"/>
    <s v="jennifer.martin986@outlook.com"/>
    <s v="Ceramic Coffee Mug Set (4pc)"/>
    <s v="Home &amp; Kitchen"/>
    <s v="HK-MUG-4PK"/>
    <n v="1"/>
    <n v="18.989999999999998"/>
    <m/>
    <n v="0"/>
    <n v="7.99"/>
    <s v="$26.98"/>
    <s v="Credit Card"/>
    <s v="Facebook"/>
    <s v="fulfilled"/>
    <x v="2"/>
    <s v="Ohio"/>
    <s v="Tamarastad"/>
  </r>
  <r>
    <s v="#1121"/>
    <d v="2026-08-04T14:07:32"/>
    <s v="  Barbara Brown"/>
    <s v="barbara.brown26@gmail.com"/>
    <s v="Polarized Sunglasses"/>
    <s v="Accessories"/>
    <s v="ACC-SUN-01"/>
    <n v="1"/>
    <n v="16.989999999999998"/>
    <s v="VIP15"/>
    <n v="2.5499999999999998"/>
    <n v="7.99"/>
    <n v="22.43"/>
    <s v="PayPal"/>
    <s v="Online Store"/>
    <s v="fulfilled"/>
    <x v="2"/>
    <s v="Georgia"/>
    <s v="Doughertyport"/>
  </r>
  <r>
    <s v="#1122"/>
    <d v="2026-08-04T13:57:34"/>
    <s v="Amanda Harris"/>
    <s v="amanda.harris197@gmail.com"/>
    <s v="Wireless Mouse"/>
    <s v="Electronics"/>
    <s v="ELC-MSE-WL"/>
    <n v="1"/>
    <n v="11.99"/>
    <m/>
    <n v="0"/>
    <n v="7.99"/>
    <n v="19.98"/>
    <s v="Credit Card"/>
    <s v="Online Store"/>
    <s v="fulfilled"/>
    <x v="2"/>
    <s v="New York"/>
    <s v="Knightfort"/>
  </r>
  <r>
    <s v="#1123"/>
    <d v="2026-08-04T13:55:33"/>
    <s v="Ashley Allen"/>
    <s v="ashley.allen918@yahoo.com"/>
    <s v="Ceramic Coffee Mug Set (4pc)"/>
    <s v="Home &amp; Kitchen"/>
    <s v="HK-MUG-4PK"/>
    <n v="1"/>
    <n v="18.989999999999998"/>
    <s v="WELCOME10"/>
    <s v="$1.90"/>
    <n v="5.99"/>
    <n v="23.08"/>
    <s v="Credit Card"/>
    <s v="Online Store"/>
    <s v="fulfilled"/>
    <x v="2"/>
    <s v="NC"/>
    <s v="Hernandezstad"/>
  </r>
  <r>
    <s v="#1124"/>
    <d v="2026-08-04T14:01:22"/>
    <s v="  Daniel Parsons"/>
    <s v="daniel.parsons636@gmail.com"/>
    <s v="Kids Building Blocks Set"/>
    <s v="Toys"/>
    <s v="TOY-BLK-SET"/>
    <n v="3"/>
    <n v="27.99"/>
    <s v="SAVE20"/>
    <s v="$16.79"/>
    <n v="0"/>
    <n v="67.180000000000007"/>
    <s v="Shopify Payments"/>
    <s v="Facebook"/>
    <s v="fulfilled"/>
    <x v="2"/>
    <s v="North Carolina"/>
    <s v="Jeffreyberg"/>
  </r>
  <r>
    <s v="#1125"/>
    <s v="08/04/2026"/>
    <s v="James Castro"/>
    <s v="james.castro923@icloud.com"/>
    <s v="Non-Stick Frying Pan 10in"/>
    <s v="Home &amp; Kitchen"/>
    <s v="HK-PAN-10"/>
    <n v="1"/>
    <n v="24.99"/>
    <s v="VIP15"/>
    <n v="3.75"/>
    <n v="4.99"/>
    <n v="26.23"/>
    <s v="Apple Pay"/>
    <s v="POS"/>
    <s v="pending"/>
    <x v="0"/>
    <m/>
    <s v="West Debrabury"/>
  </r>
  <r>
    <s v="#1126"/>
    <d v="2026-08-04T13:58:13"/>
    <s v="James Miller"/>
    <s v="james.miller866@yahoo.com"/>
    <s v="Wireless Mouse"/>
    <s v="Electronics"/>
    <s v="ELC-MSE-WL"/>
    <n v="1"/>
    <n v="11.99"/>
    <s v="VIP15"/>
    <n v="1.8"/>
    <n v="5.99"/>
    <n v="16.18"/>
    <s v="PayPal"/>
    <s v="Facebook"/>
    <s v="refunded"/>
    <x v="0"/>
    <m/>
    <s v="Adrianview"/>
  </r>
  <r>
    <s v="#1127"/>
    <d v="2026-08-04T14:03:53"/>
    <s v="John Carson"/>
    <s v="john.carson203@yahoo.com"/>
    <s v="Wireless Bluetooth Earbuds"/>
    <s v="Electronics"/>
    <s v="ELC-WBE-01"/>
    <n v="1"/>
    <s v="$29.99"/>
    <m/>
    <n v="0"/>
    <n v="4.99"/>
    <n v="34.979999999999997"/>
    <s v="Shopify Payments"/>
    <s v="POS"/>
    <s v="cancelled"/>
    <x v="2"/>
    <s v="Ohio"/>
    <s v="Johnsonborough"/>
  </r>
  <r>
    <s v="#1128"/>
    <d v="2026-08-04T13:54:47"/>
    <s v="Seth Price"/>
    <s v="seth.price179@gmail.com"/>
    <s v="Hooded Sweatshirt"/>
    <s v="Apparel"/>
    <s v="APR-HOD-GRY"/>
    <n v="1"/>
    <n v="34.99"/>
    <s v="BFCM25"/>
    <n v="8.75"/>
    <n v="4.99"/>
    <n v="31.23"/>
    <s v="Google Pay"/>
    <s v="POS"/>
    <s v="fulfilled"/>
    <x v="2"/>
    <s v="Texas"/>
    <s v="West Jasmine"/>
  </r>
  <r>
    <s v="#1129"/>
    <d v="2026-08-04T14:07:05"/>
    <s v="Kari Cooke"/>
    <s v="kari.cooke871@gmail.com"/>
    <s v="Hooded Sweatshirt"/>
    <s v="Apparel"/>
    <s v="APR-HOD-GRY"/>
    <n v="1"/>
    <n v="34.99"/>
    <s v="WELCOME10"/>
    <n v="3.5"/>
    <n v="7.99"/>
    <n v="39.479999999999997"/>
    <s v="Google Pay"/>
    <s v="Online Store"/>
    <s v="fulfilled"/>
    <x v="4"/>
    <m/>
    <s v="Coxtown"/>
  </r>
  <r>
    <s v="#1130"/>
    <d v="2026-08-04T13:59:11"/>
    <s v="Andrew Wheeler"/>
    <s v="andrew.wheeler379@yahoo.com"/>
    <s v="Running Shoes - Women's"/>
    <s v="Footwear"/>
    <s v="FTW-RUN-W"/>
    <n v="1"/>
    <n v="54.99"/>
    <s v="VIP15"/>
    <n v="8.25"/>
    <n v="4.99"/>
    <n v="51.73"/>
    <s v="PayPal"/>
    <s v="Instagram"/>
    <s v="fulfilled"/>
    <x v="2"/>
    <s v="Ohio"/>
    <s v="Perezville"/>
  </r>
  <r>
    <s v="#1131"/>
    <d v="2026-08-04T13:53:57"/>
    <s v="Janet Martinez"/>
    <s v="janet.martinez20@yahoo.com"/>
    <s v="USB-C Fast Charger 20W"/>
    <s v="Electronics"/>
    <s v="ELC-CHG-20"/>
    <n v="1"/>
    <n v="15.49"/>
    <m/>
    <n v="0"/>
    <n v="4.99"/>
    <n v="20.48"/>
    <s v="Shopify Payments"/>
    <s v="Facebook"/>
    <s v="fulfilled"/>
    <x v="2"/>
    <s v="Illinois"/>
    <s v="West Brian"/>
  </r>
  <r>
    <s v="#1132"/>
    <s v="08/04/2026"/>
    <s v="Sheryl Nguyen"/>
    <s v="sheryl.nguyen272@outlook.com"/>
    <s v="Ceramic Coffee Mug Set (4pc)"/>
    <s v="Home &amp; Kitchen"/>
    <s v="HK-MUG-4PK"/>
    <n v="1"/>
    <s v="$18.99"/>
    <s v="WELCOME10"/>
    <n v="1.9"/>
    <n v="5.99"/>
    <s v="$23.08"/>
    <s v="Credit Card"/>
    <s v="Online Store"/>
    <s v="pending"/>
    <x v="2"/>
    <s v="Ohio"/>
    <s v="North Zacharymouth"/>
  </r>
  <r>
    <s v="#1133"/>
    <d v="2026-08-04T14:02:55"/>
    <s v="Christopher Hayes"/>
    <s v="christopher.hayes809@icloud.com"/>
    <s v="USB-C Fast Charger 20W"/>
    <s v="Electronics"/>
    <s v="ELC-CHG-20"/>
    <n v="3"/>
    <n v="15.49"/>
    <m/>
    <s v="$0.00"/>
    <n v="5.99"/>
    <n v="52.46"/>
    <s v="PayPal"/>
    <s v="Online Store"/>
    <s v="fulfilled"/>
    <x v="2"/>
    <s v="Ohio"/>
    <s v="Seanport"/>
  </r>
  <r>
    <s v="#1134"/>
    <d v="2026-08-04T14:02:35"/>
    <s v="Frank Diaz"/>
    <s v="frank.diaz795@gmail.com"/>
    <s v="USB-C Fast Charger 20W"/>
    <s v="Electronics"/>
    <s v="ELC-CHG-20"/>
    <n v="1"/>
    <n v="15.49"/>
    <s v="SAVE20"/>
    <n v="3.1"/>
    <n v="5.99"/>
    <n v="18.38"/>
    <s v="Shopify Payments"/>
    <s v="Online Store"/>
    <s v="fulfilled"/>
    <x v="2"/>
    <s v="Georgia"/>
    <s v="Tannerbury"/>
  </r>
  <r>
    <s v="#1135"/>
    <d v="2026-08-04T14:03:53"/>
    <s v="Christopher Martin"/>
    <s v="christopher.martin10@gmail.com"/>
    <s v="Wireless Bluetooth Earbuds"/>
    <s v="Electronics"/>
    <s v="ELC-WBE-01"/>
    <n v="1"/>
    <n v="29.99"/>
    <m/>
    <n v="0"/>
    <n v="5.99"/>
    <n v="35.979999999999997"/>
    <s v="PayPal"/>
    <s v="POS"/>
    <s v="fulfilled"/>
    <x v="2"/>
    <s v="New York"/>
    <s v="Lake Teresa"/>
  </r>
  <r>
    <s v="#1136"/>
    <d v="2026-08-04T13:58:58"/>
    <s v="Lori Davis"/>
    <s v="lori.davis757@yahoo.com"/>
    <s v="Kids Building Blocks Set"/>
    <s v="Toys"/>
    <s v="TOY-BLK-SET"/>
    <n v="1"/>
    <n v="27.99"/>
    <m/>
    <n v="0"/>
    <n v="7.99"/>
    <n v="35.979999999999997"/>
    <s v="Shopify Payments"/>
    <s v="Online Store"/>
    <s v="cancelled"/>
    <x v="3"/>
    <m/>
    <s v="Harveymouth"/>
  </r>
  <r>
    <s v="#1137"/>
    <d v="2026-08-04T13:58:52"/>
    <s v="sheryl nguyen"/>
    <s v="sheryl.nguyen272@outlook.com"/>
    <s v="Backpack - 25L"/>
    <s v="Accessories"/>
    <s v="ACC-BPK-25L"/>
    <n v="1"/>
    <n v="32.99"/>
    <s v="FREESHIP"/>
    <n v="0"/>
    <n v="0"/>
    <n v="32.99"/>
    <s v="Credit Card"/>
    <s v="Instagram"/>
    <s v="refunded"/>
    <x v="2"/>
    <s v="Arizona"/>
    <s v="Angelaton"/>
  </r>
  <r>
    <s v="#1138"/>
    <s v="08/04/2026"/>
    <s v="Samuel Padilla"/>
    <s v="samuel.padilla79@gmail.com"/>
    <s v="Throw Blanket - Fleece"/>
    <s v="Home &amp; Kitchen"/>
    <s v="HK-BLK-FLC"/>
    <n v="1"/>
    <n v="17.989999999999998"/>
    <m/>
    <n v="0"/>
    <n v="4.99"/>
    <n v="22.98"/>
    <s v="Google Pay"/>
    <s v="Facebook"/>
    <s v="fulfilled"/>
    <x v="2"/>
    <s v="Georgia"/>
    <s v="Port Lisamouth"/>
  </r>
  <r>
    <s v="#1139"/>
    <s v="08/04/2026"/>
    <s v="Rose Campos"/>
    <s v="rose.campos542@gmail.com"/>
    <s v="Resistance Bands Set"/>
    <s v="Sports &amp; Outdoors"/>
    <s v="SP-RBS-SET"/>
    <n v="1"/>
    <n v="13.99"/>
    <s v="BFCM25"/>
    <n v="3.5"/>
    <n v="5.99"/>
    <n v="16.48"/>
    <s v="PayPal"/>
    <s v="Online Store"/>
    <s v="fulfilled"/>
    <x v="1"/>
    <m/>
    <s v="Williamside"/>
  </r>
  <r>
    <s v="#1140"/>
    <d v="2026-08-04T14:01:46"/>
    <s v="DOMINIQUE HUERTA"/>
    <s v="dominique.huerta708@outlook.com"/>
    <s v="Classic Cotton T-Shirt"/>
    <s v="Apparel"/>
    <s v="TSH-BLK-L"/>
    <n v="1"/>
    <n v="14.99"/>
    <m/>
    <n v="0"/>
    <n v="4.99"/>
    <n v="19.98"/>
    <s v="Apple Pay"/>
    <s v="POS"/>
    <s v="refunded"/>
    <x v="5"/>
    <m/>
    <s v="East Katie"/>
  </r>
  <r>
    <s v="#1141"/>
    <d v="2026-08-04T14:07:54"/>
    <s v="James Andrade"/>
    <s v="james.andrade258@icloud.com"/>
    <s v="Ceramic Coffee Mug Set (4pc)"/>
    <s v="Home &amp; Kitchen"/>
    <s v="HK-MUG-4PK"/>
    <n v="1"/>
    <n v="18.989999999999998"/>
    <m/>
    <n v="0"/>
    <n v="7.99"/>
    <n v="26.98"/>
    <s v="Apple Pay"/>
    <s v="Instagram"/>
    <s v="refunded"/>
    <x v="3"/>
    <m/>
    <s v="New Dawn"/>
  </r>
  <r>
    <s v="#1142"/>
    <d v="2026-08-04T14:00:03"/>
    <m/>
    <s v="karen.bautista779@icloud.com"/>
    <s v="Resistance Bands Set"/>
    <s v="Sports &amp; Outdoors"/>
    <s v="SP-RBS-SET"/>
    <n v="2"/>
    <n v="13.99"/>
    <s v="FREESHIP"/>
    <n v="0"/>
    <n v="0"/>
    <n v="27.98"/>
    <s v="Credit Card"/>
    <s v="POS"/>
    <s v="fulfilled"/>
    <x v="2"/>
    <s v="TX"/>
    <s v="Lake Katherine"/>
  </r>
  <r>
    <s v="#1143"/>
    <d v="2026-08-04T14:06:32"/>
    <s v="Donald Davis"/>
    <s v="donald.davis404@icloud.com"/>
    <s v="Leather Wallet - Brown"/>
    <s v="Accessories"/>
    <s v="ACC-WLT-BRN"/>
    <n v="3"/>
    <n v="19.989999999999998"/>
    <s v="SAVE20"/>
    <n v="11.99"/>
    <n v="5.99"/>
    <n v="53.97"/>
    <s v="Shopify Payments"/>
    <s v="Online Store"/>
    <s v="fulfilled"/>
    <x v="1"/>
    <m/>
    <s v="Lake David"/>
  </r>
  <r>
    <s v="#1144"/>
    <d v="2026-08-04T14:07:24"/>
    <s v="Gerald Li"/>
    <s v="gerald.li856@icloud.com"/>
    <s v="Ceramic Coffee Mug Set (4pc)"/>
    <s v="Home &amp; Kitchen"/>
    <s v="HK-MUG-4PK"/>
    <n v="1"/>
    <n v="18.989999999999998"/>
    <m/>
    <n v="0"/>
    <n v="4.99"/>
    <n v="23.98"/>
    <s v="Shopify Payments"/>
    <s v="Online Store"/>
    <s v="pending"/>
    <x v="2"/>
    <s v="TX"/>
    <s v="New Bonnie"/>
  </r>
  <r>
    <s v="#1145"/>
    <s v="2026-08-04"/>
    <s v="Jose Ingram"/>
    <s v="jose.ingram37@gmail.com"/>
    <s v="Resistance Bands Set"/>
    <s v="Sports &amp; Outdoors"/>
    <s v="SP-RBS-SET"/>
    <n v="1"/>
    <n v="13.99"/>
    <s v="SAVE20"/>
    <n v="2.8"/>
    <n v="7.99"/>
    <n v="19.18"/>
    <s v="Apple Pay"/>
    <s v="Instagram"/>
    <s v="fulfilled"/>
    <x v="2"/>
    <s v="California"/>
    <s v="Sandersstad"/>
  </r>
  <r>
    <s v="#1146"/>
    <d v="2026-08-04T13:56:01"/>
    <s v="Jaime Vargas"/>
    <s v="jaime.vargas795@outlook.com"/>
    <s v="Adjustable Dumbbell Set"/>
    <s v="Sports &amp; Outdoors"/>
    <s v="SP-DMB-ADJ"/>
    <n v="1"/>
    <n v="89.99"/>
    <s v="WELCOME10"/>
    <n v="9"/>
    <n v="0"/>
    <n v="80.989999999999995"/>
    <s v="Credit Card"/>
    <s v="POS"/>
    <s v="fulfilled"/>
    <x v="5"/>
    <m/>
    <s v="Lake Rickyland"/>
  </r>
  <r>
    <s v="#1147"/>
    <d v="2026-08-04T14:00:13"/>
    <s v="Donald Davis"/>
    <s v="donald.davis404@icloud.com"/>
    <s v="Running Shoes - Men's"/>
    <s v="Footwear"/>
    <s v="FTW-RUN-M"/>
    <n v="1"/>
    <n v="54.99"/>
    <m/>
    <n v="0"/>
    <n v="7.99"/>
    <n v="62.98"/>
    <s v="PayPal"/>
    <s v="POS"/>
    <s v="fulfilled"/>
    <x v="1"/>
    <m/>
    <s v="South Joelstad"/>
  </r>
  <r>
    <s v="#1148"/>
    <d v="2026-08-04T14:01:58"/>
    <s v="Johnathan Everett"/>
    <s v="johnathan.everett6@outlook.com"/>
    <s v="Running Shoes - Women's"/>
    <s v="Footwear"/>
    <s v="FTW-RUN-W"/>
    <n v="1"/>
    <n v="54.99"/>
    <s v="WELCOME10"/>
    <n v="5.5"/>
    <n v="5.99"/>
    <n v="55.48"/>
    <s v="Shopify Payments"/>
    <s v="Facebook"/>
    <s v="fulfilled"/>
    <x v="2"/>
    <s v="WA"/>
    <s v="Davischester"/>
  </r>
  <r>
    <s v="#1149"/>
    <d v="2026-08-04T13:53:50"/>
    <s v="Brittney Conway"/>
    <s v="brittney.conway383@outlook.com"/>
    <s v="Classic Cotton T-Shirt"/>
    <s v="Apparel"/>
    <s v="TSH-BLK-L"/>
    <n v="1"/>
    <n v="14.99"/>
    <s v="BFCM25"/>
    <n v="3.75"/>
    <n v="5.99"/>
    <n v="17.23"/>
    <s v="Apple Pay"/>
    <s v="POS"/>
    <s v="fulfilled"/>
    <x v="2"/>
    <s v="Illinois"/>
    <s v="Scottmouth"/>
  </r>
  <r>
    <s v="#1150"/>
    <d v="2026-08-04T14:01:59"/>
    <s v="Jaime Vargas"/>
    <s v="jaime.vargas795@outlook.com"/>
    <s v="Running Shoes - Women's"/>
    <s v="Footwear"/>
    <s v="FTW-RUN-W"/>
    <n v="1"/>
    <n v="54.99"/>
    <s v="BFCM25"/>
    <n v="13.75"/>
    <n v="7.99"/>
    <n v="49.23"/>
    <s v="Credit Card"/>
    <s v="Online Store"/>
    <s v="refunded"/>
    <x v="5"/>
    <m/>
    <s v="Perryberg"/>
  </r>
  <r>
    <s v="#1151"/>
    <d v="2026-08-04T13:59:32"/>
    <s v="Amanda Robinson"/>
    <s v="amanda.robinson263@icloud.com"/>
    <s v="Leather Wallet - Brown"/>
    <s v="Accessories"/>
    <s v="ACC-WLT-BRN"/>
    <n v="1"/>
    <n v="19.989999999999998"/>
    <s v="FREESHIP"/>
    <n v="0"/>
    <n v="0"/>
    <n v="19.989999999999998"/>
    <s v="PayPal"/>
    <s v="Online Store"/>
    <s v="cancelled"/>
    <x v="2"/>
    <s v="Washington"/>
    <s v="Manuelview"/>
  </r>
  <r>
    <s v="#1152"/>
    <d v="2026-08-04T14:06:08"/>
    <s v="Trevor Carter"/>
    <s v="trevor.carter617@icloud.com"/>
    <s v="Throw Blanket - Fleece"/>
    <s v="Home &amp; Kitchen"/>
    <s v="HK-BLK-FLC"/>
    <n v="1"/>
    <s v="$17.99"/>
    <s v="WELCOME10"/>
    <n v="1.8"/>
    <n v="4.99"/>
    <n v="21.18"/>
    <s v="Credit Card"/>
    <s v="Facebook"/>
    <s v="refunded"/>
    <x v="2"/>
    <s v="North Carolina"/>
    <s v="South Richardville"/>
  </r>
  <r>
    <s v="#1153"/>
    <d v="2026-08-04T14:03:38"/>
    <s v="Kayla Cruz"/>
    <s v="kayla.cruz151@outlook.com"/>
    <s v="Slim Fit Denim Jeans"/>
    <s v="Apparel"/>
    <s v="JNS-BLU-32"/>
    <n v="1"/>
    <n v="39.99"/>
    <s v="VIP15"/>
    <n v="6"/>
    <n v="7.99"/>
    <n v="41.98"/>
    <s v="Shopify Payments"/>
    <s v="Online Store"/>
    <s v="cancelled"/>
    <x v="0"/>
    <m/>
    <s v="Juanshire"/>
  </r>
  <r>
    <s v="#1154"/>
    <d v="2026-08-04T13:55:21"/>
    <s v="Megan Dickson"/>
    <s v="megan.dickson508@gmail.com"/>
    <s v="Throw Blanket - Fleece"/>
    <s v="Home &amp; Kitchen"/>
    <s v="HK-BLK-FLC"/>
    <n v="1"/>
    <n v="17.989999999999998"/>
    <s v="SAVE20"/>
    <s v="$3.60"/>
    <n v="5.99"/>
    <n v="20.38"/>
    <s v="Google Pay"/>
    <s v="Instagram"/>
    <s v="pending"/>
    <x v="5"/>
    <m/>
    <s v="West Joseph"/>
  </r>
  <r>
    <s v="#1155"/>
    <d v="2026-08-04T14:00:47"/>
    <s v="Monique Bowman"/>
    <s v="monique.bowman430@gmail.com"/>
    <s v="Classic Cotton T-Shirt"/>
    <s v="Apparel"/>
    <s v="TSH-BLK-L"/>
    <n v="2"/>
    <n v="14.99"/>
    <m/>
    <n v="0"/>
    <n v="4.99"/>
    <n v="34.97"/>
    <s v="PayPal"/>
    <s v="Facebook"/>
    <s v="fulfilled"/>
    <x v="2"/>
    <s v="North Carolina"/>
    <s v="West Anna"/>
  </r>
  <r>
    <s v="#1156"/>
    <s v="04-08-2026 14:00"/>
    <s v="  Barbara Case"/>
    <s v="barbara.case365@yahoo.com"/>
    <s v="Wireless Mouse"/>
    <s v="Electronics"/>
    <s v="ELC-MSE-WL"/>
    <n v="1"/>
    <n v="11.99"/>
    <m/>
    <n v="0"/>
    <n v="5.99"/>
    <n v="17.98"/>
    <s v="Google Pay"/>
    <s v="POS"/>
    <s v="fulfilled"/>
    <x v="2"/>
    <s v="Arizona"/>
    <s v="Port Matthewfurt"/>
  </r>
  <r>
    <s v="#1157"/>
    <d v="2026-08-04T14:07:34"/>
    <s v="Christopher Martin"/>
    <s v="christopher.martin10@gmail.com"/>
    <s v="Wireless Mouse"/>
    <s v="Electronics"/>
    <s v="ELC-MSE-WL"/>
    <n v="1"/>
    <s v="$11.99"/>
    <m/>
    <n v="0"/>
    <n v="5.99"/>
    <n v="17.98"/>
    <s v="Apple Pay"/>
    <s v="Online Store"/>
    <s v="cancelled"/>
    <x v="2"/>
    <s v="New York"/>
    <s v="West Danny"/>
  </r>
  <r>
    <s v="#1158"/>
    <d v="2026-08-04T14:00:28"/>
    <s v="Samuel Padilla"/>
    <m/>
    <s v="Running Shoes - Men's"/>
    <s v="Footwear"/>
    <s v="FTW-RUN-M"/>
    <n v="1"/>
    <n v="54.99"/>
    <m/>
    <n v="0"/>
    <n v="7.99"/>
    <n v="62.98"/>
    <s v="Credit Card"/>
    <s v="Online Store"/>
    <s v="fulfilled"/>
    <x v="2"/>
    <s v="Illinois"/>
    <s v="South Rebecca"/>
  </r>
  <r>
    <s v="#1159"/>
    <d v="2026-08-04T13:55:10"/>
    <s v="Christopher Martin"/>
    <s v="christopher.martin10@gmail.com"/>
    <s v="Adjustable Dumbbell Set"/>
    <s v="Sports &amp; Outdoors"/>
    <s v="SP-DMB-ADJ"/>
    <n v="1"/>
    <n v="89.99"/>
    <m/>
    <n v="0"/>
    <n v="0"/>
    <n v="89.99"/>
    <s v="PayPal"/>
    <s v="POS"/>
    <s v="fulfilled"/>
    <x v="2"/>
    <s v="Ohio"/>
    <s v="Sarahfort"/>
  </r>
  <r>
    <s v="#1160"/>
    <d v="2026-08-04T13:59:47"/>
    <s v="Sean Frank"/>
    <s v="sean.frank587@icloud.com"/>
    <s v="Hooded Sweatshirt"/>
    <s v="Apparel"/>
    <s v="APR-HOD-GRY"/>
    <n v="2"/>
    <n v="34.99"/>
    <m/>
    <n v="0"/>
    <n v="5.99"/>
    <n v="75.97"/>
    <s v="Google Pay"/>
    <s v="Online Store"/>
    <s v="fulfilled"/>
    <x v="4"/>
    <m/>
    <s v="Willisview"/>
  </r>
  <r>
    <s v="#1161"/>
    <d v="2026-08-04T14:00:30"/>
    <s v="Omar Sanders"/>
    <s v="omar.sanders208@outlook.com"/>
    <s v="Running Shoes - Men's"/>
    <s v="Footwear"/>
    <s v="FTW-RUN-M"/>
    <n v="1"/>
    <n v="54.99"/>
    <s v="WELCOME10"/>
    <n v="5.5"/>
    <n v="5.99"/>
    <n v="55.48"/>
    <s v="Apple Pay"/>
    <s v="Instagram"/>
    <s v="fulfilled"/>
    <x v="5"/>
    <m/>
    <s v="Port Sonya"/>
  </r>
  <r>
    <s v="#1162"/>
    <s v="08/04/2026"/>
    <s v="Cynthia Williams"/>
    <s v="cynthia.williams720@yahoo.com"/>
    <s v="USB-C Fast Charger 20W"/>
    <s v="Electronics"/>
    <s v="ELC-CHG-20"/>
    <n v="1"/>
    <n v="15.49"/>
    <m/>
    <n v="0"/>
    <n v="7.99"/>
    <n v="23.48"/>
    <s v="Google Pay"/>
    <s v="Online Store"/>
    <s v="cancelled"/>
    <x v="4"/>
    <m/>
    <s v="Jordanmouth"/>
  </r>
  <r>
    <s v="#1163"/>
    <d v="2026-08-04T13:56:40"/>
    <s v="nancy nichols"/>
    <s v="nancy.nichols189@yahoo.com"/>
    <s v="Phone Case - Clear"/>
    <s v="Electronics"/>
    <s v="ELC-CSE-CLR"/>
    <n v="1"/>
    <n v="8.99"/>
    <m/>
    <n v="0"/>
    <n v="7.99"/>
    <n v="16.98"/>
    <s v="Shopify Payments"/>
    <s v="Facebook"/>
    <s v="fulfilled"/>
    <x v="2"/>
    <s v="Georgia"/>
    <s v="Shafferchester"/>
  </r>
  <r>
    <s v="#1164"/>
    <d v="2026-08-04T14:05:00"/>
    <s v="Timothy Hodges"/>
    <s v="timothy.hodges687@icloud.com"/>
    <s v="Kids Building Blocks Set"/>
    <s v="Toys"/>
    <s v="TOY-BLK-SET"/>
    <n v="1"/>
    <n v="27.99"/>
    <s v="WELCOME10"/>
    <n v="2.8"/>
    <n v="5.99"/>
    <n v="31.18"/>
    <s v="PayPal"/>
    <s v="Instagram"/>
    <s v="cancelled"/>
    <x v="4"/>
    <m/>
    <s v="New Steveberg"/>
  </r>
  <r>
    <s v="#1165"/>
    <d v="2026-08-04T14:02:59"/>
    <s v="Stacey Johnson"/>
    <s v="stacey.johnson95@gmail.com"/>
    <s v="Polarized Sunglasses"/>
    <s v="Accessories"/>
    <s v="ACC-SUN-01"/>
    <n v="2"/>
    <n v="16.989999999999998"/>
    <m/>
    <n v="0"/>
    <n v="7.99"/>
    <n v="41.97"/>
    <s v="Google Pay"/>
    <s v="Instagram"/>
    <s v="fulfilled"/>
    <x v="3"/>
    <m/>
    <s v="Traceyberg"/>
  </r>
  <r>
    <s v="#1166"/>
    <s v="08/04/2026"/>
    <s v="Mary Garcia"/>
    <m/>
    <s v="Portable Power Bank 10000mAh"/>
    <s v="Electronics"/>
    <s v="ELC-PWB-10K"/>
    <n v="1"/>
    <s v="$21.99"/>
    <s v="SAVE20"/>
    <n v="4.4000000000000004"/>
    <n v="7.99"/>
    <n v="25.58"/>
    <s v="Shopify Payments"/>
    <s v="Online Store"/>
    <s v="refunded"/>
    <x v="1"/>
    <m/>
    <s v="Hawkinsborough"/>
  </r>
  <r>
    <s v="#1167"/>
    <d v="2026-08-04T14:01:50"/>
    <s v="Anthony Hunt"/>
    <s v="anthony.hunt521@outlook.com"/>
    <s v="Running Shoes - Men's"/>
    <s v="Footwear"/>
    <s v="FTW-RUN-M"/>
    <n v="1"/>
    <s v="$54.99"/>
    <s v="BFCM25"/>
    <n v="13.75"/>
    <n v="4.99"/>
    <n v="46.23"/>
    <s v="Credit Card"/>
    <s v="Online Store"/>
    <s v="fulfilled"/>
    <x v="2"/>
    <s v="Arizona"/>
    <s v="Evansburgh"/>
  </r>
  <r>
    <s v="#1168"/>
    <d v="2026-08-04T13:53:50"/>
    <s v="Lisa Williams"/>
    <s v="lisa.williams715@yahoo.com"/>
    <s v="Running Shoes - Men's"/>
    <s v="Footwear"/>
    <s v="FTW-RUN-M"/>
    <n v="1"/>
    <n v="54.99"/>
    <s v="VIP15"/>
    <n v="8.25"/>
    <n v="7.99"/>
    <n v="54.73"/>
    <s v="Shopify Payments"/>
    <s v="Facebook"/>
    <s v="fulfilled"/>
    <x v="2"/>
    <s v="North Carolina"/>
    <s v="Jacksonborough"/>
  </r>
  <r>
    <s v="#1169"/>
    <d v="2026-08-04T14:07:06"/>
    <s v="Jesus Mason"/>
    <s v="jesus.mason798@icloud.com"/>
    <s v="Yoga Mat - Extra Thick"/>
    <s v="Sports &amp; Outdoors"/>
    <s v="SP-YGM-EX"/>
    <n v="1"/>
    <n v="22.99"/>
    <s v="BFCM25"/>
    <n v="5.75"/>
    <n v="5.99"/>
    <n v="23.23"/>
    <s v="Google Pay"/>
    <s v="Facebook"/>
    <s v="fulfilled"/>
    <x v="2"/>
    <s v="NY"/>
    <s v="Williamschester"/>
  </r>
  <r>
    <s v="#1170"/>
    <s v="08/04/2026"/>
    <s v="Philip Stevens"/>
    <s v="philip.stevens908@outlook.com"/>
    <s v="Portable Power Bank 10000mAh"/>
    <s v="Electronics"/>
    <s v="ELC-PWB-10K"/>
    <n v="3"/>
    <n v="21.99"/>
    <m/>
    <n v="0"/>
    <n v="7.99"/>
    <n v="73.959999999999994"/>
    <s v="Shopify Payments"/>
    <s v="POS"/>
    <s v="fulfilled"/>
    <x v="2"/>
    <s v="Georgia"/>
    <s v="Jessicaville"/>
  </r>
  <r>
    <s v="#1171"/>
    <d v="2026-08-04T14:07:11"/>
    <s v="Lori Davis"/>
    <s v="lori.davis757@yahoo.com"/>
    <s v="Resistance Bands Set"/>
    <s v="Sports &amp; Outdoors"/>
    <s v="SP-RBS-SET"/>
    <n v="1"/>
    <n v="13.99"/>
    <m/>
    <n v="0"/>
    <n v="5.99"/>
    <n v="19.98"/>
    <s v="Google Pay"/>
    <s v="Facebook"/>
    <s v="fulfilled"/>
    <x v="3"/>
    <m/>
    <s v="Amyburgh"/>
  </r>
  <r>
    <s v="#1173"/>
    <d v="2026-08-04T14:07:30"/>
    <s v="Samuel Lee"/>
    <s v="samuel.lee63@icloud.com"/>
    <s v="Running Shoes - Women's"/>
    <s v="Footwear"/>
    <s v="FTW-RUN-W"/>
    <n v="1"/>
    <n v="54.99"/>
    <m/>
    <n v="0"/>
    <n v="4.99"/>
    <n v="59.98"/>
    <s v="Credit Card"/>
    <s v="Online Store"/>
    <s v="fulfilled"/>
    <x v="4"/>
    <m/>
    <s v="South Ericburgh"/>
  </r>
  <r>
    <s v="#1174"/>
    <d v="2026-08-04T13:57:27"/>
    <s v="Mary Phillips"/>
    <s v="mary.phillips944@yahoo.com"/>
    <s v="Facial Cleanser 200ml"/>
    <s v="Beauty"/>
    <s v="BTY-CLN-200"/>
    <n v="1"/>
    <n v="13.49"/>
    <m/>
    <n v="0"/>
    <n v="5.99"/>
    <n v="19.48"/>
    <s v="Credit Card"/>
    <s v="Online Store"/>
    <s v="cancelled"/>
    <x v="2"/>
    <s v="Illinois"/>
    <s v="South John"/>
  </r>
  <r>
    <s v="#1175"/>
    <d v="2026-08-04T13:54:13"/>
    <s v="Tyler Williams"/>
    <s v="tyler.williams938@outlook.com"/>
    <s v="Ceramic Coffee Mug Set (4pc)"/>
    <s v="Home &amp; Kitchen"/>
    <s v="HK-MUG-4PK"/>
    <n v="2"/>
    <n v="18.989999999999998"/>
    <s v="FREESHIP"/>
    <n v="0"/>
    <n v="0"/>
    <n v="37.979999999999997"/>
    <s v="PayPal"/>
    <s v="Online Store"/>
    <s v="fulfilled"/>
    <x v="4"/>
    <m/>
    <s v="Lawrencestad"/>
  </r>
  <r>
    <s v="#1176"/>
    <d v="2026-08-04T14:02:46"/>
    <s v="Julia Atkinson"/>
    <s v="julia.atkinson939@gmail.com"/>
    <s v="Vitamin C Serum 30ml"/>
    <s v="Beauty"/>
    <s v="BTY-SRM-30"/>
    <n v="2"/>
    <n v="24.99"/>
    <m/>
    <n v="0"/>
    <n v="5.99"/>
    <n v="55.97"/>
    <s v="PayPal"/>
    <s v="Online Store"/>
    <s v="fulfilled"/>
    <x v="1"/>
    <m/>
    <s v="Kristiburgh"/>
  </r>
  <r>
    <s v="#1177"/>
    <d v="2026-08-04T14:00:31"/>
    <s v="Nicole Taylor"/>
    <s v="nicole.taylor607@icloud.com"/>
    <s v="Running Shoes - Women's"/>
    <s v="Footwear"/>
    <s v="FTW-RUN-W"/>
    <n v="1"/>
    <n v="54.99"/>
    <s v="BFCM25"/>
    <n v="13.75"/>
    <n v="5.99"/>
    <n v="47.23"/>
    <s v="PayPal"/>
    <s v="Facebook"/>
    <s v="fulfilled"/>
    <x v="2"/>
    <s v="Texas"/>
    <s v="Mcphersonmouth"/>
  </r>
  <r>
    <s v="#1178"/>
    <d v="2026-08-04T13:57:58"/>
    <s v="Lisa Zuniga"/>
    <s v="lisa.zuniga825@outlook.com"/>
    <s v="Throw Blanket - Fleece"/>
    <s v="Home &amp; Kitchen"/>
    <s v="HK-BLK-FLC"/>
    <n v="2"/>
    <n v="17.989999999999998"/>
    <s v="FREESHIP"/>
    <n v="0"/>
    <n v="0"/>
    <s v="$35.98"/>
    <s v="Apple Pay"/>
    <s v="Instagram"/>
    <s v="fulfilled"/>
    <x v="3"/>
    <m/>
    <s v="Griffithville"/>
  </r>
  <r>
    <s v="#1179"/>
    <d v="2026-08-04T14:01:28"/>
    <s v="Cody Murray"/>
    <s v="cody.murray456@gmail.com"/>
    <s v="Portable Power Bank 10000mAh"/>
    <s v="Electronics"/>
    <s v="ELC-PWB-10K"/>
    <n v="1"/>
    <n v="21.99"/>
    <m/>
    <n v="0"/>
    <n v="4.99"/>
    <n v="26.98"/>
    <s v="Apple Pay"/>
    <s v="Instagram"/>
    <s v="fulfilled"/>
    <x v="5"/>
    <m/>
    <s v="Bellfurt"/>
  </r>
  <r>
    <s v="#1180"/>
    <s v="08/04/2026"/>
    <s v="Lindsay Shaw"/>
    <s v="lindsay.shaw178@icloud.com"/>
    <s v="Stainless Steel Water Bottle"/>
    <s v="Home &amp; Kitchen"/>
    <s v="HK-BTL-750"/>
    <n v="2"/>
    <n v="12.99"/>
    <s v="VIP15"/>
    <n v="3.9"/>
    <n v="7.99"/>
    <n v="30.07"/>
    <s v="Google Pay"/>
    <s v="POS"/>
    <s v="fulfilled"/>
    <x v="5"/>
    <m/>
    <s v="Riverafort"/>
  </r>
  <r>
    <s v="#1181"/>
    <s v="08/04/2026"/>
    <s v="Brian Ruiz"/>
    <s v="brian.ruiz246@gmail.com"/>
    <s v="Classic Cotton T-Shirt"/>
    <s v="Apparel"/>
    <s v="TSH-BLK-L"/>
    <n v="1"/>
    <n v="14.99"/>
    <m/>
    <n v="0"/>
    <n v="5.99"/>
    <n v="20.98"/>
    <s v="Credit Card"/>
    <s v="Facebook"/>
    <s v="fulfilled"/>
    <x v="3"/>
    <m/>
    <s v="Hernandezberg"/>
  </r>
  <r>
    <s v="#1182"/>
    <d v="2026-08-04T13:58:34"/>
    <s v="Joshua Chavez"/>
    <s v="joshua.chavez332@outlook.com"/>
    <s v="Yoga Mat - Extra Thick"/>
    <s v="Sports &amp; Outdoors"/>
    <s v="SP-YGM-EX"/>
    <n v="1"/>
    <n v="22.99"/>
    <s v="BFCM25"/>
    <n v="5.75"/>
    <n v="7.99"/>
    <n v="25.23"/>
    <s v="Credit Card"/>
    <s v="Online Store"/>
    <s v="cancelled"/>
    <x v="2"/>
    <s v="Georgia"/>
    <s v="Lake Rebeccaberg"/>
  </r>
  <r>
    <s v="#1183"/>
    <s v="Aug 04, 2026"/>
    <s v="Benjamin Collins"/>
    <s v="benjamin.collins953@icloud.com"/>
    <s v="Adjustable Dumbbell Set"/>
    <s v="Sports &amp; Outdoors"/>
    <s v="SP-DMB-ADJ"/>
    <n v="1"/>
    <n v="89.99"/>
    <s v="SAVE20"/>
    <n v="18"/>
    <n v="0"/>
    <n v="71.989999999999995"/>
    <s v="Google Pay"/>
    <s v="Instagram"/>
    <s v="fulfilled"/>
    <x v="0"/>
    <m/>
    <s v="Lake Patriciaview"/>
  </r>
  <r>
    <s v="#1184"/>
    <d v="2026-08-04T14:03:39"/>
    <s v="Amanda Robinson"/>
    <s v="amanda.robinson263@icloud.com"/>
    <s v="Hooded Sweatshirt"/>
    <s v="Apparel"/>
    <s v="APR-HOD-GRY"/>
    <n v="1"/>
    <n v="34.99"/>
    <s v="VIP15"/>
    <s v="$5.25"/>
    <n v="7.99"/>
    <s v="$37.73"/>
    <s v="PayPal"/>
    <s v="Online Store"/>
    <s v="fulfilled"/>
    <x v="2"/>
    <s v="TX"/>
    <s v="Cummingsbury"/>
  </r>
  <r>
    <s v="#1185"/>
    <s v="08/04/2026"/>
    <s v="Philip Stevens"/>
    <s v="philip.stevens908@outlook.com"/>
    <s v="Throw Blanket - Fleece"/>
    <s v="Home &amp; Kitchen"/>
    <s v="HK-BLK-FLC"/>
    <n v="1"/>
    <n v="17.989999999999998"/>
    <m/>
    <n v="0"/>
    <n v="7.99"/>
    <n v="25.98"/>
    <s v="Google Pay"/>
    <s v="Online Store"/>
    <s v="fulfilled"/>
    <x v="2"/>
    <s v="Georgia"/>
    <s v="North Garyfurt"/>
  </r>
  <r>
    <s v="#1186"/>
    <d v="2026-08-04T14:06:44"/>
    <s v="Patrick Richardson"/>
    <s v="patrick.richardson270@icloud.com"/>
    <s v="Portable Power Bank 10000mAh"/>
    <s v="Electronics"/>
    <s v="ELC-PWB-10K"/>
    <n v="1"/>
    <n v="21.99"/>
    <m/>
    <n v="0"/>
    <n v="4.99"/>
    <n v="26.98"/>
    <s v="Shopify Payments"/>
    <s v="Online Store"/>
    <s v="refunded"/>
    <x v="2"/>
    <s v="Illinois"/>
    <s v="Timothyhaven"/>
  </r>
  <r>
    <s v="#1187"/>
    <d v="2026-08-04T14:01:55"/>
    <s v="Ronald Stanley"/>
    <s v="ronald.stanley7@yahoo.com"/>
    <s v="Hooded Sweatshirt"/>
    <s v="Apparel"/>
    <s v="APR-HOD-GRY"/>
    <n v="2"/>
    <n v="34.99"/>
    <s v="VIP15"/>
    <n v="10.5"/>
    <n v="5.99"/>
    <n v="65.47"/>
    <s v="Shopify Payments"/>
    <s v="POS"/>
    <s v="fulfilled"/>
    <x v="2"/>
    <s v="Georgia"/>
    <s v="North Briannahaven"/>
  </r>
  <r>
    <s v="#1188"/>
    <d v="2026-08-04T13:53:45"/>
    <s v="Kristen Lewis"/>
    <s v="kristen.lewis649@icloud.com"/>
    <s v="Classic Cotton T-Shirt"/>
    <s v="Apparel"/>
    <s v="TSH-BLK-M"/>
    <n v="2"/>
    <n v="14.99"/>
    <s v="SAVE20"/>
    <n v="6"/>
    <n v="4.99"/>
    <n v="28.97"/>
    <s v="PayPal"/>
    <s v="Online Store"/>
    <s v="fulfilled"/>
    <x v="2"/>
    <s v="Texas"/>
    <s v="North Christina"/>
  </r>
  <r>
    <s v="#1189"/>
    <d v="2026-08-04T14:01:03"/>
    <s v="Dustin Mccoy"/>
    <s v="dustin.mccoy570@gmail.com"/>
    <s v="Stainless Steel Water Bottle"/>
    <s v="Home &amp; Kitchen"/>
    <s v="HK-BTL-750"/>
    <n v="3"/>
    <n v="12.99"/>
    <s v="SAVE20"/>
    <n v="7.79"/>
    <n v="4.99"/>
    <n v="36.17"/>
    <s v="Credit Card"/>
    <s v="Online Store"/>
    <s v="fulfilled"/>
    <x v="1"/>
    <m/>
    <s v="South Ryan"/>
  </r>
  <r>
    <s v="#1190"/>
    <s v="08/04/2026"/>
    <s v="John Hoffman"/>
    <s v="john.hoffman175@gmail.com"/>
    <s v="Portable Power Bank 10000mAh"/>
    <s v="Electronics"/>
    <s v="ELC-PWB-10K"/>
    <n v="1"/>
    <n v="21.99"/>
    <s v="WELCOME10"/>
    <n v="2.2000000000000002"/>
    <n v="7.99"/>
    <n v="27.78"/>
    <s v="Credit Card"/>
    <s v="Instagram"/>
    <s v="fulfilled"/>
    <x v="2"/>
    <s v="California"/>
    <s v="West Jenniferfurt"/>
  </r>
  <r>
    <s v="#1191"/>
    <d v="2026-08-04T13:54:25"/>
    <s v="Brittney Thomas"/>
    <s v="brittney.thomas484@gmail.com"/>
    <s v="Scented Soy Candle - Vanilla"/>
    <s v="Home &amp; Kitchen"/>
    <s v="HK-CND-VAN"/>
    <n v="1"/>
    <n v="9.99"/>
    <m/>
    <n v="0"/>
    <n v="5.99"/>
    <n v="15.98"/>
    <s v="Credit Card"/>
    <s v="Facebook"/>
    <s v="fulfilled"/>
    <x v="2"/>
    <s v="Texas"/>
    <s v="North Lance"/>
  </r>
  <r>
    <s v="#1192"/>
    <d v="2026-08-04T14:01:10"/>
    <s v="Jennifer Burke"/>
    <s v="jennifer.burke472@icloud.com"/>
    <s v="Scented Soy Candle - Vanilla"/>
    <s v="Home &amp; Kitchen"/>
    <s v="HK-CND-VAN"/>
    <n v="1"/>
    <n v="9.99"/>
    <s v="WELCOME10"/>
    <n v="1"/>
    <n v="4.99"/>
    <n v="13.98"/>
    <s v="Google Pay"/>
    <s v="Facebook"/>
    <s v="fulfilled"/>
    <x v="0"/>
    <m/>
    <s v="Lake Susan"/>
  </r>
  <r>
    <s v="#1193"/>
    <d v="2026-08-04T13:59:21"/>
    <s v="Joe Taylor"/>
    <s v="joe.taylor714@yahoo.com"/>
    <s v="Facial Cleanser 200ml"/>
    <s v="Beauty"/>
    <s v="BTY-CLN-200"/>
    <n v="1"/>
    <n v="13.49"/>
    <m/>
    <n v="0"/>
    <n v="7.99"/>
    <n v="21.48"/>
    <s v="PayPal"/>
    <s v="Online Store"/>
    <s v="refunded"/>
    <x v="3"/>
    <m/>
    <s v="Anthonyhaven"/>
  </r>
  <r>
    <s v="#1194"/>
    <s v="08/04/2026"/>
    <s v="James Castro"/>
    <s v="james.castro923@icloud.com"/>
    <s v="Wireless Bluetooth Earbuds"/>
    <s v="Electronics"/>
    <s v="ELC-WBE-01"/>
    <n v="2"/>
    <n v="29.99"/>
    <s v="BFCM25"/>
    <n v="14.99"/>
    <n v="5.99"/>
    <n v="50.98"/>
    <s v="Google Pay"/>
    <s v="Facebook"/>
    <s v="fulfilled"/>
    <x v="0"/>
    <m/>
    <s v="West Deanna"/>
  </r>
  <r>
    <s v="#1195"/>
    <d v="2026-08-04T13:56:06"/>
    <s v="Justin Chavez"/>
    <s v="justin.chavez556@gmail.com"/>
    <s v="Stainless Steel Water Bottle"/>
    <s v="Home &amp; Kitchen"/>
    <s v="HK-BTL-750"/>
    <n v="1"/>
    <n v="12.99"/>
    <m/>
    <n v="0"/>
    <n v="5.99"/>
    <n v="18.98"/>
    <s v="Google Pay"/>
    <s v="Online Store"/>
    <s v="fulfilled"/>
    <x v="2"/>
    <s v="New York"/>
    <s v="South Andrea"/>
  </r>
  <r>
    <s v="#1196"/>
    <d v="2026-08-04T13:59:55"/>
    <s v="Carrie Boyd"/>
    <s v="carrie.boyd968@gmail.com"/>
    <s v="Non-Stick Frying Pan 10in"/>
    <s v="Home &amp; Kitchen"/>
    <s v="HK-PAN-10"/>
    <n v="1"/>
    <n v="24.99"/>
    <m/>
    <s v="$0.00"/>
    <n v="7.99"/>
    <n v="32.979999999999997"/>
    <s v="Shopify Payments"/>
    <s v="Online Store"/>
    <s v="fulfilled"/>
    <x v="2"/>
    <s v="California"/>
    <s v="Nathanberg"/>
  </r>
  <r>
    <s v="#1197"/>
    <d v="2026-08-04T14:00:50"/>
    <s v="Carly Johnson"/>
    <s v="carly.johnson664@gmail.com"/>
    <s v="Adjustable Dumbbell Set"/>
    <s v="Sports &amp; Outdoors"/>
    <s v="SP-DMB-ADJ"/>
    <n v="1"/>
    <n v="89.99"/>
    <s v="SAVE20"/>
    <n v="18"/>
    <n v="0"/>
    <n v="71.989999999999995"/>
    <s v="Google Pay"/>
    <s v="Online Store"/>
    <s v="pending"/>
    <x v="3"/>
    <m/>
    <s v="Thomasfurt"/>
  </r>
  <r>
    <s v="#1198"/>
    <d v="2026-08-04T14:02:39"/>
    <s v="Michael Hays"/>
    <s v="michael.hays590@gmail.com"/>
    <s v="Hooded Sweatshirt"/>
    <s v="Apparel"/>
    <s v="APR-HOD-GRY"/>
    <n v="2"/>
    <n v="34.99"/>
    <s v="FREESHIP"/>
    <n v="0"/>
    <n v="0"/>
    <s v="$69.98"/>
    <s v="Apple Pay"/>
    <s v="Online Store"/>
    <s v="fulfilled"/>
    <x v="2"/>
    <s v="Arizona"/>
    <s v="East Juliafort"/>
  </r>
  <r>
    <s v="#1199"/>
    <d v="2026-08-04T13:54:45"/>
    <s v="Andrew Johnson"/>
    <s v="andrew.johnson94@outlook.com"/>
    <s v="Hooded Sweatshirt"/>
    <s v="Apparel"/>
    <s v="APR-HOD-GRY"/>
    <n v="1"/>
    <n v="34.99"/>
    <s v="BFCM25"/>
    <n v="8.75"/>
    <n v="7.99"/>
    <n v="34.229999999999997"/>
    <s v="PayPal"/>
    <s v="Facebook"/>
    <s v="cancelled"/>
    <x v="4"/>
    <m/>
    <s v="East Andrew"/>
  </r>
  <r>
    <s v="#1200"/>
    <d v="2026-08-04T13:59:51"/>
    <s v="Victor Herrera"/>
    <s v="victor.herrera394@outlook.com"/>
    <s v="Ceramic Coffee Mug Set (4pc)"/>
    <s v="Home &amp; Kitchen"/>
    <s v="HK-MUG-4PK"/>
    <n v="4"/>
    <n v="18.989999999999998"/>
    <s v="BFCM25"/>
    <n v="18.989999999999998"/>
    <n v="0"/>
    <n v="56.97"/>
    <s v="PayPal"/>
    <s v="Online Store"/>
    <s v="fulfilled"/>
    <x v="0"/>
    <m/>
    <s v="Danielborough"/>
  </r>
  <r>
    <s v="#1201"/>
    <d v="2026-08-04T14:04:30"/>
    <s v="Johnathan Sloan"/>
    <s v="johnathan.sloan721@outlook.com"/>
    <s v="Classic Cotton T-Shirt"/>
    <s v="Apparel"/>
    <s v="TSH-BLK-L"/>
    <n v="1"/>
    <n v="14.99"/>
    <s v="BFCM25"/>
    <n v="3.75"/>
    <n v="5.99"/>
    <n v="17.23"/>
    <s v="Google Pay"/>
    <s v="Online Store"/>
    <s v="pending"/>
    <x v="0"/>
    <m/>
    <s v="Kimberlymouth"/>
  </r>
  <r>
    <s v="#1202"/>
    <d v="2026-08-04T13:56:55"/>
    <s v="Alexandria Miller"/>
    <s v="alexandria.miller414@outlook.com"/>
    <s v="Stainless Steel Water Bottle"/>
    <s v="Home &amp; Kitchen"/>
    <s v="HK-BTL-750"/>
    <n v="1"/>
    <n v="12.99"/>
    <m/>
    <n v="0"/>
    <n v="4.99"/>
    <n v="17.98"/>
    <s v="Credit Card"/>
    <s v="Online Store"/>
    <s v="fulfilled"/>
    <x v="4"/>
    <m/>
    <s v="East Anthonyton"/>
  </r>
  <r>
    <s v="#1203"/>
    <s v="08/04/2026"/>
    <s v="michael hays"/>
    <s v="michael.hays590@gmail.com"/>
    <s v="Wireless Bluetooth Earbuds"/>
    <s v="Electronics"/>
    <s v="ELC-WBE-01"/>
    <n v="1"/>
    <n v="29.99"/>
    <s v="BFCM25"/>
    <n v="7.5"/>
    <n v="4.99"/>
    <n v="27.48"/>
    <s v="PayPal"/>
    <s v="Facebook"/>
    <s v="fulfilled"/>
    <x v="2"/>
    <s v="Washington"/>
    <s v="Gallegosmouth"/>
  </r>
  <r>
    <s v="#1204"/>
    <d v="2026-08-04T14:05:31"/>
    <s v="Chad Smith"/>
    <s v="chad.smith773@icloud.com"/>
    <s v="Non-Stick Frying Pan 10in"/>
    <s v="Home &amp; Kitchen"/>
    <s v="HK-PAN-10"/>
    <n v="2"/>
    <n v="24.99"/>
    <m/>
    <s v="$0.00"/>
    <n v="4.99"/>
    <n v="54.97"/>
    <s v="Credit Card"/>
    <s v="Online Store"/>
    <s v="cancelled"/>
    <x v="0"/>
    <m/>
    <s v="Padillamouth"/>
  </r>
  <r>
    <s v="#1205"/>
    <d v="2026-08-04T13:58:18"/>
    <s v="James Miller"/>
    <s v="james.miller866@yahoo.com"/>
    <s v="Running Shoes - Men's"/>
    <s v="Footwear"/>
    <s v="FTW-RUN-M"/>
    <n v="1"/>
    <n v="54.99"/>
    <m/>
    <n v="0"/>
    <n v="5.99"/>
    <n v="60.98"/>
    <s v="Credit Card"/>
    <s v="Online Store"/>
    <s v="pending"/>
    <x v="0"/>
    <m/>
    <s v="Gibsontown"/>
  </r>
  <r>
    <s v="#1206"/>
    <d v="2026-08-04T14:02:41"/>
    <s v="Jacqueline Miller"/>
    <s v="jacqueline.miller687@yahoo.com"/>
    <s v="Classic Cotton T-Shirt"/>
    <s v="Apparel"/>
    <s v="TSH-BLK-L"/>
    <n v="1"/>
    <n v="14.99"/>
    <m/>
    <n v="0"/>
    <n v="5.99"/>
    <n v="20.98"/>
    <s v="Google Pay"/>
    <s v="Facebook"/>
    <s v="cancelled"/>
    <x v="1"/>
    <m/>
    <s v="East Antonio"/>
  </r>
  <r>
    <s v="#1207"/>
    <d v="2026-08-04T14:01:29"/>
    <s v="Natalie Roberts"/>
    <s v="natalie.roberts628@yahoo.com"/>
    <s v="Scented Soy Candle - Vanilla"/>
    <s v="Home &amp; Kitchen"/>
    <s v="HK-CND-VAN"/>
    <n v="1"/>
    <s v="$9.99"/>
    <s v="VIP15"/>
    <n v="1.5"/>
    <n v="5.99"/>
    <n v="14.48"/>
    <s v="Apple Pay"/>
    <s v="Facebook"/>
    <s v="fulfilled"/>
    <x v="2"/>
    <s v="New York"/>
    <s v="West Misty"/>
  </r>
  <r>
    <s v="#1208"/>
    <d v="2026-08-04T14:02:16"/>
    <s v="Cody Murray"/>
    <s v="cody.murray456@gmail.com"/>
    <s v="Phone Case - Clear"/>
    <s v="Electronics"/>
    <s v="ELC-CSE-CLR"/>
    <n v="1"/>
    <n v="8.99"/>
    <s v="SAVE20"/>
    <n v="1.8"/>
    <n v="5.99"/>
    <n v="13.18"/>
    <s v="Apple Pay"/>
    <s v="Facebook"/>
    <s v="refunded"/>
    <x v="5"/>
    <m/>
    <s v="West Codyberg"/>
  </r>
  <r>
    <s v="#1209"/>
    <d v="2026-08-04T13:54:35"/>
    <s v="Donald Davis"/>
    <s v="donald.davis404@icloud.com"/>
    <s v="Backpack - 25L"/>
    <s v="Accessories"/>
    <s v="ACC-BPK-25L"/>
    <n v="1"/>
    <n v="32.99"/>
    <s v="WELCOME10"/>
    <n v="3.3"/>
    <n v="5.99"/>
    <n v="35.68"/>
    <s v="Google Pay"/>
    <s v="Online Store"/>
    <s v="pending"/>
    <x v="1"/>
    <m/>
    <s v="West Amyport"/>
  </r>
  <r>
    <s v="#1210"/>
    <d v="2026-08-04T13:59:45"/>
    <s v="Stacey Johnson"/>
    <s v="stacey.johnson95@gmail.com"/>
    <s v="Scented Soy Candle - Vanilla"/>
    <s v="Home &amp; Kitchen"/>
    <s v="HK-CND-VAN"/>
    <n v="1"/>
    <s v="$9.99"/>
    <s v="BFCM25"/>
    <n v="2.5"/>
    <n v="7.99"/>
    <n v="15.48"/>
    <s v="Shopify Payments"/>
    <s v="POS"/>
    <s v="fulfilled"/>
    <x v="3"/>
    <m/>
    <s v="Port Josephmouth"/>
  </r>
  <r>
    <s v="#1211"/>
    <d v="2026-08-04T14:01:55"/>
    <s v="  Angela Gonzalez"/>
    <s v="angela.gonzalez50@icloud.com"/>
    <s v="Wireless Bluetooth Earbuds"/>
    <s v="Electronics"/>
    <s v="ELC-WBE-01"/>
    <n v="1"/>
    <n v="29.99"/>
    <s v="VIP15"/>
    <n v="4.5"/>
    <n v="7.99"/>
    <n v="33.479999999999997"/>
    <s v="Shopify Payments"/>
    <s v="Online Store"/>
    <s v="pending"/>
    <x v="1"/>
    <m/>
    <s v="West Miranda"/>
  </r>
  <r>
    <s v="#1212"/>
    <d v="2026-08-04T13:54:32"/>
    <s v="Aimee Smith"/>
    <s v="aimee.smith857@icloud.com"/>
    <s v="Backpack - 25L"/>
    <s v="Accessories"/>
    <s v="ACC-BPK-25L"/>
    <n v="1"/>
    <n v="32.99"/>
    <m/>
    <n v="0"/>
    <n v="5.99"/>
    <n v="38.979999999999997"/>
    <s v="Google Pay"/>
    <s v="Facebook"/>
    <s v="refunded"/>
    <x v="5"/>
    <m/>
    <s v="Hollyville"/>
  </r>
  <r>
    <s v="#1213"/>
    <s v="Aug 04, 2026"/>
    <s v="Jon Lambert"/>
    <s v="jon.lambert231@icloud.com"/>
    <s v="Classic Cotton T-Shirt"/>
    <s v="Apparel"/>
    <s v="TSH-BLK-L"/>
    <n v="1"/>
    <n v="14.99"/>
    <s v="FREESHIP"/>
    <n v="0"/>
    <n v="0"/>
    <n v="14.99"/>
    <s v="Apple Pay"/>
    <s v="POS"/>
    <s v="pending"/>
    <x v="2"/>
    <s v="Washington"/>
    <s v="New Jordan"/>
  </r>
  <r>
    <s v="#1214"/>
    <d v="2026-08-04T14:06:27"/>
    <s v="Lauren Nguyen"/>
    <s v="lauren.nguyen819@outlook.com"/>
    <s v="Kids Building Blocks Set"/>
    <s v="Toys"/>
    <s v="TOY-BLK-SET"/>
    <n v="2"/>
    <n v="27.99"/>
    <s v="FREESHIP"/>
    <n v="0"/>
    <n v="0"/>
    <n v="55.98"/>
    <s v="PayPal"/>
    <s v="Instagram"/>
    <s v="pending"/>
    <x v="5"/>
    <m/>
    <s v="Lake Sarahfurt"/>
  </r>
  <r>
    <s v="#1215"/>
    <d v="2026-08-04T14:02:52"/>
    <s v="Tracy Dominguez"/>
    <s v="tracy.dominguez23@gmail.com"/>
    <s v="Throw Blanket - Fleece"/>
    <s v="Home &amp; Kitchen"/>
    <s v="HK-BLK-FLC"/>
    <n v="1"/>
    <n v="17.989999999999998"/>
    <s v="WELCOME10"/>
    <n v="1.8"/>
    <n v="7.99"/>
    <n v="24.18"/>
    <s v="PayPal"/>
    <s v="POS"/>
    <s v="refunded"/>
    <x v="2"/>
    <s v="Arizona"/>
    <s v="Lake Anitaview"/>
  </r>
  <r>
    <s v="#1216"/>
    <d v="2026-08-04T14:04:35"/>
    <s v="Kayla Cruz"/>
    <s v="kayla.cruz151@outlook.com"/>
    <s v="Polarized Sunglasses"/>
    <s v="Accessories"/>
    <s v="ACC-SUN-01"/>
    <n v="2"/>
    <n v="16.989999999999998"/>
    <s v="SAVE20"/>
    <n v="6.8"/>
    <n v="7.99"/>
    <n v="35.17"/>
    <s v="Credit Card"/>
    <s v="Instagram"/>
    <s v="refunded"/>
    <x v="0"/>
    <m/>
    <s v="Port Natalieview"/>
  </r>
  <r>
    <s v="#1217"/>
    <d v="2026-08-04T14:03:17"/>
    <s v="Brown, Barbara"/>
    <s v="barbara.brown26@gmail.com"/>
    <s v="Wireless Mouse"/>
    <s v="Electronics"/>
    <s v="ELC-MSE-WL"/>
    <n v="2"/>
    <n v="11.99"/>
    <s v="BFCM25"/>
    <n v="6"/>
    <n v="4.99"/>
    <n v="22.97"/>
    <s v="Google Pay"/>
    <s v="Facebook"/>
    <s v="cancelled"/>
    <x v="2"/>
    <s v="Ohio"/>
    <s v="East Patricialand"/>
  </r>
  <r>
    <s v="#1218"/>
    <d v="2026-08-04T13:56:07"/>
    <s v="Zachary Hanson"/>
    <s v="zachary.hanson261@outlook.com"/>
    <s v="Scented Soy Candle - Vanilla"/>
    <s v="Home &amp; Kitchen"/>
    <s v="HK-CND-VAN"/>
    <n v="1"/>
    <n v="9.99"/>
    <m/>
    <n v="0"/>
    <n v="4.99"/>
    <n v="14.98"/>
    <s v="Shopify Payments"/>
    <s v="Instagram"/>
    <s v="fulfilled"/>
    <x v="2"/>
    <s v="TX"/>
    <s v="Santosburgh"/>
  </r>
  <r>
    <s v="#1219"/>
    <d v="2026-08-04T13:54:00"/>
    <s v="Veronica Price"/>
    <m/>
    <s v="Polarized Sunglasses"/>
    <s v="Accessories"/>
    <s v="ACC-SUN-01"/>
    <n v="1"/>
    <n v="16.989999999999998"/>
    <m/>
    <n v="0"/>
    <n v="4.99"/>
    <n v="21.98"/>
    <s v="Shopify Payments"/>
    <s v="Facebook"/>
    <s v="fulfilled"/>
    <x v="1"/>
    <m/>
    <s v="North Matthewstad"/>
  </r>
  <r>
    <s v="#1220"/>
    <s v="04-08-2026 13:53"/>
    <s v="  Megan Dickson"/>
    <s v="megan.dickson508@gmail.com"/>
    <s v="Running Shoes - Womens"/>
    <s v="Footwear"/>
    <s v="FTW-RUN-W"/>
    <n v="1"/>
    <n v="54.99"/>
    <s v="BFCM25"/>
    <n v="13.75"/>
    <n v="7.99"/>
    <n v="49.23"/>
    <s v="Google Pay"/>
    <s v="Online Store"/>
    <s v="fulfilled"/>
    <x v="5"/>
    <m/>
    <s v="Lake Joe"/>
  </r>
  <r>
    <s v="#1221"/>
    <d v="2026-08-04T14:08:01"/>
    <s v="David Knapp"/>
    <s v="david.knapp687@yahoo.com"/>
    <s v="Hooded Sweatshirt"/>
    <s v="Apparel"/>
    <s v="APR-HOD-GRY"/>
    <n v="1"/>
    <n v="34.99"/>
    <s v="FREESHIP"/>
    <n v="0"/>
    <n v="0"/>
    <n v="34.99"/>
    <s v="Credit Card"/>
    <s v="Facebook"/>
    <s v="fulfilled"/>
    <x v="2"/>
    <s v="Arizona"/>
    <s v="West Stephenburgh"/>
  </r>
  <r>
    <s v="#1222"/>
    <d v="2026-08-04T14:04:24"/>
    <s v="John Jacobs"/>
    <s v="john.jacobs137@yahoo.com"/>
    <s v="Vitamin C Serum 30ml"/>
    <s v="Beauty"/>
    <s v="BTY-SRM-30"/>
    <n v="1"/>
    <n v="24.99"/>
    <s v="SAVE20"/>
    <s v="$5.00"/>
    <n v="5.99"/>
    <n v="25.98"/>
    <s v="PayPal"/>
    <s v="POS"/>
    <s v="fulfilled"/>
    <x v="4"/>
    <m/>
    <s v="Cookton"/>
  </r>
  <r>
    <s v="#1223"/>
    <d v="2026-08-04T14:03:00"/>
    <s v="Michelle Owens"/>
    <s v="michelle.owens269@yahoo.com"/>
    <s v="Adjustable Dumbbell Set"/>
    <s v="Sports &amp; Outdoors"/>
    <s v="SP-DMB-ADJ"/>
    <n v="1"/>
    <n v="89.99"/>
    <s v="BFCM25"/>
    <n v="22.5"/>
    <n v="0"/>
    <n v="67.489999999999995"/>
    <s v="Shopify Payments"/>
    <s v="Instagram"/>
    <s v="fulfilled"/>
    <x v="2"/>
    <s v="Arizona"/>
    <s v="Owenschester"/>
  </r>
  <r>
    <s v="#1224"/>
    <s v="08/04/2026"/>
    <s v="TINA SINGH"/>
    <s v="tina.singh98@icloud.com"/>
    <s v="Non-Stick Frying Pan 10in"/>
    <s v="Home &amp; Kitchen"/>
    <s v="HK-PAN-10"/>
    <n v="2"/>
    <n v="24.99"/>
    <m/>
    <n v="0"/>
    <n v="4.99"/>
    <s v="$54.97"/>
    <s v="Shopify Payments"/>
    <s v="Online Store"/>
    <s v="fulfilled"/>
    <x v="2"/>
    <s v="FL"/>
    <s v="West Laceyberg"/>
  </r>
  <r>
    <s v="#1225"/>
    <d v="2026-08-04T14:07:19"/>
    <s v="Christopher Harrington"/>
    <s v="christopher.harrington960@gmail.com"/>
    <s v="Non-Stick Frying Pan 10in"/>
    <s v="Home &amp; Kitchen"/>
    <s v="HK-PAN-10"/>
    <n v="1"/>
    <n v="24.99"/>
    <m/>
    <n v="0"/>
    <n v="5.99"/>
    <n v="30.98"/>
    <s v="Google Pay"/>
    <s v="Instagram"/>
    <s v="fulfilled"/>
    <x v="4"/>
    <m/>
    <s v="Lake Christopherside"/>
  </r>
  <r>
    <s v="#1226"/>
    <s v="Aug 04, 2026"/>
    <s v="Sara Sims"/>
    <s v="sara.sims992@icloud.com"/>
    <s v="Kids Building Blocks Set"/>
    <s v="Toys"/>
    <s v="TOY-BLK-SET"/>
    <n v="1"/>
    <n v="27.99"/>
    <m/>
    <n v="0"/>
    <n v="4.99"/>
    <n v="32.979999999999997"/>
    <s v="PayPal"/>
    <s v="Instagram"/>
    <s v="refunded"/>
    <x v="3"/>
    <m/>
    <s v="Waremouth"/>
  </r>
  <r>
    <s v="#1227"/>
    <s v="08/04/2026"/>
    <s v="Rebecca Watts"/>
    <s v="rebecca.watts779@gmail.com"/>
    <s v="Slim Fit Denim Jeans"/>
    <s v="Apparel"/>
    <s v="JNS-BLU-32"/>
    <n v="1"/>
    <n v="39.99"/>
    <m/>
    <n v="0"/>
    <n v="4.99"/>
    <n v="44.98"/>
    <s v="Google Pay"/>
    <s v="Online Store"/>
    <s v="fulfilled"/>
    <x v="2"/>
    <s v="Ohio"/>
    <s v="Andreaport"/>
  </r>
  <r>
    <s v="#1228"/>
    <d v="2026-08-04T13:53:57"/>
    <s v="Andrew Cross"/>
    <s v="andrew.cross512@yahoo.com"/>
    <s v="Running Shoes - Men's"/>
    <s v="Footwear"/>
    <s v="FTW-RUN-M"/>
    <n v="1"/>
    <n v="54.99"/>
    <s v="WELCOME10"/>
    <n v="5.5"/>
    <n v="5.99"/>
    <n v="55.48"/>
    <s v="Apple Pay"/>
    <s v="Online Store"/>
    <s v="fulfilled"/>
    <x v="2"/>
    <s v="TX"/>
    <s v="New Kelly"/>
  </r>
  <r>
    <s v="#1229"/>
    <d v="2026-08-04T14:05:50"/>
    <s v="Randy Wheeler"/>
    <s v="randy.wheeler304@icloud.com"/>
    <s v="Leather Wallet - Brown"/>
    <s v="Accessories"/>
    <s v="ACC-WLT-BRN"/>
    <n v="1"/>
    <n v="19.989999999999998"/>
    <m/>
    <n v="0"/>
    <n v="4.99"/>
    <s v="$24.98"/>
    <s v="Credit Card"/>
    <s v="Online Store"/>
    <s v="fulfilled"/>
    <x v="2"/>
    <s v="North Carolina"/>
    <s v="East Michelleside"/>
  </r>
  <r>
    <s v="#1230"/>
    <d v="2026-08-04T14:04:55"/>
    <s v="Brian Ruiz"/>
    <s v="brian.ruiz246@gmail.com"/>
    <s v="Facial Cleanser 200ml"/>
    <s v="Beauty"/>
    <s v="BTY-CLN-200"/>
    <n v="1"/>
    <s v="$13.49"/>
    <s v="SAVE20"/>
    <n v="2.7"/>
    <n v="4.99"/>
    <n v="15.78"/>
    <s v="Apple Pay"/>
    <s v="Online Store"/>
    <s v="fulfilled"/>
    <x v="3"/>
    <m/>
    <s v="New Emilyshire"/>
  </r>
  <r>
    <s v="#1231"/>
    <d v="2026-08-04T13:59:49"/>
    <s v="Leon Oliver"/>
    <s v="leon.oliver578@gmail.com"/>
    <s v="Backpack - 25L"/>
    <s v="Accessories"/>
    <s v="ACC-BPK-25L"/>
    <n v="1"/>
    <n v="32.99"/>
    <s v="BFCM25"/>
    <n v="8.25"/>
    <n v="5.99"/>
    <n v="30.73"/>
    <s v="PayPal"/>
    <s v="Online Store"/>
    <s v="fulfilled"/>
    <x v="1"/>
    <m/>
    <s v="Lindamouth"/>
  </r>
  <r>
    <s v="#1232"/>
    <d v="2026-08-04T14:08:09"/>
    <s v="Patrick Richardson"/>
    <s v="patrick.richardson270@icloud.com"/>
    <s v="Running Shoes - Men's"/>
    <s v="Footwear"/>
    <s v="FTW-RUN-M"/>
    <n v="2"/>
    <n v="54.99"/>
    <s v="FREESHIP"/>
    <n v="0"/>
    <n v="0"/>
    <n v="109.98"/>
    <s v="Credit Card"/>
    <s v="Online Store"/>
    <s v="fulfilled"/>
    <x v="2"/>
    <s v="New York"/>
    <s v="South Malloryview"/>
  </r>
  <r>
    <s v="#1233"/>
    <s v="08/04/2026"/>
    <s v="KEVIN STOUT"/>
    <s v="kevin.stout35@icloud.com"/>
    <s v="Throw Blanket - Fleece"/>
    <s v="Home &amp; Kitchen"/>
    <s v="HK-BLK-FLC"/>
    <n v="2"/>
    <n v="17.989999999999998"/>
    <m/>
    <n v="0"/>
    <n v="7.99"/>
    <n v="43.97"/>
    <s v="PayPal"/>
    <s v="POS"/>
    <s v="fulfilled"/>
    <x v="2"/>
    <s v="IL"/>
    <s v="New Paul"/>
  </r>
  <r>
    <s v="#1234"/>
    <d v="2026-08-04T14:03:03"/>
    <s v="Gerald Li"/>
    <s v="gerald.li856@icloud.com"/>
    <s v="Kids Building Blocks Set"/>
    <s v="Toys"/>
    <s v="TOY-BLK-SET"/>
    <n v="2"/>
    <n v="27.99"/>
    <m/>
    <n v="0"/>
    <n v="4.99"/>
    <n v="60.97"/>
    <s v="Shopify Payments"/>
    <s v="Online Store"/>
    <s v="pending"/>
    <x v="2"/>
    <s v="Ohio"/>
    <s v="Jennifertown"/>
  </r>
  <r>
    <s v="#1235"/>
    <s v="2026-08-04"/>
    <s v="Melinda Henderson"/>
    <s v="melinda.henderson831@gmail.com"/>
    <s v="Wireless Mouse"/>
    <s v="Electronics"/>
    <s v="ELC-MSE-WL"/>
    <n v="2"/>
    <n v="11.99"/>
    <s v="VIP15"/>
    <n v="3.6"/>
    <n v="7.99"/>
    <n v="28.37"/>
    <s v="Credit Card"/>
    <s v="Online Store"/>
    <s v="cancelled"/>
    <x v="5"/>
    <m/>
    <s v="Port Patrick"/>
  </r>
  <r>
    <s v="#1236"/>
    <d v="2026-08-04T14:02:17"/>
    <s v="Suzanne Robertson"/>
    <s v="suzanne.robertson435@gmail.com"/>
    <s v="Non-Stick Frying Pan 10in"/>
    <s v="Home &amp; Kitchen"/>
    <s v="HK-PAN-10"/>
    <n v="1"/>
    <n v="24.99"/>
    <s v="BFCM25"/>
    <n v="6.25"/>
    <n v="7.99"/>
    <n v="26.73"/>
    <s v="PayPal"/>
    <s v="Instagram"/>
    <s v="cancelled"/>
    <x v="4"/>
    <m/>
    <s v="New Austinfort"/>
  </r>
  <r>
    <s v="#1237"/>
    <d v="2026-08-04T14:05:14"/>
    <s v="  Shawn Oliver"/>
    <s v="shawn.oliver540@icloud.com"/>
    <s v="Running Shoes - Men's"/>
    <s v="Footwear"/>
    <s v="FTW-RUN-M"/>
    <n v="2"/>
    <n v="54.99"/>
    <m/>
    <n v="0"/>
    <n v="0"/>
    <n v="109.98"/>
    <s v="Google Pay"/>
    <s v="Online Store"/>
    <s v="cancelled"/>
    <x v="1"/>
    <m/>
    <s v="East April"/>
  </r>
  <r>
    <s v="#1238"/>
    <d v="2026-08-04T14:03:23"/>
    <s v="Ann Byrd"/>
    <m/>
    <s v="Vitamin C Serum 30ml"/>
    <s v="Beauty"/>
    <s v="BTY-SRM-30"/>
    <n v="1"/>
    <n v="24.99"/>
    <m/>
    <n v="0"/>
    <n v="7.99"/>
    <n v="32.979999999999997"/>
    <s v="Google Pay"/>
    <s v="Online Store"/>
    <s v="fulfilled"/>
    <x v="4"/>
    <m/>
    <s v="Ewingchester"/>
  </r>
  <r>
    <s v="#1239"/>
    <d v="2026-08-04T13:53:34"/>
    <s v="Dustin Mccoy"/>
    <s v="dustin.mccoy570@gmail.com"/>
    <s v="Classic Cotton T-Shirt"/>
    <s v="Apparel"/>
    <s v="TSH-BLK-M"/>
    <n v="1"/>
    <n v="14.99"/>
    <s v="VIP15"/>
    <n v="2.25"/>
    <n v="5.99"/>
    <n v="18.73"/>
    <s v="Apple Pay"/>
    <s v="Instagram"/>
    <s v="pending"/>
    <x v="1"/>
    <m/>
    <s v="Berryside"/>
  </r>
  <r>
    <s v="#1240"/>
    <s v="08/04/2026"/>
    <s v="Anthony Parker"/>
    <s v="anthony.parker256@icloud.com"/>
    <s v="Scented Soy Candle - Vanilla"/>
    <s v="Home &amp; Kitchen"/>
    <s v="HK-CND-VAN"/>
    <n v="1"/>
    <n v="9.99"/>
    <m/>
    <n v="0"/>
    <n v="4.99"/>
    <s v="$14.98"/>
    <s v="Credit Card"/>
    <s v="Instagram"/>
    <s v="cancelled"/>
    <x v="5"/>
    <m/>
    <s v="Oneillborough"/>
  </r>
  <r>
    <s v="#1241"/>
    <s v="04-08-2026 14:00"/>
    <s v="Karen Bautista"/>
    <s v="karen.bautista779@icloud.com"/>
    <s v="Vitamin C Serum 30ml"/>
    <s v="Beauty"/>
    <s v="BTY-SRM-30"/>
    <n v="3"/>
    <n v="24.99"/>
    <m/>
    <n v="0"/>
    <n v="5.99"/>
    <n v="80.959999999999994"/>
    <s v="Google Pay"/>
    <s v="Online Store"/>
    <s v="pending"/>
    <x v="2"/>
    <s v="North Carolina"/>
    <s v="Callahanside"/>
  </r>
  <r>
    <s v="#1242"/>
    <d v="2026-08-04T14:07:35"/>
    <s v="Jennifer Burke"/>
    <s v="jennifer.burke472@icloud.com"/>
    <s v="Facial Cleanser 200ml"/>
    <s v="Beauty"/>
    <s v="BTY-CLN-200"/>
    <n v="2"/>
    <n v="13.49"/>
    <s v="SAVE20"/>
    <s v="$5.40"/>
    <n v="7.99"/>
    <n v="29.57"/>
    <s v="PayPal"/>
    <s v="Online Store"/>
    <s v="fulfilled"/>
    <x v="0"/>
    <m/>
    <s v="Taylorberg"/>
  </r>
  <r>
    <s v="#1243"/>
    <d v="2026-08-04T13:59:21"/>
    <s v="Jaime Vargas"/>
    <s v="jaime.vargas795@outlook.com"/>
    <s v="Polarized Sunglasses"/>
    <s v="Accessories"/>
    <s v="ACC-SUN-01"/>
    <n v="2"/>
    <s v="$16.99"/>
    <s v="FREESHIP"/>
    <n v="0"/>
    <n v="0"/>
    <n v="33.979999999999997"/>
    <s v="Google Pay"/>
    <s v="Online Store"/>
    <s v="fulfilled"/>
    <x v="5"/>
    <m/>
    <s v="South Benjaminstad"/>
  </r>
  <r>
    <s v="#1244"/>
    <d v="2026-08-04T13:58:27"/>
    <s v="Robert Lopez"/>
    <s v="robert.lopez980@outlook.com"/>
    <s v="Yoga Mat - Extra Thick"/>
    <s v="Sports &amp; Outdoors"/>
    <s v="SP-YGM-EX"/>
    <n v="1"/>
    <s v="$22.99"/>
    <m/>
    <n v="0"/>
    <n v="4.99"/>
    <n v="27.98"/>
    <s v="PayPal"/>
    <s v="Facebook"/>
    <s v="fulfilled"/>
    <x v="3"/>
    <m/>
    <s v="Collinsborough"/>
  </r>
  <r>
    <s v="#1245"/>
    <d v="2026-08-04T14:04:59"/>
    <s v="Christy Phillips"/>
    <s v="christy.phillips291@gmail.com"/>
    <s v="Classic Cotton T-Shirt"/>
    <s v="Apparel"/>
    <s v="TSH-BLK-M"/>
    <n v="1"/>
    <n v="14.99"/>
    <s v="FREESHIP"/>
    <n v="0"/>
    <n v="0"/>
    <n v="14.99"/>
    <s v="Google Pay"/>
    <s v="Online Store"/>
    <s v="cancelled"/>
    <x v="0"/>
    <m/>
    <s v="Devinburgh"/>
  </r>
  <r>
    <s v="#1246"/>
    <s v="2026-08-04"/>
    <s v="Cody Murray"/>
    <s v="cody.murray456@gmail.com"/>
    <s v="Facial Cleanser 200ml"/>
    <s v="Beauty"/>
    <s v="BTY-CLN-200"/>
    <n v="1"/>
    <n v="13.49"/>
    <s v="FREESHIP"/>
    <n v="0"/>
    <n v="0"/>
    <n v="13.49"/>
    <s v="Apple Pay"/>
    <s v="Online Store"/>
    <s v="fulfilled"/>
    <x v="5"/>
    <m/>
    <s v="South Matthew"/>
  </r>
  <r>
    <s v="#1247"/>
    <d v="2026-08-04T13:59:54"/>
    <s v="Stacey Morales"/>
    <s v="stacey.morales538@yahoo.com"/>
    <s v="Vitamin C Serum 30ml"/>
    <s v="Beauty"/>
    <s v="BTY-SRM-30"/>
    <n v="1"/>
    <n v="24.99"/>
    <s v="WELCOME10"/>
    <s v="$2.50"/>
    <n v="4.99"/>
    <n v="27.48"/>
    <s v="PayPal"/>
    <s v="Facebook"/>
    <s v="cancelled"/>
    <x v="4"/>
    <m/>
    <s v="North Christopherport"/>
  </r>
  <r>
    <s v="#1248"/>
    <d v="2026-08-04T14:04:31"/>
    <s v="Melissa Smith"/>
    <s v="melissa.smith711@gmail.com"/>
    <s v="Running Shoes - Women's"/>
    <s v="Footwear"/>
    <s v="FTW-RUN-W"/>
    <n v="2"/>
    <n v="54.99"/>
    <s v="BFCM25"/>
    <n v="27.5"/>
    <n v="0"/>
    <n v="82.48"/>
    <s v="Credit Card"/>
    <s v="Online Store"/>
    <s v="fulfilled"/>
    <x v="0"/>
    <m/>
    <s v="Thompsonshire"/>
  </r>
  <r>
    <s v="#1249"/>
    <d v="2026-08-04T14:07:53"/>
    <s v="Kayla Cruz"/>
    <s v="kayla.cruz151@outlook.com"/>
    <s v="Facial Cleanser 200ml"/>
    <s v="Beauty"/>
    <s v="BTY-CLN-200"/>
    <n v="3"/>
    <n v="13.49"/>
    <m/>
    <n v="0"/>
    <n v="7.99"/>
    <n v="48.46"/>
    <s v="Google Pay"/>
    <s v="Online Store"/>
    <s v="refunded"/>
    <x v="0"/>
    <m/>
    <s v="South Mark"/>
  </r>
  <r>
    <s v="#1250"/>
    <d v="2026-08-04T14:04:19"/>
    <s v="Debra Thomas"/>
    <s v="debra.thomas509@icloud.com"/>
    <s v="Polarized Sunglasses"/>
    <s v="Accessories"/>
    <s v="ACC-SUN-01"/>
    <n v="1"/>
    <n v="16.989999999999998"/>
    <s v="WELCOME10"/>
    <n v="1.7"/>
    <n v="7.99"/>
    <n v="23.28"/>
    <s v="PayPal"/>
    <s v="Online Store"/>
    <s v="fulfilled"/>
    <x v="2"/>
    <s v="Georgia"/>
    <s v="Richardside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992">
  <r>
    <s v="#1007"/>
    <n v="1"/>
    <d v="2026-08-04T14:05:52"/>
    <d v="2026-08-04T14:05:52"/>
    <s v="Maria Leon"/>
    <x v="0"/>
    <s v="maria.leon163@outlook.com"/>
    <s v="Adjustable Dumbbell Set"/>
    <x v="0"/>
    <s v="Sports &amp; Outdoors"/>
    <x v="0"/>
    <n v="1"/>
    <n v="89.99"/>
    <n v="89.99"/>
    <m/>
    <x v="0"/>
    <n v="0"/>
    <n v="0"/>
    <s v="Number"/>
    <n v="0"/>
    <n v="0"/>
    <n v="89.99"/>
    <n v="89.99"/>
    <n v="89.99"/>
    <s v="True"/>
    <s v="Outlier"/>
    <s v="Apple Pay"/>
    <x v="0"/>
    <s v="refunded"/>
    <s v="Canada"/>
    <m/>
    <s v="Not Required"/>
    <s v="North Rebeccaland"/>
  </r>
  <r>
    <s v="#1016"/>
    <n v="1"/>
    <d v="2026-04-08T00:00:00"/>
    <s v="08/04/2026"/>
    <s v="Rachel Jimenez"/>
    <x v="0"/>
    <s v="rachel.jimenez326@outlook.com"/>
    <s v="Adjustable Dumbbell Set"/>
    <x v="0"/>
    <s v="Sports &amp; Outdoors"/>
    <x v="0"/>
    <n v="1"/>
    <n v="89.99"/>
    <n v="89.99"/>
    <m/>
    <x v="0"/>
    <n v="0"/>
    <n v="0"/>
    <s v="Number"/>
    <n v="0"/>
    <n v="0"/>
    <n v="89.99"/>
    <n v="89.99"/>
    <n v="89.99"/>
    <s v="True"/>
    <s v="Outlier"/>
    <s v="Google Pay"/>
    <x v="1"/>
    <s v="fulfilled"/>
    <s v="United States"/>
    <s v="Texas"/>
    <s v="Valid"/>
    <s v="Larsonchester"/>
  </r>
  <r>
    <s v="#1026"/>
    <n v="1"/>
    <d v="2026-08-04T14:04:49"/>
    <d v="2026-08-04T14:04:49"/>
    <s v="Amanda Rodriguez"/>
    <x v="0"/>
    <s v="amanda.rodriguez770@yahoo.com"/>
    <s v="Adjustable Dumbbell Set"/>
    <x v="0"/>
    <s v="Sports &amp; Outdoors"/>
    <x v="0"/>
    <n v="1"/>
    <n v="89.99"/>
    <n v="89.99"/>
    <m/>
    <x v="0"/>
    <n v="0"/>
    <n v="0"/>
    <s v="Number"/>
    <n v="0"/>
    <n v="0"/>
    <n v="89.99"/>
    <n v="89.99"/>
    <n v="89.99"/>
    <s v="True"/>
    <s v="Outlier"/>
    <s v="PayPal"/>
    <x v="1"/>
    <s v="fulfilled"/>
    <s v="United States"/>
    <s v="North Carolina"/>
    <s v="Valid"/>
    <s v="Port Brittneyview"/>
  </r>
  <r>
    <s v="#1065"/>
    <n v="1"/>
    <d v="2026-08-04T14:02:18"/>
    <d v="2026-08-04T14:02:18"/>
    <s v="Jaime Vargas"/>
    <x v="0"/>
    <s v="jaime.vargas795@outlook.com"/>
    <s v="Adjustable Dumbbell Set"/>
    <x v="0"/>
    <s v="Sports &amp; Outdoors"/>
    <x v="0"/>
    <n v="4"/>
    <n v="89.99"/>
    <n v="89.99"/>
    <m/>
    <x v="0"/>
    <n v="0"/>
    <n v="0"/>
    <s v="Number"/>
    <n v="0"/>
    <n v="0"/>
    <n v="359.96"/>
    <n v="359.96"/>
    <n v="359.96"/>
    <s v="True"/>
    <s v="Outlier"/>
    <s v="Apple Pay"/>
    <x v="2"/>
    <s v="fulfilled"/>
    <s v="United Kingdom"/>
    <m/>
    <s v="Not Required"/>
    <s v="North Victoriamouth"/>
  </r>
  <r>
    <s v="#1090"/>
    <n v="1"/>
    <d v="2026-08-04T13:54:11"/>
    <d v="2026-08-04T13:54:11"/>
    <s v="Glenn Mcmahon"/>
    <x v="0"/>
    <s v="glenn.mcmahon733@yahoo.com"/>
    <s v="Adjustable Dumbbell Set"/>
    <x v="0"/>
    <s v="Sports &amp; Outdoors"/>
    <x v="0"/>
    <n v="1"/>
    <n v="89.99"/>
    <n v="89.99"/>
    <s v="WELCOME10"/>
    <x v="1"/>
    <n v="9"/>
    <n v="9"/>
    <s v="Number"/>
    <n v="0"/>
    <n v="0"/>
    <n v="80.989999999999995"/>
    <n v="80.989999999999995"/>
    <n v="80.989999999999995"/>
    <s v="True"/>
    <s v="Normal"/>
    <s v="PayPal"/>
    <x v="0"/>
    <s v="fulfilled"/>
    <s v="United States"/>
    <s v="Illinois"/>
    <s v="Valid"/>
    <s v="West Thomaschester"/>
  </r>
  <r>
    <s v="#1117"/>
    <n v="1"/>
    <d v="2026-08-04T00:00:00"/>
    <s v="04-08-2026 14:06"/>
    <s v="Stacey Morales"/>
    <x v="0"/>
    <s v="stacey.morales538@yahoo.com"/>
    <s v="Adjustable Dumbbell Set"/>
    <x v="0"/>
    <s v="Sports &amp; Outdoors"/>
    <x v="0"/>
    <n v="1"/>
    <s v="$89.99"/>
    <n v="89.99"/>
    <m/>
    <x v="0"/>
    <n v="0"/>
    <n v="0"/>
    <s v="Number"/>
    <n v="0"/>
    <n v="0"/>
    <n v="89.99"/>
    <n v="89.99"/>
    <n v="89.99"/>
    <s v="True"/>
    <s v="Outlier"/>
    <s v="PayPal"/>
    <x v="2"/>
    <s v="fulfilled"/>
    <s v="Australia"/>
    <m/>
    <s v="Not Required"/>
    <s v="Morganmouth"/>
  </r>
  <r>
    <s v="#1146"/>
    <n v="1"/>
    <d v="2026-08-04T13:56:01"/>
    <d v="2026-08-04T13:56:01"/>
    <s v="Jaime Vargas"/>
    <x v="0"/>
    <s v="jaime.vargas795@outlook.com"/>
    <s v="Adjustable Dumbbell Set"/>
    <x v="0"/>
    <s v="Sports &amp; Outdoors"/>
    <x v="0"/>
    <n v="1"/>
    <n v="89.99"/>
    <n v="89.99"/>
    <s v="WELCOME10"/>
    <x v="1"/>
    <n v="9"/>
    <n v="9"/>
    <s v="Number"/>
    <n v="0"/>
    <n v="0"/>
    <n v="80.989999999999995"/>
    <n v="80.989999999999995"/>
    <n v="80.989999999999995"/>
    <s v="True"/>
    <s v="Normal"/>
    <s v="Credit Card"/>
    <x v="1"/>
    <s v="fulfilled"/>
    <s v="United Kingdom"/>
    <m/>
    <s v="Not Required"/>
    <s v="Lake Rickyland"/>
  </r>
  <r>
    <s v="#1159"/>
    <n v="1"/>
    <d v="2026-08-04T13:55:10"/>
    <d v="2026-08-04T13:55:10"/>
    <s v="Christopher Martin"/>
    <x v="0"/>
    <s v="christopher.martin10@gmail.com"/>
    <s v="Adjustable Dumbbell Set"/>
    <x v="0"/>
    <s v="Sports &amp; Outdoors"/>
    <x v="0"/>
    <n v="1"/>
    <n v="89.99"/>
    <n v="89.99"/>
    <m/>
    <x v="0"/>
    <n v="0"/>
    <n v="0"/>
    <s v="Number"/>
    <n v="0"/>
    <n v="0"/>
    <n v="89.99"/>
    <n v="89.99"/>
    <n v="89.99"/>
    <s v="True"/>
    <s v="Outlier"/>
    <s v="PayPal"/>
    <x v="1"/>
    <s v="fulfilled"/>
    <s v="United States"/>
    <s v="Ohio"/>
    <s v="Valid"/>
    <s v="Sarahfort"/>
  </r>
  <r>
    <s v="#1183"/>
    <n v="1"/>
    <d v="2026-08-04T00:00:00"/>
    <s v="Aug 04, 2026"/>
    <s v="Benjamin Collins"/>
    <x v="0"/>
    <s v="benjamin.collins953@icloud.com"/>
    <s v="Adjustable Dumbbell Set"/>
    <x v="0"/>
    <s v="Sports &amp; Outdoors"/>
    <x v="0"/>
    <n v="1"/>
    <n v="89.99"/>
    <n v="89.99"/>
    <s v="SAVE20"/>
    <x v="2"/>
    <n v="18"/>
    <n v="18"/>
    <s v="Number"/>
    <n v="0"/>
    <n v="0"/>
    <n v="71.989999999999995"/>
    <n v="71.989999999999995"/>
    <n v="71.989999999999995"/>
    <s v="True"/>
    <s v="Normal"/>
    <s v="Google Pay"/>
    <x v="2"/>
    <s v="fulfilled"/>
    <s v="Pakistan"/>
    <m/>
    <s v="Not Required"/>
    <s v="Lake Patriciaview"/>
  </r>
  <r>
    <s v="#1197"/>
    <n v="1"/>
    <d v="2026-08-04T14:00:50"/>
    <d v="2026-08-04T14:00:50"/>
    <s v="Carly Johnson"/>
    <x v="0"/>
    <s v="carly.johnson664@gmail.com"/>
    <s v="Adjustable Dumbbell Set"/>
    <x v="0"/>
    <s v="Sports &amp; Outdoors"/>
    <x v="0"/>
    <n v="1"/>
    <n v="89.99"/>
    <n v="89.99"/>
    <s v="SAVE20"/>
    <x v="2"/>
    <n v="18"/>
    <n v="18"/>
    <s v="Number"/>
    <n v="0"/>
    <n v="0"/>
    <n v="71.989999999999995"/>
    <n v="71.989999999999995"/>
    <n v="71.989999999999995"/>
    <s v="True"/>
    <s v="Normal"/>
    <s v="Google Pay"/>
    <x v="0"/>
    <s v="pending"/>
    <s v="Germany"/>
    <m/>
    <s v="Not Required"/>
    <s v="Thomasfurt"/>
  </r>
  <r>
    <s v="#1223"/>
    <n v="1"/>
    <d v="2026-08-04T14:03:00"/>
    <d v="2026-08-04T14:03:00"/>
    <s v="Michelle Owens"/>
    <x v="0"/>
    <s v="michelle.owens269@yahoo.com"/>
    <s v="Adjustable Dumbbell Set"/>
    <x v="0"/>
    <s v="Sports &amp; Outdoors"/>
    <x v="0"/>
    <n v="1"/>
    <n v="89.99"/>
    <n v="89.99"/>
    <s v="BFCM25"/>
    <x v="3"/>
    <n v="22.5"/>
    <n v="22.5"/>
    <s v="Number"/>
    <n v="0"/>
    <n v="0"/>
    <n v="67.489999999999995"/>
    <n v="67.489999999999995"/>
    <n v="67.489999999999995"/>
    <s v="True"/>
    <s v="Normal"/>
    <s v="Shopify Payments"/>
    <x v="2"/>
    <s v="fulfilled"/>
    <s v="United States"/>
    <s v="Arizona"/>
    <s v="Valid"/>
    <s v="Owenschester"/>
  </r>
  <r>
    <s v="#1267"/>
    <n v="1"/>
    <d v="2026-08-04T14:02:56"/>
    <d v="2026-08-04T14:02:56"/>
    <s v="Danielle Morrow"/>
    <x v="0"/>
    <s v="danielle.morrow805@outlook.com"/>
    <s v="Adjustable Dumbbell Set"/>
    <x v="0"/>
    <s v="Sports &amp; Outdoors"/>
    <x v="0"/>
    <n v="1"/>
    <s v="$89.99"/>
    <n v="89.99"/>
    <m/>
    <x v="0"/>
    <n v="0"/>
    <n v="0"/>
    <s v="Number"/>
    <n v="0"/>
    <n v="0"/>
    <s v="$89.99"/>
    <n v="89.99"/>
    <n v="89.99"/>
    <s v="True"/>
    <s v="Outlier"/>
    <s v="Credit Card"/>
    <x v="0"/>
    <s v="cancelled"/>
    <s v="United Kingdom"/>
    <m/>
    <s v="Not Required"/>
    <s v="New Jasonville"/>
  </r>
  <r>
    <s v="#1270"/>
    <n v="1"/>
    <d v="2026-08-04T14:00:09"/>
    <d v="2026-08-04T14:00:09"/>
    <s v="Michael Hays"/>
    <x v="0"/>
    <s v="michael.hays590@gmail.com"/>
    <s v="Adjustable Dumbbell Set"/>
    <x v="0"/>
    <s v="Sports &amp; Outdoors"/>
    <x v="0"/>
    <n v="1"/>
    <n v="89.99"/>
    <n v="89.99"/>
    <m/>
    <x v="0"/>
    <n v="0"/>
    <n v="0"/>
    <s v="Number"/>
    <n v="0"/>
    <n v="0"/>
    <n v="89.99"/>
    <n v="89.99"/>
    <n v="89.99"/>
    <s v="True"/>
    <s v="Outlier"/>
    <s v="Credit Card"/>
    <x v="2"/>
    <s v="pending"/>
    <s v="United States"/>
    <s v="Ohio"/>
    <s v="Valid"/>
    <s v="Lake John"/>
  </r>
  <r>
    <s v="#1323"/>
    <n v="1"/>
    <d v="2026-08-04T14:05:33"/>
    <d v="2026-08-04T14:05:33"/>
    <s v="Suzanne White"/>
    <x v="0"/>
    <s v="suzanne.white877@gmail.com"/>
    <s v="Adjustable Dumbbell Set"/>
    <x v="0"/>
    <s v="Sports &amp; Outdoors"/>
    <x v="0"/>
    <n v="1"/>
    <n v="89.99"/>
    <n v="89.99"/>
    <s v="VIP15"/>
    <x v="4"/>
    <n v="13.5"/>
    <n v="13.5"/>
    <s v="Number"/>
    <n v="0"/>
    <n v="0"/>
    <n v="76.489999999999995"/>
    <n v="76.489999999999995"/>
    <n v="76.489999999999995"/>
    <s v="True"/>
    <s v="Normal"/>
    <s v="Shopify Payments"/>
    <x v="2"/>
    <s v="fulfilled"/>
    <s v="United States"/>
    <s v="Ohio"/>
    <s v="Valid"/>
    <s v="Lake Leahtown"/>
  </r>
  <r>
    <s v="#1326"/>
    <n v="1"/>
    <d v="2026-04-08T00:00:00"/>
    <s v="08/04/2026"/>
    <s v="James Castro"/>
    <x v="0"/>
    <s v="james.castro923@icloud.com"/>
    <s v="Adjustable Dumbbell Set"/>
    <x v="0"/>
    <s v="Sports &amp; Outdoors"/>
    <x v="0"/>
    <n v="1"/>
    <n v="89.99"/>
    <n v="89.99"/>
    <m/>
    <x v="0"/>
    <n v="0"/>
    <n v="0"/>
    <s v="Number"/>
    <n v="0"/>
    <n v="0"/>
    <n v="89.99"/>
    <n v="89.99"/>
    <n v="89.99"/>
    <s v="True"/>
    <s v="Outlier"/>
    <s v="Shopify Payments"/>
    <x v="0"/>
    <s v="cancelled"/>
    <s v="Pakistan"/>
    <m/>
    <s v="Not Required"/>
    <s v="Nguyentown"/>
  </r>
  <r>
    <s v="#1384"/>
    <n v="1"/>
    <d v="2026-08-04T13:53:35"/>
    <d v="2026-08-04T13:53:35"/>
    <s v="Mary Garcia"/>
    <x v="0"/>
    <s v="mary.garcia899@icloud.com"/>
    <s v="Adjustable Dumbbell Set"/>
    <x v="0"/>
    <s v="Sports &amp; Outdoors"/>
    <x v="0"/>
    <n v="2"/>
    <n v="89.99"/>
    <n v="89.99"/>
    <s v="FREESHIP"/>
    <x v="5"/>
    <n v="0"/>
    <n v="0"/>
    <s v="Number"/>
    <n v="0"/>
    <n v="0"/>
    <n v="179.98"/>
    <n v="179.98"/>
    <n v="179.98"/>
    <s v="True"/>
    <s v="Outlier"/>
    <s v="Google Pay"/>
    <x v="0"/>
    <s v="refunded"/>
    <s v="Canada"/>
    <m/>
    <s v="Not Required"/>
    <s v="Evantown"/>
  </r>
  <r>
    <s v="#1390"/>
    <n v="1"/>
    <d v="2026-08-04T14:06:01"/>
    <d v="2026-08-04T14:06:01"/>
    <s v="Chad Smith"/>
    <x v="0"/>
    <s v="chad.smith773@icloud.com"/>
    <s v="Adjustable Dumbbell Set"/>
    <x v="0"/>
    <s v="Sports &amp; Outdoors"/>
    <x v="0"/>
    <n v="1"/>
    <n v="89.99"/>
    <n v="89.99"/>
    <s v="BFCM25"/>
    <x v="3"/>
    <n v="22.5"/>
    <n v="22.5"/>
    <s v="Number"/>
    <n v="0"/>
    <n v="0"/>
    <n v="67.489999999999995"/>
    <n v="67.489999999999995"/>
    <n v="67.489999999999995"/>
    <s v="True"/>
    <s v="Normal"/>
    <s v="Credit Card"/>
    <x v="0"/>
    <s v="fulfilled"/>
    <s v="Pakistan"/>
    <m/>
    <s v="Not Required"/>
    <s v="Reynoldsshire"/>
  </r>
  <r>
    <s v="#1425"/>
    <n v="1"/>
    <d v="2026-08-04T13:59:16"/>
    <d v="2026-08-04T13:59:16"/>
    <s v="David Duke"/>
    <x v="1"/>
    <m/>
    <s v="Adjustable Dumbbell Set"/>
    <x v="0"/>
    <s v="Sports &amp; Outdoors"/>
    <x v="0"/>
    <n v="1"/>
    <n v="89.99"/>
    <n v="89.99"/>
    <m/>
    <x v="0"/>
    <n v="0"/>
    <n v="0"/>
    <s v="Number"/>
    <n v="0"/>
    <n v="0"/>
    <n v="89.99"/>
    <n v="89.99"/>
    <n v="89.99"/>
    <s v="True"/>
    <s v="Outlier"/>
    <s v="Apple Pay"/>
    <x v="0"/>
    <s v="fulfilled"/>
    <s v="United States"/>
    <s v="Florida"/>
    <s v="Valid"/>
    <s v="North Ashley"/>
  </r>
  <r>
    <s v="#1450"/>
    <n v="1"/>
    <d v="2026-08-04T13:56:23"/>
    <d v="2026-08-04T13:56:23"/>
    <s v="DEBBIE JOSEPH"/>
    <x v="0"/>
    <s v="debbie.joseph531@outlook.com"/>
    <s v="Adjustable Dumbbell Set"/>
    <x v="0"/>
    <s v="Sports &amp; Outdoors"/>
    <x v="0"/>
    <n v="3"/>
    <s v="$89.99"/>
    <n v="89.99"/>
    <m/>
    <x v="0"/>
    <s v="$0.00"/>
    <n v="0"/>
    <s v="Number"/>
    <n v="0"/>
    <n v="0"/>
    <n v="269.97000000000003"/>
    <n v="269.97000000000003"/>
    <n v="269.96999999999997"/>
    <s v="True"/>
    <s v="Outlier"/>
    <s v="PayPal"/>
    <x v="0"/>
    <s v="fulfilled"/>
    <s v="United States"/>
    <s v="North Carolina"/>
    <s v="Valid"/>
    <s v="South Yvonnehaven"/>
  </r>
  <r>
    <s v="#1454"/>
    <n v="1"/>
    <d v="2026-08-04T13:55:00"/>
    <d v="2026-08-04T13:55:00"/>
    <s v="Angela Carr"/>
    <x v="0"/>
    <s v="angela.carr488@yahoo.com"/>
    <s v="Adjustable Dumbbell Set"/>
    <x v="0"/>
    <s v="Sports &amp; Outdoors"/>
    <x v="0"/>
    <n v="2"/>
    <n v="89.99"/>
    <n v="89.99"/>
    <m/>
    <x v="0"/>
    <s v="$0.00"/>
    <n v="0"/>
    <s v="Number"/>
    <n v="0"/>
    <n v="0"/>
    <n v="179.98"/>
    <n v="179.98"/>
    <n v="179.98"/>
    <s v="True"/>
    <s v="Outlier"/>
    <s v="Credit Card"/>
    <x v="1"/>
    <s v="pending"/>
    <s v="United States"/>
    <s v="New York"/>
    <s v="Valid"/>
    <s v="Maddoxborough"/>
  </r>
  <r>
    <s v="#1458"/>
    <n v="1"/>
    <d v="2026-08-04T14:08:04"/>
    <d v="2026-08-04T14:08:04"/>
    <s v="Alan Davis"/>
    <x v="0"/>
    <s v="alan.davis483@icloud.com"/>
    <s v="Adjustable Dumbbell Set"/>
    <x v="0"/>
    <s v="Sports &amp; Outdoors"/>
    <x v="0"/>
    <n v="1"/>
    <n v="89.99"/>
    <n v="89.99"/>
    <s v="SAVE20"/>
    <x v="2"/>
    <s v="$18.00"/>
    <n v="18"/>
    <s v="Number"/>
    <n v="0"/>
    <n v="0"/>
    <n v="71.989999999999995"/>
    <n v="71.989999999999995"/>
    <n v="71.989999999999995"/>
    <s v="True"/>
    <s v="Normal"/>
    <s v="Apple Pay"/>
    <x v="0"/>
    <s v="refunded"/>
    <s v="Canada"/>
    <m/>
    <s v="Not Required"/>
    <s v="West Debraland"/>
  </r>
  <r>
    <s v="#1480"/>
    <n v="1"/>
    <d v="2026-08-04T14:04:15"/>
    <d v="2026-08-04T14:04:15"/>
    <s v="Monique Bowman"/>
    <x v="0"/>
    <s v="monique.bowman430@gmail.com"/>
    <s v="Adjustable Dumbbell Set"/>
    <x v="0"/>
    <s v="Sports &amp; Outdoors"/>
    <x v="0"/>
    <n v="4"/>
    <n v="89.99"/>
    <n v="89.99"/>
    <s v="VIP15"/>
    <x v="4"/>
    <n v="53.99"/>
    <n v="53.99"/>
    <s v="Number"/>
    <n v="0"/>
    <n v="0"/>
    <n v="305.97000000000003"/>
    <n v="305.97000000000003"/>
    <n v="305.96999999999997"/>
    <s v="True"/>
    <s v="Outlier"/>
    <s v="Apple Pay"/>
    <x v="0"/>
    <s v="fulfilled"/>
    <s v="United States"/>
    <s v="WA"/>
    <s v="Valid"/>
    <s v="Julieburgh"/>
  </r>
  <r>
    <s v="#1495"/>
    <n v="1"/>
    <d v="2026-08-04T14:06:59"/>
    <d v="2026-08-04T14:06:59"/>
    <s v="Dustin Mccoy"/>
    <x v="0"/>
    <s v="dustin.mccoy570@gmail.com"/>
    <s v="Adjustable Dumbbell Set"/>
    <x v="0"/>
    <s v="Sports &amp; Outdoors"/>
    <x v="0"/>
    <n v="1"/>
    <s v="$89.99"/>
    <n v="89.99"/>
    <m/>
    <x v="0"/>
    <s v="$0.00"/>
    <n v="0"/>
    <s v="Number"/>
    <n v="0"/>
    <n v="0"/>
    <n v="89.99"/>
    <n v="89.99"/>
    <n v="89.99"/>
    <s v="True"/>
    <s v="Outlier"/>
    <s v="Credit Card"/>
    <x v="0"/>
    <s v="fulfilled"/>
    <s v="Canada"/>
    <m/>
    <s v="Not Required"/>
    <s v="Port David"/>
  </r>
  <r>
    <s v="#1522"/>
    <n v="1"/>
    <d v="2026-08-04T13:56:41"/>
    <d v="2026-08-04T13:56:41"/>
    <s v="Jose Ingram"/>
    <x v="0"/>
    <s v="jose.ingram37@gmail.com"/>
    <s v="Adjustable Dumbbell Set"/>
    <x v="0"/>
    <s v="Sports &amp; Outdoors"/>
    <x v="0"/>
    <n v="1"/>
    <n v="89.99"/>
    <n v="89.99"/>
    <s v="SAVE20"/>
    <x v="2"/>
    <n v="18"/>
    <n v="18"/>
    <s v="Number"/>
    <n v="0"/>
    <n v="0"/>
    <n v="71.989999999999995"/>
    <n v="71.989999999999995"/>
    <n v="71.989999999999995"/>
    <s v="True"/>
    <s v="Normal"/>
    <s v="Credit Card"/>
    <x v="0"/>
    <s v="cancelled"/>
    <s v="United States"/>
    <s v="Texas"/>
    <s v="Valid"/>
    <s v="Lake Corey"/>
  </r>
  <r>
    <s v="#1543"/>
    <n v="1"/>
    <d v="2026-08-04T14:02:45"/>
    <d v="2026-08-04T14:02:45"/>
    <m/>
    <x v="0"/>
    <s v="samuel.smith76@outlook.com"/>
    <s v="Adjustable Dumbbell Set"/>
    <x v="0"/>
    <s v="Sports &amp; Outdoors"/>
    <x v="0"/>
    <n v="3"/>
    <n v="89.99"/>
    <n v="89.99"/>
    <m/>
    <x v="0"/>
    <n v="0"/>
    <n v="0"/>
    <s v="Number"/>
    <n v="0"/>
    <n v="0"/>
    <n v="269.97000000000003"/>
    <n v="269.97000000000003"/>
    <n v="269.96999999999997"/>
    <s v="True"/>
    <s v="Outlier"/>
    <s v="Credit Card"/>
    <x v="0"/>
    <s v="fulfilled"/>
    <s v="United Kingdom"/>
    <m/>
    <s v="Not Required"/>
    <s v="South Andrewmouth"/>
  </r>
  <r>
    <s v="#1604"/>
    <n v="1"/>
    <d v="2026-08-04T14:06:19"/>
    <d v="2026-08-04T14:06:19"/>
    <m/>
    <x v="0"/>
    <s v="samuel.padilla79@gmail.com"/>
    <s v="Adjustable Dumbbell Set"/>
    <x v="0"/>
    <s v="Sports &amp; Outdoors"/>
    <x v="0"/>
    <n v="1"/>
    <n v="89.99"/>
    <n v="89.99"/>
    <m/>
    <x v="0"/>
    <n v="0"/>
    <n v="0"/>
    <s v="Number"/>
    <n v="0"/>
    <n v="0"/>
    <n v="89.99"/>
    <n v="89.99"/>
    <n v="89.99"/>
    <s v="True"/>
    <s v="Outlier"/>
    <s v="Apple Pay"/>
    <x v="0"/>
    <s v="fulfilled"/>
    <s v="United States"/>
    <s v="Washington"/>
    <s v="Valid"/>
    <s v="West Douglas"/>
  </r>
  <r>
    <s v="#1630"/>
    <n v="1"/>
    <d v="2026-04-08T00:00:00"/>
    <s v="08/04/2026"/>
    <s v="Miller, Alexandria"/>
    <x v="0"/>
    <s v="alexandria.miller414@outlook.com"/>
    <s v="Adjustable Dumbbell Set"/>
    <x v="0"/>
    <s v="Sports &amp; Outdoors"/>
    <x v="0"/>
    <n v="1"/>
    <n v="89.99"/>
    <n v="89.99"/>
    <s v="VIP15"/>
    <x v="4"/>
    <n v="13.5"/>
    <n v="13.5"/>
    <s v="Number"/>
    <n v="0"/>
    <n v="0"/>
    <n v="76.489999999999995"/>
    <n v="76.489999999999995"/>
    <n v="76.489999999999995"/>
    <s v="True"/>
    <s v="Normal"/>
    <s v="Google Pay"/>
    <x v="0"/>
    <s v="fulfilled"/>
    <s v="Australia"/>
    <m/>
    <s v="Not Required"/>
    <s v="Evansfort"/>
  </r>
  <r>
    <s v="#1645"/>
    <n v="1"/>
    <d v="2026-08-04T13:53:52"/>
    <d v="2026-08-04T13:53:52"/>
    <s v="Jaime Vargas"/>
    <x v="0"/>
    <s v="jaime.vargas795@outlook.com"/>
    <s v="Adjustable Dumbbell Set"/>
    <x v="0"/>
    <s v="Sports &amp; Outdoors"/>
    <x v="0"/>
    <n v="2"/>
    <n v="89.99"/>
    <n v="89.99"/>
    <m/>
    <x v="0"/>
    <n v="0"/>
    <n v="0"/>
    <s v="Number"/>
    <n v="0"/>
    <n v="0"/>
    <s v="$179.98"/>
    <n v="179.98"/>
    <n v="179.98"/>
    <s v="True"/>
    <s v="Outlier"/>
    <s v="Apple Pay"/>
    <x v="2"/>
    <s v="cancelled"/>
    <s v="United Kingdom"/>
    <m/>
    <s v="Not Required"/>
    <s v="Alexview"/>
  </r>
  <r>
    <s v="#1687"/>
    <n v="1"/>
    <d v="2026-08-04T13:53:45"/>
    <d v="2026-08-04T13:53:45"/>
    <s v="Glenn Mcmahon"/>
    <x v="0"/>
    <s v="glenn.mcmahon733@yahoo.com"/>
    <s v="Adjustable Dumbbell Set"/>
    <x v="0"/>
    <s v="Sports &amp; Outdoors"/>
    <x v="0"/>
    <n v="3"/>
    <n v="89.99"/>
    <n v="89.99"/>
    <m/>
    <x v="0"/>
    <n v="0"/>
    <n v="0"/>
    <s v="Number"/>
    <n v="0"/>
    <n v="0"/>
    <n v="269.97000000000003"/>
    <n v="269.97000000000003"/>
    <n v="269.96999999999997"/>
    <s v="True"/>
    <s v="Outlier"/>
    <s v="Google Pay"/>
    <x v="2"/>
    <s v="cancelled"/>
    <s v="United States"/>
    <s v="Illinois"/>
    <s v="Valid"/>
    <s v="New Gregory"/>
  </r>
  <r>
    <s v="#1690"/>
    <n v="1"/>
    <d v="2026-08-04T14:03:19"/>
    <d v="2026-08-04T14:03:19"/>
    <s v="Tara Jackson"/>
    <x v="0"/>
    <s v="tara.jackson708@outlook.com"/>
    <s v="Adjustable Dumbbell Set"/>
    <x v="0"/>
    <s v="Sports &amp; Outdoors"/>
    <x v="0"/>
    <n v="1"/>
    <n v="89.99"/>
    <n v="89.99"/>
    <s v="FREESHIP"/>
    <x v="5"/>
    <s v="$0.00"/>
    <n v="0"/>
    <s v="Number"/>
    <n v="0"/>
    <n v="0"/>
    <n v="89.99"/>
    <n v="89.99"/>
    <n v="89.99"/>
    <s v="True"/>
    <s v="Outlier"/>
    <s v="Apple Pay"/>
    <x v="2"/>
    <s v="fulfilled"/>
    <s v="Canada"/>
    <m/>
    <s v="Not Required"/>
    <s v="Georgeside"/>
  </r>
  <r>
    <s v="#1691"/>
    <n v="1"/>
    <d v="2026-08-04T13:59:30"/>
    <d v="2026-08-04T13:59:30"/>
    <s v="Sheryl Nguyen"/>
    <x v="0"/>
    <s v="sheryl.nguyen272@outlook.com"/>
    <s v="Adjustable Dumbbell Set"/>
    <x v="0"/>
    <s v="Sports &amp; Outdoors"/>
    <x v="0"/>
    <n v="2"/>
    <n v="89.99"/>
    <n v="89.99"/>
    <s v="BFCM25"/>
    <x v="3"/>
    <n v="44.99"/>
    <n v="44.99"/>
    <s v="Number"/>
    <n v="0"/>
    <n v="0"/>
    <n v="134.99"/>
    <n v="134.99"/>
    <n v="134.98999999999998"/>
    <s v="True"/>
    <s v="Outlier"/>
    <s v="Shopify Payments"/>
    <x v="2"/>
    <s v="refunded"/>
    <s v="United States"/>
    <s v="North Carolina"/>
    <s v="Valid"/>
    <s v="New David"/>
  </r>
  <r>
    <s v="#1732"/>
    <n v="1"/>
    <d v="2026-08-04T14:06:25"/>
    <d v="2026-08-04T14:06:25"/>
    <s v="Angela Carr"/>
    <x v="0"/>
    <s v="angela.carr488@yahoo.com"/>
    <s v="Adjustable Dumbbell Set"/>
    <x v="0"/>
    <s v="Sports &amp; Outdoors"/>
    <x v="0"/>
    <n v="1"/>
    <n v="89.99"/>
    <n v="89.99"/>
    <m/>
    <x v="0"/>
    <n v="0"/>
    <n v="0"/>
    <s v="Number"/>
    <n v="0"/>
    <n v="0"/>
    <n v="89.99"/>
    <n v="89.99"/>
    <n v="89.99"/>
    <s v="True"/>
    <s v="Outlier"/>
    <s v="Shopify Payments"/>
    <x v="2"/>
    <s v="pending"/>
    <s v="United States"/>
    <s v="Washington"/>
    <s v="Valid"/>
    <s v="South Jasonside"/>
  </r>
  <r>
    <s v="#1754"/>
    <n v="1"/>
    <d v="2026-04-08T00:00:00"/>
    <s v="08/04/2026"/>
    <s v="Randy Wheeler"/>
    <x v="0"/>
    <s v="randy.wheeler304@icloud.com"/>
    <s v="Adjustable Dumbbell Set"/>
    <x v="0"/>
    <s v="Sports &amp; Outdoors"/>
    <x v="0"/>
    <n v="1"/>
    <n v="89.99"/>
    <n v="89.99"/>
    <m/>
    <x v="0"/>
    <n v="0"/>
    <n v="0"/>
    <s v="Number"/>
    <n v="0"/>
    <n v="0"/>
    <n v="89.99"/>
    <n v="89.99"/>
    <n v="89.99"/>
    <s v="True"/>
    <s v="Outlier"/>
    <s v="Google Pay"/>
    <x v="3"/>
    <s v="refunded"/>
    <s v="United States"/>
    <s v="New York"/>
    <s v="Valid"/>
    <s v="Lake Michael"/>
  </r>
  <r>
    <s v="#1795"/>
    <n v="1"/>
    <d v="2026-08-04T14:05:08"/>
    <d v="2026-08-04T14:05:08"/>
    <s v="Anthony Krueger"/>
    <x v="0"/>
    <s v="anthony.krueger812@yahoo.com"/>
    <s v="Adjustable Dumbbell Set"/>
    <x v="0"/>
    <s v="Sports &amp; Outdoors"/>
    <x v="0"/>
    <n v="1"/>
    <n v="89.99"/>
    <n v="89.99"/>
    <s v="SAVE20"/>
    <x v="2"/>
    <n v="18"/>
    <n v="18"/>
    <s v="Number"/>
    <n v="0"/>
    <n v="0"/>
    <n v="71.989999999999995"/>
    <n v="71.989999999999995"/>
    <n v="71.989999999999995"/>
    <s v="True"/>
    <s v="Normal"/>
    <s v="Shopify Payments"/>
    <x v="0"/>
    <s v="pending"/>
    <s v="Pakistan"/>
    <m/>
    <s v="Not Required"/>
    <s v="South Joside"/>
  </r>
  <r>
    <s v="#1798"/>
    <n v="1"/>
    <d v="2026-08-04T13:57:37"/>
    <d v="2026-08-04T13:57:37"/>
    <s v="Tina Singh"/>
    <x v="0"/>
    <s v="tina.singh98@icloud.com"/>
    <s v="Adjustable Dumbbell Set"/>
    <x v="0"/>
    <s v="Sports &amp; Outdoors"/>
    <x v="0"/>
    <n v="2"/>
    <n v="89.99"/>
    <n v="89.99"/>
    <m/>
    <x v="0"/>
    <n v="0"/>
    <n v="0"/>
    <s v="Number"/>
    <n v="0"/>
    <n v="0"/>
    <n v="179.98"/>
    <n v="179.98"/>
    <n v="179.98"/>
    <s v="True"/>
    <s v="Outlier"/>
    <s v="Google Pay"/>
    <x v="1"/>
    <s v="pending"/>
    <s v="United States"/>
    <s v="Georgia"/>
    <s v="Valid"/>
    <s v="North Shannon"/>
  </r>
  <r>
    <s v="#1831"/>
    <n v="1"/>
    <d v="2026-08-04T14:01:50"/>
    <d v="2026-08-04T14:01:50"/>
    <s v="Joseph Martin"/>
    <x v="0"/>
    <s v="joseph.martin348@icloud.com"/>
    <s v="Adjustable Dumbbell Set"/>
    <x v="0"/>
    <s v="Sports &amp; Outdoors"/>
    <x v="0"/>
    <n v="2"/>
    <n v="89.99"/>
    <n v="89.99"/>
    <m/>
    <x v="0"/>
    <n v="0"/>
    <n v="0"/>
    <s v="Number"/>
    <n v="0"/>
    <n v="0"/>
    <n v="179.98"/>
    <n v="179.98"/>
    <n v="179.98"/>
    <s v="True"/>
    <s v="Outlier"/>
    <s v="PayPal"/>
    <x v="0"/>
    <s v="fulfilled"/>
    <s v="United States"/>
    <s v="NY"/>
    <s v="Valid"/>
    <s v="Port Danielstad"/>
  </r>
  <r>
    <s v="#1859"/>
    <n v="1"/>
    <d v="2026-08-04T13:55:24"/>
    <d v="2026-08-04T13:55:24"/>
    <s v="Sarah Webb"/>
    <x v="0"/>
    <s v="sarah.webb997@outlook.com"/>
    <s v="Adjustable Dumbbell Set"/>
    <x v="0"/>
    <s v="Sports &amp; Outdoors"/>
    <x v="0"/>
    <n v="3"/>
    <n v="89.99"/>
    <n v="89.99"/>
    <s v="VIP15"/>
    <x v="4"/>
    <n v="40.5"/>
    <n v="40.5"/>
    <s v="Number"/>
    <n v="0"/>
    <n v="0"/>
    <n v="229.47"/>
    <n v="229.47"/>
    <n v="229.46999999999997"/>
    <s v="True"/>
    <s v="Outlier"/>
    <s v="PayPal"/>
    <x v="3"/>
    <s v="fulfilled"/>
    <s v="Germany"/>
    <m/>
    <s v="Not Required"/>
    <s v="North Ronald"/>
  </r>
  <r>
    <s v="#1912"/>
    <n v="1"/>
    <d v="2026-08-04T14:08:23"/>
    <d v="2026-08-04T14:08:23"/>
    <s v="Sergio Turner"/>
    <x v="0"/>
    <s v="sergio.turner744@outlook.com"/>
    <s v="Adjustable Dumbbell Set"/>
    <x v="0"/>
    <s v="Sports &amp; Outdoors"/>
    <x v="0"/>
    <n v="1"/>
    <n v="89.99"/>
    <n v="89.99"/>
    <m/>
    <x v="0"/>
    <n v="0"/>
    <n v="0"/>
    <s v="Number"/>
    <n v="0"/>
    <n v="0"/>
    <s v="$89.99"/>
    <n v="89.99"/>
    <n v="89.99"/>
    <s v="True"/>
    <s v="Outlier"/>
    <s v="Apple Pay"/>
    <x v="3"/>
    <s v="cancelled"/>
    <s v="Germany"/>
    <m/>
    <s v="Not Required"/>
    <s v="Seanshire"/>
  </r>
  <r>
    <s v="#1923"/>
    <n v="1"/>
    <d v="2026-04-08T00:00:00"/>
    <s v="08/04/2026"/>
    <s v="Zachary Hanson"/>
    <x v="0"/>
    <s v="zachary.hanson261@outlook.com"/>
    <s v="Adjustable Dumbbell Set"/>
    <x v="0"/>
    <s v="Sports &amp; Outdoors"/>
    <x v="0"/>
    <n v="1"/>
    <n v="89.99"/>
    <n v="89.99"/>
    <m/>
    <x v="0"/>
    <n v="0"/>
    <n v="0"/>
    <s v="Number"/>
    <n v="0"/>
    <n v="0"/>
    <n v="89.99"/>
    <n v="89.99"/>
    <n v="89.99"/>
    <s v="True"/>
    <s v="Outlier"/>
    <s v="Apple Pay"/>
    <x v="0"/>
    <s v="cancelled"/>
    <s v="United States"/>
    <s v="North Carolina"/>
    <s v="Valid"/>
    <s v="Sherryfurt"/>
  </r>
  <r>
    <s v="#1938"/>
    <n v="1"/>
    <d v="2026-08-04T14:02:34"/>
    <d v="2026-08-04T14:02:34"/>
    <s v="Amanda Harris"/>
    <x v="0"/>
    <s v="amanda.harris197@gmail.com"/>
    <s v="Adjustable Dumbbell Set"/>
    <x v="0"/>
    <s v="Sports &amp; Outdoors"/>
    <x v="0"/>
    <n v="1"/>
    <n v="89.99"/>
    <n v="89.99"/>
    <s v="BFCM25"/>
    <x v="3"/>
    <n v="22.5"/>
    <n v="22.5"/>
    <s v="Number"/>
    <n v="0"/>
    <n v="0"/>
    <n v="67.489999999999995"/>
    <n v="67.489999999999995"/>
    <n v="67.489999999999995"/>
    <s v="True"/>
    <s v="Normal"/>
    <s v="Shopify Payments"/>
    <x v="0"/>
    <s v="fulfilled"/>
    <s v="United States"/>
    <s v="TX"/>
    <s v="Valid"/>
    <s v="Rangelborough"/>
  </r>
  <r>
    <s v="#1957"/>
    <n v="1"/>
    <d v="2026-08-04T13:54:21"/>
    <d v="2026-08-04T13:54:21"/>
    <s v="Jacqueline Wiley"/>
    <x v="0"/>
    <s v="jacqueline.wiley718@icloud.com"/>
    <s v="Adjustable Dumbbell Set"/>
    <x v="0"/>
    <s v="Sports &amp; Outdoors"/>
    <x v="0"/>
    <n v="1"/>
    <n v="89.99"/>
    <n v="89.99"/>
    <m/>
    <x v="0"/>
    <n v="0"/>
    <n v="0"/>
    <s v="Number"/>
    <n v="0"/>
    <n v="0"/>
    <n v="89.99"/>
    <n v="89.99"/>
    <n v="89.99"/>
    <s v="True"/>
    <s v="Outlier"/>
    <s v="Shopify Payments"/>
    <x v="1"/>
    <s v="fulfilled"/>
    <s v="United States"/>
    <s v="WA"/>
    <s v="Valid"/>
    <s v="Dawnmouth"/>
  </r>
  <r>
    <s v="#1960"/>
    <n v="1"/>
    <d v="2026-08-04T14:06:49"/>
    <d v="2026-08-04T14:06:49"/>
    <s v="Natalie Dixon"/>
    <x v="0"/>
    <s v="natalie.dixon388@outlook.com"/>
    <s v="Adjustable Dumbbell Set"/>
    <x v="0"/>
    <s v="Sports &amp; Outdoors"/>
    <x v="0"/>
    <n v="2"/>
    <n v="89.99"/>
    <n v="89.99"/>
    <m/>
    <x v="0"/>
    <n v="0"/>
    <n v="0"/>
    <s v="Number"/>
    <n v="0"/>
    <n v="0"/>
    <n v="179.98"/>
    <n v="179.98"/>
    <n v="179.98"/>
    <s v="True"/>
    <s v="Outlier"/>
    <s v="Google Pay"/>
    <x v="3"/>
    <s v="fulfilled"/>
    <s v="United States"/>
    <s v="New York"/>
    <s v="Valid"/>
    <s v="Debramouth"/>
  </r>
  <r>
    <s v="#2019"/>
    <n v="1"/>
    <d v="2026-08-04T14:08:26"/>
    <d v="2026-08-04T14:08:26"/>
    <s v="Heather Davis"/>
    <x v="0"/>
    <s v="heather.davis117@icloud.com"/>
    <s v="Adjustable Dumbbell Set"/>
    <x v="0"/>
    <s v="Sports &amp; Outdoors"/>
    <x v="0"/>
    <n v="2"/>
    <n v="89.99"/>
    <n v="89.99"/>
    <m/>
    <x v="0"/>
    <n v="0"/>
    <n v="0"/>
    <s v="Number"/>
    <n v="0"/>
    <n v="0"/>
    <n v="179.98"/>
    <n v="179.98"/>
    <n v="179.98"/>
    <s v="True"/>
    <s v="Outlier"/>
    <s v="Credit Card"/>
    <x v="1"/>
    <s v="refunded"/>
    <s v="Germany"/>
    <m/>
    <s v="Not Required"/>
    <s v="Angelafort"/>
  </r>
  <r>
    <s v="#2021"/>
    <n v="1"/>
    <d v="2026-08-04T13:54:52"/>
    <d v="2026-08-04T13:54:52"/>
    <s v="JOHN CARSON"/>
    <x v="0"/>
    <s v="john.carson203@yahoo.com"/>
    <s v="Adjustable Dumbbell Set"/>
    <x v="0"/>
    <s v="Sports &amp; Outdoors"/>
    <x v="0"/>
    <n v="1"/>
    <n v="89.99"/>
    <n v="89.99"/>
    <m/>
    <x v="0"/>
    <n v="0"/>
    <n v="0"/>
    <s v="Number"/>
    <n v="0"/>
    <n v="0"/>
    <n v="89.99"/>
    <n v="89.99"/>
    <n v="89.99"/>
    <s v="True"/>
    <s v="Outlier"/>
    <s v="PayPal"/>
    <x v="0"/>
    <s v="cancelled"/>
    <s v="United States"/>
    <s v="Texas"/>
    <s v="Valid"/>
    <s v="Delgadoside"/>
  </r>
  <r>
    <s v="#2072"/>
    <n v="1"/>
    <d v="2026-08-04T14:01:28"/>
    <d v="2026-08-04T14:01:28"/>
    <s v="Jose Ingram"/>
    <x v="0"/>
    <s v="jose.ingram37@gmail.com"/>
    <s v="Adjustable Dumbbell Set"/>
    <x v="0"/>
    <s v="Sports &amp; Outdoors"/>
    <x v="0"/>
    <n v="2"/>
    <n v="89.99"/>
    <n v="89.99"/>
    <s v="VIP15"/>
    <x v="4"/>
    <n v="27"/>
    <n v="27"/>
    <s v="Number"/>
    <n v="0"/>
    <n v="0"/>
    <n v="152.97999999999999"/>
    <n v="152.97999999999999"/>
    <n v="152.97999999999999"/>
    <s v="True"/>
    <s v="Outlier"/>
    <s v="Shopify Payments"/>
    <x v="2"/>
    <s v="cancelled"/>
    <s v="United States"/>
    <s v="Arizona"/>
    <s v="Valid"/>
    <s v="Lauraport"/>
  </r>
  <r>
    <s v="#2080"/>
    <n v="1"/>
    <d v="2026-08-04T14:01:26"/>
    <d v="2026-08-04T14:01:26"/>
    <s v="Tracy Adams"/>
    <x v="0"/>
    <s v="tracy.adams712@icloud.com"/>
    <s v="Adjustable Dumbbell Set"/>
    <x v="0"/>
    <s v="Sports &amp; Outdoors"/>
    <x v="0"/>
    <n v="1"/>
    <s v="$89.99"/>
    <n v="89.99"/>
    <s v="VIP15"/>
    <x v="4"/>
    <n v="13.5"/>
    <n v="13.5"/>
    <s v="Number"/>
    <n v="0"/>
    <n v="0"/>
    <n v="76.489999999999995"/>
    <n v="76.489999999999995"/>
    <n v="76.489999999999995"/>
    <s v="True"/>
    <s v="Normal"/>
    <s v="Apple Pay"/>
    <x v="0"/>
    <s v="cancelled"/>
    <s v="United States"/>
    <s v="Illinois"/>
    <s v="Valid"/>
    <s v="New Kimberly"/>
  </r>
  <r>
    <s v="#2088"/>
    <n v="1"/>
    <d v="2026-08-04T14:08:02"/>
    <d v="2026-08-04T14:08:02"/>
    <s v="Matthew Perez"/>
    <x v="0"/>
    <s v="matthew.perez875@gmail.com"/>
    <s v="Adjustable Dumbbell Set"/>
    <x v="0"/>
    <s v="Sports &amp; Outdoors"/>
    <x v="0"/>
    <n v="1"/>
    <n v="89.99"/>
    <n v="89.99"/>
    <s v="WELCOME10"/>
    <x v="1"/>
    <n v="9"/>
    <n v="9"/>
    <s v="Number"/>
    <n v="0"/>
    <n v="0"/>
    <n v="80.989999999999995"/>
    <n v="80.989999999999995"/>
    <n v="80.989999999999995"/>
    <s v="True"/>
    <s v="Normal"/>
    <s v="PayPal"/>
    <x v="2"/>
    <s v="cancelled"/>
    <s v="Pakistan"/>
    <m/>
    <s v="Not Required"/>
    <s v="Taylorborough"/>
  </r>
  <r>
    <s v="#2100"/>
    <n v="1"/>
    <d v="2026-08-04T14:02:49"/>
    <d v="2026-08-04T14:02:49"/>
    <s v="Leon Oliver"/>
    <x v="0"/>
    <s v="leon.oliver578@gmail.com"/>
    <s v="Adjustable Dumbbell Set"/>
    <x v="0"/>
    <s v="Sports &amp; Outdoors"/>
    <x v="0"/>
    <n v="1"/>
    <n v="89.99"/>
    <n v="89.99"/>
    <s v="FREESHIP"/>
    <x v="5"/>
    <n v="0"/>
    <n v="0"/>
    <s v="Number"/>
    <n v="0"/>
    <n v="0"/>
    <n v="89.99"/>
    <n v="89.99"/>
    <n v="89.99"/>
    <s v="True"/>
    <s v="Outlier"/>
    <s v="Shopify Payments"/>
    <x v="0"/>
    <s v="refunded"/>
    <s v="Canada"/>
    <m/>
    <s v="Not Required"/>
    <s v="Benjaminstad"/>
  </r>
  <r>
    <s v="#2124"/>
    <n v="1"/>
    <d v="2026-04-08T00:00:00"/>
    <s v="08/04/2026"/>
    <s v="Thomas Vazquez"/>
    <x v="0"/>
    <s v="thomas.vazquez673@icloud.com"/>
    <s v="Adjustable Dumbbell Set"/>
    <x v="0"/>
    <s v="Sports &amp; Outdoors"/>
    <x v="0"/>
    <n v="3"/>
    <s v="$89.99"/>
    <n v="89.99"/>
    <m/>
    <x v="0"/>
    <n v="0"/>
    <n v="0"/>
    <s v="Number"/>
    <n v="0"/>
    <n v="0"/>
    <n v="269.97000000000003"/>
    <n v="269.97000000000003"/>
    <n v="269.96999999999997"/>
    <s v="True"/>
    <s v="Outlier"/>
    <s v="Google Pay"/>
    <x v="0"/>
    <s v="fulfilled"/>
    <s v="Germany"/>
    <m/>
    <s v="Not Required"/>
    <s v="Andreahaven"/>
  </r>
  <r>
    <s v="#2165"/>
    <n v="1"/>
    <d v="2026-08-04T13:56:35"/>
    <d v="2026-08-04T13:56:35"/>
    <s v="DEBBIE JOSEPH"/>
    <x v="0"/>
    <s v="debbie.joseph531@outlook.com"/>
    <s v="Adjustable Dumbbell Set"/>
    <x v="0"/>
    <s v="Sports &amp; Outdoors"/>
    <x v="0"/>
    <n v="1"/>
    <n v="89.99"/>
    <n v="89.99"/>
    <m/>
    <x v="0"/>
    <n v="0"/>
    <n v="0"/>
    <s v="Number"/>
    <n v="0"/>
    <n v="0"/>
    <n v="89.99"/>
    <n v="89.99"/>
    <n v="89.99"/>
    <s v="True"/>
    <s v="Outlier"/>
    <s v="Google Pay"/>
    <x v="1"/>
    <s v="fulfilled"/>
    <s v="United States"/>
    <s v="California"/>
    <s v="Valid"/>
    <s v="Johnsonborough"/>
  </r>
  <r>
    <s v="#2179"/>
    <n v="1"/>
    <d v="2026-08-04T13:58:31"/>
    <d v="2026-08-04T13:58:31"/>
    <s v="Andrea Martinez"/>
    <x v="0"/>
    <s v="andrea.martinez756@yahoo.com"/>
    <s v="Adjustable Dumbbell Set"/>
    <x v="0"/>
    <s v="Sports &amp; Outdoors"/>
    <x v="0"/>
    <n v="1"/>
    <n v="89.99"/>
    <n v="89.99"/>
    <s v="SAVE20"/>
    <x v="2"/>
    <n v="18"/>
    <n v="18"/>
    <s v="Number"/>
    <n v="0"/>
    <n v="0"/>
    <n v="71.989999999999995"/>
    <n v="71.989999999999995"/>
    <n v="71.989999999999995"/>
    <s v="True"/>
    <s v="Normal"/>
    <s v="PayPal"/>
    <x v="1"/>
    <s v="fulfilled"/>
    <s v="Australia"/>
    <m/>
    <s v="Not Required"/>
    <s v="Danielsview"/>
  </r>
  <r>
    <s v="#2189"/>
    <n v="1"/>
    <d v="2026-08-04T13:54:32"/>
    <d v="2026-08-04T13:54:32"/>
    <s v="Adam Johnson"/>
    <x v="0"/>
    <s v="adam.johnson932@outlook.com"/>
    <s v="Adjustable Dumbbell Set"/>
    <x v="0"/>
    <s v="Sports &amp; Outdoors"/>
    <x v="0"/>
    <n v="1"/>
    <n v="89.99"/>
    <n v="89.99"/>
    <m/>
    <x v="0"/>
    <n v="0"/>
    <n v="0"/>
    <s v="Number"/>
    <n v="0"/>
    <n v="0"/>
    <n v="89.99"/>
    <n v="89.99"/>
    <n v="89.99"/>
    <s v="True"/>
    <s v="Outlier"/>
    <s v="Apple Pay"/>
    <x v="0"/>
    <s v="fulfilled"/>
    <s v="Australia"/>
    <m/>
    <s v="Not Required"/>
    <s v="East Justinstad"/>
  </r>
  <r>
    <s v="#2217"/>
    <n v="1"/>
    <d v="2026-08-04T13:57:16"/>
    <d v="2026-08-04T13:57:16"/>
    <s v="Kelly Wyatt"/>
    <x v="0"/>
    <s v="kelly.wyatt277@yahoo.com"/>
    <s v="Adjustable Dumbbell Set"/>
    <x v="0"/>
    <s v="Sports &amp; Outdoors"/>
    <x v="0"/>
    <n v="1"/>
    <n v="89.99"/>
    <n v="89.99"/>
    <s v="WELCOME10"/>
    <x v="1"/>
    <n v="9"/>
    <n v="9"/>
    <s v="Number"/>
    <n v="0"/>
    <n v="0"/>
    <n v="80.989999999999995"/>
    <n v="80.989999999999995"/>
    <n v="80.989999999999995"/>
    <s v="True"/>
    <s v="Normal"/>
    <s v="Google Pay"/>
    <x v="3"/>
    <s v="fulfilled"/>
    <s v="Germany"/>
    <m/>
    <s v="Not Required"/>
    <s v="Lake Tiffany"/>
  </r>
  <r>
    <s v="#2222"/>
    <n v="1"/>
    <d v="2026-08-04T14:01:11"/>
    <d v="2026-08-04T14:01:11"/>
    <s v="Christopher Martin"/>
    <x v="0"/>
    <s v="christopher.martin10@gmail.com"/>
    <s v="Adjustable Dumbbell Set"/>
    <x v="0"/>
    <s v="Sports &amp; Outdoors"/>
    <x v="0"/>
    <n v="1"/>
    <n v="89.99"/>
    <n v="89.99"/>
    <s v="FREESHIP"/>
    <x v="5"/>
    <n v="0"/>
    <n v="0"/>
    <s v="Number"/>
    <n v="0"/>
    <n v="0"/>
    <n v="89.99"/>
    <n v="89.99"/>
    <n v="89.99"/>
    <s v="True"/>
    <s v="Outlier"/>
    <s v="Google Pay"/>
    <x v="0"/>
    <s v="fulfilled"/>
    <s v="United States"/>
    <s v="New York"/>
    <s v="Valid"/>
    <s v="Tiffanyborough"/>
  </r>
  <r>
    <s v="#2231"/>
    <n v="1"/>
    <d v="2026-08-04T13:53:45"/>
    <d v="2026-08-04T13:53:45"/>
    <s v="Ingram, Jose"/>
    <x v="0"/>
    <s v="jose.ingram37@gmail.com"/>
    <s v="Adjustable Dumbbell Set"/>
    <x v="0"/>
    <s v="Sports &amp; Outdoors"/>
    <x v="0"/>
    <n v="2"/>
    <n v="89.99"/>
    <n v="89.99"/>
    <s v="SAVE20"/>
    <x v="2"/>
    <n v="36"/>
    <n v="36"/>
    <s v="Number"/>
    <n v="0"/>
    <n v="0"/>
    <n v="143.97999999999999"/>
    <n v="143.97999999999999"/>
    <n v="143.97999999999999"/>
    <s v="True"/>
    <s v="Outlier"/>
    <s v="Shopify Payments"/>
    <x v="0"/>
    <s v="fulfilled"/>
    <s v="United States"/>
    <s v="Georgia"/>
    <s v="Valid"/>
    <s v="Daniellefort"/>
  </r>
  <r>
    <s v="#2270"/>
    <n v="1"/>
    <d v="2026-08-04T13:56:04"/>
    <d v="2026-08-04T13:56:04"/>
    <s v="Lauren Howard"/>
    <x v="0"/>
    <s v="lauren.howard163@icloud.com"/>
    <s v="Adjustable Dumbbell Set"/>
    <x v="0"/>
    <s v="Sports &amp; Outdoors"/>
    <x v="0"/>
    <n v="3"/>
    <n v="89.99"/>
    <n v="89.99"/>
    <m/>
    <x v="0"/>
    <n v="0"/>
    <n v="0"/>
    <s v="Number"/>
    <n v="0"/>
    <n v="0"/>
    <n v="269.97000000000003"/>
    <n v="269.97000000000003"/>
    <n v="269.96999999999997"/>
    <s v="True"/>
    <s v="Outlier"/>
    <s v="PayPal"/>
    <x v="3"/>
    <s v="pending"/>
    <s v="United States"/>
    <s v="Washington"/>
    <s v="Valid"/>
    <s v="Mcdonaldfurt"/>
  </r>
  <r>
    <s v="#2278"/>
    <n v="1"/>
    <d v="2026-08-04T13:58:15"/>
    <d v="2026-08-04T13:58:15"/>
    <s v="Darin Alvarez"/>
    <x v="0"/>
    <s v="darin.alvarez843@gmail.com"/>
    <s v="Adjustable Dumbbell Set"/>
    <x v="0"/>
    <s v="Sports &amp; Outdoors"/>
    <x v="0"/>
    <n v="1"/>
    <s v="$89.99"/>
    <n v="89.99"/>
    <m/>
    <x v="0"/>
    <n v="0"/>
    <n v="0"/>
    <s v="Number"/>
    <n v="0"/>
    <n v="0"/>
    <n v="89.99"/>
    <n v="89.99"/>
    <n v="89.99"/>
    <s v="True"/>
    <s v="Outlier"/>
    <s v="Google Pay"/>
    <x v="1"/>
    <s v="fulfilled"/>
    <s v="Canada"/>
    <m/>
    <s v="Not Required"/>
    <s v="Howardmouth"/>
  </r>
  <r>
    <s v="#2290"/>
    <n v="1"/>
    <d v="2026-08-04T13:53:53"/>
    <d v="2026-08-04T13:53:53"/>
    <s v="Kayla Cruz"/>
    <x v="0"/>
    <s v="kayla.cruz151@outlook.com"/>
    <s v="Adjustable Dumbbell Set"/>
    <x v="0"/>
    <s v="Sports &amp; Outdoors"/>
    <x v="0"/>
    <n v="2"/>
    <n v="89.99"/>
    <n v="89.99"/>
    <m/>
    <x v="0"/>
    <s v="$0.00"/>
    <n v="0"/>
    <s v="Number"/>
    <n v="0"/>
    <n v="0"/>
    <n v="179.98"/>
    <n v="179.98"/>
    <n v="179.98"/>
    <s v="True"/>
    <s v="Outlier"/>
    <s v="Credit Card"/>
    <x v="0"/>
    <s v="fulfilled"/>
    <s v="Pakistan"/>
    <m/>
    <s v="Not Required"/>
    <s v="Mariatown"/>
  </r>
  <r>
    <s v="#2313"/>
    <n v="1"/>
    <d v="2026-08-04T14:01:15"/>
    <d v="2026-08-04T14:01:15"/>
    <s v="Christopher Osborne"/>
    <x v="0"/>
    <s v="christopher.osborne481@yahoo.com"/>
    <s v="Adjustable Dumbbell Set"/>
    <x v="0"/>
    <s v="Sports &amp; Outdoors"/>
    <x v="0"/>
    <n v="2"/>
    <n v="89.99"/>
    <n v="89.99"/>
    <s v="SAVE20"/>
    <x v="2"/>
    <n v="36"/>
    <n v="36"/>
    <s v="Number"/>
    <n v="0"/>
    <n v="0"/>
    <n v="143.97999999999999"/>
    <n v="143.97999999999999"/>
    <n v="143.97999999999999"/>
    <s v="True"/>
    <s v="Outlier"/>
    <s v="Shopify Payments"/>
    <x v="0"/>
    <s v="fulfilled"/>
    <s v="United States"/>
    <s v="California"/>
    <s v="Valid"/>
    <s v="South Anthony"/>
  </r>
  <r>
    <s v="#2317"/>
    <n v="1"/>
    <d v="2026-08-04T14:07:08"/>
    <d v="2026-08-04T14:07:08"/>
    <s v="Anthony Vaughn"/>
    <x v="0"/>
    <s v="anthony.vaughn72@gmail.com"/>
    <s v="Adjustable Dumbbell Set"/>
    <x v="0"/>
    <s v="Sports &amp; Outdoors"/>
    <x v="0"/>
    <n v="1"/>
    <n v="89.99"/>
    <n v="89.99"/>
    <m/>
    <x v="0"/>
    <s v="$0.00"/>
    <n v="0"/>
    <s v="Number"/>
    <n v="0"/>
    <n v="0"/>
    <n v="89.99"/>
    <n v="89.99"/>
    <n v="89.99"/>
    <s v="True"/>
    <s v="Outlier"/>
    <s v="Google Pay"/>
    <x v="3"/>
    <s v="fulfilled"/>
    <s v="Germany"/>
    <m/>
    <s v="Not Required"/>
    <s v="Katherineborough"/>
  </r>
  <r>
    <s v="#2348"/>
    <n v="1"/>
    <d v="2026-08-04T14:07:50"/>
    <d v="2026-08-04T14:07:50"/>
    <s v="Rebecca Watts"/>
    <x v="0"/>
    <s v="rebecca.watts779@gmail.com"/>
    <s v="Adjustable Dumbbell Set"/>
    <x v="0"/>
    <s v="Sports &amp; Outdoors"/>
    <x v="0"/>
    <n v="2"/>
    <n v="89.99"/>
    <n v="89.99"/>
    <m/>
    <x v="0"/>
    <n v="0"/>
    <n v="0"/>
    <s v="Number"/>
    <n v="0"/>
    <n v="0"/>
    <n v="179.98"/>
    <n v="179.98"/>
    <n v="179.98"/>
    <s v="True"/>
    <s v="Outlier"/>
    <s v="Google Pay"/>
    <x v="0"/>
    <s v="fulfilled"/>
    <s v="United States"/>
    <s v="California"/>
    <s v="Valid"/>
    <s v="Susanbury"/>
  </r>
  <r>
    <s v="#2350"/>
    <n v="1"/>
    <d v="2026-08-04T13:56:47"/>
    <d v="2026-08-04T13:56:47"/>
    <s v="David Duke"/>
    <x v="0"/>
    <s v="david.duke814@icloud.com"/>
    <s v="Adjustable Dumbbell Set"/>
    <x v="0"/>
    <s v="Sports &amp; Outdoors"/>
    <x v="0"/>
    <n v="1"/>
    <s v="$89.99"/>
    <n v="89.99"/>
    <m/>
    <x v="0"/>
    <n v="0"/>
    <n v="0"/>
    <s v="Number"/>
    <n v="0"/>
    <n v="0"/>
    <n v="89.99"/>
    <n v="89.99"/>
    <n v="89.99"/>
    <s v="True"/>
    <s v="Outlier"/>
    <s v="Shopify Payments"/>
    <x v="0"/>
    <s v="fulfilled"/>
    <s v="United States"/>
    <s v="Florida"/>
    <s v="Valid"/>
    <s v="Silvaside"/>
  </r>
  <r>
    <s v="#2370"/>
    <n v="1"/>
    <d v="2026-08-04T13:59:10"/>
    <d v="2026-08-04T13:59:10"/>
    <s v="David Mcknight"/>
    <x v="0"/>
    <s v="david.mcknight827@gmail.com"/>
    <s v="Adjustable Dumbbell Set"/>
    <x v="0"/>
    <s v="Sports &amp; Outdoors"/>
    <x v="0"/>
    <n v="2"/>
    <n v="89.99"/>
    <n v="89.99"/>
    <m/>
    <x v="0"/>
    <n v="0"/>
    <n v="0"/>
    <s v="Number"/>
    <n v="0"/>
    <n v="0"/>
    <n v="179.98"/>
    <n v="179.98"/>
    <n v="179.98"/>
    <s v="True"/>
    <s v="Outlier"/>
    <s v="Credit Card"/>
    <x v="3"/>
    <s v="fulfilled"/>
    <s v="United States"/>
    <s v="NC"/>
    <s v="Valid"/>
    <s v="East Jamesshire"/>
  </r>
  <r>
    <s v="#2434"/>
    <n v="1"/>
    <d v="2026-08-04T14:02:26"/>
    <d v="2026-08-04T14:02:26"/>
    <s v="Megan Dickson"/>
    <x v="0"/>
    <s v="megan.dickson508@gmail.com"/>
    <s v="Adjustable Dumbbell Set"/>
    <x v="0"/>
    <s v="Sports &amp; Outdoors"/>
    <x v="0"/>
    <n v="1"/>
    <n v="89.99"/>
    <n v="89.99"/>
    <s v="BFCM25"/>
    <x v="3"/>
    <n v="22.5"/>
    <n v="22.5"/>
    <s v="Number"/>
    <n v="0"/>
    <n v="0"/>
    <n v="67.489999999999995"/>
    <n v="67.489999999999995"/>
    <n v="67.489999999999995"/>
    <s v="True"/>
    <s v="Normal"/>
    <s v="Apple Pay"/>
    <x v="2"/>
    <s v="fulfilled"/>
    <s v="United Kingdom"/>
    <m/>
    <s v="Not Required"/>
    <s v="New Rogerside"/>
  </r>
  <r>
    <s v="#2440"/>
    <n v="1"/>
    <d v="2026-08-04T14:05:48"/>
    <d v="2026-08-04T14:05:48"/>
    <s v="Randall Rhodes"/>
    <x v="0"/>
    <s v="randall.rhodes730@outlook.com"/>
    <s v="Adjustable Dumbbell Set"/>
    <x v="0"/>
    <s v="Sports &amp; Outdoors"/>
    <x v="0"/>
    <n v="1"/>
    <n v="89.99"/>
    <n v="89.99"/>
    <s v="WELCOME10"/>
    <x v="1"/>
    <n v="9"/>
    <n v="9"/>
    <s v="Number"/>
    <n v="0"/>
    <n v="0"/>
    <n v="80.989999999999995"/>
    <n v="80.989999999999995"/>
    <n v="80.989999999999995"/>
    <s v="True"/>
    <s v="Normal"/>
    <s v="PayPal"/>
    <x v="1"/>
    <s v="fulfilled"/>
    <s v="United Kingdom"/>
    <m/>
    <s v="Not Required"/>
    <s v="Michaelhaven"/>
  </r>
  <r>
    <s v="#2446"/>
    <n v="1"/>
    <d v="2026-08-04T13:59:56"/>
    <d v="2026-08-04T13:59:56"/>
    <s v="Michael Hays"/>
    <x v="1"/>
    <m/>
    <s v="Adjustable Dumbbell Set"/>
    <x v="0"/>
    <s v="Sports &amp; Outdoors"/>
    <x v="0"/>
    <n v="1"/>
    <n v="89.99"/>
    <n v="89.99"/>
    <s v="VIP15"/>
    <x v="4"/>
    <s v="$13.50"/>
    <n v="13.5"/>
    <s v="Number"/>
    <n v="0"/>
    <n v="0"/>
    <n v="76.489999999999995"/>
    <n v="76.489999999999995"/>
    <n v="76.489999999999995"/>
    <s v="True"/>
    <s v="Normal"/>
    <s v="Apple Pay"/>
    <x v="2"/>
    <s v="pending"/>
    <s v="United States"/>
    <s v="Texas"/>
    <s v="Valid"/>
    <s v="East Edwardburgh"/>
  </r>
  <r>
    <s v="#2492"/>
    <n v="1"/>
    <d v="2026-08-04T14:05:59"/>
    <d v="2026-08-04T14:05:59"/>
    <s v="Lisa Mckinney"/>
    <x v="0"/>
    <s v="lisa.mckinney195@gmail.com"/>
    <s v="Adjustable Dumbbell Set"/>
    <x v="0"/>
    <s v="Sports &amp; Outdoors"/>
    <x v="0"/>
    <n v="1"/>
    <n v="89.99"/>
    <n v="89.99"/>
    <m/>
    <x v="0"/>
    <n v="0"/>
    <n v="0"/>
    <s v="Number"/>
    <n v="0"/>
    <n v="0"/>
    <n v="89.99"/>
    <n v="89.99"/>
    <n v="89.99"/>
    <s v="True"/>
    <s v="Outlier"/>
    <s v="Google Pay"/>
    <x v="0"/>
    <s v="cancelled"/>
    <s v="United States"/>
    <s v="GA"/>
    <s v="Valid"/>
    <s v="West Williamstad"/>
  </r>
  <r>
    <s v="#2504"/>
    <n v="1"/>
    <d v="2026-08-04T13:58:49"/>
    <d v="2026-08-04T13:58:49"/>
    <s v="Anthony Krueger"/>
    <x v="0"/>
    <s v="anthony.krueger812@yahoo.com"/>
    <s v="Adjustable Dumbbell Set"/>
    <x v="0"/>
    <s v="Sports &amp; Outdoors"/>
    <x v="0"/>
    <n v="1"/>
    <n v="89.99"/>
    <n v="89.99"/>
    <m/>
    <x v="0"/>
    <n v="0"/>
    <n v="0"/>
    <s v="Number"/>
    <n v="0"/>
    <n v="0"/>
    <n v="89.99"/>
    <n v="89.99"/>
    <n v="89.99"/>
    <s v="True"/>
    <s v="Outlier"/>
    <s v="PayPal"/>
    <x v="0"/>
    <s v="refunded"/>
    <s v="Pakistan"/>
    <m/>
    <s v="Not Required"/>
    <s v="South Melissa"/>
  </r>
  <r>
    <s v="#2508"/>
    <n v="1"/>
    <d v="2026-08-04T14:03:01"/>
    <d v="2026-08-04T14:03:01"/>
    <s v="John Carson"/>
    <x v="0"/>
    <s v="john.carson203@yahoo.com"/>
    <s v="Adjustable Dumbbell Set"/>
    <x v="0"/>
    <s v="Sports &amp; Outdoors"/>
    <x v="0"/>
    <n v="2"/>
    <n v="89.99"/>
    <n v="89.99"/>
    <m/>
    <x v="0"/>
    <n v="0"/>
    <n v="0"/>
    <s v="Number"/>
    <n v="0"/>
    <n v="0"/>
    <n v="179.98"/>
    <n v="179.98"/>
    <n v="179.98"/>
    <s v="True"/>
    <s v="Outlier"/>
    <s v="Shopify Payments"/>
    <x v="2"/>
    <s v="fulfilled"/>
    <s v="United States"/>
    <s v="NY"/>
    <s v="Valid"/>
    <s v="West Aaronside"/>
  </r>
  <r>
    <s v="#2559"/>
    <n v="1"/>
    <d v="2026-08-04T14:00:52"/>
    <d v="2026-08-04T14:00:52"/>
    <s v="Brian Johnson"/>
    <x v="0"/>
    <s v="brian.johnson756@yahoo.com"/>
    <s v="Adjustable Dumbbell Set"/>
    <x v="0"/>
    <s v="Sports &amp; Outdoors"/>
    <x v="0"/>
    <n v="1"/>
    <n v="89.99"/>
    <n v="89.99"/>
    <m/>
    <x v="0"/>
    <n v="0"/>
    <n v="0"/>
    <s v="Number"/>
    <n v="0"/>
    <n v="0"/>
    <n v="89.99"/>
    <n v="89.99"/>
    <n v="89.99"/>
    <s v="True"/>
    <s v="Outlier"/>
    <s v="Google Pay"/>
    <x v="0"/>
    <s v="fulfilled"/>
    <s v="Australia"/>
    <m/>
    <s v="Not Required"/>
    <s v="East David"/>
  </r>
  <r>
    <s v="#2563"/>
    <n v="1"/>
    <d v="2026-08-04T14:05:08"/>
    <d v="2026-08-04T14:05:08"/>
    <s v="Carrie Boyd"/>
    <x v="0"/>
    <s v="carrie.boyd968@gmail.com"/>
    <s v="Adjustable Dumbbell Set"/>
    <x v="0"/>
    <s v="Sports &amp; Outdoors"/>
    <x v="0"/>
    <n v="1"/>
    <n v="89.99"/>
    <n v="89.99"/>
    <s v="SAVE20"/>
    <x v="2"/>
    <s v="$18.00"/>
    <n v="18"/>
    <s v="Number"/>
    <n v="0"/>
    <n v="0"/>
    <n v="71.989999999999995"/>
    <n v="71.989999999999995"/>
    <n v="71.989999999999995"/>
    <s v="True"/>
    <s v="Normal"/>
    <s v="PayPal"/>
    <x v="2"/>
    <s v="refunded"/>
    <s v="United States"/>
    <s v="Texas"/>
    <s v="Valid"/>
    <s v="East Robert"/>
  </r>
  <r>
    <s v="#2583"/>
    <n v="1"/>
    <d v="2026-08-04T13:56:10"/>
    <d v="2026-08-04T13:56:10"/>
    <s v="Nicole Taylor"/>
    <x v="0"/>
    <s v="nicole.taylor607@icloud.com"/>
    <s v="Adjustable Dumbbell Set"/>
    <x v="0"/>
    <s v="Sports &amp; Outdoors"/>
    <x v="0"/>
    <n v="1"/>
    <n v="89.99"/>
    <n v="89.99"/>
    <m/>
    <x v="0"/>
    <s v="$0.00"/>
    <n v="0"/>
    <s v="Number"/>
    <n v="0"/>
    <n v="0"/>
    <n v="89.99"/>
    <n v="89.99"/>
    <n v="89.99"/>
    <s v="True"/>
    <s v="Outlier"/>
    <s v="PayPal"/>
    <x v="0"/>
    <s v="cancelled"/>
    <s v="United States"/>
    <s v="Arizona"/>
    <s v="Valid"/>
    <s v="Leeview"/>
  </r>
  <r>
    <s v="#2613"/>
    <n v="1"/>
    <d v="2026-08-04T13:58:19"/>
    <d v="2026-08-04T13:58:19"/>
    <s v="laura pruitt"/>
    <x v="0"/>
    <s v="laura.pruitt212@yahoo.com"/>
    <s v="Adjustable Dumbbell Set"/>
    <x v="0"/>
    <s v="Sports &amp; Outdoors"/>
    <x v="0"/>
    <n v="2"/>
    <n v="89.99"/>
    <n v="89.99"/>
    <s v="WELCOME10"/>
    <x v="1"/>
    <n v="18"/>
    <n v="18"/>
    <s v="Number"/>
    <n v="0"/>
    <n v="0"/>
    <n v="161.97999999999999"/>
    <n v="161.97999999999999"/>
    <n v="161.97999999999999"/>
    <s v="True"/>
    <s v="Outlier"/>
    <s v="Google Pay"/>
    <x v="0"/>
    <s v="pending"/>
    <s v="United States"/>
    <s v="Canada"/>
    <s v="Valid"/>
    <s v="Gutierrezstad"/>
  </r>
  <r>
    <s v="#2647"/>
    <n v="1"/>
    <d v="2026-08-04T14:04:39"/>
    <d v="2026-08-04T14:04:39"/>
    <s v="Jon Lambert"/>
    <x v="0"/>
    <s v="jon.lambert231@icloud.com"/>
    <s v="Adjustable Dumbbell Set"/>
    <x v="0"/>
    <s v="Sports &amp; Outdoors"/>
    <x v="0"/>
    <n v="1"/>
    <n v="89.99"/>
    <n v="89.99"/>
    <m/>
    <x v="0"/>
    <n v="0"/>
    <n v="0"/>
    <s v="Number"/>
    <n v="0"/>
    <n v="0"/>
    <n v="89.99"/>
    <n v="89.99"/>
    <n v="89.99"/>
    <s v="True"/>
    <s v="Outlier"/>
    <s v="Apple Pay"/>
    <x v="0"/>
    <s v="cancelled"/>
    <s v="United States"/>
    <s v="Ohio"/>
    <s v="Valid"/>
    <s v="West Ianmouth"/>
  </r>
  <r>
    <s v="#2665"/>
    <n v="1"/>
    <d v="2026-08-04T13:57:13"/>
    <d v="2026-08-04T13:57:13"/>
    <s v="James Castro"/>
    <x v="0"/>
    <s v="james.castro923@icloud.com"/>
    <s v="Adjustable Dumbbell Set"/>
    <x v="0"/>
    <s v="Sports &amp; Outdoors"/>
    <x v="0"/>
    <n v="4"/>
    <n v="89.99"/>
    <n v="89.99"/>
    <m/>
    <x v="0"/>
    <n v="0"/>
    <n v="0"/>
    <s v="Number"/>
    <n v="0"/>
    <n v="0"/>
    <n v="359.96"/>
    <n v="359.96"/>
    <n v="359.96"/>
    <s v="True"/>
    <s v="Outlier"/>
    <s v="Apple Pay"/>
    <x v="2"/>
    <s v="refunded"/>
    <s v="Pakistan"/>
    <m/>
    <s v="Not Required"/>
    <s v="West Christopherberg"/>
  </r>
  <r>
    <s v="#2782"/>
    <n v="1"/>
    <d v="2026-08-04T13:57:08"/>
    <d v="2026-08-04T13:57:08"/>
    <s v="Alan Davis"/>
    <x v="0"/>
    <s v="alan.davis483@icloud.com"/>
    <s v="Adjustable Dumbbell Set"/>
    <x v="0"/>
    <s v="Sports &amp; Outdoors"/>
    <x v="0"/>
    <n v="2"/>
    <n v="89.99"/>
    <n v="89.99"/>
    <m/>
    <x v="0"/>
    <n v="0"/>
    <n v="0"/>
    <s v="Number"/>
    <n v="0"/>
    <n v="0"/>
    <s v="$179.98"/>
    <n v="179.98"/>
    <n v="179.98"/>
    <s v="True"/>
    <s v="Outlier"/>
    <s v="Credit Card"/>
    <x v="0"/>
    <s v="refunded"/>
    <s v="Canada"/>
    <m/>
    <s v="Not Required"/>
    <s v="Bergton"/>
  </r>
  <r>
    <s v="#2797"/>
    <n v="1"/>
    <d v="2026-08-04T13:56:18"/>
    <d v="2026-08-04T13:56:18"/>
    <s v="Zachary Hanson"/>
    <x v="0"/>
    <s v="zachary.hanson261@outlook.com"/>
    <s v="Adjustable Dumbbell Set"/>
    <x v="0"/>
    <s v="Sports &amp; Outdoors"/>
    <x v="0"/>
    <n v="1"/>
    <n v="89.99"/>
    <n v="89.99"/>
    <s v="WELCOME10"/>
    <x v="1"/>
    <n v="9"/>
    <n v="9"/>
    <s v="Number"/>
    <n v="0"/>
    <n v="0"/>
    <n v="80.989999999999995"/>
    <n v="80.989999999999995"/>
    <n v="80.989999999999995"/>
    <s v="True"/>
    <s v="Normal"/>
    <s v="Credit Card"/>
    <x v="2"/>
    <s v="refunded"/>
    <s v="United States"/>
    <s v="Georgia"/>
    <s v="Valid"/>
    <s v="Mcintoshbury"/>
  </r>
  <r>
    <s v="#2798"/>
    <n v="1"/>
    <d v="2026-08-04T13:55:45"/>
    <d v="2026-08-04T13:55:45"/>
    <s v="Daniel Hill"/>
    <x v="0"/>
    <s v="daniel.hill472@outlook.com"/>
    <s v="Adjustable Dumbbell Set"/>
    <x v="0"/>
    <s v="Sports &amp; Outdoors"/>
    <x v="0"/>
    <n v="1"/>
    <n v="89.99"/>
    <n v="89.99"/>
    <m/>
    <x v="0"/>
    <n v="0"/>
    <n v="0"/>
    <s v="Number"/>
    <n v="0"/>
    <n v="0"/>
    <n v="89.99"/>
    <n v="89.99"/>
    <n v="89.99"/>
    <s v="True"/>
    <s v="Outlier"/>
    <s v="Google Pay"/>
    <x v="0"/>
    <s v="refunded"/>
    <s v="Australia"/>
    <m/>
    <s v="Not Required"/>
    <s v="West Daniel"/>
  </r>
  <r>
    <s v="#2799"/>
    <n v="1"/>
    <d v="2026-08-04T14:06:18"/>
    <d v="2026-08-04T14:06:18"/>
    <s v="Trevor Carter"/>
    <x v="0"/>
    <s v="trevor.carter617@icloud.com"/>
    <s v="Adjustable Dumbbell Set"/>
    <x v="0"/>
    <s v="Sports &amp; Outdoors"/>
    <x v="0"/>
    <n v="1"/>
    <n v="89.99"/>
    <n v="89.99"/>
    <s v="BFCM25"/>
    <x v="3"/>
    <n v="22.5"/>
    <n v="22.5"/>
    <s v="Number"/>
    <n v="0"/>
    <n v="0"/>
    <n v="67.489999999999995"/>
    <n v="67.489999999999995"/>
    <n v="67.489999999999995"/>
    <s v="True"/>
    <s v="Normal"/>
    <s v="Google Pay"/>
    <x v="0"/>
    <s v="pending"/>
    <s v="United States"/>
    <s v="Georgia"/>
    <s v="Valid"/>
    <s v="Port Jamie"/>
  </r>
  <r>
    <s v="#2831"/>
    <n v="1"/>
    <d v="2026-08-04T13:57:36"/>
    <d v="2026-08-04T13:57:36"/>
    <m/>
    <x v="0"/>
    <s v="jennifer.burke472@icloud.com"/>
    <s v="Adjustable Dumbbell Set"/>
    <x v="0"/>
    <s v="Sports &amp; Outdoors"/>
    <x v="0"/>
    <n v="1"/>
    <n v="89.99"/>
    <n v="89.99"/>
    <m/>
    <x v="0"/>
    <n v="0"/>
    <n v="0"/>
    <s v="Number"/>
    <n v="0"/>
    <n v="0"/>
    <n v="89.99"/>
    <n v="89.99"/>
    <n v="89.99"/>
    <s v="True"/>
    <s v="Outlier"/>
    <s v="Apple Pay"/>
    <x v="0"/>
    <s v="fulfilled"/>
    <s v="Pakistan"/>
    <m/>
    <s v="Not Required"/>
    <s v="North Stefanie"/>
  </r>
  <r>
    <s v="#2843"/>
    <n v="1"/>
    <d v="2026-08-04T00:00:00"/>
    <s v="04-08-2026 14:01"/>
    <s v="Amy Maldonado"/>
    <x v="0"/>
    <s v="amy.maldonado44@gmail.com"/>
    <s v="Adjustable Dumbbell Set"/>
    <x v="0"/>
    <s v="Sports &amp; Outdoors"/>
    <x v="0"/>
    <n v="1"/>
    <n v="89.99"/>
    <n v="89.99"/>
    <m/>
    <x v="0"/>
    <s v="$0.00"/>
    <n v="0"/>
    <s v="Number"/>
    <n v="0"/>
    <n v="0"/>
    <n v="89.99"/>
    <n v="89.99"/>
    <n v="89.99"/>
    <s v="True"/>
    <s v="Outlier"/>
    <s v="Shopify Payments"/>
    <x v="2"/>
    <s v="fulfilled"/>
    <s v="Pakistan"/>
    <m/>
    <s v="Not Required"/>
    <s v="Lynchport"/>
  </r>
  <r>
    <s v="#2870"/>
    <n v="1"/>
    <d v="2026-08-04T13:58:34"/>
    <d v="2026-08-04T13:58:34"/>
    <s v="Angela Carr"/>
    <x v="1"/>
    <m/>
    <s v="Adjustable Dumbbell Set"/>
    <x v="0"/>
    <s v="Sports &amp; Outdoors"/>
    <x v="0"/>
    <n v="1"/>
    <n v="89.99"/>
    <n v="89.99"/>
    <m/>
    <x v="0"/>
    <n v="0"/>
    <n v="0"/>
    <s v="Number"/>
    <n v="0"/>
    <n v="0"/>
    <n v="89.99"/>
    <n v="89.99"/>
    <n v="89.99"/>
    <s v="True"/>
    <s v="Outlier"/>
    <s v="PayPal"/>
    <x v="3"/>
    <s v="refunded"/>
    <s v="United States"/>
    <s v="Ohio"/>
    <s v="Valid"/>
    <s v="Deniseshire"/>
  </r>
  <r>
    <s v="#2871"/>
    <n v="1"/>
    <d v="2026-08-04T00:00:00"/>
    <s v="2026-08-04"/>
    <s v="Monica Hodge"/>
    <x v="0"/>
    <s v="monica.hodge369@icloud.com"/>
    <s v="Adjustable Dumbbell Set"/>
    <x v="0"/>
    <s v="Sports &amp; Outdoors"/>
    <x v="0"/>
    <n v="1"/>
    <s v="$89.99"/>
    <n v="89.99"/>
    <m/>
    <x v="0"/>
    <n v="0"/>
    <n v="0"/>
    <s v="Number"/>
    <n v="0"/>
    <n v="0"/>
    <n v="89.99"/>
    <n v="89.99"/>
    <n v="89.99"/>
    <s v="True"/>
    <s v="Outlier"/>
    <s v="Credit Card"/>
    <x v="2"/>
    <s v="fulfilled"/>
    <s v="United States"/>
    <s v="Arizona"/>
    <s v="Valid"/>
    <s v="Michaelchester"/>
  </r>
  <r>
    <s v="#2892"/>
    <n v="1"/>
    <d v="2026-08-04T13:57:06"/>
    <d v="2026-08-04T13:57:06"/>
    <s v="Rose English"/>
    <x v="0"/>
    <s v="rose.english118@icloud.com"/>
    <s v="Adjustable Dumbbell Set"/>
    <x v="0"/>
    <s v="Sports &amp; Outdoors"/>
    <x v="0"/>
    <n v="1"/>
    <n v="89.99"/>
    <n v="89.99"/>
    <s v="WELCOME10"/>
    <x v="1"/>
    <n v="9"/>
    <n v="9"/>
    <s v="Number"/>
    <n v="0"/>
    <n v="0"/>
    <n v="80.989999999999995"/>
    <n v="80.989999999999995"/>
    <n v="80.989999999999995"/>
    <s v="True"/>
    <s v="Normal"/>
    <s v="Credit Card"/>
    <x v="0"/>
    <s v="refunded"/>
    <s v="Germany"/>
    <m/>
    <s v="Not Required"/>
    <s v="Karenville"/>
  </r>
  <r>
    <s v="#2899"/>
    <n v="1"/>
    <d v="2026-08-04T13:54:08"/>
    <d v="2026-08-04T13:54:08"/>
    <s v="TINA CRANE"/>
    <x v="0"/>
    <s v="tina.crane554@gmail.com"/>
    <s v="Adjustable Dumbbell Set"/>
    <x v="0"/>
    <s v="Sports &amp; Outdoors"/>
    <x v="0"/>
    <n v="1"/>
    <n v="89.99"/>
    <n v="89.99"/>
    <s v="FREESHIP"/>
    <x v="5"/>
    <n v="0"/>
    <n v="0"/>
    <s v="Number"/>
    <n v="0"/>
    <n v="0"/>
    <n v="89.99"/>
    <n v="89.99"/>
    <n v="89.99"/>
    <s v="True"/>
    <s v="Outlier"/>
    <s v="Google Pay"/>
    <x v="3"/>
    <s v="refunded"/>
    <s v="United Kingdom"/>
    <m/>
    <s v="Not Required"/>
    <s v="Samuelstad"/>
  </r>
  <r>
    <s v="#2962"/>
    <n v="1"/>
    <d v="2026-08-04T14:04:02"/>
    <d v="2026-08-04T14:04:02"/>
    <s v="Ronald Davis"/>
    <x v="0"/>
    <s v="ronald.davis995@yahoo.com"/>
    <s v="Adjustable Dumbbell Set"/>
    <x v="0"/>
    <s v="Sports &amp; Outdoors"/>
    <x v="0"/>
    <n v="2"/>
    <n v="89.99"/>
    <n v="89.99"/>
    <s v="VIP15"/>
    <x v="4"/>
    <n v="27"/>
    <n v="27"/>
    <s v="Number"/>
    <n v="0"/>
    <n v="0"/>
    <n v="152.97999999999999"/>
    <n v="152.97999999999999"/>
    <n v="152.97999999999999"/>
    <s v="True"/>
    <s v="Outlier"/>
    <s v="Credit Card"/>
    <x v="2"/>
    <s v="cancelled"/>
    <s v="Pakistan"/>
    <m/>
    <s v="Not Required"/>
    <s v="West Margaretstad"/>
  </r>
  <r>
    <s v="#1021"/>
    <n v="1"/>
    <d v="2026-08-04T13:55:15"/>
    <d v="2026-08-04T13:55:15"/>
    <s v="Tyler Williams"/>
    <x v="0"/>
    <s v="tyler.williams938@outlook.com"/>
    <s v="Backpack - 25L"/>
    <x v="1"/>
    <s v="Accessories"/>
    <x v="1"/>
    <n v="1"/>
    <s v="$32.99"/>
    <n v="32.99"/>
    <s v="BFCM25"/>
    <x v="3"/>
    <n v="8.25"/>
    <n v="8.25"/>
    <s v="Number"/>
    <n v="4.99"/>
    <n v="4.99"/>
    <n v="29.73"/>
    <n v="29.73"/>
    <n v="29.730000000000004"/>
    <s v="True"/>
    <s v="Normal"/>
    <s v="PayPal"/>
    <x v="2"/>
    <s v="refunded"/>
    <s v="Australia"/>
    <m/>
    <s v="Not Required"/>
    <s v="North Michellestad"/>
  </r>
  <r>
    <s v="#1030"/>
    <n v="1"/>
    <d v="2026-08-04T14:03:57"/>
    <d v="2026-08-04T14:03:57"/>
    <s v="Kenneth Davis"/>
    <x v="0"/>
    <s v="kenneth.davis106@yahoo.com"/>
    <s v="Backpack - 25L"/>
    <x v="1"/>
    <s v="Accessories"/>
    <x v="1"/>
    <n v="2"/>
    <n v="32.99"/>
    <n v="32.99"/>
    <m/>
    <x v="0"/>
    <n v="0"/>
    <n v="0"/>
    <s v="Number"/>
    <n v="5.99"/>
    <n v="5.99"/>
    <n v="71.97"/>
    <n v="71.97"/>
    <n v="71.97"/>
    <s v="True"/>
    <s v="Normal"/>
    <s v="Shopify Payments"/>
    <x v="0"/>
    <s v="fulfilled"/>
    <s v="United States"/>
    <s v="Florida"/>
    <s v="Valid"/>
    <s v="Millerside"/>
  </r>
  <r>
    <s v="#1037"/>
    <n v="1"/>
    <d v="2026-04-08T00:00:00"/>
    <s v="08/04/2026"/>
    <s v="Tamara Dodson"/>
    <x v="0"/>
    <s v="tamara.dodson539@gmail.com"/>
    <s v="Backpack - 25L"/>
    <x v="1"/>
    <s v="Accessories"/>
    <x v="1"/>
    <n v="2"/>
    <n v="32.99"/>
    <n v="32.99"/>
    <s v="SAVE20"/>
    <x v="2"/>
    <n v="13.2"/>
    <n v="13.2"/>
    <s v="Number"/>
    <n v="5.99"/>
    <n v="5.99"/>
    <n v="58.77"/>
    <n v="58.77"/>
    <n v="58.77"/>
    <s v="True"/>
    <s v="Normal"/>
    <s v="Credit Card"/>
    <x v="0"/>
    <s v="cancelled"/>
    <s v="Pakistan"/>
    <m/>
    <s v="Not Required"/>
    <s v="Williamfort"/>
  </r>
  <r>
    <s v="#1081"/>
    <n v="1"/>
    <d v="2026-08-04T14:02:07"/>
    <d v="2026-08-04T14:02:07"/>
    <s v="Robert Boyd"/>
    <x v="0"/>
    <s v="robert.boyd184@yahoo.com"/>
    <s v="Backpack - 25L"/>
    <x v="1"/>
    <s v="Accessories"/>
    <x v="1"/>
    <n v="3"/>
    <n v="32.99"/>
    <n v="32.99"/>
    <s v="FREESHIP"/>
    <x v="5"/>
    <s v="$0.00"/>
    <n v="0"/>
    <s v="Number"/>
    <n v="0"/>
    <n v="0"/>
    <n v="98.97"/>
    <n v="98.97"/>
    <n v="98.97"/>
    <s v="True"/>
    <s v="Outlier"/>
    <s v="Shopify Payments"/>
    <x v="0"/>
    <s v="cancelled"/>
    <s v="Canada"/>
    <m/>
    <s v="Not Required"/>
    <s v="Lake Franciscoton"/>
  </r>
  <r>
    <s v="#1092"/>
    <n v="1"/>
    <d v="2026-08-04T14:03:38"/>
    <d v="2026-08-04T14:03:38"/>
    <s v="Julia Atkinson"/>
    <x v="0"/>
    <s v="julia.atkinson939@gmail.com"/>
    <s v="Backpack - 25L"/>
    <x v="1"/>
    <s v="Accessories"/>
    <x v="1"/>
    <n v="1"/>
    <n v="32.99"/>
    <n v="32.99"/>
    <s v="VIP15"/>
    <x v="4"/>
    <n v="4.95"/>
    <n v="4.95"/>
    <s v="Number"/>
    <n v="4.99"/>
    <n v="4.99"/>
    <n v="33.03"/>
    <n v="33.03"/>
    <n v="33.03"/>
    <s v="True"/>
    <s v="Normal"/>
    <s v="Credit Card"/>
    <x v="2"/>
    <s v="fulfilled"/>
    <s v="Canada"/>
    <m/>
    <s v="Not Required"/>
    <s v="New Christopher"/>
  </r>
  <r>
    <s v="#1105"/>
    <n v="1"/>
    <d v="2026-08-04T13:56:34"/>
    <d v="2026-08-04T13:56:34"/>
    <s v="Rebecca Watts"/>
    <x v="0"/>
    <s v="rebecca.watts779@gmail.com"/>
    <s v="Backpack - 25L"/>
    <x v="1"/>
    <s v="Accessories"/>
    <x v="1"/>
    <n v="1"/>
    <n v="32.99"/>
    <n v="32.99"/>
    <s v="FREESHIP"/>
    <x v="5"/>
    <n v="0"/>
    <n v="0"/>
    <s v="Number"/>
    <n v="0"/>
    <n v="0"/>
    <n v="32.99"/>
    <n v="32.99"/>
    <n v="32.99"/>
    <s v="True"/>
    <s v="Normal"/>
    <s v="Shopify Payments"/>
    <x v="3"/>
    <s v="fulfilled"/>
    <s v="United States"/>
    <s v="New York"/>
    <s v="Valid"/>
    <s v="North Jenniferhaven"/>
  </r>
  <r>
    <s v="#1137"/>
    <n v="1"/>
    <d v="2026-08-04T13:58:52"/>
    <d v="2026-08-04T13:58:52"/>
    <s v="Sheryl Nguyen"/>
    <x v="0"/>
    <s v="sheryl.nguyen272@outlook.com"/>
    <s v="Backpack - 25L"/>
    <x v="1"/>
    <s v="Accessories"/>
    <x v="1"/>
    <n v="1"/>
    <n v="32.99"/>
    <n v="32.99"/>
    <s v="FREESHIP"/>
    <x v="5"/>
    <n v="0"/>
    <n v="0"/>
    <s v="Number"/>
    <n v="0"/>
    <n v="0"/>
    <n v="32.99"/>
    <n v="32.99"/>
    <n v="32.99"/>
    <s v="True"/>
    <s v="Normal"/>
    <s v="Credit Card"/>
    <x v="2"/>
    <s v="refunded"/>
    <s v="United States"/>
    <s v="Arizona"/>
    <s v="Valid"/>
    <s v="Angelaton"/>
  </r>
  <r>
    <s v="#1209"/>
    <n v="1"/>
    <d v="2026-08-04T13:54:35"/>
    <d v="2026-08-04T13:54:35"/>
    <s v="Donald Davis"/>
    <x v="0"/>
    <s v="donald.davis404@icloud.com"/>
    <s v="Backpack - 25L"/>
    <x v="1"/>
    <s v="Accessories"/>
    <x v="1"/>
    <n v="1"/>
    <n v="32.99"/>
    <n v="32.99"/>
    <s v="WELCOME10"/>
    <x v="1"/>
    <n v="3.3"/>
    <n v="3.3"/>
    <s v="Number"/>
    <n v="5.99"/>
    <n v="5.99"/>
    <n v="35.68"/>
    <n v="35.68"/>
    <n v="35.68"/>
    <s v="True"/>
    <s v="Normal"/>
    <s v="Google Pay"/>
    <x v="0"/>
    <s v="pending"/>
    <s v="Canada"/>
    <m/>
    <s v="Not Required"/>
    <s v="West Amyport"/>
  </r>
  <r>
    <s v="#1212"/>
    <n v="1"/>
    <d v="2026-08-04T13:54:32"/>
    <d v="2026-08-04T13:54:32"/>
    <s v="Aimee Smith"/>
    <x v="0"/>
    <s v="aimee.smith857@icloud.com"/>
    <s v="Backpack - 25L"/>
    <x v="1"/>
    <s v="Accessories"/>
    <x v="1"/>
    <n v="1"/>
    <n v="32.99"/>
    <n v="32.99"/>
    <m/>
    <x v="0"/>
    <n v="0"/>
    <n v="0"/>
    <s v="Number"/>
    <n v="5.99"/>
    <n v="5.99"/>
    <n v="38.979999999999997"/>
    <n v="38.979999999999997"/>
    <n v="38.980000000000004"/>
    <s v="True"/>
    <s v="Normal"/>
    <s v="Google Pay"/>
    <x v="3"/>
    <s v="refunded"/>
    <s v="United Kingdom"/>
    <m/>
    <s v="Not Required"/>
    <s v="Hollyville"/>
  </r>
  <r>
    <s v="#1231"/>
    <n v="1"/>
    <d v="2026-08-04T13:59:49"/>
    <d v="2026-08-04T13:59:49"/>
    <s v="Leon Oliver"/>
    <x v="0"/>
    <s v="leon.oliver578@gmail.com"/>
    <s v="Backpack - 25L"/>
    <x v="1"/>
    <s v="Accessories"/>
    <x v="1"/>
    <n v="1"/>
    <n v="32.99"/>
    <n v="32.99"/>
    <s v="BFCM25"/>
    <x v="3"/>
    <n v="8.25"/>
    <n v="8.25"/>
    <s v="Number"/>
    <n v="5.99"/>
    <n v="5.99"/>
    <n v="30.73"/>
    <n v="30.73"/>
    <n v="30.730000000000004"/>
    <s v="True"/>
    <s v="Normal"/>
    <s v="PayPal"/>
    <x v="0"/>
    <s v="fulfilled"/>
    <s v="Canada"/>
    <m/>
    <s v="Not Required"/>
    <s v="Lindamouth"/>
  </r>
  <r>
    <s v="#1330"/>
    <n v="1"/>
    <d v="2026-08-04T13:57:42"/>
    <d v="2026-08-04T13:57:42"/>
    <s v="Mary Phillips"/>
    <x v="0"/>
    <s v="mary.phillips944@yahoo.com"/>
    <s v="Backpack - 25L"/>
    <x v="1"/>
    <s v="Accessories"/>
    <x v="1"/>
    <n v="1"/>
    <n v="32.99"/>
    <n v="32.99"/>
    <m/>
    <x v="0"/>
    <s v="$0.00"/>
    <n v="0"/>
    <s v="Number"/>
    <n v="5.99"/>
    <n v="5.99"/>
    <n v="38.979999999999997"/>
    <n v="38.979999999999997"/>
    <n v="38.980000000000004"/>
    <s v="True"/>
    <s v="Normal"/>
    <s v="Google Pay"/>
    <x v="0"/>
    <s v="fulfilled"/>
    <s v="United States"/>
    <s v="California"/>
    <s v="Valid"/>
    <s v="Michaelburgh"/>
  </r>
  <r>
    <s v="#1391"/>
    <n v="1"/>
    <d v="2026-08-04T13:53:55"/>
    <d v="2026-08-04T13:53:55"/>
    <s v="DEBBIE JOSEPH"/>
    <x v="0"/>
    <s v="debbie.joseph531@outlook.com"/>
    <s v="Backpack - 25L"/>
    <x v="1"/>
    <s v="Accessories"/>
    <x v="1"/>
    <n v="1"/>
    <s v="$32.99"/>
    <n v="32.99"/>
    <s v="BFCM25"/>
    <x v="3"/>
    <n v="8.25"/>
    <n v="8.25"/>
    <s v="Number"/>
    <n v="5.99"/>
    <n v="5.99"/>
    <n v="30.73"/>
    <n v="30.73"/>
    <n v="30.730000000000004"/>
    <s v="True"/>
    <s v="Normal"/>
    <s v="Credit Card"/>
    <x v="1"/>
    <s v="refunded"/>
    <s v="United States"/>
    <s v="Ohio"/>
    <s v="Valid"/>
    <s v="New Heidiland"/>
  </r>
  <r>
    <s v="#1443"/>
    <n v="1"/>
    <d v="2026-08-04T14:00:45"/>
    <d v="2026-08-04T14:00:45"/>
    <s v="tracy dominguez"/>
    <x v="0"/>
    <s v="tracy.dominguez23@gmail.com"/>
    <s v="Backpack - 25L"/>
    <x v="1"/>
    <s v="Accessories"/>
    <x v="1"/>
    <n v="1"/>
    <n v="32.99"/>
    <n v="32.99"/>
    <s v="VIP15"/>
    <x v="4"/>
    <s v="$4.95"/>
    <n v="4.95"/>
    <s v="Number"/>
    <n v="5.99"/>
    <n v="5.99"/>
    <n v="34.03"/>
    <n v="34.03"/>
    <n v="34.03"/>
    <s v="True"/>
    <s v="Normal"/>
    <s v="Apple Pay"/>
    <x v="0"/>
    <s v="fulfilled"/>
    <s v="United States"/>
    <s v="Texas"/>
    <s v="Valid"/>
    <s v="New Brittany"/>
  </r>
  <r>
    <s v="#1452"/>
    <n v="1"/>
    <d v="2026-08-04T14:03:36"/>
    <d v="2026-08-04T14:03:36"/>
    <s v="Christopher Hayes"/>
    <x v="0"/>
    <s v="christopher.hayes809@icloud.com"/>
    <s v="Backpack - 25L"/>
    <x v="1"/>
    <s v="Accessories"/>
    <x v="1"/>
    <n v="1"/>
    <n v="32.99"/>
    <n v="32.99"/>
    <s v="VIP15"/>
    <x v="4"/>
    <n v="4.95"/>
    <n v="4.95"/>
    <s v="Number"/>
    <n v="7.99"/>
    <n v="7.99"/>
    <n v="36.03"/>
    <n v="36.03"/>
    <n v="36.03"/>
    <s v="True"/>
    <s v="Normal"/>
    <s v="Shopify Payments"/>
    <x v="3"/>
    <s v="refunded"/>
    <s v="United States"/>
    <s v="TX"/>
    <s v="Valid"/>
    <s v="Lake Cynthiafort"/>
  </r>
  <r>
    <s v="#1465"/>
    <n v="1"/>
    <d v="2026-08-04T13:59:05"/>
    <d v="2026-08-04T13:59:05"/>
    <s v="Dustin Ward"/>
    <x v="0"/>
    <s v="dustin.ward756@icloud.com"/>
    <s v="Backpack - 25L"/>
    <x v="1"/>
    <s v="Accessories"/>
    <x v="1"/>
    <n v="1"/>
    <n v="32.99"/>
    <n v="32.99"/>
    <m/>
    <x v="0"/>
    <n v="0"/>
    <n v="0"/>
    <s v="Number"/>
    <n v="4.99"/>
    <n v="4.99"/>
    <n v="37.979999999999997"/>
    <n v="37.979999999999997"/>
    <n v="37.980000000000004"/>
    <s v="True"/>
    <s v="Normal"/>
    <s v="Credit Card"/>
    <x v="0"/>
    <s v="fulfilled"/>
    <s v="United States"/>
    <s v="IL"/>
    <s v="Valid"/>
    <s v="Lake Lindaborough"/>
  </r>
  <r>
    <s v="#1562"/>
    <n v="1"/>
    <d v="2026-08-04T13:55:14"/>
    <d v="2026-08-04T13:55:14"/>
    <s v="Michael Hays"/>
    <x v="0"/>
    <s v="michael.hays590@gmail.com"/>
    <s v="Backpack - 25L"/>
    <x v="1"/>
    <s v="Accessories"/>
    <x v="1"/>
    <n v="1"/>
    <n v="32.99"/>
    <n v="32.99"/>
    <m/>
    <x v="0"/>
    <n v="0"/>
    <n v="0"/>
    <s v="Number"/>
    <n v="5.99"/>
    <n v="5.99"/>
    <n v="38.979999999999997"/>
    <n v="38.979999999999997"/>
    <n v="38.980000000000004"/>
    <s v="True"/>
    <s v="Normal"/>
    <s v="Shopify Payments"/>
    <x v="0"/>
    <s v="fulfilled"/>
    <s v="United States"/>
    <s v="Ohio"/>
    <s v="Valid"/>
    <s v="Contrerasview"/>
  </r>
  <r>
    <s v="#1565"/>
    <n v="1"/>
    <d v="2026-08-04T13:53:49"/>
    <d v="2026-08-04T13:53:49"/>
    <s v="DEBBIE JOSEPH"/>
    <x v="0"/>
    <s v="debbie.joseph531@outlook.com"/>
    <s v="Backpack - 25L"/>
    <x v="1"/>
    <s v="Accessories"/>
    <x v="1"/>
    <n v="3"/>
    <n v="32.99"/>
    <n v="32.99"/>
    <s v="SAVE20"/>
    <x v="2"/>
    <n v="19.79"/>
    <n v="19.79"/>
    <s v="Number"/>
    <n v="0"/>
    <n v="0"/>
    <s v="$79.18"/>
    <n v="79.180000000000007"/>
    <n v="79.180000000000007"/>
    <s v="True"/>
    <s v="Normal"/>
    <s v="PayPal"/>
    <x v="0"/>
    <s v="refunded"/>
    <s v="United States"/>
    <s v="Illinois"/>
    <s v="Valid"/>
    <s v="Hoodberg"/>
  </r>
  <r>
    <s v="#1577"/>
    <n v="1"/>
    <d v="2026-08-04T13:56:34"/>
    <d v="2026-08-04T13:56:34"/>
    <s v="Megan Dickson"/>
    <x v="0"/>
    <s v="megan.dickson508@gmail.com"/>
    <s v="Backpack - 25L"/>
    <x v="1"/>
    <s v="Accessories"/>
    <x v="1"/>
    <n v="1"/>
    <s v="$32.99"/>
    <n v="32.99"/>
    <m/>
    <x v="0"/>
    <n v="0"/>
    <n v="0"/>
    <s v="Number"/>
    <n v="4.99"/>
    <n v="4.99"/>
    <n v="37.979999999999997"/>
    <n v="37.979999999999997"/>
    <n v="37.980000000000004"/>
    <s v="True"/>
    <s v="Normal"/>
    <s v="Google Pay"/>
    <x v="0"/>
    <s v="pending"/>
    <s v="United Kingdom"/>
    <m/>
    <s v="Not Required"/>
    <s v="Deckerton"/>
  </r>
  <r>
    <s v="#1589"/>
    <n v="1"/>
    <d v="2026-08-04T13:54:18"/>
    <d v="2026-08-04T13:54:18"/>
    <s v="Matthew Riley"/>
    <x v="0"/>
    <s v="matthew.riley309@yahoo.com"/>
    <s v="Backpack - 25L"/>
    <x v="1"/>
    <s v="Accessories"/>
    <x v="1"/>
    <n v="1"/>
    <n v="32.99"/>
    <n v="32.99"/>
    <m/>
    <x v="0"/>
    <n v="0"/>
    <n v="0"/>
    <s v="Number"/>
    <n v="7.99"/>
    <n v="7.99"/>
    <n v="40.98"/>
    <n v="40.98"/>
    <n v="40.980000000000004"/>
    <s v="True"/>
    <s v="Normal"/>
    <s v="Apple Pay"/>
    <x v="0"/>
    <s v="refunded"/>
    <s v="Canada"/>
    <m/>
    <s v="Not Required"/>
    <s v="Josehaven"/>
  </r>
  <r>
    <s v="#1594"/>
    <n v="1"/>
    <d v="2026-08-04T14:06:20"/>
    <d v="2026-08-04T14:06:20"/>
    <s v="Anthony Parker"/>
    <x v="0"/>
    <s v="anthony.parker256@icloud.com"/>
    <s v="Backpack - 25L"/>
    <x v="1"/>
    <s v="Accessories"/>
    <x v="1"/>
    <n v="2"/>
    <n v="32.99"/>
    <n v="32.99"/>
    <s v="FREESHIP"/>
    <x v="5"/>
    <n v="0"/>
    <n v="0"/>
    <s v="Number"/>
    <n v="0"/>
    <n v="0"/>
    <n v="65.98"/>
    <n v="65.98"/>
    <n v="65.98"/>
    <s v="True"/>
    <s v="Normal"/>
    <s v="Google Pay"/>
    <x v="0"/>
    <s v="pending"/>
    <s v="United Kingdom"/>
    <m/>
    <s v="Not Required"/>
    <s v="Wallerland"/>
  </r>
  <r>
    <s v="#1616"/>
    <n v="1"/>
    <d v="2026-08-04T00:00:00"/>
    <s v="04-08-2026 14:05"/>
    <s v="Heather Davis"/>
    <x v="0"/>
    <s v="heather.davis117@icloud.com"/>
    <s v="Backpack - 25L"/>
    <x v="1"/>
    <s v="Accessories"/>
    <x v="1"/>
    <n v="2"/>
    <n v="32.99"/>
    <n v="32.99"/>
    <m/>
    <x v="0"/>
    <n v="0"/>
    <n v="0"/>
    <s v="Number"/>
    <n v="5.99"/>
    <n v="5.99"/>
    <s v="$71.97"/>
    <n v="71.97"/>
    <n v="71.97"/>
    <s v="True"/>
    <s v="Normal"/>
    <s v="PayPal"/>
    <x v="3"/>
    <s v="refunded"/>
    <s v="Germany"/>
    <m/>
    <s v="Not Required"/>
    <s v="Lake Jacob"/>
  </r>
  <r>
    <s v="#1624"/>
    <n v="1"/>
    <d v="2026-08-04T13:55:58"/>
    <d v="2026-08-04T13:55:58"/>
    <s v="Morgan Johnson"/>
    <x v="1"/>
    <m/>
    <s v="Backpack - 25L"/>
    <x v="1"/>
    <s v="Accessories"/>
    <x v="1"/>
    <n v="3"/>
    <n v="32.99"/>
    <n v="32.99"/>
    <m/>
    <x v="0"/>
    <n v="0"/>
    <n v="0"/>
    <s v="Number"/>
    <n v="0"/>
    <n v="0"/>
    <n v="98.97"/>
    <n v="98.97"/>
    <n v="98.97"/>
    <s v="True"/>
    <s v="Outlier"/>
    <s v="Shopify Payments"/>
    <x v="3"/>
    <s v="fulfilled"/>
    <s v="Canada"/>
    <m/>
    <s v="Not Required"/>
    <s v="Thomaston"/>
  </r>
  <r>
    <s v="#1632"/>
    <n v="1"/>
    <d v="2026-04-08T00:00:00"/>
    <d v="2026-04-08T00:00:00"/>
    <s v="Kenneth Morgan"/>
    <x v="0"/>
    <s v="kenneth.morgan181@outlook.com"/>
    <s v="Backpack - 25L"/>
    <x v="1"/>
    <s v="Accessories"/>
    <x v="1"/>
    <n v="3"/>
    <n v="32.99"/>
    <n v="32.99"/>
    <s v="WELCOME10"/>
    <x v="1"/>
    <n v="9.9"/>
    <n v="9.9"/>
    <s v="Number"/>
    <n v="0"/>
    <n v="0"/>
    <n v="89.07"/>
    <n v="89.07"/>
    <n v="89.07"/>
    <s v="True"/>
    <s v="Outlier"/>
    <s v="Apple Pay"/>
    <x v="0"/>
    <s v="fulfilled"/>
    <s v="United States"/>
    <s v="Arizona"/>
    <s v="Valid"/>
    <s v="West David"/>
  </r>
  <r>
    <s v="#1642"/>
    <n v="1"/>
    <d v="2026-04-08T00:00:00"/>
    <s v="08/04/2026"/>
    <s v="Tracy Adams"/>
    <x v="0"/>
    <s v="tracy.adams712@icloud.com"/>
    <s v="Backpack - 25L"/>
    <x v="1"/>
    <s v="Accessories"/>
    <x v="1"/>
    <n v="3"/>
    <n v="32.99"/>
    <n v="32.99"/>
    <m/>
    <x v="0"/>
    <n v="0"/>
    <n v="0"/>
    <s v="Number"/>
    <n v="0"/>
    <n v="0"/>
    <n v="98.97"/>
    <n v="98.97"/>
    <n v="98.97"/>
    <s v="True"/>
    <s v="Outlier"/>
    <s v="Shopify Payments"/>
    <x v="0"/>
    <s v="fulfilled"/>
    <s v="United States"/>
    <s v="Florida"/>
    <s v="Valid"/>
    <s v="Lake Ian"/>
  </r>
  <r>
    <s v="#1651"/>
    <n v="1"/>
    <d v="2026-08-04T14:05:45"/>
    <d v="2026-08-04T14:05:45"/>
    <s v="Kevin Williams"/>
    <x v="0"/>
    <s v="kevin.williams971@yahoo.com"/>
    <s v="Backpack - 25L"/>
    <x v="1"/>
    <s v="Accessories"/>
    <x v="1"/>
    <n v="2"/>
    <n v="32.99"/>
    <n v="32.99"/>
    <m/>
    <x v="0"/>
    <n v="0"/>
    <n v="0"/>
    <s v="Number"/>
    <n v="4.99"/>
    <n v="4.99"/>
    <n v="70.97"/>
    <n v="70.97"/>
    <n v="70.97"/>
    <s v="True"/>
    <s v="Normal"/>
    <s v="Credit Card"/>
    <x v="0"/>
    <s v="refunded"/>
    <s v="Pakistan"/>
    <m/>
    <s v="Not Required"/>
    <s v="South Laurenland"/>
  </r>
  <r>
    <s v="#1701"/>
    <n v="1"/>
    <d v="2026-08-04T13:54:28"/>
    <d v="2026-08-04T13:54:28"/>
    <s v="James Miller"/>
    <x v="0"/>
    <s v="james.miller866@yahoo.com"/>
    <s v="Backpack - 25L  "/>
    <x v="1"/>
    <s v="Accessories"/>
    <x v="1"/>
    <n v="2"/>
    <s v="$32.99"/>
    <n v="32.99"/>
    <m/>
    <x v="0"/>
    <n v="0"/>
    <n v="0"/>
    <s v="Number"/>
    <n v="4.99"/>
    <n v="4.99"/>
    <n v="70.97"/>
    <n v="70.97"/>
    <n v="70.97"/>
    <s v="True"/>
    <s v="Normal"/>
    <s v="Google Pay"/>
    <x v="3"/>
    <s v="fulfilled"/>
    <s v="Pakistan"/>
    <m/>
    <s v="Not Required"/>
    <s v="Port Karenshire"/>
  </r>
  <r>
    <s v="#1749"/>
    <n v="1"/>
    <d v="2026-08-04T13:57:03"/>
    <d v="2026-08-04T13:57:03"/>
    <s v="Ronald Stanley"/>
    <x v="0"/>
    <s v="ronald.stanley7@yahoo.com"/>
    <s v="Backpack - 25L"/>
    <x v="1"/>
    <s v="Accessories"/>
    <x v="1"/>
    <n v="1"/>
    <n v="32.99"/>
    <n v="32.99"/>
    <s v="BFCM25"/>
    <x v="3"/>
    <n v="8.25"/>
    <n v="8.25"/>
    <s v="Number"/>
    <n v="4.99"/>
    <n v="4.99"/>
    <n v="29.73"/>
    <n v="29.73"/>
    <n v="29.730000000000004"/>
    <s v="True"/>
    <s v="Normal"/>
    <s v="Shopify Payments"/>
    <x v="0"/>
    <s v="fulfilled"/>
    <s v="United States"/>
    <s v="Texas"/>
    <s v="Valid"/>
    <s v="South Maria"/>
  </r>
  <r>
    <s v="#1821"/>
    <n v="1"/>
    <d v="2026-08-04T13:56:32"/>
    <d v="2026-08-04T13:56:32"/>
    <s v="Joseph Phillips"/>
    <x v="0"/>
    <s v="joseph.phillips672@yahoo.com"/>
    <s v="Backpack - 25L"/>
    <x v="1"/>
    <s v="Accessories"/>
    <x v="1"/>
    <n v="1"/>
    <n v="32.99"/>
    <n v="32.99"/>
    <m/>
    <x v="0"/>
    <n v="0"/>
    <n v="0"/>
    <s v="Number"/>
    <n v="7.99"/>
    <n v="7.99"/>
    <n v="40.98"/>
    <n v="40.98"/>
    <n v="40.980000000000004"/>
    <s v="True"/>
    <s v="Normal"/>
    <s v="Credit Card"/>
    <x v="2"/>
    <s v="fulfilled"/>
    <s v="Pakistan"/>
    <m/>
    <s v="Not Required"/>
    <s v="Austinview"/>
  </r>
  <r>
    <s v="#1832"/>
    <n v="1"/>
    <d v="2026-08-04T13:55:00"/>
    <d v="2026-08-04T13:55:00"/>
    <s v="David Knapp"/>
    <x v="0"/>
    <s v="david.knapp687@yahoo.com"/>
    <s v="Backpack - 25L"/>
    <x v="1"/>
    <s v="Accessories"/>
    <x v="1"/>
    <n v="2"/>
    <n v="32.99"/>
    <n v="32.99"/>
    <m/>
    <x v="0"/>
    <n v="0"/>
    <n v="0"/>
    <s v="Number"/>
    <n v="7.99"/>
    <n v="7.99"/>
    <n v="73.97"/>
    <n v="73.97"/>
    <n v="73.97"/>
    <s v="True"/>
    <s v="Normal"/>
    <s v="PayPal"/>
    <x v="0"/>
    <s v="fulfilled"/>
    <s v="United States"/>
    <s v="Florida"/>
    <s v="Valid"/>
    <s v="Rayhaven"/>
  </r>
  <r>
    <s v="#1892"/>
    <n v="1"/>
    <d v="2026-08-04T14:01:29"/>
    <d v="2026-08-04T14:01:29"/>
    <s v="Thomas Vazquez"/>
    <x v="0"/>
    <s v="thomas.vazquez673@icloud.com"/>
    <s v="Backpack - 25L"/>
    <x v="1"/>
    <s v="Accessories"/>
    <x v="1"/>
    <n v="1"/>
    <n v="32.99"/>
    <n v="32.99"/>
    <m/>
    <x v="0"/>
    <n v="0"/>
    <n v="0"/>
    <s v="Number"/>
    <n v="7.99"/>
    <n v="7.99"/>
    <n v="40.98"/>
    <n v="40.98"/>
    <n v="40.980000000000004"/>
    <s v="True"/>
    <s v="Normal"/>
    <s v="Google Pay"/>
    <x v="0"/>
    <s v="refunded"/>
    <s v="Germany"/>
    <m/>
    <s v="Not Required"/>
    <s v="West Amy"/>
  </r>
  <r>
    <s v="#1899"/>
    <n v="1"/>
    <d v="2026-08-04T13:55:01"/>
    <d v="2026-08-04T13:55:01"/>
    <s v="Deborah Wilson"/>
    <x v="0"/>
    <s v="deborah.wilson691@icloud.com"/>
    <s v="Backpack - 25L"/>
    <x v="1"/>
    <s v="Accessories"/>
    <x v="1"/>
    <n v="2"/>
    <n v="32.99"/>
    <n v="32.99"/>
    <s v="FREESHIP"/>
    <x v="5"/>
    <n v="0"/>
    <n v="0"/>
    <s v="Number"/>
    <n v="0"/>
    <n v="0"/>
    <n v="65.98"/>
    <n v="65.98"/>
    <n v="65.98"/>
    <s v="True"/>
    <s v="Normal"/>
    <s v="PayPal"/>
    <x v="0"/>
    <s v="fulfilled"/>
    <s v="United Kingdom"/>
    <m/>
    <s v="Not Required"/>
    <s v="South Amandachester"/>
  </r>
  <r>
    <s v="#1945"/>
    <n v="1"/>
    <d v="2026-08-04T13:59:31"/>
    <d v="2026-08-04T13:59:31"/>
    <s v="Singh, Tina"/>
    <x v="1"/>
    <m/>
    <s v="Backpack - 25L"/>
    <x v="1"/>
    <s v="Accessories"/>
    <x v="1"/>
    <n v="2"/>
    <s v="$32.99"/>
    <n v="32.99"/>
    <m/>
    <x v="0"/>
    <s v="$0.00"/>
    <n v="0"/>
    <s v="Number"/>
    <n v="4.99"/>
    <n v="4.99"/>
    <n v="70.97"/>
    <n v="70.97"/>
    <n v="70.97"/>
    <s v="True"/>
    <s v="Normal"/>
    <s v="Credit Card"/>
    <x v="3"/>
    <s v="fulfilled"/>
    <s v="United States"/>
    <s v="Texas"/>
    <s v="Valid"/>
    <s v="Erichaven"/>
  </r>
  <r>
    <s v="#1997"/>
    <n v="1"/>
    <d v="2026-08-04T00:00:00"/>
    <s v="04-08-2026 13:59"/>
    <s v="Devon Rodriguez"/>
    <x v="0"/>
    <s v="devon.rodriguez635@outlook.com"/>
    <s v="Backpack - 25L"/>
    <x v="1"/>
    <s v="Accessories"/>
    <x v="1"/>
    <n v="1"/>
    <n v="32.99"/>
    <n v="32.99"/>
    <s v="SAVE20"/>
    <x v="2"/>
    <n v="6.6"/>
    <n v="6.6"/>
    <s v="Number"/>
    <n v="7.99"/>
    <n v="7.99"/>
    <n v="34.380000000000003"/>
    <n v="34.380000000000003"/>
    <n v="34.380000000000003"/>
    <s v="True"/>
    <s v="Normal"/>
    <s v="PayPal"/>
    <x v="1"/>
    <s v="fulfilled"/>
    <s v="United States"/>
    <s v="California"/>
    <s v="Valid"/>
    <s v="Donnachester"/>
  </r>
  <r>
    <s v="#2003"/>
    <n v="1"/>
    <d v="2026-08-04T14:02:36"/>
    <d v="2026-08-04T14:02:36"/>
    <s v="Brittney Thomas"/>
    <x v="0"/>
    <s v="brittney.thomas484@gmail.com"/>
    <s v="Backpack - 25L"/>
    <x v="1"/>
    <s v="Accessories"/>
    <x v="1"/>
    <n v="1"/>
    <n v="32.99"/>
    <n v="32.99"/>
    <m/>
    <x v="0"/>
    <s v="$0.00"/>
    <n v="0"/>
    <s v="Number"/>
    <n v="5.99"/>
    <n v="5.99"/>
    <n v="38.979999999999997"/>
    <n v="38.979999999999997"/>
    <n v="38.980000000000004"/>
    <s v="True"/>
    <s v="Normal"/>
    <s v="Google Pay"/>
    <x v="2"/>
    <s v="pending"/>
    <s v="United States"/>
    <s v="Washington"/>
    <s v="Valid"/>
    <s v="Boltonberg"/>
  </r>
  <r>
    <s v="#2006"/>
    <n v="1"/>
    <d v="2026-04-08T00:00:00"/>
    <s v="08/04/2026"/>
    <s v="Hannah Lee"/>
    <x v="0"/>
    <s v="hannah.lee589@icloud.com"/>
    <s v="Backpack - 25L"/>
    <x v="1"/>
    <s v="Accessories"/>
    <x v="1"/>
    <n v="1"/>
    <n v="32.99"/>
    <n v="32.99"/>
    <m/>
    <x v="0"/>
    <n v="0"/>
    <n v="0"/>
    <s v="Number"/>
    <n v="5.99"/>
    <n v="5.99"/>
    <s v="$38.98"/>
    <n v="38.979999999999997"/>
    <n v="38.980000000000004"/>
    <s v="True"/>
    <s v="Normal"/>
    <s v="Credit Card"/>
    <x v="0"/>
    <s v="fulfilled"/>
    <s v="United Kingdom"/>
    <m/>
    <s v="Not Required"/>
    <s v="Coleport"/>
  </r>
  <r>
    <s v="#2067"/>
    <n v="1"/>
    <d v="2026-08-04T14:07:01"/>
    <d v="2026-08-04T14:07:01"/>
    <s v="Jeremy Tucker"/>
    <x v="0"/>
    <s v="jeremy.tucker26@yahoo.com"/>
    <s v="Backpack - 25L"/>
    <x v="1"/>
    <s v="Accessories"/>
    <x v="1"/>
    <n v="1"/>
    <n v="32.99"/>
    <n v="32.99"/>
    <s v="SAVE20"/>
    <x v="2"/>
    <n v="6.6"/>
    <n v="6.6"/>
    <s v="Number"/>
    <n v="5.99"/>
    <n v="5.99"/>
    <s v="$32.38"/>
    <n v="32.380000000000003"/>
    <n v="32.380000000000003"/>
    <s v="True"/>
    <s v="Normal"/>
    <s v="Shopify Payments"/>
    <x v="3"/>
    <s v="fulfilled"/>
    <s v="United States"/>
    <s v="Ohio"/>
    <s v="Valid"/>
    <s v="East Douglas"/>
  </r>
  <r>
    <s v="#2085"/>
    <n v="1"/>
    <d v="2026-08-04T13:57:52"/>
    <d v="2026-08-04T13:57:52"/>
    <s v="Julia Atkinson"/>
    <x v="0"/>
    <s v="julia.atkinson939@gmail.com"/>
    <s v="Backpack - 25L"/>
    <x v="1"/>
    <s v="Accessories"/>
    <x v="1"/>
    <n v="1"/>
    <n v="32.99"/>
    <n v="32.99"/>
    <m/>
    <x v="0"/>
    <n v="0"/>
    <n v="0"/>
    <s v="Number"/>
    <n v="7.99"/>
    <n v="7.99"/>
    <n v="40.98"/>
    <n v="40.98"/>
    <n v="40.980000000000004"/>
    <s v="True"/>
    <s v="Normal"/>
    <s v="Credit Card"/>
    <x v="3"/>
    <s v="fulfilled"/>
    <s v="Canada"/>
    <m/>
    <s v="Not Required"/>
    <s v="Nixonmouth"/>
  </r>
  <r>
    <s v="#2089"/>
    <n v="1"/>
    <d v="2026-08-04T13:54:17"/>
    <d v="2026-08-04T13:54:17"/>
    <s v="Mary Garcia"/>
    <x v="0"/>
    <s v="mary.garcia899@icloud.com"/>
    <s v="Backpack - 25L"/>
    <x v="1"/>
    <s v="Accessories"/>
    <x v="1"/>
    <n v="2"/>
    <n v="32.99"/>
    <n v="32.99"/>
    <s v="FREESHIP"/>
    <x v="5"/>
    <n v="0"/>
    <n v="0"/>
    <s v="Number"/>
    <n v="0"/>
    <n v="0"/>
    <n v="65.98"/>
    <n v="65.98"/>
    <n v="65.98"/>
    <s v="True"/>
    <s v="Normal"/>
    <s v="PayPal"/>
    <x v="0"/>
    <s v="refunded"/>
    <s v="Canada"/>
    <m/>
    <s v="Not Required"/>
    <s v="North Justinberg"/>
  </r>
  <r>
    <s v="#2178"/>
    <n v="1"/>
    <d v="2026-08-04T13:56:42"/>
    <d v="2026-08-04T13:56:42"/>
    <s v="Rebecca Watts"/>
    <x v="0"/>
    <s v="rebecca.watts779@gmail.com"/>
    <s v="Backpack - 25L"/>
    <x v="1"/>
    <s v="Accessories"/>
    <x v="1"/>
    <n v="1"/>
    <n v="32.99"/>
    <n v="32.99"/>
    <s v="WELCOME10"/>
    <x v="1"/>
    <n v="3.3"/>
    <n v="3.3"/>
    <s v="Number"/>
    <n v="5.99"/>
    <n v="5.99"/>
    <n v="35.68"/>
    <n v="35.68"/>
    <n v="35.68"/>
    <s v="True"/>
    <s v="Normal"/>
    <s v="Apple Pay"/>
    <x v="0"/>
    <s v="fulfilled"/>
    <s v="United States"/>
    <s v="Washington"/>
    <s v="Valid"/>
    <s v="Jasmineland"/>
  </r>
  <r>
    <s v="#2181"/>
    <n v="1"/>
    <d v="2026-08-04T13:54:11"/>
    <d v="2026-08-04T13:54:11"/>
    <s v="VICKI JOHNSON"/>
    <x v="1"/>
    <m/>
    <s v="Backpack - 25L"/>
    <x v="1"/>
    <s v="Accessories"/>
    <x v="1"/>
    <n v="2"/>
    <n v="32.99"/>
    <n v="32.99"/>
    <s v="VIP15"/>
    <x v="4"/>
    <n v="9.9"/>
    <n v="9.9"/>
    <s v="Number"/>
    <n v="7.99"/>
    <n v="7.99"/>
    <n v="64.069999999999993"/>
    <n v="64.069999999999993"/>
    <n v="64.070000000000007"/>
    <s v="True"/>
    <s v="Normal"/>
    <s v="Google Pay"/>
    <x v="0"/>
    <s v="cancelled"/>
    <s v="Canada"/>
    <m/>
    <s v="Not Required"/>
    <s v="Calvinfurt"/>
  </r>
  <r>
    <s v="#2201"/>
    <n v="1"/>
    <d v="2026-08-04T00:00:00"/>
    <s v="2026-08-04"/>
    <s v="Rachel Colon"/>
    <x v="1"/>
    <m/>
    <s v="Backpack - 25L"/>
    <x v="1"/>
    <s v="Accessories"/>
    <x v="1"/>
    <n v="1"/>
    <n v="32.99"/>
    <n v="32.99"/>
    <s v="WELCOME10"/>
    <x v="1"/>
    <n v="3.3"/>
    <n v="3.3"/>
    <s v="Number"/>
    <n v="4.99"/>
    <n v="4.99"/>
    <s v="$34.68"/>
    <n v="34.68"/>
    <n v="34.68"/>
    <s v="True"/>
    <s v="Normal"/>
    <s v="Google Pay"/>
    <x v="0"/>
    <s v="pending"/>
    <s v="Australia"/>
    <m/>
    <s v="Not Required"/>
    <s v="Port Lisa"/>
  </r>
  <r>
    <s v="#2215"/>
    <n v="1"/>
    <d v="2026-04-08T00:00:00"/>
    <s v="08/04/2026"/>
    <s v="Margaret Conley"/>
    <x v="0"/>
    <s v="margaret.conley327@icloud.com"/>
    <s v="Backpack - 25L"/>
    <x v="1"/>
    <s v="Accessories"/>
    <x v="1"/>
    <n v="1"/>
    <n v="32.99"/>
    <n v="32.99"/>
    <s v="SAVE20"/>
    <x v="2"/>
    <n v="6.6"/>
    <n v="6.6"/>
    <s v="Number"/>
    <n v="4.99"/>
    <n v="4.99"/>
    <n v="31.38"/>
    <n v="31.38"/>
    <n v="31.380000000000003"/>
    <s v="True"/>
    <s v="Normal"/>
    <s v="Apple Pay"/>
    <x v="3"/>
    <s v="cancelled"/>
    <s v="Australia"/>
    <m/>
    <s v="Not Required"/>
    <s v="Lake Andrewstad"/>
  </r>
  <r>
    <s v="#2288"/>
    <n v="1"/>
    <d v="2026-08-04T14:02:51"/>
    <d v="2026-08-04T14:02:51"/>
    <s v="Timothy Becker"/>
    <x v="0"/>
    <s v="timothy.becker88@yahoo.com"/>
    <s v="Backpack - 25L  "/>
    <x v="1"/>
    <s v="Accessories"/>
    <x v="1"/>
    <n v="2"/>
    <n v="32.99"/>
    <n v="32.99"/>
    <s v="VIP15"/>
    <x v="4"/>
    <n v="9.9"/>
    <n v="9.9"/>
    <s v="Number"/>
    <n v="7.99"/>
    <n v="7.99"/>
    <n v="64.069999999999993"/>
    <n v="64.069999999999993"/>
    <n v="64.070000000000007"/>
    <s v="True"/>
    <s v="Normal"/>
    <s v="Apple Pay"/>
    <x v="0"/>
    <s v="cancelled"/>
    <s v="United States"/>
    <s v="Ohio"/>
    <s v="Valid"/>
    <s v="Stevensberg"/>
  </r>
  <r>
    <s v="#2298"/>
    <n v="1"/>
    <d v="2026-08-04T14:01:25"/>
    <d v="2026-08-04T14:01:25"/>
    <s v="Kayla Lee"/>
    <x v="0"/>
    <s v="kayla.lee278@yahoo.com"/>
    <s v="Backpack - 25L"/>
    <x v="1"/>
    <s v="Accessories"/>
    <x v="1"/>
    <n v="1"/>
    <n v="32.99"/>
    <n v="32.99"/>
    <s v="VIP15"/>
    <x v="4"/>
    <n v="4.95"/>
    <n v="4.95"/>
    <s v="Number"/>
    <n v="5.99"/>
    <n v="5.99"/>
    <n v="34.03"/>
    <n v="34.03"/>
    <n v="34.03"/>
    <s v="True"/>
    <s v="Normal"/>
    <s v="PayPal"/>
    <x v="0"/>
    <s v="refunded"/>
    <s v="United Kingdom"/>
    <m/>
    <s v="Not Required"/>
    <s v="New Bradley"/>
  </r>
  <r>
    <s v="#2320"/>
    <n v="1"/>
    <d v="2026-08-04T14:06:22"/>
    <d v="2026-08-04T14:06:22"/>
    <s v="Brittney Conway"/>
    <x v="0"/>
    <s v="brittney.conway383@outlook.com"/>
    <s v="Backpack - 25L"/>
    <x v="1"/>
    <s v="Accessories"/>
    <x v="1"/>
    <n v="1"/>
    <n v="32.99"/>
    <n v="32.99"/>
    <m/>
    <x v="0"/>
    <n v="0"/>
    <n v="0"/>
    <s v="Number"/>
    <n v="4.99"/>
    <n v="4.99"/>
    <n v="37.979999999999997"/>
    <n v="37.979999999999997"/>
    <n v="37.980000000000004"/>
    <s v="True"/>
    <s v="Normal"/>
    <s v="Credit Card"/>
    <x v="2"/>
    <s v="fulfilled"/>
    <s v="United States"/>
    <s v="Arizona"/>
    <s v="Valid"/>
    <s v="Yangburgh"/>
  </r>
  <r>
    <s v="#2343"/>
    <n v="1"/>
    <d v="2026-08-04T13:58:12"/>
    <d v="2026-08-04T13:58:12"/>
    <s v="Benjamin Collins"/>
    <x v="0"/>
    <s v="benjamin.collins953@icloud.com"/>
    <s v="Backpack - 25L"/>
    <x v="1"/>
    <s v="Accessories"/>
    <x v="1"/>
    <n v="1"/>
    <n v="32.99"/>
    <n v="32.99"/>
    <m/>
    <x v="0"/>
    <n v="0"/>
    <n v="0"/>
    <s v="Number"/>
    <n v="4.99"/>
    <n v="4.99"/>
    <n v="37.979999999999997"/>
    <n v="37.979999999999997"/>
    <n v="37.980000000000004"/>
    <s v="True"/>
    <s v="Normal"/>
    <s v="PayPal"/>
    <x v="2"/>
    <s v="fulfilled"/>
    <s v="Pakistan"/>
    <m/>
    <s v="Not Required"/>
    <s v="Rasmussenbury"/>
  </r>
  <r>
    <s v="#2358"/>
    <n v="1"/>
    <d v="2026-08-04T14:05:29"/>
    <d v="2026-08-04T14:05:29"/>
    <s v="Robert Ramsey"/>
    <x v="0"/>
    <s v="robert.ramsey440@outlook.com"/>
    <s v="Backpack - 25L"/>
    <x v="1"/>
    <s v="Accessories"/>
    <x v="1"/>
    <n v="1"/>
    <n v="32.99"/>
    <n v="32.99"/>
    <s v="SAVE20"/>
    <x v="2"/>
    <n v="6.6"/>
    <n v="6.6"/>
    <s v="Number"/>
    <n v="5.99"/>
    <n v="5.99"/>
    <n v="32.380000000000003"/>
    <n v="32.380000000000003"/>
    <n v="32.380000000000003"/>
    <s v="True"/>
    <s v="Normal"/>
    <s v="Google Pay"/>
    <x v="2"/>
    <s v="fulfilled"/>
    <s v="Canada"/>
    <m/>
    <s v="Not Required"/>
    <s v="Robinsonton"/>
  </r>
  <r>
    <s v="#2366"/>
    <n v="1"/>
    <d v="2026-08-04T14:00:18"/>
    <d v="2026-08-04T14:00:18"/>
    <s v="Gerald Li"/>
    <x v="0"/>
    <s v="gerald.li856@icloud.com"/>
    <s v="Backpack - 25L"/>
    <x v="1"/>
    <s v="Accessories"/>
    <x v="1"/>
    <n v="1"/>
    <n v="32.99"/>
    <n v="32.99"/>
    <s v="FREESHIP"/>
    <x v="5"/>
    <n v="0"/>
    <n v="0"/>
    <s v="Number"/>
    <n v="0"/>
    <n v="0"/>
    <n v="32.99"/>
    <n v="32.99"/>
    <n v="32.99"/>
    <s v="True"/>
    <s v="Normal"/>
    <s v="Credit Card"/>
    <x v="2"/>
    <s v="refunded"/>
    <s v="United States"/>
    <s v="Florida"/>
    <s v="Valid"/>
    <s v="Lake Amanda"/>
  </r>
  <r>
    <s v="#2389"/>
    <n v="1"/>
    <d v="2026-08-04T00:00:00"/>
    <s v="04-08-2026 14:07"/>
    <s v="Darin Alvarez"/>
    <x v="0"/>
    <s v="darin.alvarez843@gmail.com"/>
    <s v="Backpack - 25L"/>
    <x v="1"/>
    <s v="Accessories"/>
    <x v="1"/>
    <n v="4"/>
    <n v="32.99"/>
    <n v="32.99"/>
    <s v="WELCOME10"/>
    <x v="1"/>
    <n v="13.2"/>
    <n v="13.2"/>
    <s v="Number"/>
    <n v="0"/>
    <n v="0"/>
    <n v="118.76"/>
    <n v="118.76"/>
    <n v="118.76"/>
    <s v="True"/>
    <s v="Outlier"/>
    <s v="Shopify Payments"/>
    <x v="1"/>
    <s v="cancelled"/>
    <s v="Canada"/>
    <m/>
    <s v="Not Required"/>
    <s v="Danielborough"/>
  </r>
  <r>
    <s v="#2449"/>
    <n v="1"/>
    <d v="2026-08-04T14:05:27"/>
    <d v="2026-08-04T14:05:27"/>
    <s v="Jesse Hammond"/>
    <x v="0"/>
    <s v="jesse.hammond987@gmail.com"/>
    <s v="Backpack - 25L"/>
    <x v="1"/>
    <s v="Accessories"/>
    <x v="1"/>
    <n v="1"/>
    <s v="$32.99"/>
    <n v="32.99"/>
    <s v="BFCM25"/>
    <x v="3"/>
    <n v="8.25"/>
    <n v="8.25"/>
    <s v="Number"/>
    <n v="7.99"/>
    <n v="7.99"/>
    <n v="32.729999999999997"/>
    <n v="32.729999999999997"/>
    <n v="32.730000000000004"/>
    <s v="True"/>
    <s v="Normal"/>
    <s v="Credit Card"/>
    <x v="0"/>
    <s v="fulfilled"/>
    <s v="United States"/>
    <s v="Washington"/>
    <s v="Valid"/>
    <s v="Jennyburgh"/>
  </r>
  <r>
    <s v="#2456"/>
    <n v="1"/>
    <d v="2026-08-04T00:00:00"/>
    <s v="04-08-2026 13:57"/>
    <s v="Alexandria Miller"/>
    <x v="0"/>
    <s v="alexandria.miller414@outlook.com"/>
    <s v="Backpack - 25L"/>
    <x v="1"/>
    <s v="Accessories"/>
    <x v="1"/>
    <n v="3"/>
    <s v="$32.99"/>
    <n v="32.99"/>
    <s v="FREESHIP"/>
    <x v="5"/>
    <n v="0"/>
    <n v="0"/>
    <s v="Number"/>
    <n v="0"/>
    <n v="0"/>
    <n v="98.97"/>
    <n v="98.97"/>
    <n v="98.97"/>
    <s v="True"/>
    <s v="Outlier"/>
    <s v="PayPal"/>
    <x v="0"/>
    <s v="fulfilled"/>
    <s v="Australia"/>
    <m/>
    <s v="Not Required"/>
    <s v="East Miranda"/>
  </r>
  <r>
    <s v="#2494"/>
    <n v="1"/>
    <d v="2026-08-04T14:07:40"/>
    <d v="2026-08-04T14:07:40"/>
    <s v="Mary Garcia"/>
    <x v="0"/>
    <s v="mary.garcia899@icloud.com"/>
    <s v="Backpack - 25L"/>
    <x v="1"/>
    <s v="Accessories"/>
    <x v="1"/>
    <n v="2"/>
    <n v="32.99"/>
    <n v="32.99"/>
    <s v="VIP15"/>
    <x v="4"/>
    <n v="9.9"/>
    <n v="9.9"/>
    <s v="Number"/>
    <n v="5.99"/>
    <n v="5.99"/>
    <n v="62.07"/>
    <n v="62.07"/>
    <n v="62.070000000000007"/>
    <s v="True"/>
    <s v="Normal"/>
    <s v="PayPal"/>
    <x v="1"/>
    <s v="fulfilled"/>
    <s v="Canada"/>
    <m/>
    <s v="Not Required"/>
    <s v="Tateville"/>
  </r>
  <r>
    <s v="#2517"/>
    <n v="1"/>
    <d v="2026-08-04T13:53:55"/>
    <d v="2026-08-04T13:53:55"/>
    <s v="Darin Alvarez"/>
    <x v="1"/>
    <m/>
    <s v="Backpack - 25L"/>
    <x v="1"/>
    <s v="Accessories"/>
    <x v="1"/>
    <n v="2"/>
    <s v="$32.99"/>
    <n v="32.99"/>
    <m/>
    <x v="0"/>
    <n v="0"/>
    <n v="0"/>
    <s v="Number"/>
    <n v="4.99"/>
    <n v="4.99"/>
    <n v="70.97"/>
    <n v="70.97"/>
    <n v="70.97"/>
    <s v="True"/>
    <s v="Normal"/>
    <s v="Apple Pay"/>
    <x v="3"/>
    <s v="fulfilled"/>
    <s v="Canada"/>
    <m/>
    <s v="Not Required"/>
    <s v="Andrewmouth"/>
  </r>
  <r>
    <s v="#2535"/>
    <n v="1"/>
    <d v="2026-04-08T00:00:00"/>
    <s v="08/04/2026"/>
    <s v="Kenneth Davis"/>
    <x v="0"/>
    <s v="kenneth.davis106@yahoo.com"/>
    <s v="Backpack - 25L"/>
    <x v="1"/>
    <s v="Accessories"/>
    <x v="1"/>
    <n v="1"/>
    <s v="$32.99"/>
    <n v="32.99"/>
    <m/>
    <x v="0"/>
    <n v="0"/>
    <n v="0"/>
    <s v="Number"/>
    <n v="5.99"/>
    <n v="5.99"/>
    <n v="38.979999999999997"/>
    <n v="38.979999999999997"/>
    <n v="38.980000000000004"/>
    <s v="True"/>
    <s v="Normal"/>
    <s v="Shopify Payments"/>
    <x v="2"/>
    <s v="fulfilled"/>
    <s v="United States"/>
    <s v="California"/>
    <s v="Valid"/>
    <s v="Stephaniechester"/>
  </r>
  <r>
    <s v="#2567"/>
    <n v="1"/>
    <d v="2026-08-04T13:59:17"/>
    <d v="2026-08-04T13:59:17"/>
    <s v="Test Order"/>
    <x v="0"/>
    <s v="test@test.com"/>
    <s v="Backpack - 25L"/>
    <x v="1"/>
    <s v="Accessories"/>
    <x v="1"/>
    <n v="1"/>
    <s v="$32.99"/>
    <n v="32.99"/>
    <m/>
    <x v="0"/>
    <n v="0"/>
    <n v="0"/>
    <s v="Number"/>
    <n v="4.99"/>
    <n v="4.99"/>
    <n v="0"/>
    <n v="0"/>
    <n v="37.980000000000004"/>
    <s v="False"/>
    <s v="Normal"/>
    <s v="Shopify Payments"/>
    <x v="2"/>
    <s v="cancelled"/>
    <s v="United Kingdom"/>
    <m/>
    <s v="Not Required"/>
    <s v="Elizabethchester"/>
  </r>
  <r>
    <s v="#2601"/>
    <n v="1"/>
    <d v="2026-08-04T13:57:32"/>
    <d v="2026-08-04T13:57:32"/>
    <s v="Debra Thomas"/>
    <x v="0"/>
    <s v="debra.thomas509@icloud.com"/>
    <s v="Backpack - 25L"/>
    <x v="1"/>
    <s v="Accessories"/>
    <x v="1"/>
    <n v="1"/>
    <n v="32.99"/>
    <n v="32.99"/>
    <s v="VIP15"/>
    <x v="4"/>
    <n v="4.95"/>
    <n v="4.95"/>
    <s v="Number"/>
    <n v="4.99"/>
    <n v="4.99"/>
    <n v="33.03"/>
    <n v="33.03"/>
    <n v="33.03"/>
    <s v="True"/>
    <s v="Normal"/>
    <s v="Apple Pay"/>
    <x v="0"/>
    <s v="fulfilled"/>
    <s v="United States"/>
    <s v="New York"/>
    <s v="Valid"/>
    <s v="Austinborough"/>
  </r>
  <r>
    <s v="#2616"/>
    <n v="1"/>
    <d v="2026-08-04T14:01:47"/>
    <d v="2026-08-04T14:01:47"/>
    <s v="Frank Diaz"/>
    <x v="1"/>
    <m/>
    <s v="Backpack - 25L"/>
    <x v="1"/>
    <s v="Accessories"/>
    <x v="1"/>
    <n v="2"/>
    <n v="32.99"/>
    <n v="32.99"/>
    <m/>
    <x v="0"/>
    <n v="0"/>
    <n v="0"/>
    <s v="Number"/>
    <n v="5.99"/>
    <n v="5.99"/>
    <n v="71.97"/>
    <n v="71.97"/>
    <n v="71.97"/>
    <s v="True"/>
    <s v="Normal"/>
    <s v="Shopify Payments"/>
    <x v="0"/>
    <s v="refunded"/>
    <s v="United States"/>
    <s v="New York"/>
    <s v="Valid"/>
    <s v="North Andrewshire"/>
  </r>
  <r>
    <s v="#2640"/>
    <n v="1"/>
    <d v="2026-08-04T14:03:15"/>
    <d v="2026-08-04T14:03:15"/>
    <s v="Lori Davis"/>
    <x v="0"/>
    <s v="lori.davis757@yahoo.com"/>
    <s v="Backpack - 25L"/>
    <x v="1"/>
    <s v="Accessories"/>
    <x v="1"/>
    <n v="1"/>
    <n v="32.99"/>
    <n v="32.99"/>
    <s v="FREESHIP"/>
    <x v="5"/>
    <n v="0"/>
    <n v="0"/>
    <s v="Number"/>
    <n v="0"/>
    <n v="0"/>
    <n v="32.99"/>
    <n v="32.99"/>
    <n v="32.99"/>
    <s v="True"/>
    <s v="Normal"/>
    <s v="Google Pay"/>
    <x v="0"/>
    <s v="fulfilled"/>
    <s v="Germany"/>
    <m/>
    <s v="Not Required"/>
    <s v="East Faith"/>
  </r>
  <r>
    <s v="#2660"/>
    <n v="1"/>
    <d v="2026-08-04T14:00:53"/>
    <d v="2026-08-04T14:00:53"/>
    <s v="Autumn Stewart"/>
    <x v="0"/>
    <s v="autumn.stewart565@outlook.com"/>
    <s v="Backpack - 25L"/>
    <x v="1"/>
    <s v="Accessories"/>
    <x v="1"/>
    <n v="2"/>
    <s v="$32.99"/>
    <n v="32.99"/>
    <m/>
    <x v="0"/>
    <n v="0"/>
    <n v="0"/>
    <s v="Number"/>
    <n v="5.99"/>
    <n v="5.99"/>
    <n v="71.97"/>
    <n v="71.97"/>
    <n v="71.97"/>
    <s v="True"/>
    <s v="Normal"/>
    <s v="Apple Pay"/>
    <x v="1"/>
    <s v="pending"/>
    <s v="United Kingdom"/>
    <m/>
    <s v="Not Required"/>
    <s v="Patriciaside"/>
  </r>
  <r>
    <s v="#2684"/>
    <n v="1"/>
    <d v="2026-08-04T13:54:04"/>
    <d v="2026-08-04T13:54:04"/>
    <s v="  Linda Byrd"/>
    <x v="0"/>
    <s v="linda.byrd87@outlook.com"/>
    <s v="Backpack - 25L"/>
    <x v="1"/>
    <s v="Accessories"/>
    <x v="1"/>
    <n v="1"/>
    <n v="32.99"/>
    <n v="32.99"/>
    <s v="WELCOME10"/>
    <x v="1"/>
    <n v="3.3"/>
    <n v="3.3"/>
    <s v="Number"/>
    <n v="4.99"/>
    <n v="4.99"/>
    <n v="34.68"/>
    <n v="34.68"/>
    <n v="34.68"/>
    <s v="True"/>
    <s v="Normal"/>
    <s v="Apple Pay"/>
    <x v="3"/>
    <s v="fulfilled"/>
    <s v="United States"/>
    <s v="Illinois"/>
    <s v="Valid"/>
    <s v="Lake Christopherberg"/>
  </r>
  <r>
    <s v="#2715"/>
    <n v="1"/>
    <d v="2026-08-04T13:59:50"/>
    <d v="2026-08-04T13:59:50"/>
    <s v="Sara Sims"/>
    <x v="0"/>
    <s v="sara.sims992@icloud.com"/>
    <s v="Backpack - 25L"/>
    <x v="1"/>
    <s v="Accessories"/>
    <x v="1"/>
    <n v="1"/>
    <n v="32.99"/>
    <n v="32.99"/>
    <s v="VIP15"/>
    <x v="4"/>
    <n v="4.95"/>
    <n v="4.95"/>
    <s v="Number"/>
    <n v="7.99"/>
    <n v="7.99"/>
    <n v="36.03"/>
    <n v="36.03"/>
    <n v="36.03"/>
    <s v="True"/>
    <s v="Normal"/>
    <s v="Credit Card"/>
    <x v="0"/>
    <s v="fulfilled"/>
    <s v="Germany"/>
    <m/>
    <s v="Not Required"/>
    <s v="Adamston"/>
  </r>
  <r>
    <s v="#2720"/>
    <n v="1"/>
    <d v="2026-08-04T13:56:29"/>
    <d v="2026-08-04T13:56:29"/>
    <s v="Johnathan Sloan"/>
    <x v="0"/>
    <s v="johnathan.sloan721@outlook.com"/>
    <s v="Backpack - 25L"/>
    <x v="1"/>
    <s v="Accessories"/>
    <x v="1"/>
    <n v="3"/>
    <n v="32.99"/>
    <n v="32.99"/>
    <m/>
    <x v="0"/>
    <n v="0"/>
    <n v="0"/>
    <s v="Number"/>
    <n v="0"/>
    <n v="0"/>
    <n v="98.97"/>
    <n v="98.97"/>
    <n v="98.97"/>
    <s v="True"/>
    <s v="Outlier"/>
    <s v="Google Pay"/>
    <x v="0"/>
    <s v="fulfilled"/>
    <s v="Pakistan"/>
    <m/>
    <s v="Not Required"/>
    <s v="Christopherburgh"/>
  </r>
  <r>
    <s v="#2725"/>
    <n v="1"/>
    <d v="2026-08-04T14:01:40"/>
    <d v="2026-08-04T14:01:40"/>
    <s v="Jennifer Lee"/>
    <x v="0"/>
    <s v="jennifer.lee321@icloud.com"/>
    <s v="Backpack - 25L"/>
    <x v="1"/>
    <s v="Accessories"/>
    <x v="1"/>
    <n v="1"/>
    <n v="32.99"/>
    <n v="32.99"/>
    <m/>
    <x v="0"/>
    <n v="0"/>
    <n v="0"/>
    <s v="Number"/>
    <n v="5.99"/>
    <n v="5.99"/>
    <n v="38.979999999999997"/>
    <n v="38.979999999999997"/>
    <n v="38.980000000000004"/>
    <s v="True"/>
    <s v="Normal"/>
    <s v="Apple Pay"/>
    <x v="0"/>
    <s v="pending"/>
    <s v="United Kingdom"/>
    <m/>
    <s v="Not Required"/>
    <s v="Garciamouth"/>
  </r>
  <r>
    <s v="#2800"/>
    <n v="1"/>
    <d v="2026-08-04T14:00:44"/>
    <d v="2026-08-04T14:00:44"/>
    <s v="Janet Martinez"/>
    <x v="0"/>
    <s v="janet.martinez20@yahoo.com"/>
    <s v="Backpack - 25L"/>
    <x v="1"/>
    <s v="Accessories"/>
    <x v="1"/>
    <n v="1"/>
    <n v="32.99"/>
    <n v="32.99"/>
    <m/>
    <x v="0"/>
    <n v="0"/>
    <n v="0"/>
    <s v="Number"/>
    <n v="5.99"/>
    <n v="5.99"/>
    <n v="38.979999999999997"/>
    <n v="38.979999999999997"/>
    <n v="38.980000000000004"/>
    <s v="True"/>
    <s v="Normal"/>
    <s v="Credit Card"/>
    <x v="2"/>
    <s v="refunded"/>
    <s v="United States"/>
    <s v="North Carolina"/>
    <s v="Valid"/>
    <s v="Martinezmouth"/>
  </r>
  <r>
    <s v="#2829"/>
    <n v="1"/>
    <d v="2026-08-04T00:00:00"/>
    <s v="2026-08-04"/>
    <s v="Autumn Stewart"/>
    <x v="0"/>
    <s v="autumn.stewart565@outlook.com"/>
    <s v="Backpack - 25L"/>
    <x v="1"/>
    <s v="Accessories"/>
    <x v="1"/>
    <n v="1"/>
    <n v="32.99"/>
    <n v="32.99"/>
    <s v="FREESHIP"/>
    <x v="5"/>
    <n v="0"/>
    <n v="0"/>
    <s v="Number"/>
    <n v="0"/>
    <n v="0"/>
    <n v="32.99"/>
    <n v="32.99"/>
    <n v="32.99"/>
    <s v="True"/>
    <s v="Normal"/>
    <s v="Credit Card"/>
    <x v="0"/>
    <s v="fulfilled"/>
    <s v="United Kingdom"/>
    <m/>
    <s v="Not Required"/>
    <s v="West Jessica"/>
  </r>
  <r>
    <s v="#2832"/>
    <n v="1"/>
    <d v="2026-04-08T00:00:00"/>
    <s v="08/04/2026"/>
    <s v="Julie Hoffman"/>
    <x v="0"/>
    <s v="julie.hoffman913@gmail.com"/>
    <s v="Backpack - 25L"/>
    <x v="1"/>
    <s v="Accessories"/>
    <x v="1"/>
    <n v="1"/>
    <n v="32.99"/>
    <n v="32.99"/>
    <m/>
    <x v="0"/>
    <n v="0"/>
    <n v="0"/>
    <s v="Number"/>
    <n v="5.99"/>
    <n v="5.99"/>
    <n v="38.979999999999997"/>
    <n v="38.979999999999997"/>
    <n v="38.980000000000004"/>
    <s v="True"/>
    <s v="Normal"/>
    <s v="Apple Pay"/>
    <x v="0"/>
    <s v="fulfilled"/>
    <s v="United States"/>
    <s v="New York"/>
    <s v="Valid"/>
    <s v="Nobletown"/>
  </r>
  <r>
    <s v="#2901"/>
    <n v="1"/>
    <d v="2026-08-04T13:57:09"/>
    <d v="2026-08-04T13:57:09"/>
    <s v="Alec Chambers"/>
    <x v="0"/>
    <s v="alec.chambers767@outlook.com"/>
    <s v="Backpack - 25L"/>
    <x v="1"/>
    <s v="Accessories"/>
    <x v="1"/>
    <n v="2"/>
    <n v="32.99"/>
    <n v="32.99"/>
    <s v="SAVE20"/>
    <x v="2"/>
    <n v="13.2"/>
    <n v="13.2"/>
    <s v="Number"/>
    <n v="5.99"/>
    <n v="5.99"/>
    <n v="58.77"/>
    <n v="58.77"/>
    <n v="58.77"/>
    <s v="True"/>
    <s v="Normal"/>
    <s v="Shopify Payments"/>
    <x v="1"/>
    <s v="fulfilled"/>
    <s v="Canada"/>
    <m/>
    <s v="Not Required"/>
    <s v="Jacksonborough"/>
  </r>
  <r>
    <s v="#2907"/>
    <n v="1"/>
    <d v="2026-08-04T13:55:02"/>
    <d v="2026-08-04T13:55:02"/>
    <s v="Dawn Randolph"/>
    <x v="1"/>
    <m/>
    <s v="Backpack - 25L"/>
    <x v="1"/>
    <s v="Accessories"/>
    <x v="1"/>
    <n v="2"/>
    <n v="32.99"/>
    <n v="32.99"/>
    <m/>
    <x v="0"/>
    <s v="$0.00"/>
    <n v="0"/>
    <s v="Number"/>
    <n v="4.99"/>
    <n v="4.99"/>
    <n v="70.97"/>
    <n v="70.97"/>
    <n v="70.97"/>
    <s v="True"/>
    <s v="Normal"/>
    <s v="PayPal"/>
    <x v="3"/>
    <s v="fulfilled"/>
    <s v="Pakistan"/>
    <m/>
    <s v="Not Required"/>
    <s v="Amyshire"/>
  </r>
  <r>
    <s v="#2914"/>
    <n v="1"/>
    <d v="2026-08-04T14:06:51"/>
    <d v="2026-08-04T14:06:51"/>
    <s v="Leon Oliver"/>
    <x v="0"/>
    <s v="leon.oliver578@gmail.com"/>
    <s v="Backpack - 25L"/>
    <x v="1"/>
    <s v="Accessories"/>
    <x v="1"/>
    <n v="2"/>
    <n v="32.99"/>
    <n v="32.99"/>
    <s v="FREESHIP"/>
    <x v="5"/>
    <n v="0"/>
    <n v="0"/>
    <s v="Number"/>
    <n v="0"/>
    <n v="0"/>
    <n v="65.98"/>
    <n v="65.98"/>
    <n v="65.98"/>
    <s v="True"/>
    <s v="Normal"/>
    <s v="Credit Card"/>
    <x v="2"/>
    <s v="fulfilled"/>
    <s v="Canada"/>
    <m/>
    <s v="Not Required"/>
    <s v="New Amanda"/>
  </r>
  <r>
    <s v="#2931"/>
    <n v="1"/>
    <d v="2026-08-04T13:58:47"/>
    <d v="2026-08-04T13:58:47"/>
    <s v="Lucas Lyons"/>
    <x v="0"/>
    <s v="lucas.lyons594@icloud.com"/>
    <s v="Backpack - 25L"/>
    <x v="1"/>
    <s v="Accessories"/>
    <x v="1"/>
    <n v="1"/>
    <n v="32.99"/>
    <n v="32.99"/>
    <m/>
    <x v="0"/>
    <n v="0"/>
    <n v="0"/>
    <s v="Number"/>
    <n v="4.99"/>
    <n v="4.99"/>
    <n v="37.979999999999997"/>
    <n v="37.979999999999997"/>
    <n v="37.980000000000004"/>
    <s v="True"/>
    <s v="Normal"/>
    <s v="Shopify Payments"/>
    <x v="2"/>
    <s v="fulfilled"/>
    <s v="Pakistan"/>
    <m/>
    <s v="Not Required"/>
    <s v="South Cassandraton"/>
  </r>
  <r>
    <s v="#2946"/>
    <n v="1"/>
    <d v="2026-08-04T14:01:53"/>
    <d v="2026-08-04T14:01:53"/>
    <s v="Nicole Taylor"/>
    <x v="0"/>
    <s v="nicole.taylor607@icloud.com"/>
    <s v="Backpack - 25L"/>
    <x v="1"/>
    <s v="Accessories"/>
    <x v="1"/>
    <n v="1"/>
    <n v="32.99"/>
    <n v="32.99"/>
    <s v="WELCOME10"/>
    <x v="1"/>
    <n v="3.3"/>
    <n v="3.3"/>
    <s v="Number"/>
    <n v="7.99"/>
    <n v="7.99"/>
    <n v="37.68"/>
    <n v="37.68"/>
    <n v="37.68"/>
    <s v="True"/>
    <s v="Normal"/>
    <s v="Credit Card"/>
    <x v="0"/>
    <s v="fulfilled"/>
    <s v="United States"/>
    <s v="Texas"/>
    <s v="Valid"/>
    <s v="Maystad"/>
  </r>
  <r>
    <s v="#2971"/>
    <n v="1"/>
    <d v="2026-08-04T13:54:43"/>
    <d v="2026-08-04T13:54:43"/>
    <s v="  Amy Thompson"/>
    <x v="0"/>
    <s v="amy.thompson410@outlook.com"/>
    <s v="Backpack - 25L"/>
    <x v="1"/>
    <s v="Accessories"/>
    <x v="1"/>
    <n v="1"/>
    <n v="32.99"/>
    <n v="32.99"/>
    <s v="BFCM25"/>
    <x v="3"/>
    <n v="8.25"/>
    <n v="8.25"/>
    <s v="Number"/>
    <n v="5.99"/>
    <n v="5.99"/>
    <n v="30.73"/>
    <n v="30.73"/>
    <n v="30.730000000000004"/>
    <s v="True"/>
    <s v="Normal"/>
    <s v="PayPal"/>
    <x v="1"/>
    <s v="fulfilled"/>
    <s v="United States"/>
    <s v="North Carolina"/>
    <s v="Valid"/>
    <s v="Monicafort"/>
  </r>
  <r>
    <s v="#1946"/>
    <n v="1"/>
    <d v="2026-08-04T13:54:09"/>
    <d v="2026-08-04T13:54:09"/>
    <s v="Richard Zavala"/>
    <x v="0"/>
    <s v="richard.zavala602@gmail.com"/>
    <s v="Backpack   25L"/>
    <x v="1"/>
    <s v="Accessories"/>
    <x v="1"/>
    <n v="1"/>
    <n v="32.99"/>
    <n v="32.99"/>
    <m/>
    <x v="0"/>
    <n v="0"/>
    <n v="0"/>
    <s v="Number"/>
    <n v="4.99"/>
    <n v="4.99"/>
    <n v="37.979999999999997"/>
    <n v="37.979999999999997"/>
    <n v="37.980000000000004"/>
    <s v="True"/>
    <s v="Normal"/>
    <s v="Google Pay"/>
    <x v="0"/>
    <s v="fulfilled"/>
    <s v="Canada"/>
    <m/>
    <s v="Not Required"/>
    <s v="North Angelamouth"/>
  </r>
  <r>
    <s v="#1966"/>
    <n v="1"/>
    <d v="2026-08-04T14:00:47"/>
    <d v="2026-08-04T14:00:47"/>
    <s v="GERALD LI"/>
    <x v="1"/>
    <m/>
    <s v="Backpack   25L"/>
    <x v="1"/>
    <s v="Accessories"/>
    <x v="1"/>
    <n v="1"/>
    <n v="32.99"/>
    <n v="32.99"/>
    <m/>
    <x v="0"/>
    <n v="0"/>
    <n v="0"/>
    <s v="Number"/>
    <n v="4.99"/>
    <n v="4.99"/>
    <n v="37.979999999999997"/>
    <n v="37.979999999999997"/>
    <n v="37.980000000000004"/>
    <s v="True"/>
    <s v="Normal"/>
    <s v="Shopify Payments"/>
    <x v="0"/>
    <s v="fulfilled"/>
    <s v="United States"/>
    <s v="Texas"/>
    <s v="Valid"/>
    <s v="Aaronview"/>
  </r>
  <r>
    <s v="#1041"/>
    <n v="1"/>
    <d v="2026-08-04T14:07:23"/>
    <d v="2026-08-04T14:07:23"/>
    <s v="Dustin Griffin"/>
    <x v="0"/>
    <s v="dustin.griffin434@gmail.com"/>
    <s v="Ceramic Coffee Mug Set (4pc)"/>
    <x v="2"/>
    <s v="Home &amp; Kitchen"/>
    <x v="2"/>
    <n v="1"/>
    <n v="18.989999999999998"/>
    <n v="18.989999999999998"/>
    <s v="BFCM25"/>
    <x v="3"/>
    <n v="4.75"/>
    <n v="4.75"/>
    <s v="Number"/>
    <n v="7.99"/>
    <n v="7.99"/>
    <n v="22.23"/>
    <n v="22.23"/>
    <n v="22.229999999999997"/>
    <s v="True"/>
    <s v="Normal"/>
    <s v="Shopify Payments"/>
    <x v="0"/>
    <s v="fulfilled"/>
    <s v="United States"/>
    <s v="Florida"/>
    <s v="Valid"/>
    <s v="Mooretown"/>
  </r>
  <r>
    <s v="#1054"/>
    <n v="1"/>
    <d v="2026-08-04T13:55:11"/>
    <d v="2026-08-04T13:55:11"/>
    <s v="Stacey Johnson"/>
    <x v="0"/>
    <s v="stacey.johnson95@gmail.com"/>
    <s v="Ceramic Coffee Mug Set (4pc)"/>
    <x v="2"/>
    <s v="Home &amp; Kitchen"/>
    <x v="2"/>
    <n v="1"/>
    <n v="18.989999999999998"/>
    <n v="18.989999999999998"/>
    <m/>
    <x v="0"/>
    <s v="$0.00"/>
    <n v="0"/>
    <s v="Number"/>
    <n v="4.99"/>
    <n v="4.99"/>
    <n v="23.98"/>
    <n v="23.98"/>
    <n v="23.979999999999997"/>
    <s v="True"/>
    <s v="Normal"/>
    <s v="Apple Pay"/>
    <x v="0"/>
    <s v="refunded"/>
    <s v="Germany"/>
    <m/>
    <s v="Not Required"/>
    <s v="Lake Jeffrey"/>
  </r>
  <r>
    <s v="#1056"/>
    <n v="1"/>
    <d v="2026-08-04T14:04:40"/>
    <d v="2026-08-04T14:04:40"/>
    <s v="Lauren Nguyen"/>
    <x v="0"/>
    <s v="lauren.nguyen819@outlook.com"/>
    <s v="Ceramic Coffee Mug Set (4pc)"/>
    <x v="2"/>
    <s v="Home &amp; Kitchen"/>
    <x v="2"/>
    <n v="1"/>
    <n v="18.989999999999998"/>
    <n v="18.989999999999998"/>
    <s v="SAVE20"/>
    <x v="2"/>
    <n v="3.8"/>
    <n v="3.8"/>
    <s v="Number"/>
    <n v="7.99"/>
    <n v="7.99"/>
    <n v="23.18"/>
    <n v="23.18"/>
    <n v="23.18"/>
    <s v="True"/>
    <s v="Normal"/>
    <s v="Apple Pay"/>
    <x v="1"/>
    <s v="fulfilled"/>
    <s v="United Kingdom"/>
    <m/>
    <s v="Not Required"/>
    <s v="North Christopherview"/>
  </r>
  <r>
    <s v="#1076"/>
    <n v="1"/>
    <d v="2026-08-04T13:53:44"/>
    <d v="2026-08-04T13:53:44"/>
    <s v="Chad Smith"/>
    <x v="0"/>
    <s v="chad.smith773@icloud.com"/>
    <s v="Ceramic Coffee Mug Set (4pc)"/>
    <x v="2"/>
    <s v="Home &amp; Kitchen"/>
    <x v="2"/>
    <n v="1"/>
    <n v="18.989999999999998"/>
    <n v="18.989999999999998"/>
    <s v="FREESHIP"/>
    <x v="5"/>
    <n v="0"/>
    <n v="0"/>
    <s v="Number"/>
    <n v="0"/>
    <n v="0"/>
    <n v="18.989999999999998"/>
    <n v="18.989999999999998"/>
    <n v="18.989999999999998"/>
    <s v="True"/>
    <s v="Normal"/>
    <s v="PayPal"/>
    <x v="0"/>
    <s v="refunded"/>
    <s v="Pakistan"/>
    <m/>
    <s v="Not Required"/>
    <s v="North Andreafort"/>
  </r>
  <r>
    <s v="#1080"/>
    <n v="1"/>
    <d v="2026-08-04T13:54:54"/>
    <d v="2026-08-04T13:54:54"/>
    <s v="Andrew Jones"/>
    <x v="0"/>
    <s v="andrew.jones338@icloud.com"/>
    <s v="Ceramic Coffee Mug Set (4pc)"/>
    <x v="2"/>
    <s v="Home &amp; Kitchen"/>
    <x v="2"/>
    <n v="1"/>
    <n v="18.989999999999998"/>
    <n v="18.989999999999998"/>
    <m/>
    <x v="0"/>
    <n v="0"/>
    <n v="0"/>
    <s v="Number"/>
    <n v="4.99"/>
    <n v="4.99"/>
    <n v="23.98"/>
    <n v="23.98"/>
    <n v="23.979999999999997"/>
    <s v="True"/>
    <s v="Normal"/>
    <s v="Apple Pay"/>
    <x v="2"/>
    <s v="fulfilled"/>
    <s v="United Kingdom"/>
    <m/>
    <s v="Not Required"/>
    <s v="Fitzgeraldtown"/>
  </r>
  <r>
    <s v="#1084"/>
    <n v="1"/>
    <d v="2026-08-04T14:07:37"/>
    <d v="2026-08-04T14:07:37"/>
    <s v="Megan Herman"/>
    <x v="0"/>
    <s v="megan.herman268@yahoo.com"/>
    <s v="Ceramic Coffee Mug Set (4pc)"/>
    <x v="2"/>
    <s v="Home &amp; Kitchen"/>
    <x v="2"/>
    <n v="1"/>
    <n v="18.989999999999998"/>
    <n v="18.989999999999998"/>
    <m/>
    <x v="0"/>
    <n v="0"/>
    <n v="0"/>
    <s v="Number"/>
    <n v="4.99"/>
    <n v="4.99"/>
    <n v="23.98"/>
    <n v="23.98"/>
    <n v="23.979999999999997"/>
    <s v="True"/>
    <s v="Normal"/>
    <s v="Apple Pay"/>
    <x v="0"/>
    <s v="refunded"/>
    <s v="United States"/>
    <s v="Florida"/>
    <s v="Valid"/>
    <s v="Yvetteville"/>
  </r>
  <r>
    <s v="#1094"/>
    <n v="1"/>
    <d v="2026-08-04T14:01:37"/>
    <d v="2026-08-04T14:01:37"/>
    <s v="Angela Rose"/>
    <x v="0"/>
    <s v="angela.rose740@outlook.com"/>
    <s v="Ceramic Coffee Mug Set (4pc)"/>
    <x v="2"/>
    <s v="Home &amp; Kitchen"/>
    <x v="2"/>
    <n v="1"/>
    <n v="18.989999999999998"/>
    <n v="18.989999999999998"/>
    <m/>
    <x v="0"/>
    <n v="0"/>
    <n v="0"/>
    <s v="Number"/>
    <n v="7.99"/>
    <n v="7.99"/>
    <n v="26.98"/>
    <n v="26.98"/>
    <n v="26.979999999999997"/>
    <s v="True"/>
    <s v="Normal"/>
    <s v="Shopify Payments"/>
    <x v="3"/>
    <s v="cancelled"/>
    <s v="United States"/>
    <s v="Arizona"/>
    <s v="Valid"/>
    <s v="Williamsview"/>
  </r>
  <r>
    <s v="#1120"/>
    <n v="1"/>
    <d v="2026-08-04T14:03:06"/>
    <d v="2026-08-04T14:03:06"/>
    <s v="Jennifer Martin"/>
    <x v="0"/>
    <s v="jennifer.martin986@outlook.com"/>
    <s v="Ceramic Coffee Mug Set (4pc)"/>
    <x v="2"/>
    <s v="Home &amp; Kitchen"/>
    <x v="2"/>
    <n v="1"/>
    <n v="18.989999999999998"/>
    <n v="18.989999999999998"/>
    <m/>
    <x v="0"/>
    <n v="0"/>
    <n v="0"/>
    <s v="Number"/>
    <n v="7.99"/>
    <n v="7.99"/>
    <s v="$26.98"/>
    <n v="26.98"/>
    <n v="26.979999999999997"/>
    <s v="True"/>
    <s v="Normal"/>
    <s v="Credit Card"/>
    <x v="3"/>
    <s v="fulfilled"/>
    <s v="United States"/>
    <s v="Ohio"/>
    <s v="Valid"/>
    <s v="Tamarastad"/>
  </r>
  <r>
    <s v="#1123"/>
    <n v="1"/>
    <d v="2026-08-04T13:55:33"/>
    <d v="2026-08-04T13:55:33"/>
    <s v="Ashley Allen"/>
    <x v="0"/>
    <s v="ashley.allen918@yahoo.com"/>
    <s v="Ceramic Coffee Mug Set (4pc)"/>
    <x v="2"/>
    <s v="Home &amp; Kitchen"/>
    <x v="2"/>
    <n v="1"/>
    <n v="18.989999999999998"/>
    <n v="18.989999999999998"/>
    <s v="WELCOME10"/>
    <x v="1"/>
    <s v="$1.90"/>
    <n v="1.9"/>
    <s v="Number"/>
    <n v="5.99"/>
    <n v="5.99"/>
    <n v="23.08"/>
    <n v="23.08"/>
    <n v="23.08"/>
    <s v="True"/>
    <s v="Normal"/>
    <s v="Credit Card"/>
    <x v="0"/>
    <s v="fulfilled"/>
    <s v="United States"/>
    <s v="NC"/>
    <s v="Valid"/>
    <s v="Hernandezstad"/>
  </r>
  <r>
    <s v="#1132"/>
    <n v="1"/>
    <d v="2026-04-08T00:00:00"/>
    <s v="08/04/2026"/>
    <s v="Sheryl Nguyen"/>
    <x v="0"/>
    <s v="sheryl.nguyen272@outlook.com"/>
    <s v="Ceramic Coffee Mug Set (4pc)"/>
    <x v="2"/>
    <s v="Home &amp; Kitchen"/>
    <x v="2"/>
    <n v="1"/>
    <s v="$18.99"/>
    <n v="18.989999999999998"/>
    <s v="WELCOME10"/>
    <x v="1"/>
    <n v="1.9"/>
    <n v="1.9"/>
    <s v="Number"/>
    <n v="5.99"/>
    <n v="5.99"/>
    <s v="$23.08"/>
    <n v="23.08"/>
    <n v="23.08"/>
    <s v="True"/>
    <s v="Normal"/>
    <s v="Credit Card"/>
    <x v="0"/>
    <s v="pending"/>
    <s v="United States"/>
    <s v="Ohio"/>
    <s v="Valid"/>
    <s v="North Zacharymouth"/>
  </r>
  <r>
    <s v="#1141"/>
    <n v="1"/>
    <d v="2026-08-04T14:07:54"/>
    <d v="2026-08-04T14:07:54"/>
    <s v="James Andrade"/>
    <x v="0"/>
    <s v="james.andrade258@icloud.com"/>
    <s v="Ceramic Coffee Mug Set (4pc)"/>
    <x v="2"/>
    <s v="Home &amp; Kitchen"/>
    <x v="2"/>
    <n v="1"/>
    <n v="18.989999999999998"/>
    <n v="18.989999999999998"/>
    <m/>
    <x v="0"/>
    <n v="0"/>
    <n v="0"/>
    <s v="Number"/>
    <n v="7.99"/>
    <n v="7.99"/>
    <n v="26.98"/>
    <n v="26.98"/>
    <n v="26.979999999999997"/>
    <s v="True"/>
    <s v="Normal"/>
    <s v="Apple Pay"/>
    <x v="2"/>
    <s v="refunded"/>
    <s v="Germany"/>
    <m/>
    <s v="Not Required"/>
    <s v="New Dawn"/>
  </r>
  <r>
    <s v="#1144"/>
    <n v="1"/>
    <d v="2026-08-04T14:07:24"/>
    <d v="2026-08-04T14:07:24"/>
    <s v="Gerald Li"/>
    <x v="0"/>
    <s v="gerald.li856@icloud.com"/>
    <s v="Ceramic Coffee Mug Set (4pc)"/>
    <x v="2"/>
    <s v="Home &amp; Kitchen"/>
    <x v="2"/>
    <n v="1"/>
    <n v="18.989999999999998"/>
    <n v="18.989999999999998"/>
    <m/>
    <x v="0"/>
    <n v="0"/>
    <n v="0"/>
    <s v="Number"/>
    <n v="4.99"/>
    <n v="4.99"/>
    <n v="23.98"/>
    <n v="23.98"/>
    <n v="23.979999999999997"/>
    <s v="True"/>
    <s v="Normal"/>
    <s v="Shopify Payments"/>
    <x v="0"/>
    <s v="pending"/>
    <s v="United States"/>
    <s v="TX"/>
    <s v="Valid"/>
    <s v="New Bonnie"/>
  </r>
  <r>
    <s v="#1175"/>
    <n v="1"/>
    <d v="2026-08-04T13:54:13"/>
    <d v="2026-08-04T13:54:13"/>
    <s v="Tyler Williams"/>
    <x v="0"/>
    <s v="tyler.williams938@outlook.com"/>
    <s v="Ceramic Coffee Mug Set (4pc)"/>
    <x v="2"/>
    <s v="Home &amp; Kitchen"/>
    <x v="2"/>
    <n v="2"/>
    <n v="18.989999999999998"/>
    <n v="18.989999999999998"/>
    <s v="FREESHIP"/>
    <x v="5"/>
    <n v="0"/>
    <n v="0"/>
    <s v="Number"/>
    <n v="0"/>
    <n v="0"/>
    <n v="37.979999999999997"/>
    <n v="37.979999999999997"/>
    <n v="37.979999999999997"/>
    <s v="True"/>
    <s v="Normal"/>
    <s v="PayPal"/>
    <x v="0"/>
    <s v="fulfilled"/>
    <s v="Australia"/>
    <m/>
    <s v="Not Required"/>
    <s v="Lawrencestad"/>
  </r>
  <r>
    <s v="#1200"/>
    <n v="1"/>
    <d v="2026-08-04T13:59:51"/>
    <d v="2026-08-04T13:59:51"/>
    <s v="Victor Herrera"/>
    <x v="0"/>
    <s v="victor.herrera394@outlook.com"/>
    <s v="Ceramic Coffee Mug Set (4pc)"/>
    <x v="2"/>
    <s v="Home &amp; Kitchen"/>
    <x v="2"/>
    <n v="4"/>
    <n v="18.989999999999998"/>
    <n v="18.989999999999998"/>
    <s v="BFCM25"/>
    <x v="3"/>
    <n v="18.989999999999998"/>
    <n v="18.989999999999998"/>
    <s v="Number"/>
    <n v="0"/>
    <n v="0"/>
    <n v="56.97"/>
    <n v="56.97"/>
    <n v="56.97"/>
    <s v="True"/>
    <s v="Normal"/>
    <s v="PayPal"/>
    <x v="0"/>
    <s v="fulfilled"/>
    <s v="Pakistan"/>
    <m/>
    <s v="Not Required"/>
    <s v="Danielborough"/>
  </r>
  <r>
    <s v="#1254"/>
    <n v="1"/>
    <d v="2026-08-04T14:03:45"/>
    <d v="2026-08-04T14:03:45"/>
    <s v="Jaime Vargas"/>
    <x v="1"/>
    <m/>
    <s v="Ceramic Coffee Mug Set (4pc)"/>
    <x v="2"/>
    <s v="Home &amp; Kitchen"/>
    <x v="2"/>
    <n v="2"/>
    <n v="18.989999999999998"/>
    <n v="18.989999999999998"/>
    <s v="BFCM25"/>
    <x v="3"/>
    <n v="9.49"/>
    <n v="9.49"/>
    <s v="Number"/>
    <n v="5.99"/>
    <n v="5.99"/>
    <n v="34.479999999999997"/>
    <n v="34.479999999999997"/>
    <n v="34.479999999999997"/>
    <s v="True"/>
    <s v="Normal"/>
    <s v="Shopify Payments"/>
    <x v="0"/>
    <s v="refunded"/>
    <s v="United Kingdom"/>
    <m/>
    <s v="Not Required"/>
    <s v="East Marcus"/>
  </r>
  <r>
    <s v="#1276"/>
    <n v="1"/>
    <d v="2026-08-04T14:01:55"/>
    <d v="2026-08-04T14:01:55"/>
    <s v="Richard Sosa"/>
    <x v="0"/>
    <s v="richard.sosa486@yahoo.com"/>
    <s v="Ceramic Coffee Mug Set (4pc)"/>
    <x v="2"/>
    <s v="Home &amp; Kitchen"/>
    <x v="2"/>
    <n v="1"/>
    <n v="18.989999999999998"/>
    <n v="18.989999999999998"/>
    <m/>
    <x v="0"/>
    <n v="0"/>
    <n v="0"/>
    <s v="Number"/>
    <n v="7.99"/>
    <n v="7.99"/>
    <n v="26.98"/>
    <n v="26.98"/>
    <n v="26.979999999999997"/>
    <s v="True"/>
    <s v="Normal"/>
    <s v="PayPal"/>
    <x v="0"/>
    <s v="fulfilled"/>
    <s v="United States"/>
    <s v="Georgia"/>
    <s v="Valid"/>
    <s v="Stephenberg"/>
  </r>
  <r>
    <s v="#1291"/>
    <n v="1"/>
    <d v="2026-08-04T14:08:05"/>
    <d v="2026-08-04T14:08:05"/>
    <s v="  Julia Atkinson"/>
    <x v="0"/>
    <s v="julia.atkinson939@gmail.com"/>
    <s v="Ceramic Coffee Mug Set (4pc)"/>
    <x v="2"/>
    <s v="Home &amp; Kitchen"/>
    <x v="2"/>
    <n v="2"/>
    <n v="18.989999999999998"/>
    <n v="18.989999999999998"/>
    <m/>
    <x v="0"/>
    <n v="0"/>
    <n v="0"/>
    <s v="Number"/>
    <n v="5.99"/>
    <n v="5.99"/>
    <s v="$43.97"/>
    <n v="43.97"/>
    <n v="43.97"/>
    <s v="True"/>
    <s v="Normal"/>
    <s v="Credit Card"/>
    <x v="0"/>
    <s v="fulfilled"/>
    <s v="Canada"/>
    <m/>
    <s v="Not Required"/>
    <s v="Anthonyburgh"/>
  </r>
  <r>
    <s v="#1321"/>
    <n v="1"/>
    <d v="2026-08-04T13:57:28"/>
    <d v="2026-08-04T13:57:28"/>
    <s v="Heather Davis"/>
    <x v="0"/>
    <s v="heather.davis117@icloud.com"/>
    <s v="Ceramic Coffee Mug Set (4pc)"/>
    <x v="2"/>
    <s v="Home &amp; Kitchen"/>
    <x v="2"/>
    <n v="1"/>
    <n v="18.989999999999998"/>
    <n v="18.989999999999998"/>
    <s v="VIP15"/>
    <x v="4"/>
    <n v="2.85"/>
    <n v="2.85"/>
    <s v="Number"/>
    <n v="5.99"/>
    <n v="5.99"/>
    <n v="22.13"/>
    <n v="22.13"/>
    <n v="22.129999999999995"/>
    <s v="True"/>
    <s v="Normal"/>
    <s v="Credit Card"/>
    <x v="0"/>
    <s v="fulfilled"/>
    <s v="Germany"/>
    <m/>
    <s v="Not Required"/>
    <s v="Lake Paul"/>
  </r>
  <r>
    <s v="#1361"/>
    <n v="1"/>
    <d v="2026-08-04T13:58:08"/>
    <d v="2026-08-04T13:58:08"/>
    <s v="Darryl Cook"/>
    <x v="0"/>
    <s v="darryl.cook98@yahoo.com"/>
    <s v="Ceramic Coffee Mug Set (4pc)"/>
    <x v="2"/>
    <s v="Home &amp; Kitchen"/>
    <x v="2"/>
    <n v="1"/>
    <n v="18.989999999999998"/>
    <n v="18.989999999999998"/>
    <m/>
    <x v="0"/>
    <n v="0"/>
    <n v="0"/>
    <s v="Number"/>
    <n v="5.99"/>
    <n v="5.99"/>
    <n v="24.98"/>
    <n v="24.98"/>
    <n v="24.979999999999997"/>
    <s v="True"/>
    <s v="Normal"/>
    <s v="PayPal"/>
    <x v="3"/>
    <s v="fulfilled"/>
    <s v="Pakistan"/>
    <m/>
    <s v="Not Required"/>
    <s v="Christineland"/>
  </r>
  <r>
    <s v="#1429"/>
    <n v="1"/>
    <d v="2026-08-04T14:06:09"/>
    <d v="2026-08-04T14:06:09"/>
    <s v="Tracy Barr"/>
    <x v="0"/>
    <s v="tracy.barr550@icloud.com"/>
    <s v="Ceramic Coffee Mug Set (4pc)"/>
    <x v="2"/>
    <s v="Home &amp; Kitchen"/>
    <x v="2"/>
    <n v="1"/>
    <n v="18.989999999999998"/>
    <n v="18.989999999999998"/>
    <m/>
    <x v="0"/>
    <n v="0"/>
    <n v="0"/>
    <s v="Number"/>
    <n v="5.99"/>
    <n v="5.99"/>
    <s v="$24.98"/>
    <n v="24.98"/>
    <n v="24.979999999999997"/>
    <s v="True"/>
    <s v="Normal"/>
    <s v="Shopify Payments"/>
    <x v="1"/>
    <s v="refunded"/>
    <s v="United States"/>
    <s v="Georgia"/>
    <s v="Valid"/>
    <s v="Vazquezton"/>
  </r>
  <r>
    <s v="#1435"/>
    <n v="1"/>
    <d v="2026-08-04T14:07:17"/>
    <d v="2026-08-04T14:07:17"/>
    <s v="Tracy Adams"/>
    <x v="0"/>
    <s v="tracy.adams712@icloud.com"/>
    <s v="Ceramic Coffee Mug Set (4pc)"/>
    <x v="2"/>
    <s v="Home &amp; Kitchen"/>
    <x v="2"/>
    <n v="1"/>
    <n v="18.989999999999998"/>
    <n v="18.989999999999998"/>
    <s v="SAVE20"/>
    <x v="2"/>
    <n v="3.8"/>
    <n v="3.8"/>
    <s v="Number"/>
    <n v="7.99"/>
    <n v="7.99"/>
    <n v="23.18"/>
    <n v="23.18"/>
    <n v="23.18"/>
    <s v="True"/>
    <s v="Normal"/>
    <s v="PayPal"/>
    <x v="0"/>
    <s v="fulfilled"/>
    <s v="United States"/>
    <s v="North Carolina"/>
    <s v="Valid"/>
    <s v="Dianaville"/>
  </r>
  <r>
    <s v="#1489"/>
    <n v="1"/>
    <d v="2026-08-04T14:05:40"/>
    <d v="2026-08-04T14:05:40"/>
    <s v="Daniel Parsons"/>
    <x v="0"/>
    <s v="daniel.parsons636@gmail.com"/>
    <s v="Ceramic Coffee Mug Set (4pc)"/>
    <x v="2"/>
    <s v="Home &amp; Kitchen"/>
    <x v="2"/>
    <n v="1"/>
    <n v="18.989999999999998"/>
    <n v="18.989999999999998"/>
    <s v="WELCOME10"/>
    <x v="1"/>
    <n v="1.9"/>
    <n v="1.9"/>
    <s v="Number"/>
    <n v="7.99"/>
    <n v="7.99"/>
    <n v="25.08"/>
    <n v="25.08"/>
    <n v="25.08"/>
    <s v="True"/>
    <s v="Normal"/>
    <s v="Apple Pay"/>
    <x v="2"/>
    <s v="fulfilled"/>
    <s v="United States"/>
    <s v="NY"/>
    <s v="Valid"/>
    <s v="Johnborough"/>
  </r>
  <r>
    <s v="#1512"/>
    <n v="1"/>
    <d v="2026-08-04T14:06:54"/>
    <d v="2026-08-04T14:06:54"/>
    <s v="Darin Alvarez"/>
    <x v="0"/>
    <s v="darin.alvarez843@gmail.com"/>
    <s v="Ceramic Coffee Mug Set (4pc)"/>
    <x v="2"/>
    <s v="Home &amp; Kitchen"/>
    <x v="2"/>
    <n v="1"/>
    <s v="$18.99"/>
    <n v="18.989999999999998"/>
    <s v="BFCM25"/>
    <x v="3"/>
    <n v="4.75"/>
    <n v="4.75"/>
    <s v="Number"/>
    <n v="7.99"/>
    <n v="7.99"/>
    <n v="22.23"/>
    <n v="22.23"/>
    <n v="22.229999999999997"/>
    <s v="True"/>
    <s v="Normal"/>
    <s v="Shopify Payments"/>
    <x v="1"/>
    <s v="pending"/>
    <s v="Canada"/>
    <m/>
    <s v="Not Required"/>
    <s v="North Alicia"/>
  </r>
  <r>
    <s v="#1514"/>
    <n v="1"/>
    <d v="2026-08-04T13:59:07"/>
    <d v="2026-08-04T13:59:07"/>
    <s v="Michael Perez"/>
    <x v="0"/>
    <s v="michael.perez206@gmail.com"/>
    <s v="Ceramic Coffee Mug Set (4pc)"/>
    <x v="2"/>
    <s v="Home &amp; Kitchen"/>
    <x v="2"/>
    <n v="1"/>
    <n v="18.989999999999998"/>
    <n v="18.989999999999998"/>
    <s v="FREESHIP"/>
    <x v="5"/>
    <n v="0"/>
    <n v="0"/>
    <s v="Number"/>
    <n v="0"/>
    <n v="0"/>
    <n v="18.989999999999998"/>
    <n v="18.989999999999998"/>
    <n v="18.989999999999998"/>
    <s v="True"/>
    <s v="Normal"/>
    <s v="PayPal"/>
    <x v="0"/>
    <s v="fulfilled"/>
    <s v="Germany"/>
    <m/>
    <s v="Not Required"/>
    <s v="East Timothybury"/>
  </r>
  <r>
    <s v="#1591"/>
    <n v="1"/>
    <d v="2026-08-04T00:00:00"/>
    <s v="Aug 04, 2026"/>
    <s v="Jesus Mason"/>
    <x v="0"/>
    <s v="jesus.mason798@icloud.com"/>
    <s v="Ceramic Coffee Mug Set (4pc)"/>
    <x v="2"/>
    <s v="Home &amp; Kitchen"/>
    <x v="2"/>
    <n v="1"/>
    <n v="18.989999999999998"/>
    <n v="18.989999999999998"/>
    <s v="VIP15"/>
    <x v="4"/>
    <n v="2.85"/>
    <n v="2.85"/>
    <s v="Number"/>
    <n v="4.99"/>
    <n v="4.99"/>
    <s v="$21.13"/>
    <n v="21.13"/>
    <n v="21.129999999999995"/>
    <s v="True"/>
    <s v="Normal"/>
    <s v="Credit Card"/>
    <x v="3"/>
    <s v="fulfilled"/>
    <s v="United States"/>
    <s v="Georgia"/>
    <s v="Valid"/>
    <s v="Ramirezfurt"/>
  </r>
  <r>
    <s v="#1593"/>
    <n v="1"/>
    <d v="2026-08-04T13:56:39"/>
    <d v="2026-08-04T13:56:39"/>
    <s v="Sergio Turner"/>
    <x v="0"/>
    <s v="sergio.turner744@outlook.com"/>
    <s v="Ceramic Coffee Mug Set (4pc)"/>
    <x v="2"/>
    <s v="Home &amp; Kitchen"/>
    <x v="2"/>
    <n v="2"/>
    <n v="18.989999999999998"/>
    <n v="18.989999999999998"/>
    <s v="BFCM25"/>
    <x v="3"/>
    <n v="9.49"/>
    <n v="9.49"/>
    <s v="Number"/>
    <n v="4.99"/>
    <n v="4.99"/>
    <n v="33.479999999999997"/>
    <n v="33.479999999999997"/>
    <n v="33.479999999999997"/>
    <s v="True"/>
    <s v="Normal"/>
    <s v="Apple Pay"/>
    <x v="1"/>
    <s v="fulfilled"/>
    <s v="Germany"/>
    <m/>
    <s v="Not Required"/>
    <s v="Angelaville"/>
  </r>
  <r>
    <s v="#1596"/>
    <n v="1"/>
    <d v="2026-08-04T13:58:43"/>
    <d v="2026-08-04T13:58:43"/>
    <s v="Stephanie Mcdonald"/>
    <x v="0"/>
    <s v="stephanie.mcdonald873@icloud.com"/>
    <s v="Ceramic Coffee Mug Set (4pc)"/>
    <x v="2"/>
    <s v="Home &amp; Kitchen"/>
    <x v="2"/>
    <n v="1"/>
    <n v="18.989999999999998"/>
    <n v="18.989999999999998"/>
    <s v="FREESHIP"/>
    <x v="5"/>
    <n v="0"/>
    <n v="0"/>
    <s v="Number"/>
    <n v="0"/>
    <n v="0"/>
    <n v="18.989999999999998"/>
    <n v="18.989999999999998"/>
    <n v="18.989999999999998"/>
    <s v="True"/>
    <s v="Normal"/>
    <s v="Google Pay"/>
    <x v="1"/>
    <s v="fulfilled"/>
    <s v="Australia"/>
    <m/>
    <s v="Not Required"/>
    <s v="Wilsonstad"/>
  </r>
  <r>
    <s v="#1623"/>
    <n v="1"/>
    <d v="2026-08-04T13:58:20"/>
    <d v="2026-08-04T13:58:20"/>
    <s v="Mark Woods"/>
    <x v="0"/>
    <s v="mark.woods108@yahoo.com"/>
    <s v="Ceramic Coffee Mug Set (4pc)"/>
    <x v="2"/>
    <s v="Home &amp; Kitchen"/>
    <x v="2"/>
    <n v="2"/>
    <n v="18.989999999999998"/>
    <n v="18.989999999999998"/>
    <s v="BFCM25"/>
    <x v="3"/>
    <n v="9.49"/>
    <n v="9.49"/>
    <s v="Number"/>
    <n v="5.99"/>
    <n v="5.99"/>
    <n v="34.479999999999997"/>
    <n v="34.479999999999997"/>
    <n v="34.479999999999997"/>
    <s v="True"/>
    <s v="Normal"/>
    <s v="Credit Card"/>
    <x v="3"/>
    <s v="pending"/>
    <s v="United States"/>
    <s v="GA"/>
    <s v="Valid"/>
    <s v="New James"/>
  </r>
  <r>
    <s v="#1639"/>
    <n v="1"/>
    <d v="2026-08-04T00:00:00"/>
    <s v="2026-08-04"/>
    <s v="Kimberly Cordova"/>
    <x v="0"/>
    <s v="kimberly.cordova508@icloud.com"/>
    <s v="Ceramic Coffee Mug Set (4pc)"/>
    <x v="2"/>
    <s v="Home &amp; Kitchen"/>
    <x v="2"/>
    <n v="2"/>
    <n v="18.989999999999998"/>
    <n v="18.989999999999998"/>
    <m/>
    <x v="0"/>
    <n v="0"/>
    <n v="0"/>
    <s v="Number"/>
    <n v="7.99"/>
    <n v="7.99"/>
    <n v="45.97"/>
    <n v="45.97"/>
    <n v="45.97"/>
    <s v="True"/>
    <s v="Normal"/>
    <s v="Google Pay"/>
    <x v="1"/>
    <s v="cancelled"/>
    <s v="Pakistan"/>
    <m/>
    <s v="Not Required"/>
    <s v="Shannonmouth"/>
  </r>
  <r>
    <s v="#1656"/>
    <n v="1"/>
    <d v="2026-08-04T13:55:52"/>
    <d v="2026-08-04T13:55:52"/>
    <s v="Anthony Vaughn"/>
    <x v="1"/>
    <m/>
    <s v="Ceramic Coffee Mug Set (4pc)"/>
    <x v="2"/>
    <s v="Home &amp; Kitchen"/>
    <x v="2"/>
    <n v="1"/>
    <n v="18.989999999999998"/>
    <n v="18.989999999999998"/>
    <m/>
    <x v="0"/>
    <n v="0"/>
    <n v="0"/>
    <s v="Number"/>
    <n v="5.99"/>
    <n v="5.99"/>
    <n v="24.98"/>
    <n v="24.98"/>
    <n v="24.979999999999997"/>
    <s v="True"/>
    <s v="Normal"/>
    <s v="PayPal"/>
    <x v="3"/>
    <s v="fulfilled"/>
    <s v="Germany"/>
    <m/>
    <s v="Not Required"/>
    <s v="West Karen"/>
  </r>
  <r>
    <s v="#1663"/>
    <n v="1"/>
    <d v="2026-08-04T14:02:20"/>
    <d v="2026-08-04T14:02:20"/>
    <s v="Kyle Rice"/>
    <x v="0"/>
    <s v="kyle.rice164@icloud.com"/>
    <s v="Ceramic Coffee Mug Set (4pc)"/>
    <x v="2"/>
    <s v="Home &amp; Kitchen"/>
    <x v="2"/>
    <n v="1"/>
    <n v="18.989999999999998"/>
    <n v="18.989999999999998"/>
    <m/>
    <x v="0"/>
    <n v="0"/>
    <n v="0"/>
    <s v="Number"/>
    <n v="5.99"/>
    <n v="5.99"/>
    <n v="24.98"/>
    <n v="24.98"/>
    <n v="24.979999999999997"/>
    <s v="True"/>
    <s v="Normal"/>
    <s v="PayPal"/>
    <x v="2"/>
    <s v="pending"/>
    <s v="Canada"/>
    <m/>
    <s v="Not Required"/>
    <s v="East Jenniferchester"/>
  </r>
  <r>
    <s v="#1667"/>
    <n v="1"/>
    <d v="2026-08-04T14:02:02"/>
    <d v="2026-08-04T14:02:02"/>
    <m/>
    <x v="0"/>
    <s v="amanda.rodriguez770@yahoo.com"/>
    <s v="Ceramic Coffee Mug Set (4pc)"/>
    <x v="2"/>
    <s v="Home &amp; Kitchen"/>
    <x v="2"/>
    <n v="1"/>
    <s v="$18.99"/>
    <n v="18.989999999999998"/>
    <s v="BFCM25"/>
    <x v="3"/>
    <n v="4.75"/>
    <n v="4.75"/>
    <s v="Number"/>
    <n v="5.99"/>
    <n v="5.99"/>
    <n v="20.23"/>
    <n v="20.23"/>
    <n v="20.229999999999997"/>
    <s v="True"/>
    <s v="Normal"/>
    <s v="Apple Pay"/>
    <x v="0"/>
    <s v="fulfilled"/>
    <s v="United States"/>
    <s v="North Carolina"/>
    <s v="Valid"/>
    <s v="Savannahburgh"/>
  </r>
  <r>
    <s v="#1717"/>
    <n v="1"/>
    <d v="2026-08-04T13:59:45"/>
    <d v="2026-08-04T13:59:45"/>
    <s v="James Andrade"/>
    <x v="0"/>
    <s v="james.andrade258@icloud.com"/>
    <s v="Ceramic Coffee Mug Set (4pc)"/>
    <x v="2"/>
    <s v="Home &amp; Kitchen"/>
    <x v="2"/>
    <n v="1"/>
    <n v="18.989999999999998"/>
    <n v="18.989999999999998"/>
    <m/>
    <x v="0"/>
    <n v="0"/>
    <n v="0"/>
    <s v="Number"/>
    <n v="4.99"/>
    <n v="4.99"/>
    <n v="23.98"/>
    <n v="23.98"/>
    <n v="23.979999999999997"/>
    <s v="True"/>
    <s v="Normal"/>
    <s v="PayPal"/>
    <x v="0"/>
    <s v="cancelled"/>
    <s v="Germany"/>
    <m/>
    <s v="Not Required"/>
    <s v="West Karen"/>
  </r>
  <r>
    <s v="#1737"/>
    <n v="1"/>
    <d v="2026-08-04T14:07:38"/>
    <d v="2026-08-04T14:07:38"/>
    <s v="Janet Martinez"/>
    <x v="0"/>
    <s v="janet.martinez20@yahoo.com"/>
    <s v="Ceramic Coffee Mug Set (4pc)"/>
    <x v="2"/>
    <s v="Home &amp; Kitchen"/>
    <x v="2"/>
    <n v="1"/>
    <n v="18.989999999999998"/>
    <n v="18.989999999999998"/>
    <s v="FREESHIP"/>
    <x v="5"/>
    <n v="0"/>
    <n v="0"/>
    <s v="Number"/>
    <n v="0"/>
    <n v="0"/>
    <n v="18.989999999999998"/>
    <n v="18.989999999999998"/>
    <n v="18.989999999999998"/>
    <s v="True"/>
    <s v="Normal"/>
    <s v="Google Pay"/>
    <x v="1"/>
    <s v="fulfilled"/>
    <s v="United States"/>
    <s v="IL"/>
    <s v="Valid"/>
    <s v="Millerland"/>
  </r>
  <r>
    <s v="#1747"/>
    <n v="1"/>
    <d v="2026-08-04T14:00:08"/>
    <d v="2026-08-04T14:00:08"/>
    <s v="Joel Davidson"/>
    <x v="0"/>
    <s v="joel.davidson94@icloud.com"/>
    <s v="Ceramic Coffee Mug Set (4pc)  "/>
    <x v="2"/>
    <s v="Home &amp; Kitchen"/>
    <x v="2"/>
    <n v="1"/>
    <n v="18.989999999999998"/>
    <n v="18.989999999999998"/>
    <m/>
    <x v="0"/>
    <n v="0"/>
    <n v="0"/>
    <s v="Number"/>
    <n v="7.99"/>
    <n v="7.99"/>
    <n v="26.98"/>
    <n v="26.98"/>
    <n v="26.979999999999997"/>
    <s v="True"/>
    <s v="Normal"/>
    <s v="Shopify Payments"/>
    <x v="2"/>
    <s v="pending"/>
    <s v="United States"/>
    <s v="Arizona"/>
    <s v="Valid"/>
    <s v="Deborahton"/>
  </r>
  <r>
    <s v="#1750"/>
    <n v="1"/>
    <d v="2026-08-04T13:54:02"/>
    <d v="2026-08-04T13:54:02"/>
    <s v="Michael Davis"/>
    <x v="0"/>
    <s v="michael.davis313@outlook.com"/>
    <s v="Ceramic Coffee Mug Set (4pc)"/>
    <x v="2"/>
    <s v="Home &amp; Kitchen"/>
    <x v="2"/>
    <n v="2"/>
    <s v="$18.99"/>
    <n v="18.989999999999998"/>
    <m/>
    <x v="0"/>
    <n v="0"/>
    <n v="0"/>
    <s v="Number"/>
    <n v="5.99"/>
    <n v="5.99"/>
    <n v="43.97"/>
    <n v="43.97"/>
    <n v="43.97"/>
    <s v="True"/>
    <s v="Normal"/>
    <s v="Shopify Payments"/>
    <x v="0"/>
    <s v="fulfilled"/>
    <s v="United States"/>
    <s v="Texas"/>
    <s v="Valid"/>
    <s v="Masseyton"/>
  </r>
  <r>
    <s v="#1810"/>
    <n v="1"/>
    <d v="2026-08-04T13:59:01"/>
    <d v="2026-08-04T13:59:01"/>
    <s v="James Miller"/>
    <x v="0"/>
    <s v="james.miller866@yahoo.com"/>
    <s v="Ceramic Coffee Mug Set (4pc)"/>
    <x v="2"/>
    <s v="Home &amp; Kitchen"/>
    <x v="2"/>
    <n v="1"/>
    <n v="18.989999999999998"/>
    <n v="18.989999999999998"/>
    <s v="FREESHIP"/>
    <x v="5"/>
    <n v="0"/>
    <n v="0"/>
    <s v="Number"/>
    <n v="0"/>
    <n v="0"/>
    <n v="18.989999999999998"/>
    <n v="18.989999999999998"/>
    <n v="18.989999999999998"/>
    <s v="True"/>
    <s v="Normal"/>
    <s v="Google Pay"/>
    <x v="0"/>
    <s v="fulfilled"/>
    <s v="Pakistan"/>
    <m/>
    <s v="Not Required"/>
    <s v="North Williamstad"/>
  </r>
  <r>
    <s v="#1824"/>
    <n v="1"/>
    <d v="2026-08-04T14:05:07"/>
    <d v="2026-08-04T14:05:07"/>
    <s v="Peter Alvarez"/>
    <x v="0"/>
    <s v="peter.alvarez465@yahoo.com"/>
    <s v="Ceramic Coffee Mug Set (4pc)"/>
    <x v="2"/>
    <s v="Home &amp; Kitchen"/>
    <x v="2"/>
    <n v="2"/>
    <n v="18.989999999999998"/>
    <n v="18.989999999999998"/>
    <m/>
    <x v="0"/>
    <n v="0"/>
    <n v="0"/>
    <s v="Number"/>
    <n v="5.99"/>
    <n v="5.99"/>
    <n v="43.97"/>
    <n v="43.97"/>
    <n v="43.97"/>
    <s v="True"/>
    <s v="Normal"/>
    <s v="Credit Card"/>
    <x v="3"/>
    <s v="fulfilled"/>
    <s v="United States"/>
    <s v="Washington"/>
    <s v="Valid"/>
    <s v="South Andrew"/>
  </r>
  <r>
    <s v="#1864"/>
    <n v="1"/>
    <d v="2026-08-04T00:00:00"/>
    <s v="04-08-2026 14:00"/>
    <s v="Allen Diaz"/>
    <x v="0"/>
    <s v="allen.diaz546@gmail.com"/>
    <s v="Ceramic Coffee Mug Set (4pc)"/>
    <x v="2"/>
    <s v="Home &amp; Kitchen"/>
    <x v="2"/>
    <n v="1"/>
    <n v="18.989999999999998"/>
    <n v="18.989999999999998"/>
    <m/>
    <x v="0"/>
    <n v="0"/>
    <n v="0"/>
    <s v="Number"/>
    <n v="4.99"/>
    <n v="4.99"/>
    <n v="23.98"/>
    <n v="23.98"/>
    <n v="23.979999999999997"/>
    <s v="True"/>
    <s v="Normal"/>
    <s v="PayPal"/>
    <x v="0"/>
    <s v="refunded"/>
    <s v="United States"/>
    <s v="Georgia"/>
    <s v="Valid"/>
    <s v="Coreyton"/>
  </r>
  <r>
    <s v="#1866"/>
    <n v="1"/>
    <d v="2026-08-04T13:54:26"/>
    <d v="2026-08-04T13:54:26"/>
    <s v="Melissa Jones"/>
    <x v="0"/>
    <s v="melissa.jones297@yahoo.com"/>
    <s v="Ceramic Coffee Mug Set (4pc)"/>
    <x v="2"/>
    <s v="Home &amp; Kitchen"/>
    <x v="2"/>
    <n v="1"/>
    <n v="18.989999999999998"/>
    <n v="18.989999999999998"/>
    <s v="FREESHIP"/>
    <x v="5"/>
    <n v="0"/>
    <n v="0"/>
    <s v="Number"/>
    <n v="0"/>
    <n v="0"/>
    <n v="18.989999999999998"/>
    <n v="18.989999999999998"/>
    <n v="18.989999999999998"/>
    <s v="True"/>
    <s v="Normal"/>
    <s v="Credit Card"/>
    <x v="0"/>
    <s v="pending"/>
    <s v="United States"/>
    <s v="Florida"/>
    <s v="Valid"/>
    <s v="Kelseybury"/>
  </r>
  <r>
    <s v="#1881"/>
    <n v="1"/>
    <d v="2026-08-04T13:54:29"/>
    <d v="2026-08-04T13:54:29"/>
    <s v="Gregory Tanner"/>
    <x v="0"/>
    <s v="gregory.tanner968@outlook.com"/>
    <s v="Ceramic Coffee Mug Set (4pc)"/>
    <x v="2"/>
    <s v="Home &amp; Kitchen"/>
    <x v="2"/>
    <n v="1"/>
    <n v="18.989999999999998"/>
    <n v="18.989999999999998"/>
    <s v="FREESHIP"/>
    <x v="5"/>
    <n v="0"/>
    <n v="0"/>
    <s v="Number"/>
    <n v="0"/>
    <n v="0"/>
    <n v="18.989999999999998"/>
    <n v="18.989999999999998"/>
    <n v="18.989999999999998"/>
    <s v="True"/>
    <s v="Normal"/>
    <s v="PayPal"/>
    <x v="2"/>
    <s v="cancelled"/>
    <s v="United States"/>
    <s v="New York"/>
    <s v="Valid"/>
    <s v="South Josephborough"/>
  </r>
  <r>
    <s v="#1888"/>
    <n v="1"/>
    <d v="2026-08-04T14:05:43"/>
    <d v="2026-08-04T14:05:43"/>
    <s v="Julia Atkinson"/>
    <x v="0"/>
    <s v="julia.atkinson939@gmail.com"/>
    <s v="Ceramic Coffee Mug Set (4pc)"/>
    <x v="2"/>
    <s v="Home &amp; Kitchen"/>
    <x v="2"/>
    <n v="1"/>
    <n v="18.989999999999998"/>
    <n v="18.989999999999998"/>
    <m/>
    <x v="0"/>
    <n v="0"/>
    <n v="0"/>
    <s v="Number"/>
    <n v="5.99"/>
    <n v="5.99"/>
    <n v="24.98"/>
    <n v="24.98"/>
    <n v="24.979999999999997"/>
    <s v="True"/>
    <s v="Normal"/>
    <s v="Shopify Payments"/>
    <x v="0"/>
    <s v="fulfilled"/>
    <s v="Canada"/>
    <m/>
    <s v="Not Required"/>
    <s v="Lisahaven"/>
  </r>
  <r>
    <s v="#1917"/>
    <n v="1"/>
    <d v="2026-08-04T13:55:05"/>
    <d v="2026-08-04T13:55:05"/>
    <s v="Tina Singh"/>
    <x v="0"/>
    <s v="tina.singh98@icloud.com"/>
    <s v="Ceramic Coffee Mug Set (4pc)"/>
    <x v="2"/>
    <s v="Home &amp; Kitchen"/>
    <x v="2"/>
    <n v="1"/>
    <n v="18.989999999999998"/>
    <n v="18.989999999999998"/>
    <s v="SAVE20"/>
    <x v="2"/>
    <n v="3.8"/>
    <n v="3.8"/>
    <s v="Number"/>
    <n v="5.99"/>
    <n v="5.99"/>
    <s v="$21.18"/>
    <n v="21.18"/>
    <n v="21.18"/>
    <s v="True"/>
    <s v="Normal"/>
    <s v="PayPal"/>
    <x v="1"/>
    <s v="pending"/>
    <s v="United States"/>
    <s v="Ohio"/>
    <s v="Valid"/>
    <s v="East Brianna"/>
  </r>
  <r>
    <s v="#1977"/>
    <n v="1"/>
    <d v="2026-08-04T13:57:38"/>
    <d v="2026-08-04T13:57:38"/>
    <s v="Christopher Lopez"/>
    <x v="0"/>
    <s v="christopher.lopez666@gmail.com"/>
    <s v="Ceramic Coffee Mug Set (4pc)"/>
    <x v="2"/>
    <s v="Home &amp; Kitchen"/>
    <x v="2"/>
    <n v="2"/>
    <n v="18.989999999999998"/>
    <n v="18.989999999999998"/>
    <s v="SAVE20"/>
    <x v="2"/>
    <s v="$7.60"/>
    <n v="7.6"/>
    <s v="Number"/>
    <n v="4.99"/>
    <n v="4.99"/>
    <n v="35.369999999999997"/>
    <n v="35.369999999999997"/>
    <n v="35.369999999999997"/>
    <s v="True"/>
    <s v="Normal"/>
    <s v="Apple Pay"/>
    <x v="0"/>
    <s v="fulfilled"/>
    <s v="Pakistan"/>
    <m/>
    <s v="Not Required"/>
    <s v="West Tammy"/>
  </r>
  <r>
    <s v="#1996"/>
    <n v="1"/>
    <d v="2026-08-04T13:55:42"/>
    <d v="2026-08-04T13:55:42"/>
    <s v="Dawn Randolph"/>
    <x v="0"/>
    <s v="dawn.randolph179@icloud.com"/>
    <s v="Ceramic Coffee Mug Set (4pc)"/>
    <x v="2"/>
    <s v="Home &amp; Kitchen"/>
    <x v="2"/>
    <n v="2"/>
    <n v="18.989999999999998"/>
    <n v="18.989999999999998"/>
    <m/>
    <x v="0"/>
    <n v="0"/>
    <n v="0"/>
    <s v="Number"/>
    <n v="5.99"/>
    <n v="5.99"/>
    <n v="43.97"/>
    <n v="43.97"/>
    <n v="43.97"/>
    <s v="True"/>
    <s v="Normal"/>
    <s v="Credit Card"/>
    <x v="0"/>
    <s v="fulfilled"/>
    <s v="Pakistan"/>
    <m/>
    <s v="Not Required"/>
    <s v="Sancheztown"/>
  </r>
  <r>
    <s v="#1999"/>
    <n v="1"/>
    <d v="2026-08-04T13:55:09"/>
    <d v="2026-08-04T13:55:09"/>
    <s v="Stacey Johnson"/>
    <x v="0"/>
    <s v="stacey.johnson95@gmail.com"/>
    <s v="Ceramic Coffee Mug Set (4pc)"/>
    <x v="2"/>
    <s v="Home &amp; Kitchen"/>
    <x v="2"/>
    <n v="1"/>
    <s v="$18.99"/>
    <n v="18.989999999999998"/>
    <m/>
    <x v="0"/>
    <n v="0"/>
    <n v="0"/>
    <s v="Number"/>
    <n v="7.99"/>
    <n v="7.99"/>
    <n v="26.98"/>
    <n v="26.98"/>
    <n v="26.979999999999997"/>
    <s v="True"/>
    <s v="Normal"/>
    <s v="Shopify Payments"/>
    <x v="0"/>
    <s v="fulfilled"/>
    <s v="Germany"/>
    <m/>
    <s v="Not Required"/>
    <s v="Barrettbury"/>
  </r>
  <r>
    <s v="#2013"/>
    <n v="1"/>
    <d v="2026-08-04T13:55:33"/>
    <d v="2026-08-04T13:55:33"/>
    <s v="Karen Bautista"/>
    <x v="0"/>
    <s v="karen.bautista779@icloud.com"/>
    <s v="Ceramic Coffee Mug Set (4pc)"/>
    <x v="2"/>
    <s v="Home &amp; Kitchen"/>
    <x v="2"/>
    <n v="2"/>
    <n v="18.989999999999998"/>
    <n v="18.989999999999998"/>
    <m/>
    <x v="0"/>
    <n v="0"/>
    <n v="0"/>
    <s v="Number"/>
    <n v="4.99"/>
    <n v="4.99"/>
    <n v="42.97"/>
    <n v="42.97"/>
    <n v="42.97"/>
    <s v="True"/>
    <s v="Normal"/>
    <s v="Apple Pay"/>
    <x v="0"/>
    <s v="fulfilled"/>
    <s v="United States"/>
    <s v="Washington"/>
    <s v="Valid"/>
    <s v="Kellyport"/>
  </r>
  <r>
    <s v="#2041"/>
    <n v="1"/>
    <d v="2026-08-04T13:54:41"/>
    <d v="2026-08-04T13:54:41"/>
    <s v="Paul Pratt"/>
    <x v="0"/>
    <s v="paul.pratt856@outlook.com"/>
    <s v="Ceramic Coffee Mug Set (4pc)"/>
    <x v="2"/>
    <s v="Home &amp; Kitchen"/>
    <x v="2"/>
    <n v="1"/>
    <n v="18.989999999999998"/>
    <n v="18.989999999999998"/>
    <s v="VIP15"/>
    <x v="4"/>
    <n v="2.85"/>
    <n v="2.85"/>
    <s v="Number"/>
    <n v="7.99"/>
    <n v="7.99"/>
    <n v="24.13"/>
    <n v="24.13"/>
    <n v="24.129999999999995"/>
    <s v="True"/>
    <s v="Normal"/>
    <s v="Shopify Payments"/>
    <x v="0"/>
    <s v="cancelled"/>
    <s v="United States"/>
    <s v="Georgia"/>
    <s v="Valid"/>
    <s v="Port Alexishaven"/>
  </r>
  <r>
    <s v="#2042"/>
    <n v="1"/>
    <d v="2026-08-04T13:57:20"/>
    <d v="2026-08-04T13:57:20"/>
    <s v="Brian Ruiz"/>
    <x v="0"/>
    <s v="brian.ruiz246@gmail.com"/>
    <s v="Ceramic Coffee Mug Set (4pc)"/>
    <x v="2"/>
    <s v="Home &amp; Kitchen"/>
    <x v="2"/>
    <n v="1"/>
    <n v="18.989999999999998"/>
    <n v="18.989999999999998"/>
    <m/>
    <x v="0"/>
    <s v="$0.00"/>
    <n v="0"/>
    <s v="Number"/>
    <n v="7.99"/>
    <n v="7.99"/>
    <n v="26.98"/>
    <n v="26.98"/>
    <n v="26.979999999999997"/>
    <s v="True"/>
    <s v="Normal"/>
    <s v="Apple Pay"/>
    <x v="2"/>
    <s v="fulfilled"/>
    <s v="Germany"/>
    <m/>
    <s v="Not Required"/>
    <s v="North Jasmin"/>
  </r>
  <r>
    <s v="#2044"/>
    <n v="1"/>
    <d v="2026-08-04T13:54:17"/>
    <d v="2026-08-04T13:54:17"/>
    <s v="Amanda Rodriguez"/>
    <x v="0"/>
    <s v="amanda.rodriguez770@yahoo.com"/>
    <s v="Ceramic Coffee Mug Set (4pc)"/>
    <x v="2"/>
    <s v="Home &amp; Kitchen"/>
    <x v="2"/>
    <n v="1"/>
    <n v="18.989999999999998"/>
    <n v="18.989999999999998"/>
    <m/>
    <x v="0"/>
    <n v="0"/>
    <n v="0"/>
    <s v="Number"/>
    <n v="5.99"/>
    <n v="5.99"/>
    <s v="$24.98"/>
    <n v="24.98"/>
    <n v="24.979999999999997"/>
    <s v="True"/>
    <s v="Normal"/>
    <s v="Google Pay"/>
    <x v="0"/>
    <s v="fulfilled"/>
    <s v="United States"/>
    <s v="Florida"/>
    <s v="Valid"/>
    <s v="Juliemouth"/>
  </r>
  <r>
    <s v="#2076"/>
    <n v="1"/>
    <d v="2026-08-04T14:04:14"/>
    <d v="2026-08-04T14:04:14"/>
    <s v="Herman, Megan"/>
    <x v="1"/>
    <m/>
    <s v="Ceramic Coffee Mug Set (4pc)"/>
    <x v="2"/>
    <s v="Home &amp; Kitchen"/>
    <x v="2"/>
    <n v="1"/>
    <n v="18.989999999999998"/>
    <n v="18.989999999999998"/>
    <s v="WELCOME10"/>
    <x v="1"/>
    <n v="1.9"/>
    <n v="1.9"/>
    <s v="Number"/>
    <n v="4.99"/>
    <n v="4.99"/>
    <s v="$22.08"/>
    <n v="22.08"/>
    <n v="22.08"/>
    <s v="True"/>
    <s v="Normal"/>
    <s v="Apple Pay"/>
    <x v="0"/>
    <s v="fulfilled"/>
    <s v="United States"/>
    <s v="Florida"/>
    <s v="Valid"/>
    <s v="Angelaville"/>
  </r>
  <r>
    <s v="#2079"/>
    <n v="1"/>
    <d v="2026-08-04T13:56:12"/>
    <d v="2026-08-04T13:56:12"/>
    <s v="Dustin Mccoy"/>
    <x v="0"/>
    <s v="dustin.mccoy570@gmail.com"/>
    <s v="Ceramic Coffee Mug Set (4pc)"/>
    <x v="2"/>
    <s v="Home &amp; Kitchen"/>
    <x v="2"/>
    <n v="1"/>
    <n v="18.989999999999998"/>
    <n v="18.989999999999998"/>
    <s v="BFCM25"/>
    <x v="3"/>
    <n v="4.75"/>
    <n v="4.75"/>
    <s v="Number"/>
    <n v="7.99"/>
    <n v="7.99"/>
    <n v="22.23"/>
    <n v="22.23"/>
    <n v="22.229999999999997"/>
    <s v="True"/>
    <s v="Normal"/>
    <s v="Credit Card"/>
    <x v="0"/>
    <s v="fulfilled"/>
    <s v="Canada"/>
    <m/>
    <s v="Not Required"/>
    <s v="Joneshaven"/>
  </r>
  <r>
    <s v="#2086"/>
    <n v="1"/>
    <d v="2026-08-04T14:05:34"/>
    <d v="2026-08-04T14:05:34"/>
    <s v="Richard Zavala"/>
    <x v="0"/>
    <s v="richard.zavala602@gmail.com"/>
    <s v="Ceramic Coffee Mug Set (4pc)"/>
    <x v="2"/>
    <s v="Home &amp; Kitchen"/>
    <x v="2"/>
    <n v="1"/>
    <n v="18.989999999999998"/>
    <n v="18.989999999999998"/>
    <s v="BFCM25"/>
    <x v="3"/>
    <n v="4.75"/>
    <n v="4.75"/>
    <s v="Number"/>
    <n v="4.99"/>
    <n v="4.99"/>
    <n v="19.23"/>
    <n v="19.23"/>
    <n v="19.229999999999997"/>
    <s v="True"/>
    <s v="Normal"/>
    <s v="Credit Card"/>
    <x v="0"/>
    <s v="cancelled"/>
    <s v="Canada"/>
    <m/>
    <s v="Not Required"/>
    <s v="Port Angela"/>
  </r>
  <r>
    <s v="#2103"/>
    <n v="1"/>
    <d v="2026-08-04T14:00:59"/>
    <d v="2026-08-04T14:00:59"/>
    <s v="Vincent Rosales"/>
    <x v="1"/>
    <m/>
    <s v="Ceramic Coffee Mug Set (4pc)"/>
    <x v="2"/>
    <s v="Home &amp; Kitchen"/>
    <x v="2"/>
    <n v="2"/>
    <n v="18.989999999999998"/>
    <n v="18.989999999999998"/>
    <s v="VIP15"/>
    <x v="4"/>
    <n v="5.7"/>
    <n v="5.7"/>
    <s v="Number"/>
    <n v="5.99"/>
    <n v="5.99"/>
    <n v="38.270000000000003"/>
    <n v="38.270000000000003"/>
    <n v="38.269999999999996"/>
    <s v="True"/>
    <s v="Normal"/>
    <s v="Google Pay"/>
    <x v="0"/>
    <s v="fulfilled"/>
    <s v="United States"/>
    <s v="Washington"/>
    <s v="Valid"/>
    <s v="Jonestown"/>
  </r>
  <r>
    <s v="#2104"/>
    <n v="1"/>
    <d v="2026-08-04T14:04:57"/>
    <d v="2026-08-04T14:04:57"/>
    <s v="Sandra Potter"/>
    <x v="0"/>
    <s v="sandra.potter166@yahoo.com"/>
    <s v="Ceramic Coffee Mug Set (4pc)"/>
    <x v="2"/>
    <s v="Home &amp; Kitchen"/>
    <x v="2"/>
    <n v="1"/>
    <n v="18.989999999999998"/>
    <n v="18.989999999999998"/>
    <m/>
    <x v="0"/>
    <n v="0"/>
    <n v="0"/>
    <s v="Number"/>
    <n v="5.99"/>
    <n v="5.99"/>
    <n v="24.98"/>
    <n v="24.98"/>
    <n v="24.979999999999997"/>
    <s v="True"/>
    <s v="Normal"/>
    <s v="Google Pay"/>
    <x v="2"/>
    <s v="fulfilled"/>
    <s v="United States"/>
    <s v="Washington"/>
    <s v="Valid"/>
    <s v="East Jamesside"/>
  </r>
  <r>
    <s v="#2113"/>
    <n v="1"/>
    <d v="2026-08-04T13:55:32"/>
    <d v="2026-08-04T13:55:32"/>
    <s v="Daniel Contreras"/>
    <x v="0"/>
    <s v="daniel.contreras749@yahoo.com"/>
    <s v="Ceramic Coffee Mug Set (4pc)"/>
    <x v="2"/>
    <s v="Home &amp; Kitchen"/>
    <x v="2"/>
    <n v="1"/>
    <n v="18.989999999999998"/>
    <n v="18.989999999999998"/>
    <s v="FREESHIP"/>
    <x v="5"/>
    <n v="0"/>
    <n v="0"/>
    <s v="Number"/>
    <n v="0"/>
    <n v="0"/>
    <n v="18.989999999999998"/>
    <n v="18.989999999999998"/>
    <n v="18.989999999999998"/>
    <s v="True"/>
    <s v="Normal"/>
    <s v="Google Pay"/>
    <x v="1"/>
    <s v="fulfilled"/>
    <s v="Australia"/>
    <m/>
    <s v="Not Required"/>
    <s v="Lisachester"/>
  </r>
  <r>
    <s v="#2123"/>
    <n v="1"/>
    <d v="2026-08-04T14:05:27"/>
    <d v="2026-08-04T14:05:27"/>
    <s v="Amanda Robinson"/>
    <x v="0"/>
    <s v="amanda.robinson263@icloud.com"/>
    <s v="Ceramic Coffee Mug Set (4pc)  "/>
    <x v="2"/>
    <s v="Home &amp; Kitchen"/>
    <x v="2"/>
    <n v="1"/>
    <n v="18.989999999999998"/>
    <n v="18.989999999999998"/>
    <s v="BFCM25"/>
    <x v="3"/>
    <s v="$4.75"/>
    <n v="4.75"/>
    <s v="Number"/>
    <n v="4.99"/>
    <n v="4.99"/>
    <n v="19.23"/>
    <n v="19.23"/>
    <n v="19.229999999999997"/>
    <s v="True"/>
    <s v="Normal"/>
    <s v="PayPal"/>
    <x v="1"/>
    <s v="cancelled"/>
    <s v="United States"/>
    <s v="North Carolina"/>
    <s v="Valid"/>
    <s v="Santanaport"/>
  </r>
  <r>
    <s v="#2140"/>
    <n v="1"/>
    <d v="2026-08-04T14:02:00"/>
    <d v="2026-08-04T14:02:00"/>
    <s v="Brittney Conway"/>
    <x v="0"/>
    <s v="brittney.conway383@outlook.com"/>
    <s v="Ceramic Coffee Mug Set (4pc)"/>
    <x v="2"/>
    <s v="Home &amp; Kitchen"/>
    <x v="2"/>
    <n v="1"/>
    <n v="18.989999999999998"/>
    <n v="18.989999999999998"/>
    <m/>
    <x v="0"/>
    <n v="0"/>
    <n v="0"/>
    <s v="Number"/>
    <n v="7.99"/>
    <n v="7.99"/>
    <n v="26.98"/>
    <n v="26.98"/>
    <n v="26.979999999999997"/>
    <s v="True"/>
    <s v="Normal"/>
    <s v="PayPal"/>
    <x v="1"/>
    <s v="cancelled"/>
    <s v="United States"/>
    <s v="Washington"/>
    <s v="Valid"/>
    <s v="Petersberg"/>
  </r>
  <r>
    <s v="#2158"/>
    <n v="1"/>
    <d v="2026-08-04T13:59:54"/>
    <d v="2026-08-04T13:59:54"/>
    <s v="Eric Bailey"/>
    <x v="0"/>
    <s v="eric.bailey970@yahoo.com"/>
    <s v="Ceramic Coffee Mug Set (4pc)"/>
    <x v="2"/>
    <s v="Home &amp; Kitchen"/>
    <x v="2"/>
    <n v="2"/>
    <n v="18.989999999999998"/>
    <n v="18.989999999999998"/>
    <m/>
    <x v="0"/>
    <n v="0"/>
    <n v="0"/>
    <s v="Number"/>
    <n v="7.99"/>
    <n v="7.99"/>
    <n v="45.97"/>
    <n v="45.97"/>
    <n v="45.97"/>
    <s v="True"/>
    <s v="Normal"/>
    <s v="Shopify Payments"/>
    <x v="1"/>
    <s v="refunded"/>
    <s v="United Kingdom"/>
    <m/>
    <s v="Not Required"/>
    <s v="Lake Charles"/>
  </r>
  <r>
    <s v="#2170"/>
    <n v="1"/>
    <d v="2026-04-08T00:00:00"/>
    <s v="08/04/2026"/>
    <s v="Jaime Vargas"/>
    <x v="1"/>
    <m/>
    <s v="Ceramic Coffee Mug Set (4pc)"/>
    <x v="2"/>
    <s v="Home &amp; Kitchen"/>
    <x v="2"/>
    <n v="1"/>
    <n v="18.989999999999998"/>
    <n v="18.989999999999998"/>
    <s v="WELCOME10"/>
    <x v="1"/>
    <n v="1.9"/>
    <n v="1.9"/>
    <s v="Number"/>
    <n v="7.99"/>
    <n v="7.99"/>
    <n v="25.08"/>
    <n v="25.08"/>
    <n v="25.08"/>
    <s v="True"/>
    <s v="Normal"/>
    <s v="Apple Pay"/>
    <x v="0"/>
    <s v="cancelled"/>
    <s v="United Kingdom"/>
    <m/>
    <s v="Not Required"/>
    <s v="Thompsonbury"/>
  </r>
  <r>
    <s v="#2219"/>
    <n v="1"/>
    <d v="2026-08-04T14:03:31"/>
    <d v="2026-08-04T14:03:31"/>
    <s v="Alexandria Miller"/>
    <x v="0"/>
    <s v="alexandria.miller414@outlook.com"/>
    <s v="Ceramic Coffee Mug Set (4pc)"/>
    <x v="2"/>
    <s v="Home &amp; Kitchen"/>
    <x v="2"/>
    <n v="2"/>
    <n v="18.989999999999998"/>
    <n v="18.989999999999998"/>
    <s v="SAVE20"/>
    <x v="2"/>
    <n v="7.6"/>
    <n v="7.6"/>
    <s v="Number"/>
    <n v="5.99"/>
    <n v="5.99"/>
    <n v="36.369999999999997"/>
    <n v="36.369999999999997"/>
    <n v="36.369999999999997"/>
    <s v="True"/>
    <s v="Normal"/>
    <s v="Credit Card"/>
    <x v="0"/>
    <s v="cancelled"/>
    <s v="Australia"/>
    <m/>
    <s v="Not Required"/>
    <s v="North Nicholas"/>
  </r>
  <r>
    <s v="#2248"/>
    <n v="1"/>
    <d v="2026-08-04T00:00:00"/>
    <s v="2026-08-04"/>
    <s v="Jacqueline Miller"/>
    <x v="0"/>
    <s v="jacqueline.miller687@yahoo.com"/>
    <s v="Ceramic Coffee Mug Set (4pc)"/>
    <x v="2"/>
    <s v="Home &amp; Kitchen"/>
    <x v="2"/>
    <n v="2"/>
    <n v="18.989999999999998"/>
    <n v="18.989999999999998"/>
    <s v="WELCOME10"/>
    <x v="1"/>
    <n v="3.8"/>
    <n v="3.8"/>
    <s v="Number"/>
    <n v="4.99"/>
    <n v="4.99"/>
    <n v="39.17"/>
    <n v="39.17"/>
    <n v="39.17"/>
    <s v="True"/>
    <s v="Normal"/>
    <s v="Google Pay"/>
    <x v="3"/>
    <s v="refunded"/>
    <s v="Canada"/>
    <m/>
    <s v="Not Required"/>
    <s v="Abbottchester"/>
  </r>
  <r>
    <s v="#2257"/>
    <n v="1"/>
    <d v="2026-08-04T14:02:54"/>
    <d v="2026-08-04T14:02:54"/>
    <s v="Daniel Parsons"/>
    <x v="0"/>
    <s v="daniel.parsons636@gmail.com"/>
    <s v="Ceramic Coffee Mug Set (4pc)"/>
    <x v="2"/>
    <s v="Home &amp; Kitchen"/>
    <x v="2"/>
    <n v="1"/>
    <n v="18.989999999999998"/>
    <n v="18.989999999999998"/>
    <m/>
    <x v="0"/>
    <n v="0"/>
    <n v="0"/>
    <s v="Number"/>
    <n v="4.99"/>
    <n v="4.99"/>
    <s v="$23.98"/>
    <n v="23.98"/>
    <n v="23.979999999999997"/>
    <s v="True"/>
    <s v="Normal"/>
    <s v="PayPal"/>
    <x v="0"/>
    <s v="fulfilled"/>
    <s v="United States"/>
    <s v="Florida"/>
    <s v="Valid"/>
    <s v="Romeroview"/>
  </r>
  <r>
    <s v="#2293"/>
    <n v="1"/>
    <d v="2026-04-08T00:00:00"/>
    <s v="08/04/2026"/>
    <s v="Paul Dillon"/>
    <x v="0"/>
    <s v="paul.dillon750@icloud.com"/>
    <s v="Ceramic Coffee Mug Set (4pc)"/>
    <x v="2"/>
    <s v="Home &amp; Kitchen"/>
    <x v="2"/>
    <n v="3"/>
    <n v="18.989999999999998"/>
    <n v="18.989999999999998"/>
    <s v="BFCM25"/>
    <x v="3"/>
    <n v="14.24"/>
    <n v="14.24"/>
    <s v="Number"/>
    <n v="4.99"/>
    <n v="4.99"/>
    <n v="47.72"/>
    <n v="47.72"/>
    <n v="47.72"/>
    <s v="True"/>
    <s v="Normal"/>
    <s v="PayPal"/>
    <x v="0"/>
    <s v="fulfilled"/>
    <s v="Australia"/>
    <m/>
    <s v="Not Required"/>
    <s v="New Danielle"/>
  </r>
  <r>
    <s v="#2294"/>
    <n v="1"/>
    <d v="2026-08-04T13:58:10"/>
    <d v="2026-08-04T13:58:10"/>
    <s v="John Jacobs"/>
    <x v="0"/>
    <s v="john.jacobs137@yahoo.com"/>
    <s v="Ceramic Coffee Mug Set (4pc)"/>
    <x v="2"/>
    <s v="Home &amp; Kitchen"/>
    <x v="2"/>
    <n v="2"/>
    <s v="$18.99"/>
    <n v="18.989999999999998"/>
    <m/>
    <x v="0"/>
    <n v="0"/>
    <n v="0"/>
    <s v="Number"/>
    <n v="5.99"/>
    <n v="5.99"/>
    <n v="43.97"/>
    <n v="43.97"/>
    <n v="43.97"/>
    <s v="True"/>
    <s v="Normal"/>
    <s v="Google Pay"/>
    <x v="0"/>
    <s v="fulfilled"/>
    <s v="Australia"/>
    <m/>
    <s v="Not Required"/>
    <s v="Port Brentton"/>
  </r>
  <r>
    <s v="#2302"/>
    <n v="1"/>
    <d v="2026-08-04T14:02:34"/>
    <d v="2026-08-04T14:02:34"/>
    <s v="Peter Alvarez"/>
    <x v="0"/>
    <s v="peter.alvarez465@yahoo.com"/>
    <s v="Ceramic Coffee Mug Set (4pc)"/>
    <x v="2"/>
    <s v="Home &amp; Kitchen"/>
    <x v="2"/>
    <n v="1"/>
    <n v="18.989999999999998"/>
    <n v="18.989999999999998"/>
    <s v="BFCM25"/>
    <x v="3"/>
    <n v="4.75"/>
    <n v="4.75"/>
    <s v="Number"/>
    <n v="5.99"/>
    <n v="5.99"/>
    <n v="20.23"/>
    <n v="20.23"/>
    <n v="20.229999999999997"/>
    <s v="True"/>
    <s v="Normal"/>
    <s v="PayPal"/>
    <x v="0"/>
    <s v="refunded"/>
    <s v="United States"/>
    <s v="North Carolina"/>
    <s v="Valid"/>
    <s v="North Angela"/>
  </r>
  <r>
    <s v="#2352"/>
    <n v="1"/>
    <d v="2026-08-04T14:01:29"/>
    <d v="2026-08-04T14:01:29"/>
    <s v="Rebecca Watts"/>
    <x v="0"/>
    <s v="rebecca.watts779@gmail.com"/>
    <s v="Ceramic Coffee Mug Set (4pc)"/>
    <x v="2"/>
    <s v="Home &amp; Kitchen"/>
    <x v="2"/>
    <n v="1"/>
    <n v="18.989999999999998"/>
    <n v="18.989999999999998"/>
    <m/>
    <x v="0"/>
    <n v="0"/>
    <n v="0"/>
    <s v="Number"/>
    <n v="7.99"/>
    <n v="7.99"/>
    <n v="26.98"/>
    <n v="26.98"/>
    <n v="26.979999999999997"/>
    <s v="True"/>
    <s v="Normal"/>
    <s v="Apple Pay"/>
    <x v="0"/>
    <s v="fulfilled"/>
    <s v="United States"/>
    <s v="North Carolina"/>
    <s v="Valid"/>
    <s v="Ianberg"/>
  </r>
  <r>
    <s v="#2373"/>
    <n v="1"/>
    <d v="2026-08-04T13:57:51"/>
    <d v="2026-08-04T13:57:51"/>
    <s v="Jennifer Burke"/>
    <x v="0"/>
    <s v="jennifer.burke472@icloud.com"/>
    <s v="Ceramic Coffee Mug Set (4pc)"/>
    <x v="2"/>
    <s v="Home &amp; Kitchen"/>
    <x v="2"/>
    <n v="2"/>
    <n v="18.989999999999998"/>
    <n v="18.989999999999998"/>
    <m/>
    <x v="0"/>
    <n v="0"/>
    <n v="0"/>
    <s v="Number"/>
    <n v="5.99"/>
    <n v="5.99"/>
    <n v="43.97"/>
    <n v="43.97"/>
    <n v="43.97"/>
    <s v="True"/>
    <s v="Normal"/>
    <s v="PayPal"/>
    <x v="1"/>
    <s v="fulfilled"/>
    <s v="Pakistan"/>
    <m/>
    <s v="Not Required"/>
    <s v="Davidfurt"/>
  </r>
  <r>
    <s v="#2380"/>
    <n v="1"/>
    <d v="2026-08-04T14:04:08"/>
    <d v="2026-08-04T14:04:08"/>
    <s v="Dustin Mccoy"/>
    <x v="1"/>
    <m/>
    <s v="Ceramic Coffee Mug Set (4pc)"/>
    <x v="2"/>
    <s v="Home &amp; Kitchen"/>
    <x v="2"/>
    <n v="1"/>
    <n v="18.989999999999998"/>
    <n v="18.989999999999998"/>
    <m/>
    <x v="0"/>
    <n v="0"/>
    <n v="0"/>
    <s v="Number"/>
    <n v="7.99"/>
    <n v="7.99"/>
    <n v="26.98"/>
    <n v="26.98"/>
    <n v="26.979999999999997"/>
    <s v="True"/>
    <s v="Normal"/>
    <s v="Shopify Payments"/>
    <x v="0"/>
    <s v="refunded"/>
    <s v="Canada"/>
    <m/>
    <s v="Not Required"/>
    <s v="Tinachester"/>
  </r>
  <r>
    <s v="#2406"/>
    <n v="1"/>
    <d v="2026-08-04T14:05:56"/>
    <d v="2026-08-04T14:05:56"/>
    <s v="Kayla Cruz"/>
    <x v="0"/>
    <s v="kayla.cruz151@outlook.com"/>
    <s v="Ceramic Coffee Mug Set (4pc)"/>
    <x v="2"/>
    <s v="Home &amp; Kitchen"/>
    <x v="2"/>
    <n v="1"/>
    <n v="18.989999999999998"/>
    <n v="18.989999999999998"/>
    <s v="WELCOME10"/>
    <x v="1"/>
    <s v="$1.90"/>
    <n v="1.9"/>
    <s v="Number"/>
    <n v="4.99"/>
    <n v="4.99"/>
    <n v="22.08"/>
    <n v="22.08"/>
    <n v="22.08"/>
    <s v="True"/>
    <s v="Normal"/>
    <s v="Apple Pay"/>
    <x v="0"/>
    <s v="fulfilled"/>
    <s v="Pakistan"/>
    <m/>
    <s v="Not Required"/>
    <s v="Lake Alexanderfort"/>
  </r>
  <r>
    <s v="#2412"/>
    <n v="1"/>
    <d v="2026-04-08T00:00:00"/>
    <s v="08/04/2026"/>
    <s v="Kristopher Barnett"/>
    <x v="0"/>
    <s v="kristopher.barnett178@outlook.com"/>
    <s v="Ceramic Coffee Mug Set (4pc)"/>
    <x v="2"/>
    <s v="Home &amp; Kitchen"/>
    <x v="2"/>
    <n v="1"/>
    <n v="18.989999999999998"/>
    <n v="18.989999999999998"/>
    <m/>
    <x v="0"/>
    <s v="$0.00"/>
    <n v="0"/>
    <s v="Number"/>
    <n v="4.99"/>
    <n v="4.99"/>
    <n v="23.98"/>
    <n v="23.98"/>
    <n v="23.979999999999997"/>
    <s v="True"/>
    <s v="Normal"/>
    <s v="Shopify Payments"/>
    <x v="3"/>
    <s v="fulfilled"/>
    <s v="Australia"/>
    <m/>
    <s v="Not Required"/>
    <s v="Veronicashire"/>
  </r>
  <r>
    <s v="#2431"/>
    <n v="1"/>
    <d v="2026-08-04T14:03:00"/>
    <d v="2026-08-04T14:03:00"/>
    <s v="Brittney Thomas"/>
    <x v="0"/>
    <s v="brittney.thomas484@gmail.com"/>
    <s v="Ceramic Coffee Mug Set (4pc)"/>
    <x v="2"/>
    <s v="Home &amp; Kitchen"/>
    <x v="2"/>
    <n v="1"/>
    <n v="18.989999999999998"/>
    <n v="18.989999999999998"/>
    <s v="BFCM25"/>
    <x v="3"/>
    <s v="$4.75"/>
    <n v="4.75"/>
    <s v="Number"/>
    <n v="5.99"/>
    <n v="5.99"/>
    <s v="$20.23"/>
    <n v="20.23"/>
    <n v="20.229999999999997"/>
    <s v="True"/>
    <s v="Normal"/>
    <s v="PayPal"/>
    <x v="3"/>
    <s v="fulfilled"/>
    <s v="United States"/>
    <s v="Arizona"/>
    <s v="Valid"/>
    <s v="West Jennifer"/>
  </r>
  <r>
    <s v="#2458"/>
    <n v="1"/>
    <d v="2026-08-04T13:54:16"/>
    <d v="2026-08-04T13:54:16"/>
    <s v="Sandra Wilson"/>
    <x v="0"/>
    <s v="sandra.wilson554@outlook.com"/>
    <s v="Ceramic Coffee Mug Set (4pc)"/>
    <x v="2"/>
    <s v="Home &amp; Kitchen"/>
    <x v="2"/>
    <n v="1"/>
    <n v="18.989999999999998"/>
    <n v="18.989999999999998"/>
    <s v="BFCM25"/>
    <x v="3"/>
    <n v="4.75"/>
    <n v="4.75"/>
    <s v="Number"/>
    <n v="7.99"/>
    <n v="7.99"/>
    <n v="22.23"/>
    <n v="22.23"/>
    <n v="22.229999999999997"/>
    <s v="True"/>
    <s v="Normal"/>
    <s v="Apple Pay"/>
    <x v="2"/>
    <s v="fulfilled"/>
    <s v="Canada"/>
    <m/>
    <s v="Not Required"/>
    <s v="New Kevinborough"/>
  </r>
  <r>
    <s v="#2462"/>
    <n v="1"/>
    <d v="2026-04-08T00:00:00"/>
    <s v="08/04/2026"/>
    <s v="Timothy Hodges"/>
    <x v="0"/>
    <s v="timothy.hodges687@icloud.com"/>
    <s v="Ceramic Coffee Mug Set (4pc)"/>
    <x v="2"/>
    <s v="Home &amp; Kitchen"/>
    <x v="2"/>
    <n v="1"/>
    <n v="18.989999999999998"/>
    <n v="18.989999999999998"/>
    <m/>
    <x v="0"/>
    <n v="0"/>
    <n v="0"/>
    <s v="Number"/>
    <n v="7.99"/>
    <n v="7.99"/>
    <s v="$26.98"/>
    <n v="26.98"/>
    <n v="26.979999999999997"/>
    <s v="True"/>
    <s v="Normal"/>
    <s v="Apple Pay"/>
    <x v="0"/>
    <s v="pending"/>
    <s v="Australia"/>
    <m/>
    <s v="Not Required"/>
    <s v="Warrenfurt"/>
  </r>
  <r>
    <s v="#2470"/>
    <n v="1"/>
    <d v="2026-08-04T13:53:52"/>
    <d v="2026-08-04T13:53:52"/>
    <s v="Bryan Barnes"/>
    <x v="0"/>
    <s v="bryan.barnes666@yahoo.com"/>
    <s v="Ceramic Coffee Mug Set (4pc)"/>
    <x v="2"/>
    <s v="Home &amp; Kitchen"/>
    <x v="2"/>
    <n v="1"/>
    <n v="18.989999999999998"/>
    <n v="18.989999999999998"/>
    <m/>
    <x v="0"/>
    <n v="0"/>
    <n v="0"/>
    <s v="Number"/>
    <n v="5.99"/>
    <n v="5.99"/>
    <s v="$24.98"/>
    <n v="24.98"/>
    <n v="24.979999999999997"/>
    <s v="True"/>
    <s v="Normal"/>
    <s v="Google Pay"/>
    <x v="0"/>
    <s v="cancelled"/>
    <s v="United States"/>
    <s v="North Carolina"/>
    <s v="Valid"/>
    <s v="East Daniel"/>
  </r>
  <r>
    <s v="#2488"/>
    <n v="1"/>
    <d v="2026-08-04T13:54:58"/>
    <d v="2026-08-04T13:54:58"/>
    <s v="  James Miller"/>
    <x v="0"/>
    <s v="james.miller866@yahoo.com"/>
    <s v="Ceramic Coffee Mug Set (4pc)"/>
    <x v="2"/>
    <s v="Home &amp; Kitchen"/>
    <x v="2"/>
    <n v="1"/>
    <n v="18.989999999999998"/>
    <n v="18.989999999999998"/>
    <m/>
    <x v="0"/>
    <n v="0"/>
    <n v="0"/>
    <s v="Number"/>
    <n v="4.99"/>
    <n v="4.99"/>
    <n v="23.98"/>
    <n v="23.98"/>
    <n v="23.979999999999997"/>
    <s v="True"/>
    <s v="Normal"/>
    <s v="Apple Pay"/>
    <x v="2"/>
    <s v="cancelled"/>
    <s v="Pakistan"/>
    <m/>
    <s v="Not Required"/>
    <s v="New Michelleshire"/>
  </r>
  <r>
    <s v="#2490"/>
    <n v="1"/>
    <d v="2026-08-04T14:06:27"/>
    <d v="2026-08-04T14:06:27"/>
    <s v="Shawn Alexander"/>
    <x v="0"/>
    <s v="shawn.alexander522@outlook.com"/>
    <s v="Ceramic Coffee Mug Set (4pc)"/>
    <x v="2"/>
    <s v="Home &amp; Kitchen"/>
    <x v="2"/>
    <n v="1"/>
    <n v="18.989999999999998"/>
    <n v="18.989999999999998"/>
    <m/>
    <x v="0"/>
    <n v="0"/>
    <n v="0"/>
    <s v="Number"/>
    <n v="4.99"/>
    <n v="4.99"/>
    <n v="23.98"/>
    <n v="23.98"/>
    <n v="23.979999999999997"/>
    <s v="True"/>
    <s v="Normal"/>
    <s v="Shopify Payments"/>
    <x v="0"/>
    <s v="cancelled"/>
    <s v="United States"/>
    <s v="NY"/>
    <s v="Valid"/>
    <s v="Luisfort"/>
  </r>
  <r>
    <s v="#2510"/>
    <n v="1"/>
    <d v="2026-08-04T13:59:44"/>
    <d v="2026-08-04T13:59:44"/>
    <s v="Kylie Riddle"/>
    <x v="0"/>
    <s v="kylie.riddle17@gmail.com"/>
    <s v="Ceramic Coffee Mug Set (4pc)"/>
    <x v="2"/>
    <s v="Home &amp; Kitchen"/>
    <x v="2"/>
    <n v="1"/>
    <n v="18.989999999999998"/>
    <n v="18.989999999999998"/>
    <s v="WELCOME10"/>
    <x v="1"/>
    <n v="1.9"/>
    <n v="1.9"/>
    <s v="Number"/>
    <n v="7.99"/>
    <n v="7.99"/>
    <n v="25.08"/>
    <n v="25.08"/>
    <n v="25.08"/>
    <s v="True"/>
    <s v="Normal"/>
    <s v="Apple Pay"/>
    <x v="2"/>
    <s v="pending"/>
    <s v="United States"/>
    <s v="Texas"/>
    <s v="Valid"/>
    <s v="Johnsonburgh"/>
  </r>
  <r>
    <s v="#2524"/>
    <n v="1"/>
    <d v="2026-08-04T00:00:00"/>
    <s v="2026-08-04"/>
    <s v="Jacqueline Wiley"/>
    <x v="0"/>
    <s v="jacqueline.wiley718@icloud.com"/>
    <s v="Ceramic Coffee Mug Set (4pc)"/>
    <x v="2"/>
    <s v="Home &amp; Kitchen"/>
    <x v="2"/>
    <n v="2"/>
    <n v="18.989999999999998"/>
    <n v="18.989999999999998"/>
    <m/>
    <x v="0"/>
    <n v="0"/>
    <n v="0"/>
    <s v="Number"/>
    <n v="7.99"/>
    <n v="7.99"/>
    <n v="45.97"/>
    <n v="45.97"/>
    <n v="45.97"/>
    <s v="True"/>
    <s v="Normal"/>
    <s v="Apple Pay"/>
    <x v="3"/>
    <s v="refunded"/>
    <s v="United States"/>
    <s v="North Carolina"/>
    <s v="Valid"/>
    <s v="Robertschester"/>
  </r>
  <r>
    <s v="#2530"/>
    <n v="1"/>
    <d v="2026-08-04T13:56:25"/>
    <d v="2026-08-04T13:56:25"/>
    <s v="Barbara Case"/>
    <x v="0"/>
    <s v="barbara.case365@yahoo.com"/>
    <s v="Ceramic Coffee Mug Set (4pc)"/>
    <x v="2"/>
    <s v="Home &amp; Kitchen"/>
    <x v="2"/>
    <n v="1"/>
    <n v="18.989999999999998"/>
    <n v="18.989999999999998"/>
    <m/>
    <x v="0"/>
    <n v="0"/>
    <n v="0"/>
    <s v="Number"/>
    <n v="7.99"/>
    <n v="7.99"/>
    <n v="26.98"/>
    <n v="26.98"/>
    <n v="26.979999999999997"/>
    <s v="True"/>
    <s v="Normal"/>
    <s v="Google Pay"/>
    <x v="0"/>
    <s v="pending"/>
    <s v="United States"/>
    <s v="New York"/>
    <s v="Valid"/>
    <s v="West Dennis"/>
  </r>
  <r>
    <s v="#2545"/>
    <n v="1"/>
    <d v="2026-08-04T14:04:38"/>
    <d v="2026-08-04T14:04:38"/>
    <s v="Courtney Bullock"/>
    <x v="0"/>
    <s v="courtney.bullock860@outlook.com"/>
    <s v="Ceramic Coffee Mug Set (4pc)"/>
    <x v="2"/>
    <s v="Home &amp; Kitchen"/>
    <x v="2"/>
    <n v="1"/>
    <n v="18.989999999999998"/>
    <n v="18.989999999999998"/>
    <s v="FREESHIP"/>
    <x v="5"/>
    <n v="0"/>
    <n v="0"/>
    <s v="Number"/>
    <n v="0"/>
    <n v="0"/>
    <n v="18.989999999999998"/>
    <n v="18.989999999999998"/>
    <n v="18.989999999999998"/>
    <s v="True"/>
    <s v="Normal"/>
    <s v="Google Pay"/>
    <x v="2"/>
    <s v="fulfilled"/>
    <s v="United Kingdom"/>
    <m/>
    <s v="Not Required"/>
    <s v="South Savannahton"/>
  </r>
  <r>
    <s v="#2584"/>
    <n v="1"/>
    <d v="2026-08-04T14:02:23"/>
    <d v="2026-08-04T14:02:23"/>
    <s v="Robin Ruiz"/>
    <x v="0"/>
    <s v="robin.ruiz407@yahoo.com"/>
    <s v="Ceramic Coffee Mug Set (4pc)"/>
    <x v="2"/>
    <s v="Home &amp; Kitchen"/>
    <x v="2"/>
    <n v="1"/>
    <n v="18.989999999999998"/>
    <n v="18.989999999999998"/>
    <m/>
    <x v="0"/>
    <n v="0"/>
    <n v="0"/>
    <s v="Number"/>
    <n v="5.99"/>
    <n v="5.99"/>
    <n v="24.98"/>
    <n v="24.98"/>
    <n v="24.979999999999997"/>
    <s v="True"/>
    <s v="Normal"/>
    <s v="Google Pay"/>
    <x v="1"/>
    <s v="fulfilled"/>
    <s v="United States"/>
    <s v="Texas"/>
    <s v="Valid"/>
    <s v="Hernandezchester"/>
  </r>
  <r>
    <s v="#2710"/>
    <n v="1"/>
    <d v="2026-08-04T14:04:38"/>
    <d v="2026-08-04T14:04:38"/>
    <s v="Sharon Brown"/>
    <x v="0"/>
    <s v="sharon.brown14@gmail.com"/>
    <s v="Ceramic Coffee Mug Set (4pc)"/>
    <x v="2"/>
    <s v="Home &amp; Kitchen"/>
    <x v="2"/>
    <n v="1"/>
    <n v="18.989999999999998"/>
    <n v="18.989999999999998"/>
    <m/>
    <x v="0"/>
    <n v="0"/>
    <n v="0"/>
    <s v="Number"/>
    <n v="4.99"/>
    <n v="4.99"/>
    <s v="$23.98"/>
    <n v="23.98"/>
    <n v="23.979999999999997"/>
    <s v="True"/>
    <s v="Normal"/>
    <s v="Apple Pay"/>
    <x v="0"/>
    <s v="fulfilled"/>
    <s v="United States"/>
    <s v="Georgia"/>
    <s v="Valid"/>
    <s v="West Nicholastown"/>
  </r>
  <r>
    <s v="#2711"/>
    <n v="1"/>
    <d v="2026-08-04T13:56:57"/>
    <d v="2026-08-04T13:56:57"/>
    <s v="Sean Frank"/>
    <x v="0"/>
    <s v="sean.frank587@icloud.com"/>
    <s v="Ceramic Coffee Mug Set (4pc)"/>
    <x v="2"/>
    <s v="Home &amp; Kitchen"/>
    <x v="2"/>
    <n v="3"/>
    <n v="18.989999999999998"/>
    <n v="18.989999999999998"/>
    <m/>
    <x v="0"/>
    <n v="0"/>
    <n v="0"/>
    <s v="Number"/>
    <n v="7.99"/>
    <n v="7.99"/>
    <n v="64.959999999999994"/>
    <n v="64.959999999999994"/>
    <n v="64.959999999999994"/>
    <s v="True"/>
    <s v="Normal"/>
    <s v="Google Pay"/>
    <x v="2"/>
    <s v="pending"/>
    <s v="Australia"/>
    <m/>
    <s v="Not Required"/>
    <s v="North Andrewmouth"/>
  </r>
  <r>
    <s v="#2727"/>
    <n v="1"/>
    <d v="2026-08-04T14:00:56"/>
    <d v="2026-08-04T14:00:56"/>
    <s v="Laura Pruitt"/>
    <x v="0"/>
    <s v="laura.pruitt212@yahoo.com"/>
    <s v="Ceramic Coffee Mug Set (4pc)"/>
    <x v="2"/>
    <s v="Home &amp; Kitchen"/>
    <x v="2"/>
    <n v="1"/>
    <n v="18.989999999999998"/>
    <n v="18.989999999999998"/>
    <s v="WELCOME10"/>
    <x v="1"/>
    <n v="1.9"/>
    <n v="1.9"/>
    <s v="Number"/>
    <n v="5.99"/>
    <n v="5.99"/>
    <n v="23.08"/>
    <n v="23.08"/>
    <n v="23.08"/>
    <s v="True"/>
    <s v="Normal"/>
    <s v="Google Pay"/>
    <x v="3"/>
    <s v="fulfilled"/>
    <s v="United States"/>
    <s v="Georgia"/>
    <s v="Valid"/>
    <s v="East Joseview"/>
  </r>
  <r>
    <s v="#2774"/>
    <n v="1"/>
    <d v="2026-08-04T13:56:32"/>
    <d v="2026-08-04T13:56:32"/>
    <s v="Nicholas Jarvis"/>
    <x v="0"/>
    <s v="nicholas.jarvis112@icloud.com"/>
    <s v="Ceramic Coffee Mug Set (4pc)"/>
    <x v="2"/>
    <s v="Home &amp; Kitchen"/>
    <x v="2"/>
    <n v="1"/>
    <n v="18.989999999999998"/>
    <n v="18.989999999999998"/>
    <s v="BFCM25"/>
    <x v="3"/>
    <n v="4.75"/>
    <n v="4.75"/>
    <s v="Number"/>
    <n v="7.99"/>
    <n v="7.99"/>
    <n v="22.23"/>
    <n v="22.23"/>
    <n v="22.229999999999997"/>
    <s v="True"/>
    <s v="Normal"/>
    <s v="Credit Card"/>
    <x v="0"/>
    <s v="refunded"/>
    <s v="Canada"/>
    <m/>
    <s v="Not Required"/>
    <s v="Lake Kyleborough"/>
  </r>
  <r>
    <s v="#2778"/>
    <n v="1"/>
    <d v="2026-08-04T14:07:25"/>
    <d v="2026-08-04T14:07:25"/>
    <s v="Stephanie Mcgee"/>
    <x v="0"/>
    <s v="stephanie.mcgee557@outlook.com"/>
    <s v="Ceramic Coffee Mug Set (4pc)"/>
    <x v="2"/>
    <s v="Home &amp; Kitchen"/>
    <x v="2"/>
    <n v="1"/>
    <n v="18.989999999999998"/>
    <n v="18.989999999999998"/>
    <s v="WELCOME10"/>
    <x v="1"/>
    <n v="1.9"/>
    <n v="1.9"/>
    <s v="Number"/>
    <n v="4.99"/>
    <n v="4.99"/>
    <n v="22.08"/>
    <n v="22.08"/>
    <n v="22.08"/>
    <s v="True"/>
    <s v="Normal"/>
    <s v="Shopify Payments"/>
    <x v="0"/>
    <s v="refunded"/>
    <s v="Australia"/>
    <m/>
    <s v="Not Required"/>
    <s v="Flynnport"/>
  </r>
  <r>
    <s v="#2821"/>
    <n v="1"/>
    <d v="2026-08-04T14:00:08"/>
    <d v="2026-08-04T14:00:08"/>
    <s v="James Castro"/>
    <x v="1"/>
    <m/>
    <s v="Ceramic Coffee Mug Set (4pc)"/>
    <x v="2"/>
    <s v="Home &amp; Kitchen"/>
    <x v="2"/>
    <n v="1"/>
    <n v="18.989999999999998"/>
    <n v="18.989999999999998"/>
    <s v="WELCOME10"/>
    <x v="1"/>
    <n v="1.9"/>
    <n v="1.9"/>
    <s v="Number"/>
    <n v="4.99"/>
    <n v="4.99"/>
    <n v="22.08"/>
    <n v="22.08"/>
    <n v="22.08"/>
    <s v="True"/>
    <s v="Normal"/>
    <s v="Credit Card"/>
    <x v="0"/>
    <s v="fulfilled"/>
    <s v="Pakistan"/>
    <m/>
    <s v="Not Required"/>
    <s v="Lake Savannah"/>
  </r>
  <r>
    <s v="#2860"/>
    <n v="1"/>
    <d v="2026-08-04T00:00:00"/>
    <s v="04-08-2026 13:55"/>
    <s v="Stacey Johnson"/>
    <x v="1"/>
    <m/>
    <s v="Ceramic Coffee Mug Set (4pc)"/>
    <x v="2"/>
    <s v="Home &amp; Kitchen"/>
    <x v="2"/>
    <n v="2"/>
    <n v="18.989999999999998"/>
    <n v="18.989999999999998"/>
    <m/>
    <x v="0"/>
    <n v="0"/>
    <n v="0"/>
    <s v="Number"/>
    <n v="5.99"/>
    <n v="5.99"/>
    <n v="43.97"/>
    <n v="43.97"/>
    <n v="43.97"/>
    <s v="True"/>
    <s v="Normal"/>
    <s v="Shopify Payments"/>
    <x v="1"/>
    <s v="pending"/>
    <s v="Germany"/>
    <m/>
    <s v="Not Required"/>
    <s v="Port Patricia"/>
  </r>
  <r>
    <s v="#2895"/>
    <n v="1"/>
    <d v="2026-08-04T14:00:37"/>
    <d v="2026-08-04T14:00:37"/>
    <s v="Sheryl Nguyen"/>
    <x v="0"/>
    <s v="sheryl.nguyen272@outlook.com"/>
    <s v="Ceramic Coffee Mug Set (4pc)"/>
    <x v="2"/>
    <s v="Home &amp; Kitchen"/>
    <x v="2"/>
    <n v="1"/>
    <n v="18.989999999999998"/>
    <n v="18.989999999999998"/>
    <m/>
    <x v="0"/>
    <n v="0"/>
    <n v="0"/>
    <s v="Number"/>
    <n v="7.99"/>
    <n v="7.99"/>
    <n v="26.98"/>
    <n v="26.98"/>
    <n v="26.979999999999997"/>
    <s v="True"/>
    <s v="Normal"/>
    <s v="Shopify Payments"/>
    <x v="2"/>
    <s v="refunded"/>
    <s v="United States"/>
    <s v="Texas"/>
    <s v="Valid"/>
    <s v="Kevinberg"/>
  </r>
  <r>
    <s v="#2910"/>
    <n v="1"/>
    <d v="2026-08-04T13:54:34"/>
    <d v="2026-08-04T13:54:34"/>
    <s v="Sandra Wilson"/>
    <x v="0"/>
    <s v="sandra.wilson554@outlook.com"/>
    <s v="Ceramic Coffee Mug Set (4pc)"/>
    <x v="2"/>
    <s v="Home &amp; Kitchen"/>
    <x v="2"/>
    <n v="2"/>
    <n v="18.989999999999998"/>
    <n v="18.989999999999998"/>
    <m/>
    <x v="0"/>
    <n v="0"/>
    <n v="0"/>
    <s v="Number"/>
    <n v="5.99"/>
    <n v="5.99"/>
    <n v="43.97"/>
    <n v="43.97"/>
    <n v="43.97"/>
    <s v="True"/>
    <s v="Normal"/>
    <s v="Apple Pay"/>
    <x v="0"/>
    <s v="fulfilled"/>
    <s v="Canada"/>
    <m/>
    <s v="Not Required"/>
    <s v="Andresburgh"/>
  </r>
  <r>
    <s v="#2999"/>
    <n v="1"/>
    <d v="2026-04-08T00:00:00"/>
    <s v="08/04/2026"/>
    <s v="Christian Leonard"/>
    <x v="1"/>
    <m/>
    <s v="Ceramic Coffee Mug Set (4pc)"/>
    <x v="2"/>
    <s v="Home &amp; Kitchen"/>
    <x v="2"/>
    <n v="1"/>
    <n v="18.989999999999998"/>
    <n v="18.989999999999998"/>
    <m/>
    <x v="0"/>
    <n v="0"/>
    <n v="0"/>
    <s v="Number"/>
    <n v="7.99"/>
    <n v="7.99"/>
    <n v="26.98"/>
    <n v="26.98"/>
    <n v="26.979999999999997"/>
    <s v="True"/>
    <s v="Normal"/>
    <s v="Shopify Payments"/>
    <x v="3"/>
    <s v="refunded"/>
    <s v="United States"/>
    <s v="Ohio"/>
    <s v="Valid"/>
    <s v="Christianport"/>
  </r>
  <r>
    <s v="#1508"/>
    <n v="1"/>
    <d v="2026-08-04T13:58:45"/>
    <d v="2026-08-04T13:58:45"/>
    <s v="PETER ALVAREZ"/>
    <x v="0"/>
    <s v="peter.alvarez465@yahoo.com"/>
    <s v="Classic Cotton T Shirt"/>
    <x v="3"/>
    <s v="Apparel"/>
    <x v="3"/>
    <n v="2"/>
    <n v="14.99"/>
    <n v="14.99"/>
    <m/>
    <x v="0"/>
    <n v="0"/>
    <n v="0"/>
    <s v="Number"/>
    <n v="4.99"/>
    <n v="4.99"/>
    <n v="34.97"/>
    <n v="34.97"/>
    <n v="34.97"/>
    <s v="True"/>
    <s v="Normal"/>
    <s v="Apple Pay"/>
    <x v="0"/>
    <s v="fulfilled"/>
    <s v="United States"/>
    <s v="Florida"/>
    <s v="Valid"/>
    <s v="Port Rebecca"/>
  </r>
  <r>
    <s v="#2133"/>
    <n v="1"/>
    <d v="2026-08-04T14:04:08"/>
    <d v="2026-08-04T14:04:08"/>
    <s v="David Pierce"/>
    <x v="0"/>
    <s v="david.pierce107@outlook.com"/>
    <s v="Classic Cotton T Shirt"/>
    <x v="3"/>
    <s v="Apparel"/>
    <x v="3"/>
    <n v="1"/>
    <n v="14.99"/>
    <n v="14.99"/>
    <m/>
    <x v="0"/>
    <n v="0"/>
    <n v="0"/>
    <s v="Number"/>
    <n v="5.99"/>
    <n v="5.99"/>
    <n v="20.98"/>
    <n v="20.98"/>
    <n v="20.98"/>
    <s v="True"/>
    <s v="Normal"/>
    <s v="PayPal"/>
    <x v="0"/>
    <s v="fulfilled"/>
    <s v="Germany"/>
    <m/>
    <s v="Not Required"/>
    <s v="West Randy"/>
  </r>
  <r>
    <s v="#2277"/>
    <n v="1"/>
    <d v="2026-08-04T13:54:16"/>
    <d v="2026-08-04T13:54:16"/>
    <s v="Arthur Kelley"/>
    <x v="0"/>
    <s v="arthur.kelley558@gmail.com"/>
    <s v="Classic Cotton T Shirt"/>
    <x v="3"/>
    <s v="Apparel"/>
    <x v="3"/>
    <n v="1"/>
    <n v="14.99"/>
    <n v="14.99"/>
    <s v="VIP15"/>
    <x v="4"/>
    <s v="$2.25"/>
    <n v="2.25"/>
    <s v="Number"/>
    <n v="4.99"/>
    <n v="4.99"/>
    <n v="17.73"/>
    <n v="17.73"/>
    <n v="17.73"/>
    <s v="True"/>
    <s v="Normal"/>
    <s v="Google Pay"/>
    <x v="0"/>
    <s v="fulfilled"/>
    <s v="Australia"/>
    <m/>
    <s v="Not Required"/>
    <s v="Alextown"/>
  </r>
  <r>
    <s v="#2817"/>
    <n v="1"/>
    <d v="2026-08-04T13:54:11"/>
    <d v="2026-08-04T13:54:11"/>
    <s v="Aimee Smith"/>
    <x v="0"/>
    <s v="aimee.smith857@icloud.com"/>
    <s v="Classic Cotton T Shirt"/>
    <x v="3"/>
    <s v="Apparel"/>
    <x v="4"/>
    <n v="1"/>
    <n v="14.99"/>
    <n v="14.99"/>
    <m/>
    <x v="0"/>
    <n v="0"/>
    <n v="0"/>
    <s v="Number"/>
    <n v="5.99"/>
    <n v="5.99"/>
    <n v="20.98"/>
    <n v="20.98"/>
    <n v="20.98"/>
    <s v="True"/>
    <s v="Normal"/>
    <s v="PayPal"/>
    <x v="3"/>
    <s v="cancelled"/>
    <s v="United Kingdom"/>
    <m/>
    <s v="Not Required"/>
    <s v="Charlesland"/>
  </r>
  <r>
    <s v="#2945"/>
    <n v="1"/>
    <d v="2026-08-04T14:08:00"/>
    <d v="2026-08-04T14:08:00"/>
    <s v="Angela Carr"/>
    <x v="0"/>
    <s v="angela.carr488@yahoo.com"/>
    <s v="Classic Cotton T Shirt"/>
    <x v="3"/>
    <s v="Apparel"/>
    <x v="4"/>
    <n v="1"/>
    <n v="14.99"/>
    <n v="14.99"/>
    <m/>
    <x v="0"/>
    <n v="0"/>
    <n v="0"/>
    <s v="Number"/>
    <n v="4.99"/>
    <n v="4.99"/>
    <n v="19.98"/>
    <n v="19.98"/>
    <n v="19.98"/>
    <s v="True"/>
    <s v="Normal"/>
    <s v="Shopify Payments"/>
    <x v="3"/>
    <s v="refunded"/>
    <s v="United States"/>
    <s v="Ohio"/>
    <s v="Valid"/>
    <s v="Tracyton"/>
  </r>
  <r>
    <s v="#1005"/>
    <n v="1"/>
    <d v="2026-08-04T13:53:46"/>
    <d v="2026-08-04T13:53:46"/>
    <s v="Sharon Brown"/>
    <x v="0"/>
    <s v="sharon.brown14@gmail.com"/>
    <s v="Classic Cotton T-Shirt"/>
    <x v="3"/>
    <s v="Apparel"/>
    <x v="3"/>
    <n v="1"/>
    <n v="14.99"/>
    <n v="14.99"/>
    <s v="WELCOME10"/>
    <x v="1"/>
    <n v="1.5"/>
    <n v="1.5"/>
    <s v="Number"/>
    <n v="5.99"/>
    <n v="5.99"/>
    <n v="19.48"/>
    <n v="19.48"/>
    <n v="19.48"/>
    <s v="True"/>
    <s v="Normal"/>
    <s v="Apple Pay"/>
    <x v="0"/>
    <s v="fulfilled"/>
    <s v="United States"/>
    <s v="Illinois"/>
    <s v="Valid"/>
    <s v="Lake Angel"/>
  </r>
  <r>
    <s v="#1036"/>
    <n v="1"/>
    <d v="2026-08-04T13:56:32"/>
    <d v="2026-08-04T13:56:32"/>
    <s v="Diane Campos"/>
    <x v="0"/>
    <s v="diane.campos325@gmail.com"/>
    <s v="Classic Cotton T-Shirt"/>
    <x v="3"/>
    <s v="Apparel"/>
    <x v="3"/>
    <n v="2"/>
    <n v="14.99"/>
    <n v="14.99"/>
    <s v="WELCOME10"/>
    <x v="1"/>
    <n v="3"/>
    <n v="3"/>
    <s v="Number"/>
    <n v="7.99"/>
    <n v="7.99"/>
    <n v="34.97"/>
    <n v="34.97"/>
    <n v="34.97"/>
    <s v="True"/>
    <s v="Normal"/>
    <s v="PayPal"/>
    <x v="3"/>
    <s v="fulfilled"/>
    <s v="United States"/>
    <s v="Washington"/>
    <s v="Valid"/>
    <s v="West Patrickmouth"/>
  </r>
  <r>
    <s v="#1073"/>
    <n v="1"/>
    <d v="2026-08-04T14:07:13"/>
    <d v="2026-08-04T14:07:13"/>
    <s v="Brittney Thomas"/>
    <x v="0"/>
    <s v="brittney.thomas484@gmail.com"/>
    <s v="Classic Cotton T-Shirt"/>
    <x v="3"/>
    <s v="Apparel"/>
    <x v="3"/>
    <n v="1"/>
    <n v="14.99"/>
    <n v="14.99"/>
    <s v="WELCOME10"/>
    <x v="1"/>
    <n v="1.5"/>
    <n v="1.5"/>
    <s v="Number"/>
    <n v="7.99"/>
    <n v="7.99"/>
    <n v="21.48"/>
    <n v="21.48"/>
    <n v="21.48"/>
    <s v="True"/>
    <s v="Normal"/>
    <s v="Shopify Payments"/>
    <x v="1"/>
    <s v="refunded"/>
    <s v="United States"/>
    <s v="Georgia"/>
    <s v="Valid"/>
    <s v="Moyerstad"/>
  </r>
  <r>
    <s v="#1085"/>
    <n v="1"/>
    <d v="2026-08-04T14:00:47"/>
    <d v="2026-08-04T14:00:47"/>
    <s v="Amanda Harris"/>
    <x v="0"/>
    <s v="amanda.harris197@gmail.com"/>
    <s v="Classic Cotton T-Shirt"/>
    <x v="3"/>
    <s v="Apparel"/>
    <x v="4"/>
    <n v="1"/>
    <n v="14.99"/>
    <n v="14.99"/>
    <s v="SAVE20"/>
    <x v="2"/>
    <n v="3"/>
    <n v="3"/>
    <s v="Number"/>
    <n v="4.99"/>
    <n v="4.99"/>
    <s v="$16.98"/>
    <n v="16.98"/>
    <n v="16.98"/>
    <s v="True"/>
    <s v="Normal"/>
    <s v="Google Pay"/>
    <x v="2"/>
    <s v="fulfilled"/>
    <s v="United States"/>
    <s v="California"/>
    <s v="Valid"/>
    <s v="Michaelmouth"/>
  </r>
  <r>
    <s v="#1095"/>
    <n v="1"/>
    <d v="2026-08-04T13:56:16"/>
    <d v="2026-08-04T13:56:16"/>
    <s v="Nicholas Jarvis"/>
    <x v="0"/>
    <s v="nicholas.jarvis112@icloud.com"/>
    <s v="Classic Cotton T-Shirt"/>
    <x v="3"/>
    <s v="Apparel"/>
    <x v="4"/>
    <n v="2"/>
    <n v="14.99"/>
    <n v="14.99"/>
    <s v="VIP15"/>
    <x v="4"/>
    <n v="4.5"/>
    <n v="4.5"/>
    <s v="Number"/>
    <n v="7.99"/>
    <n v="7.99"/>
    <n v="33.47"/>
    <n v="33.47"/>
    <n v="33.47"/>
    <s v="True"/>
    <s v="Normal"/>
    <s v="Shopify Payments"/>
    <x v="3"/>
    <s v="refunded"/>
    <s v="Canada"/>
    <m/>
    <s v="Not Required"/>
    <s v="West Brookebury"/>
  </r>
  <r>
    <s v="#1111"/>
    <n v="1"/>
    <d v="2026-04-08T00:00:00"/>
    <s v="08/04/2026"/>
    <s v="Robert Bryant"/>
    <x v="0"/>
    <s v="robert.bryant21@gmail.com"/>
    <s v="Classic Cotton T-Shirt"/>
    <x v="3"/>
    <s v="Apparel"/>
    <x v="3"/>
    <n v="1"/>
    <n v="14.99"/>
    <n v="14.99"/>
    <s v="SAVE20"/>
    <x v="2"/>
    <n v="3"/>
    <n v="3"/>
    <s v="Number"/>
    <n v="5.99"/>
    <n v="5.99"/>
    <s v="$17.98"/>
    <n v="17.98"/>
    <n v="17.98"/>
    <s v="True"/>
    <s v="Normal"/>
    <s v="Apple Pay"/>
    <x v="0"/>
    <s v="cancelled"/>
    <s v="Germany"/>
    <m/>
    <s v="Not Required"/>
    <s v="Lake Adrianport"/>
  </r>
  <r>
    <s v="#1140"/>
    <n v="1"/>
    <d v="2026-08-04T14:01:46"/>
    <d v="2026-08-04T14:01:46"/>
    <s v="DOMINIQUE HUERTA"/>
    <x v="0"/>
    <s v="dominique.huerta708@outlook.com"/>
    <s v="Classic Cotton T-Shirt"/>
    <x v="3"/>
    <s v="Apparel"/>
    <x v="3"/>
    <n v="1"/>
    <n v="14.99"/>
    <n v="14.99"/>
    <m/>
    <x v="0"/>
    <n v="0"/>
    <n v="0"/>
    <s v="Number"/>
    <n v="4.99"/>
    <n v="4.99"/>
    <n v="19.98"/>
    <n v="19.98"/>
    <n v="19.98"/>
    <s v="True"/>
    <s v="Normal"/>
    <s v="Apple Pay"/>
    <x v="1"/>
    <s v="refunded"/>
    <s v="United Kingdom"/>
    <m/>
    <s v="Not Required"/>
    <s v="East Katie"/>
  </r>
  <r>
    <s v="#1149"/>
    <n v="1"/>
    <d v="2026-08-04T13:53:50"/>
    <d v="2026-08-04T13:53:50"/>
    <s v="Brittney Conway"/>
    <x v="0"/>
    <s v="brittney.conway383@outlook.com"/>
    <s v="Classic Cotton T-Shirt"/>
    <x v="3"/>
    <s v="Apparel"/>
    <x v="3"/>
    <n v="1"/>
    <n v="14.99"/>
    <n v="14.99"/>
    <s v="BFCM25"/>
    <x v="3"/>
    <n v="3.75"/>
    <n v="3.75"/>
    <s v="Number"/>
    <n v="5.99"/>
    <n v="5.99"/>
    <n v="17.23"/>
    <n v="17.23"/>
    <n v="17.23"/>
    <s v="True"/>
    <s v="Normal"/>
    <s v="Apple Pay"/>
    <x v="1"/>
    <s v="fulfilled"/>
    <s v="United States"/>
    <s v="Illinois"/>
    <s v="Valid"/>
    <s v="Scottmouth"/>
  </r>
  <r>
    <s v="#1155"/>
    <n v="1"/>
    <d v="2026-08-04T14:00:47"/>
    <d v="2026-08-04T14:00:47"/>
    <s v="Monique Bowman"/>
    <x v="0"/>
    <s v="monique.bowman430@gmail.com"/>
    <s v="Classic Cotton T-Shirt"/>
    <x v="3"/>
    <s v="Apparel"/>
    <x v="3"/>
    <n v="2"/>
    <n v="14.99"/>
    <n v="14.99"/>
    <m/>
    <x v="0"/>
    <n v="0"/>
    <n v="0"/>
    <s v="Number"/>
    <n v="4.99"/>
    <n v="4.99"/>
    <n v="34.97"/>
    <n v="34.97"/>
    <n v="34.97"/>
    <s v="True"/>
    <s v="Normal"/>
    <s v="PayPal"/>
    <x v="3"/>
    <s v="fulfilled"/>
    <s v="United States"/>
    <s v="North Carolina"/>
    <s v="Valid"/>
    <s v="West Anna"/>
  </r>
  <r>
    <s v="#1181"/>
    <n v="1"/>
    <d v="2026-04-08T00:00:00"/>
    <s v="08/04/2026"/>
    <s v="Brian Ruiz"/>
    <x v="0"/>
    <s v="brian.ruiz246@gmail.com"/>
    <s v="Classic Cotton T-Shirt"/>
    <x v="3"/>
    <s v="Apparel"/>
    <x v="3"/>
    <n v="1"/>
    <n v="14.99"/>
    <n v="14.99"/>
    <m/>
    <x v="0"/>
    <n v="0"/>
    <n v="0"/>
    <s v="Number"/>
    <n v="5.99"/>
    <n v="5.99"/>
    <n v="20.98"/>
    <n v="20.98"/>
    <n v="20.98"/>
    <s v="True"/>
    <s v="Normal"/>
    <s v="Credit Card"/>
    <x v="3"/>
    <s v="fulfilled"/>
    <s v="Germany"/>
    <m/>
    <s v="Not Required"/>
    <s v="Hernandezberg"/>
  </r>
  <r>
    <s v="#1188"/>
    <n v="1"/>
    <d v="2026-08-04T13:53:45"/>
    <d v="2026-08-04T13:53:45"/>
    <s v="Kristen Lewis"/>
    <x v="0"/>
    <s v="kristen.lewis649@icloud.com"/>
    <s v="Classic Cotton T-Shirt"/>
    <x v="3"/>
    <s v="Apparel"/>
    <x v="4"/>
    <n v="2"/>
    <n v="14.99"/>
    <n v="14.99"/>
    <s v="SAVE20"/>
    <x v="2"/>
    <n v="6"/>
    <n v="6"/>
    <s v="Number"/>
    <n v="4.99"/>
    <n v="4.99"/>
    <n v="28.97"/>
    <n v="28.97"/>
    <n v="28.97"/>
    <s v="True"/>
    <s v="Normal"/>
    <s v="PayPal"/>
    <x v="0"/>
    <s v="fulfilled"/>
    <s v="United States"/>
    <s v="Texas"/>
    <s v="Valid"/>
    <s v="North Christina"/>
  </r>
  <r>
    <s v="#1201"/>
    <n v="1"/>
    <d v="2026-08-04T14:04:30"/>
    <d v="2026-08-04T14:04:30"/>
    <s v="Johnathan Sloan"/>
    <x v="0"/>
    <s v="johnathan.sloan721@outlook.com"/>
    <s v="Classic Cotton T-Shirt"/>
    <x v="3"/>
    <s v="Apparel"/>
    <x v="3"/>
    <n v="1"/>
    <n v="14.99"/>
    <n v="14.99"/>
    <s v="BFCM25"/>
    <x v="3"/>
    <n v="3.75"/>
    <n v="3.75"/>
    <s v="Number"/>
    <n v="5.99"/>
    <n v="5.99"/>
    <n v="17.23"/>
    <n v="17.23"/>
    <n v="17.23"/>
    <s v="True"/>
    <s v="Normal"/>
    <s v="Google Pay"/>
    <x v="0"/>
    <s v="pending"/>
    <s v="Pakistan"/>
    <m/>
    <s v="Not Required"/>
    <s v="Kimberlymouth"/>
  </r>
  <r>
    <s v="#1206"/>
    <n v="1"/>
    <d v="2026-08-04T14:02:41"/>
    <d v="2026-08-04T14:02:41"/>
    <s v="Jacqueline Miller"/>
    <x v="0"/>
    <s v="jacqueline.miller687@yahoo.com"/>
    <s v="Classic Cotton T-Shirt"/>
    <x v="3"/>
    <s v="Apparel"/>
    <x v="3"/>
    <n v="1"/>
    <n v="14.99"/>
    <n v="14.99"/>
    <m/>
    <x v="0"/>
    <n v="0"/>
    <n v="0"/>
    <s v="Number"/>
    <n v="5.99"/>
    <n v="5.99"/>
    <n v="20.98"/>
    <n v="20.98"/>
    <n v="20.98"/>
    <s v="True"/>
    <s v="Normal"/>
    <s v="Google Pay"/>
    <x v="3"/>
    <s v="cancelled"/>
    <s v="Canada"/>
    <m/>
    <s v="Not Required"/>
    <s v="East Antonio"/>
  </r>
  <r>
    <s v="#1213"/>
    <n v="1"/>
    <d v="2026-08-04T00:00:00"/>
    <s v="Aug 04, 2026"/>
    <s v="Jon Lambert"/>
    <x v="0"/>
    <s v="jon.lambert231@icloud.com"/>
    <s v="Classic Cotton T-Shirt"/>
    <x v="3"/>
    <s v="Apparel"/>
    <x v="3"/>
    <n v="1"/>
    <n v="14.99"/>
    <n v="14.99"/>
    <s v="FREESHIP"/>
    <x v="5"/>
    <n v="0"/>
    <n v="0"/>
    <s v="Number"/>
    <n v="0"/>
    <n v="0"/>
    <n v="14.99"/>
    <n v="14.99"/>
    <n v="14.99"/>
    <s v="True"/>
    <s v="Normal"/>
    <s v="Apple Pay"/>
    <x v="1"/>
    <s v="pending"/>
    <s v="United States"/>
    <s v="Washington"/>
    <s v="Valid"/>
    <s v="New Jordan"/>
  </r>
  <r>
    <s v="#1239"/>
    <n v="1"/>
    <d v="2026-08-04T13:53:34"/>
    <d v="2026-08-04T13:53:34"/>
    <s v="Dustin Mccoy"/>
    <x v="0"/>
    <s v="dustin.mccoy570@gmail.com"/>
    <s v="Classic Cotton T-Shirt"/>
    <x v="3"/>
    <s v="Apparel"/>
    <x v="4"/>
    <n v="1"/>
    <n v="14.99"/>
    <n v="14.99"/>
    <s v="VIP15"/>
    <x v="4"/>
    <n v="2.25"/>
    <n v="2.25"/>
    <s v="Number"/>
    <n v="5.99"/>
    <n v="5.99"/>
    <n v="18.73"/>
    <n v="18.73"/>
    <n v="18.73"/>
    <s v="True"/>
    <s v="Normal"/>
    <s v="Apple Pay"/>
    <x v="2"/>
    <s v="pending"/>
    <s v="Canada"/>
    <m/>
    <s v="Not Required"/>
    <s v="Berryside"/>
  </r>
  <r>
    <s v="#1245"/>
    <n v="1"/>
    <d v="2026-08-04T14:04:59"/>
    <d v="2026-08-04T14:04:59"/>
    <s v="Christy Phillips"/>
    <x v="0"/>
    <s v="christy.phillips291@gmail.com"/>
    <s v="Classic Cotton T-Shirt"/>
    <x v="3"/>
    <s v="Apparel"/>
    <x v="4"/>
    <n v="1"/>
    <n v="14.99"/>
    <n v="14.99"/>
    <s v="FREESHIP"/>
    <x v="5"/>
    <n v="0"/>
    <n v="0"/>
    <s v="Number"/>
    <n v="0"/>
    <n v="0"/>
    <n v="14.99"/>
    <n v="14.99"/>
    <n v="14.99"/>
    <s v="True"/>
    <s v="Normal"/>
    <s v="Google Pay"/>
    <x v="0"/>
    <s v="cancelled"/>
    <s v="Pakistan"/>
    <m/>
    <s v="Not Required"/>
    <s v="Devinburgh"/>
  </r>
  <r>
    <s v="#1263"/>
    <n v="1"/>
    <d v="2026-08-04T14:01:27"/>
    <d v="2026-08-04T14:01:27"/>
    <s v="Jacqueline Graham"/>
    <x v="0"/>
    <s v="jacqueline.graham958@gmail.com"/>
    <s v="Classic Cotton T-Shirt"/>
    <x v="3"/>
    <s v="Apparel"/>
    <x v="3"/>
    <n v="1"/>
    <n v="14.99"/>
    <n v="14.99"/>
    <s v="FREESHIP"/>
    <x v="5"/>
    <n v="0"/>
    <n v="0"/>
    <s v="Number"/>
    <n v="0"/>
    <n v="0"/>
    <n v="14.99"/>
    <n v="14.99"/>
    <n v="14.99"/>
    <s v="True"/>
    <s v="Normal"/>
    <s v="Shopify Payments"/>
    <x v="0"/>
    <s v="fulfilled"/>
    <s v="Australia"/>
    <m/>
    <s v="Not Required"/>
    <s v="Port Christopher"/>
  </r>
  <r>
    <s v="#1275"/>
    <n v="1"/>
    <d v="2026-08-04T13:59:05"/>
    <d v="2026-08-04T13:59:05"/>
    <s v="Christopher Harrington"/>
    <x v="0"/>
    <s v="christopher.harrington960@gmail.com"/>
    <s v="Classic Cotton T-Shirt"/>
    <x v="3"/>
    <s v="Apparel"/>
    <x v="4"/>
    <n v="1"/>
    <n v="14.99"/>
    <n v="14.99"/>
    <s v="VIP15"/>
    <x v="4"/>
    <n v="2.25"/>
    <n v="2.25"/>
    <s v="Number"/>
    <n v="4.99"/>
    <n v="4.99"/>
    <n v="17.73"/>
    <n v="17.73"/>
    <n v="17.73"/>
    <s v="True"/>
    <s v="Normal"/>
    <s v="Apple Pay"/>
    <x v="1"/>
    <s v="fulfilled"/>
    <s v="Australia"/>
    <m/>
    <s v="Not Required"/>
    <s v="New Lydia"/>
  </r>
  <r>
    <s v="#1288"/>
    <n v="1"/>
    <d v="2026-08-04T14:08:25"/>
    <d v="2026-08-04T14:08:25"/>
    <s v="Vincent Rosales"/>
    <x v="0"/>
    <s v="vincent.rosales30@icloud.com"/>
    <s v="Classic Cotton T-Shirt"/>
    <x v="3"/>
    <s v="Apparel"/>
    <x v="3"/>
    <n v="1"/>
    <n v="14.99"/>
    <n v="14.99"/>
    <m/>
    <x v="0"/>
    <n v="0"/>
    <n v="0"/>
    <s v="Number"/>
    <n v="4.99"/>
    <n v="4.99"/>
    <n v="19.98"/>
    <n v="19.98"/>
    <n v="19.98"/>
    <s v="True"/>
    <s v="Normal"/>
    <s v="Shopify Payments"/>
    <x v="0"/>
    <s v="refunded"/>
    <s v="United States"/>
    <s v="OH"/>
    <s v="Valid"/>
    <s v="Stewartshire"/>
  </r>
  <r>
    <s v="#1290"/>
    <n v="1"/>
    <d v="2026-08-04T14:03:24"/>
    <d v="2026-08-04T14:03:24"/>
    <s v="John Lin"/>
    <x v="0"/>
    <s v="john.lin901@outlook.com"/>
    <s v="Classic Cotton T-Shirt"/>
    <x v="3"/>
    <s v="Apparel"/>
    <x v="3"/>
    <n v="1"/>
    <n v="14.99"/>
    <n v="14.99"/>
    <s v="BFCM25"/>
    <x v="3"/>
    <n v="3.75"/>
    <n v="3.75"/>
    <s v="Number"/>
    <n v="4.99"/>
    <n v="4.99"/>
    <n v="16.23"/>
    <n v="16.23"/>
    <n v="16.23"/>
    <s v="True"/>
    <s v="Normal"/>
    <s v="Apple Pay"/>
    <x v="2"/>
    <s v="fulfilled"/>
    <s v="United States"/>
    <s v="WA"/>
    <s v="Valid"/>
    <s v="Simsland"/>
  </r>
  <r>
    <s v="#1339"/>
    <n v="1"/>
    <d v="2026-08-04T13:56:59"/>
    <d v="2026-08-04T13:56:59"/>
    <s v="  Christopher Osborne"/>
    <x v="0"/>
    <s v="christopher.osborne481@yahoo.com"/>
    <s v="Classic Cotton T-Shirt"/>
    <x v="3"/>
    <s v="Apparel"/>
    <x v="4"/>
    <n v="1"/>
    <n v="14.99"/>
    <n v="14.99"/>
    <s v=" VIP15 "/>
    <x v="4"/>
    <n v="2.25"/>
    <n v="2.25"/>
    <s v="Number"/>
    <n v="7.99"/>
    <n v="7.99"/>
    <n v="20.73"/>
    <n v="20.73"/>
    <n v="20.73"/>
    <s v="True"/>
    <s v="Normal"/>
    <s v="Google Pay"/>
    <x v="0"/>
    <s v="refunded"/>
    <s v="United States"/>
    <s v="California"/>
    <s v="Valid"/>
    <s v="Michaelbury"/>
  </r>
  <r>
    <s v="#1347"/>
    <n v="1"/>
    <d v="2026-08-04T00:00:00"/>
    <s v="04-08-2026 13:59"/>
    <s v="Kenneth Coleman"/>
    <x v="0"/>
    <s v="kenneth.coleman447@icloud.com"/>
    <s v="Classic Cotton T-Shirt"/>
    <x v="3"/>
    <s v="Apparel"/>
    <x v="3"/>
    <n v="1"/>
    <n v="14.99"/>
    <n v="14.99"/>
    <s v="VIP15"/>
    <x v="4"/>
    <n v="2.25"/>
    <n v="2.25"/>
    <s v="Number"/>
    <n v="5.99"/>
    <n v="5.99"/>
    <n v="18.73"/>
    <n v="18.73"/>
    <n v="18.73"/>
    <s v="True"/>
    <s v="Normal"/>
    <s v="Apple Pay"/>
    <x v="0"/>
    <s v="refunded"/>
    <s v="United States"/>
    <s v="New York"/>
    <s v="Valid"/>
    <s v="Mcbrideton"/>
  </r>
  <r>
    <s v="#1350"/>
    <n v="1"/>
    <d v="2026-08-04T14:01:58"/>
    <d v="2026-08-04T14:01:58"/>
    <s v="Chad Smith"/>
    <x v="0"/>
    <s v="chad.smith773@icloud.com"/>
    <s v="Classic Cotton T-Shirt"/>
    <x v="3"/>
    <s v="Apparel"/>
    <x v="3"/>
    <n v="2"/>
    <n v="14.99"/>
    <n v="14.99"/>
    <s v="VIP15"/>
    <x v="4"/>
    <n v="4.5"/>
    <n v="4.5"/>
    <s v="Number"/>
    <n v="7.99"/>
    <n v="7.99"/>
    <n v="33.47"/>
    <n v="33.47"/>
    <n v="33.47"/>
    <s v="True"/>
    <s v="Normal"/>
    <s v="PayPal"/>
    <x v="2"/>
    <s v="pending"/>
    <s v="Pakistan"/>
    <m/>
    <s v="Not Required"/>
    <s v="New Sandra"/>
  </r>
  <r>
    <s v="#1362"/>
    <n v="1"/>
    <d v="2026-04-08T00:00:00"/>
    <s v="08/04/2026"/>
    <s v="David Mcknight"/>
    <x v="0"/>
    <s v="david.mcknight827@gmail.com"/>
    <s v="Classic Cotton T-Shirt"/>
    <x v="3"/>
    <s v="Apparel"/>
    <x v="3"/>
    <n v="2"/>
    <n v="14.99"/>
    <n v="14.99"/>
    <s v="BFCM25"/>
    <x v="3"/>
    <n v="7.5"/>
    <n v="7.5"/>
    <s v="Number"/>
    <n v="4.99"/>
    <n v="4.99"/>
    <n v="27.47"/>
    <n v="27.47"/>
    <n v="27.47"/>
    <s v="True"/>
    <s v="Normal"/>
    <s v="Apple Pay"/>
    <x v="0"/>
    <s v="fulfilled"/>
    <s v="United States"/>
    <s v="North Carolina"/>
    <s v="Valid"/>
    <s v="West William"/>
  </r>
  <r>
    <s v="#1378"/>
    <n v="1"/>
    <d v="2026-08-04T14:05:28"/>
    <d v="2026-08-04T14:05:28"/>
    <s v="James Castro"/>
    <x v="0"/>
    <s v="james.castro923@icloud.com"/>
    <s v="Classic Cotton T-Shirt"/>
    <x v="3"/>
    <s v="Apparel"/>
    <x v="4"/>
    <n v="2"/>
    <n v="14.99"/>
    <n v="14.99"/>
    <m/>
    <x v="0"/>
    <n v="0"/>
    <n v="0"/>
    <s v="Number"/>
    <n v="5.99"/>
    <n v="5.99"/>
    <n v="35.97"/>
    <n v="35.97"/>
    <n v="35.97"/>
    <s v="True"/>
    <s v="Normal"/>
    <s v="Shopify Payments"/>
    <x v="3"/>
    <s v="fulfilled"/>
    <s v="Pakistan"/>
    <m/>
    <s v="Not Required"/>
    <s v="Cynthiaside"/>
  </r>
  <r>
    <s v="#1382"/>
    <n v="1"/>
    <d v="2026-08-04T00:00:00"/>
    <s v="Aug 04, 2026"/>
    <s v="Susan Stark"/>
    <x v="0"/>
    <s v="susan.stark500@yahoo.com"/>
    <s v="Classic Cotton T-Shirt"/>
    <x v="3"/>
    <s v="Apparel"/>
    <x v="4"/>
    <n v="1"/>
    <n v="14.99"/>
    <n v="14.99"/>
    <m/>
    <x v="0"/>
    <n v="0"/>
    <n v="0"/>
    <s v="Number"/>
    <n v="7.99"/>
    <n v="7.99"/>
    <n v="22.98"/>
    <n v="22.98"/>
    <n v="22.98"/>
    <s v="True"/>
    <s v="Normal"/>
    <s v="Google Pay"/>
    <x v="0"/>
    <s v="pending"/>
    <s v="Australia"/>
    <m/>
    <s v="Not Required"/>
    <s v="Petersonland"/>
  </r>
  <r>
    <s v="#1387"/>
    <n v="1"/>
    <d v="2026-08-04T14:04:16"/>
    <d v="2026-08-04T14:04:16"/>
    <s v="  Thomas Rojas"/>
    <x v="0"/>
    <s v="thomas.rojas667@icloud.com"/>
    <s v="Classic Cotton T-Shirt"/>
    <x v="3"/>
    <s v="Apparel"/>
    <x v="4"/>
    <n v="2"/>
    <n v="14.99"/>
    <n v="14.99"/>
    <s v="WELCOME10"/>
    <x v="1"/>
    <n v="3"/>
    <n v="3"/>
    <s v="Number"/>
    <n v="5.99"/>
    <n v="5.99"/>
    <n v="32.97"/>
    <n v="32.97"/>
    <n v="32.97"/>
    <s v="True"/>
    <s v="Normal"/>
    <s v="Credit Card"/>
    <x v="1"/>
    <s v="fulfilled"/>
    <s v="United States"/>
    <s v="Arizona"/>
    <s v="Valid"/>
    <s v="Port Sarahview"/>
  </r>
  <r>
    <s v="#1401"/>
    <n v="1"/>
    <d v="2026-08-04T14:07:15"/>
    <d v="2026-08-04T14:07:15"/>
    <s v="Christopher Osborne"/>
    <x v="0"/>
    <s v="christopher.osborne481@yahoo.com"/>
    <s v="Classic Cotton T-Shirt"/>
    <x v="3"/>
    <s v="Apparel"/>
    <x v="3"/>
    <n v="1"/>
    <n v="14.99"/>
    <n v="14.99"/>
    <s v="WELCOME10"/>
    <x v="1"/>
    <n v="1.5"/>
    <n v="1.5"/>
    <s v="Number"/>
    <n v="7.99"/>
    <n v="7.99"/>
    <n v="21.48"/>
    <n v="21.48"/>
    <n v="21.48"/>
    <s v="True"/>
    <s v="Normal"/>
    <s v="Apple Pay"/>
    <x v="3"/>
    <s v="fulfilled"/>
    <s v="United States"/>
    <s v="Georgia"/>
    <s v="Valid"/>
    <s v="Harrisonhaven"/>
  </r>
  <r>
    <s v="#1404"/>
    <n v="1"/>
    <d v="2026-08-04T14:07:15"/>
    <d v="2026-08-04T14:07:15"/>
    <s v="Kayla Morris"/>
    <x v="0"/>
    <s v="kayla.morris339@outlook.com"/>
    <s v="Classic Cotton T-Shirt"/>
    <x v="3"/>
    <s v="Apparel"/>
    <x v="4"/>
    <n v="1"/>
    <n v="14.99"/>
    <n v="14.99"/>
    <s v="FREESHIP "/>
    <x v="5"/>
    <n v="0"/>
    <n v="0"/>
    <s v="Number"/>
    <n v="0"/>
    <n v="0"/>
    <s v="$14.99"/>
    <n v="14.99"/>
    <n v="14.99"/>
    <s v="True"/>
    <s v="Normal"/>
    <s v="Google Pay"/>
    <x v="0"/>
    <s v="fulfilled"/>
    <s v="Canada"/>
    <m/>
    <s v="Not Required"/>
    <s v="Vanessafurt"/>
  </r>
  <r>
    <s v="#1421"/>
    <n v="1"/>
    <d v="2026-08-04T14:06:36"/>
    <d v="2026-08-04T14:06:36"/>
    <s v="Trevor Carter"/>
    <x v="0"/>
    <s v="trevor.carter617@icloud.com"/>
    <s v="Classic Cotton T-Shirt"/>
    <x v="3"/>
    <s v="Apparel"/>
    <x v="4"/>
    <n v="1"/>
    <n v="14.99"/>
    <n v="14.99"/>
    <m/>
    <x v="0"/>
    <n v="0"/>
    <n v="0"/>
    <s v="Number"/>
    <n v="4.99"/>
    <n v="4.99"/>
    <n v="19.98"/>
    <n v="19.98"/>
    <n v="19.98"/>
    <s v="True"/>
    <s v="Normal"/>
    <s v="PayPal"/>
    <x v="0"/>
    <s v="fulfilled"/>
    <s v="United States"/>
    <s v="Illinois"/>
    <s v="Valid"/>
    <s v="Bowenmouth"/>
  </r>
  <r>
    <s v="#1437"/>
    <n v="1"/>
    <d v="2026-08-04T14:06:51"/>
    <d v="2026-08-04T14:06:51"/>
    <s v="Rebecca Watts"/>
    <x v="0"/>
    <s v="rebecca.watts779@gmail.com"/>
    <s v="Classic Cotton T-Shirt"/>
    <x v="3"/>
    <s v="Apparel"/>
    <x v="3"/>
    <n v="1"/>
    <n v="14.99"/>
    <n v="14.99"/>
    <m/>
    <x v="0"/>
    <n v="0"/>
    <n v="0"/>
    <s v="Number"/>
    <n v="7.99"/>
    <n v="7.99"/>
    <n v="22.98"/>
    <n v="22.98"/>
    <n v="22.98"/>
    <s v="True"/>
    <s v="Normal"/>
    <s v="Credit Card"/>
    <x v="3"/>
    <s v="refunded"/>
    <s v="United States"/>
    <s v="North Carolina"/>
    <s v="Valid"/>
    <s v="Knighthaven"/>
  </r>
  <r>
    <s v="#1445"/>
    <n v="1"/>
    <d v="2026-08-04T13:57:46"/>
    <d v="2026-08-04T13:57:46"/>
    <s v="William Morales"/>
    <x v="0"/>
    <s v="william.morales943@outlook.com"/>
    <s v="Classic Cotton T-Shirt"/>
    <x v="3"/>
    <s v="Apparel"/>
    <x v="3"/>
    <n v="1"/>
    <n v="14.99"/>
    <n v="14.99"/>
    <m/>
    <x v="0"/>
    <n v="0"/>
    <n v="0"/>
    <s v="Number"/>
    <n v="5.99"/>
    <n v="5.99"/>
    <n v="20.98"/>
    <n v="20.98"/>
    <n v="20.98"/>
    <s v="True"/>
    <s v="Normal"/>
    <s v="Google Pay"/>
    <x v="1"/>
    <s v="fulfilled"/>
    <s v="Canada"/>
    <m/>
    <s v="Not Required"/>
    <s v="Vanessaberg"/>
  </r>
  <r>
    <s v="#1451"/>
    <n v="1"/>
    <d v="2026-08-04T14:07:24"/>
    <d v="2026-08-04T14:07:24"/>
    <s v="John Lin"/>
    <x v="0"/>
    <s v="john.lin901@outlook.com"/>
    <s v="Classic Cotton T-Shirt"/>
    <x v="3"/>
    <s v="Apparel"/>
    <x v="3"/>
    <n v="1"/>
    <n v="14.99"/>
    <n v="14.99"/>
    <m/>
    <x v="0"/>
    <n v="0"/>
    <n v="0"/>
    <s v="Number"/>
    <n v="4.99"/>
    <n v="4.99"/>
    <n v="19.98"/>
    <n v="19.98"/>
    <n v="19.98"/>
    <s v="True"/>
    <s v="Normal"/>
    <s v="Google Pay"/>
    <x v="3"/>
    <s v="fulfilled"/>
    <s v="United States"/>
    <s v="Florida"/>
    <s v="Valid"/>
    <s v="Vincentchester"/>
  </r>
  <r>
    <s v="#1487"/>
    <n v="1"/>
    <d v="2026-08-04T14:02:20"/>
    <d v="2026-08-04T14:02:20"/>
    <s v="Eric Golden"/>
    <x v="0"/>
    <s v="eric.golden379@outlook.com"/>
    <s v="Classic Cotton T-Shirt"/>
    <x v="3"/>
    <s v="Apparel"/>
    <x v="4"/>
    <n v="1"/>
    <n v="14.99"/>
    <n v="14.99"/>
    <s v="BFCM25"/>
    <x v="3"/>
    <n v="3.75"/>
    <n v="3.75"/>
    <s v="Number"/>
    <n v="7.99"/>
    <n v="7.99"/>
    <n v="19.23"/>
    <n v="19.23"/>
    <n v="19.23"/>
    <s v="True"/>
    <s v="Normal"/>
    <s v="Google Pay"/>
    <x v="0"/>
    <s v="pending"/>
    <s v="United States"/>
    <s v="New York"/>
    <s v="Valid"/>
    <s v="South Rachelmouth"/>
  </r>
  <r>
    <s v="#1498"/>
    <n v="1"/>
    <d v="2026-04-08T00:00:00"/>
    <s v="08/04/2026"/>
    <s v="Sarah Mendoza"/>
    <x v="0"/>
    <s v="sarah.mendoza691@outlook.com"/>
    <s v="Classic Cotton T-Shirt"/>
    <x v="3"/>
    <s v="Apparel"/>
    <x v="4"/>
    <n v="1"/>
    <n v="14.99"/>
    <n v="14.99"/>
    <s v="SAVE20"/>
    <x v="2"/>
    <n v="3"/>
    <n v="3"/>
    <s v="Number"/>
    <n v="4.99"/>
    <n v="4.99"/>
    <n v="16.98"/>
    <n v="16.98"/>
    <n v="16.98"/>
    <s v="True"/>
    <s v="Normal"/>
    <s v="PayPal"/>
    <x v="0"/>
    <s v="fulfilled"/>
    <s v="United States"/>
    <s v="North Carolina"/>
    <s v="Valid"/>
    <s v="Vincentview"/>
  </r>
  <r>
    <s v="#1502"/>
    <n v="1"/>
    <d v="2026-08-04T13:56:13"/>
    <d v="2026-08-04T13:56:13"/>
    <s v="Davis, Heather"/>
    <x v="0"/>
    <s v="heather.davis117@icloud.com"/>
    <s v="Classic Cotton T-Shirt"/>
    <x v="3"/>
    <s v="Apparel"/>
    <x v="3"/>
    <n v="3"/>
    <n v="14.99"/>
    <n v="14.99"/>
    <m/>
    <x v="0"/>
    <n v="0"/>
    <n v="0"/>
    <s v="Number"/>
    <n v="4.99"/>
    <n v="4.99"/>
    <n v="49.96"/>
    <n v="49.96"/>
    <n v="49.96"/>
    <s v="True"/>
    <s v="Normal"/>
    <s v="Credit Card"/>
    <x v="2"/>
    <s v="fulfilled"/>
    <s v="Germany"/>
    <m/>
    <s v="Not Required"/>
    <s v="Starkhaven"/>
  </r>
  <r>
    <s v="#1529"/>
    <n v="1"/>
    <d v="2026-08-04T13:55:04"/>
    <d v="2026-08-04T13:55:04"/>
    <s v="William Houston"/>
    <x v="0"/>
    <s v="william.houston340@outlook.com"/>
    <s v="Classic Cotton T-Shirt"/>
    <x v="3"/>
    <s v="Apparel"/>
    <x v="4"/>
    <n v="2"/>
    <n v="14.99"/>
    <n v="14.99"/>
    <s v="BFCM25"/>
    <x v="3"/>
    <n v="7.5"/>
    <n v="7.5"/>
    <s v="Number"/>
    <n v="4.99"/>
    <n v="4.99"/>
    <n v="27.47"/>
    <n v="27.47"/>
    <n v="27.47"/>
    <s v="True"/>
    <s v="Normal"/>
    <s v="Credit Card"/>
    <x v="2"/>
    <s v="fulfilled"/>
    <s v="United States"/>
    <s v="Arizona"/>
    <s v="Valid"/>
    <s v="Glovermouth"/>
  </r>
  <r>
    <s v="#1547"/>
    <n v="1"/>
    <d v="2026-04-08T00:00:00"/>
    <s v="08/04/2026"/>
    <s v="Nicholas Parker"/>
    <x v="0"/>
    <s v="nicholas.parker656@yahoo.com"/>
    <s v="Classic Cotton T-Shirt"/>
    <x v="3"/>
    <s v="Apparel"/>
    <x v="3"/>
    <n v="1"/>
    <n v="14.99"/>
    <n v="14.99"/>
    <m/>
    <x v="0"/>
    <n v="0"/>
    <n v="0"/>
    <s v="Number"/>
    <n v="5.99"/>
    <n v="5.99"/>
    <n v="20.98"/>
    <n v="20.98"/>
    <n v="20.98"/>
    <s v="True"/>
    <s v="Normal"/>
    <s v="Apple Pay"/>
    <x v="1"/>
    <s v="fulfilled"/>
    <s v="United States"/>
    <s v="New York"/>
    <s v="Valid"/>
    <s v="East Carla"/>
  </r>
  <r>
    <s v="#1559"/>
    <n v="1"/>
    <d v="2026-08-04T14:07:42"/>
    <d v="2026-08-04T14:07:42"/>
    <s v="Samuel Padilla"/>
    <x v="0"/>
    <s v="samuel.padilla79@gmail.com"/>
    <s v="Classic Cotton T-Shirt"/>
    <x v="3"/>
    <s v="Apparel"/>
    <x v="3"/>
    <n v="1"/>
    <n v="14.99"/>
    <n v="14.99"/>
    <s v="SAVE20"/>
    <x v="2"/>
    <n v="3"/>
    <n v="3"/>
    <s v="Number"/>
    <n v="7.99"/>
    <n v="7.99"/>
    <n v="19.98"/>
    <n v="19.98"/>
    <n v="19.98"/>
    <s v="True"/>
    <s v="Normal"/>
    <s v="Credit Card"/>
    <x v="0"/>
    <s v="fulfilled"/>
    <s v="United States"/>
    <s v="Washington"/>
    <s v="Valid"/>
    <s v="Port Eileen"/>
  </r>
  <r>
    <s v="#1560"/>
    <n v="1"/>
    <d v="2026-08-04T00:00:00"/>
    <s v="04-08-2026 13:55"/>
    <s v="Mary Garcia"/>
    <x v="0"/>
    <s v="mary.garcia899@icloud.com"/>
    <s v="Classic Cotton T-Shirt"/>
    <x v="3"/>
    <s v="Apparel"/>
    <x v="4"/>
    <n v="1"/>
    <n v="14.99"/>
    <n v="14.99"/>
    <s v="SAVE20"/>
    <x v="2"/>
    <n v="3"/>
    <n v="3"/>
    <s v="Number"/>
    <n v="7.99"/>
    <n v="7.99"/>
    <n v="19.98"/>
    <n v="19.98"/>
    <n v="19.98"/>
    <s v="True"/>
    <s v="Normal"/>
    <s v="PayPal"/>
    <x v="0"/>
    <s v="fulfilled"/>
    <s v="Canada"/>
    <m/>
    <s v="Not Required"/>
    <s v="South Jeremiah"/>
  </r>
  <r>
    <s v="#1563"/>
    <n v="1"/>
    <d v="2026-08-04T14:07:53"/>
    <d v="2026-08-04T14:07:53"/>
    <s v="Patricia Townsend"/>
    <x v="0"/>
    <s v="patricia.townsend96@yahoo.com"/>
    <s v="Classic Cotton T-Shirt"/>
    <x v="3"/>
    <s v="Apparel"/>
    <x v="3"/>
    <n v="2"/>
    <n v="14.99"/>
    <n v="14.99"/>
    <s v="FREESHIP"/>
    <x v="5"/>
    <n v="0"/>
    <n v="0"/>
    <s v="Number"/>
    <n v="0"/>
    <n v="0"/>
    <n v="29.98"/>
    <n v="29.98"/>
    <n v="29.98"/>
    <s v="True"/>
    <s v="Normal"/>
    <s v="Google Pay"/>
    <x v="3"/>
    <s v="pending"/>
    <s v="United States"/>
    <s v="Florida"/>
    <s v="Valid"/>
    <s v="Reedmouth"/>
  </r>
  <r>
    <s v="#1571"/>
    <n v="1"/>
    <d v="2026-08-04T14:04:48"/>
    <d v="2026-08-04T14:04:48"/>
    <s v="Shelly Griffith"/>
    <x v="0"/>
    <s v="shelly.griffith342@icloud.com"/>
    <s v="Classic Cotton T-Shirt"/>
    <x v="3"/>
    <s v="Apparel"/>
    <x v="3"/>
    <n v="1"/>
    <s v="$14.99"/>
    <n v="14.99"/>
    <s v="WELCOME10 "/>
    <x v="1"/>
    <n v="1.5"/>
    <n v="1.5"/>
    <s v="Number"/>
    <n v="7.99"/>
    <n v="7.99"/>
    <n v="21.48"/>
    <n v="21.48"/>
    <n v="21.48"/>
    <s v="True"/>
    <s v="Normal"/>
    <s v="Shopify Payments"/>
    <x v="2"/>
    <s v="cancelled"/>
    <s v="Australia"/>
    <m/>
    <s v="Not Required"/>
    <s v="West Stephanie"/>
  </r>
  <r>
    <s v="#1592"/>
    <n v="1"/>
    <d v="2026-08-04T13:56:36"/>
    <d v="2026-08-04T13:56:36"/>
    <s v="Lisa Zuniga"/>
    <x v="0"/>
    <s v="lisa.zuniga825@outlook.com"/>
    <s v="Classic Cotton T-Shirt"/>
    <x v="3"/>
    <s v="Apparel"/>
    <x v="3"/>
    <n v="2"/>
    <n v="14.99"/>
    <n v="14.99"/>
    <m/>
    <x v="0"/>
    <n v="0"/>
    <n v="0"/>
    <s v="Number"/>
    <n v="7.99"/>
    <n v="7.99"/>
    <n v="37.97"/>
    <n v="37.97"/>
    <n v="37.97"/>
    <s v="True"/>
    <s v="Normal"/>
    <s v="Shopify Payments"/>
    <x v="0"/>
    <s v="refunded"/>
    <s v="Germany"/>
    <m/>
    <s v="Not Required"/>
    <s v="Tyronemouth"/>
  </r>
  <r>
    <s v="#1600"/>
    <n v="1"/>
    <d v="2026-08-04T13:54:51"/>
    <d v="2026-08-04T13:54:51"/>
    <s v="Jesus Mason"/>
    <x v="0"/>
    <s v="jesus.mason798@icloud.com"/>
    <s v="Classic Cotton T-Shirt"/>
    <x v="3"/>
    <s v="Apparel"/>
    <x v="3"/>
    <n v="4"/>
    <n v="14.99"/>
    <n v="14.99"/>
    <m/>
    <x v="0"/>
    <n v="0"/>
    <n v="0"/>
    <s v="Number"/>
    <n v="7.99"/>
    <n v="7.99"/>
    <n v="67.95"/>
    <n v="67.95"/>
    <n v="67.95"/>
    <s v="True"/>
    <s v="Normal"/>
    <s v="Shopify Payments"/>
    <x v="1"/>
    <s v="refunded"/>
    <s v="United States"/>
    <s v="California"/>
    <s v="Valid"/>
    <s v="Sarahmouth"/>
  </r>
  <r>
    <s v="#1608"/>
    <n v="1"/>
    <d v="2026-08-04T14:04:14"/>
    <d v="2026-08-04T14:04:14"/>
    <s v="Sara Hernandez"/>
    <x v="0"/>
    <s v="sara.hernandez651@icloud.com"/>
    <s v="Classic Cotton T-Shirt"/>
    <x v="3"/>
    <s v="Apparel"/>
    <x v="3"/>
    <n v="1"/>
    <n v="14.99"/>
    <n v="14.99"/>
    <s v="FREESHIP"/>
    <x v="5"/>
    <n v="0"/>
    <n v="0"/>
    <s v="Number"/>
    <n v="0"/>
    <n v="0"/>
    <n v="14.99"/>
    <n v="14.99"/>
    <n v="14.99"/>
    <s v="True"/>
    <s v="Normal"/>
    <s v="Shopify Payments"/>
    <x v="0"/>
    <s v="cancelled"/>
    <s v="United States"/>
    <s v="New York"/>
    <s v="Valid"/>
    <s v="Port Valerie"/>
  </r>
  <r>
    <s v="#1611"/>
    <n v="1"/>
    <d v="2026-08-04T13:58:20"/>
    <d v="2026-08-04T13:58:20"/>
    <s v="Michael Hays"/>
    <x v="0"/>
    <s v="michael.hays590@gmail.com"/>
    <s v="Classic Cotton T-Shirt"/>
    <x v="3"/>
    <s v="Apparel"/>
    <x v="3"/>
    <n v="1"/>
    <n v="14.99"/>
    <n v="14.99"/>
    <s v="VIP15"/>
    <x v="4"/>
    <n v="2.25"/>
    <n v="2.25"/>
    <s v="Number"/>
    <n v="4.99"/>
    <n v="4.99"/>
    <n v="17.73"/>
    <n v="17.73"/>
    <n v="17.73"/>
    <s v="True"/>
    <s v="Normal"/>
    <s v="Credit Card"/>
    <x v="0"/>
    <s v="pending"/>
    <s v="United States"/>
    <s v="Texas"/>
    <s v="Valid"/>
    <s v="Leblanchaven"/>
  </r>
  <r>
    <s v="#1614"/>
    <n v="1"/>
    <d v="2026-08-04T13:54:12"/>
    <d v="2026-08-04T13:54:12"/>
    <s v="Daniel Hill"/>
    <x v="1"/>
    <m/>
    <s v="Classic Cotton T-Shirt"/>
    <x v="3"/>
    <s v="Apparel"/>
    <x v="3"/>
    <n v="1"/>
    <n v="14.99"/>
    <n v="14.99"/>
    <s v="WELCOME10"/>
    <x v="1"/>
    <n v="1.5"/>
    <n v="1.5"/>
    <s v="Number"/>
    <n v="4.99"/>
    <n v="4.99"/>
    <s v="$18.48"/>
    <n v="18.48"/>
    <n v="18.48"/>
    <s v="True"/>
    <s v="Normal"/>
    <s v="Apple Pay"/>
    <x v="0"/>
    <s v="pending"/>
    <s v="Australia"/>
    <m/>
    <s v="Not Required"/>
    <s v="Calvinshire"/>
  </r>
  <r>
    <s v="#1640"/>
    <n v="1"/>
    <d v="2026-08-04T14:02:22"/>
    <d v="2026-08-04T14:02:22"/>
    <s v="Joe Taylor"/>
    <x v="0"/>
    <s v="joe.taylor714@yahoo.com"/>
    <s v="Classic Cotton T-Shirt"/>
    <x v="3"/>
    <s v="Apparel"/>
    <x v="3"/>
    <n v="2"/>
    <n v="14.99"/>
    <n v="14.99"/>
    <s v="FREESHIP"/>
    <x v="5"/>
    <n v="0"/>
    <n v="0"/>
    <s v="Number"/>
    <n v="0"/>
    <n v="0"/>
    <n v="29.98"/>
    <n v="29.98"/>
    <n v="29.98"/>
    <s v="True"/>
    <s v="Normal"/>
    <s v="Google Pay"/>
    <x v="0"/>
    <s v="fulfilled"/>
    <s v="Germany"/>
    <m/>
    <s v="Not Required"/>
    <s v="West Juliefort"/>
  </r>
  <r>
    <s v="#1653"/>
    <n v="1"/>
    <d v="2026-08-04T00:00:00"/>
    <s v="04-08-2026 13:53"/>
    <s v="Melinda Williams"/>
    <x v="1"/>
    <m/>
    <s v="Classic Cotton T-Shirt"/>
    <x v="3"/>
    <s v="Apparel"/>
    <x v="3"/>
    <n v="1"/>
    <n v="14.99"/>
    <n v="14.99"/>
    <m/>
    <x v="0"/>
    <n v="0"/>
    <n v="0"/>
    <s v="Number"/>
    <n v="4.99"/>
    <n v="4.99"/>
    <n v="19.98"/>
    <n v="19.98"/>
    <n v="19.98"/>
    <s v="True"/>
    <s v="Normal"/>
    <s v="Credit Card"/>
    <x v="0"/>
    <s v="fulfilled"/>
    <s v="United States"/>
    <s v="Ohio"/>
    <s v="Valid"/>
    <s v="South Tinastad"/>
  </r>
  <r>
    <s v="#1659"/>
    <n v="1"/>
    <d v="2026-04-08T00:00:00"/>
    <s v="08/04/2026"/>
    <s v="Lindsay Shaw"/>
    <x v="0"/>
    <s v="lindsay.shaw178@icloud.com"/>
    <s v="Classic Cotton T-Shirt"/>
    <x v="3"/>
    <s v="Apparel"/>
    <x v="4"/>
    <n v="1"/>
    <n v="14.99"/>
    <n v="14.99"/>
    <m/>
    <x v="0"/>
    <n v="0"/>
    <n v="0"/>
    <s v="Number"/>
    <n v="7.99"/>
    <n v="7.99"/>
    <n v="22.98"/>
    <n v="22.98"/>
    <n v="22.98"/>
    <s v="True"/>
    <s v="Normal"/>
    <s v="Shopify Payments"/>
    <x v="2"/>
    <s v="fulfilled"/>
    <s v="United Kingdom"/>
    <m/>
    <s v="Not Required"/>
    <s v="Carrollchester"/>
  </r>
  <r>
    <s v="#1673"/>
    <n v="1"/>
    <d v="2026-08-04T14:02:53"/>
    <d v="2026-08-04T14:02:53"/>
    <s v="Thomas Rivera"/>
    <x v="0"/>
    <s v="thomas.rivera720@yahoo.com"/>
    <s v="Classic Cotton T-Shirt"/>
    <x v="3"/>
    <s v="Apparel"/>
    <x v="3"/>
    <n v="1"/>
    <n v="14.99"/>
    <n v="14.99"/>
    <m/>
    <x v="0"/>
    <n v="0"/>
    <n v="0"/>
    <s v="Number"/>
    <n v="5.99"/>
    <n v="5.99"/>
    <n v="20.98"/>
    <n v="20.98"/>
    <n v="20.98"/>
    <s v="True"/>
    <s v="Normal"/>
    <s v="Apple Pay"/>
    <x v="1"/>
    <s v="refunded"/>
    <s v="United States"/>
    <s v="Florida"/>
    <s v="Valid"/>
    <s v="Matthewmouth"/>
  </r>
  <r>
    <s v="#1675"/>
    <n v="1"/>
    <d v="2026-08-04T00:00:00"/>
    <s v="Aug 04, 2026"/>
    <s v="David Torres"/>
    <x v="0"/>
    <s v="david.torres833@outlook.com"/>
    <s v="Classic Cotton T-Shirt"/>
    <x v="3"/>
    <s v="Apparel"/>
    <x v="3"/>
    <n v="1"/>
    <n v="14.99"/>
    <n v="14.99"/>
    <s v="VIP15"/>
    <x v="4"/>
    <n v="2.25"/>
    <n v="2.25"/>
    <s v="Number"/>
    <n v="5.99"/>
    <n v="5.99"/>
    <n v="18.73"/>
    <n v="18.73"/>
    <n v="18.73"/>
    <s v="True"/>
    <s v="Normal"/>
    <s v="Apple Pay"/>
    <x v="3"/>
    <s v="fulfilled"/>
    <s v="United States"/>
    <s v="Washington"/>
    <s v="Valid"/>
    <s v="Foxburgh"/>
  </r>
  <r>
    <s v="#1680"/>
    <n v="1"/>
    <d v="2026-08-04T14:05:50"/>
    <d v="2026-08-04T14:05:50"/>
    <s v="Jon Lambert"/>
    <x v="0"/>
    <s v="jon.lambert231@icloud.com"/>
    <s v="Classic Cotton T-Shirt"/>
    <x v="3"/>
    <s v="Apparel"/>
    <x v="3"/>
    <n v="1"/>
    <n v="14.99"/>
    <n v="14.99"/>
    <m/>
    <x v="0"/>
    <n v="0"/>
    <n v="0"/>
    <s v="Number"/>
    <n v="5.99"/>
    <n v="5.99"/>
    <n v="20.98"/>
    <n v="20.98"/>
    <n v="20.98"/>
    <s v="True"/>
    <s v="Normal"/>
    <s v="Credit Card"/>
    <x v="0"/>
    <s v="fulfilled"/>
    <s v="United States"/>
    <s v="California"/>
    <s v="Valid"/>
    <s v="New Christian"/>
  </r>
  <r>
    <s v="#1684"/>
    <n v="1"/>
    <d v="2026-08-04T14:00:18"/>
    <d v="2026-08-04T14:00:18"/>
    <s v="Jon Lambert"/>
    <x v="0"/>
    <s v="jon.lambert231@icloud.com"/>
    <s v="Classic Cotton T-Shirt"/>
    <x v="3"/>
    <s v="Apparel"/>
    <x v="4"/>
    <n v="1"/>
    <n v="14.99"/>
    <n v="14.99"/>
    <m/>
    <x v="0"/>
    <n v="0"/>
    <n v="0"/>
    <s v="Number"/>
    <n v="4.99"/>
    <n v="4.99"/>
    <n v="19.98"/>
    <n v="19.98"/>
    <n v="19.98"/>
    <s v="True"/>
    <s v="Normal"/>
    <s v="Apple Pay"/>
    <x v="0"/>
    <s v="refunded"/>
    <s v="United States"/>
    <s v="Arizona"/>
    <s v="Valid"/>
    <s v="Kevinbury"/>
  </r>
  <r>
    <s v="#1685"/>
    <n v="1"/>
    <d v="2026-08-04T13:55:08"/>
    <d v="2026-08-04T13:55:08"/>
    <s v="Brian Ruiz"/>
    <x v="0"/>
    <s v="brian.ruiz246@gmail.com"/>
    <s v="Classic Cotton T-Shirt"/>
    <x v="3"/>
    <s v="Apparel"/>
    <x v="3"/>
    <n v="1"/>
    <n v="14.99"/>
    <n v="14.99"/>
    <s v="WELCOME10"/>
    <x v="1"/>
    <n v="1.5"/>
    <n v="1.5"/>
    <s v="Number"/>
    <n v="4.99"/>
    <n v="4.99"/>
    <n v="18.48"/>
    <n v="18.48"/>
    <n v="18.48"/>
    <s v="True"/>
    <s v="Normal"/>
    <s v="Google Pay"/>
    <x v="0"/>
    <s v="fulfilled"/>
    <s v="Germany"/>
    <m/>
    <s v="Not Required"/>
    <s v="East Drewmouth"/>
  </r>
  <r>
    <s v="#1694"/>
    <n v="1"/>
    <d v="2026-08-04T13:58:00"/>
    <d v="2026-08-04T13:58:00"/>
    <s v="Taylor Lee"/>
    <x v="0"/>
    <s v="taylor.lee613@gmail.com"/>
    <s v="Classic Cotton T-Shirt"/>
    <x v="3"/>
    <s v="Apparel"/>
    <x v="4"/>
    <n v="1"/>
    <n v="14.99"/>
    <n v="14.99"/>
    <s v="SAVE20"/>
    <x v="2"/>
    <n v="3"/>
    <n v="3"/>
    <s v="Number"/>
    <n v="4.99"/>
    <n v="4.99"/>
    <n v="16.98"/>
    <n v="16.98"/>
    <n v="16.98"/>
    <s v="True"/>
    <s v="Normal"/>
    <s v="Credit Card"/>
    <x v="1"/>
    <s v="refunded"/>
    <s v="United Kingdom"/>
    <m/>
    <s v="Not Required"/>
    <s v="South Henrystad"/>
  </r>
  <r>
    <s v="#1710"/>
    <n v="1"/>
    <d v="2026-08-04T14:02:20"/>
    <d v="2026-08-04T14:02:20"/>
    <s v="Samuel Lee"/>
    <x v="0"/>
    <s v="samuel.lee63@icloud.com"/>
    <s v="Classic Cotton T-Shirt"/>
    <x v="3"/>
    <s v="Apparel"/>
    <x v="4"/>
    <n v="1"/>
    <s v="$14.99"/>
    <n v="14.99"/>
    <s v="VIP15"/>
    <x v="4"/>
    <s v="$2.25"/>
    <n v="2.25"/>
    <s v="Number"/>
    <n v="5.99"/>
    <n v="5.99"/>
    <n v="18.73"/>
    <n v="18.73"/>
    <n v="18.73"/>
    <s v="True"/>
    <s v="Normal"/>
    <s v="Shopify Payments"/>
    <x v="2"/>
    <s v="cancelled"/>
    <s v="Australia"/>
    <m/>
    <s v="Not Required"/>
    <s v="Campbellborough"/>
  </r>
  <r>
    <s v="#1723"/>
    <n v="1"/>
    <d v="2026-08-04T13:57:24"/>
    <d v="2026-08-04T13:57:24"/>
    <s v="Amanda Rodriguez"/>
    <x v="0"/>
    <s v="amanda.rodriguez770@yahoo.com"/>
    <s v="Classic Cotton T-Shirt"/>
    <x v="3"/>
    <s v="Apparel"/>
    <x v="3"/>
    <n v="1"/>
    <n v="14.99"/>
    <n v="14.99"/>
    <s v="BFCM25"/>
    <x v="3"/>
    <n v="3.75"/>
    <n v="3.75"/>
    <s v="Number"/>
    <n v="7.99"/>
    <n v="7.99"/>
    <n v="19.23"/>
    <n v="19.23"/>
    <n v="19.23"/>
    <s v="True"/>
    <s v="Normal"/>
    <s v="Shopify Payments"/>
    <x v="0"/>
    <s v="fulfilled"/>
    <s v="United States"/>
    <s v="California"/>
    <s v="Valid"/>
    <s v="Cervantesmouth"/>
  </r>
  <r>
    <s v="#1726"/>
    <n v="1"/>
    <d v="2026-08-04T14:03:08"/>
    <d v="2026-08-04T14:03:08"/>
    <s v="Ann Byrd"/>
    <x v="0"/>
    <s v="ann.byrd498@icloud.com"/>
    <s v="Classic Cotton T-Shirt"/>
    <x v="3"/>
    <s v="Apparel"/>
    <x v="4"/>
    <n v="1"/>
    <n v="14.99"/>
    <n v="14.99"/>
    <m/>
    <x v="0"/>
    <n v="0"/>
    <n v="0"/>
    <s v="Number"/>
    <n v="5.99"/>
    <n v="5.99"/>
    <s v="$20.98"/>
    <n v="20.98"/>
    <n v="20.98"/>
    <s v="True"/>
    <s v="Normal"/>
    <s v="PayPal"/>
    <x v="3"/>
    <s v="fulfilled"/>
    <s v="Australia"/>
    <m/>
    <s v="Not Required"/>
    <s v="Johnhaven"/>
  </r>
  <r>
    <s v="#1761"/>
    <n v="1"/>
    <d v="2026-08-04T14:07:16"/>
    <d v="2026-08-04T14:07:16"/>
    <s v="James Miller"/>
    <x v="0"/>
    <s v="james.miller866@yahoo.com"/>
    <s v="Classic Cotton T-Shirt"/>
    <x v="3"/>
    <s v="Apparel"/>
    <x v="4"/>
    <n v="1"/>
    <n v="14.99"/>
    <n v="14.99"/>
    <m/>
    <x v="0"/>
    <n v="0"/>
    <n v="0"/>
    <s v="Number"/>
    <n v="5.99"/>
    <n v="5.99"/>
    <n v="20.98"/>
    <n v="20.98"/>
    <n v="20.98"/>
    <s v="True"/>
    <s v="Normal"/>
    <s v="Credit Card"/>
    <x v="0"/>
    <s v="fulfilled"/>
    <s v="Pakistan"/>
    <m/>
    <s v="Not Required"/>
    <s v="Amandafurt"/>
  </r>
  <r>
    <s v="#1780"/>
    <n v="1"/>
    <d v="2026-08-04T14:02:08"/>
    <d v="2026-08-04T14:02:08"/>
    <s v="Joseph Martin"/>
    <x v="0"/>
    <s v="joseph.martin348@icloud.com"/>
    <s v="Classic Cotton T-Shirt"/>
    <x v="3"/>
    <s v="Apparel"/>
    <x v="4"/>
    <n v="2"/>
    <n v="14.99"/>
    <n v="14.99"/>
    <m/>
    <x v="0"/>
    <n v="0"/>
    <n v="0"/>
    <s v="Number"/>
    <n v="5.99"/>
    <n v="5.99"/>
    <n v="35.97"/>
    <n v="35.97"/>
    <n v="35.97"/>
    <s v="True"/>
    <s v="Normal"/>
    <s v="Apple Pay"/>
    <x v="2"/>
    <s v="cancelled"/>
    <s v="United States"/>
    <s v="Washington"/>
    <s v="Valid"/>
    <s v="West Debra"/>
  </r>
  <r>
    <s v="#1788"/>
    <n v="1"/>
    <d v="2026-08-04T14:06:34"/>
    <d v="2026-08-04T14:06:34"/>
    <s v="Angela Carr"/>
    <x v="0"/>
    <s v="angela.carr488@yahoo.com"/>
    <s v="Classic Cotton T-Shirt"/>
    <x v="3"/>
    <s v="Apparel"/>
    <x v="3"/>
    <n v="1"/>
    <n v="14.99"/>
    <n v="14.99"/>
    <m/>
    <x v="0"/>
    <n v="0"/>
    <n v="0"/>
    <s v="Number"/>
    <n v="4.99"/>
    <n v="4.99"/>
    <n v="19.98"/>
    <n v="19.98"/>
    <n v="19.98"/>
    <s v="True"/>
    <s v="Normal"/>
    <s v="Credit Card"/>
    <x v="2"/>
    <s v="cancelled"/>
    <s v="United States"/>
    <s v="California"/>
    <s v="Valid"/>
    <s v="North Benjamin"/>
  </r>
  <r>
    <s v="#1793"/>
    <n v="1"/>
    <d v="2026-08-04T00:00:00"/>
    <s v="2026-08-04"/>
    <s v="Melissa Thompson"/>
    <x v="0"/>
    <s v="melissa.thompson241@yahoo.com"/>
    <s v="Classic Cotton T-Shirt"/>
    <x v="3"/>
    <s v="Apparel"/>
    <x v="4"/>
    <n v="2"/>
    <s v="$14.99"/>
    <n v="14.99"/>
    <m/>
    <x v="0"/>
    <n v="0"/>
    <n v="0"/>
    <s v="Number"/>
    <n v="5.99"/>
    <n v="5.99"/>
    <n v="35.97"/>
    <n v="35.97"/>
    <n v="35.97"/>
    <s v="True"/>
    <s v="Normal"/>
    <s v="Google Pay"/>
    <x v="2"/>
    <s v="fulfilled"/>
    <s v="United States"/>
    <s v="Florida"/>
    <s v="Valid"/>
    <s v="Pattonville"/>
  </r>
  <r>
    <s v="#1800"/>
    <n v="1"/>
    <d v="2026-08-04T13:55:48"/>
    <d v="2026-08-04T13:55:48"/>
    <s v="Kaitlyn Hernandez"/>
    <x v="0"/>
    <s v="kaitlyn.hernandez713@gmail.com"/>
    <s v="Classic Cotton T-Shirt"/>
    <x v="3"/>
    <s v="Apparel"/>
    <x v="3"/>
    <n v="1"/>
    <n v="14.99"/>
    <n v="14.99"/>
    <m/>
    <x v="0"/>
    <n v="0"/>
    <n v="0"/>
    <s v="Number"/>
    <n v="5.99"/>
    <n v="5.99"/>
    <n v="20.98"/>
    <n v="20.98"/>
    <n v="20.98"/>
    <s v="True"/>
    <s v="Normal"/>
    <s v="Shopify Payments"/>
    <x v="2"/>
    <s v="pending"/>
    <s v="Germany"/>
    <m/>
    <s v="Not Required"/>
    <s v="West Christine"/>
  </r>
  <r>
    <s v="#1811"/>
    <n v="1"/>
    <d v="2026-08-04T14:00:30"/>
    <d v="2026-08-04T14:00:30"/>
    <s v="Erika Maxwell"/>
    <x v="0"/>
    <s v="erika.maxwell281@gmail.com"/>
    <s v="Classic Cotton T-Shirt"/>
    <x v="3"/>
    <s v="Apparel"/>
    <x v="3"/>
    <n v="2"/>
    <n v="14.99"/>
    <n v="14.99"/>
    <s v="FREESHIP"/>
    <x v="5"/>
    <n v="0"/>
    <n v="0"/>
    <s v="Number"/>
    <n v="0"/>
    <n v="0"/>
    <n v="29.98"/>
    <n v="29.98"/>
    <n v="29.98"/>
    <s v="True"/>
    <s v="Normal"/>
    <s v="Shopify Payments"/>
    <x v="0"/>
    <s v="cancelled"/>
    <s v="United States"/>
    <s v="North Carolina"/>
    <s v="Valid"/>
    <s v="East Jeffrey"/>
  </r>
  <r>
    <s v="#1815"/>
    <n v="1"/>
    <d v="2026-08-04T13:53:34"/>
    <d v="2026-08-04T13:53:34"/>
    <s v="Rose Campos"/>
    <x v="0"/>
    <s v="rose.campos542@gmail.com"/>
    <s v="Classic Cotton T-Shirt"/>
    <x v="3"/>
    <s v="Apparel"/>
    <x v="4"/>
    <n v="2"/>
    <n v="14.99"/>
    <n v="14.99"/>
    <s v="WELCOME10"/>
    <x v="1"/>
    <n v="3"/>
    <n v="3"/>
    <s v="Number"/>
    <n v="5.99"/>
    <n v="5.99"/>
    <n v="32.97"/>
    <n v="32.97"/>
    <n v="32.97"/>
    <s v="True"/>
    <s v="Normal"/>
    <s v="Google Pay"/>
    <x v="0"/>
    <s v="cancelled"/>
    <s v="Canada"/>
    <m/>
    <s v="Not Required"/>
    <s v="Smithfort"/>
  </r>
  <r>
    <s v="#1827"/>
    <n v="1"/>
    <d v="2026-08-04T14:02:58"/>
    <d v="2026-08-04T14:02:58"/>
    <s v="Kelly Ramos"/>
    <x v="0"/>
    <s v="kelly.ramos77@gmail.com"/>
    <s v="Classic Cotton T-Shirt"/>
    <x v="3"/>
    <s v="Apparel"/>
    <x v="3"/>
    <n v="1"/>
    <n v="14.99"/>
    <n v="14.99"/>
    <s v="BFCM25"/>
    <x v="3"/>
    <n v="3.75"/>
    <n v="3.75"/>
    <s v="Number"/>
    <n v="7.99"/>
    <n v="7.99"/>
    <s v="$19.23"/>
    <n v="19.23"/>
    <n v="19.23"/>
    <s v="True"/>
    <s v="Normal"/>
    <s v="Credit Card"/>
    <x v="0"/>
    <s v="refunded"/>
    <s v="Canada"/>
    <m/>
    <s v="Not Required"/>
    <s v="North Evan"/>
  </r>
  <r>
    <s v="#1828"/>
    <n v="1"/>
    <d v="2026-08-04T00:00:00"/>
    <s v="04-08-2026 14:04"/>
    <s v="Megan Dickson"/>
    <x v="0"/>
    <s v="megan.dickson508@gmail.com"/>
    <s v="Classic Cotton T-Shirt"/>
    <x v="3"/>
    <s v="Apparel"/>
    <x v="4"/>
    <n v="1"/>
    <n v="14.99"/>
    <n v="14.99"/>
    <m/>
    <x v="0"/>
    <n v="0"/>
    <n v="0"/>
    <s v="Number"/>
    <n v="5.99"/>
    <n v="5.99"/>
    <n v="20.98"/>
    <n v="20.98"/>
    <n v="20.98"/>
    <s v="True"/>
    <s v="Normal"/>
    <s v="PayPal"/>
    <x v="1"/>
    <s v="fulfilled"/>
    <s v="United Kingdom"/>
    <m/>
    <s v="Not Required"/>
    <s v="East Michael"/>
  </r>
  <r>
    <s v="#1842"/>
    <n v="1"/>
    <d v="2026-08-04T13:58:56"/>
    <d v="2026-08-04T13:58:56"/>
    <s v="Richard Ward"/>
    <x v="0"/>
    <s v="richard.ward894@icloud.com"/>
    <s v="Classic Cotton T-Shirt"/>
    <x v="3"/>
    <s v="Apparel"/>
    <x v="3"/>
    <n v="2"/>
    <n v="14.99"/>
    <n v="14.99"/>
    <m/>
    <x v="0"/>
    <n v="0"/>
    <n v="0"/>
    <s v="Number"/>
    <n v="7.99"/>
    <n v="7.99"/>
    <n v="37.97"/>
    <n v="37.97"/>
    <n v="37.97"/>
    <s v="True"/>
    <s v="Normal"/>
    <s v="Apple Pay"/>
    <x v="3"/>
    <s v="refunded"/>
    <s v="Pakistan"/>
    <m/>
    <s v="Not Required"/>
    <s v="East Nicolefort"/>
  </r>
  <r>
    <s v="#1874"/>
    <n v="1"/>
    <d v="2026-08-04T14:02:59"/>
    <d v="2026-08-04T14:02:59"/>
    <s v="Nguyen, Lauren"/>
    <x v="0"/>
    <s v="lauren.nguyen819@outlook.com"/>
    <s v="Classic Cotton T-Shirt"/>
    <x v="3"/>
    <s v="Apparel"/>
    <x v="4"/>
    <n v="2"/>
    <n v="14.99"/>
    <n v="14.99"/>
    <m/>
    <x v="0"/>
    <n v="0"/>
    <n v="0"/>
    <s v="Number"/>
    <n v="5.99"/>
    <n v="5.99"/>
    <s v="$35.97"/>
    <n v="35.97"/>
    <n v="35.97"/>
    <s v="True"/>
    <s v="Normal"/>
    <s v="Apple Pay"/>
    <x v="1"/>
    <s v="fulfilled"/>
    <s v="United Kingdom"/>
    <m/>
    <s v="Not Required"/>
    <s v="East Adamview"/>
  </r>
  <r>
    <s v="#1884"/>
    <n v="1"/>
    <d v="2026-08-04T13:56:49"/>
    <d v="2026-08-04T13:56:49"/>
    <s v="Krueger, Anthony"/>
    <x v="0"/>
    <s v="anthony.krueger812@yahoo.com"/>
    <s v="Classic Cotton T-Shirt"/>
    <x v="3"/>
    <s v="Apparel"/>
    <x v="3"/>
    <n v="1"/>
    <n v="14.99"/>
    <n v="14.99"/>
    <m/>
    <x v="0"/>
    <n v="0"/>
    <n v="0"/>
    <s v="Number"/>
    <n v="7.99"/>
    <n v="7.99"/>
    <n v="22.98"/>
    <n v="22.98"/>
    <n v="22.98"/>
    <s v="True"/>
    <s v="Normal"/>
    <s v="Google Pay"/>
    <x v="2"/>
    <s v="fulfilled"/>
    <s v="Pakistan"/>
    <m/>
    <s v="Not Required"/>
    <s v="Tiffanyview"/>
  </r>
  <r>
    <s v="#1895"/>
    <n v="1"/>
    <d v="2026-08-04T14:06:22"/>
    <d v="2026-08-04T14:06:22"/>
    <s v="Tanya Brown"/>
    <x v="0"/>
    <s v="tanya.brown516@outlook.com"/>
    <s v="Classic Cotton T-Shirt"/>
    <x v="3"/>
    <s v="Apparel"/>
    <x v="3"/>
    <n v="1"/>
    <n v="14.99"/>
    <n v="14.99"/>
    <s v="FREESHIP"/>
    <x v="5"/>
    <n v="0"/>
    <n v="0"/>
    <s v="Number"/>
    <n v="0"/>
    <n v="0"/>
    <s v="$14.99"/>
    <n v="14.99"/>
    <n v="14.99"/>
    <s v="True"/>
    <s v="Normal"/>
    <s v="Google Pay"/>
    <x v="1"/>
    <s v="fulfilled"/>
    <s v="United States"/>
    <s v="Arizona"/>
    <s v="Valid"/>
    <s v="South Melissa"/>
  </r>
  <r>
    <s v="#1906"/>
    <n v="1"/>
    <d v="2026-08-04T13:55:43"/>
    <d v="2026-08-04T13:55:43"/>
    <s v="Tracy Adams"/>
    <x v="0"/>
    <s v="tracy.adams712@icloud.com"/>
    <s v="Classic Cotton T-Shirt"/>
    <x v="3"/>
    <s v="Apparel"/>
    <x v="3"/>
    <n v="1"/>
    <n v="14.99"/>
    <n v="14.99"/>
    <m/>
    <x v="0"/>
    <n v="0"/>
    <n v="0"/>
    <s v="Number"/>
    <n v="4.99"/>
    <n v="4.99"/>
    <n v="19.98"/>
    <n v="19.98"/>
    <n v="19.98"/>
    <s v="True"/>
    <s v="Normal"/>
    <s v="Google Pay"/>
    <x v="0"/>
    <s v="fulfilled"/>
    <s v="United States"/>
    <s v="NC"/>
    <s v="Valid"/>
    <s v="Jacksonside"/>
  </r>
  <r>
    <s v="#1930"/>
    <n v="1"/>
    <d v="2026-04-08T00:00:00"/>
    <s v="08/04/2026"/>
    <s v="Vincent Rosales"/>
    <x v="0"/>
    <s v="vincent.rosales30@icloud.com"/>
    <s v="Classic Cotton T-Shirt"/>
    <x v="3"/>
    <s v="Apparel"/>
    <x v="4"/>
    <n v="1"/>
    <n v="14.99"/>
    <n v="14.99"/>
    <s v="VIP15"/>
    <x v="4"/>
    <n v="2.25"/>
    <n v="2.25"/>
    <s v="Number"/>
    <n v="5.99"/>
    <n v="5.99"/>
    <n v="18.73"/>
    <n v="18.73"/>
    <n v="18.73"/>
    <s v="True"/>
    <s v="Normal"/>
    <s v="PayPal"/>
    <x v="2"/>
    <s v="fulfilled"/>
    <s v="United States"/>
    <s v="Florida"/>
    <s v="Valid"/>
    <s v="South Cheyenne"/>
  </r>
  <r>
    <s v="#1932"/>
    <n v="1"/>
    <d v="2026-08-04T13:56:42"/>
    <d v="2026-08-04T13:56:42"/>
    <s v="Jaime Vargas"/>
    <x v="0"/>
    <s v="jaime.vargas795@outlook.com"/>
    <s v="Classic Cotton T-Shirt"/>
    <x v="3"/>
    <s v="Apparel"/>
    <x v="4"/>
    <n v="1"/>
    <n v="14.99"/>
    <n v="14.99"/>
    <s v="FREESHIP"/>
    <x v="5"/>
    <n v="0"/>
    <n v="0"/>
    <s v="Number"/>
    <n v="0"/>
    <n v="0"/>
    <n v="14.99"/>
    <n v="14.99"/>
    <n v="14.99"/>
    <s v="True"/>
    <s v="Normal"/>
    <s v="PayPal"/>
    <x v="0"/>
    <s v="fulfilled"/>
    <s v="United Kingdom"/>
    <m/>
    <s v="Not Required"/>
    <s v="Port Douglas"/>
  </r>
  <r>
    <s v="#1933"/>
    <n v="1"/>
    <d v="2026-08-04T13:55:58"/>
    <d v="2026-08-04T13:55:58"/>
    <s v="Amanda Harris"/>
    <x v="0"/>
    <s v="amanda.harris197@gmail.com"/>
    <s v="Classic Cotton T-Shirt"/>
    <x v="3"/>
    <s v="Apparel"/>
    <x v="4"/>
    <n v="2"/>
    <n v="14.99"/>
    <n v="14.99"/>
    <s v="VIP15"/>
    <x v="4"/>
    <n v="4.5"/>
    <n v="4.5"/>
    <s v="Number"/>
    <n v="5.99"/>
    <n v="5.99"/>
    <n v="31.47"/>
    <n v="31.47"/>
    <n v="31.47"/>
    <s v="True"/>
    <s v="Normal"/>
    <s v="Apple Pay"/>
    <x v="3"/>
    <s v="cancelled"/>
    <s v="United States"/>
    <s v="Arizona"/>
    <s v="Valid"/>
    <s v="Lake Wandaport"/>
  </r>
  <r>
    <s v="#1947"/>
    <n v="1"/>
    <d v="2026-08-04T13:57:02"/>
    <d v="2026-08-04T13:57:02"/>
    <s v="Natalie Dixon"/>
    <x v="0"/>
    <s v="natalie.dixon388@outlook.com"/>
    <s v="Classic Cotton T-Shirt"/>
    <x v="3"/>
    <s v="Apparel"/>
    <x v="3"/>
    <n v="2"/>
    <n v="14.99"/>
    <n v="14.99"/>
    <m/>
    <x v="0"/>
    <n v="0"/>
    <n v="0"/>
    <s v="Number"/>
    <n v="7.99"/>
    <n v="7.99"/>
    <n v="37.97"/>
    <n v="37.97"/>
    <n v="37.97"/>
    <s v="True"/>
    <s v="Normal"/>
    <s v="Apple Pay"/>
    <x v="2"/>
    <s v="refunded"/>
    <s v="United States"/>
    <s v="Washington"/>
    <s v="Valid"/>
    <s v="North Raymond"/>
  </r>
  <r>
    <s v="#1970"/>
    <n v="1"/>
    <d v="2026-08-04T13:59:55"/>
    <d v="2026-08-04T13:59:55"/>
    <s v="George Gould"/>
    <x v="0"/>
    <s v="george.gould10@yahoo.com"/>
    <s v="Classic Cotton T-Shirt"/>
    <x v="3"/>
    <s v="Apparel"/>
    <x v="4"/>
    <n v="1"/>
    <n v="14.99"/>
    <n v="14.99"/>
    <m/>
    <x v="0"/>
    <n v="0"/>
    <n v="0"/>
    <s v="Number"/>
    <n v="5.99"/>
    <n v="5.99"/>
    <n v="20.98"/>
    <n v="20.98"/>
    <n v="20.98"/>
    <s v="True"/>
    <s v="Normal"/>
    <s v="Shopify Payments"/>
    <x v="3"/>
    <s v="fulfilled"/>
    <s v="Canada"/>
    <m/>
    <s v="Not Required"/>
    <s v="Bradfordbury"/>
  </r>
  <r>
    <s v="#1974"/>
    <n v="1"/>
    <d v="2026-08-04T13:54:51"/>
    <d v="2026-08-04T13:54:51"/>
    <s v="Stephanie Miller"/>
    <x v="0"/>
    <s v="stephanie.miller962@yahoo.com"/>
    <s v="Classic Cotton T-Shirt"/>
    <x v="3"/>
    <s v="Apparel"/>
    <x v="3"/>
    <n v="1"/>
    <n v="14.99"/>
    <n v="14.99"/>
    <s v="WELCOME10"/>
    <x v="1"/>
    <n v="1.5"/>
    <n v="1.5"/>
    <s v="Number"/>
    <n v="5.99"/>
    <n v="5.99"/>
    <n v="19.48"/>
    <n v="19.48"/>
    <n v="19.48"/>
    <s v="True"/>
    <s v="Normal"/>
    <s v="Shopify Payments"/>
    <x v="0"/>
    <s v="fulfilled"/>
    <s v="United Kingdom"/>
    <m/>
    <s v="Not Required"/>
    <s v="Jeremychester"/>
  </r>
  <r>
    <s v="#1991"/>
    <n v="1"/>
    <d v="2026-08-04T00:00:00"/>
    <s v="04-08-2026 13:58"/>
    <s v="PAUL PRATT"/>
    <x v="0"/>
    <s v="paul.pratt856@outlook.com"/>
    <s v="Classic Cotton T-Shirt"/>
    <x v="3"/>
    <s v="Apparel"/>
    <x v="4"/>
    <n v="1"/>
    <n v="14.99"/>
    <n v="14.99"/>
    <s v="VIP15"/>
    <x v="4"/>
    <s v="$2.25"/>
    <n v="2.25"/>
    <s v="Number"/>
    <n v="4.99"/>
    <n v="4.99"/>
    <n v="17.73"/>
    <n v="17.73"/>
    <n v="17.73"/>
    <s v="True"/>
    <s v="Normal"/>
    <s v="Apple Pay"/>
    <x v="1"/>
    <s v="refunded"/>
    <s v="United States"/>
    <s v="Texas"/>
    <s v="Valid"/>
    <s v="Millershire"/>
  </r>
  <r>
    <s v="#2001"/>
    <n v="1"/>
    <d v="2026-08-04T14:05:06"/>
    <d v="2026-08-04T14:05:06"/>
    <s v="Glenn Smith"/>
    <x v="0"/>
    <s v="glenn.smith305@gmail.com"/>
    <s v="Classic Cotton T-Shirt"/>
    <x v="3"/>
    <s v="Apparel"/>
    <x v="4"/>
    <n v="1"/>
    <n v="14.99"/>
    <n v="14.99"/>
    <m/>
    <x v="0"/>
    <n v="0"/>
    <n v="0"/>
    <s v="Number"/>
    <n v="7.99"/>
    <n v="7.99"/>
    <n v="22.98"/>
    <n v="22.98"/>
    <n v="22.98"/>
    <s v="True"/>
    <s v="Normal"/>
    <s v="PayPal"/>
    <x v="0"/>
    <s v="pending"/>
    <s v="Canada"/>
    <m/>
    <s v="Not Required"/>
    <s v="South Amymouth"/>
  </r>
  <r>
    <s v="#2007"/>
    <n v="1"/>
    <d v="2026-08-04T14:00:24"/>
    <d v="2026-08-04T14:00:24"/>
    <s v="David Torres"/>
    <x v="1"/>
    <m/>
    <s v="Classic Cotton T-Shirt"/>
    <x v="3"/>
    <s v="Apparel"/>
    <x v="3"/>
    <n v="1"/>
    <n v="14.99"/>
    <n v="14.99"/>
    <s v="FREESHIP"/>
    <x v="5"/>
    <n v="0"/>
    <n v="0"/>
    <s v="Number"/>
    <n v="0"/>
    <n v="0"/>
    <n v="14.99"/>
    <n v="14.99"/>
    <n v="14.99"/>
    <s v="True"/>
    <s v="Normal"/>
    <s v="Shopify Payments"/>
    <x v="0"/>
    <s v="pending"/>
    <s v="United States"/>
    <s v="New York"/>
    <s v="Valid"/>
    <s v="Dennisfort"/>
  </r>
  <r>
    <s v="#2008"/>
    <n v="1"/>
    <d v="2026-08-04T14:08:04"/>
    <d v="2026-08-04T14:08:04"/>
    <s v="Jacob Gibbs"/>
    <x v="0"/>
    <s v="jacob.gibbs527@gmail.com"/>
    <s v="Classic Cotton T-Shirt"/>
    <x v="3"/>
    <s v="Apparel"/>
    <x v="4"/>
    <n v="2"/>
    <n v="14.99"/>
    <n v="14.99"/>
    <m/>
    <x v="0"/>
    <n v="0"/>
    <n v="0"/>
    <s v="Number"/>
    <n v="4.99"/>
    <n v="4.99"/>
    <n v="34.97"/>
    <n v="34.97"/>
    <n v="34.97"/>
    <s v="True"/>
    <s v="Normal"/>
    <s v="Shopify Payments"/>
    <x v="0"/>
    <s v="fulfilled"/>
    <s v="United States"/>
    <s v="North Carolina"/>
    <s v="Valid"/>
    <s v="Keyburgh"/>
  </r>
  <r>
    <s v="#2029"/>
    <n v="1"/>
    <d v="2026-08-04T13:57:39"/>
    <d v="2026-08-04T13:57:39"/>
    <s v="Brian Gardner"/>
    <x v="0"/>
    <s v="brian.gardner260@outlook.com"/>
    <s v="Classic Cotton T-Shirt"/>
    <x v="3"/>
    <s v="Apparel"/>
    <x v="4"/>
    <n v="1"/>
    <n v="14.99"/>
    <n v="14.99"/>
    <s v="BFCM25"/>
    <x v="3"/>
    <n v="3.75"/>
    <n v="3.75"/>
    <s v="Number"/>
    <n v="4.99"/>
    <n v="4.99"/>
    <s v="$16.23"/>
    <n v="16.23"/>
    <n v="16.23"/>
    <s v="True"/>
    <s v="Normal"/>
    <s v="Shopify Payments"/>
    <x v="2"/>
    <s v="fulfilled"/>
    <s v="United States"/>
    <s v="North Carolina"/>
    <s v="Valid"/>
    <s v="Emilyton"/>
  </r>
  <r>
    <s v="#2065"/>
    <n v="1"/>
    <d v="2026-08-04T14:05:57"/>
    <d v="2026-08-04T14:05:57"/>
    <s v="Sarah Mendoza"/>
    <x v="0"/>
    <s v="sarah.mendoza691@outlook.com"/>
    <s v="Classic Cotton T-Shirt"/>
    <x v="3"/>
    <s v="Apparel"/>
    <x v="3"/>
    <n v="1"/>
    <n v="14.99"/>
    <n v="14.99"/>
    <s v="FREESHIP"/>
    <x v="5"/>
    <n v="0"/>
    <n v="0"/>
    <s v="Number"/>
    <n v="0"/>
    <n v="0"/>
    <n v="14.99"/>
    <n v="14.99"/>
    <n v="14.99"/>
    <s v="True"/>
    <s v="Normal"/>
    <s v="Apple Pay"/>
    <x v="0"/>
    <s v="fulfilled"/>
    <s v="United States"/>
    <s v="Illinois"/>
    <s v="Valid"/>
    <s v="North Maria"/>
  </r>
  <r>
    <s v="#2078"/>
    <n v="1"/>
    <d v="2026-08-04T13:56:27"/>
    <d v="2026-08-04T13:56:27"/>
    <s v="Daniel Hill"/>
    <x v="0"/>
    <s v="daniel.hill472@outlook.com"/>
    <s v="Classic Cotton T-Shirt"/>
    <x v="3"/>
    <s v="Apparel"/>
    <x v="4"/>
    <n v="2"/>
    <s v="$14.99"/>
    <n v="14.99"/>
    <s v="BFCM25"/>
    <x v="3"/>
    <n v="7.5"/>
    <n v="7.5"/>
    <s v="Number"/>
    <n v="4.99"/>
    <n v="4.99"/>
    <n v="27.47"/>
    <n v="27.47"/>
    <n v="27.47"/>
    <s v="True"/>
    <s v="Normal"/>
    <s v="Google Pay"/>
    <x v="0"/>
    <s v="refunded"/>
    <s v="Australia"/>
    <m/>
    <s v="Not Required"/>
    <s v="East Cheryl"/>
  </r>
  <r>
    <s v="#2108"/>
    <n v="1"/>
    <d v="2026-08-04T14:02:38"/>
    <d v="2026-08-04T14:02:38"/>
    <s v="Johnathan Everett"/>
    <x v="0"/>
    <s v="johnathan.everett6@outlook.com"/>
    <s v="Classic Cotton T-Shirt"/>
    <x v="3"/>
    <s v="Apparel"/>
    <x v="4"/>
    <n v="1"/>
    <s v="$14.99"/>
    <n v="14.99"/>
    <m/>
    <x v="0"/>
    <n v="0"/>
    <n v="0"/>
    <s v="Number"/>
    <n v="4.99"/>
    <n v="4.99"/>
    <n v="19.98"/>
    <n v="19.98"/>
    <n v="19.98"/>
    <s v="True"/>
    <s v="Normal"/>
    <s v="Google Pay"/>
    <x v="0"/>
    <s v="fulfilled"/>
    <s v="United States"/>
    <s v="California"/>
    <s v="Valid"/>
    <s v="Mooreshire"/>
  </r>
  <r>
    <s v="#2135"/>
    <n v="1"/>
    <d v="2026-08-04T14:00:03"/>
    <d v="2026-08-04T14:00:03"/>
    <s v="Sandra Potter"/>
    <x v="0"/>
    <s v="sandra.potter166@yahoo.com"/>
    <s v="Classic Cotton T-Shirt"/>
    <x v="3"/>
    <s v="Apparel"/>
    <x v="4"/>
    <n v="1"/>
    <n v="14.99"/>
    <n v="14.99"/>
    <s v="WELCOME10"/>
    <x v="1"/>
    <n v="1.5"/>
    <n v="1.5"/>
    <s v="Number"/>
    <n v="7.99"/>
    <n v="7.99"/>
    <n v="21.48"/>
    <n v="21.48"/>
    <n v="21.48"/>
    <s v="True"/>
    <s v="Normal"/>
    <s v="Shopify Payments"/>
    <x v="0"/>
    <s v="pending"/>
    <s v="United States"/>
    <s v="Illinois"/>
    <s v="Valid"/>
    <s v="East Julian"/>
  </r>
  <r>
    <s v="#2141"/>
    <n v="1"/>
    <d v="2026-08-04T13:57:23"/>
    <d v="2026-08-04T13:57:23"/>
    <s v="Kenneth Davis"/>
    <x v="0"/>
    <s v="kenneth.davis106@yahoo.com"/>
    <s v="Classic Cotton T-Shirt"/>
    <x v="3"/>
    <s v="Apparel"/>
    <x v="3"/>
    <n v="2"/>
    <n v="14.99"/>
    <n v="14.99"/>
    <s v="WELCOME10"/>
    <x v="1"/>
    <n v="3"/>
    <n v="3"/>
    <s v="Number"/>
    <n v="7.99"/>
    <n v="7.99"/>
    <s v="$34.97"/>
    <n v="34.97"/>
    <n v="34.97"/>
    <s v="True"/>
    <s v="Normal"/>
    <s v="Apple Pay"/>
    <x v="0"/>
    <s v="pending"/>
    <s v="United States"/>
    <s v="Ohio"/>
    <s v="Valid"/>
    <s v="West Laurahaven"/>
  </r>
  <r>
    <s v="#2145"/>
    <n v="1"/>
    <d v="2026-08-04T13:56:00"/>
    <d v="2026-08-04T13:56:00"/>
    <s v="Joshua Miller"/>
    <x v="0"/>
    <s v="joshua.miller362@gmail.com"/>
    <s v="Classic Cotton T-Shirt"/>
    <x v="3"/>
    <s v="Apparel"/>
    <x v="3"/>
    <n v="1"/>
    <n v="14.99"/>
    <n v="14.99"/>
    <s v="SAVE20"/>
    <x v="2"/>
    <n v="3"/>
    <n v="3"/>
    <s v="Number"/>
    <n v="4.99"/>
    <n v="4.99"/>
    <n v="16.98"/>
    <n v="16.98"/>
    <n v="16.98"/>
    <s v="True"/>
    <s v="Normal"/>
    <s v="Shopify Payments"/>
    <x v="0"/>
    <s v="cancelled"/>
    <s v="Canada"/>
    <m/>
    <s v="Not Required"/>
    <s v="Freemanville"/>
  </r>
  <r>
    <s v="#2148"/>
    <n v="1"/>
    <d v="2026-08-04T13:58:26"/>
    <d v="2026-08-04T13:58:26"/>
    <s v="  Jane Gregory"/>
    <x v="0"/>
    <s v="jane.gregory935@icloud.com"/>
    <s v="Classic Cotton T-Shirt"/>
    <x v="3"/>
    <s v="Apparel"/>
    <x v="4"/>
    <n v="1"/>
    <n v="14.99"/>
    <n v="14.99"/>
    <s v="FREESHIP"/>
    <x v="5"/>
    <n v="0"/>
    <n v="0"/>
    <s v="Number"/>
    <n v="0"/>
    <n v="0"/>
    <n v="14.99"/>
    <n v="14.99"/>
    <n v="14.99"/>
    <s v="True"/>
    <s v="Normal"/>
    <s v="PayPal"/>
    <x v="0"/>
    <s v="refunded"/>
    <s v="Germany"/>
    <m/>
    <s v="Not Required"/>
    <s v="Lake Cynthia"/>
  </r>
  <r>
    <s v="#2168"/>
    <n v="1"/>
    <d v="2026-08-04T13:53:39"/>
    <d v="2026-08-04T13:53:39"/>
    <s v="Anthony Patterson"/>
    <x v="1"/>
    <m/>
    <s v="Classic Cotton T-Shirt"/>
    <x v="3"/>
    <s v="Apparel"/>
    <x v="3"/>
    <n v="1"/>
    <s v="$14.99"/>
    <n v="14.99"/>
    <s v="VIP15"/>
    <x v="4"/>
    <n v="2.25"/>
    <n v="2.25"/>
    <s v="Number"/>
    <n v="7.99"/>
    <n v="7.99"/>
    <n v="20.73"/>
    <n v="20.73"/>
    <n v="20.73"/>
    <s v="True"/>
    <s v="Normal"/>
    <s v="Google Pay"/>
    <x v="0"/>
    <s v="fulfilled"/>
    <s v="Pakistan"/>
    <m/>
    <s v="Not Required"/>
    <s v="Gailmouth"/>
  </r>
  <r>
    <s v="#2180"/>
    <n v="1"/>
    <d v="2026-08-04T13:59:05"/>
    <d v="2026-08-04T13:59:05"/>
    <s v="Autumn Stewart"/>
    <x v="0"/>
    <s v="autumn.stewart565@outlook.com"/>
    <s v="Classic Cotton T-Shirt"/>
    <x v="3"/>
    <s v="Apparel"/>
    <x v="3"/>
    <n v="3"/>
    <n v="14.99"/>
    <n v="14.99"/>
    <m/>
    <x v="0"/>
    <s v="$0.00"/>
    <n v="0"/>
    <s v="Number"/>
    <n v="4.99"/>
    <n v="4.99"/>
    <n v="49.96"/>
    <n v="49.96"/>
    <n v="49.96"/>
    <s v="True"/>
    <s v="Normal"/>
    <s v="Shopify Payments"/>
    <x v="0"/>
    <s v="refunded"/>
    <s v="United Kingdom"/>
    <m/>
    <s v="Not Required"/>
    <s v="Taylorshire"/>
  </r>
  <r>
    <s v="#2183"/>
    <n v="1"/>
    <d v="2026-08-04T13:55:57"/>
    <d v="2026-08-04T13:55:57"/>
    <s v="Melinda Williams"/>
    <x v="0"/>
    <s v="melinda.williams310@icloud.com"/>
    <s v="Classic Cotton T-Shirt"/>
    <x v="3"/>
    <s v="Apparel"/>
    <x v="4"/>
    <n v="1"/>
    <n v="14.99"/>
    <n v="14.99"/>
    <s v="VIP15"/>
    <x v="4"/>
    <n v="2.25"/>
    <n v="2.25"/>
    <s v="Number"/>
    <n v="7.99"/>
    <n v="7.99"/>
    <n v="20.73"/>
    <n v="20.73"/>
    <n v="20.73"/>
    <s v="True"/>
    <s v="Normal"/>
    <s v="Apple Pay"/>
    <x v="3"/>
    <s v="fulfilled"/>
    <s v="United States"/>
    <s v="GA"/>
    <s v="Valid"/>
    <s v="East Lesliefort"/>
  </r>
  <r>
    <s v="#2198"/>
    <n v="1"/>
    <d v="2026-08-04T14:03:03"/>
    <d v="2026-08-04T14:03:03"/>
    <s v="Autumn Stewart"/>
    <x v="0"/>
    <s v="autumn.stewart565@outlook.com"/>
    <s v="Classic Cotton T-Shirt"/>
    <x v="3"/>
    <s v="Apparel"/>
    <x v="3"/>
    <n v="1"/>
    <n v="14.99"/>
    <n v="14.99"/>
    <s v="BFCM25"/>
    <x v="3"/>
    <n v="3.75"/>
    <n v="3.75"/>
    <s v="Number"/>
    <n v="7.99"/>
    <n v="7.99"/>
    <n v="19.23"/>
    <n v="19.23"/>
    <n v="19.23"/>
    <s v="True"/>
    <s v="Normal"/>
    <s v="Google Pay"/>
    <x v="0"/>
    <s v="fulfilled"/>
    <s v="United Kingdom"/>
    <m/>
    <s v="Not Required"/>
    <s v="Gloriafurt"/>
  </r>
  <r>
    <s v="#2228"/>
    <n v="1"/>
    <d v="2026-08-04T14:02:10"/>
    <d v="2026-08-04T14:02:10"/>
    <s v="Timothy Weaver"/>
    <x v="0"/>
    <s v="timothy.weaver591@gmail.com"/>
    <s v="Classic Cotton T-Shirt"/>
    <x v="3"/>
    <s v="Apparel"/>
    <x v="3"/>
    <n v="1"/>
    <n v="14.99"/>
    <n v="14.99"/>
    <s v="SAVE20"/>
    <x v="2"/>
    <n v="3"/>
    <n v="3"/>
    <s v="Number"/>
    <n v="4.99"/>
    <n v="4.99"/>
    <n v="16.98"/>
    <n v="16.98"/>
    <n v="16.98"/>
    <s v="True"/>
    <s v="Normal"/>
    <s v="Shopify Payments"/>
    <x v="0"/>
    <s v="cancelled"/>
    <s v="Australia"/>
    <m/>
    <s v="Not Required"/>
    <s v="Williamschester"/>
  </r>
  <r>
    <s v="#2239"/>
    <n v="1"/>
    <d v="2026-08-04T00:00:00"/>
    <s v="04-08-2026 14:04"/>
    <s v="Sandra Wilson"/>
    <x v="0"/>
    <s v="sandra.wilson554@outlook.com"/>
    <s v="Classic Cotton T-Shirt"/>
    <x v="3"/>
    <s v="Apparel"/>
    <x v="3"/>
    <n v="1"/>
    <n v="14.99"/>
    <n v="14.99"/>
    <m/>
    <x v="0"/>
    <n v="0"/>
    <n v="0"/>
    <s v="Number"/>
    <n v="4.99"/>
    <n v="4.99"/>
    <s v="$19.98"/>
    <n v="19.98"/>
    <n v="19.98"/>
    <s v="True"/>
    <s v="Normal"/>
    <s v="Apple Pay"/>
    <x v="0"/>
    <s v="fulfilled"/>
    <s v="Canada"/>
    <m/>
    <s v="Not Required"/>
    <s v="Popeberg"/>
  </r>
  <r>
    <s v="#2256"/>
    <n v="1"/>
    <d v="2026-04-08T00:00:00"/>
    <s v="08/04/2026"/>
    <s v="Jaime Vargas"/>
    <x v="0"/>
    <s v="jaime.vargas795@outlook.com"/>
    <s v="Classic Cotton T-Shirt"/>
    <x v="3"/>
    <s v="Apparel"/>
    <x v="4"/>
    <n v="1"/>
    <n v="14.99"/>
    <n v="14.99"/>
    <s v="BFCM25"/>
    <x v="3"/>
    <n v="3.75"/>
    <n v="3.75"/>
    <s v="Number"/>
    <n v="7.99"/>
    <n v="7.99"/>
    <n v="19.23"/>
    <n v="19.23"/>
    <n v="19.23"/>
    <s v="True"/>
    <s v="Normal"/>
    <s v="Google Pay"/>
    <x v="1"/>
    <s v="refunded"/>
    <s v="United Kingdom"/>
    <m/>
    <s v="Not Required"/>
    <s v="Port Rodney"/>
  </r>
  <r>
    <s v="#2272"/>
    <n v="1"/>
    <d v="2026-04-08T00:00:00"/>
    <s v="08/04/2026"/>
    <s v="Marcus Sloan"/>
    <x v="1"/>
    <m/>
    <s v="Classic Cotton T-Shirt"/>
    <x v="3"/>
    <s v="Apparel"/>
    <x v="3"/>
    <n v="2"/>
    <s v="$14.99"/>
    <n v="14.99"/>
    <s v="WELCOME10"/>
    <x v="1"/>
    <n v="3"/>
    <n v="3"/>
    <s v="Number"/>
    <n v="4.99"/>
    <n v="4.99"/>
    <n v="31.97"/>
    <n v="31.97"/>
    <n v="31.97"/>
    <s v="True"/>
    <s v="Normal"/>
    <s v="Shopify Payments"/>
    <x v="0"/>
    <s v="refunded"/>
    <s v="United States"/>
    <s v="Florida"/>
    <s v="Valid"/>
    <s v="North Kevinville"/>
  </r>
  <r>
    <s v="#2279"/>
    <n v="1"/>
    <d v="2026-08-04T14:06:32"/>
    <d v="2026-08-04T14:06:32"/>
    <s v="Christopher Martin"/>
    <x v="0"/>
    <s v="christopher.martin10@gmail.com"/>
    <s v="Classic Cotton T-Shirt"/>
    <x v="3"/>
    <s v="Apparel"/>
    <x v="3"/>
    <n v="1"/>
    <n v="14.99"/>
    <n v="14.99"/>
    <m/>
    <x v="0"/>
    <n v="0"/>
    <n v="0"/>
    <s v="Number"/>
    <n v="7.99"/>
    <n v="7.99"/>
    <n v="22.98"/>
    <n v="22.98"/>
    <n v="22.98"/>
    <s v="True"/>
    <s v="Normal"/>
    <s v="PayPal"/>
    <x v="3"/>
    <s v="fulfilled"/>
    <s v="United States"/>
    <s v="North Carolina"/>
    <s v="Valid"/>
    <s v="New Angela"/>
  </r>
  <r>
    <s v="#2280"/>
    <n v="1"/>
    <d v="2026-04-08T00:00:00"/>
    <s v="08/04/2026"/>
    <s v="Allen Diaz"/>
    <x v="0"/>
    <s v="allen.diaz546@gmail.com"/>
    <s v="Classic Cotton T-Shirt"/>
    <x v="3"/>
    <s v="Apparel"/>
    <x v="4"/>
    <n v="1"/>
    <n v="14.99"/>
    <n v="14.99"/>
    <s v="BFCM25"/>
    <x v="3"/>
    <n v="3.75"/>
    <n v="3.75"/>
    <s v="Number"/>
    <n v="5.99"/>
    <n v="5.99"/>
    <n v="17.23"/>
    <n v="17.23"/>
    <n v="17.23"/>
    <s v="True"/>
    <s v="Normal"/>
    <s v="Apple Pay"/>
    <x v="0"/>
    <s v="fulfilled"/>
    <s v="United States"/>
    <s v="Georgia"/>
    <s v="Valid"/>
    <s v="East Peggyport"/>
  </r>
  <r>
    <s v="#2295"/>
    <n v="1"/>
    <d v="2026-08-04T13:54:19"/>
    <d v="2026-08-04T13:54:19"/>
    <s v="MICHELE DAVIS"/>
    <x v="0"/>
    <s v="michele.davis844@gmail.com"/>
    <s v="Classic Cotton T-Shirt"/>
    <x v="3"/>
    <s v="Apparel"/>
    <x v="3"/>
    <n v="2"/>
    <n v="14.99"/>
    <n v="14.99"/>
    <m/>
    <x v="0"/>
    <n v="0"/>
    <n v="0"/>
    <s v="Number"/>
    <n v="7.99"/>
    <n v="7.99"/>
    <n v="37.97"/>
    <n v="37.97"/>
    <n v="37.97"/>
    <s v="True"/>
    <s v="Normal"/>
    <s v="Google Pay"/>
    <x v="0"/>
    <s v="fulfilled"/>
    <s v="Australia"/>
    <m/>
    <s v="Not Required"/>
    <s v="North April"/>
  </r>
  <r>
    <s v="#2308"/>
    <n v="1"/>
    <d v="2026-04-08T00:00:00"/>
    <s v="08/04/2026"/>
    <s v="Michael Hays"/>
    <x v="0"/>
    <s v="michael.hays590@gmail.com"/>
    <s v="Classic Cotton T-Shirt"/>
    <x v="3"/>
    <s v="Apparel"/>
    <x v="4"/>
    <n v="1"/>
    <n v="14.99"/>
    <n v="14.99"/>
    <s v="VIP15"/>
    <x v="4"/>
    <n v="2.25"/>
    <n v="2.25"/>
    <s v="Number"/>
    <n v="7.99"/>
    <n v="7.99"/>
    <n v="20.73"/>
    <n v="20.73"/>
    <n v="20.73"/>
    <s v="True"/>
    <s v="Normal"/>
    <s v="PayPal"/>
    <x v="0"/>
    <s v="fulfilled"/>
    <s v="United States"/>
    <s v="Georgia"/>
    <s v="Valid"/>
    <s v="Joseborough"/>
  </r>
  <r>
    <s v="#2323"/>
    <n v="1"/>
    <d v="2026-08-04T14:05:38"/>
    <d v="2026-08-04T14:05:38"/>
    <s v="Devin Jones"/>
    <x v="0"/>
    <s v="devin.jones807@yahoo.com"/>
    <s v="Classic Cotton T-Shirt"/>
    <x v="3"/>
    <s v="Apparel"/>
    <x v="3"/>
    <n v="2"/>
    <s v="$14.99"/>
    <n v="14.99"/>
    <s v="BFCM25"/>
    <x v="3"/>
    <n v="7.5"/>
    <n v="7.5"/>
    <s v="Number"/>
    <n v="5.99"/>
    <n v="5.99"/>
    <n v="28.47"/>
    <n v="28.47"/>
    <n v="28.47"/>
    <s v="True"/>
    <s v="Normal"/>
    <s v="Shopify Payments"/>
    <x v="0"/>
    <s v="pending"/>
    <s v="Pakistan"/>
    <m/>
    <s v="Not Required"/>
    <s v="Edwardside"/>
  </r>
  <r>
    <s v="#2324"/>
    <n v="1"/>
    <d v="2026-08-04T13:55:50"/>
    <d v="2026-08-04T13:55:50"/>
    <s v="David Duke"/>
    <x v="0"/>
    <s v="david.duke814@icloud.com"/>
    <s v="Classic Cotton T-Shirt"/>
    <x v="3"/>
    <s v="Apparel"/>
    <x v="3"/>
    <n v="1"/>
    <n v="14.99"/>
    <n v="14.99"/>
    <m/>
    <x v="0"/>
    <n v="0"/>
    <n v="0"/>
    <s v="Number"/>
    <n v="5.99"/>
    <n v="5.99"/>
    <s v="$20.98"/>
    <n v="20.98"/>
    <n v="20.98"/>
    <s v="True"/>
    <s v="Normal"/>
    <s v="Apple Pay"/>
    <x v="0"/>
    <s v="fulfilled"/>
    <s v="United States"/>
    <s v="Canada"/>
    <s v="Valid"/>
    <s v="Lake Steven"/>
  </r>
  <r>
    <s v="#2329"/>
    <n v="1"/>
    <d v="2026-08-04T13:59:59"/>
    <d v="2026-08-04T13:59:59"/>
    <s v="Amanda Rodriguez"/>
    <x v="0"/>
    <s v="amanda.rodriguez770@yahoo.com"/>
    <s v="Classic Cotton T-Shirt"/>
    <x v="3"/>
    <s v="Apparel"/>
    <x v="3"/>
    <n v="1"/>
    <n v="14.99"/>
    <n v="14.99"/>
    <m/>
    <x v="0"/>
    <n v="0"/>
    <n v="0"/>
    <s v="Number"/>
    <n v="7.99"/>
    <n v="7.99"/>
    <n v="22.98"/>
    <n v="22.98"/>
    <n v="22.98"/>
    <s v="True"/>
    <s v="Normal"/>
    <s v="Apple Pay"/>
    <x v="0"/>
    <s v="refunded"/>
    <s v="United States"/>
    <s v="California"/>
    <s v="Valid"/>
    <s v="North Cynthia"/>
  </r>
  <r>
    <s v="#2346"/>
    <n v="1"/>
    <d v="2026-08-04T13:53:54"/>
    <d v="2026-08-04T13:53:54"/>
    <s v="Maldonado, Timothy"/>
    <x v="0"/>
    <s v="timothy.maldonado551@gmail.com"/>
    <s v="Classic Cotton T-Shirt"/>
    <x v="3"/>
    <s v="Apparel"/>
    <x v="4"/>
    <n v="1"/>
    <n v="14.99"/>
    <n v="14.99"/>
    <s v="WELCOME10"/>
    <x v="1"/>
    <n v="1.5"/>
    <n v="1.5"/>
    <s v="Number"/>
    <n v="5.99"/>
    <n v="5.99"/>
    <n v="19.48"/>
    <n v="19.48"/>
    <n v="19.48"/>
    <s v="True"/>
    <s v="Normal"/>
    <s v="PayPal"/>
    <x v="2"/>
    <s v="fulfilled"/>
    <s v="United States"/>
    <s v="Arizona"/>
    <s v="Valid"/>
    <s v="West Jamie"/>
  </r>
  <r>
    <s v="#2349"/>
    <n v="1"/>
    <d v="2026-08-04T14:03:02"/>
    <d v="2026-08-04T14:03:02"/>
    <s v="Eric Bailey"/>
    <x v="0"/>
    <s v="eric.bailey970@yahoo.com"/>
    <s v="Classic Cotton T-Shirt"/>
    <x v="3"/>
    <s v="Apparel"/>
    <x v="4"/>
    <n v="1"/>
    <n v="14.99"/>
    <n v="14.99"/>
    <s v="BFCM25"/>
    <x v="3"/>
    <n v="3.75"/>
    <n v="3.75"/>
    <s v="Number"/>
    <n v="7.99"/>
    <n v="7.99"/>
    <n v="19.23"/>
    <n v="19.23"/>
    <n v="19.23"/>
    <s v="True"/>
    <s v="Normal"/>
    <s v="Shopify Payments"/>
    <x v="0"/>
    <s v="fulfilled"/>
    <s v="United Kingdom"/>
    <m/>
    <s v="Not Required"/>
    <s v="Nealtown"/>
  </r>
  <r>
    <s v="#2375"/>
    <n v="1"/>
    <d v="2026-08-04T13:54:31"/>
    <d v="2026-08-04T13:54:31"/>
    <s v="Julie Hoffman"/>
    <x v="0"/>
    <s v="julie.hoffman913@gmail.com"/>
    <s v="Classic Cotton T-Shirt"/>
    <x v="3"/>
    <s v="Apparel"/>
    <x v="3"/>
    <n v="1"/>
    <n v="14.99"/>
    <n v="14.99"/>
    <m/>
    <x v="0"/>
    <n v="0"/>
    <n v="0"/>
    <s v="Number"/>
    <n v="7.99"/>
    <n v="7.99"/>
    <n v="22.98"/>
    <n v="22.98"/>
    <n v="22.98"/>
    <s v="True"/>
    <s v="Normal"/>
    <s v="PayPal"/>
    <x v="0"/>
    <s v="cancelled"/>
    <s v="United States"/>
    <s v="California"/>
    <s v="Valid"/>
    <s v="Thomastown"/>
  </r>
  <r>
    <s v="#2381"/>
    <n v="1"/>
    <d v="2026-08-04T14:07:11"/>
    <d v="2026-08-04T14:07:11"/>
    <s v="Vincent Rosales"/>
    <x v="0"/>
    <s v="vincent.rosales30@icloud.com"/>
    <s v="Classic Cotton T-Shirt"/>
    <x v="3"/>
    <s v="Apparel"/>
    <x v="4"/>
    <n v="1"/>
    <n v="14.99"/>
    <n v="14.99"/>
    <s v="BFCM25"/>
    <x v="3"/>
    <n v="3.75"/>
    <n v="3.75"/>
    <s v="Number"/>
    <n v="5.99"/>
    <n v="5.99"/>
    <n v="17.23"/>
    <n v="17.23"/>
    <n v="17.23"/>
    <s v="True"/>
    <s v="Normal"/>
    <s v="Credit Card"/>
    <x v="1"/>
    <s v="fulfilled"/>
    <s v="United States"/>
    <s v="Ohio"/>
    <s v="Valid"/>
    <s v="Kingmouth"/>
  </r>
  <r>
    <s v="#2390"/>
    <n v="1"/>
    <d v="2026-08-04T14:03:09"/>
    <d v="2026-08-04T14:03:09"/>
    <s v="Sharon Brown"/>
    <x v="0"/>
    <s v="sharon.brown14@gmail.com"/>
    <s v="Classic Cotton T-Shirt"/>
    <x v="3"/>
    <s v="Apparel"/>
    <x v="4"/>
    <n v="1"/>
    <n v="14.99"/>
    <n v="14.99"/>
    <s v="FREESHIP"/>
    <x v="5"/>
    <n v="0"/>
    <n v="0"/>
    <s v="Number"/>
    <n v="0"/>
    <n v="0"/>
    <s v="$14.99"/>
    <n v="14.99"/>
    <n v="14.99"/>
    <s v="True"/>
    <s v="Normal"/>
    <s v="Google Pay"/>
    <x v="3"/>
    <s v="fulfilled"/>
    <s v="United States"/>
    <s v="FL"/>
    <s v="Valid"/>
    <s v="Richardton"/>
  </r>
  <r>
    <s v="#2401"/>
    <n v="1"/>
    <d v="2026-08-04T14:02:39"/>
    <d v="2026-08-04T14:02:39"/>
    <s v="Patrick Evans"/>
    <x v="0"/>
    <s v="patrick.evans152@icloud.com"/>
    <s v="Classic Cotton T-Shirt"/>
    <x v="3"/>
    <s v="Apparel"/>
    <x v="4"/>
    <n v="1"/>
    <n v="14.99"/>
    <n v="14.99"/>
    <s v="BFCM25"/>
    <x v="3"/>
    <n v="3.75"/>
    <n v="3.75"/>
    <s v="Number"/>
    <n v="4.99"/>
    <n v="4.99"/>
    <n v="16.23"/>
    <n v="16.23"/>
    <n v="16.23"/>
    <s v="True"/>
    <s v="Normal"/>
    <s v="Google Pay"/>
    <x v="0"/>
    <s v="cancelled"/>
    <s v="United States"/>
    <s v="Ohio"/>
    <s v="Valid"/>
    <s v="Lake Pamelaport"/>
  </r>
  <r>
    <s v="#2405"/>
    <n v="1"/>
    <d v="2026-08-04T13:53:46"/>
    <d v="2026-08-04T13:53:46"/>
    <s v="Karen Bautista"/>
    <x v="0"/>
    <s v="karen.bautista779@icloud.com"/>
    <s v="Classic Cotton T-Shirt"/>
    <x v="3"/>
    <s v="Apparel"/>
    <x v="3"/>
    <n v="1"/>
    <n v="14.99"/>
    <n v="14.99"/>
    <m/>
    <x v="0"/>
    <n v="0"/>
    <n v="0"/>
    <s v="Number"/>
    <n v="7.99"/>
    <n v="7.99"/>
    <n v="22.98"/>
    <n v="22.98"/>
    <n v="22.98"/>
    <s v="True"/>
    <s v="Normal"/>
    <s v="Credit Card"/>
    <x v="0"/>
    <s v="cancelled"/>
    <s v="United States"/>
    <s v="Arizona"/>
    <s v="Valid"/>
    <s v="East Robert"/>
  </r>
  <r>
    <s v="#2414"/>
    <n v="1"/>
    <d v="2026-08-04T13:55:27"/>
    <d v="2026-08-04T13:55:27"/>
    <s v="Richard Zavala"/>
    <x v="0"/>
    <s v="richard.zavala602@gmail.com"/>
    <s v="Classic Cotton T-Shirt"/>
    <x v="3"/>
    <s v="Apparel"/>
    <x v="4"/>
    <n v="1"/>
    <n v="14.99"/>
    <n v="14.99"/>
    <s v="VIP15"/>
    <x v="4"/>
    <n v="2.25"/>
    <n v="2.25"/>
    <s v="Number"/>
    <n v="5.99"/>
    <n v="5.99"/>
    <n v="18.73"/>
    <n v="18.73"/>
    <n v="18.73"/>
    <s v="True"/>
    <s v="Normal"/>
    <s v="Credit Card"/>
    <x v="3"/>
    <s v="pending"/>
    <s v="Canada"/>
    <m/>
    <s v="Not Required"/>
    <s v="Janetton"/>
  </r>
  <r>
    <s v="#2441"/>
    <n v="1"/>
    <d v="2026-08-04T13:58:11"/>
    <d v="2026-08-04T13:58:11"/>
    <s v="Michael Wilson"/>
    <x v="0"/>
    <s v="michael.wilson464@icloud.com"/>
    <s v="Classic Cotton T-Shirt"/>
    <x v="3"/>
    <s v="Apparel"/>
    <x v="4"/>
    <n v="1"/>
    <n v="14.99"/>
    <n v="14.99"/>
    <m/>
    <x v="0"/>
    <n v="0"/>
    <n v="0"/>
    <s v="Number"/>
    <n v="4.99"/>
    <n v="4.99"/>
    <n v="19.98"/>
    <n v="19.98"/>
    <n v="19.98"/>
    <s v="True"/>
    <s v="Normal"/>
    <s v="Google Pay"/>
    <x v="0"/>
    <s v="refunded"/>
    <s v="Australia"/>
    <m/>
    <s v="Not Required"/>
    <s v="Delgadobury"/>
  </r>
  <r>
    <s v="#2454"/>
    <n v="1"/>
    <d v="2026-08-04T14:05:08"/>
    <d v="2026-08-04T14:05:08"/>
    <s v="Eric Bailey"/>
    <x v="0"/>
    <s v="eric.bailey970@yahoo.com"/>
    <s v="Classic Cotton T-Shirt"/>
    <x v="3"/>
    <s v="Apparel"/>
    <x v="4"/>
    <n v="3"/>
    <n v="14.99"/>
    <n v="14.99"/>
    <s v="VIP15"/>
    <x v="4"/>
    <n v="6.75"/>
    <n v="6.75"/>
    <s v="Number"/>
    <n v="5.99"/>
    <n v="5.99"/>
    <n v="44.21"/>
    <n v="44.21"/>
    <n v="44.21"/>
    <s v="True"/>
    <s v="Normal"/>
    <s v="Apple Pay"/>
    <x v="1"/>
    <s v="refunded"/>
    <s v="United Kingdom"/>
    <m/>
    <s v="Not Required"/>
    <s v="North Evelyn"/>
  </r>
  <r>
    <s v="#2455"/>
    <n v="1"/>
    <d v="2026-08-04T14:02:00"/>
    <d v="2026-08-04T14:02:00"/>
    <s v="Morgan Johnson"/>
    <x v="1"/>
    <m/>
    <s v="Classic Cotton T-Shirt"/>
    <x v="3"/>
    <s v="Apparel"/>
    <x v="3"/>
    <n v="1"/>
    <n v="14.99"/>
    <n v="14.99"/>
    <s v="FREESHIP"/>
    <x v="5"/>
    <n v="0"/>
    <n v="0"/>
    <s v="Number"/>
    <n v="0"/>
    <n v="0"/>
    <s v="$14.99"/>
    <n v="14.99"/>
    <n v="14.99"/>
    <s v="True"/>
    <s v="Normal"/>
    <s v="Google Pay"/>
    <x v="2"/>
    <s v="refunded"/>
    <s v="Canada"/>
    <m/>
    <s v="Not Required"/>
    <s v="East Kenneth"/>
  </r>
  <r>
    <s v="#2465"/>
    <n v="1"/>
    <d v="2026-08-04T14:05:03"/>
    <d v="2026-08-04T14:05:03"/>
    <s v="Monica Hodge"/>
    <x v="0"/>
    <s v="monica.hodge369@icloud.com"/>
    <s v="Classic Cotton T-Shirt"/>
    <x v="3"/>
    <s v="Apparel"/>
    <x v="3"/>
    <n v="2"/>
    <s v="$14.99"/>
    <n v="14.99"/>
    <s v="WELCOME10"/>
    <x v="1"/>
    <n v="3"/>
    <n v="3"/>
    <s v="Number"/>
    <n v="4.99"/>
    <n v="4.99"/>
    <n v="31.97"/>
    <n v="31.97"/>
    <n v="31.97"/>
    <s v="True"/>
    <s v="Normal"/>
    <s v="Google Pay"/>
    <x v="3"/>
    <s v="refunded"/>
    <s v="United States"/>
    <s v="Georgia"/>
    <s v="Valid"/>
    <s v="Wayneside"/>
  </r>
  <r>
    <s v="#2478"/>
    <n v="1"/>
    <d v="2026-08-04T14:02:40"/>
    <d v="2026-08-04T14:02:40"/>
    <s v="Christopher Martin"/>
    <x v="0"/>
    <s v="christopher.martin10@gmail.com"/>
    <s v="Classic Cotton T-Shirt"/>
    <x v="3"/>
    <s v="Apparel"/>
    <x v="4"/>
    <n v="1"/>
    <n v="14.99"/>
    <n v="14.99"/>
    <s v="BFCM25"/>
    <x v="3"/>
    <s v="$3.75"/>
    <n v="3.75"/>
    <s v="Number"/>
    <n v="4.99"/>
    <n v="4.99"/>
    <n v="16.23"/>
    <n v="16.23"/>
    <n v="16.23"/>
    <s v="True"/>
    <s v="Normal"/>
    <s v="Shopify Payments"/>
    <x v="0"/>
    <s v="pending"/>
    <s v="United States"/>
    <s v="Florida"/>
    <s v="Valid"/>
    <s v="Longland"/>
  </r>
  <r>
    <s v="#2495"/>
    <n v="1"/>
    <d v="2026-08-04T14:05:30"/>
    <d v="2026-08-04T14:05:30"/>
    <s v="Kelly Wyatt"/>
    <x v="0"/>
    <s v="kelly.wyatt277@yahoo.com"/>
    <s v="Classic Cotton T-Shirt"/>
    <x v="3"/>
    <s v="Apparel"/>
    <x v="4"/>
    <n v="1"/>
    <n v="14.99"/>
    <n v="14.99"/>
    <m/>
    <x v="0"/>
    <n v="0"/>
    <n v="0"/>
    <s v="Number"/>
    <n v="7.99"/>
    <n v="7.99"/>
    <n v="22.98"/>
    <n v="22.98"/>
    <n v="22.98"/>
    <s v="True"/>
    <s v="Normal"/>
    <s v="Google Pay"/>
    <x v="0"/>
    <s v="cancelled"/>
    <s v="Germany"/>
    <m/>
    <s v="Not Required"/>
    <s v="Kinghaven"/>
  </r>
  <r>
    <s v="#2501"/>
    <n v="1"/>
    <d v="2026-08-04T00:00:00"/>
    <s v="2026-08-04"/>
    <s v="Patrick Evans"/>
    <x v="0"/>
    <s v="patrick.evans152@icloud.com"/>
    <s v="Classic Cotton T-Shirt"/>
    <x v="3"/>
    <s v="Apparel"/>
    <x v="3"/>
    <n v="2"/>
    <n v="14.99"/>
    <n v="14.99"/>
    <m/>
    <x v="0"/>
    <n v="0"/>
    <n v="0"/>
    <s v="Number"/>
    <n v="4.99"/>
    <n v="4.99"/>
    <n v="34.97"/>
    <n v="34.97"/>
    <n v="34.97"/>
    <s v="True"/>
    <s v="Normal"/>
    <s v="Google Pay"/>
    <x v="0"/>
    <s v="refunded"/>
    <s v="United States"/>
    <s v="Florida"/>
    <s v="Valid"/>
    <s v="Wardstad"/>
  </r>
  <r>
    <s v="#2531"/>
    <n v="1"/>
    <d v="2026-08-04T13:57:29"/>
    <d v="2026-08-04T13:57:29"/>
    <s v="Kiara Burke"/>
    <x v="0"/>
    <s v="kiara.burke246@yahoo.com"/>
    <s v="Classic Cotton T-Shirt"/>
    <x v="3"/>
    <s v="Apparel"/>
    <x v="3"/>
    <n v="3"/>
    <n v="14.99"/>
    <n v="14.99"/>
    <s v="SAVE20"/>
    <x v="2"/>
    <n v="8.99"/>
    <n v="8.99"/>
    <s v="Number"/>
    <n v="4.99"/>
    <n v="4.99"/>
    <n v="40.97"/>
    <n v="40.97"/>
    <n v="40.97"/>
    <s v="True"/>
    <s v="Normal"/>
    <s v="Shopify Payments"/>
    <x v="2"/>
    <s v="fulfilled"/>
    <s v="Germany"/>
    <m/>
    <s v="Not Required"/>
    <s v="West Leslieton"/>
  </r>
  <r>
    <s v="#2553"/>
    <n v="1"/>
    <d v="2026-04-08T00:00:00"/>
    <s v="08/04/2026"/>
    <s v="Lauren Nguyen"/>
    <x v="1"/>
    <m/>
    <s v="Classic Cotton T-Shirt"/>
    <x v="3"/>
    <s v="Apparel"/>
    <x v="3"/>
    <n v="1"/>
    <n v="14.99"/>
    <n v="14.99"/>
    <s v="BFCM25"/>
    <x v="3"/>
    <n v="3.75"/>
    <n v="3.75"/>
    <s v="Number"/>
    <n v="5.99"/>
    <n v="5.99"/>
    <n v="17.23"/>
    <n v="17.23"/>
    <n v="17.23"/>
    <s v="True"/>
    <s v="Normal"/>
    <s v="Google Pay"/>
    <x v="1"/>
    <s v="fulfilled"/>
    <s v="United Kingdom"/>
    <m/>
    <s v="Not Required"/>
    <s v="Lloydtown"/>
  </r>
  <r>
    <s v="#2560"/>
    <n v="1"/>
    <d v="2026-08-04T13:54:19"/>
    <d v="2026-08-04T13:54:19"/>
    <s v="Dana Davenport"/>
    <x v="0"/>
    <s v="dana.davenport907@yahoo.com"/>
    <s v="Classic Cotton T-Shirt"/>
    <x v="3"/>
    <s v="Apparel"/>
    <x v="4"/>
    <n v="2"/>
    <n v="14.99"/>
    <n v="14.99"/>
    <s v="BFCM25 "/>
    <x v="3"/>
    <n v="7.5"/>
    <n v="7.5"/>
    <s v="Number"/>
    <n v="4.99"/>
    <n v="4.99"/>
    <n v="27.47"/>
    <n v="27.47"/>
    <n v="27.47"/>
    <s v="True"/>
    <s v="Normal"/>
    <s v="Shopify Payments"/>
    <x v="2"/>
    <s v="fulfilled"/>
    <s v="United States"/>
    <s v="NY"/>
    <s v="Valid"/>
    <s v="New Dennis"/>
  </r>
  <r>
    <s v="#2586"/>
    <n v="1"/>
    <d v="2026-08-04T14:00:49"/>
    <d v="2026-08-04T14:00:49"/>
    <s v="Rebecca Watts"/>
    <x v="0"/>
    <s v="rebecca.watts779@gmail.com"/>
    <s v="Classic Cotton T-Shirt"/>
    <x v="3"/>
    <s v="Apparel"/>
    <x v="4"/>
    <n v="2"/>
    <n v="14.99"/>
    <n v="14.99"/>
    <s v="FREESHIP"/>
    <x v="5"/>
    <n v="0"/>
    <n v="0"/>
    <s v="Number"/>
    <n v="0"/>
    <n v="0"/>
    <n v="29.98"/>
    <n v="29.98"/>
    <n v="29.98"/>
    <s v="True"/>
    <s v="Normal"/>
    <s v="PayPal"/>
    <x v="0"/>
    <s v="fulfilled"/>
    <s v="United States"/>
    <s v="Ohio"/>
    <s v="Valid"/>
    <s v="West Dale"/>
  </r>
  <r>
    <s v="#2593"/>
    <n v="1"/>
    <d v="2026-08-04T14:07:37"/>
    <d v="2026-08-04T14:07:37"/>
    <s v="Margaret Conley"/>
    <x v="0"/>
    <s v="margaret.conley327@icloud.com"/>
    <s v="Classic Cotton T-Shirt"/>
    <x v="3"/>
    <s v="Apparel"/>
    <x v="3"/>
    <n v="4"/>
    <n v="14.99"/>
    <n v="14.99"/>
    <m/>
    <x v="0"/>
    <n v="0"/>
    <n v="0"/>
    <s v="Number"/>
    <n v="4.99"/>
    <n v="4.99"/>
    <n v="64.95"/>
    <n v="64.95"/>
    <n v="64.95"/>
    <s v="True"/>
    <s v="Normal"/>
    <s v="Shopify Payments"/>
    <x v="0"/>
    <s v="fulfilled"/>
    <s v="Australia"/>
    <m/>
    <s v="Not Required"/>
    <s v="Marystad"/>
  </r>
  <r>
    <s v="#2598"/>
    <n v="1"/>
    <d v="2026-04-08T00:00:00"/>
    <s v="08/04/2026"/>
    <s v="Cody Murray"/>
    <x v="0"/>
    <s v="cody.murray456@gmail.com"/>
    <s v="Classic Cotton T-Shirt"/>
    <x v="3"/>
    <s v="Apparel"/>
    <x v="4"/>
    <n v="1"/>
    <n v="14.99"/>
    <n v="14.99"/>
    <m/>
    <x v="0"/>
    <n v="0"/>
    <n v="0"/>
    <s v="Number"/>
    <n v="4.99"/>
    <n v="4.99"/>
    <n v="19.98"/>
    <n v="19.98"/>
    <n v="19.98"/>
    <s v="True"/>
    <s v="Normal"/>
    <s v="Credit Card"/>
    <x v="3"/>
    <s v="refunded"/>
    <s v="United Kingdom"/>
    <m/>
    <s v="Not Required"/>
    <s v="Bergville"/>
  </r>
  <r>
    <s v="#2600"/>
    <n v="1"/>
    <d v="2026-08-04T13:59:53"/>
    <d v="2026-08-04T13:59:53"/>
    <s v="Anthony Marshall"/>
    <x v="0"/>
    <s v="anthony.marshall823@yahoo.com"/>
    <s v="Classic Cotton T-Shirt"/>
    <x v="3"/>
    <s v="Apparel"/>
    <x v="4"/>
    <n v="1"/>
    <n v="14.99"/>
    <n v="14.99"/>
    <s v="WELCOME10"/>
    <x v="1"/>
    <n v="1.5"/>
    <n v="1.5"/>
    <s v="Number"/>
    <n v="5.99"/>
    <n v="5.99"/>
    <n v="19.48"/>
    <n v="19.48"/>
    <n v="19.48"/>
    <s v="True"/>
    <s v="Normal"/>
    <s v="Shopify Payments"/>
    <x v="2"/>
    <s v="pending"/>
    <s v="United States"/>
    <s v="Texas"/>
    <s v="Valid"/>
    <s v="New Shawn"/>
  </r>
  <r>
    <s v="#2605"/>
    <n v="1"/>
    <d v="2026-08-04T13:57:53"/>
    <d v="2026-08-04T13:57:53"/>
    <s v="brooke crawford"/>
    <x v="0"/>
    <s v="brooke.crawford896@outlook.com"/>
    <s v="Classic Cotton T-Shirt"/>
    <x v="3"/>
    <s v="Apparel"/>
    <x v="4"/>
    <n v="1"/>
    <n v="14.99"/>
    <n v="14.99"/>
    <s v="BFCM25"/>
    <x v="3"/>
    <n v="3.75"/>
    <n v="3.75"/>
    <s v="Number"/>
    <n v="7.99"/>
    <n v="7.99"/>
    <n v="19.23"/>
    <n v="19.23"/>
    <n v="19.23"/>
    <s v="True"/>
    <s v="Normal"/>
    <s v="Google Pay"/>
    <x v="0"/>
    <s v="refunded"/>
    <s v="Pakistan"/>
    <m/>
    <s v="Not Required"/>
    <s v="Samanthastad"/>
  </r>
  <r>
    <s v="#2627"/>
    <n v="1"/>
    <d v="2026-08-04T13:54:15"/>
    <d v="2026-08-04T13:54:15"/>
    <s v="James Miller"/>
    <x v="0"/>
    <s v="james.miller866@yahoo.com"/>
    <s v="Classic Cotton T-Shirt"/>
    <x v="3"/>
    <s v="Apparel"/>
    <x v="3"/>
    <n v="2"/>
    <n v="14.99"/>
    <n v="14.99"/>
    <s v="BFCM25"/>
    <x v="3"/>
    <n v="7.5"/>
    <n v="7.5"/>
    <s v="Number"/>
    <n v="4.99"/>
    <n v="4.99"/>
    <n v="27.47"/>
    <n v="27.47"/>
    <n v="27.47"/>
    <s v="True"/>
    <s v="Normal"/>
    <s v="Credit Card"/>
    <x v="1"/>
    <s v="fulfilled"/>
    <s v="Pakistan"/>
    <m/>
    <s v="Not Required"/>
    <s v="Taylorton"/>
  </r>
  <r>
    <s v="#2645"/>
    <n v="1"/>
    <d v="2026-08-04T13:56:33"/>
    <d v="2026-08-04T13:56:33"/>
    <s v="David Knapp"/>
    <x v="0"/>
    <s v="david.knapp687@yahoo.com"/>
    <s v="Classic Cotton T-Shirt"/>
    <x v="3"/>
    <s v="Apparel"/>
    <x v="3"/>
    <n v="1"/>
    <n v="14.99"/>
    <n v="14.99"/>
    <m/>
    <x v="0"/>
    <n v="0"/>
    <n v="0"/>
    <s v="Number"/>
    <n v="4.99"/>
    <n v="4.99"/>
    <n v="19.98"/>
    <n v="19.98"/>
    <n v="19.98"/>
    <s v="True"/>
    <s v="Normal"/>
    <s v="Shopify Payments"/>
    <x v="2"/>
    <s v="pending"/>
    <s v="United States"/>
    <s v="AZ"/>
    <s v="Valid"/>
    <s v="South Carlberg"/>
  </r>
  <r>
    <s v="#2672"/>
    <n v="1"/>
    <d v="2026-08-04T13:56:39"/>
    <d v="2026-08-04T13:56:39"/>
    <s v="Tina Singh"/>
    <x v="0"/>
    <s v="tina.singh98@icloud.com"/>
    <s v="Classic Cotton T-Shirt"/>
    <x v="3"/>
    <s v="Apparel"/>
    <x v="4"/>
    <n v="1"/>
    <n v="14.99"/>
    <n v="14.99"/>
    <s v="FREESHIP"/>
    <x v="5"/>
    <n v="0"/>
    <n v="0"/>
    <s v="Number"/>
    <n v="0"/>
    <n v="0"/>
    <n v="14.99"/>
    <n v="14.99"/>
    <n v="14.99"/>
    <s v="True"/>
    <s v="Normal"/>
    <s v="Google Pay"/>
    <x v="0"/>
    <s v="cancelled"/>
    <s v="United States"/>
    <s v="Florida"/>
    <s v="Valid"/>
    <s v="New Robertchester"/>
  </r>
  <r>
    <s v="#2680"/>
    <n v="1"/>
    <d v="2026-08-04T14:07:25"/>
    <d v="2026-08-04T14:07:25"/>
    <s v="James Castro"/>
    <x v="1"/>
    <m/>
    <s v="Classic Cotton T-Shirt"/>
    <x v="3"/>
    <s v="Apparel"/>
    <x v="3"/>
    <n v="2"/>
    <n v="14.99"/>
    <n v="14.99"/>
    <s v="WELCOME10"/>
    <x v="1"/>
    <n v="3"/>
    <n v="3"/>
    <s v="Number"/>
    <n v="7.99"/>
    <n v="7.99"/>
    <n v="34.97"/>
    <n v="34.97"/>
    <n v="34.97"/>
    <s v="True"/>
    <s v="Normal"/>
    <s v="Apple Pay"/>
    <x v="3"/>
    <s v="refunded"/>
    <s v="Pakistan"/>
    <m/>
    <s v="Not Required"/>
    <s v="South Manuel"/>
  </r>
  <r>
    <s v="#2689"/>
    <n v="1"/>
    <d v="2026-08-04T13:56:59"/>
    <d v="2026-08-04T13:56:59"/>
    <s v="Dustin Mccoy"/>
    <x v="0"/>
    <s v="dustin.mccoy570@gmail.com"/>
    <s v="Classic Cotton T-Shirt"/>
    <x v="3"/>
    <s v="Apparel"/>
    <x v="4"/>
    <n v="1"/>
    <n v="14.99"/>
    <n v="14.99"/>
    <m/>
    <x v="0"/>
    <n v="0"/>
    <n v="0"/>
    <s v="Number"/>
    <n v="4.99"/>
    <n v="4.99"/>
    <n v="19.98"/>
    <n v="19.98"/>
    <n v="19.98"/>
    <s v="True"/>
    <s v="Normal"/>
    <s v="Shopify Payments"/>
    <x v="3"/>
    <s v="fulfilled"/>
    <s v="Canada"/>
    <m/>
    <s v="Not Required"/>
    <s v="Sarabury"/>
  </r>
  <r>
    <s v="#2691"/>
    <n v="1"/>
    <d v="2026-08-04T14:06:28"/>
    <d v="2026-08-04T14:06:28"/>
    <s v="Brian Ruiz"/>
    <x v="0"/>
    <s v="brian.ruiz246@gmail.com"/>
    <s v="Classic Cotton T-Shirt"/>
    <x v="3"/>
    <s v="Apparel"/>
    <x v="4"/>
    <n v="1"/>
    <n v="14.99"/>
    <n v="14.99"/>
    <s v="WELCOME10"/>
    <x v="1"/>
    <s v="$1.50"/>
    <n v="1.5"/>
    <s v="Number"/>
    <n v="4.99"/>
    <n v="4.99"/>
    <n v="18.48"/>
    <n v="18.48"/>
    <n v="18.48"/>
    <s v="True"/>
    <s v="Normal"/>
    <s v="Credit Card"/>
    <x v="2"/>
    <s v="refunded"/>
    <s v="Germany"/>
    <m/>
    <s v="Not Required"/>
    <s v="Veronicaborough"/>
  </r>
  <r>
    <s v="#2704"/>
    <n v="1"/>
    <d v="2026-08-04T14:06:42"/>
    <d v="2026-08-04T14:06:42"/>
    <s v="Katie Coleman"/>
    <x v="0"/>
    <s v="katie.coleman262@outlook.com"/>
    <s v="Classic Cotton T-Shirt"/>
    <x v="3"/>
    <s v="Apparel"/>
    <x v="4"/>
    <n v="1"/>
    <n v="14.99"/>
    <n v="14.99"/>
    <s v="VIP15"/>
    <x v="4"/>
    <n v="2.25"/>
    <n v="2.25"/>
    <s v="Number"/>
    <n v="5.99"/>
    <n v="5.99"/>
    <n v="18.73"/>
    <n v="18.73"/>
    <n v="18.73"/>
    <s v="True"/>
    <s v="Normal"/>
    <s v="Google Pay"/>
    <x v="0"/>
    <s v="fulfilled"/>
    <s v="Canada"/>
    <m/>
    <s v="Not Required"/>
    <s v="East Annaville"/>
  </r>
  <r>
    <s v="#2717"/>
    <n v="1"/>
    <d v="2026-08-04T14:00:35"/>
    <d v="2026-08-04T14:00:35"/>
    <s v="David Duke"/>
    <x v="0"/>
    <s v="david.duke814@icloud.com"/>
    <s v="Classic Cotton T-Shirt"/>
    <x v="3"/>
    <s v="Apparel"/>
    <x v="3"/>
    <n v="1"/>
    <n v="14.99"/>
    <n v="14.99"/>
    <m/>
    <x v="0"/>
    <n v="0"/>
    <n v="0"/>
    <s v="Number"/>
    <n v="5.99"/>
    <n v="5.99"/>
    <n v="20.98"/>
    <n v="20.98"/>
    <n v="20.98"/>
    <s v="True"/>
    <s v="Normal"/>
    <s v="Credit Card"/>
    <x v="3"/>
    <s v="cancelled"/>
    <s v="United States"/>
    <s v="California"/>
    <s v="Valid"/>
    <s v="Milesberg"/>
  </r>
  <r>
    <s v="#2721"/>
    <n v="1"/>
    <d v="2026-08-04T13:56:33"/>
    <d v="2026-08-04T13:56:33"/>
    <s v="Kimberly Cordova"/>
    <x v="0"/>
    <s v="kimberly.cordova508@icloud.com"/>
    <s v="Classic Cotton T-Shirt"/>
    <x v="3"/>
    <s v="Apparel"/>
    <x v="4"/>
    <n v="1"/>
    <n v="14.99"/>
    <n v="14.99"/>
    <s v="SAVE20"/>
    <x v="2"/>
    <s v="$3.00"/>
    <n v="3"/>
    <s v="Number"/>
    <n v="4.99"/>
    <n v="4.99"/>
    <n v="16.98"/>
    <n v="16.98"/>
    <n v="16.98"/>
    <s v="True"/>
    <s v="Normal"/>
    <s v="Credit Card"/>
    <x v="0"/>
    <s v="pending"/>
    <s v="Pakistan"/>
    <m/>
    <s v="Not Required"/>
    <s v="Hendersonview"/>
  </r>
  <r>
    <s v="#2723"/>
    <n v="1"/>
    <d v="2026-08-04T13:56:10"/>
    <d v="2026-08-04T13:56:10"/>
    <s v="Laura Johnson"/>
    <x v="0"/>
    <s v="laura.johnson708@outlook.com"/>
    <s v="Classic Cotton T-Shirt"/>
    <x v="3"/>
    <s v="Apparel"/>
    <x v="3"/>
    <n v="1"/>
    <n v="14.99"/>
    <n v="14.99"/>
    <s v="VIP15"/>
    <x v="4"/>
    <n v="2.25"/>
    <n v="2.25"/>
    <s v="Number"/>
    <n v="7.99"/>
    <n v="7.99"/>
    <n v="20.73"/>
    <n v="20.73"/>
    <n v="20.73"/>
    <s v="True"/>
    <s v="Normal"/>
    <s v="Shopify Payments"/>
    <x v="1"/>
    <s v="refunded"/>
    <s v="Australia"/>
    <m/>
    <s v="Not Required"/>
    <s v="Jessicatown"/>
  </r>
  <r>
    <s v="#2726"/>
    <n v="1"/>
    <d v="2026-04-08T00:00:00"/>
    <s v="08/04/2026"/>
    <s v="  Sandra Potter"/>
    <x v="0"/>
    <s v="sandra.potter166@yahoo.com"/>
    <s v="Classic Cotton T-Shirt"/>
    <x v="3"/>
    <s v="Apparel"/>
    <x v="4"/>
    <n v="1"/>
    <n v="14.99"/>
    <n v="14.99"/>
    <s v="FREESHIP"/>
    <x v="5"/>
    <n v="0"/>
    <n v="0"/>
    <s v="Number"/>
    <n v="0"/>
    <n v="0"/>
    <n v="14.99"/>
    <n v="14.99"/>
    <n v="14.99"/>
    <s v="True"/>
    <s v="Normal"/>
    <s v="Apple Pay"/>
    <x v="0"/>
    <s v="fulfilled"/>
    <s v="United States"/>
    <s v="Georgia"/>
    <s v="Valid"/>
    <s v="Reeseport"/>
  </r>
  <r>
    <s v="#2729"/>
    <n v="1"/>
    <d v="2026-08-04T14:02:00"/>
    <d v="2026-08-04T14:02:00"/>
    <s v="Amy Barnett"/>
    <x v="0"/>
    <s v="amy.barnett396@icloud.com"/>
    <s v="Classic Cotton T-Shirt"/>
    <x v="3"/>
    <s v="Apparel"/>
    <x v="3"/>
    <n v="1"/>
    <n v="14.99"/>
    <n v="14.99"/>
    <s v="BFCM25"/>
    <x v="3"/>
    <n v="3.75"/>
    <n v="3.75"/>
    <s v="Number"/>
    <n v="7.99"/>
    <n v="7.99"/>
    <n v="19.23"/>
    <n v="19.23"/>
    <n v="19.23"/>
    <s v="True"/>
    <s v="Normal"/>
    <s v="Apple Pay"/>
    <x v="0"/>
    <s v="fulfilled"/>
    <s v="Pakistan"/>
    <m/>
    <s v="Not Required"/>
    <s v="New Deanna"/>
  </r>
  <r>
    <s v="#2738"/>
    <n v="1"/>
    <d v="2026-04-08T00:00:00"/>
    <s v="08/04/2026"/>
    <s v="Melanie Kennedy"/>
    <x v="0"/>
    <s v="melanie.kennedy658@yahoo.com"/>
    <s v="Classic Cotton T-Shirt"/>
    <x v="3"/>
    <s v="Apparel"/>
    <x v="4"/>
    <n v="2"/>
    <n v="14.99"/>
    <n v="14.99"/>
    <s v="SAVE20"/>
    <x v="2"/>
    <n v="6"/>
    <n v="6"/>
    <s v="Number"/>
    <n v="4.99"/>
    <n v="4.99"/>
    <n v="28.97"/>
    <n v="28.97"/>
    <n v="28.97"/>
    <s v="True"/>
    <s v="Normal"/>
    <s v="PayPal"/>
    <x v="3"/>
    <s v="fulfilled"/>
    <s v="United States"/>
    <s v="Arizona"/>
    <s v="Valid"/>
    <s v="East Michael"/>
  </r>
  <r>
    <s v="#2739"/>
    <n v="1"/>
    <d v="2026-04-08T00:00:00"/>
    <s v="08/04/2026"/>
    <s v="Johnathan Sloan"/>
    <x v="0"/>
    <s v="johnathan.sloan721@outlook.com"/>
    <s v="Classic Cotton T-Shirt"/>
    <x v="3"/>
    <s v="Apparel"/>
    <x v="3"/>
    <n v="1"/>
    <n v="14.99"/>
    <n v="14.99"/>
    <m/>
    <x v="0"/>
    <n v="0"/>
    <n v="0"/>
    <s v="Number"/>
    <n v="7.99"/>
    <n v="7.99"/>
    <s v="$22.98"/>
    <n v="22.98"/>
    <n v="22.98"/>
    <s v="True"/>
    <s v="Normal"/>
    <s v="Apple Pay"/>
    <x v="1"/>
    <s v="fulfilled"/>
    <s v="Pakistan"/>
    <m/>
    <s v="Not Required"/>
    <s v="Lake Vincentburgh"/>
  </r>
  <r>
    <s v="#2743"/>
    <n v="1"/>
    <d v="2026-08-04T14:05:16"/>
    <d v="2026-08-04T14:05:16"/>
    <s v="Michael Hays"/>
    <x v="0"/>
    <s v="michael.hays590@gmail.com"/>
    <s v="Classic Cotton T-Shirt"/>
    <x v="3"/>
    <s v="Apparel"/>
    <x v="4"/>
    <n v="2"/>
    <n v="14.99"/>
    <n v="14.99"/>
    <m/>
    <x v="0"/>
    <n v="0"/>
    <n v="0"/>
    <s v="Number"/>
    <n v="4.99"/>
    <n v="4.99"/>
    <n v="34.97"/>
    <n v="34.97"/>
    <n v="34.97"/>
    <s v="True"/>
    <s v="Normal"/>
    <s v="Shopify Payments"/>
    <x v="0"/>
    <s v="fulfilled"/>
    <s v="United States"/>
    <s v="New York"/>
    <s v="Valid"/>
    <s v="North Heidi"/>
  </r>
  <r>
    <s v="#2746"/>
    <n v="1"/>
    <d v="2026-08-04T14:04:16"/>
    <d v="2026-08-04T14:04:16"/>
    <s v="Kathryn Robinson"/>
    <x v="0"/>
    <s v="kathryn.robinson965@gmail.com"/>
    <s v="Classic Cotton T-Shirt"/>
    <x v="3"/>
    <s v="Apparel"/>
    <x v="4"/>
    <n v="2"/>
    <s v="$14.99"/>
    <n v="14.99"/>
    <m/>
    <x v="0"/>
    <n v="0"/>
    <n v="0"/>
    <s v="Number"/>
    <n v="5.99"/>
    <n v="5.99"/>
    <n v="35.97"/>
    <n v="35.97"/>
    <n v="35.97"/>
    <s v="True"/>
    <s v="Normal"/>
    <s v="Google Pay"/>
    <x v="2"/>
    <s v="fulfilled"/>
    <s v="United Kingdom"/>
    <m/>
    <s v="Not Required"/>
    <s v="East Derekhaven"/>
  </r>
  <r>
    <s v="#2756"/>
    <n v="1"/>
    <d v="2026-08-04T13:56:54"/>
    <d v="2026-08-04T13:56:54"/>
    <s v="Aimee Smith"/>
    <x v="0"/>
    <s v="aimee.smith857@icloud.com"/>
    <s v="Classic Cotton T-Shirt"/>
    <x v="3"/>
    <s v="Apparel"/>
    <x v="3"/>
    <n v="1"/>
    <n v="14.99"/>
    <n v="14.99"/>
    <m/>
    <x v="0"/>
    <n v="0"/>
    <n v="0"/>
    <s v="Number"/>
    <n v="5.99"/>
    <n v="5.99"/>
    <n v="20.98"/>
    <n v="20.98"/>
    <n v="20.98"/>
    <s v="True"/>
    <s v="Normal"/>
    <s v="Credit Card"/>
    <x v="0"/>
    <s v="fulfilled"/>
    <s v="United Kingdom"/>
    <m/>
    <s v="Not Required"/>
    <s v="Port John"/>
  </r>
  <r>
    <s v="#2765"/>
    <n v="1"/>
    <d v="2026-04-08T00:00:00"/>
    <s v="08/04/2026"/>
    <s v="Thomas Rojas"/>
    <x v="0"/>
    <s v="thomas.rojas667@icloud.com"/>
    <s v="Classic Cotton T-Shirt"/>
    <x v="3"/>
    <s v="Apparel"/>
    <x v="4"/>
    <n v="1"/>
    <n v="14.99"/>
    <n v="14.99"/>
    <s v="SAVE20"/>
    <x v="2"/>
    <n v="3"/>
    <n v="3"/>
    <s v="Number"/>
    <n v="4.99"/>
    <n v="4.99"/>
    <n v="16.98"/>
    <n v="16.98"/>
    <n v="16.98"/>
    <s v="True"/>
    <s v="Normal"/>
    <s v="Apple Pay"/>
    <x v="0"/>
    <s v="fulfilled"/>
    <s v="United States"/>
    <s v="Ohio"/>
    <s v="Valid"/>
    <s v="West Ashley"/>
  </r>
  <r>
    <s v="#2768"/>
    <n v="1"/>
    <d v="2026-08-04T13:58:52"/>
    <d v="2026-08-04T13:58:52"/>
    <s v="George Green"/>
    <x v="0"/>
    <s v="george.green694@icloud.com"/>
    <s v="Classic Cotton T-Shirt"/>
    <x v="3"/>
    <s v="Apparel"/>
    <x v="4"/>
    <n v="2"/>
    <n v="14.99"/>
    <n v="14.99"/>
    <m/>
    <x v="0"/>
    <n v="0"/>
    <n v="0"/>
    <s v="Number"/>
    <n v="5.99"/>
    <n v="5.99"/>
    <n v="35.97"/>
    <n v="35.97"/>
    <n v="35.97"/>
    <s v="True"/>
    <s v="Normal"/>
    <s v="PayPal"/>
    <x v="2"/>
    <s v="refunded"/>
    <s v="United States"/>
    <s v="Texas"/>
    <s v="Valid"/>
    <s v="North Heatherberg"/>
  </r>
  <r>
    <s v="#2792"/>
    <n v="1"/>
    <d v="2026-08-04T13:57:37"/>
    <d v="2026-08-04T13:57:37"/>
    <s v="Donald Davis"/>
    <x v="0"/>
    <s v="donald.davis404@icloud.com"/>
    <s v="Classic Cotton T-Shirt"/>
    <x v="3"/>
    <s v="Apparel"/>
    <x v="4"/>
    <n v="1"/>
    <n v="14.99"/>
    <n v="14.99"/>
    <s v="BFCM25"/>
    <x v="3"/>
    <n v="3.75"/>
    <n v="3.75"/>
    <s v="Number"/>
    <n v="7.99"/>
    <n v="7.99"/>
    <n v="19.23"/>
    <n v="19.23"/>
    <n v="19.23"/>
    <s v="True"/>
    <s v="Normal"/>
    <s v="Shopify Payments"/>
    <x v="1"/>
    <s v="pending"/>
    <s v="Canada"/>
    <m/>
    <s v="Not Required"/>
    <s v="West Marcus"/>
  </r>
  <r>
    <s v="#2808"/>
    <n v="1"/>
    <d v="2026-08-04T14:03:43"/>
    <d v="2026-08-04T14:03:43"/>
    <s v="Carly Johnson"/>
    <x v="0"/>
    <s v="carly.johnson664@gmail.com"/>
    <s v="Classic Cotton T-Shirt"/>
    <x v="3"/>
    <s v="Apparel"/>
    <x v="3"/>
    <n v="1"/>
    <n v="14.99"/>
    <n v="14.99"/>
    <s v="SAVE20"/>
    <x v="2"/>
    <n v="3"/>
    <n v="3"/>
    <s v="Number"/>
    <n v="4.99"/>
    <n v="4.99"/>
    <n v="16.98"/>
    <n v="16.98"/>
    <n v="16.98"/>
    <s v="True"/>
    <s v="Normal"/>
    <s v="Google Pay"/>
    <x v="0"/>
    <s v="fulfilled"/>
    <s v="Germany"/>
    <m/>
    <s v="Not Required"/>
    <s v="Kingmouth"/>
  </r>
  <r>
    <s v="#2809"/>
    <n v="1"/>
    <d v="2026-08-04T13:57:45"/>
    <d v="2026-08-04T13:57:45"/>
    <s v="James Miller"/>
    <x v="0"/>
    <s v="james.miller866@yahoo.com"/>
    <s v="Classic Cotton T-Shirt"/>
    <x v="3"/>
    <s v="Apparel"/>
    <x v="4"/>
    <n v="1"/>
    <n v="14.99"/>
    <n v="14.99"/>
    <s v="SAVE20"/>
    <x v="2"/>
    <n v="3"/>
    <n v="3"/>
    <s v="Number"/>
    <n v="7.99"/>
    <n v="7.99"/>
    <n v="19.98"/>
    <n v="19.98"/>
    <n v="19.98"/>
    <s v="True"/>
    <s v="Normal"/>
    <s v="Shopify Payments"/>
    <x v="0"/>
    <s v="fulfilled"/>
    <s v="Pakistan"/>
    <m/>
    <s v="Not Required"/>
    <s v="Timothyfort"/>
  </r>
  <r>
    <s v="#2813"/>
    <n v="1"/>
    <d v="2026-08-04T14:06:09"/>
    <d v="2026-08-04T14:06:09"/>
    <s v="Sean Frank"/>
    <x v="0"/>
    <s v="sean.frank587@icloud.com"/>
    <s v="Classic Cotton T-Shirt"/>
    <x v="3"/>
    <s v="Apparel"/>
    <x v="4"/>
    <n v="1"/>
    <n v="14.99"/>
    <n v="14.99"/>
    <s v="WELCOME10"/>
    <x v="1"/>
    <n v="1.5"/>
    <n v="1.5"/>
    <s v="Number"/>
    <n v="5.99"/>
    <n v="5.99"/>
    <n v="19.48"/>
    <n v="19.48"/>
    <n v="19.48"/>
    <s v="True"/>
    <s v="Normal"/>
    <s v="Apple Pay"/>
    <x v="0"/>
    <s v="pending"/>
    <s v="Australia"/>
    <m/>
    <s v="Not Required"/>
    <s v="Lake Breannashire"/>
  </r>
  <r>
    <s v="#2814"/>
    <n v="1"/>
    <d v="2026-08-04T14:01:26"/>
    <d v="2026-08-04T14:01:26"/>
    <s v="Andrea Martinez"/>
    <x v="0"/>
    <s v="andrea.martinez756@yahoo.com"/>
    <s v="Classic Cotton T-Shirt"/>
    <x v="3"/>
    <s v="Apparel"/>
    <x v="4"/>
    <n v="2"/>
    <n v="14.99"/>
    <n v="14.99"/>
    <s v="SAVE20"/>
    <x v="2"/>
    <n v="6"/>
    <n v="6"/>
    <s v="Number"/>
    <n v="4.99"/>
    <n v="4.99"/>
    <n v="28.97"/>
    <n v="28.97"/>
    <n v="28.97"/>
    <s v="True"/>
    <s v="Normal"/>
    <s v="Shopify Payments"/>
    <x v="0"/>
    <s v="fulfilled"/>
    <s v="Australia"/>
    <m/>
    <s v="Not Required"/>
    <s v="Alisonton"/>
  </r>
  <r>
    <s v="#2846"/>
    <n v="1"/>
    <d v="2026-08-04T14:02:44"/>
    <d v="2026-08-04T14:02:44"/>
    <s v="Christina Mcknight"/>
    <x v="0"/>
    <s v="christina.mcknight904@outlook.com"/>
    <s v="Classic Cotton T-Shirt"/>
    <x v="3"/>
    <s v="Apparel"/>
    <x v="3"/>
    <n v="1"/>
    <n v="14.99"/>
    <n v="14.99"/>
    <m/>
    <x v="0"/>
    <n v="0"/>
    <n v="0"/>
    <s v="Number"/>
    <n v="7.99"/>
    <n v="7.99"/>
    <n v="22.98"/>
    <n v="22.98"/>
    <n v="22.98"/>
    <s v="True"/>
    <s v="Normal"/>
    <s v="Google Pay"/>
    <x v="2"/>
    <s v="refunded"/>
    <s v="United States"/>
    <s v="New York"/>
    <s v="Valid"/>
    <s v="Rodriguezmouth"/>
  </r>
  <r>
    <s v="#2852"/>
    <n v="1"/>
    <d v="2026-08-04T14:05:27"/>
    <d v="2026-08-04T14:05:27"/>
    <s v="Joanne Perez"/>
    <x v="0"/>
    <s v="joanne.perez120@gmail.com"/>
    <s v="Classic Cotton T-Shirt"/>
    <x v="3"/>
    <s v="Apparel"/>
    <x v="3"/>
    <n v="1"/>
    <n v="14.99"/>
    <n v="14.99"/>
    <s v="VIP15"/>
    <x v="4"/>
    <n v="2.25"/>
    <n v="2.25"/>
    <s v="Number"/>
    <n v="7.99"/>
    <n v="7.99"/>
    <n v="20.73"/>
    <n v="20.73"/>
    <n v="20.73"/>
    <s v="True"/>
    <s v="Normal"/>
    <s v="Credit Card"/>
    <x v="0"/>
    <s v="fulfilled"/>
    <s v="United States"/>
    <s v="Arizona"/>
    <s v="Valid"/>
    <s v="West Susan"/>
  </r>
  <r>
    <s v="#2877"/>
    <n v="1"/>
    <d v="2026-08-04T14:01:23"/>
    <d v="2026-08-04T14:01:23"/>
    <s v="Jennifer White"/>
    <x v="0"/>
    <s v="jennifer.white450@icloud.com"/>
    <s v="Classic Cotton T-Shirt"/>
    <x v="3"/>
    <s v="Apparel"/>
    <x v="3"/>
    <n v="1"/>
    <n v="14.99"/>
    <n v="14.99"/>
    <s v="FREESHIP"/>
    <x v="5"/>
    <n v="0"/>
    <n v="0"/>
    <s v="Number"/>
    <n v="0"/>
    <n v="0"/>
    <n v="14.99"/>
    <n v="14.99"/>
    <n v="14.99"/>
    <s v="True"/>
    <s v="Normal"/>
    <s v="Credit Card"/>
    <x v="0"/>
    <s v="fulfilled"/>
    <s v="United States"/>
    <s v="Canada"/>
    <s v="Valid"/>
    <s v="West Travis"/>
  </r>
  <r>
    <s v="#2878"/>
    <n v="1"/>
    <d v="2026-08-04T14:08:18"/>
    <d v="2026-08-04T14:08:18"/>
    <s v="Robert Bryant"/>
    <x v="0"/>
    <s v="robert.bryant21@gmail.com"/>
    <s v="Classic Cotton T-Shirt"/>
    <x v="3"/>
    <s v="Apparel"/>
    <x v="4"/>
    <n v="2"/>
    <n v="14.99"/>
    <n v="14.99"/>
    <m/>
    <x v="0"/>
    <n v="0"/>
    <n v="0"/>
    <s v="Number"/>
    <n v="4.99"/>
    <n v="4.99"/>
    <n v="34.97"/>
    <n v="34.97"/>
    <n v="34.97"/>
    <s v="True"/>
    <s v="Normal"/>
    <s v="Google Pay"/>
    <x v="0"/>
    <s v="fulfilled"/>
    <s v="Germany"/>
    <m/>
    <s v="Not Required"/>
    <s v="East Jakeberg"/>
  </r>
  <r>
    <s v="#2889"/>
    <n v="1"/>
    <d v="2026-08-04T14:06:32"/>
    <d v="2026-08-04T14:06:32"/>
    <s v="Christopher Harrington"/>
    <x v="0"/>
    <s v="christopher.harrington960@gmail.com"/>
    <s v="Classic Cotton T-Shirt"/>
    <x v="3"/>
    <s v="Apparel"/>
    <x v="4"/>
    <n v="1"/>
    <n v="14.99"/>
    <n v="14.99"/>
    <s v="SAVE20"/>
    <x v="2"/>
    <n v="3"/>
    <n v="3"/>
    <s v="Number"/>
    <n v="4.99"/>
    <n v="4.99"/>
    <n v="16.98"/>
    <n v="16.98"/>
    <n v="16.98"/>
    <s v="True"/>
    <s v="Normal"/>
    <s v="Credit Card"/>
    <x v="1"/>
    <s v="fulfilled"/>
    <s v="Australia"/>
    <m/>
    <s v="Not Required"/>
    <s v="North Christopherhaven"/>
  </r>
  <r>
    <s v="#2893"/>
    <n v="1"/>
    <d v="2026-08-04T13:57:11"/>
    <d v="2026-08-04T13:57:11"/>
    <s v="Darin Alvarez"/>
    <x v="0"/>
    <s v="darin.alvarez843@gmail.com"/>
    <s v="Classic Cotton T-Shirt"/>
    <x v="3"/>
    <s v="Apparel"/>
    <x v="4"/>
    <n v="4"/>
    <n v="14.99"/>
    <n v="14.99"/>
    <s v="SAVE20"/>
    <x v="2"/>
    <n v="11.99"/>
    <n v="11.99"/>
    <s v="Number"/>
    <n v="7.99"/>
    <n v="7.99"/>
    <n v="55.96"/>
    <n v="55.96"/>
    <n v="55.96"/>
    <s v="True"/>
    <s v="Normal"/>
    <s v="PayPal"/>
    <x v="0"/>
    <s v="cancelled"/>
    <s v="Canada"/>
    <m/>
    <s v="Not Required"/>
    <s v="Lake William"/>
  </r>
  <r>
    <s v="#2902"/>
    <n v="1"/>
    <d v="2026-08-04T13:59:32"/>
    <d v="2026-08-04T13:59:32"/>
    <s v="Arthur Kelley"/>
    <x v="0"/>
    <s v="arthur.kelley558@gmail.com"/>
    <s v="Classic Cotton T-Shirt"/>
    <x v="3"/>
    <s v="Apparel"/>
    <x v="4"/>
    <n v="1"/>
    <n v="14.99"/>
    <n v="14.99"/>
    <m/>
    <x v="0"/>
    <n v="0"/>
    <n v="0"/>
    <s v="Number"/>
    <n v="7.99"/>
    <n v="7.99"/>
    <n v="22.98"/>
    <n v="22.98"/>
    <n v="22.98"/>
    <s v="True"/>
    <s v="Normal"/>
    <s v="PayPal"/>
    <x v="2"/>
    <s v="cancelled"/>
    <s v="Australia"/>
    <m/>
    <s v="Not Required"/>
    <s v="North Alexandraborough"/>
  </r>
  <r>
    <s v="#2924"/>
    <n v="1"/>
    <d v="2026-08-04T13:53:50"/>
    <d v="2026-08-04T13:53:50"/>
    <s v="Hannah Lee"/>
    <x v="0"/>
    <s v="hannah.lee589@icloud.com"/>
    <s v="Classic Cotton T-Shirt"/>
    <x v="3"/>
    <s v="Apparel"/>
    <x v="4"/>
    <n v="3"/>
    <n v="14.99"/>
    <n v="14.99"/>
    <s v="BFCM25"/>
    <x v="3"/>
    <n v="11.24"/>
    <n v="11.24"/>
    <s v="Number"/>
    <n v="5.99"/>
    <n v="5.99"/>
    <n v="39.72"/>
    <n v="39.72"/>
    <n v="39.72"/>
    <s v="True"/>
    <s v="Normal"/>
    <s v="Google Pay"/>
    <x v="0"/>
    <s v="cancelled"/>
    <s v="United Kingdom"/>
    <m/>
    <s v="Not Required"/>
    <s v="Port Nina"/>
  </r>
  <r>
    <s v="#2949"/>
    <n v="1"/>
    <d v="2026-04-08T00:00:00"/>
    <s v="08/04/2026"/>
    <s v="Rodney Lamb"/>
    <x v="0"/>
    <s v="rodney.lamb872@icloud.com"/>
    <s v="Classic Cotton T-Shirt"/>
    <x v="3"/>
    <s v="Apparel"/>
    <x v="3"/>
    <n v="2"/>
    <n v="14.99"/>
    <n v="14.99"/>
    <s v="VIP15"/>
    <x v="4"/>
    <n v="4.5"/>
    <n v="4.5"/>
    <s v="Number"/>
    <n v="7.99"/>
    <n v="7.99"/>
    <n v="33.47"/>
    <n v="33.47"/>
    <n v="33.47"/>
    <s v="True"/>
    <s v="Normal"/>
    <s v="PayPal"/>
    <x v="3"/>
    <s v="fulfilled"/>
    <s v="Australia"/>
    <m/>
    <s v="Not Required"/>
    <s v="Medinabury"/>
  </r>
  <r>
    <s v="#2953"/>
    <n v="1"/>
    <d v="2026-08-04T13:57:13"/>
    <d v="2026-08-04T13:57:13"/>
    <s v="Diane Harper"/>
    <x v="0"/>
    <s v="diane.harper925@gmail.com"/>
    <s v="Classic Cotton T-Shirt"/>
    <x v="3"/>
    <s v="Apparel"/>
    <x v="3"/>
    <n v="1"/>
    <n v="14.99"/>
    <n v="14.99"/>
    <m/>
    <x v="0"/>
    <n v="0"/>
    <n v="0"/>
    <s v="Number"/>
    <n v="7.99"/>
    <n v="7.99"/>
    <n v="22.98"/>
    <n v="22.98"/>
    <n v="22.98"/>
    <s v="True"/>
    <s v="Normal"/>
    <s v="Credit Card"/>
    <x v="0"/>
    <s v="fulfilled"/>
    <s v="United States"/>
    <s v="Arizona"/>
    <s v="Valid"/>
    <s v="Stephenschester"/>
  </r>
  <r>
    <s v="#2955"/>
    <n v="1"/>
    <d v="2026-08-04T14:05:56"/>
    <d v="2026-08-04T14:05:56"/>
    <s v="Juan Martin"/>
    <x v="0"/>
    <s v="juan.martin929@gmail.com"/>
    <s v="Classic Cotton T-Shirt"/>
    <x v="3"/>
    <s v="Apparel"/>
    <x v="4"/>
    <n v="1"/>
    <s v="$14.99"/>
    <n v="14.99"/>
    <s v="SAVE20"/>
    <x v="2"/>
    <s v="$3.00"/>
    <n v="3"/>
    <s v="Number"/>
    <n v="5.99"/>
    <n v="5.99"/>
    <n v="17.98"/>
    <n v="17.98"/>
    <n v="17.98"/>
    <s v="True"/>
    <s v="Normal"/>
    <s v="Shopify Payments"/>
    <x v="2"/>
    <s v="fulfilled"/>
    <s v="United States"/>
    <s v="Washington"/>
    <s v="Valid"/>
    <s v="Port Amy"/>
  </r>
  <r>
    <s v="#1025"/>
    <n v="1"/>
    <d v="2026-08-04T00:00:00"/>
    <s v="04-08-2026 14:06"/>
    <s v="Amanda Robinson"/>
    <x v="0"/>
    <s v="amanda.robinson263@icloud.com"/>
    <s v="Facial Cleanser 200ml"/>
    <x v="4"/>
    <s v="Beauty"/>
    <x v="5"/>
    <n v="2"/>
    <n v="13.49"/>
    <n v="13.49"/>
    <s v="WELCOME10"/>
    <x v="1"/>
    <n v="2.7"/>
    <n v="2.7"/>
    <s v="Number"/>
    <n v="5.99"/>
    <n v="5.99"/>
    <n v="30.27"/>
    <n v="30.27"/>
    <n v="30.270000000000003"/>
    <s v="True"/>
    <s v="Normal"/>
    <s v="Google Pay"/>
    <x v="3"/>
    <s v="pending"/>
    <s v="United States"/>
    <s v="Georgia"/>
    <s v="Valid"/>
    <s v="Martineztown"/>
  </r>
  <r>
    <s v="#1029"/>
    <n v="1"/>
    <d v="2026-08-04T13:54:55"/>
    <d v="2026-08-04T13:54:55"/>
    <s v="Michelle Bell"/>
    <x v="0"/>
    <s v="michelle.bell28@yahoo.com"/>
    <s v="Facial Cleanser 200ml"/>
    <x v="4"/>
    <s v="Beauty"/>
    <x v="5"/>
    <n v="1"/>
    <n v="13.49"/>
    <n v="13.49"/>
    <s v="FREESHIP"/>
    <x v="5"/>
    <n v="0"/>
    <n v="0"/>
    <s v="Number"/>
    <n v="0"/>
    <n v="0"/>
    <n v="13.49"/>
    <n v="13.49"/>
    <n v="13.49"/>
    <s v="True"/>
    <s v="Normal"/>
    <s v="Credit Card"/>
    <x v="0"/>
    <s v="refunded"/>
    <s v="United States"/>
    <s v="Florida"/>
    <s v="Valid"/>
    <s v="Terrymouth"/>
  </r>
  <r>
    <s v="#1075"/>
    <n v="1"/>
    <d v="2026-08-04T13:53:59"/>
    <d v="2026-08-04T13:53:59"/>
    <s v="Dustin Ward"/>
    <x v="0"/>
    <s v="dustin.ward756@icloud.com"/>
    <s v="Facial Cleanser 200ml"/>
    <x v="4"/>
    <s v="Beauty"/>
    <x v="5"/>
    <n v="2"/>
    <n v="13.49"/>
    <n v="13.49"/>
    <s v="SAVE20"/>
    <x v="2"/>
    <n v="5.4"/>
    <n v="5.4"/>
    <s v="Number"/>
    <n v="5.99"/>
    <n v="5.99"/>
    <n v="27.57"/>
    <n v="27.57"/>
    <n v="27.57"/>
    <s v="True"/>
    <s v="Normal"/>
    <s v="PayPal"/>
    <x v="2"/>
    <s v="fulfilled"/>
    <s v="United States"/>
    <s v="Florida"/>
    <s v="Valid"/>
    <s v="Lake Stephanieville"/>
  </r>
  <r>
    <s v="#1174"/>
    <n v="1"/>
    <d v="2026-08-04T13:57:27"/>
    <d v="2026-08-04T13:57:27"/>
    <s v="Mary Phillips"/>
    <x v="0"/>
    <s v="mary.phillips944@yahoo.com"/>
    <s v="Facial Cleanser 200ml"/>
    <x v="4"/>
    <s v="Beauty"/>
    <x v="5"/>
    <n v="1"/>
    <n v="13.49"/>
    <n v="13.49"/>
    <m/>
    <x v="0"/>
    <n v="0"/>
    <n v="0"/>
    <s v="Number"/>
    <n v="5.99"/>
    <n v="5.99"/>
    <n v="19.48"/>
    <n v="19.48"/>
    <n v="19.48"/>
    <s v="True"/>
    <s v="Normal"/>
    <s v="Credit Card"/>
    <x v="0"/>
    <s v="cancelled"/>
    <s v="United States"/>
    <s v="Illinois"/>
    <s v="Valid"/>
    <s v="South John"/>
  </r>
  <r>
    <s v="#1193"/>
    <n v="1"/>
    <d v="2026-08-04T13:59:21"/>
    <d v="2026-08-04T13:59:21"/>
    <s v="Joe Taylor"/>
    <x v="0"/>
    <s v="joe.taylor714@yahoo.com"/>
    <s v="Facial Cleanser 200ml"/>
    <x v="4"/>
    <s v="Beauty"/>
    <x v="5"/>
    <n v="1"/>
    <n v="13.49"/>
    <n v="13.49"/>
    <m/>
    <x v="0"/>
    <n v="0"/>
    <n v="0"/>
    <s v="Number"/>
    <n v="7.99"/>
    <n v="7.99"/>
    <n v="21.48"/>
    <n v="21.48"/>
    <n v="21.48"/>
    <s v="True"/>
    <s v="Normal"/>
    <s v="PayPal"/>
    <x v="0"/>
    <s v="refunded"/>
    <s v="Germany"/>
    <m/>
    <s v="Not Required"/>
    <s v="Anthonyhaven"/>
  </r>
  <r>
    <s v="#1230"/>
    <n v="1"/>
    <d v="2026-08-04T14:04:55"/>
    <d v="2026-08-04T14:04:55"/>
    <s v="Brian Ruiz"/>
    <x v="0"/>
    <s v="brian.ruiz246@gmail.com"/>
    <s v="Facial Cleanser 200ml"/>
    <x v="4"/>
    <s v="Beauty"/>
    <x v="5"/>
    <n v="1"/>
    <s v="$13.49"/>
    <n v="13.49"/>
    <s v="SAVE20"/>
    <x v="2"/>
    <n v="2.7"/>
    <n v="2.7"/>
    <s v="Number"/>
    <n v="4.99"/>
    <n v="4.99"/>
    <n v="15.78"/>
    <n v="15.78"/>
    <n v="15.78"/>
    <s v="True"/>
    <s v="Normal"/>
    <s v="Apple Pay"/>
    <x v="0"/>
    <s v="fulfilled"/>
    <s v="Germany"/>
    <m/>
    <s v="Not Required"/>
    <s v="New Emilyshire"/>
  </r>
  <r>
    <s v="#1242"/>
    <n v="1"/>
    <d v="2026-08-04T14:07:35"/>
    <d v="2026-08-04T14:07:35"/>
    <s v="Jennifer Burke"/>
    <x v="0"/>
    <s v="jennifer.burke472@icloud.com"/>
    <s v="Facial Cleanser 200ml"/>
    <x v="4"/>
    <s v="Beauty"/>
    <x v="5"/>
    <n v="2"/>
    <n v="13.49"/>
    <n v="13.49"/>
    <s v="SAVE20"/>
    <x v="2"/>
    <s v="$5.40"/>
    <n v="5.4"/>
    <s v="Number"/>
    <n v="7.99"/>
    <n v="7.99"/>
    <n v="29.57"/>
    <n v="29.57"/>
    <n v="29.57"/>
    <s v="True"/>
    <s v="Normal"/>
    <s v="PayPal"/>
    <x v="0"/>
    <s v="fulfilled"/>
    <s v="Pakistan"/>
    <m/>
    <s v="Not Required"/>
    <s v="Taylorberg"/>
  </r>
  <r>
    <s v="#1246"/>
    <n v="1"/>
    <d v="2026-08-04T00:00:00"/>
    <s v="2026-08-04"/>
    <s v="Cody Murray"/>
    <x v="0"/>
    <s v="cody.murray456@gmail.com"/>
    <s v="Facial Cleanser 200ml"/>
    <x v="4"/>
    <s v="Beauty"/>
    <x v="5"/>
    <n v="1"/>
    <n v="13.49"/>
    <n v="13.49"/>
    <s v="FREESHIP"/>
    <x v="5"/>
    <n v="0"/>
    <n v="0"/>
    <s v="Number"/>
    <n v="0"/>
    <n v="0"/>
    <n v="13.49"/>
    <n v="13.49"/>
    <n v="13.49"/>
    <s v="True"/>
    <s v="Normal"/>
    <s v="Apple Pay"/>
    <x v="0"/>
    <s v="fulfilled"/>
    <s v="United Kingdom"/>
    <m/>
    <s v="Not Required"/>
    <s v="South Matthew"/>
  </r>
  <r>
    <s v="#1249"/>
    <n v="1"/>
    <d v="2026-08-04T14:07:53"/>
    <d v="2026-08-04T14:07:53"/>
    <s v="Kayla Cruz"/>
    <x v="0"/>
    <s v="kayla.cruz151@outlook.com"/>
    <s v="Facial Cleanser 200ml"/>
    <x v="4"/>
    <s v="Beauty"/>
    <x v="5"/>
    <n v="3"/>
    <n v="13.49"/>
    <n v="13.49"/>
    <m/>
    <x v="0"/>
    <n v="0"/>
    <n v="0"/>
    <s v="Number"/>
    <n v="7.99"/>
    <n v="7.99"/>
    <n v="48.46"/>
    <n v="48.46"/>
    <n v="48.46"/>
    <s v="True"/>
    <s v="Normal"/>
    <s v="Google Pay"/>
    <x v="0"/>
    <s v="refunded"/>
    <s v="Pakistan"/>
    <m/>
    <s v="Not Required"/>
    <s v="South Mark"/>
  </r>
  <r>
    <s v="#1262"/>
    <n v="1"/>
    <d v="2026-08-04T14:04:08"/>
    <d v="2026-08-04T14:04:08"/>
    <s v="Mark Mata"/>
    <x v="0"/>
    <s v="mark.mata757@outlook.com"/>
    <s v="Facial Cleanser 200ml"/>
    <x v="4"/>
    <s v="Beauty"/>
    <x v="5"/>
    <n v="1"/>
    <n v="13.49"/>
    <n v="13.49"/>
    <m/>
    <x v="0"/>
    <n v="0"/>
    <n v="0"/>
    <s v="Number"/>
    <n v="7.99"/>
    <n v="7.99"/>
    <n v="21.48"/>
    <n v="21.48"/>
    <n v="21.48"/>
    <s v="True"/>
    <s v="Normal"/>
    <s v="Apple Pay"/>
    <x v="3"/>
    <s v="pending"/>
    <s v="United States"/>
    <s v="Washington"/>
    <s v="Valid"/>
    <s v="Davidburgh"/>
  </r>
  <r>
    <s v="#1264"/>
    <n v="1"/>
    <d v="2026-08-04T13:55:12"/>
    <d v="2026-08-04T13:55:12"/>
    <s v="Rebecca Watts"/>
    <x v="0"/>
    <s v="rebecca.watts779@gmail.com"/>
    <s v="Facial Cleanser 200ml"/>
    <x v="4"/>
    <s v="Beauty"/>
    <x v="5"/>
    <n v="1"/>
    <n v="13.49"/>
    <n v="13.49"/>
    <m/>
    <x v="0"/>
    <n v="0"/>
    <n v="0"/>
    <s v="Number"/>
    <n v="4.99"/>
    <n v="4.99"/>
    <n v="18.48"/>
    <n v="18.48"/>
    <n v="18.48"/>
    <s v="True"/>
    <s v="Normal"/>
    <s v="Shopify Payments"/>
    <x v="1"/>
    <s v="cancelled"/>
    <s v="United States"/>
    <s v="California"/>
    <s v="Valid"/>
    <s v="New Ralphview"/>
  </r>
  <r>
    <s v="#1268"/>
    <n v="1"/>
    <d v="2026-08-04T14:01:26"/>
    <d v="2026-08-04T14:01:26"/>
    <s v="Leon Oliver"/>
    <x v="0"/>
    <s v="leon.oliver578@gmail.com"/>
    <s v="Facial Cleanser 200ml"/>
    <x v="4"/>
    <s v="Beauty"/>
    <x v="5"/>
    <n v="1"/>
    <n v="13.49"/>
    <n v="13.49"/>
    <m/>
    <x v="0"/>
    <n v="0"/>
    <n v="0"/>
    <s v="Number"/>
    <n v="7.99"/>
    <n v="7.99"/>
    <n v="21.48"/>
    <n v="21.48"/>
    <n v="21.48"/>
    <s v="True"/>
    <s v="Normal"/>
    <s v="Apple Pay"/>
    <x v="0"/>
    <s v="fulfilled"/>
    <s v="Canada"/>
    <m/>
    <s v="Not Required"/>
    <s v="Port Shawn"/>
  </r>
  <r>
    <s v="#1293"/>
    <n v="1"/>
    <d v="2026-08-04T13:59:12"/>
    <d v="2026-08-04T13:59:12"/>
    <s v="DAVID TORRES"/>
    <x v="0"/>
    <s v="david.torres833@outlook.com"/>
    <s v="Facial Cleanser 200ml"/>
    <x v="4"/>
    <s v="Beauty"/>
    <x v="5"/>
    <n v="1"/>
    <n v="13.49"/>
    <n v="13.49"/>
    <s v="WELCOME10"/>
    <x v="1"/>
    <n v="1.35"/>
    <n v="1.35"/>
    <s v="Number"/>
    <n v="4.99"/>
    <n v="4.99"/>
    <s v="$17.13"/>
    <n v="17.13"/>
    <n v="17.130000000000003"/>
    <s v="True"/>
    <s v="Normal"/>
    <s v="PayPal"/>
    <x v="0"/>
    <s v="fulfilled"/>
    <s v="United States"/>
    <s v="Georgia"/>
    <s v="Valid"/>
    <s v="Cruzport"/>
  </r>
  <r>
    <s v="#1315"/>
    <n v="1"/>
    <d v="2026-08-04T14:03:58"/>
    <d v="2026-08-04T14:03:58"/>
    <s v="Rebecca Watts"/>
    <x v="0"/>
    <s v="rebecca.watts779@gmail.com"/>
    <s v="Facial Cleanser 200ml"/>
    <x v="4"/>
    <s v="Beauty"/>
    <x v="5"/>
    <n v="1"/>
    <n v="13.49"/>
    <n v="13.49"/>
    <s v="VIP15"/>
    <x v="4"/>
    <n v="2.02"/>
    <n v="2.02"/>
    <s v="Number"/>
    <n v="4.99"/>
    <n v="4.99"/>
    <n v="16.46"/>
    <n v="16.46"/>
    <n v="16.46"/>
    <s v="True"/>
    <s v="Normal"/>
    <s v="PayPal"/>
    <x v="0"/>
    <s v="fulfilled"/>
    <s v="United States"/>
    <s v="NY"/>
    <s v="Valid"/>
    <s v="East Rebeccaton"/>
  </r>
  <r>
    <s v="#1335"/>
    <n v="1"/>
    <d v="2026-08-04T13:59:22"/>
    <d v="2026-08-04T13:59:22"/>
    <s v="Eric Golden"/>
    <x v="0"/>
    <s v="eric.golden379@outlook.com"/>
    <s v="Facial Cleanser 200ml"/>
    <x v="4"/>
    <s v="Beauty"/>
    <x v="5"/>
    <n v="2"/>
    <n v="13.49"/>
    <n v="13.49"/>
    <s v="WELCOME10"/>
    <x v="1"/>
    <n v="2.7"/>
    <n v="2.7"/>
    <s v="Number"/>
    <n v="5.99"/>
    <n v="5.99"/>
    <n v="30.27"/>
    <n v="30.27"/>
    <n v="30.270000000000003"/>
    <s v="True"/>
    <s v="Normal"/>
    <s v="PayPal"/>
    <x v="1"/>
    <s v="fulfilled"/>
    <s v="United States"/>
    <s v="Georgia"/>
    <s v="Valid"/>
    <s v="East Heather"/>
  </r>
  <r>
    <s v="#1359"/>
    <n v="1"/>
    <d v="2026-08-04T13:58:06"/>
    <d v="2026-08-04T13:58:06"/>
    <s v="Barbara Case"/>
    <x v="0"/>
    <s v="barbara.case365@yahoo.com"/>
    <s v="Facial Cleanser 200ml"/>
    <x v="4"/>
    <s v="Beauty"/>
    <x v="5"/>
    <n v="1"/>
    <n v="13.49"/>
    <n v="13.49"/>
    <s v="SAVE20"/>
    <x v="2"/>
    <n v="2.7"/>
    <n v="2.7"/>
    <s v="Number"/>
    <n v="4.99"/>
    <n v="4.99"/>
    <n v="15.78"/>
    <n v="15.78"/>
    <n v="15.78"/>
    <s v="True"/>
    <s v="Normal"/>
    <s v="Apple Pay"/>
    <x v="2"/>
    <s v="refunded"/>
    <s v="United States"/>
    <s v="California"/>
    <s v="Valid"/>
    <s v="East Andrewfurt"/>
  </r>
  <r>
    <s v="#1406"/>
    <n v="1"/>
    <d v="2026-08-04T13:56:47"/>
    <d v="2026-08-04T13:56:47"/>
    <s v="Ruth Duncan"/>
    <x v="0"/>
    <s v="ruth.duncan434@icloud.com"/>
    <s v="Facial Cleanser 200ml"/>
    <x v="4"/>
    <s v="Beauty"/>
    <x v="5"/>
    <n v="1"/>
    <n v="13.49"/>
    <n v="13.49"/>
    <m/>
    <x v="0"/>
    <s v="$0.00"/>
    <n v="0"/>
    <s v="Number"/>
    <n v="4.99"/>
    <n v="4.99"/>
    <n v="18.48"/>
    <n v="18.48"/>
    <n v="18.48"/>
    <s v="True"/>
    <s v="Normal"/>
    <s v="Google Pay"/>
    <x v="1"/>
    <s v="fulfilled"/>
    <s v="Australia"/>
    <m/>
    <s v="Not Required"/>
    <s v="Macdonaldton"/>
  </r>
  <r>
    <s v="#1475"/>
    <n v="1"/>
    <d v="2026-08-04T13:56:39"/>
    <d v="2026-08-04T13:56:39"/>
    <s v="Walter Rodriguez"/>
    <x v="0"/>
    <s v="walter.rodriguez829@gmail.com"/>
    <s v="Facial Cleanser 200ml"/>
    <x v="4"/>
    <s v="Beauty"/>
    <x v="5"/>
    <n v="3"/>
    <n v="13.49"/>
    <n v="13.49"/>
    <s v="SAVE20"/>
    <x v="2"/>
    <n v="8.09"/>
    <n v="8.09"/>
    <s v="Number"/>
    <n v="5.99"/>
    <n v="5.99"/>
    <n v="38.369999999999997"/>
    <n v="38.369999999999997"/>
    <n v="38.369999999999997"/>
    <s v="True"/>
    <s v="Normal"/>
    <s v="Shopify Payments"/>
    <x v="3"/>
    <s v="fulfilled"/>
    <s v="Australia"/>
    <m/>
    <s v="Not Required"/>
    <s v="North Emilyshire"/>
  </r>
  <r>
    <s v="#1484"/>
    <n v="1"/>
    <d v="2026-08-04T13:55:57"/>
    <d v="2026-08-04T13:55:57"/>
    <s v="Carrie Boyd"/>
    <x v="0"/>
    <s v="carrie.boyd968@gmail.com"/>
    <s v="Facial Cleanser 200ml"/>
    <x v="4"/>
    <s v="Beauty"/>
    <x v="5"/>
    <n v="2"/>
    <n v="13.49"/>
    <n v="13.49"/>
    <s v="VIP15"/>
    <x v="4"/>
    <n v="4.05"/>
    <n v="4.05"/>
    <s v="Number"/>
    <n v="4.99"/>
    <n v="4.99"/>
    <n v="27.92"/>
    <n v="27.92"/>
    <n v="27.92"/>
    <s v="True"/>
    <s v="Normal"/>
    <s v="Shopify Payments"/>
    <x v="3"/>
    <s v="pending"/>
    <s v="United States"/>
    <s v="Washington"/>
    <s v="Valid"/>
    <s v="Lake Jeff"/>
  </r>
  <r>
    <s v="#1507"/>
    <n v="1"/>
    <d v="2026-08-04T13:57:34"/>
    <d v="2026-08-04T13:57:34"/>
    <s v="Christopher Harrington"/>
    <x v="0"/>
    <s v="christopher.harrington960@gmail.com"/>
    <s v="Facial Cleanser 200ml"/>
    <x v="4"/>
    <s v="Beauty"/>
    <x v="5"/>
    <n v="1"/>
    <n v="13.49"/>
    <n v="13.49"/>
    <m/>
    <x v="0"/>
    <n v="0"/>
    <n v="0"/>
    <s v="Number"/>
    <n v="4.99"/>
    <n v="4.99"/>
    <s v="$18.48"/>
    <n v="18.48"/>
    <n v="18.48"/>
    <s v="True"/>
    <s v="Normal"/>
    <s v="PayPal"/>
    <x v="2"/>
    <s v="fulfilled"/>
    <s v="Australia"/>
    <m/>
    <s v="Not Required"/>
    <s v="Lake Joseview"/>
  </r>
  <r>
    <s v="#1588"/>
    <n v="1"/>
    <d v="2026-08-04T00:00:00"/>
    <s v="2026-08-04"/>
    <s v="Thomas Rivera"/>
    <x v="0"/>
    <s v="thomas.rivera720@yahoo.com"/>
    <s v="Facial Cleanser 200ml"/>
    <x v="4"/>
    <s v="Beauty"/>
    <x v="5"/>
    <n v="1"/>
    <n v="13.49"/>
    <n v="13.49"/>
    <m/>
    <x v="0"/>
    <n v="0"/>
    <n v="0"/>
    <s v="Number"/>
    <n v="7.99"/>
    <n v="7.99"/>
    <n v="21.48"/>
    <n v="21.48"/>
    <n v="21.48"/>
    <s v="True"/>
    <s v="Normal"/>
    <s v="Credit Card"/>
    <x v="0"/>
    <s v="fulfilled"/>
    <s v="United States"/>
    <s v="California"/>
    <s v="Valid"/>
    <s v="East Scott"/>
  </r>
  <r>
    <s v="#1628"/>
    <n v="1"/>
    <d v="2026-08-04T13:53:27"/>
    <d v="2026-08-04T13:53:27"/>
    <s v="Robert Lopez"/>
    <x v="0"/>
    <s v="robert.lopez980@outlook.com"/>
    <s v="Facial Cleanser 200ml"/>
    <x v="4"/>
    <s v="Beauty"/>
    <x v="5"/>
    <n v="1"/>
    <n v="13.49"/>
    <n v="13.49"/>
    <m/>
    <x v="0"/>
    <n v="0"/>
    <n v="0"/>
    <s v="Number"/>
    <n v="4.99"/>
    <n v="4.99"/>
    <n v="18.48"/>
    <n v="18.48"/>
    <n v="18.48"/>
    <s v="True"/>
    <s v="Normal"/>
    <s v="PayPal"/>
    <x v="0"/>
    <s v="fulfilled"/>
    <s v="Germany"/>
    <m/>
    <s v="Not Required"/>
    <s v="Port Jeffreymouth"/>
  </r>
  <r>
    <s v="#1661"/>
    <n v="1"/>
    <d v="2026-08-04T14:07:16"/>
    <d v="2026-08-04T14:07:16"/>
    <s v="Sandra Wilson"/>
    <x v="0"/>
    <s v="sandra.wilson840@outlook.com"/>
    <s v="Facial Cleanser 200ml"/>
    <x v="4"/>
    <s v="Beauty"/>
    <x v="5"/>
    <n v="1"/>
    <n v="13.49"/>
    <n v="13.49"/>
    <m/>
    <x v="0"/>
    <n v="0"/>
    <n v="0"/>
    <s v="Number"/>
    <n v="5.99"/>
    <n v="5.99"/>
    <n v="19.48"/>
    <n v="19.48"/>
    <n v="19.48"/>
    <s v="True"/>
    <s v="Normal"/>
    <s v="PayPal"/>
    <x v="0"/>
    <s v="pending"/>
    <s v="United States"/>
    <s v="Washington"/>
    <s v="Valid"/>
    <s v="Lake Tracybury"/>
  </r>
  <r>
    <s v="#1669"/>
    <n v="1"/>
    <d v="2026-08-04T13:54:01"/>
    <d v="2026-08-04T13:54:01"/>
    <s v="Patrick Stevens"/>
    <x v="0"/>
    <s v="patrick.stevens218@gmail.com"/>
    <s v="Facial Cleanser 200ml"/>
    <x v="4"/>
    <s v="Beauty"/>
    <x v="5"/>
    <n v="1"/>
    <n v="13.49"/>
    <n v="13.49"/>
    <m/>
    <x v="0"/>
    <n v="0"/>
    <n v="0"/>
    <s v="Number"/>
    <n v="4.99"/>
    <n v="4.99"/>
    <n v="18.48"/>
    <n v="18.48"/>
    <n v="18.48"/>
    <s v="True"/>
    <s v="Normal"/>
    <s v="Apple Pay"/>
    <x v="3"/>
    <s v="pending"/>
    <s v="Pakistan"/>
    <m/>
    <s v="Not Required"/>
    <s v="Schultzfort"/>
  </r>
  <r>
    <s v="#1670"/>
    <n v="1"/>
    <d v="2026-08-04T13:58:13"/>
    <d v="2026-08-04T13:58:13"/>
    <s v="Patricia Townsend"/>
    <x v="0"/>
    <s v="patricia.townsend96@yahoo.com"/>
    <s v="Facial Cleanser 200ml"/>
    <x v="4"/>
    <s v="Beauty"/>
    <x v="5"/>
    <n v="2"/>
    <n v="13.49"/>
    <n v="13.49"/>
    <m/>
    <x v="0"/>
    <n v="0"/>
    <n v="0"/>
    <s v="Number"/>
    <n v="4.99"/>
    <n v="4.99"/>
    <n v="31.97"/>
    <n v="31.97"/>
    <n v="31.97"/>
    <s v="True"/>
    <s v="Normal"/>
    <s v="Credit Card"/>
    <x v="3"/>
    <s v="refunded"/>
    <s v="United States"/>
    <s v="Florida"/>
    <s v="Valid"/>
    <s v="South David"/>
  </r>
  <r>
    <s v="#1679"/>
    <n v="1"/>
    <d v="2026-08-04T13:55:32"/>
    <d v="2026-08-04T13:55:32"/>
    <s v="Anthony Mullen"/>
    <x v="0"/>
    <s v="anthony.mullen523@yahoo.com"/>
    <s v="Facial Cleanser 200ml"/>
    <x v="4"/>
    <s v="Beauty"/>
    <x v="5"/>
    <n v="1"/>
    <n v="13.49"/>
    <n v="13.49"/>
    <s v="FREESHIP"/>
    <x v="5"/>
    <n v="0"/>
    <n v="0"/>
    <s v="Number"/>
    <n v="0"/>
    <n v="0"/>
    <n v="13.49"/>
    <n v="13.49"/>
    <n v="13.49"/>
    <s v="True"/>
    <s v="Normal"/>
    <s v="PayPal"/>
    <x v="2"/>
    <s v="fulfilled"/>
    <s v="United States"/>
    <s v="Arizona"/>
    <s v="Valid"/>
    <s v="New Robynberg"/>
  </r>
  <r>
    <s v="#1736"/>
    <n v="1"/>
    <d v="2026-08-04T13:55:35"/>
    <d v="2026-08-04T13:55:35"/>
    <s v="Cody Murray"/>
    <x v="0"/>
    <s v="cody.murray456@gmail.com"/>
    <s v="Facial Cleanser 200ml"/>
    <x v="4"/>
    <s v="Beauty"/>
    <x v="5"/>
    <n v="1"/>
    <n v="13.49"/>
    <n v="13.49"/>
    <m/>
    <x v="0"/>
    <n v="0"/>
    <n v="0"/>
    <s v="Number"/>
    <n v="7.99"/>
    <n v="7.99"/>
    <n v="21.48"/>
    <n v="21.48"/>
    <n v="21.48"/>
    <s v="True"/>
    <s v="Normal"/>
    <s v="Credit Card"/>
    <x v="1"/>
    <s v="pending"/>
    <s v="United Kingdom"/>
    <m/>
    <s v="Not Required"/>
    <s v="East Thomasberg"/>
  </r>
  <r>
    <s v="#1744"/>
    <n v="1"/>
    <d v="2026-08-04T13:58:00"/>
    <d v="2026-08-04T13:58:00"/>
    <s v="Natalie Roberts"/>
    <x v="0"/>
    <s v="natalie.roberts628@yahoo.com"/>
    <s v="Facial Cleanser 200ml"/>
    <x v="4"/>
    <s v="Beauty"/>
    <x v="5"/>
    <n v="2"/>
    <n v="13.49"/>
    <n v="13.49"/>
    <s v="SAVE20"/>
    <x v="2"/>
    <s v="$5.40"/>
    <n v="5.4"/>
    <s v="Number"/>
    <n v="7.99"/>
    <n v="7.99"/>
    <n v="29.57"/>
    <n v="29.57"/>
    <n v="29.57"/>
    <s v="True"/>
    <s v="Normal"/>
    <s v="PayPal"/>
    <x v="1"/>
    <s v="pending"/>
    <s v="United States"/>
    <s v="Illinois"/>
    <s v="Valid"/>
    <s v="Velasquezville"/>
  </r>
  <r>
    <s v="#1773"/>
    <n v="1"/>
    <d v="2026-08-04T14:06:17"/>
    <d v="2026-08-04T14:06:17"/>
    <s v="Morgan Johnson"/>
    <x v="0"/>
    <s v="morgan.johnson938@outlook.com"/>
    <s v="Facial Cleanser 200ml"/>
    <x v="4"/>
    <s v="Beauty"/>
    <x v="5"/>
    <n v="1"/>
    <n v="13.49"/>
    <n v="13.49"/>
    <s v="SAVE20"/>
    <x v="2"/>
    <s v="$2.70"/>
    <n v="2.7"/>
    <s v="Number"/>
    <n v="4.99"/>
    <n v="4.99"/>
    <n v="15.78"/>
    <n v="15.78"/>
    <n v="15.78"/>
    <s v="True"/>
    <s v="Normal"/>
    <s v="Google Pay"/>
    <x v="0"/>
    <s v="fulfilled"/>
    <s v="Canada"/>
    <m/>
    <s v="Not Required"/>
    <s v="Lake Zacharybury"/>
  </r>
  <r>
    <s v="#1902"/>
    <n v="1"/>
    <d v="2026-08-04T14:06:23"/>
    <d v="2026-08-04T14:06:23"/>
    <s v="Tracy Adams"/>
    <x v="0"/>
    <s v="tracy.adams712@icloud.com"/>
    <s v="Facial Cleanser 200ml"/>
    <x v="4"/>
    <s v="Beauty"/>
    <x v="5"/>
    <n v="2"/>
    <n v="13.49"/>
    <n v="13.49"/>
    <s v="FREESHIP"/>
    <x v="5"/>
    <n v="0"/>
    <n v="0"/>
    <s v="Number"/>
    <n v="0"/>
    <n v="0"/>
    <n v="26.98"/>
    <n v="26.98"/>
    <n v="26.98"/>
    <s v="True"/>
    <s v="Normal"/>
    <s v="Credit Card"/>
    <x v="0"/>
    <s v="cancelled"/>
    <s v="United States"/>
    <s v="Georgia"/>
    <s v="Valid"/>
    <s v="Robertland"/>
  </r>
  <r>
    <s v="#1919"/>
    <n v="1"/>
    <d v="2026-08-04T13:59:08"/>
    <d v="2026-08-04T13:59:08"/>
    <s v="  Catherine Mcgee"/>
    <x v="0"/>
    <s v="catherine.mcgee63@icloud.com"/>
    <s v="Facial Cleanser 200ml"/>
    <x v="4"/>
    <s v="Beauty"/>
    <x v="5"/>
    <n v="2"/>
    <n v="13.49"/>
    <n v="13.49"/>
    <m/>
    <x v="0"/>
    <n v="0"/>
    <n v="0"/>
    <s v="Number"/>
    <n v="4.99"/>
    <n v="4.99"/>
    <n v="31.97"/>
    <n v="31.97"/>
    <n v="31.97"/>
    <s v="True"/>
    <s v="Normal"/>
    <s v="Credit Card"/>
    <x v="2"/>
    <s v="fulfilled"/>
    <s v="Australia"/>
    <m/>
    <s v="Not Required"/>
    <s v="Knightmouth"/>
  </r>
  <r>
    <s v="#1975"/>
    <n v="1"/>
    <d v="2026-08-04T14:00:39"/>
    <d v="2026-08-04T14:00:39"/>
    <s v="Thomas Rojas"/>
    <x v="0"/>
    <s v="thomas.rojas667@icloud.com"/>
    <s v="Facial Cleanser 200ml"/>
    <x v="4"/>
    <s v="Beauty"/>
    <x v="5"/>
    <n v="1"/>
    <n v="13.49"/>
    <n v="13.49"/>
    <s v="BFCM25"/>
    <x v="3"/>
    <n v="3.37"/>
    <n v="3.37"/>
    <s v="Number"/>
    <n v="7.99"/>
    <n v="7.99"/>
    <n v="18.11"/>
    <n v="18.11"/>
    <n v="18.11"/>
    <s v="True"/>
    <s v="Normal"/>
    <s v="Apple Pay"/>
    <x v="0"/>
    <s v="refunded"/>
    <s v="United States"/>
    <s v="California"/>
    <s v="Valid"/>
    <s v="East Christinaview"/>
  </r>
  <r>
    <s v="#1979"/>
    <n v="1"/>
    <d v="2026-08-04T14:02:33"/>
    <d v="2026-08-04T14:02:33"/>
    <s v="Elizabeth Carter"/>
    <x v="0"/>
    <s v="elizabeth.carter304@icloud.com"/>
    <s v="Facial Cleanser 200ml"/>
    <x v="4"/>
    <s v="Beauty"/>
    <x v="5"/>
    <n v="1"/>
    <n v="13.49"/>
    <n v="13.49"/>
    <s v="SAVE20"/>
    <x v="2"/>
    <n v="2.7"/>
    <n v="2.7"/>
    <s v="Number"/>
    <n v="5.99"/>
    <n v="5.99"/>
    <s v="$16.78"/>
    <n v="16.78"/>
    <n v="16.78"/>
    <s v="True"/>
    <s v="Normal"/>
    <s v="Credit Card"/>
    <x v="3"/>
    <s v="fulfilled"/>
    <s v="Canada"/>
    <m/>
    <s v="Not Required"/>
    <s v="Karenville"/>
  </r>
  <r>
    <s v="#1986"/>
    <n v="1"/>
    <d v="2026-04-08T00:00:00"/>
    <s v="08/04/2026"/>
    <s v="Tara Jackson"/>
    <x v="0"/>
    <s v="tara.jackson708@outlook.com"/>
    <s v="Facial Cleanser 200ml"/>
    <x v="4"/>
    <s v="Beauty"/>
    <x v="5"/>
    <n v="1"/>
    <n v="13.49"/>
    <n v="13.49"/>
    <s v="WELCOME10"/>
    <x v="1"/>
    <n v="1.35"/>
    <n v="1.35"/>
    <s v="Number"/>
    <n v="7.99"/>
    <n v="7.99"/>
    <n v="20.13"/>
    <n v="20.13"/>
    <n v="20.130000000000003"/>
    <s v="True"/>
    <s v="Normal"/>
    <s v="Credit Card"/>
    <x v="1"/>
    <s v="fulfilled"/>
    <s v="Canada"/>
    <m/>
    <s v="Not Required"/>
    <s v="Darrenchester"/>
  </r>
  <r>
    <s v="#2099"/>
    <n v="1"/>
    <d v="2026-08-04T13:56:08"/>
    <d v="2026-08-04T13:56:08"/>
    <s v="Julie Terrell"/>
    <x v="0"/>
    <s v="julie.terrell409@icloud.com"/>
    <s v="Facial Cleanser 200ml"/>
    <x v="4"/>
    <s v="Beauty"/>
    <x v="5"/>
    <n v="1"/>
    <n v="13.49"/>
    <n v="13.49"/>
    <m/>
    <x v="0"/>
    <n v="0"/>
    <n v="0"/>
    <s v="Number"/>
    <n v="5.99"/>
    <n v="5.99"/>
    <n v="19.48"/>
    <n v="19.48"/>
    <n v="19.48"/>
    <s v="True"/>
    <s v="Normal"/>
    <s v="Apple Pay"/>
    <x v="1"/>
    <s v="fulfilled"/>
    <s v="Australia"/>
    <m/>
    <s v="Not Required"/>
    <s v="North Janice"/>
  </r>
  <r>
    <s v="#2126"/>
    <n v="1"/>
    <d v="2026-08-04T13:53:33"/>
    <d v="2026-08-04T13:53:33"/>
    <s v="Jacqueline Miller"/>
    <x v="0"/>
    <s v="jacqueline.miller687@yahoo.com"/>
    <s v="Facial Cleanser 200ml"/>
    <x v="4"/>
    <s v="Beauty"/>
    <x v="5"/>
    <n v="1"/>
    <n v="13.49"/>
    <n v="13.49"/>
    <m/>
    <x v="0"/>
    <n v="0"/>
    <n v="0"/>
    <s v="Number"/>
    <n v="4.99"/>
    <n v="4.99"/>
    <n v="18.48"/>
    <n v="18.48"/>
    <n v="18.48"/>
    <s v="True"/>
    <s v="Normal"/>
    <s v="Credit Card"/>
    <x v="0"/>
    <s v="fulfilled"/>
    <s v="Canada"/>
    <m/>
    <s v="Not Required"/>
    <s v="Kelseyland"/>
  </r>
  <r>
    <s v="#2154"/>
    <n v="1"/>
    <d v="2026-08-04T13:54:47"/>
    <d v="2026-08-04T13:54:47"/>
    <s v="Elizabeth Johnston"/>
    <x v="0"/>
    <s v="elizabeth.johnston946@gmail.com"/>
    <s v="Facial Cleanser 200ml"/>
    <x v="4"/>
    <s v="Beauty"/>
    <x v="5"/>
    <n v="2"/>
    <n v="13.49"/>
    <n v="13.49"/>
    <m/>
    <x v="0"/>
    <n v="0"/>
    <n v="0"/>
    <s v="Number"/>
    <n v="4.99"/>
    <n v="4.99"/>
    <n v="31.97"/>
    <n v="31.97"/>
    <n v="31.97"/>
    <s v="True"/>
    <s v="Normal"/>
    <s v="PayPal"/>
    <x v="0"/>
    <s v="fulfilled"/>
    <s v="United Kingdom"/>
    <m/>
    <s v="Not Required"/>
    <s v="Christymouth"/>
  </r>
  <r>
    <s v="#2171"/>
    <n v="1"/>
    <d v="2026-08-04T14:07:49"/>
    <d v="2026-08-04T14:07:49"/>
    <s v="Maria Patterson"/>
    <x v="0"/>
    <s v="maria.patterson62@icloud.com"/>
    <s v="Facial Cleanser 200ml"/>
    <x v="4"/>
    <s v="Beauty"/>
    <x v="5"/>
    <n v="1"/>
    <s v="$13.49"/>
    <n v="13.49"/>
    <s v="WELCOME10"/>
    <x v="1"/>
    <n v="1.35"/>
    <n v="1.35"/>
    <s v="Number"/>
    <n v="4.99"/>
    <n v="4.99"/>
    <n v="17.13"/>
    <n v="17.13"/>
    <n v="17.130000000000003"/>
    <s v="True"/>
    <s v="Normal"/>
    <s v="PayPal"/>
    <x v="0"/>
    <s v="cancelled"/>
    <s v="United States"/>
    <s v="Arizona"/>
    <s v="Valid"/>
    <s v="West Steven"/>
  </r>
  <r>
    <s v="#2176"/>
    <n v="1"/>
    <d v="2026-08-04T00:00:00"/>
    <s v="Aug 04, 2026"/>
    <s v="joseph martin"/>
    <x v="0"/>
    <s v="joseph.martin348@icloud.com"/>
    <s v="Facial Cleanser 200ml"/>
    <x v="4"/>
    <s v="Beauty"/>
    <x v="5"/>
    <n v="1"/>
    <n v="13.49"/>
    <n v="13.49"/>
    <s v="VIP15"/>
    <x v="4"/>
    <n v="2.02"/>
    <n v="2.02"/>
    <s v="Number"/>
    <n v="4.99"/>
    <n v="4.99"/>
    <n v="16.46"/>
    <n v="16.46"/>
    <n v="16.46"/>
    <s v="True"/>
    <s v="Normal"/>
    <s v="Credit Card"/>
    <x v="1"/>
    <s v="fulfilled"/>
    <s v="United States"/>
    <s v="Ohio"/>
    <s v="Valid"/>
    <s v="North Patrickbury"/>
  </r>
  <r>
    <s v="#2261"/>
    <n v="1"/>
    <d v="2026-08-04T13:57:24"/>
    <d v="2026-08-04T13:57:24"/>
    <s v="Kristopher Barnett"/>
    <x v="0"/>
    <s v="kristopher.barnett178@outlook.com"/>
    <s v="Facial Cleanser 200ml"/>
    <x v="4"/>
    <s v="Beauty"/>
    <x v="5"/>
    <n v="2"/>
    <n v="13.49"/>
    <n v="13.49"/>
    <m/>
    <x v="0"/>
    <n v="0"/>
    <n v="0"/>
    <s v="Number"/>
    <n v="4.99"/>
    <n v="4.99"/>
    <n v="31.97"/>
    <n v="31.97"/>
    <n v="31.97"/>
    <s v="True"/>
    <s v="Normal"/>
    <s v="Shopify Payments"/>
    <x v="2"/>
    <s v="cancelled"/>
    <s v="Australia"/>
    <m/>
    <s v="Not Required"/>
    <s v="East Lisaland"/>
  </r>
  <r>
    <s v="#2315"/>
    <n v="1"/>
    <d v="2026-08-04T13:55:05"/>
    <d v="2026-08-04T13:55:05"/>
    <s v="Anthony Patterson"/>
    <x v="0"/>
    <s v="anthony.patterson944@gmail.com"/>
    <s v="Facial Cleanser 200ml"/>
    <x v="4"/>
    <s v="Beauty"/>
    <x v="5"/>
    <n v="3"/>
    <n v="13.49"/>
    <n v="13.49"/>
    <m/>
    <x v="0"/>
    <n v="0"/>
    <n v="0"/>
    <s v="Number"/>
    <n v="4.99"/>
    <n v="4.99"/>
    <n v="45.46"/>
    <n v="45.46"/>
    <n v="45.46"/>
    <s v="True"/>
    <s v="Normal"/>
    <s v="Apple Pay"/>
    <x v="0"/>
    <s v="cancelled"/>
    <s v="Pakistan"/>
    <m/>
    <s v="Not Required"/>
    <s v="West Debra"/>
  </r>
  <r>
    <s v="#2347"/>
    <n v="1"/>
    <d v="2026-08-04T14:03:34"/>
    <d v="2026-08-04T14:03:34"/>
    <s v="Brian Gardner"/>
    <x v="0"/>
    <s v="brian.gardner260@outlook.com"/>
    <s v="Facial Cleanser 200ml"/>
    <x v="4"/>
    <s v="Beauty"/>
    <x v="5"/>
    <n v="1"/>
    <n v="13.49"/>
    <n v="13.49"/>
    <m/>
    <x v="0"/>
    <n v="0"/>
    <n v="0"/>
    <s v="Number"/>
    <n v="7.99"/>
    <n v="7.99"/>
    <n v="21.48"/>
    <n v="21.48"/>
    <n v="21.48"/>
    <s v="True"/>
    <s v="Normal"/>
    <s v="PayPal"/>
    <x v="0"/>
    <s v="fulfilled"/>
    <s v="United States"/>
    <s v="NC"/>
    <s v="Valid"/>
    <s v="Andersonstad"/>
  </r>
  <r>
    <s v="#2371"/>
    <n v="1"/>
    <d v="2026-04-08T00:00:00"/>
    <s v="08/04/2026"/>
    <s v="Lucas Lyons"/>
    <x v="0"/>
    <s v="lucas.lyons594@icloud.com"/>
    <s v="Facial Cleanser 200ml"/>
    <x v="4"/>
    <s v="Beauty"/>
    <x v="5"/>
    <n v="3"/>
    <n v="13.49"/>
    <n v="13.49"/>
    <m/>
    <x v="0"/>
    <n v="0"/>
    <n v="0"/>
    <s v="Number"/>
    <n v="7.99"/>
    <n v="7.99"/>
    <n v="48.46"/>
    <n v="48.46"/>
    <n v="48.46"/>
    <s v="True"/>
    <s v="Normal"/>
    <s v="Google Pay"/>
    <x v="0"/>
    <s v="refunded"/>
    <s v="Pakistan"/>
    <m/>
    <s v="Not Required"/>
    <s v="North Nicholasport"/>
  </r>
  <r>
    <s v="#2377"/>
    <n v="1"/>
    <d v="2026-08-04T14:01:44"/>
    <d v="2026-08-04T14:01:44"/>
    <s v="Brenda Perez"/>
    <x v="0"/>
    <s v="brenda.perez884@outlook.com"/>
    <s v="Facial Cleanser 200ml"/>
    <x v="4"/>
    <s v="Beauty"/>
    <x v="5"/>
    <n v="1"/>
    <n v="13.49"/>
    <n v="13.49"/>
    <s v="BFCM25"/>
    <x v="3"/>
    <n v="3.37"/>
    <n v="3.37"/>
    <s v="Number"/>
    <n v="5.99"/>
    <n v="5.99"/>
    <n v="16.11"/>
    <n v="16.11"/>
    <n v="16.11"/>
    <s v="True"/>
    <s v="Normal"/>
    <s v="Apple Pay"/>
    <x v="0"/>
    <s v="cancelled"/>
    <s v="United States"/>
    <s v="New York"/>
    <s v="Valid"/>
    <s v="Singhtown"/>
  </r>
  <r>
    <s v="#2391"/>
    <n v="1"/>
    <d v="2026-08-04T13:57:57"/>
    <d v="2026-08-04T13:57:57"/>
    <s v="Anthony Krueger"/>
    <x v="0"/>
    <s v="anthony.krueger812@yahoo.com"/>
    <s v="Facial Cleanser 200ml"/>
    <x v="4"/>
    <s v="Beauty"/>
    <x v="5"/>
    <n v="1"/>
    <n v="13.49"/>
    <n v="13.49"/>
    <m/>
    <x v="0"/>
    <n v="0"/>
    <n v="0"/>
    <s v="Number"/>
    <n v="4.99"/>
    <n v="4.99"/>
    <n v="18.48"/>
    <n v="18.48"/>
    <n v="18.48"/>
    <s v="True"/>
    <s v="Normal"/>
    <s v="Google Pay"/>
    <x v="0"/>
    <s v="cancelled"/>
    <s v="Pakistan"/>
    <m/>
    <s v="Not Required"/>
    <s v="West Shelbytown"/>
  </r>
  <r>
    <s v="#2472"/>
    <n v="1"/>
    <d v="2026-08-04T00:00:00"/>
    <s v="2026-08-04"/>
    <s v="Tracy Adams"/>
    <x v="0"/>
    <s v="tracy.adams712@icloud.com"/>
    <s v="Facial Cleanser 200ml"/>
    <x v="4"/>
    <s v="Beauty"/>
    <x v="5"/>
    <n v="1"/>
    <n v="13.49"/>
    <n v="13.49"/>
    <m/>
    <x v="0"/>
    <n v="0"/>
    <n v="0"/>
    <s v="Number"/>
    <n v="5.99"/>
    <n v="5.99"/>
    <n v="19.48"/>
    <n v="19.48"/>
    <n v="19.48"/>
    <s v="True"/>
    <s v="Normal"/>
    <s v="Credit Card"/>
    <x v="1"/>
    <s v="fulfilled"/>
    <s v="United States"/>
    <s v="TX"/>
    <s v="Valid"/>
    <s v="East Jason"/>
  </r>
  <r>
    <s v="#2474"/>
    <n v="1"/>
    <d v="2026-04-08T00:00:00"/>
    <s v="08/04/2026"/>
    <s v="TEST TEST"/>
    <x v="0"/>
    <s v="test@test.com"/>
    <s v="Facial Cleanser 200ml"/>
    <x v="4"/>
    <s v="Beauty"/>
    <x v="5"/>
    <n v="1"/>
    <n v="13.49"/>
    <n v="13.49"/>
    <s v="BFCM25"/>
    <x v="3"/>
    <n v="3.37"/>
    <n v="3.37"/>
    <s v="Number"/>
    <n v="7.99"/>
    <n v="7.99"/>
    <n v="0"/>
    <n v="0"/>
    <n v="18.11"/>
    <s v="False"/>
    <s v="Normal"/>
    <s v="Apple Pay"/>
    <x v="2"/>
    <s v="fulfilled"/>
    <s v="Pakistan"/>
    <m/>
    <s v="Not Required"/>
    <s v="Angelamouth"/>
  </r>
  <r>
    <s v="#2479"/>
    <n v="1"/>
    <d v="2026-08-04T14:05:47"/>
    <d v="2026-08-04T14:05:47"/>
    <s v="Stacey Johnson"/>
    <x v="0"/>
    <s v="stacey.johnson95@gmail.com"/>
    <s v="Facial Cleanser 200ml"/>
    <x v="4"/>
    <s v="Beauty"/>
    <x v="5"/>
    <n v="1"/>
    <n v="13.49"/>
    <n v="13.49"/>
    <m/>
    <x v="0"/>
    <n v="0"/>
    <n v="0"/>
    <s v="Number"/>
    <n v="4.99"/>
    <n v="4.99"/>
    <n v="18.48"/>
    <n v="18.48"/>
    <n v="18.48"/>
    <s v="True"/>
    <s v="Normal"/>
    <s v="Shopify Payments"/>
    <x v="1"/>
    <s v="refunded"/>
    <s v="Germany"/>
    <m/>
    <s v="Not Required"/>
    <s v="North Timothy"/>
  </r>
  <r>
    <s v="#2483"/>
    <n v="1"/>
    <d v="2026-08-04T13:56:31"/>
    <d v="2026-08-04T13:56:31"/>
    <s v="Hannah Lee"/>
    <x v="0"/>
    <s v="hannah.lee589@icloud.com"/>
    <s v="Facial Cleanser 200ml"/>
    <x v="4"/>
    <s v="Beauty"/>
    <x v="5"/>
    <n v="1"/>
    <n v="13.49"/>
    <n v="13.49"/>
    <m/>
    <x v="0"/>
    <n v="0"/>
    <n v="0"/>
    <s v="Number"/>
    <n v="4.99"/>
    <n v="4.99"/>
    <n v="18.48"/>
    <n v="18.48"/>
    <n v="18.48"/>
    <s v="True"/>
    <s v="Normal"/>
    <s v="Shopify Payments"/>
    <x v="0"/>
    <s v="fulfilled"/>
    <s v="United Kingdom"/>
    <m/>
    <s v="Not Required"/>
    <s v="Hernandezberg"/>
  </r>
  <r>
    <s v="#2507"/>
    <n v="1"/>
    <d v="2026-08-04T13:56:21"/>
    <d v="2026-08-04T13:56:21"/>
    <s v="Amanda Rodriguez"/>
    <x v="0"/>
    <s v="amanda.rodriguez770@yahoo.com"/>
    <s v="Facial Cleanser 200ml"/>
    <x v="4"/>
    <s v="Beauty"/>
    <x v="5"/>
    <n v="1"/>
    <n v="13.49"/>
    <n v="13.49"/>
    <s v="VIP15"/>
    <x v="4"/>
    <s v="$2.02"/>
    <n v="2.02"/>
    <s v="Number"/>
    <n v="5.99"/>
    <n v="5.99"/>
    <n v="17.46"/>
    <n v="17.46"/>
    <n v="17.46"/>
    <s v="True"/>
    <s v="Normal"/>
    <s v="PayPal"/>
    <x v="3"/>
    <s v="cancelled"/>
    <s v="United States"/>
    <s v="Arizona"/>
    <s v="Valid"/>
    <s v="South Jeremiah"/>
  </r>
  <r>
    <s v="#2533"/>
    <n v="1"/>
    <d v="2026-08-04T13:59:55"/>
    <d v="2026-08-04T13:59:55"/>
    <s v="Luke Keller"/>
    <x v="0"/>
    <s v="luke.keller471@icloud.com"/>
    <s v="Facial Cleanser 200ml"/>
    <x v="4"/>
    <s v="Beauty"/>
    <x v="5"/>
    <n v="1"/>
    <n v="13.49"/>
    <n v="13.49"/>
    <s v="SAVE20"/>
    <x v="2"/>
    <n v="2.7"/>
    <n v="2.7"/>
    <s v="Number"/>
    <n v="4.99"/>
    <n v="4.99"/>
    <n v="15.78"/>
    <n v="15.78"/>
    <n v="15.78"/>
    <s v="True"/>
    <s v="Normal"/>
    <s v="Credit Card"/>
    <x v="0"/>
    <s v="refunded"/>
    <s v="United States"/>
    <s v="Texas"/>
    <s v="Valid"/>
    <s v="South Janetport"/>
  </r>
  <r>
    <s v="#2577"/>
    <n v="1"/>
    <d v="2026-08-04T00:00:00"/>
    <s v="Aug 04, 2026"/>
    <s v="Christopher Harris"/>
    <x v="0"/>
    <s v="christopher.harris618@yahoo.com"/>
    <s v="Facial Cleanser 200ml"/>
    <x v="4"/>
    <s v="Beauty"/>
    <x v="5"/>
    <n v="1"/>
    <n v="13.49"/>
    <n v="13.49"/>
    <m/>
    <x v="0"/>
    <n v="0"/>
    <n v="0"/>
    <s v="Number"/>
    <n v="4.99"/>
    <n v="4.99"/>
    <n v="18.48"/>
    <n v="18.48"/>
    <n v="18.48"/>
    <s v="True"/>
    <s v="Normal"/>
    <s v="PayPal"/>
    <x v="1"/>
    <s v="cancelled"/>
    <s v="Australia"/>
    <m/>
    <s v="Not Required"/>
    <s v="Sarahside"/>
  </r>
  <r>
    <s v="#2606"/>
    <n v="1"/>
    <d v="2026-08-04T13:55:20"/>
    <d v="2026-08-04T13:55:20"/>
    <s v="Tyler Williams"/>
    <x v="0"/>
    <s v="tyler.williams938@outlook.com"/>
    <s v="Facial Cleanser 200ml"/>
    <x v="4"/>
    <s v="Beauty"/>
    <x v="5"/>
    <n v="2"/>
    <n v="13.49"/>
    <n v="13.49"/>
    <s v="SAVE20"/>
    <x v="2"/>
    <n v="5.4"/>
    <n v="5.4"/>
    <s v="Number"/>
    <n v="4.99"/>
    <n v="4.99"/>
    <n v="26.57"/>
    <n v="26.57"/>
    <n v="26.57"/>
    <s v="True"/>
    <s v="Normal"/>
    <s v="PayPal"/>
    <x v="2"/>
    <s v="cancelled"/>
    <s v="Australia"/>
    <m/>
    <s v="Not Required"/>
    <s v="New Joyce"/>
  </r>
  <r>
    <s v="#2634"/>
    <n v="1"/>
    <d v="2026-08-04T00:00:00"/>
    <s v="04-08-2026 13:57"/>
    <s v="Heather Davis"/>
    <x v="0"/>
    <s v="heather.davis117@icloud.com"/>
    <s v="Facial Cleanser 200ml"/>
    <x v="4"/>
    <s v="Beauty"/>
    <x v="5"/>
    <n v="1"/>
    <n v="13.49"/>
    <n v="13.49"/>
    <m/>
    <x v="0"/>
    <n v="0"/>
    <n v="0"/>
    <s v="Number"/>
    <n v="5.99"/>
    <n v="5.99"/>
    <n v="19.48"/>
    <n v="19.48"/>
    <n v="19.48"/>
    <s v="True"/>
    <s v="Normal"/>
    <s v="Apple Pay"/>
    <x v="0"/>
    <s v="pending"/>
    <s v="Germany"/>
    <m/>
    <s v="Not Required"/>
    <s v="East Gwendolynport"/>
  </r>
  <r>
    <s v="#2651"/>
    <n v="1"/>
    <d v="2026-04-08T00:00:00"/>
    <s v="08/04/2026"/>
    <s v="Haley Glover"/>
    <x v="0"/>
    <s v="haley.glover361@yahoo.com"/>
    <s v="Facial Cleanser 200ml"/>
    <x v="4"/>
    <s v="Beauty"/>
    <x v="5"/>
    <n v="2"/>
    <n v="13.49"/>
    <n v="13.49"/>
    <s v="FREESHIP"/>
    <x v="5"/>
    <n v="0"/>
    <n v="0"/>
    <s v="Number"/>
    <n v="0"/>
    <n v="0"/>
    <s v="$26.98"/>
    <n v="26.98"/>
    <n v="26.98"/>
    <s v="True"/>
    <s v="Normal"/>
    <s v="Shopify Payments"/>
    <x v="0"/>
    <s v="fulfilled"/>
    <s v="Germany"/>
    <m/>
    <s v="Not Required"/>
    <s v="Markside"/>
  </r>
  <r>
    <s v="#2707"/>
    <n v="1"/>
    <d v="2026-08-04T14:04:54"/>
    <d v="2026-08-04T14:04:54"/>
    <s v="Lauren Williams"/>
    <x v="0"/>
    <s v="lauren.williams316@icloud.com"/>
    <s v="Facial Cleanser 200ml"/>
    <x v="4"/>
    <s v="Beauty"/>
    <x v="5"/>
    <n v="1"/>
    <n v="13.49"/>
    <n v="13.49"/>
    <s v="SAVE20"/>
    <x v="2"/>
    <n v="2.7"/>
    <n v="2.7"/>
    <s v="Number"/>
    <n v="7.99"/>
    <n v="7.99"/>
    <n v="18.78"/>
    <n v="18.78"/>
    <n v="18.78"/>
    <s v="True"/>
    <s v="Normal"/>
    <s v="Google Pay"/>
    <x v="1"/>
    <s v="cancelled"/>
    <s v="United States"/>
    <s v="Illinois"/>
    <s v="Valid"/>
    <s v="Amandachester"/>
  </r>
  <r>
    <s v="#2719"/>
    <n v="1"/>
    <d v="2026-08-04T00:00:00"/>
    <s v="04-08-2026 13:54"/>
    <s v="Tyler Williams"/>
    <x v="1"/>
    <m/>
    <s v="Facial Cleanser 200ml"/>
    <x v="4"/>
    <s v="Beauty"/>
    <x v="5"/>
    <n v="1"/>
    <s v="$13.49"/>
    <n v="13.49"/>
    <m/>
    <x v="0"/>
    <n v="0"/>
    <n v="0"/>
    <s v="Number"/>
    <n v="5.99"/>
    <n v="5.99"/>
    <n v="19.48"/>
    <n v="19.48"/>
    <n v="19.48"/>
    <s v="True"/>
    <s v="Normal"/>
    <s v="Google Pay"/>
    <x v="3"/>
    <s v="fulfilled"/>
    <s v="Australia"/>
    <m/>
    <s v="Not Required"/>
    <s v="Burnshaven"/>
  </r>
  <r>
    <s v="#2722"/>
    <n v="1"/>
    <d v="2026-08-04T14:05:57"/>
    <d v="2026-08-04T14:05:57"/>
    <s v="Daniel Contreras"/>
    <x v="0"/>
    <s v="daniel.contreras749@yahoo.com"/>
    <s v="Facial Cleanser 200ml"/>
    <x v="4"/>
    <s v="Beauty"/>
    <x v="5"/>
    <n v="2"/>
    <n v="13.49"/>
    <n v="13.49"/>
    <s v="SAVE20"/>
    <x v="2"/>
    <n v="5.4"/>
    <n v="5.4"/>
    <s v="Number"/>
    <n v="7.99"/>
    <n v="7.99"/>
    <n v="29.57"/>
    <n v="29.57"/>
    <n v="29.57"/>
    <s v="True"/>
    <s v="Normal"/>
    <s v="Google Pay"/>
    <x v="1"/>
    <s v="fulfilled"/>
    <s v="Australia"/>
    <m/>
    <s v="Not Required"/>
    <s v="Petersonhaven"/>
  </r>
  <r>
    <s v="#2734"/>
    <n v="1"/>
    <d v="2026-08-04T13:59:26"/>
    <d v="2026-08-04T13:59:26"/>
    <s v="Kayla Cruz"/>
    <x v="0"/>
    <s v="kayla.cruz151@outlook.com"/>
    <s v="Facial Cleanser 200ml"/>
    <x v="4"/>
    <s v="Beauty"/>
    <x v="5"/>
    <n v="1"/>
    <n v="13.49"/>
    <n v="13.49"/>
    <m/>
    <x v="0"/>
    <n v="0"/>
    <n v="0"/>
    <s v="Number"/>
    <n v="4.99"/>
    <n v="4.99"/>
    <n v="18.48"/>
    <n v="18.48"/>
    <n v="18.48"/>
    <s v="True"/>
    <s v="Normal"/>
    <s v="PayPal"/>
    <x v="2"/>
    <s v="fulfilled"/>
    <s v="Pakistan"/>
    <m/>
    <s v="Not Required"/>
    <s v="Timothyshire"/>
  </r>
  <r>
    <s v="#2754"/>
    <n v="1"/>
    <d v="2026-08-04T13:55:11"/>
    <d v="2026-08-04T13:55:11"/>
    <s v="Jaime Vargas"/>
    <x v="0"/>
    <s v="jaime.vargas795@outlook.com"/>
    <s v="Facial Cleanser 200ml"/>
    <x v="4"/>
    <s v="Beauty"/>
    <x v="5"/>
    <n v="1"/>
    <s v="$13.49"/>
    <n v="13.49"/>
    <s v="BFCM25"/>
    <x v="3"/>
    <n v="3.37"/>
    <n v="3.37"/>
    <s v="Number"/>
    <n v="4.99"/>
    <n v="4.99"/>
    <n v="15.11"/>
    <n v="15.11"/>
    <n v="15.110000000000001"/>
    <s v="True"/>
    <s v="Normal"/>
    <s v="Shopify Payments"/>
    <x v="0"/>
    <s v="pending"/>
    <s v="United Kingdom"/>
    <m/>
    <s v="Not Required"/>
    <s v="Cruzport"/>
  </r>
  <r>
    <s v="#2812"/>
    <n v="1"/>
    <d v="2026-08-04T13:54:36"/>
    <d v="2026-08-04T13:54:36"/>
    <s v="Lauren Nguyen"/>
    <x v="0"/>
    <s v="lauren.nguyen819@outlook.com"/>
    <s v="Facial Cleanser 200ml"/>
    <x v="4"/>
    <s v="Beauty"/>
    <x v="5"/>
    <n v="2"/>
    <s v="$13.49"/>
    <n v="13.49"/>
    <s v="FREESHIP"/>
    <x v="5"/>
    <n v="0"/>
    <n v="0"/>
    <s v="Number"/>
    <n v="0"/>
    <n v="0"/>
    <n v="26.98"/>
    <n v="26.98"/>
    <n v="26.98"/>
    <s v="True"/>
    <s v="Normal"/>
    <s v="Google Pay"/>
    <x v="0"/>
    <s v="fulfilled"/>
    <s v="United Kingdom"/>
    <m/>
    <s v="Not Required"/>
    <s v="New Bruce"/>
  </r>
  <r>
    <s v="#2850"/>
    <n v="1"/>
    <d v="2026-08-04T00:00:00"/>
    <s v="2026-08-04"/>
    <s v="William Houston"/>
    <x v="0"/>
    <s v="william.houston340@outlook.com"/>
    <s v="Facial Cleanser 200ml"/>
    <x v="4"/>
    <s v="Beauty"/>
    <x v="5"/>
    <n v="1"/>
    <s v="$13.49"/>
    <n v="13.49"/>
    <m/>
    <x v="0"/>
    <n v="0"/>
    <n v="0"/>
    <s v="Number"/>
    <n v="5.99"/>
    <n v="5.99"/>
    <n v="19.48"/>
    <n v="19.48"/>
    <n v="19.48"/>
    <s v="True"/>
    <s v="Normal"/>
    <s v="Apple Pay"/>
    <x v="3"/>
    <s v="fulfilled"/>
    <s v="United States"/>
    <s v="Ohio"/>
    <s v="Valid"/>
    <s v="East Kimville"/>
  </r>
  <r>
    <s v="#2926"/>
    <n v="1"/>
    <d v="2026-04-08T00:00:00"/>
    <s v="08/04/2026"/>
    <s v="Test Order"/>
    <x v="0"/>
    <s v="test@test.com"/>
    <s v="Facial Cleanser 200ml"/>
    <x v="4"/>
    <s v="Beauty"/>
    <x v="5"/>
    <n v="2"/>
    <n v="13.49"/>
    <n v="13.49"/>
    <m/>
    <x v="0"/>
    <n v="0"/>
    <n v="0"/>
    <s v="Number"/>
    <n v="5.99"/>
    <n v="5.99"/>
    <n v="0"/>
    <n v="0"/>
    <n v="32.97"/>
    <s v="False"/>
    <s v="Normal"/>
    <s v="Apple Pay"/>
    <x v="3"/>
    <s v="fulfilled"/>
    <s v="United Kingdom"/>
    <m/>
    <s v="Not Required"/>
    <s v="West Laurie"/>
  </r>
  <r>
    <s v="#2927"/>
    <n v="1"/>
    <d v="2026-08-04T13:56:07"/>
    <d v="2026-08-04T13:56:07"/>
    <s v="Dustin Mccoy"/>
    <x v="0"/>
    <s v="dustin.mccoy570@gmail.com"/>
    <s v="Facial Cleanser 200ml"/>
    <x v="4"/>
    <s v="Beauty"/>
    <x v="5"/>
    <n v="1"/>
    <n v="13.49"/>
    <n v="13.49"/>
    <s v="BFCM25"/>
    <x v="3"/>
    <n v="3.37"/>
    <n v="3.37"/>
    <s v="Number"/>
    <n v="5.99"/>
    <n v="5.99"/>
    <n v="16.11"/>
    <n v="16.11"/>
    <n v="16.11"/>
    <s v="True"/>
    <s v="Normal"/>
    <s v="Credit Card"/>
    <x v="0"/>
    <s v="fulfilled"/>
    <s v="Canada"/>
    <m/>
    <s v="Not Required"/>
    <s v="East Heather"/>
  </r>
  <r>
    <s v="#2939"/>
    <n v="1"/>
    <d v="2026-08-04T13:54:01"/>
    <d v="2026-08-04T13:54:01"/>
    <s v="Joshua Ayers"/>
    <x v="0"/>
    <s v="joshua.ayers935@yahoo.com"/>
    <s v="Facial Cleanser 200ml"/>
    <x v="4"/>
    <s v="Beauty"/>
    <x v="5"/>
    <n v="1"/>
    <n v="13.49"/>
    <n v="13.49"/>
    <s v="WELCOME10"/>
    <x v="1"/>
    <n v="1.35"/>
    <n v="1.35"/>
    <s v="Number"/>
    <n v="5.99"/>
    <n v="5.99"/>
    <s v="$18.13"/>
    <n v="18.13"/>
    <n v="18.130000000000003"/>
    <s v="True"/>
    <s v="Normal"/>
    <s v="Shopify Payments"/>
    <x v="0"/>
    <s v="fulfilled"/>
    <s v="Germany"/>
    <m/>
    <s v="Not Required"/>
    <s v="Williamsstad"/>
  </r>
  <r>
    <s v="#1017"/>
    <n v="1"/>
    <d v="2026-08-04T00:00:00"/>
    <s v="2026-08-04"/>
    <s v="John Jacobs"/>
    <x v="0"/>
    <s v="john.jacobs137@yahoo.com"/>
    <s v="Hooded Sweatshirt"/>
    <x v="5"/>
    <s v="Apparel"/>
    <x v="6"/>
    <n v="2"/>
    <n v="34.99"/>
    <n v="34.99"/>
    <m/>
    <x v="0"/>
    <n v="0"/>
    <n v="0"/>
    <s v="Number"/>
    <n v="4.99"/>
    <n v="4.99"/>
    <n v="74.97"/>
    <n v="74.97"/>
    <n v="74.97"/>
    <s v="True"/>
    <s v="Normal"/>
    <s v="Shopify Payments"/>
    <x v="0"/>
    <s v="fulfilled"/>
    <s v="Australia"/>
    <m/>
    <s v="Not Required"/>
    <s v="South Beverlyton"/>
  </r>
  <r>
    <s v="#1039"/>
    <n v="1"/>
    <d v="2026-08-04T14:02:19"/>
    <d v="2026-08-04T14:02:19"/>
    <s v="Rivera, Thomas"/>
    <x v="0"/>
    <s v="thomas.rivera720@yahoo.com"/>
    <s v="Hooded Sweatshirt"/>
    <x v="5"/>
    <s v="Apparel"/>
    <x v="6"/>
    <n v="1"/>
    <n v="34.99"/>
    <n v="34.99"/>
    <s v="WELCOME10"/>
    <x v="1"/>
    <s v="$3.50"/>
    <n v="3.5"/>
    <s v="Number"/>
    <n v="7.99"/>
    <n v="7.99"/>
    <n v="39.479999999999997"/>
    <n v="39.479999999999997"/>
    <n v="39.480000000000004"/>
    <s v="True"/>
    <s v="Normal"/>
    <s v="Google Pay"/>
    <x v="1"/>
    <s v="fulfilled"/>
    <s v="United States"/>
    <s v="Washington"/>
    <s v="Valid"/>
    <s v="Lake Tiffany"/>
  </r>
  <r>
    <s v="#1055"/>
    <n v="1"/>
    <d v="2026-08-04T14:06:30"/>
    <d v="2026-08-04T14:06:30"/>
    <s v="Anthony Mullen"/>
    <x v="0"/>
    <s v="anthony.mullen523@yahoo.com"/>
    <s v="Hooded Sweatshirt"/>
    <x v="5"/>
    <s v="Apparel"/>
    <x v="6"/>
    <n v="1"/>
    <n v="34.99"/>
    <n v="34.99"/>
    <s v="SAVE20"/>
    <x v="2"/>
    <n v="7"/>
    <n v="7"/>
    <s v="Number"/>
    <n v="7.99"/>
    <n v="7.99"/>
    <n v="35.979999999999997"/>
    <n v="35.979999999999997"/>
    <n v="35.980000000000004"/>
    <s v="True"/>
    <s v="Normal"/>
    <s v="Credit Card"/>
    <x v="3"/>
    <s v="pending"/>
    <s v="United States"/>
    <s v="Georgia"/>
    <s v="Valid"/>
    <s v="Geraldhaven"/>
  </r>
  <r>
    <s v="#1058"/>
    <n v="1"/>
    <d v="2026-08-04T00:00:00"/>
    <s v="04-08-2026 13:54"/>
    <s v="Amanda Harris"/>
    <x v="1"/>
    <m/>
    <s v="Hooded Sweatshirt"/>
    <x v="5"/>
    <s v="Apparel"/>
    <x v="6"/>
    <n v="1"/>
    <s v="$34.99"/>
    <n v="34.99"/>
    <m/>
    <x v="0"/>
    <n v="0"/>
    <n v="0"/>
    <s v="Number"/>
    <n v="7.99"/>
    <n v="7.99"/>
    <n v="42.98"/>
    <n v="42.98"/>
    <n v="42.980000000000004"/>
    <s v="True"/>
    <s v="Normal"/>
    <s v="Shopify Payments"/>
    <x v="0"/>
    <s v="fulfilled"/>
    <s v="United States"/>
    <s v="Arizona"/>
    <s v="Valid"/>
    <s v="Lake Alyssa"/>
  </r>
  <r>
    <s v="#1060"/>
    <n v="1"/>
    <d v="2026-08-04T13:57:58"/>
    <d v="2026-08-04T13:57:58"/>
    <s v="Heather Davis"/>
    <x v="0"/>
    <s v="heather.davis117@icloud.com"/>
    <s v="Hooded Sweatshirt"/>
    <x v="5"/>
    <s v="Apparel"/>
    <x v="6"/>
    <n v="2"/>
    <s v="$34.99"/>
    <n v="34.99"/>
    <m/>
    <x v="0"/>
    <n v="0"/>
    <n v="0"/>
    <s v="Number"/>
    <n v="5.99"/>
    <n v="5.99"/>
    <n v="75.97"/>
    <n v="75.97"/>
    <n v="75.97"/>
    <s v="True"/>
    <s v="Normal"/>
    <s v="Apple Pay"/>
    <x v="0"/>
    <s v="fulfilled"/>
    <s v="Germany"/>
    <m/>
    <s v="Not Required"/>
    <s v="East Tiffany"/>
  </r>
  <r>
    <s v="#1062"/>
    <n v="1"/>
    <d v="2026-08-04T14:00:09"/>
    <d v="2026-08-04T14:00:09"/>
    <s v="Lisa Flowers"/>
    <x v="0"/>
    <s v="lisa.flowers14@icloud.com"/>
    <s v="Hooded Sweatshirt"/>
    <x v="5"/>
    <s v="Apparel"/>
    <x v="6"/>
    <n v="1"/>
    <n v="34.99"/>
    <n v="34.99"/>
    <s v="FREESHIP"/>
    <x v="5"/>
    <n v="0"/>
    <n v="0"/>
    <s v="Number"/>
    <n v="0"/>
    <n v="0"/>
    <n v="34.99"/>
    <n v="34.99"/>
    <n v="34.99"/>
    <s v="True"/>
    <s v="Normal"/>
    <s v="Shopify Payments"/>
    <x v="0"/>
    <s v="cancelled"/>
    <s v="Germany"/>
    <m/>
    <s v="Not Required"/>
    <s v="Port Patriciaborough"/>
  </r>
  <r>
    <s v="#1107"/>
    <n v="1"/>
    <d v="2026-04-08T00:00:00"/>
    <s v="08/04/2026"/>
    <s v="Peter Alvarez"/>
    <x v="0"/>
    <s v="peter.alvarez465@yahoo.com"/>
    <s v="Hooded Sweatshirt"/>
    <x v="5"/>
    <s v="Apparel"/>
    <x v="6"/>
    <n v="2"/>
    <n v="34.99"/>
    <n v="34.99"/>
    <m/>
    <x v="0"/>
    <n v="0"/>
    <n v="0"/>
    <s v="Number"/>
    <n v="4.99"/>
    <n v="4.99"/>
    <n v="74.97"/>
    <n v="74.97"/>
    <n v="74.97"/>
    <s v="True"/>
    <s v="Normal"/>
    <s v="PayPal"/>
    <x v="1"/>
    <s v="cancelled"/>
    <s v="United States"/>
    <s v="North Carolina"/>
    <s v="Valid"/>
    <s v="Angelaborough"/>
  </r>
  <r>
    <s v="#1112"/>
    <n v="1"/>
    <d v="2026-08-04T14:07:07"/>
    <d v="2026-08-04T14:07:07"/>
    <s v="Pamela Miller"/>
    <x v="0"/>
    <s v="pamela.miller171@icloud.com"/>
    <s v="Hooded Sweatshirt"/>
    <x v="5"/>
    <s v="Apparel"/>
    <x v="6"/>
    <n v="1"/>
    <n v="34.99"/>
    <n v="34.99"/>
    <m/>
    <x v="0"/>
    <n v="0"/>
    <n v="0"/>
    <s v="Number"/>
    <n v="5.99"/>
    <n v="5.99"/>
    <n v="40.98"/>
    <n v="40.98"/>
    <n v="40.980000000000004"/>
    <s v="True"/>
    <s v="Normal"/>
    <s v="PayPal"/>
    <x v="1"/>
    <s v="fulfilled"/>
    <s v="United States"/>
    <s v="Texas"/>
    <s v="Valid"/>
    <s v="Reeseburgh"/>
  </r>
  <r>
    <s v="#1113"/>
    <n v="1"/>
    <d v="2026-08-04T14:03:08"/>
    <d v="2026-08-04T14:03:08"/>
    <s v="Thomas Rojas"/>
    <x v="0"/>
    <s v="thomas.rojas667@icloud.com"/>
    <s v="Hooded Sweatshirt"/>
    <x v="5"/>
    <s v="Apparel"/>
    <x v="6"/>
    <n v="2"/>
    <n v="34.99"/>
    <n v="34.99"/>
    <m/>
    <x v="0"/>
    <n v="0"/>
    <n v="0"/>
    <s v="Number"/>
    <n v="4.99"/>
    <n v="4.99"/>
    <n v="74.97"/>
    <n v="74.97"/>
    <n v="74.97"/>
    <s v="True"/>
    <s v="Normal"/>
    <s v="Shopify Payments"/>
    <x v="3"/>
    <s v="fulfilled"/>
    <s v="United States"/>
    <s v="Illinois"/>
    <s v="Valid"/>
    <s v="Joseton"/>
  </r>
  <r>
    <s v="#1128"/>
    <n v="1"/>
    <d v="2026-08-04T13:54:47"/>
    <d v="2026-08-04T13:54:47"/>
    <s v="Seth Price"/>
    <x v="0"/>
    <s v="seth.price179@gmail.com"/>
    <s v="Hooded Sweatshirt"/>
    <x v="5"/>
    <s v="Apparel"/>
    <x v="6"/>
    <n v="1"/>
    <n v="34.99"/>
    <n v="34.99"/>
    <s v="BFCM25"/>
    <x v="3"/>
    <n v="8.75"/>
    <n v="8.75"/>
    <s v="Number"/>
    <n v="4.99"/>
    <n v="4.99"/>
    <n v="31.23"/>
    <n v="31.23"/>
    <n v="31.230000000000004"/>
    <s v="True"/>
    <s v="Normal"/>
    <s v="Google Pay"/>
    <x v="1"/>
    <s v="fulfilled"/>
    <s v="United States"/>
    <s v="Texas"/>
    <s v="Valid"/>
    <s v="West Jasmine"/>
  </r>
  <r>
    <s v="#1129"/>
    <n v="1"/>
    <d v="2026-08-04T14:07:05"/>
    <d v="2026-08-04T14:07:05"/>
    <s v="Kari Cooke"/>
    <x v="0"/>
    <s v="kari.cooke871@gmail.com"/>
    <s v="Hooded Sweatshirt"/>
    <x v="5"/>
    <s v="Apparel"/>
    <x v="6"/>
    <n v="1"/>
    <n v="34.99"/>
    <n v="34.99"/>
    <s v="WELCOME10"/>
    <x v="1"/>
    <n v="3.5"/>
    <n v="3.5"/>
    <s v="Number"/>
    <n v="7.99"/>
    <n v="7.99"/>
    <n v="39.479999999999997"/>
    <n v="39.479999999999997"/>
    <n v="39.480000000000004"/>
    <s v="True"/>
    <s v="Normal"/>
    <s v="Google Pay"/>
    <x v="0"/>
    <s v="fulfilled"/>
    <s v="Australia"/>
    <m/>
    <s v="Not Required"/>
    <s v="Coxtown"/>
  </r>
  <r>
    <s v="#1160"/>
    <n v="1"/>
    <d v="2026-08-04T13:59:47"/>
    <d v="2026-08-04T13:59:47"/>
    <s v="Sean Frank"/>
    <x v="0"/>
    <s v="sean.frank587@icloud.com"/>
    <s v="Hooded Sweatshirt"/>
    <x v="5"/>
    <s v="Apparel"/>
    <x v="6"/>
    <n v="2"/>
    <n v="34.99"/>
    <n v="34.99"/>
    <m/>
    <x v="0"/>
    <n v="0"/>
    <n v="0"/>
    <s v="Number"/>
    <n v="5.99"/>
    <n v="5.99"/>
    <n v="75.97"/>
    <n v="75.97"/>
    <n v="75.97"/>
    <s v="True"/>
    <s v="Normal"/>
    <s v="Google Pay"/>
    <x v="0"/>
    <s v="fulfilled"/>
    <s v="Australia"/>
    <m/>
    <s v="Not Required"/>
    <s v="Willisview"/>
  </r>
  <r>
    <s v="#1184"/>
    <n v="1"/>
    <d v="2026-08-04T14:03:39"/>
    <d v="2026-08-04T14:03:39"/>
    <s v="Amanda Robinson"/>
    <x v="0"/>
    <s v="amanda.robinson263@icloud.com"/>
    <s v="Hooded Sweatshirt"/>
    <x v="5"/>
    <s v="Apparel"/>
    <x v="6"/>
    <n v="1"/>
    <n v="34.99"/>
    <n v="34.99"/>
    <s v="VIP15"/>
    <x v="4"/>
    <s v="$5.25"/>
    <n v="5.25"/>
    <s v="Number"/>
    <n v="7.99"/>
    <n v="7.99"/>
    <s v="$37.73"/>
    <n v="37.729999999999997"/>
    <n v="37.730000000000004"/>
    <s v="True"/>
    <s v="Normal"/>
    <s v="PayPal"/>
    <x v="0"/>
    <s v="fulfilled"/>
    <s v="United States"/>
    <s v="TX"/>
    <s v="Valid"/>
    <s v="Cummingsbury"/>
  </r>
  <r>
    <s v="#1187"/>
    <n v="1"/>
    <d v="2026-08-04T14:01:55"/>
    <d v="2026-08-04T14:01:55"/>
    <s v="Ronald Stanley"/>
    <x v="0"/>
    <s v="ronald.stanley7@yahoo.com"/>
    <s v="Hooded Sweatshirt"/>
    <x v="5"/>
    <s v="Apparel"/>
    <x v="6"/>
    <n v="2"/>
    <n v="34.99"/>
    <n v="34.99"/>
    <s v="VIP15"/>
    <x v="4"/>
    <n v="10.5"/>
    <n v="10.5"/>
    <s v="Number"/>
    <n v="5.99"/>
    <n v="5.99"/>
    <n v="65.47"/>
    <n v="65.47"/>
    <n v="65.47"/>
    <s v="True"/>
    <s v="Normal"/>
    <s v="Shopify Payments"/>
    <x v="1"/>
    <s v="fulfilled"/>
    <s v="United States"/>
    <s v="Georgia"/>
    <s v="Valid"/>
    <s v="North Briannahaven"/>
  </r>
  <r>
    <s v="#1198"/>
    <n v="1"/>
    <d v="2026-08-04T14:02:39"/>
    <d v="2026-08-04T14:02:39"/>
    <s v="Michael Hays"/>
    <x v="0"/>
    <s v="michael.hays590@gmail.com"/>
    <s v="Hooded Sweatshirt"/>
    <x v="5"/>
    <s v="Apparel"/>
    <x v="6"/>
    <n v="2"/>
    <n v="34.99"/>
    <n v="34.99"/>
    <s v="FREESHIP"/>
    <x v="5"/>
    <n v="0"/>
    <n v="0"/>
    <s v="Number"/>
    <n v="0"/>
    <n v="0"/>
    <s v="$69.98"/>
    <n v="69.98"/>
    <n v="69.98"/>
    <s v="True"/>
    <s v="Normal"/>
    <s v="Apple Pay"/>
    <x v="0"/>
    <s v="fulfilled"/>
    <s v="United States"/>
    <s v="Arizona"/>
    <s v="Valid"/>
    <s v="East Juliafort"/>
  </r>
  <r>
    <s v="#1199"/>
    <n v="1"/>
    <d v="2026-08-04T13:54:45"/>
    <d v="2026-08-04T13:54:45"/>
    <s v="Andrew Johnson"/>
    <x v="0"/>
    <s v="andrew.johnson94@outlook.com"/>
    <s v="Hooded Sweatshirt"/>
    <x v="5"/>
    <s v="Apparel"/>
    <x v="6"/>
    <n v="1"/>
    <n v="34.99"/>
    <n v="34.99"/>
    <s v="BFCM25"/>
    <x v="3"/>
    <n v="8.75"/>
    <n v="8.75"/>
    <s v="Number"/>
    <n v="7.99"/>
    <n v="7.99"/>
    <n v="34.229999999999997"/>
    <n v="34.229999999999997"/>
    <n v="34.230000000000004"/>
    <s v="True"/>
    <s v="Normal"/>
    <s v="PayPal"/>
    <x v="3"/>
    <s v="cancelled"/>
    <s v="Australia"/>
    <m/>
    <s v="Not Required"/>
    <s v="East Andrew"/>
  </r>
  <r>
    <s v="#1221"/>
    <n v="1"/>
    <d v="2026-08-04T14:08:01"/>
    <d v="2026-08-04T14:08:01"/>
    <s v="David Knapp"/>
    <x v="0"/>
    <s v="david.knapp687@yahoo.com"/>
    <s v="Hooded Sweatshirt"/>
    <x v="5"/>
    <s v="Apparel"/>
    <x v="6"/>
    <n v="1"/>
    <n v="34.99"/>
    <n v="34.99"/>
    <s v="FREESHIP"/>
    <x v="5"/>
    <n v="0"/>
    <n v="0"/>
    <s v="Number"/>
    <n v="0"/>
    <n v="0"/>
    <n v="34.99"/>
    <n v="34.99"/>
    <n v="34.99"/>
    <s v="True"/>
    <s v="Normal"/>
    <s v="Credit Card"/>
    <x v="3"/>
    <s v="fulfilled"/>
    <s v="United States"/>
    <s v="Arizona"/>
    <s v="Valid"/>
    <s v="West Stephenburgh"/>
  </r>
  <r>
    <s v="#1298"/>
    <n v="1"/>
    <d v="2026-08-04T14:07:28"/>
    <d v="2026-08-04T14:07:28"/>
    <s v="Kristen Lewis"/>
    <x v="0"/>
    <s v="kristen.lewis649@icloud.com"/>
    <s v="Hooded Sweatshirt"/>
    <x v="5"/>
    <s v="Apparel"/>
    <x v="6"/>
    <n v="1"/>
    <n v="34.99"/>
    <n v="34.99"/>
    <m/>
    <x v="0"/>
    <n v="0"/>
    <n v="0"/>
    <s v="Number"/>
    <n v="7.99"/>
    <n v="7.99"/>
    <n v="42.98"/>
    <n v="42.98"/>
    <n v="42.980000000000004"/>
    <s v="True"/>
    <s v="Normal"/>
    <s v="Shopify Payments"/>
    <x v="1"/>
    <s v="pending"/>
    <s v="United States"/>
    <s v="North Carolina"/>
    <s v="Valid"/>
    <s v="Rosaleshaven"/>
  </r>
  <r>
    <s v="#1334"/>
    <n v="1"/>
    <d v="2026-08-04T14:00:20"/>
    <d v="2026-08-04T14:00:20"/>
    <s v="Elizabeth Johnston"/>
    <x v="0"/>
    <s v="elizabeth.johnston946@gmail.com"/>
    <s v="Hooded Sweatshirt"/>
    <x v="5"/>
    <s v="Apparel"/>
    <x v="6"/>
    <n v="1"/>
    <n v="34.99"/>
    <n v="34.99"/>
    <m/>
    <x v="0"/>
    <n v="0"/>
    <n v="0"/>
    <s v="Number"/>
    <n v="5.99"/>
    <n v="5.99"/>
    <n v="40.98"/>
    <n v="40.98"/>
    <n v="40.980000000000004"/>
    <s v="True"/>
    <s v="Normal"/>
    <s v="Shopify Payments"/>
    <x v="0"/>
    <s v="fulfilled"/>
    <s v="United Kingdom"/>
    <m/>
    <s v="Not Required"/>
    <s v="Bakershire"/>
  </r>
  <r>
    <s v="#1342"/>
    <n v="1"/>
    <d v="2026-04-08T00:00:00"/>
    <s v="08/04/2026"/>
    <s v="Nicole Taylor"/>
    <x v="0"/>
    <s v="nicole.taylor607@icloud.com"/>
    <s v="Hooded Sweatshirt"/>
    <x v="5"/>
    <s v="Apparel"/>
    <x v="6"/>
    <n v="2"/>
    <n v="34.99"/>
    <n v="34.99"/>
    <s v="BFCM25"/>
    <x v="3"/>
    <n v="17.5"/>
    <n v="17.5"/>
    <s v="Number"/>
    <n v="7.99"/>
    <n v="7.99"/>
    <n v="60.47"/>
    <n v="60.47"/>
    <n v="60.470000000000006"/>
    <s v="True"/>
    <s v="Normal"/>
    <s v="PayPal"/>
    <x v="2"/>
    <s v="fulfilled"/>
    <s v="United States"/>
    <s v="California"/>
    <s v="Valid"/>
    <s v="Melvinside"/>
  </r>
  <r>
    <s v="#1348"/>
    <n v="1"/>
    <d v="2026-08-04T14:01:56"/>
    <d v="2026-08-04T14:01:56"/>
    <s v="Timothy Becker"/>
    <x v="0"/>
    <s v="timothy.becker88@yahoo.com"/>
    <s v="Hooded Sweatshirt"/>
    <x v="5"/>
    <s v="Apparel"/>
    <x v="6"/>
    <n v="1"/>
    <n v="34.99"/>
    <n v="34.99"/>
    <s v="WELCOME10"/>
    <x v="1"/>
    <n v="3.5"/>
    <n v="3.5"/>
    <s v="Number"/>
    <n v="5.99"/>
    <n v="5.99"/>
    <n v="37.479999999999997"/>
    <n v="37.479999999999997"/>
    <n v="37.480000000000004"/>
    <s v="True"/>
    <s v="Normal"/>
    <s v="Google Pay"/>
    <x v="0"/>
    <s v="pending"/>
    <s v="United States"/>
    <s v="Florida"/>
    <s v="Valid"/>
    <s v="Lake Kimberlybury"/>
  </r>
  <r>
    <s v="#1369"/>
    <n v="1"/>
    <d v="2026-08-04T14:04:34"/>
    <d v="2026-08-04T14:04:34"/>
    <s v="Kendra Price"/>
    <x v="0"/>
    <s v="kendra.price237@outlook.com"/>
    <s v="Hooded Sweatshirt"/>
    <x v="5"/>
    <s v="Apparel"/>
    <x v="6"/>
    <n v="1"/>
    <n v="34.99"/>
    <n v="34.99"/>
    <m/>
    <x v="0"/>
    <n v="0"/>
    <n v="0"/>
    <s v="Number"/>
    <n v="7.99"/>
    <n v="7.99"/>
    <n v="42.98"/>
    <n v="42.98"/>
    <n v="42.980000000000004"/>
    <s v="True"/>
    <s v="Normal"/>
    <s v="Credit Card"/>
    <x v="0"/>
    <s v="pending"/>
    <s v="Germany"/>
    <m/>
    <s v="Not Required"/>
    <s v="Stephensshire"/>
  </r>
  <r>
    <s v="#1370"/>
    <n v="1"/>
    <d v="2026-08-04T00:00:00"/>
    <s v="04-08-2026 14:00"/>
    <s v="Autumn Stewart"/>
    <x v="0"/>
    <s v="autumn.stewart565@outlook.com"/>
    <s v="Hooded Sweatshirt"/>
    <x v="5"/>
    <s v="Apparel"/>
    <x v="6"/>
    <n v="1"/>
    <n v="34.99"/>
    <n v="34.99"/>
    <m/>
    <x v="0"/>
    <n v="0"/>
    <n v="0"/>
    <s v="Number"/>
    <n v="7.99"/>
    <n v="7.99"/>
    <n v="42.98"/>
    <n v="42.98"/>
    <n v="42.980000000000004"/>
    <s v="True"/>
    <s v="Normal"/>
    <s v="PayPal"/>
    <x v="3"/>
    <s v="fulfilled"/>
    <s v="United Kingdom"/>
    <m/>
    <s v="Not Required"/>
    <s v="Lake Jaredborough"/>
  </r>
  <r>
    <s v="#1371"/>
    <n v="1"/>
    <d v="2026-08-04T13:59:50"/>
    <d v="2026-08-04T13:59:50"/>
    <s v="Andrew Vargas"/>
    <x v="0"/>
    <s v="andrew.vargas381@outlook.com"/>
    <s v="Hooded Sweatshirt"/>
    <x v="5"/>
    <s v="Apparel"/>
    <x v="6"/>
    <n v="1"/>
    <n v="34.99"/>
    <n v="34.99"/>
    <m/>
    <x v="0"/>
    <n v="0"/>
    <n v="0"/>
    <s v="Number"/>
    <n v="4.99"/>
    <n v="4.99"/>
    <n v="39.979999999999997"/>
    <n v="39.979999999999997"/>
    <n v="39.980000000000004"/>
    <s v="True"/>
    <s v="Normal"/>
    <s v="PayPal"/>
    <x v="0"/>
    <s v="cancelled"/>
    <s v="Canada"/>
    <m/>
    <s v="Not Required"/>
    <s v="Port Jasmineview"/>
  </r>
  <r>
    <s v="#1432"/>
    <n v="1"/>
    <d v="2026-08-04T14:04:17"/>
    <d v="2026-08-04T14:04:17"/>
    <s v="Jasmine Parker"/>
    <x v="0"/>
    <s v="jasmine.parker47@icloud.com"/>
    <s v="Hooded Sweatshirt"/>
    <x v="5"/>
    <s v="Apparel"/>
    <x v="6"/>
    <n v="2"/>
    <n v="34.99"/>
    <n v="34.99"/>
    <m/>
    <x v="0"/>
    <n v="0"/>
    <n v="0"/>
    <s v="Number"/>
    <n v="5.99"/>
    <n v="5.99"/>
    <n v="75.97"/>
    <n v="75.97"/>
    <n v="75.97"/>
    <s v="True"/>
    <s v="Normal"/>
    <s v="Google Pay"/>
    <x v="1"/>
    <s v="fulfilled"/>
    <s v="Pakistan"/>
    <m/>
    <s v="Not Required"/>
    <s v="New Christina"/>
  </r>
  <r>
    <s v="#1471"/>
    <n v="1"/>
    <d v="2026-08-04T13:56:56"/>
    <d v="2026-08-04T13:56:56"/>
    <s v="Heather Davis"/>
    <x v="0"/>
    <s v="heather.davis117@icloud.com"/>
    <s v="Hooded Sweatshirt"/>
    <x v="5"/>
    <s v="Apparel"/>
    <x v="6"/>
    <n v="2"/>
    <n v="34.99"/>
    <n v="34.99"/>
    <m/>
    <x v="0"/>
    <n v="0"/>
    <n v="0"/>
    <s v="Number"/>
    <n v="7.99"/>
    <n v="7.99"/>
    <n v="77.97"/>
    <n v="77.97"/>
    <n v="77.97"/>
    <s v="True"/>
    <s v="Normal"/>
    <s v="Apple Pay"/>
    <x v="1"/>
    <s v="refunded"/>
    <s v="Germany"/>
    <m/>
    <s v="Not Required"/>
    <s v="Richardsonchester"/>
  </r>
  <r>
    <s v="#1472"/>
    <n v="1"/>
    <d v="2026-04-08T00:00:00"/>
    <s v="                                08/04/2026"/>
    <s v="Christy Phillips"/>
    <x v="0"/>
    <s v="christy.phillips291@gmail.com"/>
    <s v="Hooded Sweatshirt"/>
    <x v="5"/>
    <s v="Apparel"/>
    <x v="6"/>
    <n v="1"/>
    <n v="34.99"/>
    <n v="34.99"/>
    <s v="VIP15"/>
    <x v="4"/>
    <n v="5.25"/>
    <n v="5.25"/>
    <s v="Number"/>
    <n v="7.99"/>
    <n v="7.99"/>
    <n v="37.729999999999997"/>
    <n v="37.729999999999997"/>
    <n v="37.730000000000004"/>
    <s v="True"/>
    <s v="Normal"/>
    <s v="Apple Pay"/>
    <x v="1"/>
    <s v="cancelled"/>
    <s v="Pakistan"/>
    <m/>
    <s v="Not Required"/>
    <s v="New Claire"/>
  </r>
  <r>
    <s v="#1503"/>
    <n v="1"/>
    <d v="2026-08-04T13:57:49"/>
    <d v="2026-08-04T13:57:49"/>
    <s v="Frank White"/>
    <x v="0"/>
    <s v="frank.white670@icloud.com"/>
    <s v="Hooded Sweatshirt"/>
    <x v="5"/>
    <s v="Apparel"/>
    <x v="6"/>
    <n v="1"/>
    <n v="34.99"/>
    <n v="34.99"/>
    <m/>
    <x v="0"/>
    <n v="0"/>
    <n v="0"/>
    <s v="Number"/>
    <n v="4.99"/>
    <n v="4.99"/>
    <n v="39.979999999999997"/>
    <n v="39.979999999999997"/>
    <n v="39.980000000000004"/>
    <s v="True"/>
    <s v="Normal"/>
    <s v="Apple Pay"/>
    <x v="0"/>
    <s v="fulfilled"/>
    <s v="United States"/>
    <s v="OH"/>
    <s v="Valid"/>
    <s v="Markchester"/>
  </r>
  <r>
    <s v="#1533"/>
    <n v="1"/>
    <d v="2026-08-04T00:00:00"/>
    <s v="04-08-2026 14:07"/>
    <s v="Tyler Williams"/>
    <x v="0"/>
    <s v="tyler.williams938@outlook.com"/>
    <s v="Hooded Sweatshirt"/>
    <x v="5"/>
    <s v="Apparel"/>
    <x v="6"/>
    <n v="3"/>
    <n v="34.99"/>
    <n v="34.99"/>
    <s v="VIP15"/>
    <x v="4"/>
    <n v="15.75"/>
    <n v="15.75"/>
    <s v="Number"/>
    <n v="0"/>
    <n v="0"/>
    <n v="89.22"/>
    <n v="89.22"/>
    <n v="89.22"/>
    <s v="True"/>
    <s v="Outlier"/>
    <s v="Google Pay"/>
    <x v="0"/>
    <s v="fulfilled"/>
    <s v="Australia"/>
    <m/>
    <s v="Not Required"/>
    <s v="Lake Monicaville"/>
  </r>
  <r>
    <s v="#1538"/>
    <n v="1"/>
    <d v="2026-08-04T14:02:47"/>
    <d v="2026-08-04T14:02:47"/>
    <s v="Maria Leon"/>
    <x v="0"/>
    <s v="maria.leon163@outlook.com"/>
    <s v="Hooded Sweatshirt"/>
    <x v="5"/>
    <s v="Apparel"/>
    <x v="6"/>
    <n v="2"/>
    <n v="34.99"/>
    <n v="34.99"/>
    <s v="FREESHIP"/>
    <x v="5"/>
    <n v="0"/>
    <n v="0"/>
    <s v="Number"/>
    <n v="0"/>
    <n v="0"/>
    <n v="69.98"/>
    <n v="69.98"/>
    <n v="69.98"/>
    <s v="True"/>
    <s v="Normal"/>
    <s v="Apple Pay"/>
    <x v="2"/>
    <s v="fulfilled"/>
    <s v="Canada"/>
    <m/>
    <s v="Not Required"/>
    <s v="Gonzalezfort"/>
  </r>
  <r>
    <s v="#1613"/>
    <n v="1"/>
    <d v="2026-08-04T13:55:42"/>
    <d v="2026-08-04T13:55:42"/>
    <s v="Amanda Rodriguez"/>
    <x v="0"/>
    <s v="amanda.rodriguez770@yahoo.com"/>
    <s v="Hooded Sweatshirt"/>
    <x v="5"/>
    <s v="Apparel"/>
    <x v="6"/>
    <n v="1"/>
    <n v="34.99"/>
    <n v="34.99"/>
    <m/>
    <x v="0"/>
    <n v="0"/>
    <n v="0"/>
    <s v="Number"/>
    <n v="4.99"/>
    <n v="4.99"/>
    <n v="39.979999999999997"/>
    <n v="39.979999999999997"/>
    <n v="39.980000000000004"/>
    <s v="True"/>
    <s v="Normal"/>
    <s v="PayPal"/>
    <x v="1"/>
    <s v="pending"/>
    <s v="United States"/>
    <s v="GA"/>
    <s v="Valid"/>
    <s v="West Joseph"/>
  </r>
  <r>
    <s v="#1622"/>
    <n v="1"/>
    <d v="2026-08-04T14:01:33"/>
    <d v="2026-08-04T14:01:33"/>
    <s v="Stephanie Mcgee"/>
    <x v="0"/>
    <s v="stephanie.mcgee557@outlook.com"/>
    <s v="Hooded Sweatshirt"/>
    <x v="5"/>
    <s v="Apparel"/>
    <x v="6"/>
    <n v="1"/>
    <n v="34.99"/>
    <n v="34.99"/>
    <m/>
    <x v="0"/>
    <n v="0"/>
    <n v="0"/>
    <s v="Number"/>
    <n v="5.99"/>
    <n v="5.99"/>
    <n v="40.98"/>
    <n v="40.98"/>
    <n v="40.980000000000004"/>
    <s v="True"/>
    <s v="Normal"/>
    <s v="PayPal"/>
    <x v="1"/>
    <s v="fulfilled"/>
    <s v="Australia"/>
    <m/>
    <s v="Not Required"/>
    <s v="Catherineside"/>
  </r>
  <r>
    <s v="#1648"/>
    <n v="1"/>
    <d v="2026-08-04T13:57:55"/>
    <d v="2026-08-04T13:57:55"/>
    <s v="Timothy Hodges"/>
    <x v="0"/>
    <s v="timothy.hodges687@icloud.com"/>
    <s v="Hooded Sweatshirt"/>
    <x v="5"/>
    <s v="Apparel"/>
    <x v="6"/>
    <n v="1"/>
    <n v="34.99"/>
    <n v="34.99"/>
    <m/>
    <x v="0"/>
    <n v="0"/>
    <n v="0"/>
    <s v="Number"/>
    <n v="5.99"/>
    <n v="5.99"/>
    <n v="40.98"/>
    <n v="40.98"/>
    <n v="40.980000000000004"/>
    <s v="True"/>
    <s v="Normal"/>
    <s v="Credit Card"/>
    <x v="0"/>
    <s v="fulfilled"/>
    <s v="Australia"/>
    <m/>
    <s v="Not Required"/>
    <s v="Gregorymouth"/>
  </r>
  <r>
    <s v="#1720"/>
    <n v="1"/>
    <d v="2026-08-04T14:03:12"/>
    <d v="2026-08-04T14:03:12"/>
    <s v="Gregory Vega"/>
    <x v="0"/>
    <s v="gregory.vega882@outlook.com"/>
    <s v="Hooded Sweatshirt"/>
    <x v="5"/>
    <s v="Apparel"/>
    <x v="6"/>
    <n v="1"/>
    <n v="34.99"/>
    <n v="34.99"/>
    <m/>
    <x v="0"/>
    <s v="$0.00"/>
    <n v="0"/>
    <s v="Number"/>
    <n v="5.99"/>
    <n v="5.99"/>
    <n v="40.98"/>
    <n v="40.98"/>
    <n v="40.980000000000004"/>
    <s v="True"/>
    <s v="Normal"/>
    <s v="Credit Card"/>
    <x v="3"/>
    <s v="cancelled"/>
    <s v="Pakistan"/>
    <m/>
    <s v="Not Required"/>
    <s v="East Julianshire"/>
  </r>
  <r>
    <s v="#1722"/>
    <n v="1"/>
    <d v="2026-08-04T14:05:44"/>
    <d v="2026-08-04T14:05:44"/>
    <s v="Kenneth Davis"/>
    <x v="0"/>
    <s v="kenneth.davis106@yahoo.com"/>
    <s v="Hooded Sweatshirt"/>
    <x v="5"/>
    <s v="Apparel"/>
    <x v="6"/>
    <n v="2"/>
    <n v="34.99"/>
    <n v="34.99"/>
    <s v="WELCOME10"/>
    <x v="1"/>
    <n v="7"/>
    <n v="7"/>
    <s v="Number"/>
    <n v="7.99"/>
    <n v="7.99"/>
    <n v="70.97"/>
    <n v="70.97"/>
    <n v="70.97"/>
    <s v="True"/>
    <s v="Normal"/>
    <s v="Shopify Payments"/>
    <x v="0"/>
    <s v="fulfilled"/>
    <s v="United States"/>
    <s v="Texas"/>
    <s v="Valid"/>
    <s v="South Travis"/>
  </r>
  <r>
    <s v="#1741"/>
    <n v="1"/>
    <d v="2026-08-04T13:57:13"/>
    <d v="2026-08-04T13:57:13"/>
    <s v="Christopher Harris"/>
    <x v="0"/>
    <s v="christopher.harris618@yahoo.com"/>
    <s v="Hooded Sweatshirt"/>
    <x v="5"/>
    <s v="Apparel"/>
    <x v="6"/>
    <n v="2"/>
    <n v="34.99"/>
    <n v="34.99"/>
    <s v="WELCOME10"/>
    <x v="1"/>
    <n v="7"/>
    <n v="7"/>
    <s v="Number"/>
    <n v="4.99"/>
    <n v="4.99"/>
    <n v="67.97"/>
    <n v="67.97"/>
    <n v="67.97"/>
    <s v="True"/>
    <s v="Normal"/>
    <s v="Apple Pay"/>
    <x v="2"/>
    <s v="refunded"/>
    <s v="Australia"/>
    <m/>
    <s v="Not Required"/>
    <s v="Port Nicholasport"/>
  </r>
  <r>
    <s v="#1807"/>
    <n v="1"/>
    <d v="2026-08-04T13:54:30"/>
    <d v="2026-08-04T13:54:30"/>
    <s v="Natalie Dixon"/>
    <x v="0"/>
    <s v="natalie.dixon388@outlook.com"/>
    <s v="Hooded Sweatshirt"/>
    <x v="5"/>
    <s v="Apparel"/>
    <x v="6"/>
    <n v="1"/>
    <n v="34.99"/>
    <n v="34.99"/>
    <s v="VIP15"/>
    <x v="4"/>
    <s v="$5.25"/>
    <n v="5.25"/>
    <s v="Number"/>
    <n v="4.99"/>
    <n v="4.99"/>
    <n v="34.729999999999997"/>
    <n v="34.729999999999997"/>
    <n v="34.730000000000004"/>
    <s v="True"/>
    <s v="Normal"/>
    <s v="Credit Card"/>
    <x v="0"/>
    <s v="fulfilled"/>
    <s v="United States"/>
    <s v="Ohio"/>
    <s v="Valid"/>
    <s v="Claudiashire"/>
  </r>
  <r>
    <s v="#1879"/>
    <n v="1"/>
    <d v="2026-08-04T14:04:57"/>
    <d v="2026-08-04T14:04:57"/>
    <s v="Mark Mata"/>
    <x v="0"/>
    <s v="mark.mata757@outlook.com"/>
    <s v="Hooded Sweatshirt"/>
    <x v="5"/>
    <s v="Apparel"/>
    <x v="6"/>
    <n v="1"/>
    <s v="$34.99"/>
    <n v="34.99"/>
    <m/>
    <x v="0"/>
    <n v="0"/>
    <n v="0"/>
    <s v="Number"/>
    <n v="5.99"/>
    <n v="5.99"/>
    <n v="40.98"/>
    <n v="40.98"/>
    <n v="40.980000000000004"/>
    <s v="True"/>
    <s v="Normal"/>
    <s v="Credit Card"/>
    <x v="3"/>
    <s v="fulfilled"/>
    <s v="United States"/>
    <s v="Washington"/>
    <s v="Valid"/>
    <s v="Christophermouth"/>
  </r>
  <r>
    <s v="#1887"/>
    <n v="1"/>
    <d v="2026-08-04T14:00:46"/>
    <d v="2026-08-04T14:00:46"/>
    <s v="Sheryl Nguyen"/>
    <x v="0"/>
    <s v="sheryl.nguyen272@outlook.com"/>
    <s v="Hooded Sweatshirt"/>
    <x v="5"/>
    <s v="Apparel"/>
    <x v="6"/>
    <n v="1"/>
    <n v="34.99"/>
    <n v="34.99"/>
    <m/>
    <x v="0"/>
    <n v="0"/>
    <n v="0"/>
    <s v="Number"/>
    <n v="7.99"/>
    <n v="7.99"/>
    <n v="42.98"/>
    <n v="42.98"/>
    <n v="42.980000000000004"/>
    <s v="True"/>
    <s v="Normal"/>
    <s v="Google Pay"/>
    <x v="0"/>
    <s v="fulfilled"/>
    <s v="United States"/>
    <s v="California"/>
    <s v="Valid"/>
    <s v="Cindyville"/>
  </r>
  <r>
    <s v="#1901"/>
    <n v="1"/>
    <d v="2026-08-04T00:00:00"/>
    <s v="2026-08-04"/>
    <s v="Amanda Robinson"/>
    <x v="0"/>
    <s v="amanda.robinson263@icloud.com"/>
    <s v="Hooded Sweatshirt"/>
    <x v="5"/>
    <s v="Apparel"/>
    <x v="6"/>
    <n v="1"/>
    <n v="34.99"/>
    <n v="34.99"/>
    <m/>
    <x v="0"/>
    <n v="0"/>
    <n v="0"/>
    <s v="Number"/>
    <n v="7.99"/>
    <n v="7.99"/>
    <n v="42.98"/>
    <n v="42.98"/>
    <n v="42.980000000000004"/>
    <s v="True"/>
    <s v="Normal"/>
    <s v="Google Pay"/>
    <x v="0"/>
    <s v="fulfilled"/>
    <s v="United States"/>
    <s v="Ohio"/>
    <s v="Valid"/>
    <s v="New Richard"/>
  </r>
  <r>
    <s v="#1984"/>
    <n v="1"/>
    <d v="2026-08-04T13:58:27"/>
    <d v="2026-08-04T13:58:27"/>
    <s v="Christy Phillips"/>
    <x v="0"/>
    <s v="christy.phillips291@gmail.com"/>
    <s v="Hooded Sweatshirt"/>
    <x v="5"/>
    <s v="Apparel"/>
    <x v="6"/>
    <n v="4"/>
    <n v="34.99"/>
    <n v="34.99"/>
    <s v="SAVE20"/>
    <x v="2"/>
    <n v="27.99"/>
    <n v="27.99"/>
    <s v="Number"/>
    <n v="0"/>
    <n v="0"/>
    <n v="111.97"/>
    <n v="111.97"/>
    <n v="111.97000000000001"/>
    <s v="True"/>
    <s v="Outlier"/>
    <s v="Shopify Payments"/>
    <x v="2"/>
    <s v="fulfilled"/>
    <s v="Pakistan"/>
    <m/>
    <s v="Not Required"/>
    <s v="West Stephen"/>
  </r>
  <r>
    <s v="#2028"/>
    <n v="1"/>
    <d v="2026-08-04T14:00:29"/>
    <d v="2026-08-04T14:00:29"/>
    <s v="Sarah Smith"/>
    <x v="0"/>
    <s v="sarah.smith33@icloud.com"/>
    <s v="Hooded Sweatshirt"/>
    <x v="5"/>
    <s v="Apparel"/>
    <x v="6"/>
    <n v="1"/>
    <n v="34.99"/>
    <n v="34.99"/>
    <m/>
    <x v="0"/>
    <n v="0"/>
    <n v="0"/>
    <s v="Number"/>
    <n v="4.99"/>
    <n v="4.99"/>
    <n v="39.979999999999997"/>
    <n v="39.979999999999997"/>
    <n v="39.980000000000004"/>
    <s v="True"/>
    <s v="Normal"/>
    <s v="Credit Card"/>
    <x v="0"/>
    <s v="fulfilled"/>
    <s v="Australia"/>
    <m/>
    <s v="Not Required"/>
    <s v="Mullinsbury"/>
  </r>
  <r>
    <s v="#2037"/>
    <n v="1"/>
    <d v="2026-08-04T14:00:48"/>
    <d v="2026-08-04T14:00:48"/>
    <s v="Jennifer Burke"/>
    <x v="0"/>
    <s v="jennifer.burke472@icloud.com"/>
    <s v="Hooded Sweatshirt"/>
    <x v="5"/>
    <s v="Apparel"/>
    <x v="6"/>
    <n v="1"/>
    <n v="34.99"/>
    <n v="34.99"/>
    <s v="FREESHIP"/>
    <x v="5"/>
    <n v="0"/>
    <n v="0"/>
    <s v="Number"/>
    <n v="0"/>
    <n v="0"/>
    <n v="34.99"/>
    <n v="34.99"/>
    <n v="34.99"/>
    <s v="True"/>
    <s v="Normal"/>
    <s v="Apple Pay"/>
    <x v="2"/>
    <s v="fulfilled"/>
    <s v="Pakistan"/>
    <m/>
    <s v="Not Required"/>
    <s v="Sotohaven"/>
  </r>
  <r>
    <s v="#2062"/>
    <n v="1"/>
    <d v="2026-08-04T14:06:17"/>
    <d v="2026-08-04T14:06:17"/>
    <s v="Julia Atkinson"/>
    <x v="0"/>
    <s v="julia.atkinson939@gmail.com"/>
    <s v="Hooded Sweatshirt"/>
    <x v="5"/>
    <s v="Apparel"/>
    <x v="6"/>
    <n v="1"/>
    <s v="$34.99"/>
    <n v="34.99"/>
    <s v="WELCOME10"/>
    <x v="1"/>
    <n v="3.5"/>
    <n v="3.5"/>
    <s v="Number"/>
    <n v="5.99"/>
    <n v="5.99"/>
    <n v="37.479999999999997"/>
    <n v="37.479999999999997"/>
    <n v="37.480000000000004"/>
    <s v="True"/>
    <s v="Normal"/>
    <s v="Apple Pay"/>
    <x v="2"/>
    <s v="fulfilled"/>
    <s v="Canada"/>
    <m/>
    <s v="Not Required"/>
    <s v="South Laura"/>
  </r>
  <r>
    <s v="#2064"/>
    <n v="1"/>
    <d v="2026-08-04T13:55:11"/>
    <d v="2026-08-04T13:55:11"/>
    <s v="Darin Alvarez"/>
    <x v="0"/>
    <s v="darin.alvarez843@gmail.com"/>
    <s v="Hooded Sweatshirt"/>
    <x v="5"/>
    <s v="Apparel"/>
    <x v="6"/>
    <n v="1"/>
    <n v="34.99"/>
    <n v="34.99"/>
    <m/>
    <x v="0"/>
    <n v="0"/>
    <n v="0"/>
    <s v="Number"/>
    <n v="5.99"/>
    <n v="5.99"/>
    <n v="40.98"/>
    <n v="40.98"/>
    <n v="40.980000000000004"/>
    <s v="True"/>
    <s v="Normal"/>
    <s v="PayPal"/>
    <x v="2"/>
    <s v="fulfilled"/>
    <s v="Canada"/>
    <m/>
    <s v="Not Required"/>
    <s v="Ericaport"/>
  </r>
  <r>
    <s v="#2149"/>
    <n v="1"/>
    <d v="2026-08-04T00:00:00"/>
    <s v="04-08-2026 13:59"/>
    <s v="Andrea Martinez"/>
    <x v="0"/>
    <s v="andrea.martinez756@yahoo.com"/>
    <s v="Hooded Sweatshirt"/>
    <x v="5"/>
    <s v="Apparel"/>
    <x v="6"/>
    <n v="1"/>
    <s v="$34.99"/>
    <n v="34.99"/>
    <s v="FREESHIP"/>
    <x v="5"/>
    <n v="0"/>
    <n v="0"/>
    <s v="Number"/>
    <n v="0"/>
    <n v="0"/>
    <n v="34.99"/>
    <n v="34.99"/>
    <n v="34.99"/>
    <s v="True"/>
    <s v="Normal"/>
    <s v="Shopify Payments"/>
    <x v="1"/>
    <s v="fulfilled"/>
    <s v="Australia"/>
    <m/>
    <s v="Not Required"/>
    <s v="Hillmouth"/>
  </r>
  <r>
    <s v="#2174"/>
    <n v="1"/>
    <d v="2026-08-04T13:57:18"/>
    <d v="2026-08-04T13:57:18"/>
    <s v="Ronald Johnson"/>
    <x v="0"/>
    <s v="ronald.johnson972@icloud.com"/>
    <s v="Hooded Sweatshirt"/>
    <x v="5"/>
    <s v="Apparel"/>
    <x v="6"/>
    <n v="1"/>
    <n v="34.99"/>
    <n v="34.99"/>
    <m/>
    <x v="0"/>
    <n v="0"/>
    <n v="0"/>
    <s v="Number"/>
    <n v="4.99"/>
    <n v="4.99"/>
    <n v="39.979999999999997"/>
    <n v="39.979999999999997"/>
    <n v="39.980000000000004"/>
    <s v="True"/>
    <s v="Normal"/>
    <s v="Credit Card"/>
    <x v="1"/>
    <s v="pending"/>
    <s v="Germany"/>
    <m/>
    <s v="Not Required"/>
    <s v="Port Devinstad"/>
  </r>
  <r>
    <s v="#2211"/>
    <n v="1"/>
    <d v="2026-08-04T13:57:58"/>
    <d v="2026-08-04T13:57:58"/>
    <s v="Rebecca Watts"/>
    <x v="0"/>
    <s v="rebecca.watts779@gmail.com"/>
    <s v="Hooded Sweatshirt"/>
    <x v="5"/>
    <s v="Apparel"/>
    <x v="6"/>
    <n v="1"/>
    <s v="$34.99"/>
    <n v="34.99"/>
    <m/>
    <x v="0"/>
    <n v="0"/>
    <n v="0"/>
    <s v="Number"/>
    <n v="4.99"/>
    <n v="4.99"/>
    <s v="$39.98"/>
    <n v="39.979999999999997"/>
    <n v="39.980000000000004"/>
    <s v="True"/>
    <s v="Normal"/>
    <s v="Google Pay"/>
    <x v="3"/>
    <s v="fulfilled"/>
    <s v="United States"/>
    <s v="New York"/>
    <s v="Valid"/>
    <s v="West Gregoryborough"/>
  </r>
  <r>
    <s v="#2252"/>
    <n v="1"/>
    <d v="2026-08-04T14:06:04"/>
    <d v="2026-08-04T14:06:04"/>
    <s v="Tina Crane"/>
    <x v="0"/>
    <s v="tina.crane554@gmail.com"/>
    <s v="Hooded Sweatshirt"/>
    <x v="5"/>
    <s v="Apparel"/>
    <x v="6"/>
    <n v="2"/>
    <n v="34.99"/>
    <n v="34.99"/>
    <m/>
    <x v="0"/>
    <n v="0"/>
    <n v="0"/>
    <s v="Number"/>
    <n v="4.99"/>
    <n v="4.99"/>
    <n v="74.97"/>
    <n v="74.97"/>
    <n v="74.97"/>
    <s v="True"/>
    <s v="Normal"/>
    <s v="Google Pay"/>
    <x v="3"/>
    <s v="fulfilled"/>
    <s v="United Kingdom"/>
    <m/>
    <s v="Not Required"/>
    <s v="Matthewstad"/>
  </r>
  <r>
    <s v="#2309"/>
    <n v="1"/>
    <d v="2026-08-04T14:03:36"/>
    <d v="2026-08-04T14:03:36"/>
    <s v="Mary Garcia"/>
    <x v="0"/>
    <s v="mary.garcia899@icloud.com"/>
    <s v="Hooded Sweatshirt"/>
    <x v="5"/>
    <s v="Apparel"/>
    <x v="6"/>
    <n v="2"/>
    <n v="34.99"/>
    <n v="34.99"/>
    <m/>
    <x v="0"/>
    <n v="0"/>
    <n v="0"/>
    <s v="Number"/>
    <n v="4.99"/>
    <n v="4.99"/>
    <n v="74.97"/>
    <n v="74.97"/>
    <n v="74.97"/>
    <s v="True"/>
    <s v="Normal"/>
    <s v="PayPal"/>
    <x v="2"/>
    <s v="refunded"/>
    <s v="Canada"/>
    <m/>
    <s v="Not Required"/>
    <s v="Andresmouth"/>
  </r>
  <r>
    <s v="#2333"/>
    <n v="1"/>
    <d v="2026-08-04T13:57:50"/>
    <d v="2026-08-04T13:57:50"/>
    <s v="Joshua Anderson"/>
    <x v="0"/>
    <s v="joshua.anderson662@gmail.com"/>
    <s v="Hooded Sweatshirt"/>
    <x v="5"/>
    <s v="Apparel"/>
    <x v="6"/>
    <n v="1"/>
    <n v="34.99"/>
    <n v="34.99"/>
    <s v="FREESHIP"/>
    <x v="5"/>
    <n v="0"/>
    <n v="0"/>
    <s v="Number"/>
    <n v="0"/>
    <n v="0"/>
    <n v="34.99"/>
    <n v="34.99"/>
    <n v="34.99"/>
    <s v="True"/>
    <s v="Normal"/>
    <s v="Google Pay"/>
    <x v="0"/>
    <s v="refunded"/>
    <s v="Canada"/>
    <m/>
    <s v="Not Required"/>
    <s v="Lake Jasmine"/>
  </r>
  <r>
    <s v="#2404"/>
    <n v="1"/>
    <d v="2026-08-04T14:01:18"/>
    <d v="2026-08-04T14:01:18"/>
    <s v="Tracy Barr"/>
    <x v="0"/>
    <s v="tracy.barr550@icloud.com"/>
    <s v="Hooded Sweatshirt"/>
    <x v="5"/>
    <s v="Apparel"/>
    <x v="6"/>
    <n v="1"/>
    <n v="34.99"/>
    <n v="34.99"/>
    <s v="SAVE20"/>
    <x v="2"/>
    <s v="$7.00"/>
    <n v="7"/>
    <s v="Number"/>
    <n v="4.99"/>
    <n v="4.99"/>
    <n v="32.979999999999997"/>
    <n v="32.979999999999997"/>
    <n v="32.980000000000004"/>
    <s v="True"/>
    <s v="Normal"/>
    <s v="Shopify Payments"/>
    <x v="0"/>
    <s v="pending"/>
    <s v="United States"/>
    <s v="North Carolina"/>
    <s v="Valid"/>
    <s v="Roberthaven"/>
  </r>
  <r>
    <s v="#2419"/>
    <n v="1"/>
    <d v="2026-08-04T13:57:01"/>
    <d v="2026-08-04T13:57:01"/>
    <s v="Gregory Vega"/>
    <x v="0"/>
    <s v="gregory.vega882@outlook.com"/>
    <s v="Hooded Sweatshirt"/>
    <x v="5"/>
    <s v="Apparel"/>
    <x v="6"/>
    <n v="1"/>
    <n v="34.99"/>
    <n v="34.99"/>
    <m/>
    <x v="0"/>
    <n v="0"/>
    <n v="0"/>
    <s v="Number"/>
    <n v="7.99"/>
    <n v="7.99"/>
    <n v="42.98"/>
    <n v="42.98"/>
    <n v="42.980000000000004"/>
    <s v="True"/>
    <s v="Normal"/>
    <s v="Google Pay"/>
    <x v="0"/>
    <s v="pending"/>
    <s v="Pakistan"/>
    <m/>
    <s v="Not Required"/>
    <s v="Hardymouth"/>
  </r>
  <r>
    <s v="#2422"/>
    <n v="1"/>
    <d v="2026-08-04T14:07:06"/>
    <d v="2026-08-04T14:07:06"/>
    <s v="Jon Lambert"/>
    <x v="0"/>
    <s v="jon.lambert231@icloud.com"/>
    <s v="Hooded Sweatshirt"/>
    <x v="5"/>
    <s v="Apparel"/>
    <x v="6"/>
    <n v="1"/>
    <n v="34.99"/>
    <n v="34.99"/>
    <s v="VIP15"/>
    <x v="4"/>
    <n v="5.25"/>
    <n v="5.25"/>
    <s v="Number"/>
    <n v="5.99"/>
    <n v="5.99"/>
    <n v="35.729999999999997"/>
    <n v="35.729999999999997"/>
    <n v="35.730000000000004"/>
    <s v="True"/>
    <s v="Normal"/>
    <s v="Credit Card"/>
    <x v="1"/>
    <s v="refunded"/>
    <s v="United States"/>
    <s v="Illinois"/>
    <s v="Valid"/>
    <s v="Michaelberg"/>
  </r>
  <r>
    <s v="#2443"/>
    <n v="1"/>
    <d v="2026-08-04T13:55:56"/>
    <d v="2026-08-04T13:55:56"/>
    <s v="Stacey Johnson"/>
    <x v="0"/>
    <s v="stacey.johnson95@gmail.com"/>
    <s v="Hooded Sweatshirt"/>
    <x v="5"/>
    <s v="Apparel"/>
    <x v="6"/>
    <n v="1"/>
    <n v="34.99"/>
    <n v="34.99"/>
    <m/>
    <x v="0"/>
    <n v="0"/>
    <n v="0"/>
    <s v="Number"/>
    <n v="5.99"/>
    <n v="5.99"/>
    <s v="$40.98"/>
    <n v="40.98"/>
    <n v="40.980000000000004"/>
    <s v="True"/>
    <s v="Normal"/>
    <s v="Apple Pay"/>
    <x v="0"/>
    <s v="fulfilled"/>
    <s v="Germany"/>
    <m/>
    <s v="Not Required"/>
    <s v="South Patriciastad"/>
  </r>
  <r>
    <s v="#2475"/>
    <n v="1"/>
    <d v="2026-08-04T14:07:03"/>
    <d v="2026-08-04T14:07:03"/>
    <s v="Anthony Krueger"/>
    <x v="0"/>
    <s v="anthony.krueger812@yahoo.com"/>
    <s v="Hooded Sweatshirt"/>
    <x v="5"/>
    <s v="Apparel"/>
    <x v="6"/>
    <n v="1"/>
    <n v="34.99"/>
    <n v="34.99"/>
    <m/>
    <x v="0"/>
    <n v="0"/>
    <n v="0"/>
    <s v="Number"/>
    <n v="4.99"/>
    <n v="4.99"/>
    <n v="39.979999999999997"/>
    <n v="39.979999999999997"/>
    <n v="39.980000000000004"/>
    <s v="True"/>
    <s v="Normal"/>
    <s v="Shopify Payments"/>
    <x v="3"/>
    <s v="fulfilled"/>
    <s v="Pakistan"/>
    <m/>
    <s v="Not Required"/>
    <s v="Robertton"/>
  </r>
  <r>
    <s v="#2497"/>
    <n v="1"/>
    <d v="2026-08-04T13:55:51"/>
    <d v="2026-08-04T13:55:51"/>
    <s v="Thomas Hall"/>
    <x v="0"/>
    <s v="thomas.hall134@gmail.com"/>
    <s v="Hooded Sweatshirt"/>
    <x v="5"/>
    <s v="Apparel"/>
    <x v="6"/>
    <n v="1"/>
    <n v="34.99"/>
    <n v="34.99"/>
    <s v="BFCM25"/>
    <x v="3"/>
    <s v="$8.75"/>
    <n v="8.75"/>
    <s v="Number"/>
    <n v="7.99"/>
    <n v="7.99"/>
    <n v="34.229999999999997"/>
    <n v="34.229999999999997"/>
    <n v="34.230000000000004"/>
    <s v="True"/>
    <s v="Normal"/>
    <s v="Apple Pay"/>
    <x v="0"/>
    <s v="pending"/>
    <s v="Canada"/>
    <m/>
    <s v="Not Required"/>
    <s v="East Brian"/>
  </r>
  <r>
    <s v="#2509"/>
    <n v="1"/>
    <d v="2026-08-04T14:07:09"/>
    <d v="2026-08-04T14:07:09"/>
    <s v="Nicholas Jarvis"/>
    <x v="0"/>
    <s v="nicholas.jarvis112@icloud.com"/>
    <s v="Hooded Sweatshirt"/>
    <x v="5"/>
    <s v="Apparel"/>
    <x v="6"/>
    <n v="1"/>
    <n v="34.99"/>
    <n v="34.99"/>
    <s v="WELCOME10"/>
    <x v="1"/>
    <n v="3.5"/>
    <n v="3.5"/>
    <s v="Number"/>
    <n v="4.99"/>
    <n v="4.99"/>
    <n v="36.479999999999997"/>
    <n v="36.479999999999997"/>
    <n v="36.480000000000004"/>
    <s v="True"/>
    <s v="Normal"/>
    <s v="PayPal"/>
    <x v="3"/>
    <s v="pending"/>
    <s v="Canada"/>
    <m/>
    <s v="Not Required"/>
    <s v="North Robert"/>
  </r>
  <r>
    <s v="#2555"/>
    <n v="1"/>
    <d v="2026-08-04T14:01:17"/>
    <d v="2026-08-04T14:01:17"/>
    <s v="Robert Clark"/>
    <x v="0"/>
    <s v="robert.clark185@icloud.com"/>
    <s v="Hooded Sweatshirt"/>
    <x v="5"/>
    <s v="Apparel"/>
    <x v="6"/>
    <n v="1"/>
    <n v="34.99"/>
    <n v="34.99"/>
    <s v="WELCOME10"/>
    <x v="1"/>
    <n v="3.5"/>
    <n v="3.5"/>
    <s v="Number"/>
    <n v="7.99"/>
    <n v="7.99"/>
    <n v="39.479999999999997"/>
    <n v="39.479999999999997"/>
    <n v="39.480000000000004"/>
    <s v="True"/>
    <s v="Normal"/>
    <s v="PayPal"/>
    <x v="1"/>
    <s v="pending"/>
    <s v="Pakistan"/>
    <m/>
    <s v="Not Required"/>
    <s v="South Melissamouth"/>
  </r>
  <r>
    <s v="#2589"/>
    <n v="1"/>
    <d v="2026-08-04T13:59:16"/>
    <d v="2026-08-04T13:59:16"/>
    <s v="Paul Dillon"/>
    <x v="0"/>
    <s v="paul.dillon750@icloud.com"/>
    <s v="Hooded Sweatshirt"/>
    <x v="5"/>
    <s v="Apparel"/>
    <x v="6"/>
    <n v="2"/>
    <n v="34.99"/>
    <n v="34.99"/>
    <s v="FREESHIP"/>
    <x v="5"/>
    <n v="0"/>
    <n v="0"/>
    <s v="Number"/>
    <n v="0"/>
    <n v="0"/>
    <n v="69.98"/>
    <n v="69.98"/>
    <n v="69.98"/>
    <s v="True"/>
    <s v="Normal"/>
    <s v="Shopify Payments"/>
    <x v="0"/>
    <s v="cancelled"/>
    <s v="Australia"/>
    <m/>
    <s v="Not Required"/>
    <s v="Manntown"/>
  </r>
  <r>
    <s v="#2607"/>
    <n v="1"/>
    <d v="2026-08-04T14:01:40"/>
    <d v="2026-08-04T14:01:40"/>
    <s v="Tanya Brown"/>
    <x v="0"/>
    <s v="tanya.brown516@outlook.com"/>
    <s v="Hooded Sweatshirt"/>
    <x v="5"/>
    <s v="Apparel"/>
    <x v="6"/>
    <n v="1"/>
    <n v="34.99"/>
    <n v="34.99"/>
    <s v="VIP15"/>
    <x v="4"/>
    <n v="5.25"/>
    <n v="5.25"/>
    <s v="Number"/>
    <n v="5.99"/>
    <n v="5.99"/>
    <n v="35.729999999999997"/>
    <n v="35.729999999999997"/>
    <n v="35.730000000000004"/>
    <s v="True"/>
    <s v="Normal"/>
    <s v="PayPal"/>
    <x v="0"/>
    <s v="fulfilled"/>
    <s v="United States"/>
    <s v="North Carolina"/>
    <s v="Valid"/>
    <s v="Chelseyhaven"/>
  </r>
  <r>
    <s v="#2635"/>
    <n v="1"/>
    <d v="2026-08-04T14:04:19"/>
    <d v="2026-08-04T14:04:19"/>
    <s v="Donald Davis"/>
    <x v="0"/>
    <s v="donald.davis404@icloud.com"/>
    <s v="Hooded Sweatshirt"/>
    <x v="5"/>
    <s v="Apparel"/>
    <x v="6"/>
    <n v="1"/>
    <n v="34.99"/>
    <n v="34.99"/>
    <m/>
    <x v="0"/>
    <n v="0"/>
    <n v="0"/>
    <s v="Number"/>
    <n v="7.99"/>
    <n v="7.99"/>
    <n v="42.98"/>
    <n v="42.98"/>
    <n v="42.980000000000004"/>
    <s v="True"/>
    <s v="Normal"/>
    <s v="Google Pay"/>
    <x v="0"/>
    <s v="fulfilled"/>
    <s v="Canada"/>
    <m/>
    <s v="Not Required"/>
    <s v="Port Ethan"/>
  </r>
  <r>
    <s v="#2671"/>
    <n v="1"/>
    <d v="2026-08-04T14:02:21"/>
    <d v="2026-08-04T14:02:21"/>
    <s v="Christy Phillips"/>
    <x v="0"/>
    <s v="christy.phillips291@gmail.com"/>
    <s v="Hooded Sweatshirt"/>
    <x v="5"/>
    <s v="Apparel"/>
    <x v="6"/>
    <n v="1"/>
    <n v="34.99"/>
    <n v="34.99"/>
    <m/>
    <x v="0"/>
    <n v="0"/>
    <n v="0"/>
    <s v="Number"/>
    <n v="5.99"/>
    <n v="5.99"/>
    <n v="40.98"/>
    <n v="40.98"/>
    <n v="40.980000000000004"/>
    <s v="True"/>
    <s v="Normal"/>
    <s v="Shopify Payments"/>
    <x v="1"/>
    <s v="fulfilled"/>
    <s v="Pakistan"/>
    <m/>
    <s v="Not Required"/>
    <s v="East David"/>
  </r>
  <r>
    <s v="#2699"/>
    <n v="1"/>
    <d v="2026-08-04T13:57:44"/>
    <d v="2026-08-04T13:57:44"/>
    <s v="Pamela Miller"/>
    <x v="0"/>
    <s v="pamela.miller171@icloud.com"/>
    <s v="Hooded Sweatshirt"/>
    <x v="5"/>
    <s v="Apparel"/>
    <x v="6"/>
    <n v="4"/>
    <n v="34.99"/>
    <n v="34.99"/>
    <m/>
    <x v="0"/>
    <n v="0"/>
    <n v="0"/>
    <s v="Number"/>
    <n v="0"/>
    <n v="0"/>
    <n v="139.96"/>
    <n v="139.96"/>
    <n v="139.96"/>
    <s v="True"/>
    <s v="Outlier"/>
    <s v="Shopify Payments"/>
    <x v="1"/>
    <s v="fulfilled"/>
    <s v="United States"/>
    <s v="North Carolina"/>
    <s v="Valid"/>
    <s v="New Madison"/>
  </r>
  <r>
    <s v="#2701"/>
    <n v="1"/>
    <d v="2026-08-04T13:57:21"/>
    <d v="2026-08-04T13:57:21"/>
    <s v="John Carson"/>
    <x v="0"/>
    <s v="john.carson203@yahoo.com"/>
    <s v="Hooded Sweatshirt"/>
    <x v="5"/>
    <s v="Apparel"/>
    <x v="6"/>
    <n v="1"/>
    <n v="34.99"/>
    <n v="34.99"/>
    <s v="FREESHIP"/>
    <x v="5"/>
    <s v="$0.00"/>
    <n v="0"/>
    <s v="Number"/>
    <n v="0"/>
    <n v="0"/>
    <n v="34.99"/>
    <n v="34.99"/>
    <n v="34.99"/>
    <s v="True"/>
    <s v="Normal"/>
    <s v="Apple Pay"/>
    <x v="1"/>
    <s v="fulfilled"/>
    <s v="United States"/>
    <s v="WA"/>
    <s v="Valid"/>
    <s v="Kennethshire"/>
  </r>
  <r>
    <s v="#2741"/>
    <n v="1"/>
    <d v="2026-08-04T13:56:14"/>
    <d v="2026-08-04T13:56:14"/>
    <s v="Alan Davis"/>
    <x v="1"/>
    <m/>
    <s v="Hooded Sweatshirt"/>
    <x v="5"/>
    <s v="Apparel"/>
    <x v="6"/>
    <n v="1"/>
    <n v="34.99"/>
    <n v="34.99"/>
    <m/>
    <x v="0"/>
    <n v="0"/>
    <n v="0"/>
    <s v="Number"/>
    <n v="7.99"/>
    <n v="7.99"/>
    <n v="42.98"/>
    <n v="42.98"/>
    <n v="42.980000000000004"/>
    <s v="True"/>
    <s v="Normal"/>
    <s v="Google Pay"/>
    <x v="0"/>
    <s v="fulfilled"/>
    <s v="Canada"/>
    <m/>
    <s v="Not Required"/>
    <s v="North Samanthaland"/>
  </r>
  <r>
    <s v="#2748"/>
    <n v="1"/>
    <d v="2026-08-04T14:03:17"/>
    <d v="2026-08-04T14:03:17"/>
    <s v="Kenneth Davis"/>
    <x v="0"/>
    <s v="kenneth.davis106@yahoo.com"/>
    <s v="Hooded Sweatshirt"/>
    <x v="5"/>
    <s v="Apparel"/>
    <x v="6"/>
    <n v="1"/>
    <n v="34.99"/>
    <n v="34.99"/>
    <s v="SAVE20"/>
    <x v="2"/>
    <n v="7"/>
    <n v="7"/>
    <s v="Number"/>
    <n v="4.99"/>
    <n v="4.99"/>
    <n v="32.979999999999997"/>
    <n v="32.979999999999997"/>
    <n v="32.980000000000004"/>
    <s v="True"/>
    <s v="Normal"/>
    <s v="Apple Pay"/>
    <x v="3"/>
    <s v="cancelled"/>
    <s v="United States"/>
    <s v="Texas"/>
    <s v="Valid"/>
    <s v="Port Jason"/>
  </r>
  <r>
    <s v="#2796"/>
    <n v="1"/>
    <d v="2026-08-04T14:06:53"/>
    <d v="2026-08-04T14:06:53"/>
    <s v="Christopher Osborne"/>
    <x v="0"/>
    <s v="christopher.osborne481@yahoo.com"/>
    <s v="Hooded Sweatshirt"/>
    <x v="5"/>
    <s v="Apparel"/>
    <x v="6"/>
    <n v="1"/>
    <n v="34.99"/>
    <n v="34.99"/>
    <m/>
    <x v="0"/>
    <n v="0"/>
    <n v="0"/>
    <s v="Number"/>
    <n v="5.99"/>
    <n v="5.99"/>
    <n v="40.98"/>
    <n v="40.98"/>
    <n v="40.980000000000004"/>
    <s v="True"/>
    <s v="Normal"/>
    <s v="Credit Card"/>
    <x v="0"/>
    <s v="fulfilled"/>
    <s v="United States"/>
    <s v="North Carolina"/>
    <s v="Valid"/>
    <s v="Ricardomouth"/>
  </r>
  <r>
    <s v="#2810"/>
    <n v="1"/>
    <d v="2026-04-08T00:00:00"/>
    <s v="08/04/2026"/>
    <s v="Jennifer Lee"/>
    <x v="0"/>
    <s v="jennifer.lee321@icloud.com"/>
    <s v="Hooded Sweatshirt"/>
    <x v="5"/>
    <s v="Apparel"/>
    <x v="6"/>
    <n v="1"/>
    <n v="34.99"/>
    <n v="34.99"/>
    <s v="WELCOME10"/>
    <x v="1"/>
    <n v="3.5"/>
    <n v="3.5"/>
    <s v="Number"/>
    <n v="7.99"/>
    <n v="7.99"/>
    <n v="39.479999999999997"/>
    <n v="39.479999999999997"/>
    <n v="39.480000000000004"/>
    <s v="True"/>
    <s v="Normal"/>
    <s v="PayPal"/>
    <x v="0"/>
    <s v="fulfilled"/>
    <s v="United Kingdom"/>
    <m/>
    <s v="Not Required"/>
    <s v="Natashaview"/>
  </r>
  <r>
    <s v="#2840"/>
    <n v="1"/>
    <d v="2026-08-04T14:06:53"/>
    <d v="2026-08-04T14:06:53"/>
    <s v="Karen Jones"/>
    <x v="0"/>
    <s v="karen.jones794@outlook.com"/>
    <s v="Hooded Sweatshirt"/>
    <x v="5"/>
    <s v="Apparel"/>
    <x v="6"/>
    <n v="1"/>
    <n v="34.99"/>
    <n v="34.99"/>
    <s v="BFCM25"/>
    <x v="3"/>
    <s v="$8.75"/>
    <n v="8.75"/>
    <s v="Number"/>
    <n v="4.99"/>
    <n v="4.99"/>
    <n v="31.23"/>
    <n v="31.23"/>
    <n v="31.230000000000004"/>
    <s v="True"/>
    <s v="Normal"/>
    <s v="PayPal"/>
    <x v="0"/>
    <s v="pending"/>
    <s v="Australia"/>
    <m/>
    <s v="Not Required"/>
    <s v="Robertsfort"/>
  </r>
  <r>
    <s v="#2865"/>
    <n v="1"/>
    <d v="2026-08-04T13:58:30"/>
    <d v="2026-08-04T13:58:30"/>
    <s v="Sharon Brown"/>
    <x v="1"/>
    <m/>
    <s v="Hooded Sweatshirt"/>
    <x v="5"/>
    <s v="Apparel"/>
    <x v="6"/>
    <n v="1"/>
    <n v="34.99"/>
    <n v="34.99"/>
    <s v="WELCOME10"/>
    <x v="1"/>
    <n v="3.5"/>
    <n v="3.5"/>
    <s v="Number"/>
    <n v="7.99"/>
    <n v="7.99"/>
    <n v="39.479999999999997"/>
    <n v="39.479999999999997"/>
    <n v="39.480000000000004"/>
    <s v="True"/>
    <s v="Normal"/>
    <s v="PayPal"/>
    <x v="0"/>
    <s v="fulfilled"/>
    <s v="United States"/>
    <s v="North Carolina"/>
    <s v="Valid"/>
    <s v="New Lisaton"/>
  </r>
  <r>
    <s v="#2867"/>
    <n v="1"/>
    <d v="2026-08-04T14:02:55"/>
    <d v="2026-08-04T14:02:55"/>
    <s v="Michele Davis"/>
    <x v="0"/>
    <s v="michele.davis844@gmail.com"/>
    <s v="Hooded Sweatshirt"/>
    <x v="5"/>
    <s v="Apparel"/>
    <x v="6"/>
    <n v="3"/>
    <s v="$34.99"/>
    <n v="34.99"/>
    <m/>
    <x v="0"/>
    <n v="0"/>
    <n v="0"/>
    <s v="Number"/>
    <n v="0"/>
    <n v="0"/>
    <n v="104.97"/>
    <n v="104.97"/>
    <n v="104.97"/>
    <s v="True"/>
    <s v="Outlier"/>
    <s v="Credit Card"/>
    <x v="1"/>
    <s v="cancelled"/>
    <s v="Australia"/>
    <m/>
    <s v="Not Required"/>
    <s v="Bonillaside"/>
  </r>
  <r>
    <s v="#2875"/>
    <n v="1"/>
    <d v="2026-08-04T13:54:12"/>
    <d v="2026-08-04T13:54:12"/>
    <s v="Monique Bowman"/>
    <x v="0"/>
    <s v="monique.bowman430@gmail.com"/>
    <s v="Hooded Sweatshirt"/>
    <x v="5"/>
    <s v="Apparel"/>
    <x v="6"/>
    <n v="1"/>
    <n v="34.99"/>
    <n v="34.99"/>
    <s v="VIP15 "/>
    <x v="4"/>
    <n v="5.25"/>
    <n v="5.25"/>
    <s v="Number"/>
    <n v="5.99"/>
    <n v="5.99"/>
    <s v="$35.73"/>
    <n v="35.729999999999997"/>
    <n v="35.730000000000004"/>
    <s v="True"/>
    <s v="Normal"/>
    <s v="Google Pay"/>
    <x v="0"/>
    <s v="fulfilled"/>
    <s v="United States"/>
    <s v="California"/>
    <s v="Valid"/>
    <s v="Cardenaston"/>
  </r>
  <r>
    <s v="#2881"/>
    <n v="1"/>
    <d v="2026-08-04T14:01:38"/>
    <d v="2026-08-04T14:01:38"/>
    <s v="Tina Crane"/>
    <x v="0"/>
    <s v="tina.crane554@gmail.com"/>
    <s v="Hooded Sweatshirt"/>
    <x v="5"/>
    <s v="Apparel"/>
    <x v="6"/>
    <n v="1"/>
    <n v="34.99"/>
    <n v="34.99"/>
    <m/>
    <x v="0"/>
    <n v="0"/>
    <n v="0"/>
    <s v="Number"/>
    <n v="7.99"/>
    <n v="7.99"/>
    <n v="42.98"/>
    <n v="42.98"/>
    <n v="42.980000000000004"/>
    <s v="True"/>
    <s v="Normal"/>
    <s v="Credit Card"/>
    <x v="3"/>
    <s v="pending"/>
    <s v="United Kingdom"/>
    <m/>
    <s v="Not Required"/>
    <s v="East Briannamouth"/>
  </r>
  <r>
    <s v="#2884"/>
    <n v="1"/>
    <d v="2026-08-04T14:04:11"/>
    <d v="2026-08-04T14:04:11"/>
    <s v="Shopify Test"/>
    <x v="0"/>
    <s v="test@test.com"/>
    <s v="Hooded Sweatshirt"/>
    <x v="5"/>
    <s v="Apparel"/>
    <x v="6"/>
    <n v="1"/>
    <n v="34.99"/>
    <n v="34.99"/>
    <m/>
    <x v="0"/>
    <n v="0"/>
    <n v="0"/>
    <s v="Number"/>
    <n v="5.99"/>
    <n v="5.99"/>
    <n v="0"/>
    <n v="0"/>
    <n v="40.980000000000004"/>
    <s v="False"/>
    <s v="Normal"/>
    <s v="Google Pay"/>
    <x v="0"/>
    <s v="pending"/>
    <s v="United States"/>
    <s v="Arizona"/>
    <s v="Valid"/>
    <s v="New Emilystad"/>
  </r>
  <r>
    <s v="#2920"/>
    <n v="1"/>
    <d v="2026-08-04T13:53:48"/>
    <d v="2026-08-04T13:53:48"/>
    <s v="JENNIFER BURKE"/>
    <x v="0"/>
    <s v="jennifer.burke472@icloud.com"/>
    <s v="Hooded Sweatshirt"/>
    <x v="5"/>
    <s v="Apparel"/>
    <x v="6"/>
    <n v="1"/>
    <n v="34.99"/>
    <n v="34.99"/>
    <m/>
    <x v="0"/>
    <s v="$0.00"/>
    <n v="0"/>
    <s v="Number"/>
    <n v="4.99"/>
    <n v="4.99"/>
    <s v="$39.98"/>
    <n v="39.979999999999997"/>
    <n v="39.980000000000004"/>
    <s v="True"/>
    <s v="Normal"/>
    <s v="Credit Card"/>
    <x v="0"/>
    <s v="pending"/>
    <s v="Pakistan"/>
    <m/>
    <s v="Not Required"/>
    <s v="Johnnyland"/>
  </r>
  <r>
    <s v="#2943"/>
    <n v="1"/>
    <d v="2026-08-04T14:02:02"/>
    <d v="2026-08-04T14:02:02"/>
    <s v="Dustin Mccoy"/>
    <x v="0"/>
    <s v="dustin.mccoy570@gmail.com"/>
    <s v="Hooded Sweatshirt"/>
    <x v="5"/>
    <s v="Apparel"/>
    <x v="6"/>
    <n v="3"/>
    <s v="$34.99"/>
    <n v="34.99"/>
    <s v="FREESHIP"/>
    <x v="5"/>
    <n v="0"/>
    <n v="0"/>
    <s v="Number"/>
    <n v="0"/>
    <n v="0"/>
    <n v="104.97"/>
    <n v="104.97"/>
    <n v="104.97"/>
    <s v="True"/>
    <s v="Outlier"/>
    <s v="PayPal"/>
    <x v="0"/>
    <s v="fulfilled"/>
    <s v="Canada"/>
    <m/>
    <s v="Not Required"/>
    <s v="Isaiahport"/>
  </r>
  <r>
    <s v="#2980"/>
    <n v="1"/>
    <d v="2026-04-08T00:00:00"/>
    <s v="08/04/2026"/>
    <s v="Darin Alvarez"/>
    <x v="0"/>
    <s v="darin.alvarez843@gmail.com"/>
    <s v="Hooded Sweatshirt"/>
    <x v="5"/>
    <s v="Apparel"/>
    <x v="6"/>
    <n v="1"/>
    <n v="34.99"/>
    <n v="34.99"/>
    <s v="SAVE20"/>
    <x v="2"/>
    <n v="7"/>
    <n v="7"/>
    <s v="Number"/>
    <n v="4.99"/>
    <n v="4.99"/>
    <n v="32.979999999999997"/>
    <n v="32.979999999999997"/>
    <n v="32.980000000000004"/>
    <s v="True"/>
    <s v="Normal"/>
    <s v="PayPal"/>
    <x v="0"/>
    <s v="fulfilled"/>
    <s v="Canada"/>
    <m/>
    <s v="Not Required"/>
    <s v="Taylorville"/>
  </r>
  <r>
    <s v="#2981"/>
    <n v="1"/>
    <d v="2026-08-04T00:00:00"/>
    <s v="04-08-2026 13:55"/>
    <s v="Chad Smith"/>
    <x v="0"/>
    <s v="chad.smith773@icloud.com"/>
    <s v="Hooded Sweatshirt"/>
    <x v="5"/>
    <s v="Apparel"/>
    <x v="6"/>
    <n v="1"/>
    <n v="34.99"/>
    <n v="34.99"/>
    <s v="VIP15"/>
    <x v="4"/>
    <n v="5.25"/>
    <n v="5.25"/>
    <s v="Number"/>
    <n v="7.99"/>
    <n v="7.99"/>
    <n v="37.729999999999997"/>
    <n v="37.729999999999997"/>
    <n v="37.730000000000004"/>
    <s v="True"/>
    <s v="Normal"/>
    <s v="PayPal"/>
    <x v="1"/>
    <s v="fulfilled"/>
    <s v="Pakistan"/>
    <m/>
    <s v="Not Required"/>
    <s v="Andreamouth"/>
  </r>
  <r>
    <s v="#2984"/>
    <n v="1"/>
    <d v="2026-08-04T00:00:00"/>
    <s v="04-08-2026 13:56"/>
    <s v="Robert Ramsey"/>
    <x v="0"/>
    <s v="robert.ramsey440@outlook.com"/>
    <s v="Hooded Sweatshirt"/>
    <x v="5"/>
    <s v="Apparel"/>
    <x v="6"/>
    <n v="1"/>
    <n v="34.99"/>
    <n v="34.99"/>
    <s v="WELCOME10"/>
    <x v="1"/>
    <s v="$3.50"/>
    <n v="3.5"/>
    <s v="Number"/>
    <n v="4.99"/>
    <n v="4.99"/>
    <n v="36.479999999999997"/>
    <n v="36.479999999999997"/>
    <n v="36.480000000000004"/>
    <s v="True"/>
    <s v="Normal"/>
    <s v="Apple Pay"/>
    <x v="0"/>
    <s v="cancelled"/>
    <s v="Canada"/>
    <m/>
    <s v="Not Required"/>
    <s v="Garrettland"/>
  </r>
  <r>
    <s v="#1035"/>
    <n v="1"/>
    <d v="2026-08-04T13:59:37"/>
    <d v="2026-08-04T13:59:37"/>
    <s v="Glenn Smith"/>
    <x v="0"/>
    <s v="glenn.smith305@gmail.com"/>
    <s v="Kids Building Blocks Set"/>
    <x v="6"/>
    <s v="Toys"/>
    <x v="7"/>
    <n v="2"/>
    <n v="27.99"/>
    <n v="27.99"/>
    <m/>
    <x v="0"/>
    <n v="0"/>
    <n v="0"/>
    <s v="Number"/>
    <n v="5.99"/>
    <n v="5.99"/>
    <n v="61.97"/>
    <n v="61.97"/>
    <n v="61.97"/>
    <s v="True"/>
    <s v="Normal"/>
    <s v="PayPal"/>
    <x v="0"/>
    <s v="fulfilled"/>
    <s v="Canada"/>
    <m/>
    <s v="Not Required"/>
    <s v="East Jeffreybury"/>
  </r>
  <r>
    <s v="#1059"/>
    <n v="1"/>
    <d v="2026-08-04T14:05:24"/>
    <d v="2026-08-04T14:05:24"/>
    <s v="William Houston"/>
    <x v="0"/>
    <s v="william.houston340@outlook.com"/>
    <s v="Kids Building Blocks Set"/>
    <x v="6"/>
    <s v="Toys"/>
    <x v="7"/>
    <n v="1"/>
    <n v="27.99"/>
    <n v="27.99"/>
    <m/>
    <x v="0"/>
    <n v="0"/>
    <n v="0"/>
    <s v="Number"/>
    <n v="5.99"/>
    <n v="5.99"/>
    <n v="33.979999999999997"/>
    <n v="33.979999999999997"/>
    <n v="33.979999999999997"/>
    <s v="True"/>
    <s v="Normal"/>
    <s v="Apple Pay"/>
    <x v="2"/>
    <s v="fulfilled"/>
    <s v="United States"/>
    <s v="TX"/>
    <s v="Valid"/>
    <s v="Mooreport"/>
  </r>
  <r>
    <s v="#1098"/>
    <n v="1"/>
    <d v="2026-08-04T00:00:00"/>
    <s v="04-08-2026 13:58"/>
    <s v="Timothy Becker"/>
    <x v="0"/>
    <s v="timothy.becker88@yahoo.com"/>
    <s v="Kids Building Blocks Set"/>
    <x v="6"/>
    <s v="Toys"/>
    <x v="7"/>
    <n v="2"/>
    <n v="27.99"/>
    <n v="27.99"/>
    <m/>
    <x v="0"/>
    <n v="0"/>
    <n v="0"/>
    <s v="Number"/>
    <n v="7.99"/>
    <n v="7.99"/>
    <n v="63.97"/>
    <n v="63.97"/>
    <n v="63.97"/>
    <s v="True"/>
    <s v="Normal"/>
    <s v="Google Pay"/>
    <x v="3"/>
    <s v="fulfilled"/>
    <s v="United States"/>
    <s v="California"/>
    <s v="Valid"/>
    <s v="New Richardmouth"/>
  </r>
  <r>
    <s v="#1108"/>
    <n v="1"/>
    <d v="2026-08-04T14:04:53"/>
    <d v="2026-08-04T14:04:53"/>
    <s v="George Gould"/>
    <x v="0"/>
    <s v="george.gould10@yahoo.com"/>
    <s v="Kids Building Blocks Set"/>
    <x v="6"/>
    <s v="Toys"/>
    <x v="7"/>
    <n v="2"/>
    <n v="27.99"/>
    <n v="27.99"/>
    <s v="FREESHIP"/>
    <x v="5"/>
    <n v="0"/>
    <n v="0"/>
    <s v="Number"/>
    <n v="0"/>
    <n v="0"/>
    <n v="55.98"/>
    <n v="55.98"/>
    <n v="55.98"/>
    <s v="True"/>
    <s v="Normal"/>
    <s v="PayPal"/>
    <x v="1"/>
    <s v="fulfilled"/>
    <s v="Canada"/>
    <m/>
    <s v="Not Required"/>
    <s v="Sierrastad"/>
  </r>
  <r>
    <s v="#1116"/>
    <n v="1"/>
    <d v="2026-08-04T14:01:53"/>
    <d v="2026-08-04T14:01:53"/>
    <s v="Arthur Kelley"/>
    <x v="0"/>
    <s v="arthur.kelley558@gmail.com"/>
    <s v="Kids Building Blocks Set"/>
    <x v="6"/>
    <s v="Toys"/>
    <x v="7"/>
    <n v="1"/>
    <n v="27.99"/>
    <n v="27.99"/>
    <s v="SAVE20"/>
    <x v="2"/>
    <n v="5.6"/>
    <n v="5.6"/>
    <s v="Number"/>
    <n v="4.99"/>
    <n v="4.99"/>
    <n v="27.38"/>
    <n v="27.38"/>
    <n v="27.380000000000003"/>
    <s v="True"/>
    <s v="Normal"/>
    <s v="PayPal"/>
    <x v="0"/>
    <s v="pending"/>
    <s v="Australia"/>
    <m/>
    <s v="Not Required"/>
    <s v="Mooreport"/>
  </r>
  <r>
    <s v="#1124"/>
    <n v="1"/>
    <d v="2026-08-04T14:01:22"/>
    <d v="2026-08-04T14:01:22"/>
    <s v="  Daniel Parsons"/>
    <x v="0"/>
    <s v="daniel.parsons636@gmail.com"/>
    <s v="Kids Building Blocks Set"/>
    <x v="6"/>
    <s v="Toys"/>
    <x v="7"/>
    <n v="3"/>
    <n v="27.99"/>
    <n v="27.99"/>
    <s v="SAVE20"/>
    <x v="2"/>
    <s v="$16.79"/>
    <n v="16.79"/>
    <s v="Number"/>
    <n v="0"/>
    <n v="0"/>
    <n v="67.180000000000007"/>
    <n v="67.180000000000007"/>
    <n v="67.180000000000007"/>
    <s v="True"/>
    <s v="Normal"/>
    <s v="Shopify Payments"/>
    <x v="3"/>
    <s v="fulfilled"/>
    <s v="United States"/>
    <s v="North Carolina"/>
    <s v="Valid"/>
    <s v="Jeffreyberg"/>
  </r>
  <r>
    <s v="#1136"/>
    <n v="1"/>
    <d v="2026-08-04T13:58:58"/>
    <d v="2026-08-04T13:58:58"/>
    <s v="Lori Davis"/>
    <x v="0"/>
    <s v="lori.davis757@yahoo.com"/>
    <s v="Kids Building Blocks Set"/>
    <x v="6"/>
    <s v="Toys"/>
    <x v="7"/>
    <n v="1"/>
    <n v="27.99"/>
    <n v="27.99"/>
    <m/>
    <x v="0"/>
    <n v="0"/>
    <n v="0"/>
    <s v="Number"/>
    <n v="7.99"/>
    <n v="7.99"/>
    <n v="35.979999999999997"/>
    <n v="35.979999999999997"/>
    <n v="35.979999999999997"/>
    <s v="True"/>
    <s v="Normal"/>
    <s v="Shopify Payments"/>
    <x v="0"/>
    <s v="cancelled"/>
    <s v="Germany"/>
    <m/>
    <s v="Not Required"/>
    <s v="Harveymouth"/>
  </r>
  <r>
    <s v="#1164"/>
    <n v="1"/>
    <d v="2026-08-04T14:05:00"/>
    <d v="2026-08-04T14:05:00"/>
    <s v="Timothy Hodges"/>
    <x v="0"/>
    <s v="timothy.hodges687@icloud.com"/>
    <s v="Kids Building Blocks Set"/>
    <x v="6"/>
    <s v="Toys"/>
    <x v="7"/>
    <n v="1"/>
    <n v="27.99"/>
    <n v="27.99"/>
    <s v="WELCOME10"/>
    <x v="1"/>
    <n v="2.8"/>
    <n v="2.8"/>
    <s v="Number"/>
    <n v="5.99"/>
    <n v="5.99"/>
    <n v="31.18"/>
    <n v="31.18"/>
    <n v="31.18"/>
    <s v="True"/>
    <s v="Normal"/>
    <s v="PayPal"/>
    <x v="2"/>
    <s v="cancelled"/>
    <s v="Australia"/>
    <m/>
    <s v="Not Required"/>
    <s v="New Steveberg"/>
  </r>
  <r>
    <s v="#1214"/>
    <n v="1"/>
    <d v="2026-08-04T14:06:27"/>
    <d v="2026-08-04T14:06:27"/>
    <s v="Lauren Nguyen"/>
    <x v="0"/>
    <s v="lauren.nguyen819@outlook.com"/>
    <s v="Kids Building Blocks Set"/>
    <x v="6"/>
    <s v="Toys"/>
    <x v="7"/>
    <n v="2"/>
    <n v="27.99"/>
    <n v="27.99"/>
    <s v="FREESHIP"/>
    <x v="5"/>
    <n v="0"/>
    <n v="0"/>
    <s v="Number"/>
    <n v="0"/>
    <n v="0"/>
    <n v="55.98"/>
    <n v="55.98"/>
    <n v="55.98"/>
    <s v="True"/>
    <s v="Normal"/>
    <s v="PayPal"/>
    <x v="2"/>
    <s v="pending"/>
    <s v="United Kingdom"/>
    <m/>
    <s v="Not Required"/>
    <s v="Lake Sarahfurt"/>
  </r>
  <r>
    <s v="#1226"/>
    <n v="1"/>
    <d v="2026-08-04T00:00:00"/>
    <s v="Aug 04, 2026"/>
    <s v="Sara Sims"/>
    <x v="0"/>
    <s v="sara.sims992@icloud.com"/>
    <s v="Kids Building Blocks Set"/>
    <x v="6"/>
    <s v="Toys"/>
    <x v="7"/>
    <n v="1"/>
    <n v="27.99"/>
    <n v="27.99"/>
    <m/>
    <x v="0"/>
    <n v="0"/>
    <n v="0"/>
    <s v="Number"/>
    <n v="4.99"/>
    <n v="4.99"/>
    <n v="32.979999999999997"/>
    <n v="32.979999999999997"/>
    <n v="32.979999999999997"/>
    <s v="True"/>
    <s v="Normal"/>
    <s v="PayPal"/>
    <x v="2"/>
    <s v="refunded"/>
    <s v="Germany"/>
    <m/>
    <s v="Not Required"/>
    <s v="Waremouth"/>
  </r>
  <r>
    <s v="#1234"/>
    <n v="1"/>
    <d v="2026-08-04T14:03:03"/>
    <d v="2026-08-04T14:03:03"/>
    <s v="Gerald Li"/>
    <x v="0"/>
    <s v="gerald.li856@icloud.com"/>
    <s v="Kids Building Blocks Set"/>
    <x v="6"/>
    <s v="Toys"/>
    <x v="7"/>
    <n v="2"/>
    <n v="27.99"/>
    <n v="27.99"/>
    <m/>
    <x v="0"/>
    <n v="0"/>
    <n v="0"/>
    <s v="Number"/>
    <n v="4.99"/>
    <n v="4.99"/>
    <n v="60.97"/>
    <n v="60.97"/>
    <n v="60.97"/>
    <s v="True"/>
    <s v="Normal"/>
    <s v="Shopify Payments"/>
    <x v="0"/>
    <s v="pending"/>
    <s v="United States"/>
    <s v="Ohio"/>
    <s v="Valid"/>
    <s v="Jennifertown"/>
  </r>
  <r>
    <s v="#1283"/>
    <n v="1"/>
    <d v="2026-04-08T00:00:00"/>
    <s v="08/04/2026"/>
    <s v="Anthony Mullen"/>
    <x v="0"/>
    <s v="anthony.mullen523@yahoo.com"/>
    <s v="Kids Building Blocks Set"/>
    <x v="6"/>
    <s v="Toys"/>
    <x v="7"/>
    <n v="2"/>
    <n v="27.99"/>
    <n v="27.99"/>
    <m/>
    <x v="0"/>
    <n v="0"/>
    <n v="0"/>
    <s v="Number"/>
    <n v="5.99"/>
    <n v="5.99"/>
    <n v="61.97"/>
    <n v="61.97"/>
    <n v="61.97"/>
    <s v="True"/>
    <s v="Normal"/>
    <s v="Google Pay"/>
    <x v="2"/>
    <s v="fulfilled"/>
    <s v="United States"/>
    <s v="Arizona"/>
    <s v="Valid"/>
    <s v="East Brandi"/>
  </r>
  <r>
    <s v="#1301"/>
    <n v="1"/>
    <d v="2026-08-04T14:08:06"/>
    <d v="2026-08-04T14:08:06"/>
    <s v="Kayla Cruz"/>
    <x v="0"/>
    <s v="kayla.cruz151@outlook.com"/>
    <s v="Kids Building Blocks Set  "/>
    <x v="6"/>
    <s v="Toys"/>
    <x v="7"/>
    <n v="1"/>
    <n v="27.99"/>
    <n v="27.99"/>
    <s v="WELCOME10"/>
    <x v="1"/>
    <n v="2.8"/>
    <n v="2.8"/>
    <s v="Number"/>
    <n v="5.99"/>
    <n v="5.99"/>
    <n v="31.18"/>
    <n v="31.18"/>
    <n v="31.18"/>
    <s v="True"/>
    <s v="Normal"/>
    <s v="Google Pay"/>
    <x v="0"/>
    <s v="refunded"/>
    <s v="Pakistan"/>
    <m/>
    <s v="Not Required"/>
    <s v="Ronaldport"/>
  </r>
  <r>
    <s v="#1374"/>
    <n v="1"/>
    <d v="2026-08-04T13:58:10"/>
    <d v="2026-08-04T13:58:10"/>
    <s v="Tyler Williams"/>
    <x v="1"/>
    <m/>
    <s v="Kids Building Blocks Set"/>
    <x v="6"/>
    <s v="Toys"/>
    <x v="7"/>
    <n v="2"/>
    <n v="27.99"/>
    <n v="27.99"/>
    <s v="BFCM25"/>
    <x v="3"/>
    <n v="13.99"/>
    <n v="13.99"/>
    <s v="Number"/>
    <n v="5.99"/>
    <n v="5.99"/>
    <n v="47.98"/>
    <n v="47.98"/>
    <n v="47.98"/>
    <s v="True"/>
    <s v="Normal"/>
    <s v="Shopify Payments"/>
    <x v="3"/>
    <s v="fulfilled"/>
    <s v="Australia"/>
    <m/>
    <s v="Not Required"/>
    <s v="Kellyfort"/>
  </r>
  <r>
    <s v="#1409"/>
    <n v="1"/>
    <d v="2026-08-04T13:56:25"/>
    <d v="2026-08-04T13:56:25"/>
    <s v="Kristina Thompson"/>
    <x v="0"/>
    <s v="kristina.thompson501@icloud.com"/>
    <s v="Kids Building Blocks Set"/>
    <x v="6"/>
    <s v="Toys"/>
    <x v="7"/>
    <n v="1"/>
    <n v="27.99"/>
    <n v="27.99"/>
    <m/>
    <x v="0"/>
    <n v="0"/>
    <n v="0"/>
    <s v="Number"/>
    <n v="5.99"/>
    <n v="5.99"/>
    <n v="33.979999999999997"/>
    <n v="33.979999999999997"/>
    <n v="33.979999999999997"/>
    <s v="True"/>
    <s v="Normal"/>
    <s v="Shopify Payments"/>
    <x v="0"/>
    <s v="fulfilled"/>
    <s v="United States"/>
    <s v="California"/>
    <s v="Valid"/>
    <s v="West Anaton"/>
  </r>
  <r>
    <s v="#1412"/>
    <n v="1"/>
    <d v="2026-04-08T00:00:00"/>
    <s v="08/04/2026"/>
    <s v="Kaitlyn Hernandez"/>
    <x v="1"/>
    <m/>
    <s v="Kids Building Blocks Set"/>
    <x v="6"/>
    <s v="Toys"/>
    <x v="7"/>
    <n v="1"/>
    <n v="27.99"/>
    <n v="27.99"/>
    <s v="FREESHIP"/>
    <x v="5"/>
    <n v="0"/>
    <n v="0"/>
    <s v="Number"/>
    <n v="0"/>
    <n v="0"/>
    <n v="27.99"/>
    <n v="27.99"/>
    <n v="27.99"/>
    <s v="True"/>
    <s v="Normal"/>
    <s v="Credit Card"/>
    <x v="3"/>
    <s v="cancelled"/>
    <s v="Germany"/>
    <m/>
    <s v="Not Required"/>
    <s v="East Ashleyland"/>
  </r>
  <r>
    <s v="#1419"/>
    <n v="1"/>
    <d v="2026-04-08T00:00:00"/>
    <s v="08/04/2026"/>
    <s v="Jordan Wilkins"/>
    <x v="0"/>
    <s v="jordan.wilkins318@outlook.com"/>
    <s v="Kids Building Blocks Set"/>
    <x v="6"/>
    <s v="Toys"/>
    <x v="7"/>
    <n v="1"/>
    <s v="$27.99"/>
    <n v="27.99"/>
    <m/>
    <x v="0"/>
    <n v="0"/>
    <n v="0"/>
    <s v="Number"/>
    <n v="4.99"/>
    <n v="4.99"/>
    <n v="32.979999999999997"/>
    <n v="32.979999999999997"/>
    <n v="32.979999999999997"/>
    <s v="True"/>
    <s v="Normal"/>
    <s v="Apple Pay"/>
    <x v="0"/>
    <s v="fulfilled"/>
    <s v="Pakistan"/>
    <m/>
    <s v="Not Required"/>
    <s v="Lake Nicholas"/>
  </r>
  <r>
    <s v="#1446"/>
    <n v="1"/>
    <d v="2026-08-04T00:00:00"/>
    <s v="2026-08-04"/>
    <s v="Timothy Santos"/>
    <x v="0"/>
    <s v="timothy.santos549@outlook.com"/>
    <s v="Kids Building Blocks Set"/>
    <x v="6"/>
    <s v="Toys"/>
    <x v="7"/>
    <n v="1"/>
    <n v="27.99"/>
    <n v="27.99"/>
    <m/>
    <x v="0"/>
    <n v="0"/>
    <n v="0"/>
    <s v="Number"/>
    <n v="7.99"/>
    <n v="7.99"/>
    <n v="35.979999999999997"/>
    <n v="35.979999999999997"/>
    <n v="35.979999999999997"/>
    <s v="True"/>
    <s v="Normal"/>
    <s v="Credit Card"/>
    <x v="0"/>
    <s v="fulfilled"/>
    <s v="United Kingdom"/>
    <m/>
    <s v="Not Required"/>
    <s v="Kellyside"/>
  </r>
  <r>
    <s v="#1459"/>
    <n v="1"/>
    <d v="2026-08-04T14:02:04"/>
    <d v="2026-08-04T14:02:04"/>
    <s v="Karen Bautista"/>
    <x v="0"/>
    <s v="karen.bautista779@icloud.com"/>
    <s v="Kids Building Blocks Set"/>
    <x v="6"/>
    <s v="Toys"/>
    <x v="7"/>
    <n v="1"/>
    <n v="27.99"/>
    <n v="27.99"/>
    <m/>
    <x v="0"/>
    <n v="0"/>
    <n v="0"/>
    <s v="Number"/>
    <n v="4.99"/>
    <n v="4.99"/>
    <n v="32.979999999999997"/>
    <n v="32.979999999999997"/>
    <n v="32.979999999999997"/>
    <s v="True"/>
    <s v="Normal"/>
    <s v="Shopify Payments"/>
    <x v="0"/>
    <s v="fulfilled"/>
    <s v="United States"/>
    <s v="IL"/>
    <s v="Valid"/>
    <s v="Nicholsonshire"/>
  </r>
  <r>
    <s v="#1462"/>
    <n v="1"/>
    <d v="2026-08-04T14:04:27"/>
    <d v="2026-08-04T14:04:27"/>
    <s v="Megan Herman"/>
    <x v="0"/>
    <s v="megan.herman268@yahoo.com"/>
    <s v="Kids Building Blocks Set"/>
    <x v="6"/>
    <s v="Toys"/>
    <x v="7"/>
    <n v="1"/>
    <s v="$27.99"/>
    <n v="27.99"/>
    <m/>
    <x v="0"/>
    <n v="0"/>
    <n v="0"/>
    <s v="Number"/>
    <n v="5.99"/>
    <n v="5.99"/>
    <s v="$33.98"/>
    <n v="33.979999999999997"/>
    <n v="33.979999999999997"/>
    <s v="True"/>
    <s v="Normal"/>
    <s v="Credit Card"/>
    <x v="0"/>
    <s v="refunded"/>
    <s v="United States"/>
    <s v="Georgia"/>
    <s v="Valid"/>
    <s v="Ingramfurt"/>
  </r>
  <r>
    <s v="#1499"/>
    <n v="1"/>
    <d v="2026-08-04T13:59:02"/>
    <d v="2026-08-04T13:59:02"/>
    <s v="Monica Becker"/>
    <x v="0"/>
    <s v="monica.becker291@outlook.com"/>
    <s v="Kids Building Blocks Set"/>
    <x v="6"/>
    <s v="Toys"/>
    <x v="7"/>
    <n v="1"/>
    <n v="27.99"/>
    <n v="27.99"/>
    <m/>
    <x v="0"/>
    <n v="0"/>
    <n v="0"/>
    <s v="Number"/>
    <n v="7.99"/>
    <n v="7.99"/>
    <n v="35.979999999999997"/>
    <n v="35.979999999999997"/>
    <n v="35.979999999999997"/>
    <s v="True"/>
    <s v="Normal"/>
    <s v="PayPal"/>
    <x v="1"/>
    <s v="fulfilled"/>
    <s v="Canada"/>
    <m/>
    <s v="Not Required"/>
    <s v="North Terry"/>
  </r>
  <r>
    <s v="#1505"/>
    <n v="1"/>
    <d v="2026-08-04T13:53:34"/>
    <d v="2026-08-04T13:53:34"/>
    <s v="Tina Singh"/>
    <x v="0"/>
    <s v="tina.singh98@icloud.com"/>
    <s v="Kids Building Blocks Set"/>
    <x v="6"/>
    <s v="Toys"/>
    <x v="7"/>
    <n v="1"/>
    <n v="27.99"/>
    <n v="27.99"/>
    <s v="SAVE20"/>
    <x v="2"/>
    <n v="5.6"/>
    <n v="5.6"/>
    <s v="Number"/>
    <n v="4.99"/>
    <n v="4.99"/>
    <n v="27.38"/>
    <n v="27.38"/>
    <n v="27.380000000000003"/>
    <s v="True"/>
    <s v="Normal"/>
    <s v="Shopify Payments"/>
    <x v="0"/>
    <s v="fulfilled"/>
    <s v="United States"/>
    <s v="Florida"/>
    <s v="Valid"/>
    <s v="Johnside"/>
  </r>
  <r>
    <s v="#1516"/>
    <n v="1"/>
    <d v="2026-08-04T13:54:20"/>
    <d v="2026-08-04T13:54:20"/>
    <s v="Jessica Garcia"/>
    <x v="0"/>
    <s v="jessica.garcia931@gmail.com"/>
    <s v="Kids Building Blocks Set"/>
    <x v="6"/>
    <s v="Toys"/>
    <x v="7"/>
    <n v="1"/>
    <n v="27.99"/>
    <n v="27.99"/>
    <m/>
    <x v="0"/>
    <n v="0"/>
    <n v="0"/>
    <s v="Number"/>
    <n v="4.99"/>
    <n v="4.99"/>
    <n v="32.979999999999997"/>
    <n v="32.979999999999997"/>
    <n v="32.979999999999997"/>
    <s v="True"/>
    <s v="Normal"/>
    <s v="Credit Card"/>
    <x v="2"/>
    <s v="fulfilled"/>
    <s v="United States"/>
    <s v="Washington"/>
    <s v="Valid"/>
    <s v="West Bridget"/>
  </r>
  <r>
    <s v="#1526"/>
    <n v="1"/>
    <d v="2026-08-04T14:02:57"/>
    <d v="2026-08-04T14:02:57"/>
    <s v="Michael Perez"/>
    <x v="0"/>
    <s v="michael.perez206@gmail.com"/>
    <s v="Kids Building Blocks Set"/>
    <x v="6"/>
    <s v="Toys"/>
    <x v="7"/>
    <n v="2"/>
    <n v="27.99"/>
    <n v="27.99"/>
    <s v="VIP15"/>
    <x v="4"/>
    <n v="8.4"/>
    <n v="8.4"/>
    <s v="Number"/>
    <n v="7.99"/>
    <n v="7.99"/>
    <n v="55.57"/>
    <n v="55.57"/>
    <n v="55.57"/>
    <s v="True"/>
    <s v="Normal"/>
    <s v="PayPal"/>
    <x v="0"/>
    <s v="fulfilled"/>
    <s v="Germany"/>
    <m/>
    <s v="Not Required"/>
    <s v="New Danny"/>
  </r>
  <r>
    <s v="#1541"/>
    <n v="1"/>
    <d v="2026-08-04T14:03:09"/>
    <d v="2026-08-04T14:03:09"/>
    <s v="Amanda Robinson"/>
    <x v="0"/>
    <s v="amanda.robinson263@icloud.com"/>
    <s v="Kids Building Blocks Set"/>
    <x v="6"/>
    <s v="Toys"/>
    <x v="7"/>
    <n v="2"/>
    <s v="$27.99"/>
    <n v="27.99"/>
    <m/>
    <x v="0"/>
    <n v="0"/>
    <n v="0"/>
    <s v="Number"/>
    <n v="4.99"/>
    <n v="4.99"/>
    <n v="60.97"/>
    <n v="60.97"/>
    <n v="60.97"/>
    <s v="True"/>
    <s v="Normal"/>
    <s v="Credit Card"/>
    <x v="0"/>
    <s v="fulfilled"/>
    <s v="United States"/>
    <s v="Florida"/>
    <s v="Valid"/>
    <s v="Lake Allenburgh"/>
  </r>
  <r>
    <s v="#1546"/>
    <n v="1"/>
    <d v="2026-08-04T00:00:00"/>
    <s v="Aug 04, 2026"/>
    <s v="Kenneth Coleman"/>
    <x v="0"/>
    <s v="kenneth.coleman447@icloud.com"/>
    <s v="Kids Building Blocks Set"/>
    <x v="6"/>
    <s v="Toys"/>
    <x v="7"/>
    <n v="1"/>
    <n v="27.99"/>
    <n v="27.99"/>
    <s v="FREESHIP"/>
    <x v="5"/>
    <n v="0"/>
    <n v="0"/>
    <s v="Number"/>
    <n v="0"/>
    <n v="0"/>
    <n v="27.99"/>
    <n v="27.99"/>
    <n v="27.99"/>
    <s v="True"/>
    <s v="Normal"/>
    <s v="Google Pay"/>
    <x v="1"/>
    <s v="fulfilled"/>
    <s v="United States"/>
    <s v="California"/>
    <s v="Valid"/>
    <s v="New Amy"/>
  </r>
  <r>
    <s v="#1550"/>
    <n v="1"/>
    <d v="2026-08-04T13:57:00"/>
    <d v="2026-08-04T13:57:00"/>
    <s v="Samantha Robinson"/>
    <x v="0"/>
    <s v="samantha.robinson35@icloud.com"/>
    <s v="Kids Building Blocks Set"/>
    <x v="6"/>
    <s v="Toys"/>
    <x v="7"/>
    <n v="1"/>
    <n v="27.99"/>
    <n v="27.99"/>
    <s v="BFCM25"/>
    <x v="3"/>
    <n v="7"/>
    <n v="7"/>
    <s v="Number"/>
    <n v="5.99"/>
    <n v="5.99"/>
    <n v="26.98"/>
    <n v="26.98"/>
    <n v="26.979999999999997"/>
    <s v="True"/>
    <s v="Normal"/>
    <s v="Apple Pay"/>
    <x v="2"/>
    <s v="pending"/>
    <s v="Australia"/>
    <m/>
    <s v="Not Required"/>
    <s v="Angelastad"/>
  </r>
  <r>
    <s v="#1568"/>
    <n v="1"/>
    <d v="2026-08-04T13:59:08"/>
    <d v="2026-08-04T13:59:08"/>
    <s v="Heather Davis"/>
    <x v="0"/>
    <s v="heather.davis117@icloud.com"/>
    <s v="Kids Building Blocks Set"/>
    <x v="6"/>
    <s v="Toys"/>
    <x v="7"/>
    <n v="1"/>
    <n v="27.99"/>
    <n v="27.99"/>
    <s v="SAVE20"/>
    <x v="2"/>
    <n v="5.6"/>
    <n v="5.6"/>
    <s v="Number"/>
    <n v="7.99"/>
    <n v="7.99"/>
    <n v="30.38"/>
    <n v="30.38"/>
    <n v="30.380000000000003"/>
    <s v="True"/>
    <s v="Normal"/>
    <s v="Apple Pay"/>
    <x v="1"/>
    <s v="cancelled"/>
    <s v="Germany"/>
    <m/>
    <s v="Not Required"/>
    <s v="East Katelynberg"/>
  </r>
  <r>
    <s v="#1627"/>
    <n v="1"/>
    <d v="2026-08-04T14:01:44"/>
    <d v="2026-08-04T14:01:44"/>
    <s v="Cody Murray"/>
    <x v="0"/>
    <s v="cody.murray456@gmail.com"/>
    <s v="Kids Building Blocks Set"/>
    <x v="6"/>
    <s v="Toys"/>
    <x v="7"/>
    <n v="4"/>
    <n v="27.99"/>
    <n v="27.99"/>
    <m/>
    <x v="0"/>
    <n v="0"/>
    <n v="0"/>
    <s v="Number"/>
    <n v="0"/>
    <n v="0"/>
    <n v="111.96"/>
    <n v="111.96"/>
    <n v="111.96"/>
    <s v="True"/>
    <s v="Outlier"/>
    <s v="PayPal"/>
    <x v="0"/>
    <s v="pending"/>
    <s v="United Kingdom"/>
    <m/>
    <s v="Not Required"/>
    <s v="Sierrachester"/>
  </r>
  <r>
    <s v="#1631"/>
    <n v="1"/>
    <d v="2026-08-04T13:59:26"/>
    <d v="2026-08-04T13:59:26"/>
    <s v="Kayla Cruz"/>
    <x v="0"/>
    <s v="kayla.cruz151@outlook.com"/>
    <s v="Kids Building Blocks Set"/>
    <x v="6"/>
    <s v="Toys"/>
    <x v="7"/>
    <n v="1"/>
    <n v="27.99"/>
    <n v="27.99"/>
    <m/>
    <x v="0"/>
    <n v="0"/>
    <n v="0"/>
    <s v="Number"/>
    <n v="7.99"/>
    <n v="7.99"/>
    <n v="35.979999999999997"/>
    <n v="35.979999999999997"/>
    <n v="35.979999999999997"/>
    <s v="True"/>
    <s v="Normal"/>
    <s v="Credit Card"/>
    <x v="1"/>
    <s v="fulfilled"/>
    <s v="Pakistan"/>
    <m/>
    <s v="Not Required"/>
    <s v="Anitamouth"/>
  </r>
  <r>
    <s v="#1635"/>
    <n v="1"/>
    <d v="2026-08-04T13:57:48"/>
    <d v="2026-08-04T13:57:48"/>
    <s v="Timothy Santos"/>
    <x v="0"/>
    <s v="timothy.santos549@outlook.com"/>
    <s v="Kids Building Blocks Set"/>
    <x v="6"/>
    <s v="Toys"/>
    <x v="7"/>
    <n v="1"/>
    <n v="27.99"/>
    <n v="27.99"/>
    <s v="WELCOME10"/>
    <x v="1"/>
    <n v="2.8"/>
    <n v="2.8"/>
    <s v="Number"/>
    <n v="4.99"/>
    <n v="4.99"/>
    <s v="$30.18"/>
    <n v="30.18"/>
    <n v="30.18"/>
    <s v="True"/>
    <s v="Normal"/>
    <s v="Google Pay"/>
    <x v="1"/>
    <s v="refunded"/>
    <s v="United Kingdom"/>
    <m/>
    <s v="Not Required"/>
    <s v="New Kelly"/>
  </r>
  <r>
    <s v="#1641"/>
    <n v="1"/>
    <d v="2026-08-04T00:00:00"/>
    <s v="04-08-2026 14:08"/>
    <s v="Brian Ruiz"/>
    <x v="0"/>
    <s v="brian.ruiz246@gmail.com"/>
    <s v="Kids Building Blocks Set"/>
    <x v="6"/>
    <s v="Toys"/>
    <x v="7"/>
    <n v="1"/>
    <s v="$27.99"/>
    <n v="27.99"/>
    <s v="WELCOME10"/>
    <x v="1"/>
    <n v="2.8"/>
    <n v="2.8"/>
    <s v="Number"/>
    <n v="7.99"/>
    <n v="7.99"/>
    <n v="33.18"/>
    <n v="33.18"/>
    <n v="33.18"/>
    <s v="True"/>
    <s v="Normal"/>
    <s v="Apple Pay"/>
    <x v="2"/>
    <s v="fulfilled"/>
    <s v="Germany"/>
    <m/>
    <s v="Not Required"/>
    <s v="Edwardton"/>
  </r>
  <r>
    <s v="#1652"/>
    <n v="1"/>
    <d v="2026-08-04T14:02:11"/>
    <d v="2026-08-04T14:02:11"/>
    <s v="Sean Frank"/>
    <x v="0"/>
    <s v="sean.frank587@icloud.com"/>
    <s v="Kids Building Blocks Set"/>
    <x v="6"/>
    <s v="Toys"/>
    <x v="7"/>
    <n v="2"/>
    <n v="27.99"/>
    <n v="27.99"/>
    <s v="WELCOME10"/>
    <x v="1"/>
    <n v="5.6"/>
    <n v="5.6"/>
    <s v="Number"/>
    <n v="7.99"/>
    <n v="7.99"/>
    <s v="$58.37"/>
    <n v="58.37"/>
    <n v="58.37"/>
    <s v="True"/>
    <s v="Normal"/>
    <s v="Credit Card"/>
    <x v="3"/>
    <s v="fulfilled"/>
    <s v="Australia"/>
    <m/>
    <s v="Not Required"/>
    <s v="Port Josephborough"/>
  </r>
  <r>
    <s v="#1666"/>
    <n v="1"/>
    <d v="2026-08-04T14:02:45"/>
    <d v="2026-08-04T14:02:45"/>
    <s v="Tasha Morales"/>
    <x v="0"/>
    <s v="tasha.morales378@outlook.com"/>
    <s v="Kids Building Blocks Set"/>
    <x v="6"/>
    <s v="Toys"/>
    <x v="7"/>
    <n v="1"/>
    <n v="27.99"/>
    <n v="27.99"/>
    <s v="BFCM25"/>
    <x v="3"/>
    <n v="7"/>
    <n v="7"/>
    <s v="Number"/>
    <n v="4.99"/>
    <n v="4.99"/>
    <n v="25.98"/>
    <n v="25.98"/>
    <n v="25.979999999999997"/>
    <s v="True"/>
    <s v="Normal"/>
    <s v="Shopify Payments"/>
    <x v="0"/>
    <s v="fulfilled"/>
    <s v="United States"/>
    <s v="North Carolina"/>
    <s v="Valid"/>
    <s v="North Kayla"/>
  </r>
  <r>
    <s v="#1697"/>
    <n v="1"/>
    <d v="2026-08-04T14:05:10"/>
    <d v="2026-08-04T14:05:10"/>
    <s v="Sandra Potter"/>
    <x v="0"/>
    <s v="sandra.potter166@yahoo.com"/>
    <s v="Kids Building Blocks Set"/>
    <x v="6"/>
    <s v="Toys"/>
    <x v="7"/>
    <n v="2"/>
    <n v="27.99"/>
    <n v="27.99"/>
    <s v="SAVE20"/>
    <x v="2"/>
    <n v="11.2"/>
    <n v="11.2"/>
    <s v="Number"/>
    <n v="7.99"/>
    <n v="7.99"/>
    <n v="52.77"/>
    <n v="52.77"/>
    <n v="52.77"/>
    <s v="True"/>
    <s v="Normal"/>
    <s v="Credit Card"/>
    <x v="0"/>
    <s v="refunded"/>
    <s v="United States"/>
    <s v="FL"/>
    <s v="Valid"/>
    <s v="North Barbaratown"/>
  </r>
  <r>
    <s v="#1715"/>
    <n v="1"/>
    <d v="2026-08-04T14:05:35"/>
    <d v="2026-08-04T14:05:35"/>
    <s v="Jennifer Burke"/>
    <x v="0"/>
    <s v="jennifer.burke472@icloud.com"/>
    <s v="Kids Building Blocks Set"/>
    <x v="6"/>
    <s v="Toys"/>
    <x v="7"/>
    <n v="4"/>
    <n v="27.99"/>
    <n v="27.99"/>
    <m/>
    <x v="0"/>
    <n v="0"/>
    <n v="0"/>
    <s v="Number"/>
    <n v="0"/>
    <n v="0"/>
    <n v="111.96"/>
    <n v="111.96"/>
    <n v="111.96"/>
    <s v="True"/>
    <s v="Outlier"/>
    <s v="Google Pay"/>
    <x v="2"/>
    <s v="fulfilled"/>
    <s v="Pakistan"/>
    <m/>
    <s v="Not Required"/>
    <s v="Solomonchester"/>
  </r>
  <r>
    <s v="#1721"/>
    <n v="1"/>
    <d v="2026-08-04T13:57:53"/>
    <d v="2026-08-04T13:57:53"/>
    <s v="James Castro"/>
    <x v="0"/>
    <s v="james.castro923@icloud.com"/>
    <s v="Kids Building Blocks Set"/>
    <x v="6"/>
    <s v="Toys"/>
    <x v="7"/>
    <n v="1"/>
    <n v="27.99"/>
    <n v="27.99"/>
    <m/>
    <x v="0"/>
    <n v="0"/>
    <n v="0"/>
    <s v="Number"/>
    <n v="5.99"/>
    <n v="5.99"/>
    <n v="33.979999999999997"/>
    <n v="33.979999999999997"/>
    <n v="33.979999999999997"/>
    <s v="True"/>
    <s v="Normal"/>
    <s v="Shopify Payments"/>
    <x v="0"/>
    <s v="fulfilled"/>
    <s v="Pakistan"/>
    <m/>
    <s v="Not Required"/>
    <s v="New Christopherview"/>
  </r>
  <r>
    <s v="#1735"/>
    <n v="1"/>
    <d v="2026-08-04T13:55:01"/>
    <d v="2026-08-04T13:55:01"/>
    <s v="Gerald Li"/>
    <x v="0"/>
    <s v="gerald.li856@icloud.com"/>
    <s v="Kids Building Blocks Set"/>
    <x v="6"/>
    <s v="Toys"/>
    <x v="7"/>
    <n v="1"/>
    <n v="27.99"/>
    <n v="27.99"/>
    <s v="WELCOME10"/>
    <x v="1"/>
    <n v="2.8"/>
    <n v="2.8"/>
    <s v="Number"/>
    <n v="5.99"/>
    <n v="5.99"/>
    <n v="31.18"/>
    <n v="31.18"/>
    <n v="31.18"/>
    <s v="True"/>
    <s v="Normal"/>
    <s v="Google Pay"/>
    <x v="2"/>
    <s v="fulfilled"/>
    <s v="United States"/>
    <s v="Florida"/>
    <s v="Valid"/>
    <s v="North Kelly"/>
  </r>
  <r>
    <s v="#1845"/>
    <n v="1"/>
    <d v="2026-08-04T13:57:30"/>
    <d v="2026-08-04T13:57:30"/>
    <s v="Thomas Rojas"/>
    <x v="0"/>
    <s v="thomas.rojas667@icloud.com"/>
    <s v="Kids Building Blocks Set"/>
    <x v="6"/>
    <s v="Toys"/>
    <x v="7"/>
    <n v="2"/>
    <n v="27.99"/>
    <n v="27.99"/>
    <s v="FREESHIP"/>
    <x v="5"/>
    <n v="0"/>
    <n v="0"/>
    <s v="Number"/>
    <n v="0"/>
    <n v="0"/>
    <s v="$55.98"/>
    <n v="55.98"/>
    <n v="55.98"/>
    <s v="True"/>
    <s v="Normal"/>
    <s v="Google Pay"/>
    <x v="3"/>
    <s v="fulfilled"/>
    <s v="United States"/>
    <s v="Washington"/>
    <s v="Valid"/>
    <s v="Smithberg"/>
  </r>
  <r>
    <s v="#1857"/>
    <n v="1"/>
    <d v="2026-08-04T13:58:20"/>
    <d v="2026-08-04T13:58:20"/>
    <s v="Kayla Cruz"/>
    <x v="0"/>
    <s v="kayla.cruz151@outlook.com"/>
    <s v="Kids Building Blocks Set"/>
    <x v="6"/>
    <s v="Toys"/>
    <x v="7"/>
    <n v="1"/>
    <n v="27.99"/>
    <n v="27.99"/>
    <m/>
    <x v="0"/>
    <n v="0"/>
    <n v="0"/>
    <s v="Number"/>
    <n v="5.99"/>
    <n v="5.99"/>
    <n v="33.979999999999997"/>
    <n v="33.979999999999997"/>
    <n v="33.979999999999997"/>
    <s v="True"/>
    <s v="Normal"/>
    <s v="Shopify Payments"/>
    <x v="0"/>
    <s v="fulfilled"/>
    <s v="Pakistan"/>
    <m/>
    <s v="Not Required"/>
    <s v="Sydneyville"/>
  </r>
  <r>
    <s v="#1931"/>
    <n v="1"/>
    <d v="2026-08-04T14:08:10"/>
    <d v="2026-08-04T14:08:10"/>
    <s v="JANET MARTINEZ"/>
    <x v="0"/>
    <s v="janet.martinez20@yahoo.com"/>
    <s v="Kids Building Blocks Set"/>
    <x v="6"/>
    <s v="Toys"/>
    <x v="7"/>
    <n v="1"/>
    <n v="27.99"/>
    <n v="27.99"/>
    <s v="BFCM25"/>
    <x v="3"/>
    <n v="7"/>
    <n v="7"/>
    <s v="Number"/>
    <n v="4.99"/>
    <n v="4.99"/>
    <n v="25.98"/>
    <n v="25.98"/>
    <n v="25.979999999999997"/>
    <s v="True"/>
    <s v="Normal"/>
    <s v="Credit Card"/>
    <x v="1"/>
    <s v="pending"/>
    <s v="United States"/>
    <s v="Texas"/>
    <s v="Valid"/>
    <s v="North Paul"/>
  </r>
  <r>
    <s v="#1934"/>
    <n v="1"/>
    <d v="2026-08-04T14:01:46"/>
    <d v="2026-08-04T14:01:46"/>
    <s v="Tina Crane"/>
    <x v="0"/>
    <s v="tina.crane554@gmail.com"/>
    <s v="Kids Building Blocks Set"/>
    <x v="6"/>
    <s v="Toys"/>
    <x v="7"/>
    <n v="1"/>
    <n v="27.99"/>
    <n v="27.99"/>
    <m/>
    <x v="0"/>
    <n v="0"/>
    <n v="0"/>
    <s v="Number"/>
    <n v="7.99"/>
    <n v="7.99"/>
    <n v="35.979999999999997"/>
    <n v="35.979999999999997"/>
    <n v="35.979999999999997"/>
    <s v="True"/>
    <s v="Normal"/>
    <s v="Credit Card"/>
    <x v="3"/>
    <s v="fulfilled"/>
    <s v="United Kingdom"/>
    <m/>
    <s v="Not Required"/>
    <s v="North Kristen"/>
  </r>
  <r>
    <s v="#2010"/>
    <n v="1"/>
    <d v="2026-08-04T13:55:32"/>
    <d v="2026-08-04T13:55:32"/>
    <s v="John Hoffman"/>
    <x v="0"/>
    <s v="john.hoffman175@gmail.com"/>
    <s v="Kids Building Blocks Set"/>
    <x v="6"/>
    <s v="Toys"/>
    <x v="7"/>
    <n v="1"/>
    <n v="27.99"/>
    <n v="27.99"/>
    <s v="WELCOME10"/>
    <x v="1"/>
    <s v="$2.80"/>
    <n v="2.8"/>
    <s v="Number"/>
    <n v="7.99"/>
    <n v="7.99"/>
    <n v="33.18"/>
    <n v="33.18"/>
    <n v="33.18"/>
    <s v="True"/>
    <s v="Normal"/>
    <s v="PayPal"/>
    <x v="0"/>
    <s v="pending"/>
    <s v="United States"/>
    <s v="NC"/>
    <s v="Valid"/>
    <s v="East Alicia"/>
  </r>
  <r>
    <s v="#2070"/>
    <n v="1"/>
    <d v="2026-08-04T00:00:00"/>
    <s v="2026-08-04"/>
    <s v="Megan Herman"/>
    <x v="0"/>
    <s v="megan.herman268@yahoo.com"/>
    <s v="Kids Building Blocks Set"/>
    <x v="6"/>
    <s v="Toys"/>
    <x v="7"/>
    <n v="1"/>
    <n v="27.99"/>
    <n v="27.99"/>
    <m/>
    <x v="0"/>
    <n v="0"/>
    <n v="0"/>
    <s v="Number"/>
    <n v="7.99"/>
    <n v="7.99"/>
    <n v="35.979999999999997"/>
    <n v="35.979999999999997"/>
    <n v="35.979999999999997"/>
    <s v="True"/>
    <s v="Normal"/>
    <s v="Apple Pay"/>
    <x v="0"/>
    <s v="pending"/>
    <s v="United States"/>
    <s v="New York"/>
    <s v="Valid"/>
    <s v="Lake Michael"/>
  </r>
  <r>
    <s v="#2092"/>
    <n v="1"/>
    <d v="2026-08-04T13:58:04"/>
    <d v="2026-08-04T13:58:04"/>
    <s v="Philip Stevens"/>
    <x v="1"/>
    <m/>
    <s v="Kids Building Blocks Set"/>
    <x v="6"/>
    <s v="Toys"/>
    <x v="7"/>
    <n v="1"/>
    <n v="27.99"/>
    <n v="27.99"/>
    <s v="SAVE20"/>
    <x v="2"/>
    <n v="5.6"/>
    <n v="5.6"/>
    <s v="Number"/>
    <n v="4.99"/>
    <n v="4.99"/>
    <n v="27.38"/>
    <n v="27.38"/>
    <n v="27.380000000000003"/>
    <s v="True"/>
    <s v="Normal"/>
    <s v="Credit Card"/>
    <x v="2"/>
    <s v="pending"/>
    <s v="United States"/>
    <s v="Georgia"/>
    <s v="Valid"/>
    <s v="East Cynthiaville"/>
  </r>
  <r>
    <s v="#2093"/>
    <n v="1"/>
    <d v="2026-04-08T00:00:00"/>
    <s v="08/04/2026"/>
    <s v="Katelyn Johnson"/>
    <x v="0"/>
    <s v="katelyn.johnson502@outlook.com"/>
    <s v="Kids Building Blocks Set"/>
    <x v="6"/>
    <s v="Toys"/>
    <x v="7"/>
    <n v="2"/>
    <n v="27.99"/>
    <n v="27.99"/>
    <m/>
    <x v="0"/>
    <n v="0"/>
    <n v="0"/>
    <s v="Number"/>
    <n v="4.99"/>
    <n v="4.99"/>
    <n v="60.97"/>
    <n v="60.97"/>
    <n v="60.97"/>
    <s v="True"/>
    <s v="Normal"/>
    <s v="Apple Pay"/>
    <x v="1"/>
    <s v="refunded"/>
    <s v="United States"/>
    <s v="California"/>
    <s v="Valid"/>
    <s v="Shannonhaven"/>
  </r>
  <r>
    <s v="#2094"/>
    <n v="1"/>
    <d v="2026-08-04T14:01:50"/>
    <d v="2026-08-04T14:01:50"/>
    <s v="Brian Ruiz"/>
    <x v="0"/>
    <s v="brian.ruiz246@gmail.com"/>
    <s v="Kids Building Blocks Set"/>
    <x v="6"/>
    <s v="Toys"/>
    <x v="7"/>
    <n v="1"/>
    <n v="27.99"/>
    <n v="27.99"/>
    <s v="FREESHIP"/>
    <x v="5"/>
    <n v="0"/>
    <n v="0"/>
    <s v="Number"/>
    <n v="0"/>
    <n v="0"/>
    <n v="27.99"/>
    <n v="27.99"/>
    <n v="27.99"/>
    <s v="True"/>
    <s v="Normal"/>
    <s v="PayPal"/>
    <x v="0"/>
    <s v="pending"/>
    <s v="Germany"/>
    <m/>
    <s v="Not Required"/>
    <s v="Rebeccastad"/>
  </r>
  <r>
    <s v="#2095"/>
    <n v="1"/>
    <d v="2026-08-04T14:04:09"/>
    <d v="2026-08-04T14:04:09"/>
    <s v="Stacey Johnson"/>
    <x v="0"/>
    <s v="stacey.johnson95@gmail.com"/>
    <s v="Kids Building Blocks Set"/>
    <x v="6"/>
    <s v="Toys"/>
    <x v="7"/>
    <n v="1"/>
    <n v="27.99"/>
    <n v="27.99"/>
    <s v="WELCOME10"/>
    <x v="1"/>
    <n v="2.8"/>
    <n v="2.8"/>
    <s v="Number"/>
    <n v="5.99"/>
    <n v="5.99"/>
    <n v="31.18"/>
    <n v="31.18"/>
    <n v="31.18"/>
    <s v="True"/>
    <s v="Normal"/>
    <s v="Shopify Payments"/>
    <x v="3"/>
    <s v="refunded"/>
    <s v="Germany"/>
    <m/>
    <s v="Not Required"/>
    <s v="Douglasberg"/>
  </r>
  <r>
    <s v="#2152"/>
    <n v="1"/>
    <d v="2026-08-04T13:56:15"/>
    <d v="2026-08-04T13:56:15"/>
    <s v="Sara Hernandez"/>
    <x v="1"/>
    <m/>
    <s v="Kids Building Blocks Set"/>
    <x v="6"/>
    <s v="Toys"/>
    <x v="7"/>
    <n v="1"/>
    <n v="27.99"/>
    <n v="27.99"/>
    <m/>
    <x v="0"/>
    <n v="0"/>
    <n v="0"/>
    <s v="Number"/>
    <n v="5.99"/>
    <n v="5.99"/>
    <n v="33.979999999999997"/>
    <n v="33.979999999999997"/>
    <n v="33.979999999999997"/>
    <s v="True"/>
    <s v="Normal"/>
    <s v="Credit Card"/>
    <x v="1"/>
    <s v="fulfilled"/>
    <s v="United States"/>
    <s v="Florida"/>
    <s v="Valid"/>
    <s v="Jasonchester"/>
  </r>
  <r>
    <s v="#2160"/>
    <n v="1"/>
    <d v="2026-04-08T00:00:00"/>
    <s v="08/04/2026"/>
    <s v="Andrew Jones"/>
    <x v="0"/>
    <s v="andrew.jones338@icloud.com"/>
    <s v="Kids Building Blocks Set"/>
    <x v="6"/>
    <s v="Toys"/>
    <x v="7"/>
    <n v="1"/>
    <n v="27.99"/>
    <n v="27.99"/>
    <s v="FREESHIP"/>
    <x v="5"/>
    <n v="0"/>
    <n v="0"/>
    <s v="Number"/>
    <n v="0"/>
    <n v="0"/>
    <s v="$27.99"/>
    <n v="27.99"/>
    <n v="27.99"/>
    <s v="True"/>
    <s v="Normal"/>
    <s v="Apple Pay"/>
    <x v="1"/>
    <s v="fulfilled"/>
    <s v="United Kingdom"/>
    <m/>
    <s v="Not Required"/>
    <s v="West Angelafurt"/>
  </r>
  <r>
    <s v="#2166"/>
    <n v="1"/>
    <d v="2026-08-04T13:59:17"/>
    <d v="2026-08-04T13:59:17"/>
    <s v="George Green"/>
    <x v="0"/>
    <s v="george.green694@icloud.com"/>
    <s v="Kids Building Blocks Set"/>
    <x v="6"/>
    <s v="Toys"/>
    <x v="7"/>
    <n v="3"/>
    <n v="27.99"/>
    <n v="27.99"/>
    <m/>
    <x v="0"/>
    <n v="0"/>
    <n v="0"/>
    <s v="Number"/>
    <n v="0"/>
    <n v="0"/>
    <n v="83.97"/>
    <n v="83.97"/>
    <n v="83.97"/>
    <s v="True"/>
    <s v="Outlier"/>
    <s v="Google Pay"/>
    <x v="3"/>
    <s v="fulfilled"/>
    <s v="United States"/>
    <s v="FL"/>
    <s v="Valid"/>
    <s v="South Christy"/>
  </r>
  <r>
    <s v="#2186"/>
    <n v="1"/>
    <d v="2026-08-04T13:53:41"/>
    <d v="2026-08-04T13:53:41"/>
    <s v="Christopher Harrington"/>
    <x v="0"/>
    <s v="christopher.harrington960@gmail.com"/>
    <s v="Kids Building Blocks Set"/>
    <x v="6"/>
    <s v="Toys"/>
    <x v="7"/>
    <n v="1"/>
    <n v="27.99"/>
    <n v="27.99"/>
    <m/>
    <x v="0"/>
    <n v="0"/>
    <n v="0"/>
    <s v="Number"/>
    <n v="7.99"/>
    <n v="7.99"/>
    <n v="35.979999999999997"/>
    <n v="35.979999999999997"/>
    <n v="35.979999999999997"/>
    <s v="True"/>
    <s v="Normal"/>
    <s v="Google Pay"/>
    <x v="0"/>
    <s v="pending"/>
    <s v="Australia"/>
    <m/>
    <s v="Not Required"/>
    <s v="Sullivanmouth"/>
  </r>
  <r>
    <s v="#2193"/>
    <n v="1"/>
    <d v="2026-08-04T13:54:01"/>
    <d v="2026-08-04T13:54:01"/>
    <s v="Christopher Osborne"/>
    <x v="0"/>
    <s v="christopher.osborne481@yahoo.com"/>
    <s v="Kids Building Blocks Set"/>
    <x v="6"/>
    <s v="Toys"/>
    <x v="7"/>
    <n v="1"/>
    <n v="27.99"/>
    <n v="27.99"/>
    <s v="VIP15"/>
    <x v="4"/>
    <s v="$4.20"/>
    <n v="4.2"/>
    <s v="Number"/>
    <n v="7.99"/>
    <n v="7.99"/>
    <n v="31.78"/>
    <n v="31.78"/>
    <n v="31.78"/>
    <s v="True"/>
    <s v="Normal"/>
    <s v="Apple Pay"/>
    <x v="2"/>
    <s v="fulfilled"/>
    <s v="United States"/>
    <s v="Illinois"/>
    <s v="Valid"/>
    <s v="Christinastad"/>
  </r>
  <r>
    <s v="#2238"/>
    <n v="1"/>
    <d v="2026-04-08T00:00:00"/>
    <s v="08/04/2026"/>
    <s v="Frank Diaz"/>
    <x v="0"/>
    <s v="frank.diaz795@gmail.com"/>
    <s v="Kids Building Blocks Set"/>
    <x v="6"/>
    <s v="Toys"/>
    <x v="7"/>
    <n v="2"/>
    <n v="27.99"/>
    <n v="27.99"/>
    <m/>
    <x v="0"/>
    <n v="0"/>
    <n v="0"/>
    <s v="Number"/>
    <n v="7.99"/>
    <n v="7.99"/>
    <n v="63.97"/>
    <n v="63.97"/>
    <n v="63.97"/>
    <s v="True"/>
    <s v="Normal"/>
    <s v="PayPal"/>
    <x v="0"/>
    <s v="fulfilled"/>
    <s v="United States"/>
    <s v="Georgia"/>
    <s v="Valid"/>
    <s v="Rossmouth"/>
  </r>
  <r>
    <s v="#2316"/>
    <n v="1"/>
    <d v="2026-08-04T13:56:28"/>
    <d v="2026-08-04T13:56:28"/>
    <s v="Paul Dillon"/>
    <x v="0"/>
    <s v="paul.dillon750@icloud.com"/>
    <s v="Kids Building Blocks Set"/>
    <x v="6"/>
    <s v="Toys"/>
    <x v="7"/>
    <n v="1"/>
    <n v="27.99"/>
    <n v="27.99"/>
    <m/>
    <x v="0"/>
    <n v="0"/>
    <n v="0"/>
    <s v="Number"/>
    <n v="4.99"/>
    <n v="4.99"/>
    <n v="32.979999999999997"/>
    <n v="32.979999999999997"/>
    <n v="32.979999999999997"/>
    <s v="True"/>
    <s v="Normal"/>
    <s v="Google Pay"/>
    <x v="2"/>
    <s v="pending"/>
    <s v="Australia"/>
    <m/>
    <s v="Not Required"/>
    <s v="West Jesseside"/>
  </r>
  <r>
    <s v="#2356"/>
    <n v="1"/>
    <d v="2026-08-04T14:08:21"/>
    <d v="2026-08-04T14:08:21"/>
    <s v="Joanne Perez"/>
    <x v="0"/>
    <s v="joanne.perez120@gmail.com"/>
    <s v="Kids Building Blocks Set"/>
    <x v="6"/>
    <s v="Toys"/>
    <x v="7"/>
    <n v="1"/>
    <n v="27.99"/>
    <n v="27.99"/>
    <m/>
    <x v="0"/>
    <n v="0"/>
    <n v="0"/>
    <s v="Number"/>
    <n v="5.99"/>
    <n v="5.99"/>
    <n v="33.979999999999997"/>
    <n v="33.979999999999997"/>
    <n v="33.979999999999997"/>
    <s v="True"/>
    <s v="Normal"/>
    <s v="Credit Card"/>
    <x v="0"/>
    <s v="fulfilled"/>
    <s v="United States"/>
    <s v="Ohio"/>
    <s v="Valid"/>
    <s v="South Tammieborough"/>
  </r>
  <r>
    <s v="#2382"/>
    <n v="1"/>
    <d v="2026-08-04T13:58:59"/>
    <d v="2026-08-04T13:58:59"/>
    <s v="Patricia Thompson"/>
    <x v="0"/>
    <s v="patricia.thompson164@icloud.com"/>
    <s v="Kids Building Blocks Set"/>
    <x v="6"/>
    <s v="Toys"/>
    <x v="7"/>
    <n v="1"/>
    <n v="27.99"/>
    <n v="27.99"/>
    <m/>
    <x v="0"/>
    <n v="0"/>
    <n v="0"/>
    <s v="Number"/>
    <n v="5.99"/>
    <n v="5.99"/>
    <n v="33.979999999999997"/>
    <n v="33.979999999999997"/>
    <n v="33.979999999999997"/>
    <s v="True"/>
    <s v="Normal"/>
    <s v="PayPal"/>
    <x v="0"/>
    <s v="pending"/>
    <s v="United States"/>
    <s v="Ohio"/>
    <s v="Valid"/>
    <s v="Port Bradhaven"/>
  </r>
  <r>
    <s v="#2383"/>
    <n v="1"/>
    <d v="2026-08-04T13:57:23"/>
    <d v="2026-08-04T13:57:23"/>
    <s v="Elizabeth Carter"/>
    <x v="0"/>
    <s v="elizabeth.carter304@icloud.com"/>
    <s v="Kids Building Blocks Set"/>
    <x v="6"/>
    <s v="Toys"/>
    <x v="7"/>
    <n v="1"/>
    <n v="27.99"/>
    <n v="27.99"/>
    <s v="WELCOME10"/>
    <x v="1"/>
    <n v="2.8"/>
    <n v="2.8"/>
    <s v="Number"/>
    <n v="7.99"/>
    <n v="7.99"/>
    <n v="33.18"/>
    <n v="33.18"/>
    <n v="33.18"/>
    <s v="True"/>
    <s v="Normal"/>
    <s v="Shopify Payments"/>
    <x v="3"/>
    <s v="fulfilled"/>
    <s v="Canada"/>
    <m/>
    <s v="Not Required"/>
    <s v="Johntown"/>
  </r>
  <r>
    <s v="#2394"/>
    <n v="1"/>
    <d v="2026-08-04T13:54:29"/>
    <d v="2026-08-04T13:54:29"/>
    <s v="James Castro"/>
    <x v="0"/>
    <s v="james.castro923@icloud.com"/>
    <s v="Kids Building Blocks Set"/>
    <x v="6"/>
    <s v="Toys"/>
    <x v="7"/>
    <n v="2"/>
    <n v="27.99"/>
    <n v="27.99"/>
    <s v="VIP15"/>
    <x v="4"/>
    <s v="$8.40"/>
    <n v="8.4"/>
    <s v="Number"/>
    <n v="4.99"/>
    <n v="4.99"/>
    <s v="$52.57"/>
    <n v="52.57"/>
    <n v="52.57"/>
    <s v="True"/>
    <s v="Normal"/>
    <s v="Apple Pay"/>
    <x v="2"/>
    <s v="fulfilled"/>
    <s v="Pakistan"/>
    <m/>
    <s v="Not Required"/>
    <s v="North Isabellamouth"/>
  </r>
  <r>
    <s v="#2445"/>
    <n v="1"/>
    <d v="2026-08-04T13:54:39"/>
    <d v="2026-08-04T13:54:39"/>
    <s v="Heather Davis"/>
    <x v="0"/>
    <s v="heather.davis117@icloud.com"/>
    <s v="Kids Building Blocks Set"/>
    <x v="6"/>
    <s v="Toys"/>
    <x v="7"/>
    <n v="2"/>
    <n v="27.99"/>
    <n v="27.99"/>
    <m/>
    <x v="0"/>
    <n v="0"/>
    <n v="0"/>
    <s v="Number"/>
    <n v="4.99"/>
    <n v="4.99"/>
    <n v="60.97"/>
    <n v="60.97"/>
    <n v="60.97"/>
    <s v="True"/>
    <s v="Normal"/>
    <s v="Shopify Payments"/>
    <x v="0"/>
    <s v="fulfilled"/>
    <s v="Germany"/>
    <m/>
    <s v="Not Required"/>
    <s v="Thomasbury"/>
  </r>
  <r>
    <s v="#2448"/>
    <n v="1"/>
    <d v="2026-04-08T00:00:00"/>
    <s v="08/04/2026"/>
    <s v="peter alvarez"/>
    <x v="0"/>
    <s v="peter.alvarez465@yahoo.com"/>
    <s v="Kids Building Blocks Set"/>
    <x v="6"/>
    <s v="Toys"/>
    <x v="7"/>
    <n v="1"/>
    <n v="27.99"/>
    <n v="27.99"/>
    <m/>
    <x v="0"/>
    <n v="0"/>
    <n v="0"/>
    <s v="Number"/>
    <n v="7.99"/>
    <n v="7.99"/>
    <s v="$35.98"/>
    <n v="35.979999999999997"/>
    <n v="35.979999999999997"/>
    <s v="True"/>
    <s v="Normal"/>
    <s v="Shopify Payments"/>
    <x v="2"/>
    <s v="refunded"/>
    <s v="United States"/>
    <s v="Arizona"/>
    <s v="Valid"/>
    <s v="South Kelly"/>
  </r>
  <r>
    <s v="#2457"/>
    <n v="1"/>
    <d v="2026-04-08T00:00:00"/>
    <s v="08/04/2026"/>
    <s v="Megan Holmes"/>
    <x v="0"/>
    <s v="megan.holmes105@yahoo.com"/>
    <s v="Kids Building Blocks Set"/>
    <x v="6"/>
    <s v="Toys"/>
    <x v="7"/>
    <n v="1"/>
    <s v="$27.99"/>
    <n v="27.99"/>
    <s v="WELCOME10"/>
    <x v="1"/>
    <n v="2.8"/>
    <n v="2.8"/>
    <s v="Number"/>
    <n v="5.99"/>
    <n v="5.99"/>
    <n v="31.18"/>
    <n v="31.18"/>
    <n v="31.18"/>
    <s v="True"/>
    <s v="Normal"/>
    <s v="Credit Card"/>
    <x v="1"/>
    <s v="fulfilled"/>
    <s v="United States"/>
    <s v="Arizona"/>
    <s v="Valid"/>
    <s v="East Andrea"/>
  </r>
  <r>
    <s v="#2476"/>
    <n v="1"/>
    <d v="2026-08-04T14:03:03"/>
    <d v="2026-08-04T14:03:03"/>
    <s v="Karen Bautista"/>
    <x v="0"/>
    <s v="karen.bautista779@icloud.com"/>
    <s v="Kids Building Blocks Set"/>
    <x v="6"/>
    <s v="Toys"/>
    <x v="7"/>
    <n v="2"/>
    <n v="27.99"/>
    <n v="27.99"/>
    <s v="VIP15"/>
    <x v="4"/>
    <n v="8.4"/>
    <n v="8.4"/>
    <s v="Number"/>
    <n v="7.99"/>
    <n v="7.99"/>
    <n v="55.57"/>
    <n v="55.57"/>
    <n v="55.57"/>
    <s v="True"/>
    <s v="Normal"/>
    <s v="Google Pay"/>
    <x v="1"/>
    <s v="fulfilled"/>
    <s v="United States"/>
    <s v="North Carolina"/>
    <s v="Valid"/>
    <s v="Larryburgh"/>
  </r>
  <r>
    <s v="#2477"/>
    <n v="1"/>
    <d v="2026-08-04T14:05:53"/>
    <d v="2026-08-04T14:05:53"/>
    <s v="Tara Jackson"/>
    <x v="1"/>
    <m/>
    <s v="Kids Building Blocks Set"/>
    <x v="6"/>
    <s v="Toys"/>
    <x v="7"/>
    <n v="2"/>
    <n v="27.99"/>
    <n v="27.99"/>
    <m/>
    <x v="0"/>
    <n v="0"/>
    <n v="0"/>
    <s v="Number"/>
    <n v="5.99"/>
    <n v="5.99"/>
    <n v="61.97"/>
    <n v="61.97"/>
    <n v="61.97"/>
    <s v="True"/>
    <s v="Normal"/>
    <s v="Shopify Payments"/>
    <x v="0"/>
    <s v="fulfilled"/>
    <s v="Canada"/>
    <m/>
    <s v="Not Required"/>
    <s v="Cunninghammouth"/>
  </r>
  <r>
    <s v="#2540"/>
    <n v="1"/>
    <d v="2026-08-04T13:53:34"/>
    <d v="2026-08-04T13:53:34"/>
    <s v="Maria Patterson"/>
    <x v="0"/>
    <s v="maria.patterson62@icloud.com"/>
    <s v="Kids Building Blocks Set"/>
    <x v="6"/>
    <s v="Toys"/>
    <x v="7"/>
    <n v="1"/>
    <n v="27.99"/>
    <n v="27.99"/>
    <s v="VIP15"/>
    <x v="4"/>
    <s v="$4.20"/>
    <n v="4.2"/>
    <s v="Number"/>
    <n v="4.99"/>
    <n v="4.99"/>
    <n v="28.78"/>
    <n v="28.78"/>
    <n v="28.78"/>
    <s v="True"/>
    <s v="Normal"/>
    <s v="PayPal"/>
    <x v="0"/>
    <s v="pending"/>
    <s v="United States"/>
    <s v="Illinois"/>
    <s v="Valid"/>
    <s v="Elizabethmouth"/>
  </r>
  <r>
    <s v="#2547"/>
    <n v="1"/>
    <d v="2026-08-04T13:54:32"/>
    <d v="2026-08-04T13:54:32"/>
    <s v="Marie Rose"/>
    <x v="0"/>
    <s v="marie.rose93@gmail.com"/>
    <s v="Kids Building Blocks Set"/>
    <x v="6"/>
    <s v="Toys"/>
    <x v="7"/>
    <n v="2"/>
    <n v="27.99"/>
    <n v="27.99"/>
    <s v="VIP15"/>
    <x v="4"/>
    <n v="8.4"/>
    <n v="8.4"/>
    <s v="Number"/>
    <n v="4.99"/>
    <n v="4.99"/>
    <n v="52.57"/>
    <n v="52.57"/>
    <n v="52.57"/>
    <s v="True"/>
    <s v="Normal"/>
    <s v="Credit Card"/>
    <x v="1"/>
    <s v="fulfilled"/>
    <s v="United States"/>
    <s v="Illinois"/>
    <s v="Valid"/>
    <s v="North Susan"/>
  </r>
  <r>
    <s v="#2621"/>
    <n v="1"/>
    <d v="2026-08-04T00:00:00"/>
    <s v="04-08-2026 13:57"/>
    <s v="Kenneth Davis"/>
    <x v="0"/>
    <s v="kenneth.davis106@yahoo.com"/>
    <s v="Kids Building Blocks Set"/>
    <x v="6"/>
    <s v="Toys"/>
    <x v="7"/>
    <n v="1"/>
    <n v="27.99"/>
    <n v="27.99"/>
    <m/>
    <x v="0"/>
    <n v="0"/>
    <n v="0"/>
    <s v="Number"/>
    <n v="7.99"/>
    <n v="7.99"/>
    <n v="35.979999999999997"/>
    <n v="35.979999999999997"/>
    <n v="35.979999999999997"/>
    <s v="True"/>
    <s v="Normal"/>
    <s v="Apple Pay"/>
    <x v="1"/>
    <s v="pending"/>
    <s v="United States"/>
    <s v="Texas"/>
    <s v="Valid"/>
    <s v="South Jamesview"/>
  </r>
  <r>
    <s v="#2623"/>
    <n v="1"/>
    <d v="2026-08-04T13:57:42"/>
    <d v="2026-08-04T13:57:42"/>
    <s v="Tyler Williams"/>
    <x v="0"/>
    <s v="tyler.williams938@outlook.com"/>
    <s v="Kids Building Blocks Set"/>
    <x v="6"/>
    <s v="Toys"/>
    <x v="7"/>
    <n v="1"/>
    <n v="27.99"/>
    <n v="27.99"/>
    <m/>
    <x v="0"/>
    <s v="$0.00"/>
    <n v="0"/>
    <s v="Number"/>
    <n v="4.99"/>
    <n v="4.99"/>
    <n v="32.979999999999997"/>
    <n v="32.979999999999997"/>
    <n v="32.979999999999997"/>
    <s v="True"/>
    <s v="Normal"/>
    <s v="Apple Pay"/>
    <x v="3"/>
    <s v="fulfilled"/>
    <s v="Australia"/>
    <m/>
    <s v="Not Required"/>
    <s v="Snyderside"/>
  </r>
  <r>
    <s v="#2630"/>
    <n v="1"/>
    <d v="2026-08-04T14:01:32"/>
    <d v="2026-08-04T14:01:32"/>
    <s v="Jack Bryant"/>
    <x v="0"/>
    <s v="jack.bryant173@gmail.com"/>
    <s v="Kids Building Blocks Set"/>
    <x v="6"/>
    <s v="Toys"/>
    <x v="7"/>
    <n v="4"/>
    <n v="27.99"/>
    <n v="27.99"/>
    <m/>
    <x v="0"/>
    <n v="0"/>
    <n v="0"/>
    <s v="Number"/>
    <n v="0"/>
    <n v="0"/>
    <n v="111.96"/>
    <n v="111.96"/>
    <n v="111.96"/>
    <s v="True"/>
    <s v="Outlier"/>
    <s v="Shopify Payments"/>
    <x v="3"/>
    <s v="fulfilled"/>
    <s v="Germany"/>
    <m/>
    <s v="Not Required"/>
    <s v="New Andrea"/>
  </r>
  <r>
    <s v="#2637"/>
    <n v="1"/>
    <d v="2026-08-04T14:05:09"/>
    <d v="2026-08-04T14:05:09"/>
    <s v="Lindsay Shaw"/>
    <x v="0"/>
    <s v="lindsay.shaw178@icloud.com"/>
    <s v="Kids Building Blocks Set"/>
    <x v="6"/>
    <s v="Toys"/>
    <x v="7"/>
    <n v="2"/>
    <n v="27.99"/>
    <n v="27.99"/>
    <s v="FREESHIP"/>
    <x v="5"/>
    <n v="0"/>
    <n v="0"/>
    <s v="Number"/>
    <n v="0"/>
    <n v="0"/>
    <n v="55.98"/>
    <n v="55.98"/>
    <n v="55.98"/>
    <s v="True"/>
    <s v="Normal"/>
    <s v="Shopify Payments"/>
    <x v="0"/>
    <s v="fulfilled"/>
    <s v="United Kingdom"/>
    <m/>
    <s v="Not Required"/>
    <s v="North Brittanyville"/>
  </r>
  <r>
    <s v="#2668"/>
    <n v="1"/>
    <d v="2026-08-04T13:55:22"/>
    <d v="2026-08-04T13:55:22"/>
    <s v="Timothy Hodges"/>
    <x v="0"/>
    <s v="timothy.hodges687@icloud.com"/>
    <s v="Kids Building Blocks Set"/>
    <x v="6"/>
    <s v="Toys"/>
    <x v="7"/>
    <n v="2"/>
    <n v="27.99"/>
    <n v="27.99"/>
    <s v="VIP15"/>
    <x v="4"/>
    <n v="8.4"/>
    <n v="8.4"/>
    <s v="Number"/>
    <n v="5.99"/>
    <n v="5.99"/>
    <n v="53.57"/>
    <n v="53.57"/>
    <n v="53.57"/>
    <s v="True"/>
    <s v="Normal"/>
    <s v="PayPal"/>
    <x v="1"/>
    <s v="refunded"/>
    <s v="Australia"/>
    <m/>
    <s v="Not Required"/>
    <s v="South Sabrinatown"/>
  </r>
  <r>
    <s v="#2675"/>
    <n v="1"/>
    <d v="2026-08-04T13:59:20"/>
    <d v="2026-08-04T13:59:20"/>
    <s v="Russell Walton"/>
    <x v="0"/>
    <s v="russell.walton605@icloud.com"/>
    <s v="Kids Building Blocks Set"/>
    <x v="6"/>
    <s v="Toys"/>
    <x v="7"/>
    <n v="2"/>
    <n v="27.99"/>
    <n v="27.99"/>
    <s v="FREESHIP"/>
    <x v="5"/>
    <n v="0"/>
    <n v="0"/>
    <s v="Number"/>
    <n v="0"/>
    <n v="0"/>
    <n v="55.98"/>
    <n v="55.98"/>
    <n v="55.98"/>
    <s v="True"/>
    <s v="Normal"/>
    <s v="Credit Card"/>
    <x v="0"/>
    <s v="cancelled"/>
    <s v="United States"/>
    <s v="North Carolina"/>
    <s v="Valid"/>
    <s v="South Julie"/>
  </r>
  <r>
    <s v="#2706"/>
    <n v="1"/>
    <d v="2026-08-04T13:55:04"/>
    <d v="2026-08-04T13:55:04"/>
    <s v="Kayla Morris"/>
    <x v="0"/>
    <s v="kayla.morris339@outlook.com"/>
    <s v="Kids Building Blocks Set"/>
    <x v="6"/>
    <s v="Toys"/>
    <x v="7"/>
    <n v="1"/>
    <n v="27.99"/>
    <n v="27.99"/>
    <m/>
    <x v="0"/>
    <n v="0"/>
    <n v="0"/>
    <s v="Number"/>
    <n v="4.99"/>
    <n v="4.99"/>
    <n v="32.979999999999997"/>
    <n v="32.979999999999997"/>
    <n v="32.979999999999997"/>
    <s v="True"/>
    <s v="Normal"/>
    <s v="Shopify Payments"/>
    <x v="0"/>
    <s v="fulfilled"/>
    <s v="Canada"/>
    <m/>
    <s v="Not Required"/>
    <s v="Matthewfurt"/>
  </r>
  <r>
    <s v="#2762"/>
    <n v="1"/>
    <d v="2026-08-04T13:57:52"/>
    <d v="2026-08-04T13:57:52"/>
    <s v="Alan Davis"/>
    <x v="0"/>
    <s v="alan.davis483@icloud.com"/>
    <s v="Kids Building Blocks Set"/>
    <x v="6"/>
    <s v="Toys"/>
    <x v="7"/>
    <n v="1"/>
    <n v="27.99"/>
    <n v="27.99"/>
    <s v="BFCM25"/>
    <x v="3"/>
    <n v="7"/>
    <n v="7"/>
    <s v="Number"/>
    <n v="7.99"/>
    <n v="7.99"/>
    <n v="28.98"/>
    <n v="28.98"/>
    <n v="28.979999999999997"/>
    <s v="True"/>
    <s v="Normal"/>
    <s v="Credit Card"/>
    <x v="2"/>
    <s v="pending"/>
    <s v="Canada"/>
    <m/>
    <s v="Not Required"/>
    <s v="South Brianport"/>
  </r>
  <r>
    <s v="#2816"/>
    <n v="1"/>
    <d v="2026-08-04T13:54:19"/>
    <d v="2026-08-04T13:54:19"/>
    <s v="Alan Davis"/>
    <x v="0"/>
    <s v="alan.davis483@icloud.com"/>
    <s v="Kids Building Blocks Set"/>
    <x v="6"/>
    <s v="Toys"/>
    <x v="7"/>
    <n v="4"/>
    <n v="27.99"/>
    <n v="27.99"/>
    <s v="WELCOME10"/>
    <x v="1"/>
    <s v="$11.20"/>
    <n v="11.2"/>
    <s v="Number"/>
    <n v="0"/>
    <n v="0"/>
    <n v="100.76"/>
    <n v="100.76"/>
    <n v="100.75999999999999"/>
    <s v="True"/>
    <s v="Outlier"/>
    <s v="Google Pay"/>
    <x v="2"/>
    <s v="pending"/>
    <s v="Canada"/>
    <m/>
    <s v="Not Required"/>
    <s v="Andreaview"/>
  </r>
  <r>
    <s v="#2825"/>
    <n v="1"/>
    <d v="2026-08-04T14:01:23"/>
    <d v="2026-08-04T14:01:23"/>
    <s v="Timothy Santos"/>
    <x v="0"/>
    <s v="timothy.santos549@outlook.com"/>
    <s v="Kids Building Blocks Set"/>
    <x v="6"/>
    <s v="Toys"/>
    <x v="7"/>
    <n v="2"/>
    <s v="$27.99"/>
    <n v="27.99"/>
    <s v="FREESHIP"/>
    <x v="5"/>
    <n v="0"/>
    <n v="0"/>
    <s v="Number"/>
    <n v="0"/>
    <n v="0"/>
    <n v="55.98"/>
    <n v="55.98"/>
    <n v="55.98"/>
    <s v="True"/>
    <s v="Normal"/>
    <s v="Google Pay"/>
    <x v="2"/>
    <s v="fulfilled"/>
    <s v="United Kingdom"/>
    <m/>
    <s v="Not Required"/>
    <s v="Greenmouth"/>
  </r>
  <r>
    <s v="#2854"/>
    <n v="1"/>
    <d v="2026-08-04T00:00:00"/>
    <s v="04-08-2026 13:55"/>
    <s v="Angie Martin"/>
    <x v="0"/>
    <s v="angie.martin506@icloud.com"/>
    <s v="Kids Building Blocks Set  "/>
    <x v="6"/>
    <s v="Toys"/>
    <x v="7"/>
    <n v="1"/>
    <n v="27.99"/>
    <n v="27.99"/>
    <m/>
    <x v="0"/>
    <n v="0"/>
    <n v="0"/>
    <s v="Number"/>
    <n v="7.99"/>
    <n v="7.99"/>
    <n v="35.979999999999997"/>
    <n v="35.979999999999997"/>
    <n v="35.979999999999997"/>
    <s v="True"/>
    <s v="Normal"/>
    <s v="Apple Pay"/>
    <x v="1"/>
    <s v="fulfilled"/>
    <s v="Pakistan"/>
    <m/>
    <s v="Not Required"/>
    <s v="Jacobside"/>
  </r>
  <r>
    <s v="#2858"/>
    <n v="1"/>
    <d v="2026-08-04T13:55:16"/>
    <d v="2026-08-04T13:55:16"/>
    <s v="Christopher Osborne"/>
    <x v="0"/>
    <s v="christopher.osborne481@yahoo.com"/>
    <s v="Kids Building Blocks Set"/>
    <x v="6"/>
    <s v="Toys"/>
    <x v="7"/>
    <n v="1"/>
    <n v="27.99"/>
    <n v="27.99"/>
    <s v="FREESHIP"/>
    <x v="5"/>
    <n v="0"/>
    <n v="0"/>
    <s v="Number"/>
    <n v="0"/>
    <n v="0"/>
    <s v="$27.99"/>
    <n v="27.99"/>
    <n v="27.99"/>
    <s v="True"/>
    <s v="Normal"/>
    <s v="Apple Pay"/>
    <x v="1"/>
    <s v="fulfilled"/>
    <s v="United States"/>
    <s v="Texas"/>
    <s v="Valid"/>
    <s v="Brianview"/>
  </r>
  <r>
    <s v="#2869"/>
    <n v="1"/>
    <d v="2026-08-04T14:02:13"/>
    <d v="2026-08-04T14:02:13"/>
    <s v="Patrick Stevens"/>
    <x v="0"/>
    <s v="patrick.stevens218@gmail.com"/>
    <s v="Kids Building Blocks Set"/>
    <x v="6"/>
    <s v="Toys"/>
    <x v="7"/>
    <n v="1"/>
    <n v="27.99"/>
    <n v="27.99"/>
    <m/>
    <x v="0"/>
    <n v="0"/>
    <n v="0"/>
    <s v="Number"/>
    <n v="5.99"/>
    <n v="5.99"/>
    <n v="33.979999999999997"/>
    <n v="33.979999999999997"/>
    <n v="33.979999999999997"/>
    <s v="True"/>
    <s v="Normal"/>
    <s v="Credit Card"/>
    <x v="2"/>
    <s v="fulfilled"/>
    <s v="Pakistan"/>
    <m/>
    <s v="Not Required"/>
    <s v="Moodytown"/>
  </r>
  <r>
    <s v="#2894"/>
    <n v="1"/>
    <d v="2026-08-04T00:00:00"/>
    <s v="Aug 04, 2026"/>
    <s v="Barbara Brown"/>
    <x v="0"/>
    <s v="barbara.brown26@gmail.com"/>
    <s v="Kids Building Blocks Set"/>
    <x v="6"/>
    <s v="Toys"/>
    <x v="7"/>
    <n v="2"/>
    <n v="27.99"/>
    <n v="27.99"/>
    <m/>
    <x v="0"/>
    <n v="0"/>
    <n v="0"/>
    <s v="Number"/>
    <n v="4.99"/>
    <n v="4.99"/>
    <n v="60.97"/>
    <n v="60.97"/>
    <n v="60.97"/>
    <s v="True"/>
    <s v="Normal"/>
    <s v="Shopify Payments"/>
    <x v="2"/>
    <s v="fulfilled"/>
    <s v="United States"/>
    <s v="Washington"/>
    <s v="Valid"/>
    <s v="Amymouth"/>
  </r>
  <r>
    <s v="#2951"/>
    <n v="1"/>
    <d v="2026-08-04T13:59:14"/>
    <d v="2026-08-04T13:59:14"/>
    <s v="Anthony Marshall"/>
    <x v="0"/>
    <s v="anthony.marshall823@yahoo.com"/>
    <s v="Kids Building Blocks Set"/>
    <x v="6"/>
    <s v="Toys"/>
    <x v="7"/>
    <n v="2"/>
    <n v="27.99"/>
    <n v="27.99"/>
    <s v="FREESHIP"/>
    <x v="5"/>
    <n v="0"/>
    <n v="0"/>
    <s v="Number"/>
    <n v="0"/>
    <n v="0"/>
    <s v="$55.98"/>
    <n v="55.98"/>
    <n v="55.98"/>
    <s v="True"/>
    <s v="Normal"/>
    <s v="Apple Pay"/>
    <x v="0"/>
    <s v="fulfilled"/>
    <s v="United States"/>
    <s v="Ohio"/>
    <s v="Valid"/>
    <s v="Brianchester"/>
  </r>
  <r>
    <s v="#2956"/>
    <n v="1"/>
    <d v="2026-08-04T14:00:49"/>
    <d v="2026-08-04T14:00:49"/>
    <s v="  Ronald Stanley"/>
    <x v="0"/>
    <s v="ronald.stanley7@yahoo.com"/>
    <s v="Kids Building Blocks Set"/>
    <x v="6"/>
    <s v="Toys"/>
    <x v="7"/>
    <n v="1"/>
    <n v="27.99"/>
    <n v="27.99"/>
    <s v="WELCOME10"/>
    <x v="1"/>
    <n v="2.8"/>
    <n v="2.8"/>
    <s v="Number"/>
    <n v="7.99"/>
    <n v="7.99"/>
    <n v="33.18"/>
    <n v="33.18"/>
    <n v="33.18"/>
    <s v="True"/>
    <s v="Normal"/>
    <s v="Apple Pay"/>
    <x v="1"/>
    <s v="fulfilled"/>
    <s v="United States"/>
    <s v="AZ"/>
    <s v="Valid"/>
    <s v="New Benjaminfort"/>
  </r>
  <r>
    <s v="#2960"/>
    <n v="1"/>
    <d v="2026-08-04T13:58:27"/>
    <d v="2026-08-04T13:58:27"/>
    <s v="Alan Davis"/>
    <x v="0"/>
    <s v="alan.davis483@icloud.com"/>
    <s v="Kids Building Blocks Set"/>
    <x v="6"/>
    <s v="Toys"/>
    <x v="7"/>
    <n v="1"/>
    <n v="27.99"/>
    <n v="27.99"/>
    <s v="VIP15"/>
    <x v="4"/>
    <n v="4.2"/>
    <n v="4.2"/>
    <s v="Number"/>
    <n v="5.99"/>
    <n v="5.99"/>
    <n v="29.78"/>
    <n v="29.78"/>
    <n v="29.78"/>
    <s v="True"/>
    <s v="Normal"/>
    <s v="Credit Card"/>
    <x v="0"/>
    <s v="pending"/>
    <s v="Canada"/>
    <m/>
    <s v="Not Required"/>
    <s v="Port Mandyville"/>
  </r>
  <r>
    <s v="#3000"/>
    <n v="1"/>
    <d v="2026-08-04T14:02:45"/>
    <d v="2026-08-04T14:02:45"/>
    <s v="Stacey Johnson"/>
    <x v="0"/>
    <s v="stacey.johnson95@gmail.com"/>
    <s v="Kids Building Blocks Set"/>
    <x v="6"/>
    <s v="Toys"/>
    <x v="7"/>
    <n v="1"/>
    <n v="27.99"/>
    <n v="27.99"/>
    <s v="VIP15"/>
    <x v="4"/>
    <s v="$4.20"/>
    <n v="4.2"/>
    <s v="Number"/>
    <n v="7.99"/>
    <n v="7.99"/>
    <s v="$31.78"/>
    <n v="31.78"/>
    <n v="31.78"/>
    <s v="True"/>
    <s v="Normal"/>
    <s v="PayPal"/>
    <x v="0"/>
    <s v="fulfilled"/>
    <s v="Germany"/>
    <m/>
    <s v="Not Required"/>
    <s v="Port Amy"/>
  </r>
  <r>
    <s v="#1010"/>
    <n v="1"/>
    <d v="2026-08-04T00:00:00"/>
    <s v="04-08-2026 14:06"/>
    <s v="Robert Miller"/>
    <x v="0"/>
    <s v="robert.miller69@yahoo.com"/>
    <s v="Leather Wallet - Brown"/>
    <x v="7"/>
    <s v="Accessories"/>
    <x v="8"/>
    <n v="1"/>
    <n v="19.989999999999998"/>
    <n v="19.989999999999998"/>
    <s v="WELCOME10"/>
    <x v="1"/>
    <n v="2"/>
    <n v="2"/>
    <s v="Number"/>
    <n v="4.99"/>
    <n v="4.99"/>
    <n v="22.98"/>
    <n v="22.98"/>
    <n v="22.979999999999997"/>
    <s v="True"/>
    <s v="Normal"/>
    <s v="PayPal"/>
    <x v="0"/>
    <s v="refunded"/>
    <s v="Australia"/>
    <m/>
    <s v="Not Required"/>
    <s v="Ortizview"/>
  </r>
  <r>
    <s v="#1086"/>
    <n v="1"/>
    <d v="2026-08-04T13:57:52"/>
    <d v="2026-08-04T13:57:52"/>
    <s v="Joshua Chavez"/>
    <x v="0"/>
    <s v="joshua.chavez332@outlook.com"/>
    <s v="Leather Wallet - Brown"/>
    <x v="7"/>
    <s v="Accessories"/>
    <x v="8"/>
    <n v="1"/>
    <s v="$19.99"/>
    <n v="19.989999999999998"/>
    <m/>
    <x v="0"/>
    <n v="0"/>
    <n v="0"/>
    <s v="Number"/>
    <n v="4.99"/>
    <n v="4.99"/>
    <n v="24.98"/>
    <n v="24.98"/>
    <n v="24.979999999999997"/>
    <s v="True"/>
    <s v="Normal"/>
    <s v="PayPal"/>
    <x v="3"/>
    <s v="fulfilled"/>
    <s v="United States"/>
    <s v="California"/>
    <s v="Valid"/>
    <s v="Newmanborough"/>
  </r>
  <r>
    <s v="#1087"/>
    <n v="1"/>
    <d v="2026-08-04T13:53:58"/>
    <d v="2026-08-04T13:53:58"/>
    <s v="Deborah Wilson"/>
    <x v="0"/>
    <s v="deborah.wilson691@icloud.com"/>
    <s v="Leather Wallet - Brown"/>
    <x v="7"/>
    <s v="Accessories"/>
    <x v="8"/>
    <n v="2"/>
    <n v="19.989999999999998"/>
    <n v="19.989999999999998"/>
    <s v="VIP15"/>
    <x v="4"/>
    <n v="6"/>
    <n v="6"/>
    <s v="Number"/>
    <n v="7.99"/>
    <n v="7.99"/>
    <s v="$41.97"/>
    <n v="41.97"/>
    <n v="41.97"/>
    <s v="True"/>
    <s v="Normal"/>
    <s v="Apple Pay"/>
    <x v="0"/>
    <s v="refunded"/>
    <s v="United Kingdom"/>
    <m/>
    <s v="Not Required"/>
    <s v="Lake Gary"/>
  </r>
  <r>
    <s v="#1143"/>
    <n v="1"/>
    <d v="2026-08-04T14:06:32"/>
    <d v="2026-08-04T14:06:32"/>
    <s v="Donald Davis"/>
    <x v="0"/>
    <s v="donald.davis404@icloud.com"/>
    <s v="Leather Wallet - Brown"/>
    <x v="7"/>
    <s v="Accessories"/>
    <x v="8"/>
    <n v="3"/>
    <n v="19.989999999999998"/>
    <n v="19.989999999999998"/>
    <s v="SAVE20"/>
    <x v="2"/>
    <n v="11.99"/>
    <n v="11.99"/>
    <s v="Number"/>
    <n v="5.99"/>
    <n v="5.99"/>
    <n v="53.97"/>
    <n v="53.97"/>
    <n v="53.97"/>
    <s v="True"/>
    <s v="Normal"/>
    <s v="Shopify Payments"/>
    <x v="0"/>
    <s v="fulfilled"/>
    <s v="Canada"/>
    <m/>
    <s v="Not Required"/>
    <s v="Lake David"/>
  </r>
  <r>
    <s v="#1151"/>
    <n v="1"/>
    <d v="2026-08-04T13:59:32"/>
    <d v="2026-08-04T13:59:32"/>
    <s v="Amanda Robinson"/>
    <x v="0"/>
    <s v="amanda.robinson263@icloud.com"/>
    <s v="Leather Wallet - Brown"/>
    <x v="7"/>
    <s v="Accessories"/>
    <x v="8"/>
    <n v="1"/>
    <n v="19.989999999999998"/>
    <n v="19.989999999999998"/>
    <s v="FREESHIP"/>
    <x v="5"/>
    <n v="0"/>
    <n v="0"/>
    <s v="Number"/>
    <n v="0"/>
    <n v="0"/>
    <n v="19.989999999999998"/>
    <n v="19.989999999999998"/>
    <n v="19.989999999999998"/>
    <s v="True"/>
    <s v="Normal"/>
    <s v="PayPal"/>
    <x v="0"/>
    <s v="cancelled"/>
    <s v="United States"/>
    <s v="Washington"/>
    <s v="Valid"/>
    <s v="Manuelview"/>
  </r>
  <r>
    <s v="#1172"/>
    <n v="1"/>
    <d v="2026-08-04T14:01:00"/>
    <d v="2026-08-04T14:01:00"/>
    <s v="Tina Singh"/>
    <x v="0"/>
    <s v="tina.singh98@icloud.com"/>
    <s v="Leather Wallet - Brown"/>
    <x v="7"/>
    <s v="Accessories"/>
    <x v="8"/>
    <n v="1"/>
    <n v="19.989999999999998"/>
    <n v="19.989999999999998"/>
    <m/>
    <x v="0"/>
    <n v="0"/>
    <n v="0"/>
    <s v="Number"/>
    <n v="5.99"/>
    <n v="5.99"/>
    <n v="25.98"/>
    <n v="25.98"/>
    <n v="25.979999999999997"/>
    <s v="True"/>
    <s v="Normal"/>
    <s v="Credit Card"/>
    <x v="0"/>
    <s v="fulfilled"/>
    <s v="United States"/>
    <s v="Washington"/>
    <s v="Valid"/>
    <s v="East Heathertown"/>
  </r>
  <r>
    <s v="#1229"/>
    <n v="1"/>
    <d v="2026-08-04T14:05:50"/>
    <d v="2026-08-04T14:05:50"/>
    <s v="Randy Wheeler"/>
    <x v="0"/>
    <s v="randy.wheeler304@icloud.com"/>
    <s v="Leather Wallet - Brown"/>
    <x v="7"/>
    <s v="Accessories"/>
    <x v="8"/>
    <n v="1"/>
    <n v="19.989999999999998"/>
    <n v="19.989999999999998"/>
    <m/>
    <x v="0"/>
    <n v="0"/>
    <n v="0"/>
    <s v="Number"/>
    <n v="4.99"/>
    <n v="4.99"/>
    <s v="$24.98"/>
    <n v="24.98"/>
    <n v="24.979999999999997"/>
    <s v="True"/>
    <s v="Normal"/>
    <s v="Credit Card"/>
    <x v="0"/>
    <s v="fulfilled"/>
    <s v="United States"/>
    <s v="North Carolina"/>
    <s v="Valid"/>
    <s v="East Michelleside"/>
  </r>
  <r>
    <s v="#1259"/>
    <n v="1"/>
    <d v="2026-08-04T14:01:00"/>
    <d v="2026-08-04T14:01:00"/>
    <s v="Erika Maxwell"/>
    <x v="0"/>
    <s v="erika.maxwell281@gmail.com"/>
    <s v="Leather Wallet - Brown"/>
    <x v="7"/>
    <s v="Accessories"/>
    <x v="8"/>
    <n v="2"/>
    <n v="19.989999999999998"/>
    <n v="19.989999999999998"/>
    <m/>
    <x v="0"/>
    <n v="0"/>
    <n v="0"/>
    <s v="Number"/>
    <n v="4.99"/>
    <n v="4.99"/>
    <n v="44.97"/>
    <n v="44.97"/>
    <n v="44.97"/>
    <s v="True"/>
    <s v="Normal"/>
    <s v="Google Pay"/>
    <x v="0"/>
    <s v="cancelled"/>
    <s v="United States"/>
    <s v="Washington"/>
    <s v="Valid"/>
    <s v="Owensland"/>
  </r>
  <r>
    <s v="#1280"/>
    <n v="1"/>
    <d v="2026-08-04T13:59:59"/>
    <d v="2026-08-04T13:59:59"/>
    <s v="Corey Hudson"/>
    <x v="0"/>
    <s v="corey.hudson168@gmail.com"/>
    <s v="Leather Wallet - Brown"/>
    <x v="7"/>
    <s v="Accessories"/>
    <x v="8"/>
    <n v="1"/>
    <n v="19.989999999999998"/>
    <n v="19.989999999999998"/>
    <s v="FREESHIP"/>
    <x v="5"/>
    <n v="0"/>
    <n v="0"/>
    <s v="Number"/>
    <n v="0"/>
    <n v="0"/>
    <n v="19.989999999999998"/>
    <n v="19.989999999999998"/>
    <n v="19.989999999999998"/>
    <s v="True"/>
    <s v="Normal"/>
    <s v="PayPal"/>
    <x v="0"/>
    <s v="fulfilled"/>
    <s v="United States"/>
    <s v="Georgia"/>
    <s v="Valid"/>
    <s v="Jonathanfort"/>
  </r>
  <r>
    <s v="#1284"/>
    <n v="1"/>
    <d v="2026-08-04T14:04:15"/>
    <d v="2026-08-04T14:04:15"/>
    <s v="Jesus Mason"/>
    <x v="0"/>
    <s v="jesus.mason798@icloud.com"/>
    <s v="Leather Wallet - Brown"/>
    <x v="7"/>
    <s v="Accessories"/>
    <x v="8"/>
    <n v="4"/>
    <n v="19.989999999999998"/>
    <n v="19.989999999999998"/>
    <m/>
    <x v="0"/>
    <n v="0"/>
    <n v="0"/>
    <s v="Number"/>
    <n v="0"/>
    <n v="0"/>
    <s v="$79.96"/>
    <n v="79.959999999999994"/>
    <n v="79.959999999999994"/>
    <s v="True"/>
    <s v="Normal"/>
    <s v="Apple Pay"/>
    <x v="0"/>
    <s v="cancelled"/>
    <s v="United States"/>
    <s v="California"/>
    <s v="Valid"/>
    <s v="Kevinmouth"/>
  </r>
  <r>
    <s v="#1313"/>
    <n v="1"/>
    <d v="2026-08-04T00:00:00"/>
    <s v="04-08-2026 14:01"/>
    <s v="Joshua Owens"/>
    <x v="0"/>
    <s v="joshua.owens56@icloud.com"/>
    <s v="Leather Wallet - Brown  "/>
    <x v="7"/>
    <s v="Accessories"/>
    <x v="8"/>
    <n v="1"/>
    <s v="$19.99"/>
    <n v="19.989999999999998"/>
    <s v="VIP15"/>
    <x v="4"/>
    <n v="3"/>
    <n v="3"/>
    <s v="Number"/>
    <n v="4.99"/>
    <n v="4.99"/>
    <n v="21.98"/>
    <n v="21.98"/>
    <n v="21.979999999999997"/>
    <s v="True"/>
    <s v="Normal"/>
    <s v="Shopify Payments"/>
    <x v="0"/>
    <s v="cancelled"/>
    <s v="United States"/>
    <s v="North Carolina"/>
    <s v="Valid"/>
    <s v="West Raymondbury"/>
  </r>
  <r>
    <s v="#1399"/>
    <n v="1"/>
    <d v="2026-08-04T14:00:49"/>
    <d v="2026-08-04T14:00:49"/>
    <s v="vicki johnson"/>
    <x v="0"/>
    <s v="vicki.johnson369@outlook.com"/>
    <s v="Leather Wallet - Brown"/>
    <x v="7"/>
    <s v="Accessories"/>
    <x v="8"/>
    <n v="1"/>
    <n v="19.989999999999998"/>
    <n v="19.989999999999998"/>
    <s v="FREESHIP"/>
    <x v="5"/>
    <n v="0"/>
    <n v="0"/>
    <s v="Number"/>
    <n v="0"/>
    <n v="0"/>
    <n v="19.989999999999998"/>
    <n v="19.989999999999998"/>
    <n v="19.989999999999998"/>
    <s v="True"/>
    <s v="Normal"/>
    <s v="Google Pay"/>
    <x v="2"/>
    <s v="fulfilled"/>
    <s v="Canada"/>
    <m/>
    <s v="Not Required"/>
    <s v="Jamesmouth"/>
  </r>
  <r>
    <s v="#1424"/>
    <n v="1"/>
    <d v="2026-08-04T14:01:12"/>
    <d v="2026-08-04T14:01:12"/>
    <s v="Patricia Townsend"/>
    <x v="0"/>
    <s v="patricia.townsend96@yahoo.com"/>
    <s v="Leather Wallet - Brown"/>
    <x v="7"/>
    <s v="Accessories"/>
    <x v="8"/>
    <n v="1"/>
    <n v="19.989999999999998"/>
    <n v="19.989999999999998"/>
    <s v="WELCOME10"/>
    <x v="1"/>
    <n v="2"/>
    <n v="2"/>
    <s v="Number"/>
    <n v="4.99"/>
    <n v="4.99"/>
    <n v="22.98"/>
    <n v="22.98"/>
    <n v="22.979999999999997"/>
    <s v="True"/>
    <s v="Normal"/>
    <s v="Shopify Payments"/>
    <x v="0"/>
    <s v="fulfilled"/>
    <s v="United States"/>
    <s v="Georgia"/>
    <s v="Valid"/>
    <s v="Lisamouth"/>
  </r>
  <r>
    <s v="#1476"/>
    <n v="1"/>
    <d v="2026-08-04T14:00:56"/>
    <d v="2026-08-04T14:00:56"/>
    <s v="Lauren Nguyen"/>
    <x v="0"/>
    <s v="lauren.nguyen819@outlook.com"/>
    <s v="Leather Wallet - Brown"/>
    <x v="7"/>
    <s v="Accessories"/>
    <x v="8"/>
    <n v="1"/>
    <n v="19.989999999999998"/>
    <n v="19.989999999999998"/>
    <s v="WELCOME10"/>
    <x v="1"/>
    <n v="2"/>
    <n v="2"/>
    <s v="Number"/>
    <n v="7.99"/>
    <n v="7.99"/>
    <n v="25.98"/>
    <n v="25.98"/>
    <n v="25.979999999999997"/>
    <s v="True"/>
    <s v="Normal"/>
    <s v="Apple Pay"/>
    <x v="1"/>
    <s v="fulfilled"/>
    <s v="United Kingdom"/>
    <m/>
    <s v="Not Required"/>
    <s v="Garzachester"/>
  </r>
  <r>
    <s v="#1486"/>
    <n v="1"/>
    <d v="2026-08-04T14:02:07"/>
    <d v="2026-08-04T14:02:07"/>
    <s v="Glenn Smith"/>
    <x v="0"/>
    <s v="glenn.smith305@gmail.com"/>
    <s v="Leather Wallet - Brown"/>
    <x v="7"/>
    <s v="Accessories"/>
    <x v="8"/>
    <n v="3"/>
    <n v="19.989999999999998"/>
    <n v="19.989999999999998"/>
    <s v="FREESHIP"/>
    <x v="5"/>
    <n v="0"/>
    <n v="0"/>
    <s v="Number"/>
    <n v="0"/>
    <n v="0"/>
    <n v="59.97"/>
    <n v="59.97"/>
    <n v="59.97"/>
    <s v="True"/>
    <s v="Normal"/>
    <s v="PayPal"/>
    <x v="1"/>
    <s v="fulfilled"/>
    <s v="Canada"/>
    <m/>
    <s v="Not Required"/>
    <s v="Markport"/>
  </r>
  <r>
    <s v="#1540"/>
    <n v="1"/>
    <d v="2026-08-04T14:07:01"/>
    <d v="2026-08-04T14:07:01"/>
    <s v="Natalie Dixon"/>
    <x v="0"/>
    <s v="natalie.dixon388@outlook.com"/>
    <s v="Leather Wallet - Brown"/>
    <x v="7"/>
    <s v="Accessories"/>
    <x v="8"/>
    <n v="1"/>
    <n v="19.989999999999998"/>
    <n v="19.989999999999998"/>
    <s v="VIP15"/>
    <x v="4"/>
    <n v="3"/>
    <n v="3"/>
    <s v="Number"/>
    <n v="4.99"/>
    <n v="4.99"/>
    <n v="21.98"/>
    <n v="21.98"/>
    <n v="21.979999999999997"/>
    <s v="True"/>
    <s v="Normal"/>
    <s v="Google Pay"/>
    <x v="0"/>
    <s v="refunded"/>
    <s v="United States"/>
    <s v="Canada"/>
    <s v="Valid"/>
    <s v="Port Richardfurt"/>
  </r>
  <r>
    <s v="#1607"/>
    <n v="1"/>
    <d v="2026-08-04T14:02:11"/>
    <d v="2026-08-04T14:02:11"/>
    <s v="Brooke Crawford"/>
    <x v="0"/>
    <s v="brooke.crawford896@outlook.com"/>
    <s v="Leather Wallet - Brown"/>
    <x v="7"/>
    <s v="Accessories"/>
    <x v="8"/>
    <n v="1"/>
    <n v="19.989999999999998"/>
    <n v="19.989999999999998"/>
    <m/>
    <x v="0"/>
    <n v="0"/>
    <n v="0"/>
    <s v="Number"/>
    <n v="4.99"/>
    <n v="4.99"/>
    <n v="24.98"/>
    <n v="24.98"/>
    <n v="24.979999999999997"/>
    <s v="True"/>
    <s v="Normal"/>
    <s v="Shopify Payments"/>
    <x v="3"/>
    <s v="cancelled"/>
    <s v="Pakistan"/>
    <m/>
    <s v="Not Required"/>
    <s v="Allentown"/>
  </r>
  <r>
    <s v="#1612"/>
    <n v="1"/>
    <d v="2026-08-04T14:05:18"/>
    <d v="2026-08-04T14:05:18"/>
    <s v="Timothy Weaver"/>
    <x v="0"/>
    <s v="timothy.weaver591@gmail.com"/>
    <s v="Leather Wallet - Brown"/>
    <x v="7"/>
    <s v="Accessories"/>
    <x v="8"/>
    <n v="2"/>
    <n v="19.989999999999998"/>
    <n v="19.989999999999998"/>
    <m/>
    <x v="0"/>
    <n v="0"/>
    <n v="0"/>
    <s v="Number"/>
    <n v="7.99"/>
    <n v="7.99"/>
    <n v="47.97"/>
    <n v="47.97"/>
    <n v="47.97"/>
    <s v="True"/>
    <s v="Normal"/>
    <s v="Apple Pay"/>
    <x v="1"/>
    <s v="refunded"/>
    <s v="Australia"/>
    <m/>
    <s v="Not Required"/>
    <s v="Billyton"/>
  </r>
  <r>
    <s v="#1633"/>
    <n v="1"/>
    <d v="2026-08-04T13:58:56"/>
    <d v="2026-08-04T13:58:56"/>
    <s v="Gloria Ballard"/>
    <x v="0"/>
    <s v="gloria.ballard194@outlook.com"/>
    <s v="Leather Wallet - Brown"/>
    <x v="7"/>
    <s v="Accessories"/>
    <x v="8"/>
    <n v="1"/>
    <n v="19.989999999999998"/>
    <n v="19.989999999999998"/>
    <s v="VIP15"/>
    <x v="4"/>
    <n v="3"/>
    <n v="3"/>
    <s v="Number"/>
    <n v="5.99"/>
    <n v="5.99"/>
    <n v="22.98"/>
    <n v="22.98"/>
    <n v="22.979999999999997"/>
    <s v="True"/>
    <s v="Normal"/>
    <s v="Credit Card"/>
    <x v="2"/>
    <s v="refunded"/>
    <s v="Germany"/>
    <m/>
    <s v="Not Required"/>
    <s v="East Jenniferport"/>
  </r>
  <r>
    <s v="#1703"/>
    <n v="1"/>
    <d v="2026-08-04T13:57:19"/>
    <d v="2026-08-04T13:57:19"/>
    <s v="Luke Keller"/>
    <x v="0"/>
    <s v="luke.keller471@icloud.com"/>
    <s v="Leather Wallet - Brown"/>
    <x v="7"/>
    <s v="Accessories"/>
    <x v="8"/>
    <n v="1"/>
    <n v="19.989999999999998"/>
    <n v="19.989999999999998"/>
    <s v="FREESHIP"/>
    <x v="5"/>
    <n v="0"/>
    <n v="0"/>
    <s v="Number"/>
    <n v="0"/>
    <n v="0"/>
    <n v="19.989999999999998"/>
    <n v="19.989999999999998"/>
    <n v="19.989999999999998"/>
    <s v="True"/>
    <s v="Normal"/>
    <s v="Shopify Payments"/>
    <x v="2"/>
    <s v="pending"/>
    <s v="United States"/>
    <s v="Georgia"/>
    <s v="Valid"/>
    <s v="Port Crystalmouth"/>
  </r>
  <r>
    <s v="#1705"/>
    <n v="1"/>
    <d v="2026-08-04T13:59:37"/>
    <d v="2026-08-04T13:59:37"/>
    <s v="Sandra Wilson"/>
    <x v="1"/>
    <m/>
    <s v="Leather Wallet - Brown"/>
    <x v="7"/>
    <s v="Accessories"/>
    <x v="8"/>
    <n v="1"/>
    <n v="19.989999999999998"/>
    <n v="19.989999999999998"/>
    <s v="VIP15"/>
    <x v="4"/>
    <n v="3"/>
    <n v="3"/>
    <s v="Number"/>
    <n v="4.99"/>
    <n v="4.99"/>
    <n v="21.98"/>
    <n v="21.98"/>
    <n v="21.979999999999997"/>
    <s v="True"/>
    <s v="Normal"/>
    <s v="Google Pay"/>
    <x v="0"/>
    <s v="fulfilled"/>
    <s v="Canada"/>
    <m/>
    <s v="Not Required"/>
    <s v="Erichaven"/>
  </r>
  <r>
    <s v="#1708"/>
    <n v="1"/>
    <d v="2026-08-04T14:07:09"/>
    <d v="2026-08-04T14:07:09"/>
    <s v="William Houston"/>
    <x v="0"/>
    <s v="william.houston340@outlook.com"/>
    <s v="Leather Wallet - Brown"/>
    <x v="7"/>
    <s v="Accessories"/>
    <x v="8"/>
    <n v="1"/>
    <n v="19.989999999999998"/>
    <n v="19.989999999999998"/>
    <m/>
    <x v="0"/>
    <n v="0"/>
    <n v="0"/>
    <s v="Number"/>
    <n v="7.99"/>
    <n v="7.99"/>
    <n v="27.98"/>
    <n v="27.98"/>
    <n v="27.979999999999997"/>
    <s v="True"/>
    <s v="Normal"/>
    <s v="Shopify Payments"/>
    <x v="0"/>
    <s v="refunded"/>
    <s v="United States"/>
    <s v="TX"/>
    <s v="Valid"/>
    <s v="Mariaport"/>
  </r>
  <r>
    <s v="#1771"/>
    <n v="1"/>
    <d v="2026-08-04T14:06:36"/>
    <d v="2026-08-04T14:06:36"/>
    <s v="Adam Krause"/>
    <x v="0"/>
    <s v="adam.krause31@yahoo.com"/>
    <s v="Leather Wallet - Brown"/>
    <x v="7"/>
    <s v="Accessories"/>
    <x v="8"/>
    <n v="1"/>
    <n v="19.989999999999998"/>
    <n v="19.989999999999998"/>
    <m/>
    <x v="0"/>
    <n v="0"/>
    <n v="0"/>
    <s v="Number"/>
    <n v="5.99"/>
    <n v="5.99"/>
    <s v="$25.98"/>
    <n v="25.98"/>
    <n v="25.979999999999997"/>
    <s v="True"/>
    <s v="Normal"/>
    <s v="PayPal"/>
    <x v="0"/>
    <s v="refunded"/>
    <s v="United States"/>
    <s v="Illinois"/>
    <s v="Valid"/>
    <s v="East Aaron"/>
  </r>
  <r>
    <s v="#1787"/>
    <n v="1"/>
    <d v="2026-08-04T14:07:21"/>
    <d v="2026-08-04T14:07:21"/>
    <s v="Sandra Wilson"/>
    <x v="0"/>
    <s v="sandra.wilson554@outlook.com"/>
    <s v="Leather Wallet - Brown"/>
    <x v="7"/>
    <s v="Accessories"/>
    <x v="8"/>
    <n v="1"/>
    <n v="19.989999999999998"/>
    <n v="19.989999999999998"/>
    <m/>
    <x v="0"/>
    <n v="0"/>
    <n v="0"/>
    <s v="Number"/>
    <n v="4.99"/>
    <n v="4.99"/>
    <n v="24.98"/>
    <n v="24.98"/>
    <n v="24.979999999999997"/>
    <s v="True"/>
    <s v="Normal"/>
    <s v="Shopify Payments"/>
    <x v="0"/>
    <s v="fulfilled"/>
    <s v="Canada"/>
    <m/>
    <s v="Not Required"/>
    <s v="New Melissashire"/>
  </r>
  <r>
    <s v="#1834"/>
    <n v="1"/>
    <d v="2026-08-04T14:06:45"/>
    <d v="2026-08-04T14:06:45"/>
    <s v="Natalie Dixon"/>
    <x v="0"/>
    <s v="natalie.dixon388@outlook.com"/>
    <s v="Leather Wallet - Brown"/>
    <x v="7"/>
    <s v="Accessories"/>
    <x v="8"/>
    <n v="4"/>
    <n v="19.989999999999998"/>
    <n v="19.989999999999998"/>
    <m/>
    <x v="0"/>
    <n v="0"/>
    <n v="0"/>
    <s v="Number"/>
    <n v="0"/>
    <n v="0"/>
    <n v="79.959999999999994"/>
    <n v="79.959999999999994"/>
    <n v="79.959999999999994"/>
    <s v="True"/>
    <s v="Normal"/>
    <s v="PayPal"/>
    <x v="3"/>
    <s v="fulfilled"/>
    <s v="United States"/>
    <s v="TX"/>
    <s v="Valid"/>
    <s v="Jennyfurt"/>
  </r>
  <r>
    <s v="#1862"/>
    <n v="1"/>
    <d v="2026-08-04T13:57:23"/>
    <d v="2026-08-04T13:57:23"/>
    <s v="Jennifer Burke"/>
    <x v="0"/>
    <s v="jennifer.burke472@icloud.com"/>
    <s v="Leather Wallet - Brown"/>
    <x v="7"/>
    <s v="Accessories"/>
    <x v="8"/>
    <n v="1"/>
    <n v="19.989999999999998"/>
    <n v="19.989999999999998"/>
    <m/>
    <x v="0"/>
    <n v="0"/>
    <n v="0"/>
    <s v="Number"/>
    <n v="7.99"/>
    <n v="7.99"/>
    <n v="27.98"/>
    <n v="27.98"/>
    <n v="27.979999999999997"/>
    <s v="True"/>
    <s v="Normal"/>
    <s v="Google Pay"/>
    <x v="1"/>
    <s v="fulfilled"/>
    <s v="Pakistan"/>
    <m/>
    <s v="Not Required"/>
    <s v="Port Jason"/>
  </r>
  <r>
    <s v="#1896"/>
    <n v="1"/>
    <d v="2026-04-08T00:00:00"/>
    <s v="08/04/2026"/>
    <s v="Linda Scott"/>
    <x v="0"/>
    <s v="linda.scott2@icloud.com"/>
    <s v="Leather Wallet - Brown"/>
    <x v="7"/>
    <s v="Accessories"/>
    <x v="8"/>
    <n v="1"/>
    <n v="19.989999999999998"/>
    <n v="19.989999999999998"/>
    <s v="BFCM25"/>
    <x v="3"/>
    <n v="5"/>
    <n v="5"/>
    <s v="Number"/>
    <n v="7.99"/>
    <n v="7.99"/>
    <n v="22.98"/>
    <n v="22.98"/>
    <n v="22.979999999999997"/>
    <s v="True"/>
    <s v="Normal"/>
    <s v="Credit Card"/>
    <x v="1"/>
    <s v="refunded"/>
    <s v="Canada"/>
    <m/>
    <s v="Not Required"/>
    <s v="Lake Brentland"/>
  </r>
  <r>
    <s v="#1898"/>
    <n v="1"/>
    <d v="2026-08-04T14:01:57"/>
    <d v="2026-08-04T14:01:57"/>
    <s v="David Hayden"/>
    <x v="0"/>
    <s v="david.hayden411@outlook.com"/>
    <s v="Leather Wallet - Brown"/>
    <x v="7"/>
    <s v="Accessories"/>
    <x v="8"/>
    <n v="1"/>
    <n v="19.989999999999998"/>
    <n v="19.989999999999998"/>
    <m/>
    <x v="0"/>
    <n v="0"/>
    <n v="0"/>
    <s v="Number"/>
    <n v="5.99"/>
    <n v="5.99"/>
    <n v="25.98"/>
    <n v="25.98"/>
    <n v="25.979999999999997"/>
    <s v="True"/>
    <s v="Normal"/>
    <s v="Shopify Payments"/>
    <x v="2"/>
    <s v="fulfilled"/>
    <s v="Australia"/>
    <m/>
    <s v="Not Required"/>
    <s v="Westfurt"/>
  </r>
  <r>
    <s v="#1904"/>
    <n v="1"/>
    <d v="2026-04-08T00:00:00"/>
    <s v="08/04/2026"/>
    <s v="christopher osborne"/>
    <x v="0"/>
    <s v="christopher.osborne481@yahoo.com"/>
    <s v="Leather Wallet - Brown"/>
    <x v="7"/>
    <s v="Accessories"/>
    <x v="8"/>
    <n v="1"/>
    <n v="19.989999999999998"/>
    <n v="19.989999999999998"/>
    <m/>
    <x v="0"/>
    <n v="0"/>
    <n v="0"/>
    <s v="Number"/>
    <n v="7.99"/>
    <n v="7.99"/>
    <n v="27.98"/>
    <n v="27.98"/>
    <n v="27.979999999999997"/>
    <s v="True"/>
    <s v="Normal"/>
    <s v="Credit Card"/>
    <x v="1"/>
    <s v="fulfilled"/>
    <s v="United States"/>
    <s v="Canada"/>
    <s v="Valid"/>
    <s v="West Adamport"/>
  </r>
  <r>
    <s v="#1940"/>
    <n v="1"/>
    <d v="2026-08-04T14:05:10"/>
    <d v="2026-08-04T14:05:10"/>
    <s v="Andrew Wheeler"/>
    <x v="0"/>
    <s v="andrew.wheeler379@yahoo.com"/>
    <s v="Leather Wallet - Brown"/>
    <x v="7"/>
    <s v="Accessories"/>
    <x v="8"/>
    <n v="1"/>
    <n v="19.989999999999998"/>
    <n v="19.989999999999998"/>
    <s v="VIP15"/>
    <x v="4"/>
    <n v="3"/>
    <n v="3"/>
    <s v="Number"/>
    <n v="7.99"/>
    <n v="7.99"/>
    <n v="24.98"/>
    <n v="24.98"/>
    <n v="24.979999999999997"/>
    <s v="True"/>
    <s v="Normal"/>
    <s v="Google Pay"/>
    <x v="3"/>
    <s v="pending"/>
    <s v="United States"/>
    <s v="New York"/>
    <s v="Valid"/>
    <s v="New Chad"/>
  </r>
  <r>
    <s v="#1943"/>
    <n v="1"/>
    <d v="2026-08-04T13:55:41"/>
    <d v="2026-08-04T13:55:41"/>
    <s v="William Young"/>
    <x v="0"/>
    <s v="william.young346@outlook.com"/>
    <s v="Leather Wallet - Brown"/>
    <x v="7"/>
    <s v="Accessories"/>
    <x v="8"/>
    <n v="1"/>
    <n v="19.989999999999998"/>
    <n v="19.989999999999998"/>
    <s v="FREESHIP"/>
    <x v="5"/>
    <n v="0"/>
    <n v="0"/>
    <s v="Number"/>
    <n v="0"/>
    <n v="0"/>
    <s v="$19.99"/>
    <n v="19.989999999999998"/>
    <n v="19.989999999999998"/>
    <s v="True"/>
    <s v="Normal"/>
    <s v="Credit Card"/>
    <x v="3"/>
    <s v="pending"/>
    <s v="United States"/>
    <s v="New York"/>
    <s v="Valid"/>
    <s v="Martinezmouth"/>
  </r>
  <r>
    <s v="#2030"/>
    <n v="1"/>
    <d v="2026-08-04T13:56:04"/>
    <d v="2026-08-04T13:56:04"/>
    <s v="Charles Franco"/>
    <x v="0"/>
    <s v="charles.franco761@outlook.com"/>
    <s v="Leather Wallet - Brown"/>
    <x v="7"/>
    <s v="Accessories"/>
    <x v="8"/>
    <n v="2"/>
    <n v="19.989999999999998"/>
    <n v="19.989999999999998"/>
    <m/>
    <x v="0"/>
    <n v="0"/>
    <n v="0"/>
    <s v="Number"/>
    <n v="5.99"/>
    <n v="5.99"/>
    <n v="45.97"/>
    <n v="45.97"/>
    <n v="45.97"/>
    <s v="True"/>
    <s v="Normal"/>
    <s v="Google Pay"/>
    <x v="0"/>
    <s v="fulfilled"/>
    <s v="United States"/>
    <s v="Florida"/>
    <s v="Valid"/>
    <s v="Alexanderville"/>
  </r>
  <r>
    <s v="#2074"/>
    <n v="1"/>
    <d v="2026-08-04T14:07:28"/>
    <d v="2026-08-04T14:07:28"/>
    <s v="Carrie Boyd"/>
    <x v="0"/>
    <s v="carrie.boyd968@gmail.com"/>
    <s v="Leather Wallet - Brown"/>
    <x v="7"/>
    <s v="Accessories"/>
    <x v="8"/>
    <n v="1"/>
    <n v="19.989999999999998"/>
    <n v="19.989999999999998"/>
    <m/>
    <x v="0"/>
    <n v="0"/>
    <n v="0"/>
    <s v="Number"/>
    <n v="5.99"/>
    <n v="5.99"/>
    <n v="25.98"/>
    <n v="25.98"/>
    <n v="25.979999999999997"/>
    <s v="True"/>
    <s v="Normal"/>
    <s v="Google Pay"/>
    <x v="0"/>
    <s v="fulfilled"/>
    <s v="United States"/>
    <s v="Illinois"/>
    <s v="Valid"/>
    <s v="Allenport"/>
  </r>
  <r>
    <s v="#2096"/>
    <n v="1"/>
    <d v="2026-04-08T00:00:00"/>
    <s v="08/04/2026"/>
    <s v="Bryan, Cynthia"/>
    <x v="0"/>
    <s v="cynthia.bryan502@icloud.com"/>
    <s v="Leather Wallet - Brown"/>
    <x v="7"/>
    <s v="Accessories"/>
    <x v="8"/>
    <n v="2"/>
    <n v="19.989999999999998"/>
    <n v="19.989999999999998"/>
    <m/>
    <x v="0"/>
    <n v="0"/>
    <n v="0"/>
    <s v="Number"/>
    <n v="7.99"/>
    <n v="7.99"/>
    <n v="47.97"/>
    <n v="47.97"/>
    <n v="47.97"/>
    <s v="True"/>
    <s v="Normal"/>
    <s v="Credit Card"/>
    <x v="0"/>
    <s v="fulfilled"/>
    <s v="United States"/>
    <s v="Illinois"/>
    <s v="Valid"/>
    <s v="Hendersonville"/>
  </r>
  <r>
    <s v="#2131"/>
    <n v="1"/>
    <d v="2026-08-04T14:05:49"/>
    <d v="2026-08-04T14:05:49"/>
    <s v="Amanda Rodriguez"/>
    <x v="0"/>
    <s v="amanda.rodriguez770@yahoo.com"/>
    <s v="Leather Wallet - Brown"/>
    <x v="7"/>
    <s v="Accessories"/>
    <x v="8"/>
    <n v="1"/>
    <n v="19.989999999999998"/>
    <n v="19.989999999999998"/>
    <s v="SAVE20"/>
    <x v="2"/>
    <n v="4"/>
    <n v="4"/>
    <s v="Number"/>
    <n v="5.99"/>
    <n v="5.99"/>
    <n v="21.98"/>
    <n v="21.98"/>
    <n v="21.979999999999997"/>
    <s v="True"/>
    <s v="Normal"/>
    <s v="Apple Pay"/>
    <x v="0"/>
    <s v="refunded"/>
    <s v="United States"/>
    <s v="Washington"/>
    <s v="Valid"/>
    <s v="New Cynthia"/>
  </r>
  <r>
    <s v="#2155"/>
    <n v="1"/>
    <d v="2026-08-04T14:01:49"/>
    <d v="2026-08-04T14:01:49"/>
    <s v="Christopher Lopez"/>
    <x v="1"/>
    <m/>
    <s v="Leather Wallet - Brown"/>
    <x v="7"/>
    <s v="Accessories"/>
    <x v="8"/>
    <n v="2"/>
    <n v="19.989999999999998"/>
    <n v="19.989999999999998"/>
    <s v="BFCM25"/>
    <x v="3"/>
    <n v="9.99"/>
    <n v="9.99"/>
    <s v="Number"/>
    <n v="7.99"/>
    <n v="7.99"/>
    <n v="37.979999999999997"/>
    <n v="37.979999999999997"/>
    <n v="37.979999999999997"/>
    <s v="True"/>
    <s v="Normal"/>
    <s v="Shopify Payments"/>
    <x v="1"/>
    <s v="cancelled"/>
    <s v="Pakistan"/>
    <m/>
    <s v="Not Required"/>
    <s v="New Annamouth"/>
  </r>
  <r>
    <s v="#2188"/>
    <n v="1"/>
    <d v="2026-08-04T14:04:27"/>
    <d v="2026-08-04T14:04:27"/>
    <s v="Thomas Rojas"/>
    <x v="0"/>
    <s v="thomas.rojas667@icloud.com"/>
    <s v="Leather Wallet - Brown"/>
    <x v="7"/>
    <s v="Accessories"/>
    <x v="8"/>
    <n v="2"/>
    <n v="19.989999999999998"/>
    <n v="19.989999999999998"/>
    <m/>
    <x v="0"/>
    <n v="0"/>
    <n v="0"/>
    <s v="Number"/>
    <n v="7.99"/>
    <n v="7.99"/>
    <n v="47.97"/>
    <n v="47.97"/>
    <n v="47.97"/>
    <s v="True"/>
    <s v="Normal"/>
    <s v="Credit Card"/>
    <x v="3"/>
    <s v="fulfilled"/>
    <s v="United States"/>
    <s v="Georgia"/>
    <s v="Valid"/>
    <s v="Rodriguezbury"/>
  </r>
  <r>
    <s v="#2205"/>
    <n v="1"/>
    <d v="2026-08-04T14:04:10"/>
    <d v="2026-08-04T14:04:10"/>
    <s v="Rebecca Watts"/>
    <x v="0"/>
    <s v="rebecca.watts779@gmail.com"/>
    <s v="Leather Wallet - Brown"/>
    <x v="7"/>
    <s v="Accessories"/>
    <x v="8"/>
    <n v="1"/>
    <n v="19.989999999999998"/>
    <n v="19.989999999999998"/>
    <s v="SAVE20"/>
    <x v="2"/>
    <n v="4"/>
    <n v="4"/>
    <s v="Number"/>
    <n v="5.99"/>
    <n v="5.99"/>
    <n v="21.98"/>
    <n v="21.98"/>
    <n v="21.979999999999997"/>
    <s v="True"/>
    <s v="Normal"/>
    <s v="PayPal"/>
    <x v="3"/>
    <s v="fulfilled"/>
    <s v="United States"/>
    <s v="Arizona"/>
    <s v="Valid"/>
    <s v="New Thomaston"/>
  </r>
  <r>
    <s v="#2220"/>
    <n v="1"/>
    <d v="2026-08-04T14:07:26"/>
    <d v="2026-08-04T14:07:26"/>
    <s v="Brian Shaffer"/>
    <x v="0"/>
    <s v="brian.shaffer90@yahoo.com"/>
    <s v="Leather Wallet - Brown"/>
    <x v="7"/>
    <s v="Accessories"/>
    <x v="8"/>
    <n v="1"/>
    <n v="19.989999999999998"/>
    <n v="19.989999999999998"/>
    <m/>
    <x v="0"/>
    <n v="0"/>
    <n v="0"/>
    <s v="Number"/>
    <n v="5.99"/>
    <n v="5.99"/>
    <n v="25.98"/>
    <n v="25.98"/>
    <n v="25.979999999999997"/>
    <s v="True"/>
    <s v="Normal"/>
    <s v="Credit Card"/>
    <x v="0"/>
    <s v="fulfilled"/>
    <s v="United States"/>
    <s v="California"/>
    <s v="Valid"/>
    <s v="East Williamport"/>
  </r>
  <r>
    <s v="#2224"/>
    <n v="1"/>
    <d v="2026-08-04T14:00:44"/>
    <d v="2026-08-04T14:00:44"/>
    <s v="Jasmine Parker"/>
    <x v="0"/>
    <s v="jasmine.parker47@icloud.com"/>
    <s v="Leather Wallet - Brown"/>
    <x v="7"/>
    <s v="Accessories"/>
    <x v="8"/>
    <n v="2"/>
    <n v="19.989999999999998"/>
    <n v="19.989999999999998"/>
    <s v="BFCM25"/>
    <x v="3"/>
    <n v="9.99"/>
    <n v="9.99"/>
    <s v="Number"/>
    <n v="7.99"/>
    <n v="7.99"/>
    <n v="37.979999999999997"/>
    <n v="37.979999999999997"/>
    <n v="37.979999999999997"/>
    <s v="True"/>
    <s v="Normal"/>
    <s v="PayPal"/>
    <x v="3"/>
    <s v="fulfilled"/>
    <s v="Pakistan"/>
    <m/>
    <s v="Not Required"/>
    <s v="East Jennifer"/>
  </r>
  <r>
    <s v="#2241"/>
    <n v="1"/>
    <d v="2026-08-04T13:56:10"/>
    <d v="2026-08-04T13:56:10"/>
    <s v="Kayla Morris"/>
    <x v="0"/>
    <s v="kayla.morris339@outlook.com"/>
    <s v="Leather Wallet - Brown"/>
    <x v="7"/>
    <s v="Accessories"/>
    <x v="8"/>
    <n v="1"/>
    <n v="19.989999999999998"/>
    <n v="19.989999999999998"/>
    <m/>
    <x v="0"/>
    <n v="0"/>
    <n v="0"/>
    <s v="Number"/>
    <n v="4.99"/>
    <n v="4.99"/>
    <s v="$24.98"/>
    <n v="24.98"/>
    <n v="24.979999999999997"/>
    <s v="True"/>
    <s v="Normal"/>
    <s v="Credit Card"/>
    <x v="1"/>
    <s v="pending"/>
    <s v="Canada"/>
    <m/>
    <s v="Not Required"/>
    <s v="South Thomas"/>
  </r>
  <r>
    <s v="#2242"/>
    <n v="1"/>
    <d v="2026-08-04T13:54:59"/>
    <d v="2026-08-04T13:54:59"/>
    <s v="James Castro"/>
    <x v="0"/>
    <s v="james.castro923@icloud.com"/>
    <s v="Leather Wallet - Brown"/>
    <x v="7"/>
    <s v="Accessories"/>
    <x v="8"/>
    <n v="1"/>
    <n v="19.989999999999998"/>
    <n v="19.989999999999998"/>
    <s v="VIP15"/>
    <x v="4"/>
    <n v="3"/>
    <n v="3"/>
    <s v="Number"/>
    <n v="7.99"/>
    <n v="7.99"/>
    <n v="24.98"/>
    <n v="24.98"/>
    <n v="24.979999999999997"/>
    <s v="True"/>
    <s v="Normal"/>
    <s v="Credit Card"/>
    <x v="1"/>
    <s v="cancelled"/>
    <s v="Pakistan"/>
    <m/>
    <s v="Not Required"/>
    <s v="Bishopland"/>
  </r>
  <r>
    <s v="#2247"/>
    <n v="1"/>
    <d v="2026-08-04T13:57:50"/>
    <d v="2026-08-04T13:57:50"/>
    <s v="Timothy Sanchez"/>
    <x v="1"/>
    <m/>
    <s v="Leather Wallet - Brown"/>
    <x v="7"/>
    <s v="Accessories"/>
    <x v="8"/>
    <n v="1"/>
    <n v="19.989999999999998"/>
    <n v="19.989999999999998"/>
    <m/>
    <x v="0"/>
    <n v="0"/>
    <n v="0"/>
    <s v="Number"/>
    <n v="5.99"/>
    <n v="5.99"/>
    <s v="$25.98"/>
    <n v="25.98"/>
    <n v="25.979999999999997"/>
    <s v="True"/>
    <s v="Normal"/>
    <s v="Credit Card"/>
    <x v="0"/>
    <s v="cancelled"/>
    <s v="United States"/>
    <s v="Arizona"/>
    <s v="Valid"/>
    <s v="Walkershire"/>
  </r>
  <r>
    <s v="#2260"/>
    <n v="1"/>
    <d v="2026-08-04T13:56:15"/>
    <d v="2026-08-04T13:56:15"/>
    <s v="  Stacey Johnson"/>
    <x v="0"/>
    <s v="stacey.johnson95@gmail.com"/>
    <s v="Leather Wallet - Brown"/>
    <x v="7"/>
    <s v="Accessories"/>
    <x v="8"/>
    <n v="1"/>
    <n v="19.989999999999998"/>
    <n v="19.989999999999998"/>
    <s v="BFCM25"/>
    <x v="3"/>
    <n v="5"/>
    <n v="5"/>
    <s v="Number"/>
    <n v="5.99"/>
    <n v="5.99"/>
    <n v="20.98"/>
    <n v="20.98"/>
    <n v="20.979999999999997"/>
    <s v="True"/>
    <s v="Normal"/>
    <s v="Credit Card"/>
    <x v="2"/>
    <s v="refunded"/>
    <s v="Germany"/>
    <m/>
    <s v="Not Required"/>
    <s v="Simonchester"/>
  </r>
  <r>
    <s v="#2386"/>
    <n v="1"/>
    <d v="2026-08-04T13:58:05"/>
    <d v="2026-08-04T13:58:05"/>
    <s v="Donald Davis"/>
    <x v="0"/>
    <s v="donald.davis404@icloud.com"/>
    <s v="Leather Wallet - Brown"/>
    <x v="7"/>
    <s v="Accessories"/>
    <x v="8"/>
    <n v="1"/>
    <n v="19.989999999999998"/>
    <n v="19.989999999999998"/>
    <s v="BFCM25"/>
    <x v="3"/>
    <n v="5"/>
    <n v="5"/>
    <s v="Number"/>
    <n v="5.99"/>
    <n v="5.99"/>
    <n v="20.98"/>
    <n v="20.98"/>
    <n v="20.979999999999997"/>
    <s v="True"/>
    <s v="Normal"/>
    <s v="Shopify Payments"/>
    <x v="1"/>
    <s v="refunded"/>
    <s v="Canada"/>
    <m/>
    <s v="Not Required"/>
    <s v="West Katherine"/>
  </r>
  <r>
    <s v="#2393"/>
    <n v="1"/>
    <d v="2026-08-04T00:00:00"/>
    <s v="2026-08-04"/>
    <s v="BRYAN BARNES"/>
    <x v="0"/>
    <s v="bryan.barnes666@yahoo.com"/>
    <s v="Leather Wallet - Brown"/>
    <x v="7"/>
    <s v="Accessories"/>
    <x v="8"/>
    <n v="1"/>
    <n v="19.989999999999998"/>
    <n v="19.989999999999998"/>
    <s v="SAVE20"/>
    <x v="2"/>
    <n v="4"/>
    <n v="4"/>
    <s v="Number"/>
    <n v="7.99"/>
    <n v="7.99"/>
    <n v="23.98"/>
    <n v="23.98"/>
    <n v="23.979999999999997"/>
    <s v="True"/>
    <s v="Normal"/>
    <s v="Google Pay"/>
    <x v="0"/>
    <s v="pending"/>
    <s v="United States"/>
    <s v="Illinois"/>
    <s v="Valid"/>
    <s v="South Angel"/>
  </r>
  <r>
    <s v="#2416"/>
    <n v="1"/>
    <d v="2026-08-04T14:03:27"/>
    <d v="2026-08-04T14:03:27"/>
    <s v="Aimee Smith"/>
    <x v="0"/>
    <s v="aimee.smith857@icloud.com"/>
    <s v="Leather Wallet - Brown"/>
    <x v="7"/>
    <s v="Accessories"/>
    <x v="8"/>
    <n v="2"/>
    <n v="19.989999999999998"/>
    <n v="19.989999999999998"/>
    <m/>
    <x v="0"/>
    <n v="0"/>
    <n v="0"/>
    <s v="Number"/>
    <n v="7.99"/>
    <n v="7.99"/>
    <n v="47.97"/>
    <n v="47.97"/>
    <n v="47.97"/>
    <s v="True"/>
    <s v="Normal"/>
    <s v="Credit Card"/>
    <x v="0"/>
    <s v="refunded"/>
    <s v="United Kingdom"/>
    <m/>
    <s v="Not Required"/>
    <s v="East Robertburgh"/>
  </r>
  <r>
    <s v="#2466"/>
    <n v="1"/>
    <d v="2026-08-04T13:55:12"/>
    <d v="2026-08-04T13:55:12"/>
    <s v="Sandra Wilson"/>
    <x v="1"/>
    <m/>
    <s v="Leather Wallet - Brown"/>
    <x v="7"/>
    <s v="Accessories"/>
    <x v="8"/>
    <n v="2"/>
    <n v="19.989999999999998"/>
    <n v="19.989999999999998"/>
    <s v="BFCM25"/>
    <x v="3"/>
    <n v="9.99"/>
    <n v="9.99"/>
    <s v="Number"/>
    <n v="5.99"/>
    <n v="5.99"/>
    <n v="35.979999999999997"/>
    <n v="35.979999999999997"/>
    <n v="35.979999999999997"/>
    <s v="True"/>
    <s v="Normal"/>
    <s v="PayPal"/>
    <x v="0"/>
    <s v="fulfilled"/>
    <s v="Canada"/>
    <m/>
    <s v="Not Required"/>
    <s v="Port Haydentown"/>
  </r>
  <r>
    <s v="#2549"/>
    <n v="1"/>
    <d v="2026-08-04T13:59:54"/>
    <d v="2026-08-04T13:59:54"/>
    <s v="Amanda Harris"/>
    <x v="0"/>
    <s v="amanda.harris197@gmail.com"/>
    <s v="Leather Wallet - Brown"/>
    <x v="7"/>
    <s v="Accessories"/>
    <x v="8"/>
    <n v="1"/>
    <n v="19.989999999999998"/>
    <n v="19.989999999999998"/>
    <m/>
    <x v="0"/>
    <n v="0"/>
    <n v="0"/>
    <s v="Number"/>
    <n v="4.99"/>
    <n v="4.99"/>
    <n v="24.98"/>
    <n v="24.98"/>
    <n v="24.979999999999997"/>
    <s v="True"/>
    <s v="Normal"/>
    <s v="PayPal"/>
    <x v="1"/>
    <s v="fulfilled"/>
    <s v="United States"/>
    <s v="North Carolina"/>
    <s v="Valid"/>
    <s v="Buchananchester"/>
  </r>
  <r>
    <s v="#2575"/>
    <n v="1"/>
    <d v="2026-08-04T00:00:00"/>
    <s v="2026-08-04"/>
    <s v="Carrie Boyd"/>
    <x v="0"/>
    <s v="carrie.boyd968@gmail.com"/>
    <s v="Leather Wallet - Brown"/>
    <x v="7"/>
    <s v="Accessories"/>
    <x v="8"/>
    <n v="1"/>
    <n v="19.989999999999998"/>
    <n v="19.989999999999998"/>
    <s v="BFCM25"/>
    <x v="3"/>
    <s v="$5.00"/>
    <n v="5"/>
    <s v="Number"/>
    <n v="4.99"/>
    <n v="4.99"/>
    <n v="19.98"/>
    <n v="19.98"/>
    <n v="19.979999999999997"/>
    <s v="True"/>
    <s v="Normal"/>
    <s v="Credit Card"/>
    <x v="0"/>
    <s v="fulfilled"/>
    <s v="United States"/>
    <s v="Washington"/>
    <s v="Valid"/>
    <s v="Craigborough"/>
  </r>
  <r>
    <s v="#2581"/>
    <n v="1"/>
    <d v="2026-08-04T14:04:33"/>
    <d v="2026-08-04T14:04:33"/>
    <s v="Lindsay Shaw"/>
    <x v="0"/>
    <s v="lindsay.shaw178@icloud.com"/>
    <s v="Leather Wallet - Brown"/>
    <x v="7"/>
    <s v="Accessories"/>
    <x v="8"/>
    <n v="1"/>
    <n v="19.989999999999998"/>
    <n v="19.989999999999998"/>
    <m/>
    <x v="0"/>
    <n v="0"/>
    <n v="0"/>
    <s v="Number"/>
    <n v="4.99"/>
    <n v="4.99"/>
    <n v="24.98"/>
    <n v="24.98"/>
    <n v="24.979999999999997"/>
    <s v="True"/>
    <s v="Normal"/>
    <s v="Google Pay"/>
    <x v="0"/>
    <s v="refunded"/>
    <s v="United Kingdom"/>
    <m/>
    <s v="Not Required"/>
    <s v="Campbellmouth"/>
  </r>
  <r>
    <s v="#2597"/>
    <n v="1"/>
    <d v="2026-08-04T14:05:13"/>
    <d v="2026-08-04T14:05:13"/>
    <s v="Joe Duran"/>
    <x v="0"/>
    <s v="joe.duran923@icloud.com"/>
    <s v="Leather Wallet - Brown"/>
    <x v="7"/>
    <s v="Accessories"/>
    <x v="8"/>
    <n v="2"/>
    <n v="19.989999999999998"/>
    <n v="19.989999999999998"/>
    <s v="WELCOME10"/>
    <x v="1"/>
    <n v="4"/>
    <n v="4"/>
    <s v="Number"/>
    <n v="7.99"/>
    <n v="7.99"/>
    <n v="43.97"/>
    <n v="43.97"/>
    <n v="43.97"/>
    <s v="True"/>
    <s v="Normal"/>
    <s v="PayPal"/>
    <x v="1"/>
    <s v="fulfilled"/>
    <s v="United States"/>
    <s v="Florida"/>
    <s v="Valid"/>
    <s v="Mcclainfurt"/>
  </r>
  <r>
    <s v="#2718"/>
    <n v="1"/>
    <d v="2026-08-04T14:06:15"/>
    <d v="2026-08-04T14:06:15"/>
    <s v="Margaret Conley"/>
    <x v="0"/>
    <s v="margaret.conley327@icloud.com"/>
    <s v="Leather Wallet - Brown"/>
    <x v="7"/>
    <s v="Accessories"/>
    <x v="8"/>
    <n v="1"/>
    <n v="19.989999999999998"/>
    <n v="19.989999999999998"/>
    <s v="VIP15"/>
    <x v="4"/>
    <n v="3"/>
    <n v="3"/>
    <s v="Number"/>
    <n v="4.99"/>
    <n v="4.99"/>
    <n v="21.98"/>
    <n v="21.98"/>
    <n v="21.979999999999997"/>
    <s v="True"/>
    <s v="Normal"/>
    <s v="PayPal"/>
    <x v="1"/>
    <s v="fulfilled"/>
    <s v="Australia"/>
    <m/>
    <s v="Not Required"/>
    <s v="North Patricialand"/>
  </r>
  <r>
    <s v="#2728"/>
    <n v="1"/>
    <d v="2026-08-04T14:07:45"/>
    <d v="2026-08-04T14:07:45"/>
    <s v="Cody Murray"/>
    <x v="0"/>
    <s v="cody.murray456@gmail.com"/>
    <s v="Leather Wallet - Brown"/>
    <x v="7"/>
    <s v="Accessories"/>
    <x v="8"/>
    <n v="1"/>
    <n v="19.989999999999998"/>
    <n v="19.989999999999998"/>
    <m/>
    <x v="0"/>
    <s v="$0.00"/>
    <n v="0"/>
    <s v="Number"/>
    <n v="7.99"/>
    <n v="7.99"/>
    <n v="27.98"/>
    <n v="27.98"/>
    <n v="27.979999999999997"/>
    <s v="True"/>
    <s v="Normal"/>
    <s v="Credit Card"/>
    <x v="3"/>
    <s v="cancelled"/>
    <s v="United Kingdom"/>
    <m/>
    <s v="Not Required"/>
    <s v="Darrylfort"/>
  </r>
  <r>
    <s v="#2764"/>
    <n v="1"/>
    <d v="2026-08-04T14:00:30"/>
    <d v="2026-08-04T14:00:30"/>
    <s v="Shelly Griffith"/>
    <x v="0"/>
    <s v="shelly.griffith342@icloud.com"/>
    <s v="Leather Wallet - Brown"/>
    <x v="7"/>
    <s v="Accessories"/>
    <x v="8"/>
    <n v="1"/>
    <n v="19.989999999999998"/>
    <n v="19.989999999999998"/>
    <s v="WELCOME10"/>
    <x v="1"/>
    <n v="2"/>
    <n v="2"/>
    <s v="Number"/>
    <n v="5.99"/>
    <n v="5.99"/>
    <n v="23.98"/>
    <n v="23.98"/>
    <n v="23.979999999999997"/>
    <s v="True"/>
    <s v="Normal"/>
    <s v="Google Pay"/>
    <x v="2"/>
    <s v="fulfilled"/>
    <s v="Australia"/>
    <m/>
    <s v="Not Required"/>
    <s v="Calhountown"/>
  </r>
  <r>
    <s v="#2766"/>
    <n v="1"/>
    <d v="2026-08-04T00:00:00"/>
    <s v="2026-08-04"/>
    <s v="Donald Davis"/>
    <x v="0"/>
    <s v="donald.davis404@icloud.com"/>
    <s v="Leather Wallet - Brown"/>
    <x v="7"/>
    <s v="Accessories"/>
    <x v="8"/>
    <n v="1"/>
    <n v="19.989999999999998"/>
    <n v="19.989999999999998"/>
    <m/>
    <x v="0"/>
    <n v="0"/>
    <n v="0"/>
    <s v="Number"/>
    <n v="4.99"/>
    <n v="4.99"/>
    <n v="24.98"/>
    <n v="24.98"/>
    <n v="24.979999999999997"/>
    <s v="True"/>
    <s v="Normal"/>
    <s v="Credit Card"/>
    <x v="3"/>
    <s v="cancelled"/>
    <s v="Canada"/>
    <m/>
    <s v="Not Required"/>
    <s v="West Gabrielside"/>
  </r>
  <r>
    <s v="#2780"/>
    <n v="1"/>
    <d v="2026-08-04T14:04:55"/>
    <d v="2026-08-04T14:04:55"/>
    <s v="Ian Morris"/>
    <x v="0"/>
    <s v="ian.morris90@outlook.com"/>
    <s v="Leather Wallet - Brown"/>
    <x v="7"/>
    <s v="Accessories"/>
    <x v="8"/>
    <n v="1"/>
    <n v="19.989999999999998"/>
    <n v="19.989999999999998"/>
    <s v="VIP15"/>
    <x v="4"/>
    <n v="3"/>
    <n v="3"/>
    <s v="Number"/>
    <n v="7.99"/>
    <n v="7.99"/>
    <n v="24.98"/>
    <n v="24.98"/>
    <n v="24.979999999999997"/>
    <s v="True"/>
    <s v="Normal"/>
    <s v="Credit Card"/>
    <x v="0"/>
    <s v="refunded"/>
    <s v="Pakistan"/>
    <m/>
    <s v="Not Required"/>
    <s v="North Matthewfurt"/>
  </r>
  <r>
    <s v="#2819"/>
    <n v="1"/>
    <d v="2026-08-04T14:04:01"/>
    <d v="2026-08-04T14:04:01"/>
    <s v="Amy Barnett"/>
    <x v="0"/>
    <s v="amy.barnett396@icloud.com"/>
    <s v="Leather Wallet - Brown"/>
    <x v="7"/>
    <s v="Accessories"/>
    <x v="8"/>
    <n v="2"/>
    <s v="$19.99"/>
    <n v="19.989999999999998"/>
    <m/>
    <x v="0"/>
    <n v="0"/>
    <n v="0"/>
    <s v="Number"/>
    <n v="7.99"/>
    <n v="7.99"/>
    <n v="47.97"/>
    <n v="47.97"/>
    <n v="47.97"/>
    <s v="True"/>
    <s v="Normal"/>
    <s v="Shopify Payments"/>
    <x v="1"/>
    <s v="fulfilled"/>
    <s v="Pakistan"/>
    <m/>
    <s v="Not Required"/>
    <s v="East Michellefurt"/>
  </r>
  <r>
    <s v="#2835"/>
    <n v="1"/>
    <d v="2026-08-04T13:55:41"/>
    <d v="2026-08-04T13:55:41"/>
    <s v="Tara Jackson"/>
    <x v="0"/>
    <s v="tara.jackson708@outlook.com"/>
    <s v="Leather Wallet - Brown"/>
    <x v="7"/>
    <s v="Accessories"/>
    <x v="8"/>
    <n v="1"/>
    <n v="19.989999999999998"/>
    <n v="19.989999999999998"/>
    <m/>
    <x v="0"/>
    <n v="0"/>
    <n v="0"/>
    <s v="Number"/>
    <n v="4.99"/>
    <n v="4.99"/>
    <n v="24.98"/>
    <n v="24.98"/>
    <n v="24.979999999999997"/>
    <s v="True"/>
    <s v="Normal"/>
    <s v="Shopify Payments"/>
    <x v="0"/>
    <s v="fulfilled"/>
    <s v="Canada"/>
    <m/>
    <s v="Not Required"/>
    <s v="West Heathershire"/>
  </r>
  <r>
    <s v="#2849"/>
    <n v="1"/>
    <d v="2026-08-04T14:05:36"/>
    <d v="2026-08-04T14:05:36"/>
    <s v="alexandria miller"/>
    <x v="0"/>
    <s v="alexandria.miller414@outlook.com"/>
    <s v="Leather Wallet - Brown"/>
    <x v="7"/>
    <s v="Accessories"/>
    <x v="8"/>
    <n v="1"/>
    <n v="19.989999999999998"/>
    <n v="19.989999999999998"/>
    <s v="BFCM25"/>
    <x v="3"/>
    <n v="5"/>
    <n v="5"/>
    <s v="Number"/>
    <n v="4.99"/>
    <n v="4.99"/>
    <n v="19.98"/>
    <n v="19.98"/>
    <n v="19.979999999999997"/>
    <s v="True"/>
    <s v="Normal"/>
    <s v="Google Pay"/>
    <x v="3"/>
    <s v="fulfilled"/>
    <s v="Australia"/>
    <m/>
    <s v="Not Required"/>
    <s v="Youngshire"/>
  </r>
  <r>
    <s v="#2888"/>
    <n v="1"/>
    <d v="2026-08-04T13:59:49"/>
    <d v="2026-08-04T13:59:49"/>
    <s v="Frederick Bean"/>
    <x v="0"/>
    <s v="frederick.bean141@outlook.com"/>
    <s v="Leather Wallet - Brown"/>
    <x v="7"/>
    <s v="Accessories"/>
    <x v="8"/>
    <n v="2"/>
    <n v="19.989999999999998"/>
    <n v="19.989999999999998"/>
    <m/>
    <x v="0"/>
    <n v="0"/>
    <n v="0"/>
    <s v="Number"/>
    <n v="7.99"/>
    <n v="7.99"/>
    <n v="47.97"/>
    <n v="47.97"/>
    <n v="47.97"/>
    <s v="True"/>
    <s v="Normal"/>
    <s v="Google Pay"/>
    <x v="0"/>
    <s v="pending"/>
    <s v="United States"/>
    <s v="California"/>
    <s v="Valid"/>
    <s v="Barnesville"/>
  </r>
  <r>
    <s v="#2890"/>
    <n v="1"/>
    <d v="2026-08-04T14:00:35"/>
    <d v="2026-08-04T14:00:35"/>
    <s v="Lindsay Shaw"/>
    <x v="0"/>
    <s v="lindsay.shaw178@icloud.com"/>
    <s v="Leather Wallet - Brown"/>
    <x v="7"/>
    <s v="Accessories"/>
    <x v="8"/>
    <n v="2"/>
    <n v="19.989999999999998"/>
    <n v="19.989999999999998"/>
    <s v="FREESHIP"/>
    <x v="5"/>
    <n v="0"/>
    <n v="0"/>
    <s v="Number"/>
    <n v="0"/>
    <n v="0"/>
    <n v="39.979999999999997"/>
    <n v="39.979999999999997"/>
    <n v="39.979999999999997"/>
    <s v="True"/>
    <s v="Normal"/>
    <s v="Credit Card"/>
    <x v="0"/>
    <s v="pending"/>
    <s v="United Kingdom"/>
    <m/>
    <s v="Not Required"/>
    <s v="South Earlburgh"/>
  </r>
  <r>
    <s v="#2930"/>
    <n v="1"/>
    <d v="2026-08-04T13:57:46"/>
    <d v="2026-08-04T13:57:46"/>
    <s v="Morgan Johnson"/>
    <x v="0"/>
    <s v="morgan.johnson938@outlook.com"/>
    <s v="Leather Wallet - Brown"/>
    <x v="7"/>
    <s v="Accessories"/>
    <x v="8"/>
    <n v="1"/>
    <n v="19.989999999999998"/>
    <n v="19.989999999999998"/>
    <s v="SAVE20"/>
    <x v="2"/>
    <n v="4"/>
    <n v="4"/>
    <s v="Number"/>
    <n v="7.99"/>
    <n v="7.99"/>
    <n v="23.98"/>
    <n v="23.98"/>
    <n v="23.979999999999997"/>
    <s v="True"/>
    <s v="Normal"/>
    <s v="Apple Pay"/>
    <x v="0"/>
    <s v="fulfilled"/>
    <s v="Canada"/>
    <m/>
    <s v="Not Required"/>
    <s v="North Tonybury"/>
  </r>
  <r>
    <s v="#2934"/>
    <n v="1"/>
    <d v="2026-08-04T13:55:01"/>
    <d v="2026-08-04T13:55:01"/>
    <s v="Tracy Adams"/>
    <x v="0"/>
    <s v="tracy.adams712@icloud.com"/>
    <s v="Leather Wallet - Brown"/>
    <x v="7"/>
    <s v="Accessories"/>
    <x v="8"/>
    <n v="1"/>
    <n v="19.989999999999998"/>
    <n v="19.989999999999998"/>
    <s v="VIP15"/>
    <x v="4"/>
    <n v="3"/>
    <n v="3"/>
    <s v="Number"/>
    <n v="7.99"/>
    <n v="7.99"/>
    <n v="24.98"/>
    <n v="24.98"/>
    <n v="24.979999999999997"/>
    <s v="True"/>
    <s v="Normal"/>
    <s v="Google Pay"/>
    <x v="0"/>
    <s v="cancelled"/>
    <s v="United States"/>
    <s v="Illinois"/>
    <s v="Valid"/>
    <s v="South Antonio"/>
  </r>
  <r>
    <s v="#2947"/>
    <n v="1"/>
    <d v="2026-08-04T13:53:34"/>
    <d v="2026-08-04T13:53:34"/>
    <s v="Joel Davidson"/>
    <x v="0"/>
    <s v="joel.davidson94@icloud.com"/>
    <s v="Leather Wallet - Brown"/>
    <x v="7"/>
    <s v="Accessories"/>
    <x v="8"/>
    <n v="1"/>
    <n v="19.989999999999998"/>
    <n v="19.989999999999998"/>
    <m/>
    <x v="0"/>
    <n v="0"/>
    <n v="0"/>
    <s v="Number"/>
    <n v="7.99"/>
    <n v="7.99"/>
    <n v="27.98"/>
    <n v="27.98"/>
    <n v="27.979999999999997"/>
    <s v="True"/>
    <s v="Normal"/>
    <s v="Apple Pay"/>
    <x v="3"/>
    <s v="fulfilled"/>
    <s v="United States"/>
    <s v="Arizona"/>
    <s v="Valid"/>
    <s v="Martinezfurt"/>
  </r>
  <r>
    <s v="#2948"/>
    <n v="1"/>
    <d v="2026-08-04T14:01:19"/>
    <d v="2026-08-04T14:01:19"/>
    <s v="Jacqueline Wiley"/>
    <x v="0"/>
    <s v="jacqueline.wiley718@icloud.com"/>
    <s v="Leather Wallet - Brown"/>
    <x v="7"/>
    <s v="Accessories"/>
    <x v="8"/>
    <n v="3"/>
    <n v="19.989999999999998"/>
    <n v="19.989999999999998"/>
    <m/>
    <x v="0"/>
    <n v="0"/>
    <n v="0"/>
    <s v="Number"/>
    <n v="5.99"/>
    <n v="5.99"/>
    <n v="65.959999999999994"/>
    <n v="65.959999999999994"/>
    <n v="65.959999999999994"/>
    <s v="True"/>
    <s v="Normal"/>
    <s v="Apple Pay"/>
    <x v="0"/>
    <s v="fulfilled"/>
    <s v="United States"/>
    <s v="Illinois"/>
    <s v="Valid"/>
    <s v="New John"/>
  </r>
  <r>
    <s v="#2954"/>
    <n v="1"/>
    <d v="2026-08-04T14:07:48"/>
    <d v="2026-08-04T14:07:48"/>
    <s v="Sarah Williams"/>
    <x v="0"/>
    <s v="sarah.williams329@icloud.com"/>
    <s v="Leather Wallet - Brown"/>
    <x v="7"/>
    <s v="Accessories"/>
    <x v="8"/>
    <n v="1"/>
    <n v="19.989999999999998"/>
    <n v="19.989999999999998"/>
    <m/>
    <x v="0"/>
    <n v="0"/>
    <n v="0"/>
    <s v="Number"/>
    <n v="4.99"/>
    <n v="4.99"/>
    <n v="24.98"/>
    <n v="24.98"/>
    <n v="24.979999999999997"/>
    <s v="True"/>
    <s v="Normal"/>
    <s v="PayPal"/>
    <x v="0"/>
    <s v="fulfilled"/>
    <s v="Canada"/>
    <m/>
    <s v="Not Required"/>
    <s v="Smithton"/>
  </r>
  <r>
    <s v="#2958"/>
    <n v="1"/>
    <d v="2026-08-04T14:06:38"/>
    <d v="2026-08-04T14:06:38"/>
    <s v="Walker, Douglas"/>
    <x v="0"/>
    <s v="douglas.walker28@outlook.com"/>
    <s v="Leather Wallet - Brown"/>
    <x v="7"/>
    <s v="Accessories"/>
    <x v="8"/>
    <n v="1"/>
    <n v="19.989999999999998"/>
    <n v="19.989999999999998"/>
    <m/>
    <x v="0"/>
    <n v="0"/>
    <n v="0"/>
    <s v="Number"/>
    <n v="7.99"/>
    <n v="7.99"/>
    <n v="27.98"/>
    <n v="27.98"/>
    <n v="27.979999999999997"/>
    <s v="True"/>
    <s v="Normal"/>
    <s v="Apple Pay"/>
    <x v="0"/>
    <s v="refunded"/>
    <s v="United Kingdom"/>
    <m/>
    <s v="Not Required"/>
    <s v="Hallton"/>
  </r>
  <r>
    <s v="#2982"/>
    <n v="1"/>
    <d v="2026-08-04T13:58:04"/>
    <d v="2026-08-04T13:58:04"/>
    <s v="Bradley Farmer"/>
    <x v="0"/>
    <s v="bradley.farmer290@icloud.com"/>
    <s v="Leather Wallet - Brown"/>
    <x v="7"/>
    <s v="Accessories"/>
    <x v="8"/>
    <n v="1"/>
    <n v="19.989999999999998"/>
    <n v="19.989999999999998"/>
    <s v="VIP15"/>
    <x v="4"/>
    <s v="$3.00"/>
    <n v="3"/>
    <s v="Number"/>
    <n v="7.99"/>
    <n v="7.99"/>
    <n v="24.98"/>
    <n v="24.98"/>
    <n v="24.979999999999997"/>
    <s v="True"/>
    <s v="Normal"/>
    <s v="Credit Card"/>
    <x v="3"/>
    <s v="fulfilled"/>
    <s v="United Kingdom"/>
    <m/>
    <s v="Not Required"/>
    <s v="Port Darryl"/>
  </r>
  <r>
    <s v="#2996"/>
    <n v="1"/>
    <d v="2026-08-04T14:01:20"/>
    <d v="2026-08-04T14:01:20"/>
    <s v="Jack Bryant"/>
    <x v="0"/>
    <s v="jack.bryant173@gmail.com"/>
    <s v="Leather Wallet - Brown"/>
    <x v="7"/>
    <s v="Accessories"/>
    <x v="8"/>
    <n v="1"/>
    <n v="19.989999999999998"/>
    <n v="19.989999999999998"/>
    <s v="BFCM25"/>
    <x v="3"/>
    <n v="5"/>
    <n v="5"/>
    <s v="Number"/>
    <n v="7.99"/>
    <n v="7.99"/>
    <s v="$22.98"/>
    <n v="22.98"/>
    <n v="22.979999999999997"/>
    <s v="True"/>
    <s v="Normal"/>
    <s v="Google Pay"/>
    <x v="0"/>
    <s v="fulfilled"/>
    <s v="Germany"/>
    <m/>
    <s v="Not Required"/>
    <s v="New Denise"/>
  </r>
  <r>
    <s v="#1858"/>
    <n v="1"/>
    <d v="2026-08-04T13:54:44"/>
    <d v="2026-08-04T13:54:44"/>
    <s v="Lisa Zuniga"/>
    <x v="0"/>
    <s v="lisa.zuniga825@outlook.com"/>
    <s v="Leather Wallet   Brown"/>
    <x v="7"/>
    <s v="Accessories"/>
    <x v="8"/>
    <n v="1"/>
    <n v="19.989999999999998"/>
    <n v="19.989999999999998"/>
    <s v="WELCOME10"/>
    <x v="1"/>
    <n v="2"/>
    <n v="2"/>
    <s v="Number"/>
    <n v="5.99"/>
    <n v="5.99"/>
    <n v="23.98"/>
    <n v="23.98"/>
    <n v="23.979999999999997"/>
    <s v="True"/>
    <s v="Normal"/>
    <s v="PayPal"/>
    <x v="1"/>
    <s v="fulfilled"/>
    <s v="Germany"/>
    <m/>
    <s v="Not Required"/>
    <s v="East William"/>
  </r>
  <r>
    <s v="#2161"/>
    <n v="1"/>
    <d v="2026-08-04T13:57:22"/>
    <d v="2026-08-04T13:57:22"/>
    <s v="Victoria Wilson"/>
    <x v="0"/>
    <s v="victoria.wilson114@gmail.com"/>
    <s v="Non Stick Frying Pan 10in"/>
    <x v="8"/>
    <s v="Home &amp; Kitchen"/>
    <x v="9"/>
    <n v="1"/>
    <n v="24.99"/>
    <n v="24.99"/>
    <m/>
    <x v="0"/>
    <n v="0"/>
    <n v="0"/>
    <s v="Number"/>
    <n v="5.99"/>
    <n v="5.99"/>
    <n v="30.98"/>
    <n v="30.98"/>
    <n v="30.979999999999997"/>
    <s v="True"/>
    <s v="Normal"/>
    <s v="Google Pay"/>
    <x v="3"/>
    <s v="fulfilled"/>
    <s v="Canada"/>
    <m/>
    <s v="Not Required"/>
    <s v="West Austin"/>
  </r>
  <r>
    <s v="#1044"/>
    <n v="1"/>
    <d v="2026-08-04T13:54:21"/>
    <d v="2026-08-04T13:54:21"/>
    <s v="Angela Carr"/>
    <x v="0"/>
    <s v="angela.carr488@yahoo.com"/>
    <s v="Non-Stick Frying Pan 10in"/>
    <x v="8"/>
    <s v="Home &amp; Kitchen"/>
    <x v="9"/>
    <n v="1"/>
    <n v="24.99"/>
    <n v="24.99"/>
    <s v="SAVE20"/>
    <x v="2"/>
    <n v="5"/>
    <n v="5"/>
    <s v="Number"/>
    <n v="7.99"/>
    <n v="7.99"/>
    <n v="27.98"/>
    <n v="27.98"/>
    <n v="27.979999999999997"/>
    <s v="True"/>
    <s v="Normal"/>
    <s v="Credit Card"/>
    <x v="3"/>
    <s v="cancelled"/>
    <s v="United States"/>
    <s v="Georgia"/>
    <s v="Valid"/>
    <s v="Bakerborough"/>
  </r>
  <r>
    <s v="#1089"/>
    <n v="1"/>
    <d v="2026-08-04T13:55:06"/>
    <d v="2026-08-04T13:55:06"/>
    <s v="Kimberly Cordova"/>
    <x v="0"/>
    <s v="kimberly.cordova508@icloud.com"/>
    <s v="Non-Stick Frying Pan 10in"/>
    <x v="8"/>
    <s v="Home &amp; Kitchen"/>
    <x v="9"/>
    <n v="1"/>
    <n v="24.99"/>
    <n v="24.99"/>
    <s v="BFCM25"/>
    <x v="3"/>
    <n v="6.25"/>
    <n v="6.25"/>
    <s v="Number"/>
    <n v="7.99"/>
    <n v="7.99"/>
    <n v="26.73"/>
    <n v="26.73"/>
    <n v="26.729999999999997"/>
    <s v="True"/>
    <s v="Normal"/>
    <s v="PayPal"/>
    <x v="0"/>
    <s v="refunded"/>
    <s v="Pakistan"/>
    <m/>
    <s v="Not Required"/>
    <s v="Brendaside"/>
  </r>
  <r>
    <s v="#1118"/>
    <n v="1"/>
    <d v="2026-08-04T14:00:39"/>
    <d v="2026-08-04T14:00:39"/>
    <s v="David Torres"/>
    <x v="1"/>
    <m/>
    <s v="Non-Stick Frying Pan 10in"/>
    <x v="8"/>
    <s v="Home &amp; Kitchen"/>
    <x v="9"/>
    <n v="1"/>
    <n v="24.99"/>
    <n v="24.99"/>
    <m/>
    <x v="0"/>
    <n v="0"/>
    <n v="0"/>
    <s v="Number"/>
    <n v="4.99"/>
    <n v="4.99"/>
    <n v="29.98"/>
    <n v="29.98"/>
    <n v="29.979999999999997"/>
    <s v="True"/>
    <s v="Normal"/>
    <s v="PayPal"/>
    <x v="0"/>
    <s v="fulfilled"/>
    <s v="United States"/>
    <s v="Florida"/>
    <s v="Valid"/>
    <s v="Donaldborough"/>
  </r>
  <r>
    <s v="#1125"/>
    <n v="1"/>
    <d v="2026-04-08T00:00:00"/>
    <s v="08/04/2026"/>
    <s v="James Castro"/>
    <x v="0"/>
    <s v="james.castro923@icloud.com"/>
    <s v="Non-Stick Frying Pan 10in"/>
    <x v="8"/>
    <s v="Home &amp; Kitchen"/>
    <x v="9"/>
    <n v="1"/>
    <n v="24.99"/>
    <n v="24.99"/>
    <s v="VIP15"/>
    <x v="4"/>
    <n v="3.75"/>
    <n v="3.75"/>
    <s v="Number"/>
    <n v="4.99"/>
    <n v="4.99"/>
    <n v="26.23"/>
    <n v="26.23"/>
    <n v="26.229999999999997"/>
    <s v="True"/>
    <s v="Normal"/>
    <s v="Apple Pay"/>
    <x v="1"/>
    <s v="pending"/>
    <s v="Pakistan"/>
    <m/>
    <s v="Not Required"/>
    <s v="West Debrabury"/>
  </r>
  <r>
    <s v="#1196"/>
    <n v="1"/>
    <d v="2026-08-04T13:59:55"/>
    <d v="2026-08-04T13:59:55"/>
    <s v="Carrie Boyd"/>
    <x v="0"/>
    <s v="carrie.boyd968@gmail.com"/>
    <s v="Non-Stick Frying Pan 10in"/>
    <x v="8"/>
    <s v="Home &amp; Kitchen"/>
    <x v="9"/>
    <n v="1"/>
    <n v="24.99"/>
    <n v="24.99"/>
    <m/>
    <x v="0"/>
    <s v="$0.00"/>
    <n v="0"/>
    <s v="Number"/>
    <n v="7.99"/>
    <n v="7.99"/>
    <n v="32.979999999999997"/>
    <n v="32.979999999999997"/>
    <n v="32.979999999999997"/>
    <s v="True"/>
    <s v="Normal"/>
    <s v="Shopify Payments"/>
    <x v="0"/>
    <s v="fulfilled"/>
    <s v="United States"/>
    <s v="California"/>
    <s v="Valid"/>
    <s v="Nathanberg"/>
  </r>
  <r>
    <s v="#1204"/>
    <n v="1"/>
    <d v="2026-08-04T14:05:31"/>
    <d v="2026-08-04T14:05:31"/>
    <s v="Chad Smith"/>
    <x v="0"/>
    <s v="chad.smith773@icloud.com"/>
    <s v="Non-Stick Frying Pan 10in"/>
    <x v="8"/>
    <s v="Home &amp; Kitchen"/>
    <x v="9"/>
    <n v="2"/>
    <n v="24.99"/>
    <n v="24.99"/>
    <m/>
    <x v="0"/>
    <s v="$0.00"/>
    <n v="0"/>
    <s v="Number"/>
    <n v="4.99"/>
    <n v="4.99"/>
    <n v="54.97"/>
    <n v="54.97"/>
    <n v="54.97"/>
    <s v="True"/>
    <s v="Normal"/>
    <s v="Credit Card"/>
    <x v="0"/>
    <s v="cancelled"/>
    <s v="Pakistan"/>
    <m/>
    <s v="Not Required"/>
    <s v="Padillamouth"/>
  </r>
  <r>
    <s v="#1224"/>
    <n v="1"/>
    <d v="2026-04-08T00:00:00"/>
    <s v="08/04/2026"/>
    <s v="Tina Singh"/>
    <x v="0"/>
    <s v="tina.singh98@icloud.com"/>
    <s v="Non-Stick Frying Pan 10in"/>
    <x v="8"/>
    <s v="Home &amp; Kitchen"/>
    <x v="9"/>
    <n v="2"/>
    <n v="24.99"/>
    <n v="24.99"/>
    <m/>
    <x v="0"/>
    <n v="0"/>
    <n v="0"/>
    <s v="Number"/>
    <n v="4.99"/>
    <n v="4.99"/>
    <s v="$54.97"/>
    <n v="54.97"/>
    <n v="54.97"/>
    <s v="True"/>
    <s v="Normal"/>
    <s v="Shopify Payments"/>
    <x v="0"/>
    <s v="fulfilled"/>
    <s v="United States"/>
    <s v="FL"/>
    <s v="Valid"/>
    <s v="West Laceyberg"/>
  </r>
  <r>
    <s v="#1225"/>
    <n v="1"/>
    <d v="2026-08-04T14:07:19"/>
    <d v="2026-08-04T14:07:19"/>
    <s v="Christopher Harrington"/>
    <x v="0"/>
    <s v="christopher.harrington960@gmail.com"/>
    <s v="Non-Stick Frying Pan 10in"/>
    <x v="8"/>
    <s v="Home &amp; Kitchen"/>
    <x v="9"/>
    <n v="1"/>
    <n v="24.99"/>
    <n v="24.99"/>
    <m/>
    <x v="0"/>
    <n v="0"/>
    <n v="0"/>
    <s v="Number"/>
    <n v="5.99"/>
    <n v="5.99"/>
    <n v="30.98"/>
    <n v="30.98"/>
    <n v="30.979999999999997"/>
    <s v="True"/>
    <s v="Normal"/>
    <s v="Google Pay"/>
    <x v="2"/>
    <s v="fulfilled"/>
    <s v="Australia"/>
    <m/>
    <s v="Not Required"/>
    <s v="Lake Christopherside"/>
  </r>
  <r>
    <s v="#1236"/>
    <n v="1"/>
    <d v="2026-08-04T14:02:17"/>
    <d v="2026-08-04T14:02:17"/>
    <s v="Suzanne Robertson"/>
    <x v="0"/>
    <s v="suzanne.robertson435@gmail.com"/>
    <s v="Non-Stick Frying Pan 10in"/>
    <x v="8"/>
    <s v="Home &amp; Kitchen"/>
    <x v="9"/>
    <n v="1"/>
    <n v="24.99"/>
    <n v="24.99"/>
    <s v="BFCM25"/>
    <x v="3"/>
    <n v="6.25"/>
    <n v="6.25"/>
    <s v="Number"/>
    <n v="7.99"/>
    <n v="7.99"/>
    <n v="26.73"/>
    <n v="26.73"/>
    <n v="26.729999999999997"/>
    <s v="True"/>
    <s v="Normal"/>
    <s v="PayPal"/>
    <x v="2"/>
    <s v="cancelled"/>
    <s v="Australia"/>
    <m/>
    <s v="Not Required"/>
    <s v="New Austinfort"/>
  </r>
  <r>
    <s v="#1253"/>
    <n v="1"/>
    <d v="2026-08-04T13:58:01"/>
    <d v="2026-08-04T13:58:01"/>
    <s v="Anthony Patterson"/>
    <x v="1"/>
    <m/>
    <s v="Non-Stick Frying Pan 10in"/>
    <x v="8"/>
    <s v="Home &amp; Kitchen"/>
    <x v="9"/>
    <n v="1"/>
    <n v="24.99"/>
    <n v="24.99"/>
    <m/>
    <x v="0"/>
    <n v="0"/>
    <n v="0"/>
    <s v="Number"/>
    <n v="4.99"/>
    <n v="4.99"/>
    <n v="29.98"/>
    <n v="29.98"/>
    <n v="29.979999999999997"/>
    <s v="True"/>
    <s v="Normal"/>
    <s v="Google Pay"/>
    <x v="1"/>
    <s v="fulfilled"/>
    <s v="Pakistan"/>
    <m/>
    <s v="Not Required"/>
    <s v="East Mirandashire"/>
  </r>
  <r>
    <s v="#1273"/>
    <n v="1"/>
    <d v="2026-08-04T13:56:13"/>
    <d v="2026-08-04T13:56:13"/>
    <s v="Jason Miller"/>
    <x v="0"/>
    <s v="jason.miller334@outlook.com"/>
    <s v="Non-Stick Frying Pan 10in"/>
    <x v="8"/>
    <s v="Home &amp; Kitchen"/>
    <x v="9"/>
    <n v="1"/>
    <n v="24.99"/>
    <n v="24.99"/>
    <m/>
    <x v="0"/>
    <n v="0"/>
    <n v="0"/>
    <s v="Number"/>
    <n v="4.99"/>
    <n v="4.99"/>
    <n v="29.98"/>
    <n v="29.98"/>
    <n v="29.979999999999997"/>
    <s v="True"/>
    <s v="Normal"/>
    <s v="Apple Pay"/>
    <x v="0"/>
    <s v="cancelled"/>
    <s v="Australia"/>
    <m/>
    <s v="Not Required"/>
    <s v="West Curtis"/>
  </r>
  <r>
    <s v="#1303"/>
    <n v="1"/>
    <d v="2026-04-08T00:00:00"/>
    <s v="08/04/2026"/>
    <s v="Aimee Smith"/>
    <x v="0"/>
    <s v="aimee.smith857@icloud.com"/>
    <s v="Non-Stick Frying Pan 10in"/>
    <x v="8"/>
    <s v="Home &amp; Kitchen"/>
    <x v="9"/>
    <n v="1"/>
    <n v="24.99"/>
    <n v="24.99"/>
    <s v="VIP15"/>
    <x v="4"/>
    <n v="3.75"/>
    <n v="3.75"/>
    <s v="Number"/>
    <n v="4.99"/>
    <n v="4.99"/>
    <n v="26.23"/>
    <n v="26.23"/>
    <n v="26.229999999999997"/>
    <s v="True"/>
    <s v="Normal"/>
    <s v="PayPal"/>
    <x v="0"/>
    <s v="fulfilled"/>
    <s v="United Kingdom"/>
    <m/>
    <s v="Not Required"/>
    <s v="Port Sarah"/>
  </r>
  <r>
    <s v="#1317"/>
    <n v="1"/>
    <d v="2026-08-04T14:05:13"/>
    <d v="2026-08-04T14:05:13"/>
    <s v="David Duke"/>
    <x v="0"/>
    <s v="david.duke814@icloud.com"/>
    <s v="Non-Stick Frying Pan 10in"/>
    <x v="8"/>
    <s v="Home &amp; Kitchen"/>
    <x v="9"/>
    <n v="1"/>
    <s v="$24.99"/>
    <n v="24.99"/>
    <m/>
    <x v="0"/>
    <n v="0"/>
    <n v="0"/>
    <s v="Number"/>
    <n v="5.99"/>
    <n v="5.99"/>
    <s v="$30.98"/>
    <n v="30.98"/>
    <n v="30.979999999999997"/>
    <s v="True"/>
    <s v="Normal"/>
    <s v="Apple Pay"/>
    <x v="0"/>
    <s v="fulfilled"/>
    <s v="United States"/>
    <s v="North Carolina"/>
    <s v="Valid"/>
    <s v="Jenniferfort"/>
  </r>
  <r>
    <s v="#1319"/>
    <n v="1"/>
    <d v="2026-08-04T14:06:49"/>
    <d v="2026-08-04T14:06:49"/>
    <s v="Joshua Owens"/>
    <x v="0"/>
    <s v="joshua.owens56@icloud.com"/>
    <s v="Non-Stick Frying Pan 10in"/>
    <x v="8"/>
    <s v="Home &amp; Kitchen"/>
    <x v="9"/>
    <n v="1"/>
    <n v="24.99"/>
    <n v="24.99"/>
    <s v="WELCOME10"/>
    <x v="1"/>
    <n v="2.5"/>
    <n v="2.5"/>
    <s v="Number"/>
    <n v="5.99"/>
    <n v="5.99"/>
    <n v="28.48"/>
    <n v="28.48"/>
    <n v="28.479999999999997"/>
    <s v="True"/>
    <s v="Normal"/>
    <s v="Google Pay"/>
    <x v="2"/>
    <s v="fulfilled"/>
    <s v="United States"/>
    <s v="California"/>
    <s v="Valid"/>
    <s v="Lake Johnmouth"/>
  </r>
  <r>
    <s v="#1320"/>
    <n v="1"/>
    <d v="2026-04-08T00:00:00"/>
    <s v="08/04/2026"/>
    <s v="Richard Weber"/>
    <x v="0"/>
    <s v="richard.weber156@yahoo.com"/>
    <s v="Non-Stick Frying Pan 10in"/>
    <x v="8"/>
    <s v="Home &amp; Kitchen"/>
    <x v="9"/>
    <n v="4"/>
    <n v="24.99"/>
    <n v="24.99"/>
    <m/>
    <x v="0"/>
    <n v="0"/>
    <n v="0"/>
    <s v="Number"/>
    <n v="0"/>
    <n v="0"/>
    <n v="99.96"/>
    <n v="99.96"/>
    <n v="99.96"/>
    <s v="True"/>
    <s v="Outlier"/>
    <s v="Shopify Payments"/>
    <x v="3"/>
    <s v="fulfilled"/>
    <s v="United States"/>
    <s v="New York"/>
    <s v="Valid"/>
    <s v="Barronside"/>
  </r>
  <r>
    <s v="#1442"/>
    <n v="1"/>
    <d v="2026-08-04T14:03:43"/>
    <d v="2026-08-04T14:03:43"/>
    <s v="Kenneth Davis"/>
    <x v="0"/>
    <s v="kenneth.davis106@yahoo.com"/>
    <s v="Non-Stick Frying Pan 10in"/>
    <x v="8"/>
    <s v="Home &amp; Kitchen"/>
    <x v="9"/>
    <n v="2"/>
    <n v="24.99"/>
    <n v="24.99"/>
    <s v="VIP15"/>
    <x v="4"/>
    <n v="7.5"/>
    <n v="7.5"/>
    <s v="Number"/>
    <n v="5.99"/>
    <n v="5.99"/>
    <n v="48.47"/>
    <n v="48.47"/>
    <n v="48.47"/>
    <s v="True"/>
    <s v="Normal"/>
    <s v="Credit Card"/>
    <x v="2"/>
    <s v="pending"/>
    <s v="United States"/>
    <s v="Arizona"/>
    <s v="Valid"/>
    <s v="Schmidtchester"/>
  </r>
  <r>
    <s v="#1453"/>
    <n v="1"/>
    <d v="2026-08-04T13:59:35"/>
    <d v="2026-08-04T13:59:35"/>
    <s v="Laura Pruitt"/>
    <x v="0"/>
    <s v="laura.pruitt212@yahoo.com"/>
    <s v="Non-Stick Frying Pan 10in"/>
    <x v="8"/>
    <s v="Home &amp; Kitchen"/>
    <x v="9"/>
    <n v="1"/>
    <n v="24.99"/>
    <n v="24.99"/>
    <s v="WELCOME10"/>
    <x v="1"/>
    <n v="2.5"/>
    <n v="2.5"/>
    <s v="Number"/>
    <n v="7.99"/>
    <n v="7.99"/>
    <n v="30.48"/>
    <n v="30.48"/>
    <n v="30.479999999999997"/>
    <s v="True"/>
    <s v="Normal"/>
    <s v="Apple Pay"/>
    <x v="0"/>
    <s v="pending"/>
    <s v="United States"/>
    <s v="Texas"/>
    <s v="Valid"/>
    <s v="East Amberbury"/>
  </r>
  <r>
    <s v="#1482"/>
    <n v="1"/>
    <d v="2026-08-04T14:07:20"/>
    <d v="2026-08-04T14:07:20"/>
    <s v="Natalie Dixon"/>
    <x v="0"/>
    <s v="natalie.dixon388@outlook.com"/>
    <s v="Non-Stick Frying Pan 10in"/>
    <x v="8"/>
    <s v="Home &amp; Kitchen"/>
    <x v="9"/>
    <n v="1"/>
    <n v="24.99"/>
    <n v="24.99"/>
    <s v="VIP15"/>
    <x v="4"/>
    <n v="3.75"/>
    <n v="3.75"/>
    <s v="Number"/>
    <n v="5.99"/>
    <n v="5.99"/>
    <n v="27.23"/>
    <n v="27.23"/>
    <n v="27.229999999999997"/>
    <s v="True"/>
    <s v="Normal"/>
    <s v="Credit Card"/>
    <x v="2"/>
    <s v="refunded"/>
    <s v="United States"/>
    <s v="FL"/>
    <s v="Valid"/>
    <s v="Kristinastad"/>
  </r>
  <r>
    <s v="#1493"/>
    <n v="1"/>
    <d v="2026-08-04T00:00:00"/>
    <s v="04-08-2026 14:03"/>
    <s v="Jesus Mason"/>
    <x v="0"/>
    <s v="jesus.mason798@icloud.com"/>
    <s v="Non-Stick Frying Pan 10in"/>
    <x v="8"/>
    <s v="Home &amp; Kitchen"/>
    <x v="9"/>
    <n v="3"/>
    <n v="24.99"/>
    <n v="24.99"/>
    <m/>
    <x v="0"/>
    <n v="0"/>
    <n v="0"/>
    <s v="Number"/>
    <n v="7.99"/>
    <n v="7.99"/>
    <n v="82.96"/>
    <n v="82.96"/>
    <n v="82.96"/>
    <s v="True"/>
    <s v="Outlier"/>
    <s v="Google Pay"/>
    <x v="1"/>
    <s v="fulfilled"/>
    <s v="United States"/>
    <s v="California"/>
    <s v="Valid"/>
    <s v="Carriestad"/>
  </r>
  <r>
    <s v="#1494"/>
    <n v="1"/>
    <d v="2026-08-04T13:55:30"/>
    <d v="2026-08-04T13:55:30"/>
    <s v="Lauren Nguyen"/>
    <x v="0"/>
    <s v="lauren.nguyen819@outlook.com"/>
    <s v="Non-Stick Frying Pan 10in"/>
    <x v="8"/>
    <s v="Home &amp; Kitchen"/>
    <x v="9"/>
    <n v="1"/>
    <n v="24.99"/>
    <n v="24.99"/>
    <m/>
    <x v="0"/>
    <n v="0"/>
    <n v="0"/>
    <s v="Number"/>
    <n v="7.99"/>
    <n v="7.99"/>
    <n v="32.979999999999997"/>
    <n v="32.979999999999997"/>
    <n v="32.979999999999997"/>
    <s v="True"/>
    <s v="Normal"/>
    <s v="Apple Pay"/>
    <x v="3"/>
    <s v="fulfilled"/>
    <s v="United Kingdom"/>
    <m/>
    <s v="Not Required"/>
    <s v="Kaylastad"/>
  </r>
  <r>
    <s v="#1497"/>
    <n v="1"/>
    <d v="2026-08-04T13:56:27"/>
    <d v="2026-08-04T13:56:27"/>
    <s v="Joshua Owens"/>
    <x v="0"/>
    <s v="joshua.owens56@icloud.com"/>
    <s v="Non-Stick Frying Pan 10in"/>
    <x v="8"/>
    <s v="Home &amp; Kitchen"/>
    <x v="9"/>
    <n v="1"/>
    <n v="24.99"/>
    <n v="24.99"/>
    <s v="FREESHIP"/>
    <x v="5"/>
    <s v="$0.00"/>
    <n v="0"/>
    <s v="Number"/>
    <n v="0"/>
    <n v="0"/>
    <n v="24.99"/>
    <n v="24.99"/>
    <n v="24.99"/>
    <s v="True"/>
    <s v="Normal"/>
    <s v="PayPal"/>
    <x v="0"/>
    <s v="pending"/>
    <s v="United States"/>
    <s v="Washington"/>
    <s v="Valid"/>
    <s v="Margarethaven"/>
  </r>
  <r>
    <s v="#1504"/>
    <n v="1"/>
    <d v="2026-08-04T00:00:00"/>
    <s v="04-08-2026 14:03"/>
    <s v="Williams, Tyler"/>
    <x v="0"/>
    <s v="tyler.williams938@outlook.com"/>
    <s v="Non-Stick Frying Pan 10in"/>
    <x v="8"/>
    <s v="Home &amp; Kitchen"/>
    <x v="9"/>
    <n v="1"/>
    <n v="24.99"/>
    <n v="24.99"/>
    <s v="WELCOME10"/>
    <x v="1"/>
    <s v="$2.50"/>
    <n v="2.5"/>
    <s v="Number"/>
    <n v="4.99"/>
    <n v="4.99"/>
    <n v="27.48"/>
    <n v="27.48"/>
    <n v="27.479999999999997"/>
    <s v="True"/>
    <s v="Normal"/>
    <s v="Shopify Payments"/>
    <x v="0"/>
    <s v="fulfilled"/>
    <s v="Australia"/>
    <m/>
    <s v="Not Required"/>
    <s v="Wallaceberg"/>
  </r>
  <r>
    <s v="#1548"/>
    <n v="1"/>
    <d v="2026-08-04T00:00:00"/>
    <s v="04-08-2026 14:03"/>
    <s v="Timothy Maldonado"/>
    <x v="0"/>
    <s v="timothy.maldonado551@gmail.com"/>
    <s v="Non-Stick Frying Pan 10in"/>
    <x v="8"/>
    <s v="Home &amp; Kitchen"/>
    <x v="9"/>
    <n v="2"/>
    <n v="24.99"/>
    <n v="24.99"/>
    <s v="SAVE20"/>
    <x v="2"/>
    <n v="10"/>
    <n v="10"/>
    <s v="Number"/>
    <n v="5.99"/>
    <n v="5.99"/>
    <n v="45.97"/>
    <n v="45.97"/>
    <n v="45.97"/>
    <s v="True"/>
    <s v="Normal"/>
    <s v="Credit Card"/>
    <x v="0"/>
    <s v="refunded"/>
    <s v="United States"/>
    <s v="California"/>
    <s v="Valid"/>
    <s v="Andrewfurt"/>
  </r>
  <r>
    <s v="#1561"/>
    <n v="1"/>
    <d v="2026-08-04T14:05:59"/>
    <d v="2026-08-04T14:05:59"/>
    <s v="Sandra Wilson"/>
    <x v="0"/>
    <s v="sandra.wilson554@outlook.com"/>
    <s v="Non-Stick Frying Pan 10in"/>
    <x v="8"/>
    <s v="Home &amp; Kitchen"/>
    <x v="9"/>
    <n v="1"/>
    <n v="24.99"/>
    <n v="24.99"/>
    <s v="FREESHIP"/>
    <x v="5"/>
    <n v="0"/>
    <n v="0"/>
    <s v="Number"/>
    <n v="0"/>
    <n v="0"/>
    <n v="24.99"/>
    <n v="24.99"/>
    <n v="24.99"/>
    <s v="True"/>
    <s v="Normal"/>
    <s v="PayPal"/>
    <x v="1"/>
    <s v="cancelled"/>
    <s v="Canada"/>
    <m/>
    <s v="Not Required"/>
    <s v="Port Jordan"/>
  </r>
  <r>
    <s v="#1580"/>
    <n v="1"/>
    <d v="2026-08-04T00:00:00"/>
    <s v="Aug 04, 2026"/>
    <s v="Brian Ruiz"/>
    <x v="0"/>
    <s v="brian.ruiz246@gmail.com"/>
    <s v="Non-Stick Frying Pan 10in"/>
    <x v="8"/>
    <s v="Home &amp; Kitchen"/>
    <x v="9"/>
    <n v="1"/>
    <n v="24.99"/>
    <n v="24.99"/>
    <s v="WELCOME10"/>
    <x v="1"/>
    <n v="2.5"/>
    <n v="2.5"/>
    <s v="Number"/>
    <n v="5.99"/>
    <n v="5.99"/>
    <s v="$28.48"/>
    <n v="28.48"/>
    <n v="28.479999999999997"/>
    <s v="True"/>
    <s v="Normal"/>
    <s v="PayPal"/>
    <x v="3"/>
    <s v="fulfilled"/>
    <s v="Germany"/>
    <m/>
    <s v="Not Required"/>
    <s v="Hermanbury"/>
  </r>
  <r>
    <s v="#1643"/>
    <n v="1"/>
    <d v="2026-08-04T13:53:44"/>
    <d v="2026-08-04T13:53:44"/>
    <s v="David Duke"/>
    <x v="0"/>
    <s v="david.duke814@icloud.com"/>
    <s v="Non-Stick Frying Pan 10in"/>
    <x v="8"/>
    <s v="Home &amp; Kitchen"/>
    <x v="9"/>
    <n v="2"/>
    <n v="24.99"/>
    <n v="24.99"/>
    <s v="WELCOME10"/>
    <x v="1"/>
    <n v="5"/>
    <n v="5"/>
    <s v="Number"/>
    <n v="4.99"/>
    <n v="4.99"/>
    <n v="49.97"/>
    <n v="49.97"/>
    <n v="49.97"/>
    <s v="True"/>
    <s v="Normal"/>
    <s v="Google Pay"/>
    <x v="0"/>
    <s v="fulfilled"/>
    <s v="United States"/>
    <s v="NY"/>
    <s v="Valid"/>
    <s v="Lake Patriciamouth"/>
  </r>
  <r>
    <s v="#1660"/>
    <n v="1"/>
    <d v="2026-08-04T14:06:55"/>
    <d v="2026-08-04T14:06:55"/>
    <s v="Christy Phillips"/>
    <x v="0"/>
    <s v="christy.phillips291@gmail.com"/>
    <s v="Non-Stick Frying Pan 10in"/>
    <x v="8"/>
    <s v="Home &amp; Kitchen"/>
    <x v="9"/>
    <n v="1"/>
    <n v="24.99"/>
    <n v="24.99"/>
    <m/>
    <x v="0"/>
    <n v="0"/>
    <n v="0"/>
    <s v="Number"/>
    <n v="5.99"/>
    <n v="5.99"/>
    <n v="30.98"/>
    <n v="30.98"/>
    <n v="30.979999999999997"/>
    <s v="True"/>
    <s v="Normal"/>
    <s v="Apple Pay"/>
    <x v="2"/>
    <s v="fulfilled"/>
    <s v="Pakistan"/>
    <m/>
    <s v="Not Required"/>
    <s v="Davidchester"/>
  </r>
  <r>
    <s v="#1762"/>
    <n v="1"/>
    <d v="2026-08-04T13:56:37"/>
    <d v="2026-08-04T13:56:37"/>
    <s v="Nicole Taylor"/>
    <x v="0"/>
    <s v="nicole.taylor607@icloud.com"/>
    <s v="Non-Stick Frying Pan 10in"/>
    <x v="8"/>
    <s v="Home &amp; Kitchen"/>
    <x v="9"/>
    <n v="1"/>
    <n v="24.99"/>
    <n v="24.99"/>
    <s v="SAVE20"/>
    <x v="2"/>
    <n v="5"/>
    <n v="5"/>
    <s v="Number"/>
    <n v="4.99"/>
    <n v="4.99"/>
    <n v="24.98"/>
    <n v="24.98"/>
    <n v="24.979999999999997"/>
    <s v="True"/>
    <s v="Normal"/>
    <s v="Apple Pay"/>
    <x v="0"/>
    <s v="cancelled"/>
    <s v="United States"/>
    <s v="Arizona"/>
    <s v="Valid"/>
    <s v="Caseyhaven"/>
  </r>
  <r>
    <s v="#1775"/>
    <n v="1"/>
    <d v="2026-08-04T14:06:22"/>
    <d v="2026-08-04T14:06:22"/>
    <s v="Kaitlyn Hernandez"/>
    <x v="1"/>
    <m/>
    <s v="Non-Stick Frying Pan 10in"/>
    <x v="8"/>
    <s v="Home &amp; Kitchen"/>
    <x v="9"/>
    <n v="4"/>
    <n v="24.99"/>
    <n v="24.99"/>
    <s v="WELCOME10"/>
    <x v="1"/>
    <n v="10"/>
    <n v="10"/>
    <s v="Number"/>
    <n v="0"/>
    <n v="0"/>
    <n v="89.96"/>
    <n v="89.96"/>
    <n v="89.96"/>
    <s v="True"/>
    <s v="Outlier"/>
    <s v="Apple Pay"/>
    <x v="0"/>
    <s v="fulfilled"/>
    <s v="Pakistan"/>
    <m/>
    <s v="Not Required"/>
    <s v="East Patricia"/>
  </r>
  <r>
    <s v="#1789"/>
    <n v="1"/>
    <d v="2026-08-04T14:01:56"/>
    <d v="2026-08-04T14:01:56"/>
    <s v="Chad Smith"/>
    <x v="0"/>
    <s v="chad.smith773@icloud.com"/>
    <s v="Non-Stick Frying Pan 10in"/>
    <x v="8"/>
    <s v="Home &amp; Kitchen"/>
    <x v="9"/>
    <n v="1"/>
    <n v="24.99"/>
    <n v="24.99"/>
    <s v="BFCM25"/>
    <x v="3"/>
    <n v="6.25"/>
    <n v="6.25"/>
    <s v="Number"/>
    <n v="7.99"/>
    <n v="7.99"/>
    <n v="26.73"/>
    <n v="26.73"/>
    <n v="26.729999999999997"/>
    <s v="True"/>
    <s v="Normal"/>
    <s v="Credit Card"/>
    <x v="0"/>
    <s v="fulfilled"/>
    <s v="Pakistan"/>
    <m/>
    <s v="Not Required"/>
    <s v="Port Martin"/>
  </r>
  <r>
    <s v="#1790"/>
    <n v="1"/>
    <d v="2026-08-04T14:00:40"/>
    <d v="2026-08-04T14:00:40"/>
    <s v="James Miller"/>
    <x v="0"/>
    <s v="james.miller866@yahoo.com"/>
    <s v="Non-Stick Frying Pan 10in"/>
    <x v="8"/>
    <s v="Home &amp; Kitchen"/>
    <x v="9"/>
    <n v="1"/>
    <n v="24.99"/>
    <n v="24.99"/>
    <s v="SAVE20"/>
    <x v="2"/>
    <n v="5"/>
    <n v="5"/>
    <s v="Number"/>
    <n v="4.99"/>
    <n v="4.99"/>
    <n v="24.98"/>
    <n v="24.98"/>
    <n v="24.979999999999997"/>
    <s v="True"/>
    <s v="Normal"/>
    <s v="Apple Pay"/>
    <x v="1"/>
    <s v="fulfilled"/>
    <s v="Pakistan"/>
    <m/>
    <s v="Not Required"/>
    <s v="Carrstad"/>
  </r>
  <r>
    <s v="#1802"/>
    <n v="1"/>
    <d v="2026-08-04T13:53:51"/>
    <d v="2026-08-04T13:53:51"/>
    <s v="Ronald Davis"/>
    <x v="0"/>
    <s v="ronald.davis995@yahoo.com"/>
    <s v="Non-Stick Frying Pan 10in"/>
    <x v="8"/>
    <s v="Home &amp; Kitchen"/>
    <x v="9"/>
    <n v="1"/>
    <n v="24.99"/>
    <n v="24.99"/>
    <s v="VIP15"/>
    <x v="4"/>
    <n v="3.75"/>
    <n v="3.75"/>
    <s v="Number"/>
    <n v="4.99"/>
    <n v="4.99"/>
    <n v="26.23"/>
    <n v="26.23"/>
    <n v="26.229999999999997"/>
    <s v="True"/>
    <s v="Normal"/>
    <s v="PayPal"/>
    <x v="2"/>
    <s v="fulfilled"/>
    <s v="Pakistan"/>
    <m/>
    <s v="Not Required"/>
    <s v="Nicoletown"/>
  </r>
  <r>
    <s v="#1823"/>
    <n v="1"/>
    <d v="2026-04-08T00:00:00"/>
    <s v="08/04/2026"/>
    <s v="Kathryn Robinson"/>
    <x v="0"/>
    <s v="kathryn.robinson965@gmail.com"/>
    <s v="Non-Stick Frying Pan 10in"/>
    <x v="8"/>
    <s v="Home &amp; Kitchen"/>
    <x v="9"/>
    <n v="2"/>
    <n v="24.99"/>
    <n v="24.99"/>
    <m/>
    <x v="0"/>
    <n v="0"/>
    <n v="0"/>
    <s v="Number"/>
    <n v="4.99"/>
    <n v="4.99"/>
    <n v="54.97"/>
    <n v="54.97"/>
    <n v="54.97"/>
    <s v="True"/>
    <s v="Normal"/>
    <s v="PayPal"/>
    <x v="2"/>
    <s v="fulfilled"/>
    <s v="United Kingdom"/>
    <m/>
    <s v="Not Required"/>
    <s v="Port Rebecca"/>
  </r>
  <r>
    <s v="#1844"/>
    <n v="1"/>
    <d v="2026-08-04T14:07:19"/>
    <d v="2026-08-04T14:07:19"/>
    <s v="Rebecca Watts"/>
    <x v="0"/>
    <s v="rebecca.watts779@gmail.com"/>
    <s v="Non-Stick Frying Pan 10in"/>
    <x v="8"/>
    <s v="Home &amp; Kitchen"/>
    <x v="9"/>
    <n v="1"/>
    <n v="24.99"/>
    <n v="24.99"/>
    <s v="WELCOME10"/>
    <x v="1"/>
    <n v="2.5"/>
    <n v="2.5"/>
    <s v="Number"/>
    <n v="4.99"/>
    <n v="4.99"/>
    <n v="27.48"/>
    <n v="27.48"/>
    <n v="27.479999999999997"/>
    <s v="True"/>
    <s v="Normal"/>
    <s v="PayPal"/>
    <x v="2"/>
    <s v="fulfilled"/>
    <s v="United States"/>
    <s v="Arizona"/>
    <s v="Valid"/>
    <s v="Katherinestad"/>
  </r>
  <r>
    <s v="#1897"/>
    <n v="1"/>
    <d v="2026-08-04T13:58:08"/>
    <d v="2026-08-04T13:58:08"/>
    <s v="Anthony Patterson"/>
    <x v="0"/>
    <s v="anthony.patterson944@gmail.com"/>
    <s v="Non-Stick Frying Pan 10in"/>
    <x v="8"/>
    <s v="Home &amp; Kitchen"/>
    <x v="9"/>
    <n v="1"/>
    <n v="24.99"/>
    <n v="24.99"/>
    <m/>
    <x v="0"/>
    <n v="0"/>
    <n v="0"/>
    <s v="Number"/>
    <n v="5.99"/>
    <n v="5.99"/>
    <n v="30.98"/>
    <n v="30.98"/>
    <n v="30.979999999999997"/>
    <s v="True"/>
    <s v="Normal"/>
    <s v="Credit Card"/>
    <x v="2"/>
    <s v="fulfilled"/>
    <s v="Pakistan"/>
    <m/>
    <s v="Not Required"/>
    <s v="Wilkersonberg"/>
  </r>
  <r>
    <s v="#1958"/>
    <n v="1"/>
    <d v="2026-08-04T13:54:41"/>
    <d v="2026-08-04T13:54:41"/>
    <s v="Angela Carr"/>
    <x v="0"/>
    <s v="angela.carr488@yahoo.com"/>
    <s v="Non-Stick Frying Pan 10in"/>
    <x v="8"/>
    <s v="Home &amp; Kitchen"/>
    <x v="9"/>
    <n v="2"/>
    <n v="24.99"/>
    <n v="24.99"/>
    <s v="FREESHIP"/>
    <x v="5"/>
    <n v="0"/>
    <n v="0"/>
    <s v="Number"/>
    <n v="0"/>
    <n v="0"/>
    <n v="49.98"/>
    <n v="49.98"/>
    <n v="49.98"/>
    <s v="True"/>
    <s v="Normal"/>
    <s v="Credit Card"/>
    <x v="1"/>
    <s v="fulfilled"/>
    <s v="United States"/>
    <s v="NC"/>
    <s v="Valid"/>
    <s v="Lake Erica"/>
  </r>
  <r>
    <s v="#1964"/>
    <n v="1"/>
    <d v="2026-08-04T14:03:49"/>
    <d v="2026-08-04T14:03:49"/>
    <s v="Julia Atkinson"/>
    <x v="0"/>
    <s v="julia.atkinson939@gmail.com"/>
    <s v="Non-Stick Frying Pan 10in"/>
    <x v="8"/>
    <s v="Home &amp; Kitchen"/>
    <x v="9"/>
    <n v="1"/>
    <n v="24.99"/>
    <n v="24.99"/>
    <s v="WELCOME10"/>
    <x v="1"/>
    <n v="2.5"/>
    <n v="2.5"/>
    <s v="Number"/>
    <n v="4.99"/>
    <n v="4.99"/>
    <n v="27.48"/>
    <n v="27.48"/>
    <n v="27.479999999999997"/>
    <s v="True"/>
    <s v="Normal"/>
    <s v="Credit Card"/>
    <x v="0"/>
    <s v="pending"/>
    <s v="Canada"/>
    <m/>
    <s v="Not Required"/>
    <s v="New Devin"/>
  </r>
  <r>
    <s v="#1989"/>
    <n v="1"/>
    <d v="2026-08-04T13:53:47"/>
    <d v="2026-08-04T13:53:47"/>
    <s v="Amanda Harris"/>
    <x v="0"/>
    <s v="amanda.harris197@gmail.com"/>
    <s v="Non-Stick Frying Pan 10in"/>
    <x v="8"/>
    <s v="Home &amp; Kitchen"/>
    <x v="9"/>
    <n v="2"/>
    <n v="24.99"/>
    <n v="24.99"/>
    <s v="FREESHIP"/>
    <x v="5"/>
    <n v="0"/>
    <n v="0"/>
    <s v="Number"/>
    <n v="0"/>
    <n v="0"/>
    <s v="$49.98"/>
    <n v="49.98"/>
    <n v="49.98"/>
    <s v="True"/>
    <s v="Normal"/>
    <s v="Google Pay"/>
    <x v="3"/>
    <s v="fulfilled"/>
    <s v="United States"/>
    <s v="New York"/>
    <s v="Valid"/>
    <s v="North James"/>
  </r>
  <r>
    <s v="#2038"/>
    <n v="1"/>
    <d v="2026-08-04T13:59:23"/>
    <d v="2026-08-04T13:59:23"/>
    <s v="Heather Davis"/>
    <x v="0"/>
    <s v="heather.davis117@icloud.com"/>
    <s v="Non-Stick Frying Pan 10in"/>
    <x v="8"/>
    <s v="Home &amp; Kitchen"/>
    <x v="9"/>
    <n v="3"/>
    <n v="24.99"/>
    <n v="24.99"/>
    <m/>
    <x v="0"/>
    <n v="0"/>
    <n v="0"/>
    <s v="Number"/>
    <n v="7.99"/>
    <n v="7.99"/>
    <n v="82.96"/>
    <n v="82.96"/>
    <n v="82.96"/>
    <s v="True"/>
    <s v="Outlier"/>
    <s v="Google Pay"/>
    <x v="2"/>
    <s v="fulfilled"/>
    <s v="Germany"/>
    <m/>
    <s v="Not Required"/>
    <s v="Donovanburgh"/>
  </r>
  <r>
    <s v="#2110"/>
    <n v="1"/>
    <d v="2026-08-04T14:00:46"/>
    <d v="2026-08-04T14:00:46"/>
    <s v="Zachary Hanson"/>
    <x v="0"/>
    <s v="zachary.hanson261@outlook.com"/>
    <s v="Non-Stick Frying Pan 10in"/>
    <x v="8"/>
    <s v="Home &amp; Kitchen"/>
    <x v="9"/>
    <n v="1"/>
    <n v="24.99"/>
    <n v="24.99"/>
    <s v="BFCM25"/>
    <x v="3"/>
    <n v="6.25"/>
    <n v="6.25"/>
    <s v="Number"/>
    <n v="4.99"/>
    <n v="4.99"/>
    <n v="23.73"/>
    <n v="23.73"/>
    <n v="23.729999999999997"/>
    <s v="True"/>
    <s v="Normal"/>
    <s v="Apple Pay"/>
    <x v="3"/>
    <s v="pending"/>
    <s v="United States"/>
    <s v="WA"/>
    <s v="Valid"/>
    <s v="West Lesliefurt"/>
  </r>
  <r>
    <s v="#2144"/>
    <n v="1"/>
    <d v="2026-08-04T13:57:05"/>
    <d v="2026-08-04T13:57:05"/>
    <s v="Alan Davis"/>
    <x v="0"/>
    <s v="alan.davis483@icloud.com"/>
    <s v="Non-Stick Frying Pan 10in"/>
    <x v="8"/>
    <s v="Home &amp; Kitchen"/>
    <x v="9"/>
    <n v="1"/>
    <n v="24.99"/>
    <n v="24.99"/>
    <m/>
    <x v="0"/>
    <n v="0"/>
    <n v="0"/>
    <s v="Number"/>
    <n v="4.99"/>
    <n v="4.99"/>
    <s v="$29.98"/>
    <n v="29.98"/>
    <n v="29.979999999999997"/>
    <s v="True"/>
    <s v="Normal"/>
    <s v="Credit Card"/>
    <x v="3"/>
    <s v="cancelled"/>
    <s v="Canada"/>
    <m/>
    <s v="Not Required"/>
    <s v="East Margaret"/>
  </r>
  <r>
    <s v="#2159"/>
    <n v="1"/>
    <d v="2026-08-04T13:59:37"/>
    <d v="2026-08-04T13:59:37"/>
    <s v="Angela Rose"/>
    <x v="0"/>
    <s v="angela.rose740@outlook.com"/>
    <s v="Non-Stick Frying Pan 10in"/>
    <x v="8"/>
    <s v="Home &amp; Kitchen"/>
    <x v="9"/>
    <n v="1"/>
    <n v="24.99"/>
    <n v="24.99"/>
    <m/>
    <x v="0"/>
    <n v="0"/>
    <n v="0"/>
    <s v="Number"/>
    <n v="4.99"/>
    <n v="4.99"/>
    <n v="29.98"/>
    <n v="29.98"/>
    <n v="29.979999999999997"/>
    <s v="True"/>
    <s v="Normal"/>
    <s v="Shopify Payments"/>
    <x v="1"/>
    <s v="fulfilled"/>
    <s v="United States"/>
    <s v="Georgia"/>
    <s v="Valid"/>
    <s v="Lake Jameston"/>
  </r>
  <r>
    <s v="#2162"/>
    <n v="1"/>
    <d v="2026-08-04T13:55:46"/>
    <d v="2026-08-04T13:55:46"/>
    <s v="Anthony Krueger"/>
    <x v="0"/>
    <s v="anthony.krueger812@yahoo.com"/>
    <s v="Non-Stick Frying Pan 10in"/>
    <x v="8"/>
    <s v="Home &amp; Kitchen"/>
    <x v="9"/>
    <n v="2"/>
    <n v="24.99"/>
    <n v="24.99"/>
    <s v="SAVE20"/>
    <x v="2"/>
    <n v="10"/>
    <n v="10"/>
    <s v="Number"/>
    <n v="5.99"/>
    <n v="5.99"/>
    <n v="45.97"/>
    <n v="45.97"/>
    <n v="45.97"/>
    <s v="True"/>
    <s v="Normal"/>
    <s v="Shopify Payments"/>
    <x v="2"/>
    <s v="fulfilled"/>
    <s v="Pakistan"/>
    <m/>
    <s v="Not Required"/>
    <s v="Joditon"/>
  </r>
  <r>
    <s v="#2184"/>
    <n v="1"/>
    <d v="2026-08-04T14:04:43"/>
    <d v="2026-08-04T14:04:43"/>
    <s v="AMANDA ROBINSON"/>
    <x v="0"/>
    <s v="amanda.robinson263@icloud.com"/>
    <s v="Non-Stick Frying Pan 10in"/>
    <x v="8"/>
    <s v="Home &amp; Kitchen"/>
    <x v="9"/>
    <n v="2"/>
    <n v="24.99"/>
    <n v="24.99"/>
    <s v="FREESHIP"/>
    <x v="5"/>
    <n v="0"/>
    <n v="0"/>
    <s v="Number"/>
    <n v="0"/>
    <n v="0"/>
    <n v="49.98"/>
    <n v="49.98"/>
    <n v="49.98"/>
    <s v="True"/>
    <s v="Normal"/>
    <s v="Shopify Payments"/>
    <x v="2"/>
    <s v="fulfilled"/>
    <s v="United States"/>
    <s v="Ohio"/>
    <s v="Valid"/>
    <s v="New Jameschester"/>
  </r>
  <r>
    <s v="#2190"/>
    <n v="1"/>
    <d v="2026-08-04T13:54:42"/>
    <d v="2026-08-04T13:54:42"/>
    <s v="marie rose"/>
    <x v="0"/>
    <s v="marie.rose93@gmail.com"/>
    <s v="Non-Stick Frying Pan 10in"/>
    <x v="8"/>
    <s v="Home &amp; Kitchen"/>
    <x v="9"/>
    <n v="1"/>
    <s v="$24.99"/>
    <n v="24.99"/>
    <s v="BFCM25"/>
    <x v="3"/>
    <n v="6.25"/>
    <n v="6.25"/>
    <s v="Number"/>
    <n v="5.99"/>
    <n v="5.99"/>
    <n v="24.73"/>
    <n v="24.73"/>
    <n v="24.729999999999997"/>
    <s v="True"/>
    <s v="Normal"/>
    <s v="Apple Pay"/>
    <x v="2"/>
    <s v="fulfilled"/>
    <s v="United States"/>
    <s v="Georgia"/>
    <s v="Valid"/>
    <s v="Shannonfort"/>
  </r>
  <r>
    <s v="#2229"/>
    <n v="1"/>
    <d v="2026-08-04T14:04:28"/>
    <d v="2026-08-04T14:04:28"/>
    <s v="Diane Harper"/>
    <x v="0"/>
    <s v="diane.harper925@gmail.com"/>
    <s v="Non-Stick Frying Pan 10in"/>
    <x v="8"/>
    <s v="Home &amp; Kitchen"/>
    <x v="9"/>
    <n v="2"/>
    <n v="24.99"/>
    <n v="24.99"/>
    <s v="VIP15"/>
    <x v="4"/>
    <n v="7.5"/>
    <n v="7.5"/>
    <s v="Number"/>
    <n v="5.99"/>
    <n v="5.99"/>
    <n v="48.47"/>
    <n v="48.47"/>
    <n v="48.47"/>
    <s v="True"/>
    <s v="Normal"/>
    <s v="PayPal"/>
    <x v="2"/>
    <s v="cancelled"/>
    <s v="United States"/>
    <s v="Washington"/>
    <s v="Valid"/>
    <s v="North Jennifer"/>
  </r>
  <r>
    <s v="#2240"/>
    <n v="1"/>
    <d v="2026-08-04T14:01:53"/>
    <d v="2026-08-04T14:01:53"/>
    <s v="Rose English"/>
    <x v="0"/>
    <s v="rose.english118@icloud.com"/>
    <s v="Non-Stick Frying Pan 10in"/>
    <x v="8"/>
    <s v="Home &amp; Kitchen"/>
    <x v="9"/>
    <n v="1"/>
    <n v="24.99"/>
    <n v="24.99"/>
    <s v="WELCOME10"/>
    <x v="1"/>
    <n v="2.5"/>
    <n v="2.5"/>
    <s v="Number"/>
    <n v="5.99"/>
    <n v="5.99"/>
    <n v="28.48"/>
    <n v="28.48"/>
    <n v="28.479999999999997"/>
    <s v="True"/>
    <s v="Normal"/>
    <s v="Credit Card"/>
    <x v="1"/>
    <s v="fulfilled"/>
    <s v="Germany"/>
    <m/>
    <s v="Not Required"/>
    <s v="North Lisa"/>
  </r>
  <r>
    <s v="#2251"/>
    <n v="1"/>
    <d v="2026-08-04T14:02:49"/>
    <d v="2026-08-04T14:02:49"/>
    <s v="Ian Morris"/>
    <x v="0"/>
    <s v="ian.morris90@outlook.com"/>
    <s v="Non-Stick Frying Pan 10in"/>
    <x v="8"/>
    <s v="Home &amp; Kitchen"/>
    <x v="9"/>
    <n v="1"/>
    <n v="24.99"/>
    <n v="24.99"/>
    <m/>
    <x v="0"/>
    <n v="0"/>
    <n v="0"/>
    <s v="Number"/>
    <n v="7.99"/>
    <n v="7.99"/>
    <n v="32.979999999999997"/>
    <n v="32.979999999999997"/>
    <n v="32.979999999999997"/>
    <s v="True"/>
    <s v="Normal"/>
    <s v="Shopify Payments"/>
    <x v="0"/>
    <s v="refunded"/>
    <s v="Pakistan"/>
    <m/>
    <s v="Not Required"/>
    <s v="East Patriciaborough"/>
  </r>
  <r>
    <s v="#2255"/>
    <n v="1"/>
    <d v="2026-08-04T14:03:36"/>
    <d v="2026-08-04T14:03:36"/>
    <s v="Angela Carr"/>
    <x v="0"/>
    <s v="angela.carr488@yahoo.com"/>
    <s v="Non-Stick Frying Pan 10in"/>
    <x v="8"/>
    <s v="Home &amp; Kitchen"/>
    <x v="9"/>
    <n v="1"/>
    <n v="24.99"/>
    <n v="24.99"/>
    <m/>
    <x v="0"/>
    <n v="0"/>
    <n v="0"/>
    <s v="Number"/>
    <n v="5.99"/>
    <n v="5.99"/>
    <n v="30.98"/>
    <n v="30.98"/>
    <n v="30.979999999999997"/>
    <s v="True"/>
    <s v="Normal"/>
    <s v="PayPal"/>
    <x v="0"/>
    <s v="fulfilled"/>
    <s v="United States"/>
    <s v="California"/>
    <s v="Valid"/>
    <s v="East Tammybury"/>
  </r>
  <r>
    <s v="#2275"/>
    <n v="1"/>
    <d v="2026-08-04T14:02:08"/>
    <d v="2026-08-04T14:02:08"/>
    <s v="Tiffany Jones"/>
    <x v="0"/>
    <s v="tiffany.jones564@outlook.com"/>
    <s v="Non-Stick Frying Pan 10in"/>
    <x v="8"/>
    <s v="Home &amp; Kitchen"/>
    <x v="9"/>
    <n v="2"/>
    <n v="24.99"/>
    <n v="24.99"/>
    <s v="FREESHIP"/>
    <x v="5"/>
    <s v="$0.00"/>
    <n v="0"/>
    <s v="Number"/>
    <n v="0"/>
    <n v="0"/>
    <n v="49.98"/>
    <n v="49.98"/>
    <n v="49.98"/>
    <s v="True"/>
    <s v="Normal"/>
    <s v="Apple Pay"/>
    <x v="2"/>
    <s v="refunded"/>
    <s v="Germany"/>
    <m/>
    <s v="Not Required"/>
    <s v="East Patriciahaven"/>
  </r>
  <r>
    <s v="#2299"/>
    <n v="1"/>
    <d v="2026-08-04T14:08:06"/>
    <d v="2026-08-04T14:08:06"/>
    <s v="Tina Singh"/>
    <x v="0"/>
    <s v="tina.singh98@icloud.com"/>
    <s v="Non-Stick Frying Pan 10in"/>
    <x v="8"/>
    <s v="Home &amp; Kitchen"/>
    <x v="9"/>
    <n v="1"/>
    <n v="24.99"/>
    <n v="24.99"/>
    <m/>
    <x v="0"/>
    <n v="0"/>
    <n v="0"/>
    <s v="Number"/>
    <n v="7.99"/>
    <n v="7.99"/>
    <n v="32.979999999999997"/>
    <n v="32.979999999999997"/>
    <n v="32.979999999999997"/>
    <s v="True"/>
    <s v="Normal"/>
    <s v="PayPal"/>
    <x v="0"/>
    <s v="fulfilled"/>
    <s v="United States"/>
    <s v="Georgia"/>
    <s v="Valid"/>
    <s v="Port Alejandrohaven"/>
  </r>
  <r>
    <s v="#2306"/>
    <n v="1"/>
    <d v="2026-08-04T14:03:23"/>
    <d v="2026-08-04T14:03:23"/>
    <s v="Kimberly Estrada"/>
    <x v="0"/>
    <s v="kimberly.estrada858@gmail.com"/>
    <s v="Non-Stick Frying Pan 10in"/>
    <x v="8"/>
    <s v="Home &amp; Kitchen"/>
    <x v="9"/>
    <n v="2"/>
    <n v="24.99"/>
    <n v="24.99"/>
    <s v="VIP15"/>
    <x v="4"/>
    <n v="7.5"/>
    <n v="7.5"/>
    <s v="Number"/>
    <n v="4.99"/>
    <n v="4.99"/>
    <n v="47.47"/>
    <n v="47.47"/>
    <n v="47.47"/>
    <s v="True"/>
    <s v="Normal"/>
    <s v="Google Pay"/>
    <x v="1"/>
    <s v="pending"/>
    <s v="Canada"/>
    <m/>
    <s v="Not Required"/>
    <s v="Grimesport"/>
  </r>
  <r>
    <s v="#2330"/>
    <n v="1"/>
    <d v="2026-04-08T00:00:00"/>
    <s v="08/04/2026"/>
    <s v="Mary Garcia"/>
    <x v="0"/>
    <s v="mary.garcia899@icloud.com"/>
    <s v="Non-Stick Frying Pan 10in"/>
    <x v="8"/>
    <s v="Home &amp; Kitchen"/>
    <x v="9"/>
    <n v="1"/>
    <n v="24.99"/>
    <n v="24.99"/>
    <m/>
    <x v="0"/>
    <n v="0"/>
    <n v="0"/>
    <s v="Number"/>
    <n v="5.99"/>
    <n v="5.99"/>
    <n v="30.98"/>
    <n v="30.98"/>
    <n v="30.979999999999997"/>
    <s v="True"/>
    <s v="Normal"/>
    <s v="Apple Pay"/>
    <x v="3"/>
    <s v="fulfilled"/>
    <s v="Canada"/>
    <m/>
    <s v="Not Required"/>
    <s v="Rossland"/>
  </r>
  <r>
    <s v="#2364"/>
    <n v="1"/>
    <d v="2026-08-04T13:55:33"/>
    <d v="2026-08-04T13:55:33"/>
    <s v="Lauren Nguyen"/>
    <x v="0"/>
    <s v="lauren.nguyen819@outlook.com"/>
    <s v="Non-Stick Frying Pan 10in"/>
    <x v="8"/>
    <s v="Home &amp; Kitchen"/>
    <x v="9"/>
    <n v="1"/>
    <n v="24.99"/>
    <n v="24.99"/>
    <s v="WELCOME10"/>
    <x v="1"/>
    <n v="2.5"/>
    <n v="2.5"/>
    <s v="Number"/>
    <n v="4.99"/>
    <n v="4.99"/>
    <n v="27.48"/>
    <n v="27.48"/>
    <n v="27.479999999999997"/>
    <s v="True"/>
    <s v="Normal"/>
    <s v="PayPal"/>
    <x v="2"/>
    <s v="fulfilled"/>
    <s v="United Kingdom"/>
    <m/>
    <s v="Not Required"/>
    <s v="New Alyssa"/>
  </r>
  <r>
    <s v="#2368"/>
    <n v="1"/>
    <d v="2026-08-04T13:57:06"/>
    <d v="2026-08-04T13:57:06"/>
    <s v="James Miller"/>
    <x v="0"/>
    <s v="james.miller866@yahoo.com"/>
    <s v="Non-Stick Frying Pan 10in"/>
    <x v="8"/>
    <s v="Home &amp; Kitchen"/>
    <x v="9"/>
    <n v="1"/>
    <n v="24.99"/>
    <n v="24.99"/>
    <s v="SAVE20"/>
    <x v="2"/>
    <n v="5"/>
    <n v="5"/>
    <s v="Number"/>
    <n v="7.99"/>
    <n v="7.99"/>
    <n v="27.98"/>
    <n v="27.98"/>
    <n v="27.979999999999997"/>
    <s v="True"/>
    <s v="Normal"/>
    <s v="Google Pay"/>
    <x v="0"/>
    <s v="refunded"/>
    <s v="Pakistan"/>
    <m/>
    <s v="Not Required"/>
    <s v="South Marciafurt"/>
  </r>
  <r>
    <s v="#2411"/>
    <n v="1"/>
    <d v="2026-08-04T14:07:54"/>
    <d v="2026-08-04T14:07:54"/>
    <s v="  Cheryl Coleman"/>
    <x v="0"/>
    <s v="cheryl.coleman261@icloud.com"/>
    <s v="Non-Stick Frying Pan 10in"/>
    <x v="8"/>
    <s v="Home &amp; Kitchen"/>
    <x v="9"/>
    <n v="2"/>
    <n v="24.99"/>
    <n v="24.99"/>
    <s v="WELCOME10"/>
    <x v="1"/>
    <n v="5"/>
    <n v="5"/>
    <s v="Number"/>
    <n v="7.99"/>
    <n v="7.99"/>
    <n v="52.97"/>
    <n v="52.97"/>
    <n v="52.97"/>
    <s v="True"/>
    <s v="Normal"/>
    <s v="Credit Card"/>
    <x v="1"/>
    <s v="fulfilled"/>
    <s v="Pakistan"/>
    <m/>
    <s v="Not Required"/>
    <s v="West Jasonborough"/>
  </r>
  <r>
    <s v="#2427"/>
    <n v="1"/>
    <d v="2026-08-04T00:00:00"/>
    <s v="04-08-2026 14:00"/>
    <s v="Mary Garcia"/>
    <x v="0"/>
    <s v="mary.garcia899@icloud.com"/>
    <s v="Non-Stick Frying Pan 10in"/>
    <x v="8"/>
    <s v="Home &amp; Kitchen"/>
    <x v="9"/>
    <n v="1"/>
    <n v="24.99"/>
    <n v="24.99"/>
    <s v="BFCM25"/>
    <x v="3"/>
    <n v="6.25"/>
    <n v="6.25"/>
    <s v="Number"/>
    <n v="5.99"/>
    <n v="5.99"/>
    <n v="24.73"/>
    <n v="24.73"/>
    <n v="24.729999999999997"/>
    <s v="True"/>
    <s v="Normal"/>
    <s v="Credit Card"/>
    <x v="2"/>
    <s v="pending"/>
    <s v="Canada"/>
    <m/>
    <s v="Not Required"/>
    <s v="South Garyside"/>
  </r>
  <r>
    <s v="#2442"/>
    <n v="1"/>
    <d v="2026-08-04T13:58:48"/>
    <d v="2026-08-04T13:58:48"/>
    <s v="David Duke"/>
    <x v="0"/>
    <s v="david.duke814@icloud.com"/>
    <s v="Non-Stick Frying Pan 10in"/>
    <x v="8"/>
    <s v="Home &amp; Kitchen"/>
    <x v="9"/>
    <n v="2"/>
    <n v="24.99"/>
    <n v="24.99"/>
    <s v="FREESHIP"/>
    <x v="5"/>
    <n v="0"/>
    <n v="0"/>
    <s v="Number"/>
    <n v="0"/>
    <n v="0"/>
    <n v="49.98"/>
    <n v="49.98"/>
    <n v="49.98"/>
    <s v="True"/>
    <s v="Normal"/>
    <s v="Google Pay"/>
    <x v="2"/>
    <s v="fulfilled"/>
    <s v="United States"/>
    <s v="Texas"/>
    <s v="Valid"/>
    <s v="Martinezshire"/>
  </r>
  <r>
    <s v="#2450"/>
    <n v="1"/>
    <d v="2026-08-04T14:03:06"/>
    <d v="2026-08-04T14:03:06"/>
    <s v="Glenn Smith"/>
    <x v="0"/>
    <s v="glenn.smith305@gmail.com"/>
    <s v="Non-Stick Frying Pan 10in"/>
    <x v="8"/>
    <s v="Home &amp; Kitchen"/>
    <x v="9"/>
    <n v="2"/>
    <n v="24.99"/>
    <n v="24.99"/>
    <s v="FREESHIP"/>
    <x v="5"/>
    <n v="0"/>
    <n v="0"/>
    <s v="Number"/>
    <n v="0"/>
    <n v="0"/>
    <n v="49.98"/>
    <n v="49.98"/>
    <n v="49.98"/>
    <s v="True"/>
    <s v="Normal"/>
    <s v="PayPal"/>
    <x v="0"/>
    <s v="fulfilled"/>
    <s v="Canada"/>
    <m/>
    <s v="Not Required"/>
    <s v="Rebeccamouth"/>
  </r>
  <r>
    <s v="#2461"/>
    <n v="1"/>
    <d v="2026-04-08T00:00:00"/>
    <s v="08/04/2026"/>
    <s v="Megan Dickson"/>
    <x v="0"/>
    <s v="megan.dickson508@gmail.com"/>
    <s v="Non-Stick Frying Pan 10in"/>
    <x v="8"/>
    <s v="Home &amp; Kitchen"/>
    <x v="9"/>
    <n v="1"/>
    <n v="24.99"/>
    <n v="24.99"/>
    <m/>
    <x v="0"/>
    <s v="$0.00"/>
    <n v="0"/>
    <s v="Number"/>
    <n v="4.99"/>
    <n v="4.99"/>
    <s v="$29.98"/>
    <n v="29.98"/>
    <n v="29.979999999999997"/>
    <s v="True"/>
    <s v="Normal"/>
    <s v="Google Pay"/>
    <x v="3"/>
    <s v="cancelled"/>
    <s v="United Kingdom"/>
    <m/>
    <s v="Not Required"/>
    <s v="Pearsonchester"/>
  </r>
  <r>
    <s v="#2498"/>
    <n v="1"/>
    <d v="2026-08-04T13:57:19"/>
    <d v="2026-08-04T13:57:19"/>
    <s v="Linda Byrd"/>
    <x v="0"/>
    <s v="linda.byrd87@outlook.com"/>
    <s v="Non-Stick Frying Pan 10in"/>
    <x v="8"/>
    <s v="Home &amp; Kitchen"/>
    <x v="9"/>
    <n v="1"/>
    <n v="24.99"/>
    <n v="24.99"/>
    <m/>
    <x v="0"/>
    <n v="0"/>
    <n v="0"/>
    <s v="Number"/>
    <n v="7.99"/>
    <n v="7.99"/>
    <n v="32.979999999999997"/>
    <n v="32.979999999999997"/>
    <n v="32.979999999999997"/>
    <s v="True"/>
    <s v="Normal"/>
    <s v="Shopify Payments"/>
    <x v="1"/>
    <s v="fulfilled"/>
    <s v="United States"/>
    <s v="Illinois"/>
    <s v="Valid"/>
    <s v="Cooperchester"/>
  </r>
  <r>
    <s v="#2506"/>
    <n v="1"/>
    <d v="2026-08-04T14:05:04"/>
    <d v="2026-08-04T14:05:04"/>
    <s v="Monica Becker"/>
    <x v="0"/>
    <s v="monica.becker291@outlook.com"/>
    <s v="Non-Stick Frying Pan 10in"/>
    <x v="8"/>
    <s v="Home &amp; Kitchen"/>
    <x v="9"/>
    <n v="1"/>
    <n v="24.99"/>
    <n v="24.99"/>
    <m/>
    <x v="0"/>
    <n v="0"/>
    <n v="0"/>
    <s v="Number"/>
    <n v="5.99"/>
    <n v="5.99"/>
    <n v="30.98"/>
    <n v="30.98"/>
    <n v="30.979999999999997"/>
    <s v="True"/>
    <s v="Normal"/>
    <s v="PayPal"/>
    <x v="0"/>
    <s v="fulfilled"/>
    <s v="Canada"/>
    <m/>
    <s v="Not Required"/>
    <s v="Ryanshire"/>
  </r>
  <r>
    <s v="#2511"/>
    <n v="1"/>
    <d v="2026-08-04T13:55:21"/>
    <d v="2026-08-04T13:55:21"/>
    <s v="Paul Mills"/>
    <x v="0"/>
    <s v="paul.mills467@gmail.com"/>
    <s v="Non-Stick Frying Pan 10in"/>
    <x v="8"/>
    <s v="Home &amp; Kitchen"/>
    <x v="9"/>
    <n v="1"/>
    <n v="24.99"/>
    <n v="24.99"/>
    <s v="WELCOME10"/>
    <x v="1"/>
    <n v="2.5"/>
    <n v="2.5"/>
    <s v="Number"/>
    <n v="4.99"/>
    <n v="4.99"/>
    <n v="27.48"/>
    <n v="27.48"/>
    <n v="27.479999999999997"/>
    <s v="True"/>
    <s v="Normal"/>
    <s v="Credit Card"/>
    <x v="0"/>
    <s v="fulfilled"/>
    <s v="United States"/>
    <s v="Ohio"/>
    <s v="Valid"/>
    <s v="West Tabithamouth"/>
  </r>
  <r>
    <s v="#2521"/>
    <n v="1"/>
    <d v="2026-08-04T13:57:44"/>
    <d v="2026-08-04T13:57:44"/>
    <s v="Aimee Smith"/>
    <x v="0"/>
    <s v="aimee.smith857@icloud.com"/>
    <s v="Non-Stick Frying Pan 10in"/>
    <x v="8"/>
    <s v="Home &amp; Kitchen"/>
    <x v="9"/>
    <n v="1"/>
    <n v="24.99"/>
    <n v="24.99"/>
    <m/>
    <x v="0"/>
    <n v="0"/>
    <n v="0"/>
    <s v="Number"/>
    <n v="4.99"/>
    <n v="4.99"/>
    <n v="29.98"/>
    <n v="29.98"/>
    <n v="29.979999999999997"/>
    <s v="True"/>
    <s v="Normal"/>
    <s v="Credit Card"/>
    <x v="1"/>
    <s v="pending"/>
    <s v="United Kingdom"/>
    <m/>
    <s v="Not Required"/>
    <s v="Frenchbury"/>
  </r>
  <r>
    <s v="#2523"/>
    <n v="1"/>
    <d v="2026-08-04T14:04:00"/>
    <d v="2026-08-04T14:04:00"/>
    <s v="Kenneth Coleman"/>
    <x v="0"/>
    <s v="kenneth.coleman447@icloud.com"/>
    <s v="Non-Stick Frying Pan 10in"/>
    <x v="8"/>
    <s v="Home &amp; Kitchen"/>
    <x v="9"/>
    <n v="1"/>
    <n v="24.99"/>
    <n v="24.99"/>
    <m/>
    <x v="0"/>
    <n v="0"/>
    <n v="0"/>
    <s v="Number"/>
    <n v="7.99"/>
    <n v="7.99"/>
    <n v="32.979999999999997"/>
    <n v="32.979999999999997"/>
    <n v="32.979999999999997"/>
    <s v="True"/>
    <s v="Normal"/>
    <s v="Shopify Payments"/>
    <x v="3"/>
    <s v="fulfilled"/>
    <s v="United States"/>
    <s v="OH"/>
    <s v="Valid"/>
    <s v="New Carolyn"/>
  </r>
  <r>
    <s v="#2570"/>
    <n v="1"/>
    <d v="2026-08-04T14:08:05"/>
    <d v="2026-08-04T14:08:05"/>
    <s v="Michael Hays"/>
    <x v="0"/>
    <s v="michael.hays590@gmail.com"/>
    <s v="Non-Stick Frying Pan 10in"/>
    <x v="8"/>
    <s v="Home &amp; Kitchen"/>
    <x v="9"/>
    <n v="1"/>
    <n v="24.99"/>
    <n v="24.99"/>
    <s v="VIP15"/>
    <x v="4"/>
    <n v="3.75"/>
    <n v="3.75"/>
    <s v="Number"/>
    <n v="5.99"/>
    <n v="5.99"/>
    <n v="27.23"/>
    <n v="27.23"/>
    <n v="27.229999999999997"/>
    <s v="True"/>
    <s v="Normal"/>
    <s v="PayPal"/>
    <x v="1"/>
    <s v="pending"/>
    <s v="United States"/>
    <s v="AZ"/>
    <s v="Valid"/>
    <s v="South Andrew"/>
  </r>
  <r>
    <s v="#2580"/>
    <n v="1"/>
    <d v="2026-08-04T13:59:57"/>
    <d v="2026-08-04T13:59:57"/>
    <s v="Oliver, Shawn"/>
    <x v="0"/>
    <s v="shawn.oliver540@icloud.com"/>
    <s v="Non-Stick Frying Pan 10in"/>
    <x v="8"/>
    <s v="Home &amp; Kitchen"/>
    <x v="9"/>
    <n v="1"/>
    <n v="24.99"/>
    <n v="24.99"/>
    <m/>
    <x v="0"/>
    <s v="$0.00"/>
    <n v="0"/>
    <s v="Number"/>
    <n v="5.99"/>
    <n v="5.99"/>
    <n v="30.98"/>
    <n v="30.98"/>
    <n v="30.979999999999997"/>
    <s v="True"/>
    <s v="Normal"/>
    <s v="Credit Card"/>
    <x v="0"/>
    <s v="pending"/>
    <s v="Canada"/>
    <m/>
    <s v="Not Required"/>
    <s v="Rivasmouth"/>
  </r>
  <r>
    <s v="#2614"/>
    <n v="1"/>
    <d v="2026-08-04T13:59:05"/>
    <d v="2026-08-04T13:59:05"/>
    <s v="Christopher Harrington"/>
    <x v="0"/>
    <s v="christopher.harrington960@gmail.com"/>
    <s v="Non-Stick Frying Pan 10in"/>
    <x v="8"/>
    <s v="Home &amp; Kitchen"/>
    <x v="9"/>
    <n v="2"/>
    <n v="24.99"/>
    <n v="24.99"/>
    <m/>
    <x v="0"/>
    <n v="0"/>
    <n v="0"/>
    <s v="Number"/>
    <n v="4.99"/>
    <n v="4.99"/>
    <n v="54.97"/>
    <n v="54.97"/>
    <n v="54.97"/>
    <s v="True"/>
    <s v="Normal"/>
    <s v="Google Pay"/>
    <x v="0"/>
    <s v="refunded"/>
    <s v="Australia"/>
    <m/>
    <s v="Not Required"/>
    <s v="South Douglas"/>
  </r>
  <r>
    <s v="#2654"/>
    <n v="1"/>
    <d v="2026-08-04T13:53:51"/>
    <d v="2026-08-04T13:53:51"/>
    <s v="Amy Thompson"/>
    <x v="0"/>
    <s v="amy.thompson410@outlook.com"/>
    <s v="Non-Stick Frying Pan 10in"/>
    <x v="8"/>
    <s v="Home &amp; Kitchen"/>
    <x v="9"/>
    <n v="1"/>
    <n v="24.99"/>
    <n v="24.99"/>
    <s v="BFCM25"/>
    <x v="3"/>
    <n v="6.25"/>
    <n v="6.25"/>
    <s v="Number"/>
    <n v="5.99"/>
    <n v="5.99"/>
    <n v="24.73"/>
    <n v="24.73"/>
    <n v="24.729999999999997"/>
    <s v="True"/>
    <s v="Normal"/>
    <s v="PayPal"/>
    <x v="1"/>
    <s v="fulfilled"/>
    <s v="United States"/>
    <s v="Arizona"/>
    <s v="Valid"/>
    <s v="Aguilarmouth"/>
  </r>
  <r>
    <s v="#2663"/>
    <n v="1"/>
    <d v="2026-08-04T14:08:19"/>
    <d v="2026-08-04T14:08:19"/>
    <s v="  Dustin Griffin"/>
    <x v="0"/>
    <s v="dustin.griffin434@gmail.com"/>
    <s v="Non-Stick Frying Pan 10in"/>
    <x v="8"/>
    <s v="Home &amp; Kitchen"/>
    <x v="9"/>
    <n v="1"/>
    <n v="24.99"/>
    <n v="24.99"/>
    <s v="BFCM25"/>
    <x v="3"/>
    <n v="6.25"/>
    <n v="6.25"/>
    <s v="Number"/>
    <n v="7.99"/>
    <n v="7.99"/>
    <n v="26.73"/>
    <n v="26.73"/>
    <n v="26.729999999999997"/>
    <s v="True"/>
    <s v="Normal"/>
    <s v="PayPal"/>
    <x v="2"/>
    <s v="refunded"/>
    <s v="United States"/>
    <s v="North Carolina"/>
    <s v="Valid"/>
    <s v="Lauraburgh"/>
  </r>
  <r>
    <s v="#2693"/>
    <n v="1"/>
    <d v="2026-08-04T14:06:36"/>
    <d v="2026-08-04T14:06:36"/>
    <s v="Christy Phillips"/>
    <x v="0"/>
    <s v="christy.phillips291@gmail.com"/>
    <s v="Non-Stick Frying Pan 10in"/>
    <x v="8"/>
    <s v="Home &amp; Kitchen"/>
    <x v="9"/>
    <n v="1"/>
    <n v="24.99"/>
    <n v="24.99"/>
    <s v="WELCOME10"/>
    <x v="1"/>
    <n v="2.5"/>
    <n v="2.5"/>
    <s v="Number"/>
    <n v="4.99"/>
    <n v="4.99"/>
    <n v="27.48"/>
    <n v="27.48"/>
    <n v="27.479999999999997"/>
    <s v="True"/>
    <s v="Normal"/>
    <s v="Apple Pay"/>
    <x v="3"/>
    <s v="fulfilled"/>
    <s v="Pakistan"/>
    <m/>
    <s v="Not Required"/>
    <s v="Glennmouth"/>
  </r>
  <r>
    <s v="#2713"/>
    <n v="1"/>
    <d v="2026-08-04T14:02:22"/>
    <d v="2026-08-04T14:02:22"/>
    <s v="Amanda Robinson"/>
    <x v="0"/>
    <s v="amanda.robinson263@icloud.com"/>
    <s v="Non-Stick Frying Pan 10in"/>
    <x v="8"/>
    <s v="Home &amp; Kitchen"/>
    <x v="9"/>
    <n v="1"/>
    <n v="24.99"/>
    <n v="24.99"/>
    <m/>
    <x v="0"/>
    <n v="0"/>
    <n v="0"/>
    <s v="Number"/>
    <n v="7.99"/>
    <n v="7.99"/>
    <n v="32.979999999999997"/>
    <n v="32.979999999999997"/>
    <n v="32.979999999999997"/>
    <s v="True"/>
    <s v="Normal"/>
    <s v="Google Pay"/>
    <x v="3"/>
    <s v="pending"/>
    <s v="United States"/>
    <s v="GA"/>
    <s v="Valid"/>
    <s v="Carmenland"/>
  </r>
  <r>
    <s v="#2744"/>
    <n v="1"/>
    <d v="2026-08-04T13:58:17"/>
    <d v="2026-08-04T13:58:17"/>
    <s v="Jennifer Burke"/>
    <x v="0"/>
    <s v="jennifer.burke472@icloud.com"/>
    <s v="Non-Stick Frying Pan 10in"/>
    <x v="8"/>
    <s v="Home &amp; Kitchen"/>
    <x v="9"/>
    <n v="2"/>
    <n v="24.99"/>
    <n v="24.99"/>
    <m/>
    <x v="0"/>
    <n v="0"/>
    <n v="0"/>
    <s v="Number"/>
    <n v="5.99"/>
    <n v="5.99"/>
    <s v="$55.97"/>
    <n v="55.97"/>
    <n v="55.97"/>
    <s v="True"/>
    <s v="Normal"/>
    <s v="PayPal"/>
    <x v="0"/>
    <s v="pending"/>
    <s v="Pakistan"/>
    <m/>
    <s v="Not Required"/>
    <s v="Fosterview"/>
  </r>
  <r>
    <s v="#2760"/>
    <n v="1"/>
    <d v="2026-08-04T14:05:44"/>
    <d v="2026-08-04T14:05:44"/>
    <s v="JACQUELINE RICHMOND"/>
    <x v="0"/>
    <s v="jacqueline.richmond595@outlook.com"/>
    <s v="Non-Stick Frying Pan 10in"/>
    <x v="8"/>
    <s v="Home &amp; Kitchen"/>
    <x v="9"/>
    <n v="1"/>
    <n v="24.99"/>
    <n v="24.99"/>
    <m/>
    <x v="0"/>
    <n v="0"/>
    <n v="0"/>
    <s v="Number"/>
    <n v="4.99"/>
    <n v="4.99"/>
    <n v="29.98"/>
    <n v="29.98"/>
    <n v="29.979999999999997"/>
    <s v="True"/>
    <s v="Normal"/>
    <s v="Apple Pay"/>
    <x v="1"/>
    <s v="fulfilled"/>
    <s v="United States"/>
    <s v="Texas"/>
    <s v="Valid"/>
    <s v="West Annaport"/>
  </r>
  <r>
    <s v="#2763"/>
    <n v="1"/>
    <d v="2026-08-04T00:00:00"/>
    <s v="2026-08-04"/>
    <s v="Duncan, Ruth"/>
    <x v="0"/>
    <s v="ruth.duncan434@icloud.com"/>
    <s v="Non-Stick Frying Pan 10in"/>
    <x v="8"/>
    <s v="Home &amp; Kitchen"/>
    <x v="9"/>
    <n v="2"/>
    <s v="$24.99"/>
    <n v="24.99"/>
    <m/>
    <x v="0"/>
    <n v="0"/>
    <n v="0"/>
    <s v="Number"/>
    <n v="4.99"/>
    <n v="4.99"/>
    <n v="54.97"/>
    <n v="54.97"/>
    <n v="54.97"/>
    <s v="True"/>
    <s v="Normal"/>
    <s v="Credit Card"/>
    <x v="3"/>
    <s v="cancelled"/>
    <s v="Australia"/>
    <m/>
    <s v="Not Required"/>
    <s v="New Frances"/>
  </r>
  <r>
    <s v="#2786"/>
    <n v="1"/>
    <d v="2026-08-04T14:00:17"/>
    <d v="2026-08-04T14:00:17"/>
    <s v="Vincent Rosales"/>
    <x v="1"/>
    <m/>
    <s v="Non-Stick Frying Pan 10in"/>
    <x v="8"/>
    <s v="Home &amp; Kitchen"/>
    <x v="9"/>
    <n v="1"/>
    <n v="24.99"/>
    <n v="24.99"/>
    <s v="FREESHIP"/>
    <x v="5"/>
    <n v="0"/>
    <n v="0"/>
    <s v="Number"/>
    <n v="0"/>
    <n v="0"/>
    <n v="24.99"/>
    <n v="24.99"/>
    <n v="24.99"/>
    <s v="True"/>
    <s v="Normal"/>
    <s v="Apple Pay"/>
    <x v="2"/>
    <s v="cancelled"/>
    <s v="United States"/>
    <s v="Illinois"/>
    <s v="Valid"/>
    <s v="North Teresa"/>
  </r>
  <r>
    <s v="#2793"/>
    <n v="1"/>
    <d v="2026-08-04T14:05:54"/>
    <d v="2026-08-04T14:05:54"/>
    <s v="Jesus Mason"/>
    <x v="0"/>
    <s v="jesus.mason798@icloud.com"/>
    <s v="Non-Stick Frying Pan 10in"/>
    <x v="8"/>
    <s v="Home &amp; Kitchen"/>
    <x v="9"/>
    <n v="1"/>
    <n v="24.99"/>
    <n v="24.99"/>
    <s v="BFCM25"/>
    <x v="3"/>
    <n v="6.25"/>
    <n v="6.25"/>
    <s v="Number"/>
    <n v="7.99"/>
    <n v="7.99"/>
    <n v="26.73"/>
    <n v="26.73"/>
    <n v="26.729999999999997"/>
    <s v="True"/>
    <s v="Normal"/>
    <s v="Google Pay"/>
    <x v="2"/>
    <s v="pending"/>
    <s v="United States"/>
    <s v="GA"/>
    <s v="Valid"/>
    <s v="South Danielshire"/>
  </r>
  <r>
    <s v="#2856"/>
    <n v="1"/>
    <d v="2026-08-04T13:59:00"/>
    <d v="2026-08-04T13:59:00"/>
    <s v="Sarah Mendoza"/>
    <x v="0"/>
    <s v="sarah.mendoza691@outlook.com"/>
    <s v="Non-Stick Frying Pan 10in"/>
    <x v="8"/>
    <s v="Home &amp; Kitchen"/>
    <x v="9"/>
    <n v="1"/>
    <n v="24.99"/>
    <n v="24.99"/>
    <s v="FREESHIP"/>
    <x v="5"/>
    <n v="0"/>
    <n v="0"/>
    <s v="Number"/>
    <n v="0"/>
    <n v="0"/>
    <n v="24.99"/>
    <n v="24.99"/>
    <n v="24.99"/>
    <s v="True"/>
    <s v="Normal"/>
    <s v="Apple Pay"/>
    <x v="1"/>
    <s v="fulfilled"/>
    <s v="United States"/>
    <s v="Florida"/>
    <s v="Valid"/>
    <s v="Burnsbury"/>
  </r>
  <r>
    <s v="#2915"/>
    <n v="1"/>
    <d v="2026-08-04T14:01:54"/>
    <d v="2026-08-04T14:01:54"/>
    <s v="Philip Stevens"/>
    <x v="0"/>
    <s v="philip.stevens908@outlook.com"/>
    <s v="Non-Stick Frying Pan 10in"/>
    <x v="8"/>
    <s v="Home &amp; Kitchen"/>
    <x v="9"/>
    <n v="1"/>
    <n v="24.99"/>
    <n v="24.99"/>
    <m/>
    <x v="0"/>
    <n v="0"/>
    <n v="0"/>
    <s v="Number"/>
    <n v="5.99"/>
    <n v="5.99"/>
    <n v="30.98"/>
    <n v="30.98"/>
    <n v="30.979999999999997"/>
    <s v="True"/>
    <s v="Normal"/>
    <s v="PayPal"/>
    <x v="2"/>
    <s v="fulfilled"/>
    <s v="United States"/>
    <s v="Georgia"/>
    <s v="Valid"/>
    <s v="Port Courtney"/>
  </r>
  <r>
    <s v="#2928"/>
    <n v="1"/>
    <d v="2026-08-04T14:06:22"/>
    <d v="2026-08-04T14:06:22"/>
    <s v="Rebecca Watts"/>
    <x v="0"/>
    <s v="rebecca.watts779@gmail.com"/>
    <s v="Non-Stick Frying Pan 10in"/>
    <x v="8"/>
    <s v="Home &amp; Kitchen"/>
    <x v="9"/>
    <n v="2"/>
    <n v="24.99"/>
    <n v="24.99"/>
    <m/>
    <x v="0"/>
    <n v="0"/>
    <n v="0"/>
    <s v="Number"/>
    <n v="7.99"/>
    <n v="7.99"/>
    <n v="57.97"/>
    <n v="57.97"/>
    <n v="57.97"/>
    <s v="True"/>
    <s v="Normal"/>
    <s v="Apple Pay"/>
    <x v="2"/>
    <s v="fulfilled"/>
    <s v="United States"/>
    <s v="California"/>
    <s v="Valid"/>
    <s v="North Jamesbury"/>
  </r>
  <r>
    <s v="#2932"/>
    <n v="1"/>
    <d v="2026-08-04T14:06:29"/>
    <d v="2026-08-04T14:06:29"/>
    <s v="Chad Pierce"/>
    <x v="0"/>
    <s v="chad.pierce440@outlook.com"/>
    <s v="Non-Stick Frying Pan 10in"/>
    <x v="8"/>
    <s v="Home &amp; Kitchen"/>
    <x v="9"/>
    <n v="1"/>
    <n v="24.99"/>
    <n v="24.99"/>
    <s v="VIP15"/>
    <x v="4"/>
    <n v="3.75"/>
    <n v="3.75"/>
    <s v="Number"/>
    <n v="5.99"/>
    <n v="5.99"/>
    <n v="27.23"/>
    <n v="27.23"/>
    <n v="27.229999999999997"/>
    <s v="True"/>
    <s v="Normal"/>
    <s v="Apple Pay"/>
    <x v="0"/>
    <s v="fulfilled"/>
    <s v="United States"/>
    <s v="Ohio"/>
    <s v="Valid"/>
    <s v="West Benjamin"/>
  </r>
  <r>
    <s v="#2986"/>
    <n v="1"/>
    <d v="2026-08-04T00:00:00"/>
    <s v="2026-08-04"/>
    <s v="melissa smith"/>
    <x v="1"/>
    <m/>
    <s v="Non-Stick Frying Pan 10in"/>
    <x v="8"/>
    <s v="Home &amp; Kitchen"/>
    <x v="9"/>
    <n v="2"/>
    <n v="24.99"/>
    <n v="24.99"/>
    <s v="WELCOME10"/>
    <x v="1"/>
    <n v="5"/>
    <n v="5"/>
    <s v="Number"/>
    <n v="5.99"/>
    <n v="5.99"/>
    <n v="50.97"/>
    <n v="50.97"/>
    <n v="50.97"/>
    <s v="True"/>
    <s v="Normal"/>
    <s v="Credit Card"/>
    <x v="0"/>
    <s v="cancelled"/>
    <s v="Pakistan"/>
    <m/>
    <s v="Not Required"/>
    <s v="Jacobmouth"/>
  </r>
  <r>
    <s v="#2989"/>
    <n v="1"/>
    <d v="2026-08-04T14:03:16"/>
    <d v="2026-08-04T14:03:16"/>
    <s v="Jennifer Burke"/>
    <x v="0"/>
    <s v="jennifer.burke472@icloud.com"/>
    <s v="Non-Stick Frying Pan 10in"/>
    <x v="8"/>
    <s v="Home &amp; Kitchen"/>
    <x v="9"/>
    <n v="1"/>
    <n v="24.99"/>
    <n v="24.99"/>
    <s v="SAVE20"/>
    <x v="2"/>
    <n v="5"/>
    <n v="5"/>
    <s v="Number"/>
    <n v="7.99"/>
    <n v="7.99"/>
    <n v="27.98"/>
    <n v="27.98"/>
    <n v="27.979999999999997"/>
    <s v="True"/>
    <s v="Normal"/>
    <s v="Apple Pay"/>
    <x v="0"/>
    <s v="cancelled"/>
    <s v="Pakistan"/>
    <m/>
    <s v="Not Required"/>
    <s v="Ramoshaven"/>
  </r>
  <r>
    <s v="#1051"/>
    <n v="1"/>
    <d v="2026-08-04T13:59:15"/>
    <d v="2026-08-04T13:59:15"/>
    <s v="Paul Dillon"/>
    <x v="0"/>
    <s v="paul.dillon750@icloud.com"/>
    <s v="Phone Case - Clear"/>
    <x v="9"/>
    <s v="Electronics"/>
    <x v="10"/>
    <n v="1"/>
    <n v="8.99"/>
    <n v="8.99"/>
    <s v="BFCM25"/>
    <x v="3"/>
    <n v="2.25"/>
    <n v="2.25"/>
    <s v="Number"/>
    <n v="7.99"/>
    <n v="7.99"/>
    <n v="14.73"/>
    <n v="14.73"/>
    <n v="14.73"/>
    <s v="True"/>
    <s v="Normal"/>
    <s v="PayPal"/>
    <x v="0"/>
    <s v="fulfilled"/>
    <s v="Australia"/>
    <m/>
    <s v="Not Required"/>
    <s v="Comptonstad"/>
  </r>
  <r>
    <s v="#1061"/>
    <n v="1"/>
    <d v="2026-08-04T14:03:34"/>
    <d v="2026-08-04T14:03:34"/>
    <s v="Stacey Johnson"/>
    <x v="0"/>
    <s v="stacey.johnson95@gmail.com"/>
    <s v="Phone Case - Clear"/>
    <x v="9"/>
    <s v="Electronics"/>
    <x v="10"/>
    <n v="2"/>
    <n v="8.99"/>
    <n v="8.99"/>
    <s v="FREESHIP"/>
    <x v="5"/>
    <n v="0"/>
    <n v="0"/>
    <s v="Number"/>
    <n v="0"/>
    <n v="0"/>
    <n v="17.98"/>
    <n v="17.98"/>
    <n v="17.98"/>
    <s v="True"/>
    <s v="Normal"/>
    <s v="Credit Card"/>
    <x v="0"/>
    <s v="cancelled"/>
    <s v="Germany"/>
    <m/>
    <s v="Not Required"/>
    <s v="West Charles"/>
  </r>
  <r>
    <s v="#1072"/>
    <n v="1"/>
    <d v="2026-04-08T00:00:00"/>
    <s v="08/04/2026"/>
    <s v="Katie Coleman"/>
    <x v="0"/>
    <s v="katie.coleman262@outlook.com"/>
    <s v="Phone Case - Clear"/>
    <x v="9"/>
    <s v="Electronics"/>
    <x v="10"/>
    <n v="1"/>
    <n v="8.99"/>
    <n v="8.99"/>
    <m/>
    <x v="0"/>
    <n v="0"/>
    <n v="0"/>
    <s v="Number"/>
    <n v="5.99"/>
    <n v="5.99"/>
    <n v="14.98"/>
    <n v="14.98"/>
    <n v="14.98"/>
    <s v="True"/>
    <s v="Normal"/>
    <s v="Apple Pay"/>
    <x v="0"/>
    <s v="refunded"/>
    <s v="Canada"/>
    <m/>
    <s v="Not Required"/>
    <s v="Kennethfurt"/>
  </r>
  <r>
    <s v="#1078"/>
    <n v="1"/>
    <d v="2026-08-04T14:02:46"/>
    <d v="2026-08-04T14:02:46"/>
    <s v="Sandra Potter"/>
    <x v="0"/>
    <s v="sandra.potter166@yahoo.com"/>
    <s v="Phone Case - Clear"/>
    <x v="9"/>
    <s v="Electronics"/>
    <x v="10"/>
    <n v="1"/>
    <n v="8.99"/>
    <n v="8.99"/>
    <m/>
    <x v="0"/>
    <n v="0"/>
    <n v="0"/>
    <s v="Number"/>
    <n v="4.99"/>
    <n v="4.99"/>
    <n v="13.98"/>
    <n v="13.98"/>
    <n v="13.98"/>
    <s v="True"/>
    <s v="Normal"/>
    <s v="Google Pay"/>
    <x v="0"/>
    <s v="cancelled"/>
    <s v="United States"/>
    <s v="North Carolina"/>
    <s v="Valid"/>
    <s v="South Moniquehaven"/>
  </r>
  <r>
    <s v="#1119"/>
    <n v="1"/>
    <d v="2026-08-04T13:53:46"/>
    <d v="2026-08-04T13:53:46"/>
    <s v="Justin Smith"/>
    <x v="0"/>
    <s v="justin.smith204@yahoo.com"/>
    <s v="Phone Case - Clear"/>
    <x v="9"/>
    <s v="Electronics"/>
    <x v="10"/>
    <n v="2"/>
    <n v="8.99"/>
    <n v="8.99"/>
    <s v="BFCM25"/>
    <x v="3"/>
    <n v="4.5"/>
    <n v="4.5"/>
    <s v="Number"/>
    <n v="5.99"/>
    <n v="5.99"/>
    <n v="19.47"/>
    <n v="19.47"/>
    <n v="19.47"/>
    <s v="True"/>
    <s v="Normal"/>
    <s v="Apple Pay"/>
    <x v="3"/>
    <s v="fulfilled"/>
    <s v="United Kingdom"/>
    <m/>
    <s v="Not Required"/>
    <s v="Butlerhaven"/>
  </r>
  <r>
    <s v="#1163"/>
    <n v="1"/>
    <d v="2026-08-04T13:56:40"/>
    <d v="2026-08-04T13:56:40"/>
    <s v="nancy nichols"/>
    <x v="0"/>
    <s v="nancy.nichols189@yahoo.com"/>
    <s v="Phone Case - Clear"/>
    <x v="9"/>
    <s v="Electronics"/>
    <x v="10"/>
    <n v="1"/>
    <n v="8.99"/>
    <n v="8.99"/>
    <m/>
    <x v="0"/>
    <n v="0"/>
    <n v="0"/>
    <s v="Number"/>
    <n v="7.99"/>
    <n v="7.99"/>
    <n v="16.98"/>
    <n v="16.98"/>
    <n v="16.98"/>
    <s v="True"/>
    <s v="Normal"/>
    <s v="Shopify Payments"/>
    <x v="3"/>
    <s v="fulfilled"/>
    <s v="United States"/>
    <s v="Georgia"/>
    <s v="Valid"/>
    <s v="Shafferchester"/>
  </r>
  <r>
    <s v="#1208"/>
    <n v="1"/>
    <d v="2026-08-04T14:02:16"/>
    <d v="2026-08-04T14:02:16"/>
    <s v="Cody Murray"/>
    <x v="0"/>
    <s v="cody.murray456@gmail.com"/>
    <s v="Phone Case - Clear"/>
    <x v="9"/>
    <s v="Electronics"/>
    <x v="10"/>
    <n v="1"/>
    <n v="8.99"/>
    <n v="8.99"/>
    <s v="SAVE20"/>
    <x v="2"/>
    <n v="1.8"/>
    <n v="1.8"/>
    <s v="Number"/>
    <n v="5.99"/>
    <n v="5.99"/>
    <n v="13.18"/>
    <n v="13.18"/>
    <n v="13.18"/>
    <s v="True"/>
    <s v="Normal"/>
    <s v="Apple Pay"/>
    <x v="3"/>
    <s v="refunded"/>
    <s v="United Kingdom"/>
    <m/>
    <s v="Not Required"/>
    <s v="West Codyberg"/>
  </r>
  <r>
    <s v="#1265"/>
    <n v="1"/>
    <d v="2026-08-04T14:06:38"/>
    <d v="2026-08-04T14:06:38"/>
    <s v="Tracy Adams"/>
    <x v="0"/>
    <s v="tracy.adams712@icloud.com"/>
    <s v="Phone Case - Clear"/>
    <x v="9"/>
    <s v="Electronics"/>
    <x v="10"/>
    <n v="1"/>
    <n v="8.99"/>
    <n v="8.99"/>
    <s v="BFCM25"/>
    <x v="3"/>
    <n v="2.25"/>
    <n v="2.25"/>
    <s v="Number"/>
    <n v="7.99"/>
    <n v="7.99"/>
    <n v="14.73"/>
    <n v="14.73"/>
    <n v="14.73"/>
    <s v="True"/>
    <s v="Normal"/>
    <s v="Credit Card"/>
    <x v="1"/>
    <s v="cancelled"/>
    <s v="United States"/>
    <s v="New York"/>
    <s v="Valid"/>
    <s v="New Danielshire"/>
  </r>
  <r>
    <s v="#1279"/>
    <n v="1"/>
    <d v="2026-04-08T00:00:00"/>
    <s v="08/04/2026"/>
    <s v="Sharon Brown"/>
    <x v="0"/>
    <s v="sharon.brown14@gmail.com"/>
    <s v="Phone Case - Clear"/>
    <x v="9"/>
    <s v="Electronics"/>
    <x v="10"/>
    <n v="1"/>
    <n v="8.99"/>
    <n v="8.99"/>
    <s v="BFCM25"/>
    <x v="3"/>
    <n v="2.25"/>
    <n v="2.25"/>
    <s v="Number"/>
    <n v="5.99"/>
    <n v="5.99"/>
    <n v="12.73"/>
    <n v="12.73"/>
    <n v="12.73"/>
    <s v="True"/>
    <s v="Normal"/>
    <s v="PayPal"/>
    <x v="2"/>
    <s v="fulfilled"/>
    <s v="United States"/>
    <s v="Florida"/>
    <s v="Valid"/>
    <s v="Marcusfurt"/>
  </r>
  <r>
    <s v="#1281"/>
    <n v="1"/>
    <d v="2026-08-04T14:07:05"/>
    <d v="2026-08-04T14:07:05"/>
    <s v="Charles Franco"/>
    <x v="0"/>
    <s v="charles.franco761@outlook.com"/>
    <s v="Phone Case - Clear"/>
    <x v="9"/>
    <s v="Electronics"/>
    <x v="10"/>
    <n v="1"/>
    <n v="8.99"/>
    <n v="8.99"/>
    <s v="VIP15"/>
    <x v="4"/>
    <n v="1.35"/>
    <n v="1.35"/>
    <s v="Number"/>
    <n v="5.99"/>
    <n v="5.99"/>
    <n v="13.63"/>
    <n v="13.63"/>
    <n v="13.63"/>
    <s v="True"/>
    <s v="Normal"/>
    <s v="Credit Card"/>
    <x v="3"/>
    <s v="fulfilled"/>
    <s v="United States"/>
    <s v="Canada"/>
    <s v="Valid"/>
    <s v="Dawnberg"/>
  </r>
  <r>
    <s v="#1307"/>
    <n v="1"/>
    <d v="2026-08-04T13:55:05"/>
    <d v="2026-08-04T13:55:05"/>
    <s v="James Miller"/>
    <x v="0"/>
    <s v="james.miller866@yahoo.com"/>
    <s v="Phone Case - Clear"/>
    <x v="9"/>
    <s v="Electronics"/>
    <x v="10"/>
    <n v="1"/>
    <n v="8.99"/>
    <n v="8.99"/>
    <m/>
    <x v="0"/>
    <n v="0"/>
    <n v="0"/>
    <s v="Number"/>
    <n v="7.99"/>
    <n v="7.99"/>
    <n v="16.98"/>
    <n v="16.98"/>
    <n v="16.98"/>
    <s v="True"/>
    <s v="Normal"/>
    <s v="Shopify Payments"/>
    <x v="2"/>
    <s v="cancelled"/>
    <s v="Pakistan"/>
    <m/>
    <s v="Not Required"/>
    <s v="Samanthaview"/>
  </r>
  <r>
    <s v="#1381"/>
    <n v="1"/>
    <d v="2026-08-04T00:00:00"/>
    <s v="04-08-2026 14:00"/>
    <s v="Sandra Potter"/>
    <x v="0"/>
    <s v="sandra.potter166@yahoo.com"/>
    <s v="Phone Case - Clear"/>
    <x v="9"/>
    <s v="Electronics"/>
    <x v="10"/>
    <n v="1"/>
    <n v="8.99"/>
    <n v="8.99"/>
    <s v="WELCOME10"/>
    <x v="1"/>
    <n v="0.9"/>
    <n v="0.9"/>
    <s v="Number"/>
    <n v="7.99"/>
    <n v="7.99"/>
    <s v="$16.08"/>
    <n v="16.079999999999998"/>
    <n v="16.079999999999998"/>
    <s v="True"/>
    <s v="Normal"/>
    <s v="PayPal"/>
    <x v="3"/>
    <s v="fulfilled"/>
    <s v="United States"/>
    <s v="WA"/>
    <s v="Valid"/>
    <s v="South Justintown"/>
  </r>
  <r>
    <s v="#1389"/>
    <n v="1"/>
    <d v="2026-08-04T13:53:54"/>
    <d v="2026-08-04T13:53:54"/>
    <s v="Andrew Jones"/>
    <x v="0"/>
    <s v="andrew.jones338@icloud.com"/>
    <s v="Phone Case - Clear"/>
    <x v="9"/>
    <s v="Electronics"/>
    <x v="10"/>
    <n v="1"/>
    <n v="8.99"/>
    <n v="8.99"/>
    <s v="WELCOME10"/>
    <x v="1"/>
    <n v="0.9"/>
    <n v="0.9"/>
    <s v="Number"/>
    <n v="5.99"/>
    <n v="5.99"/>
    <n v="14.08"/>
    <n v="14.08"/>
    <n v="14.08"/>
    <s v="True"/>
    <s v="Normal"/>
    <s v="Google Pay"/>
    <x v="0"/>
    <s v="fulfilled"/>
    <s v="United Kingdom"/>
    <m/>
    <s v="Not Required"/>
    <s v="Melissastad"/>
  </r>
  <r>
    <s v="#1403"/>
    <n v="1"/>
    <d v="2026-08-04T14:00:36"/>
    <d v="2026-08-04T14:00:36"/>
    <s v="Vincent Rosales"/>
    <x v="0"/>
    <s v="vincent.rosales30@icloud.com"/>
    <s v="Phone Case - Clear"/>
    <x v="9"/>
    <s v="Electronics"/>
    <x v="10"/>
    <n v="3"/>
    <n v="8.99"/>
    <n v="8.99"/>
    <m/>
    <x v="0"/>
    <n v="0"/>
    <n v="0"/>
    <s v="Number"/>
    <n v="7.99"/>
    <n v="7.99"/>
    <n v="34.96"/>
    <n v="34.96"/>
    <n v="34.96"/>
    <s v="True"/>
    <s v="Normal"/>
    <s v="Shopify Payments"/>
    <x v="1"/>
    <s v="cancelled"/>
    <s v="United States"/>
    <s v="Illinois"/>
    <s v="Valid"/>
    <s v="Port Nicoleberg"/>
  </r>
  <r>
    <s v="#1418"/>
    <n v="1"/>
    <d v="2026-08-04T14:04:33"/>
    <d v="2026-08-04T14:04:33"/>
    <s v="Walter Rodriguez"/>
    <x v="0"/>
    <s v="walter.rodriguez829@gmail.com"/>
    <s v="Phone Case - Clear"/>
    <x v="9"/>
    <s v="Electronics"/>
    <x v="10"/>
    <n v="1"/>
    <n v="8.99"/>
    <n v="8.99"/>
    <s v="SAVE20"/>
    <x v="2"/>
    <n v="1.8"/>
    <n v="1.8"/>
    <s v="Number"/>
    <n v="4.99"/>
    <n v="4.99"/>
    <n v="12.18"/>
    <n v="12.18"/>
    <n v="12.18"/>
    <s v="True"/>
    <s v="Normal"/>
    <s v="PayPal"/>
    <x v="0"/>
    <s v="cancelled"/>
    <s v="Australia"/>
    <m/>
    <s v="Not Required"/>
    <s v="Riversport"/>
  </r>
  <r>
    <s v="#1511"/>
    <n v="1"/>
    <d v="2026-08-04T14:03:30"/>
    <d v="2026-08-04T14:03:30"/>
    <s v="Alec Chambers"/>
    <x v="0"/>
    <s v="alec.chambers767@outlook.com"/>
    <s v="Phone Case - Clear"/>
    <x v="9"/>
    <s v="Electronics"/>
    <x v="10"/>
    <n v="1"/>
    <n v="8.99"/>
    <n v="8.99"/>
    <m/>
    <x v="0"/>
    <n v="0"/>
    <n v="0"/>
    <s v="Number"/>
    <n v="5.99"/>
    <n v="5.99"/>
    <n v="14.98"/>
    <n v="14.98"/>
    <n v="14.98"/>
    <s v="True"/>
    <s v="Normal"/>
    <s v="Apple Pay"/>
    <x v="3"/>
    <s v="fulfilled"/>
    <s v="Canada"/>
    <m/>
    <s v="Not Required"/>
    <s v="Loganmouth"/>
  </r>
  <r>
    <s v="#1521"/>
    <n v="1"/>
    <d v="2026-08-04T14:05:33"/>
    <d v="2026-08-04T14:05:33"/>
    <s v="Peter Alvarez"/>
    <x v="0"/>
    <s v="peter.alvarez465@yahoo.com"/>
    <s v="Phone Case - Clear"/>
    <x v="9"/>
    <s v="Electronics"/>
    <x v="10"/>
    <n v="2"/>
    <n v="8.99"/>
    <n v="8.99"/>
    <m/>
    <x v="0"/>
    <n v="0"/>
    <n v="0"/>
    <s v="Number"/>
    <n v="5.99"/>
    <n v="5.99"/>
    <n v="23.97"/>
    <n v="23.97"/>
    <n v="23.97"/>
    <s v="True"/>
    <s v="Normal"/>
    <s v="Google Pay"/>
    <x v="0"/>
    <s v="fulfilled"/>
    <s v="United States"/>
    <s v="Arizona"/>
    <s v="Valid"/>
    <s v="Perezhaven"/>
  </r>
  <r>
    <s v="#1564"/>
    <n v="1"/>
    <d v="2026-08-04T14:03:42"/>
    <d v="2026-08-04T14:03:42"/>
    <s v="Nicholas Jarvis"/>
    <x v="0"/>
    <s v="nicholas.jarvis112@icloud.com"/>
    <s v="Phone Case - Clear"/>
    <x v="9"/>
    <s v="Electronics"/>
    <x v="10"/>
    <n v="1"/>
    <n v="8.99"/>
    <n v="8.99"/>
    <m/>
    <x v="0"/>
    <n v="0"/>
    <n v="0"/>
    <s v="Number"/>
    <n v="5.99"/>
    <n v="5.99"/>
    <n v="14.98"/>
    <n v="14.98"/>
    <n v="14.98"/>
    <s v="True"/>
    <s v="Normal"/>
    <s v="Google Pay"/>
    <x v="0"/>
    <s v="fulfilled"/>
    <s v="Canada"/>
    <m/>
    <s v="Not Required"/>
    <s v="North Anthonyland"/>
  </r>
  <r>
    <s v="#1619"/>
    <n v="1"/>
    <d v="2026-04-08T00:00:00"/>
    <s v="08/04/2026"/>
    <s v="Peter Alvarez"/>
    <x v="0"/>
    <s v="peter.alvarez465@yahoo.com"/>
    <s v="Phone Case - Clear"/>
    <x v="9"/>
    <s v="Electronics"/>
    <x v="10"/>
    <n v="1"/>
    <n v="8.99"/>
    <n v="8.99"/>
    <s v="BFCM25"/>
    <x v="3"/>
    <n v="2.25"/>
    <n v="2.25"/>
    <s v="Number"/>
    <n v="5.99"/>
    <n v="5.99"/>
    <n v="12.73"/>
    <n v="12.73"/>
    <n v="12.73"/>
    <s v="True"/>
    <s v="Normal"/>
    <s v="Credit Card"/>
    <x v="2"/>
    <s v="fulfilled"/>
    <s v="United States"/>
    <s v="Illinois"/>
    <s v="Valid"/>
    <s v="Vincentborough"/>
  </r>
  <r>
    <s v="#1647"/>
    <n v="1"/>
    <d v="2026-08-04T14:03:12"/>
    <d v="2026-08-04T14:03:12"/>
    <s v="James Castro"/>
    <x v="0"/>
    <s v="james.castro923@icloud.com"/>
    <s v="Phone Case - Clear"/>
    <x v="9"/>
    <s v="Electronics"/>
    <x v="10"/>
    <n v="1"/>
    <n v="8.99"/>
    <n v="8.99"/>
    <s v="FREESHIP"/>
    <x v="5"/>
    <n v="0"/>
    <n v="0"/>
    <s v="Number"/>
    <n v="0"/>
    <n v="0"/>
    <n v="8.99"/>
    <n v="8.99"/>
    <n v="8.99"/>
    <s v="True"/>
    <s v="Normal"/>
    <s v="Google Pay"/>
    <x v="0"/>
    <s v="fulfilled"/>
    <s v="Pakistan"/>
    <m/>
    <s v="Not Required"/>
    <s v="Thomasburgh"/>
  </r>
  <r>
    <s v="#1668"/>
    <n v="1"/>
    <d v="2026-08-04T14:04:02"/>
    <d v="2026-08-04T14:04:02"/>
    <s v="Diane Campos"/>
    <x v="0"/>
    <s v="diane.campos325@gmail.com"/>
    <s v="Phone Case - Clear"/>
    <x v="9"/>
    <s v="Electronics"/>
    <x v="10"/>
    <n v="1"/>
    <n v="8.99"/>
    <n v="8.99"/>
    <s v="VIP15"/>
    <x v="4"/>
    <n v="1.35"/>
    <n v="1.35"/>
    <s v="Number"/>
    <n v="5.99"/>
    <n v="5.99"/>
    <n v="13.63"/>
    <n v="13.63"/>
    <n v="13.63"/>
    <s v="True"/>
    <s v="Normal"/>
    <s v="Google Pay"/>
    <x v="0"/>
    <s v="pending"/>
    <s v="United States"/>
    <s v="GA"/>
    <s v="Valid"/>
    <s v="Matthewberg"/>
  </r>
  <r>
    <s v="#1692"/>
    <n v="1"/>
    <d v="2026-08-04T14:06:23"/>
    <d v="2026-08-04T14:06:23"/>
    <s v="Jason Miller"/>
    <x v="0"/>
    <s v="jason.miller334@outlook.com"/>
    <s v="Phone Case - Clear"/>
    <x v="9"/>
    <s v="Electronics"/>
    <x v="10"/>
    <n v="2"/>
    <s v="$8.99"/>
    <n v="8.99"/>
    <s v="BFCM25"/>
    <x v="3"/>
    <n v="4.5"/>
    <n v="4.5"/>
    <s v="Number"/>
    <n v="5.99"/>
    <n v="5.99"/>
    <n v="19.47"/>
    <n v="19.47"/>
    <n v="19.47"/>
    <s v="True"/>
    <s v="Normal"/>
    <s v="Credit Card"/>
    <x v="0"/>
    <s v="fulfilled"/>
    <s v="Australia"/>
    <m/>
    <s v="Not Required"/>
    <s v="Lake Andrewshire"/>
  </r>
  <r>
    <s v="#1693"/>
    <n v="1"/>
    <d v="2026-08-04T14:00:16"/>
    <d v="2026-08-04T14:00:16"/>
    <s v="Jack Bryant"/>
    <x v="0"/>
    <s v="jack.bryant173@gmail.com"/>
    <s v="Phone Case - Clear"/>
    <x v="9"/>
    <s v="Electronics"/>
    <x v="10"/>
    <n v="1"/>
    <n v="8.99"/>
    <n v="8.99"/>
    <s v="SAVE20"/>
    <x v="2"/>
    <n v="1.8"/>
    <n v="1.8"/>
    <s v="Number"/>
    <n v="4.99"/>
    <n v="4.99"/>
    <n v="12.18"/>
    <n v="12.18"/>
    <n v="12.18"/>
    <s v="True"/>
    <s v="Normal"/>
    <s v="Credit Card"/>
    <x v="2"/>
    <s v="fulfilled"/>
    <s v="Germany"/>
    <m/>
    <s v="Not Required"/>
    <s v="Ambertown"/>
  </r>
  <r>
    <s v="#1740"/>
    <n v="1"/>
    <d v="2026-08-04T14:03:47"/>
    <d v="2026-08-04T14:03:47"/>
    <s v="Kayla Lee"/>
    <x v="0"/>
    <s v="kayla.lee278@yahoo.com"/>
    <s v="Phone Case - Clear"/>
    <x v="9"/>
    <s v="Electronics"/>
    <x v="10"/>
    <n v="1"/>
    <n v="8.99"/>
    <n v="8.99"/>
    <m/>
    <x v="0"/>
    <n v="0"/>
    <n v="0"/>
    <s v="Number"/>
    <n v="4.99"/>
    <n v="4.99"/>
    <n v="13.98"/>
    <n v="13.98"/>
    <n v="13.98"/>
    <s v="True"/>
    <s v="Normal"/>
    <s v="Credit Card"/>
    <x v="0"/>
    <s v="cancelled"/>
    <s v="United Kingdom"/>
    <m/>
    <s v="Not Required"/>
    <s v="Port Markport"/>
  </r>
  <r>
    <s v="#1759"/>
    <n v="1"/>
    <d v="2026-08-04T14:02:48"/>
    <d v="2026-08-04T14:02:48"/>
    <s v="Nicholas Jarvis"/>
    <x v="0"/>
    <s v="nicholas.jarvis112@icloud.com"/>
    <s v="Phone Case - Clear"/>
    <x v="9"/>
    <s v="Electronics"/>
    <x v="10"/>
    <n v="1"/>
    <n v="8.99"/>
    <n v="8.99"/>
    <s v="FREESHIP"/>
    <x v="5"/>
    <s v="$0.00"/>
    <n v="0"/>
    <s v="Number"/>
    <n v="0"/>
    <n v="0"/>
    <n v="8.99"/>
    <n v="8.99"/>
    <n v="8.99"/>
    <s v="True"/>
    <s v="Normal"/>
    <s v="Credit Card"/>
    <x v="0"/>
    <s v="fulfilled"/>
    <s v="Canada"/>
    <m/>
    <s v="Not Required"/>
    <s v="Danaport"/>
  </r>
  <r>
    <s v="#1791"/>
    <n v="1"/>
    <d v="2026-08-04T13:58:09"/>
    <d v="2026-08-04T13:58:09"/>
    <s v="Kathleen Mayer"/>
    <x v="0"/>
    <s v="kathleen.mayer237@outlook.com"/>
    <s v="Phone Case - Clear"/>
    <x v="9"/>
    <s v="Electronics"/>
    <x v="10"/>
    <n v="1"/>
    <n v="8.99"/>
    <n v="8.99"/>
    <s v="VIP15"/>
    <x v="4"/>
    <n v="1.35"/>
    <n v="1.35"/>
    <s v="Number"/>
    <n v="4.99"/>
    <n v="4.99"/>
    <n v="12.63"/>
    <n v="12.63"/>
    <n v="12.63"/>
    <s v="True"/>
    <s v="Normal"/>
    <s v="Credit Card"/>
    <x v="3"/>
    <s v="cancelled"/>
    <s v="United States"/>
    <s v="North Carolina"/>
    <s v="Valid"/>
    <s v="North Thomasmouth"/>
  </r>
  <r>
    <s v="#1806"/>
    <n v="1"/>
    <d v="2026-08-04T14:06:30"/>
    <d v="2026-08-04T14:06:30"/>
    <s v="Diane Campos"/>
    <x v="0"/>
    <s v="diane.campos325@gmail.com"/>
    <s v="Phone Case - Clear"/>
    <x v="9"/>
    <s v="Electronics"/>
    <x v="10"/>
    <n v="1"/>
    <n v="8.99"/>
    <n v="8.99"/>
    <m/>
    <x v="0"/>
    <n v="0"/>
    <n v="0"/>
    <s v="Number"/>
    <n v="4.99"/>
    <n v="4.99"/>
    <n v="13.98"/>
    <n v="13.98"/>
    <n v="13.98"/>
    <s v="True"/>
    <s v="Normal"/>
    <s v="Shopify Payments"/>
    <x v="0"/>
    <s v="cancelled"/>
    <s v="United States"/>
    <s v="Canada"/>
    <s v="Valid"/>
    <s v="Yangville"/>
  </r>
  <r>
    <s v="#1822"/>
    <n v="1"/>
    <d v="2026-08-04T13:58:58"/>
    <d v="2026-08-04T13:58:58"/>
    <s v="Christopher Osborne"/>
    <x v="0"/>
    <s v="christopher.osborne481@yahoo.com"/>
    <s v="Phone Case - Clear"/>
    <x v="9"/>
    <s v="Electronics"/>
    <x v="10"/>
    <n v="2"/>
    <n v="8.99"/>
    <n v="8.99"/>
    <s v="FREESHIP"/>
    <x v="5"/>
    <s v="$0.00"/>
    <n v="0"/>
    <s v="Number"/>
    <n v="0"/>
    <n v="0"/>
    <n v="17.98"/>
    <n v="17.98"/>
    <n v="17.98"/>
    <s v="True"/>
    <s v="Normal"/>
    <s v="Shopify Payments"/>
    <x v="1"/>
    <s v="pending"/>
    <s v="United States"/>
    <s v="New York"/>
    <s v="Valid"/>
    <s v="West Gabrielland"/>
  </r>
  <r>
    <s v="#1886"/>
    <n v="1"/>
    <d v="2026-08-04T13:53:49"/>
    <d v="2026-08-04T13:53:49"/>
    <s v="Jennifer Martin"/>
    <x v="1"/>
    <m/>
    <s v="Phone Case - Clear"/>
    <x v="9"/>
    <s v="Electronics"/>
    <x v="10"/>
    <n v="1"/>
    <n v="8.99"/>
    <n v="8.99"/>
    <m/>
    <x v="0"/>
    <n v="0"/>
    <n v="0"/>
    <s v="Number"/>
    <n v="4.99"/>
    <n v="4.99"/>
    <n v="13.98"/>
    <n v="13.98"/>
    <n v="13.98"/>
    <s v="True"/>
    <s v="Normal"/>
    <s v="PayPal"/>
    <x v="0"/>
    <s v="refunded"/>
    <s v="United States"/>
    <s v="Illinois"/>
    <s v="Valid"/>
    <s v="Brianmouth"/>
  </r>
  <r>
    <s v="#1982"/>
    <n v="1"/>
    <d v="2026-08-04T13:58:09"/>
    <d v="2026-08-04T13:58:09"/>
    <s v="Amanda Rodriguez"/>
    <x v="0"/>
    <s v="amanda.rodriguez770@yahoo.com"/>
    <s v="Phone Case - Clear"/>
    <x v="9"/>
    <s v="Electronics"/>
    <x v="10"/>
    <n v="1"/>
    <n v="8.99"/>
    <n v="8.99"/>
    <s v="FREESHIP"/>
    <x v="5"/>
    <n v="0"/>
    <n v="0"/>
    <s v="Number"/>
    <n v="0"/>
    <n v="0"/>
    <n v="8.99"/>
    <n v="8.99"/>
    <n v="8.99"/>
    <s v="True"/>
    <s v="Normal"/>
    <s v="Google Pay"/>
    <x v="2"/>
    <s v="fulfilled"/>
    <s v="United States"/>
    <s v="North Carolina"/>
    <s v="Valid"/>
    <s v="Ericmouth"/>
  </r>
  <r>
    <s v="#2023"/>
    <n v="1"/>
    <d v="2026-08-04T00:00:00"/>
    <s v="2026-08-04"/>
    <s v="Anthony Krueger"/>
    <x v="0"/>
    <s v="anthony.krueger812@yahoo.com"/>
    <s v="Phone Case - Clear"/>
    <x v="9"/>
    <s v="Electronics"/>
    <x v="10"/>
    <n v="1"/>
    <s v="$8.99"/>
    <n v="8.99"/>
    <s v="BFCM25"/>
    <x v="3"/>
    <n v="2.25"/>
    <n v="2.25"/>
    <s v="Number"/>
    <n v="5.99"/>
    <n v="5.99"/>
    <n v="12.73"/>
    <n v="12.73"/>
    <n v="12.73"/>
    <s v="True"/>
    <s v="Normal"/>
    <s v="Credit Card"/>
    <x v="2"/>
    <s v="fulfilled"/>
    <s v="Pakistan"/>
    <m/>
    <s v="Not Required"/>
    <s v="Wardview"/>
  </r>
  <r>
    <s v="#2043"/>
    <n v="1"/>
    <d v="2026-08-04T13:53:29"/>
    <d v="2026-08-04T13:53:29"/>
    <s v="Charles Franco"/>
    <x v="0"/>
    <s v="charles.franco761@outlook.com"/>
    <s v="Phone Case - Clear"/>
    <x v="9"/>
    <s v="Electronics"/>
    <x v="10"/>
    <n v="2"/>
    <n v="8.99"/>
    <n v="8.99"/>
    <m/>
    <x v="0"/>
    <s v="$0.00"/>
    <n v="0"/>
    <s v="Number"/>
    <n v="5.99"/>
    <n v="5.99"/>
    <n v="23.97"/>
    <n v="23.97"/>
    <n v="23.97"/>
    <s v="True"/>
    <s v="Normal"/>
    <s v="PayPal"/>
    <x v="2"/>
    <s v="fulfilled"/>
    <s v="United States"/>
    <s v="Ohio"/>
    <s v="Valid"/>
    <s v="Charlesburgh"/>
  </r>
  <r>
    <s v="#2082"/>
    <n v="1"/>
    <d v="2026-08-04T14:01:20"/>
    <d v="2026-08-04T14:01:20"/>
    <s v="Ronald Davis"/>
    <x v="0"/>
    <s v="ronald.davis995@yahoo.com"/>
    <s v="Phone Case - Clear"/>
    <x v="9"/>
    <s v="Electronics"/>
    <x v="10"/>
    <n v="1"/>
    <n v="8.99"/>
    <n v="8.99"/>
    <m/>
    <x v="0"/>
    <n v="0"/>
    <n v="0"/>
    <s v="Number"/>
    <n v="5.99"/>
    <n v="5.99"/>
    <n v="14.98"/>
    <n v="14.98"/>
    <n v="14.98"/>
    <s v="True"/>
    <s v="Normal"/>
    <s v="Google Pay"/>
    <x v="0"/>
    <s v="fulfilled"/>
    <s v="Pakistan"/>
    <m/>
    <s v="Not Required"/>
    <s v="Lake Karen"/>
  </r>
  <r>
    <s v="#2130"/>
    <n v="1"/>
    <d v="2026-08-04T14:04:01"/>
    <d v="2026-08-04T14:04:01"/>
    <s v="Jacqueline Graham"/>
    <x v="0"/>
    <s v="jacqueline.graham958@gmail.com"/>
    <s v="Phone Case - Clear"/>
    <x v="9"/>
    <s v="Electronics"/>
    <x v="10"/>
    <n v="1"/>
    <n v="8.99"/>
    <n v="8.99"/>
    <m/>
    <x v="0"/>
    <n v="0"/>
    <n v="0"/>
    <s v="Number"/>
    <n v="5.99"/>
    <n v="5.99"/>
    <n v="14.98"/>
    <n v="14.98"/>
    <n v="14.98"/>
    <s v="True"/>
    <s v="Normal"/>
    <s v="Shopify Payments"/>
    <x v="1"/>
    <s v="refunded"/>
    <s v="Australia"/>
    <m/>
    <s v="Not Required"/>
    <s v="West Jeffreystad"/>
  </r>
  <r>
    <s v="#2151"/>
    <n v="1"/>
    <d v="2026-08-04T14:08:25"/>
    <d v="2026-08-04T14:08:25"/>
    <s v="Marcus Sloan"/>
    <x v="0"/>
    <s v="marcus.sloan49@icloud.com"/>
    <s v="Phone Case - Clear"/>
    <x v="9"/>
    <s v="Electronics"/>
    <x v="10"/>
    <n v="1"/>
    <n v="8.99"/>
    <n v="8.99"/>
    <s v="WELCOME10"/>
    <x v="1"/>
    <n v="0.9"/>
    <n v="0.9"/>
    <s v="Number"/>
    <n v="4.99"/>
    <n v="4.99"/>
    <n v="13.08"/>
    <n v="13.08"/>
    <n v="13.08"/>
    <s v="True"/>
    <s v="Normal"/>
    <s v="Google Pay"/>
    <x v="1"/>
    <s v="fulfilled"/>
    <s v="United States"/>
    <s v="North Carolina"/>
    <s v="Valid"/>
    <s v="Woodardton"/>
  </r>
  <r>
    <s v="#2153"/>
    <n v="1"/>
    <d v="2026-08-04T13:58:18"/>
    <d v="2026-08-04T13:58:18"/>
    <s v="Gerald Li"/>
    <x v="1"/>
    <m/>
    <s v="Phone Case - Clear"/>
    <x v="9"/>
    <s v="Electronics"/>
    <x v="10"/>
    <n v="1"/>
    <n v="8.99"/>
    <n v="8.99"/>
    <s v="FREESHIP"/>
    <x v="5"/>
    <n v="0"/>
    <n v="0"/>
    <s v="Number"/>
    <n v="0"/>
    <n v="0"/>
    <n v="8.99"/>
    <n v="8.99"/>
    <n v="8.99"/>
    <s v="True"/>
    <s v="Normal"/>
    <s v="Shopify Payments"/>
    <x v="0"/>
    <s v="fulfilled"/>
    <s v="United States"/>
    <s v="Ohio"/>
    <s v="Valid"/>
    <s v="Lewisland"/>
  </r>
  <r>
    <s v="#2172"/>
    <n v="1"/>
    <d v="2026-08-04T13:53:46"/>
    <d v="2026-08-04T13:53:46"/>
    <s v="Natalie Dixon"/>
    <x v="0"/>
    <s v="natalie.dixon388@outlook.com"/>
    <s v="Phone Case - Clear"/>
    <x v="9"/>
    <s v="Electronics"/>
    <x v="10"/>
    <n v="1"/>
    <n v="8.99"/>
    <n v="8.99"/>
    <s v="FREESHIP"/>
    <x v="5"/>
    <n v="0"/>
    <n v="0"/>
    <s v="Number"/>
    <n v="0"/>
    <n v="0"/>
    <n v="8.99"/>
    <n v="8.99"/>
    <n v="8.99"/>
    <s v="True"/>
    <s v="Normal"/>
    <s v="Google Pay"/>
    <x v="0"/>
    <s v="fulfilled"/>
    <s v="United States"/>
    <s v="North Carolina"/>
    <s v="Valid"/>
    <s v="Bushberg"/>
  </r>
  <r>
    <s v="#2192"/>
    <n v="1"/>
    <d v="2026-08-04T13:54:54"/>
    <d v="2026-08-04T13:54:54"/>
    <s v="Megan Dickson"/>
    <x v="0"/>
    <s v="megan.dickson508@gmail.com"/>
    <s v="Phone Case - Clear"/>
    <x v="9"/>
    <s v="Electronics"/>
    <x v="10"/>
    <n v="1"/>
    <n v="8.99"/>
    <n v="8.99"/>
    <m/>
    <x v="0"/>
    <n v="0"/>
    <n v="0"/>
    <s v="Number"/>
    <n v="4.99"/>
    <n v="4.99"/>
    <n v="13.98"/>
    <n v="13.98"/>
    <n v="13.98"/>
    <s v="True"/>
    <s v="Normal"/>
    <s v="Apple Pay"/>
    <x v="1"/>
    <s v="refunded"/>
    <s v="United Kingdom"/>
    <m/>
    <s v="Not Required"/>
    <s v="New Franciscoberg"/>
  </r>
  <r>
    <s v="#2213"/>
    <n v="1"/>
    <d v="2026-08-04T14:02:10"/>
    <d v="2026-08-04T14:02:10"/>
    <s v="Victor Herrera"/>
    <x v="0"/>
    <s v="victor.herrera394@outlook.com"/>
    <s v="Phone Case - Clear"/>
    <x v="9"/>
    <s v="Electronics"/>
    <x v="10"/>
    <n v="1"/>
    <s v="$8.99"/>
    <n v="8.99"/>
    <s v="FREESHIP"/>
    <x v="5"/>
    <n v="0"/>
    <n v="0"/>
    <s v="Number"/>
    <n v="0"/>
    <n v="0"/>
    <n v="8.99"/>
    <n v="8.99"/>
    <n v="8.99"/>
    <s v="True"/>
    <s v="Normal"/>
    <s v="Shopify Payments"/>
    <x v="0"/>
    <s v="fulfilled"/>
    <s v="Pakistan"/>
    <m/>
    <s v="Not Required"/>
    <s v="Bradshawshire"/>
  </r>
  <r>
    <s v="#2223"/>
    <n v="1"/>
    <d v="2026-08-04T13:54:26"/>
    <d v="2026-08-04T13:54:26"/>
    <s v="Jesus Mason"/>
    <x v="0"/>
    <s v="jesus.mason798@icloud.com"/>
    <s v="Phone Case - Clear"/>
    <x v="9"/>
    <s v="Electronics"/>
    <x v="10"/>
    <n v="1"/>
    <n v="8.99"/>
    <n v="8.99"/>
    <s v="BFCM25"/>
    <x v="3"/>
    <n v="2.25"/>
    <n v="2.25"/>
    <s v="Number"/>
    <n v="5.99"/>
    <n v="5.99"/>
    <n v="12.73"/>
    <n v="12.73"/>
    <n v="12.73"/>
    <s v="True"/>
    <s v="Normal"/>
    <s v="Apple Pay"/>
    <x v="1"/>
    <s v="pending"/>
    <s v="United States"/>
    <s v="Illinois"/>
    <s v="Valid"/>
    <s v="West Angela"/>
  </r>
  <r>
    <s v="#2227"/>
    <n v="1"/>
    <d v="2026-08-04T13:56:25"/>
    <d v="2026-08-04T13:56:25"/>
    <s v="Miranda Gray"/>
    <x v="0"/>
    <s v="miranda.gray649@yahoo.com"/>
    <s v="Phone Case - Clear"/>
    <x v="9"/>
    <s v="Electronics"/>
    <x v="10"/>
    <n v="1"/>
    <n v="8.99"/>
    <n v="8.99"/>
    <m/>
    <x v="0"/>
    <n v="0"/>
    <n v="0"/>
    <s v="Number"/>
    <n v="7.99"/>
    <n v="7.99"/>
    <n v="16.98"/>
    <n v="16.98"/>
    <n v="16.98"/>
    <s v="True"/>
    <s v="Normal"/>
    <s v="Shopify Payments"/>
    <x v="3"/>
    <s v="refunded"/>
    <s v="Pakistan"/>
    <m/>
    <s v="Not Required"/>
    <s v="Lake Wendyshire"/>
  </r>
  <r>
    <s v="#2289"/>
    <n v="1"/>
    <d v="2026-08-04T13:59:11"/>
    <d v="2026-08-04T13:59:11"/>
    <s v="Alan Davis"/>
    <x v="0"/>
    <s v="alan.davis483@icloud.com"/>
    <s v="Phone Case - Clear"/>
    <x v="9"/>
    <s v="Electronics"/>
    <x v="10"/>
    <n v="1"/>
    <n v="8.99"/>
    <n v="8.99"/>
    <m/>
    <x v="0"/>
    <n v="0"/>
    <n v="0"/>
    <s v="Number"/>
    <n v="7.99"/>
    <n v="7.99"/>
    <n v="16.98"/>
    <n v="16.98"/>
    <n v="16.98"/>
    <s v="True"/>
    <s v="Normal"/>
    <s v="Google Pay"/>
    <x v="2"/>
    <s v="cancelled"/>
    <s v="Canada"/>
    <m/>
    <s v="Not Required"/>
    <s v="West Donald"/>
  </r>
  <r>
    <s v="#2338"/>
    <n v="1"/>
    <d v="2026-04-08T00:00:00"/>
    <s v="08/04/2026"/>
    <s v="Anthony Patterson"/>
    <x v="0"/>
    <s v="anthony.patterson944@gmail.com"/>
    <s v="Phone Case - Clear"/>
    <x v="9"/>
    <s v="Electronics"/>
    <x v="10"/>
    <n v="1"/>
    <n v="8.99"/>
    <n v="8.99"/>
    <s v="FREESHIP"/>
    <x v="5"/>
    <n v="0"/>
    <n v="0"/>
    <s v="Number"/>
    <n v="0"/>
    <n v="0"/>
    <n v="8.99"/>
    <n v="8.99"/>
    <n v="8.99"/>
    <s v="True"/>
    <s v="Normal"/>
    <s v="Apple Pay"/>
    <x v="2"/>
    <s v="fulfilled"/>
    <s v="Pakistan"/>
    <m/>
    <s v="Not Required"/>
    <s v="East Donaldfort"/>
  </r>
  <r>
    <s v="#2361"/>
    <n v="1"/>
    <d v="2026-04-08T00:00:00"/>
    <s v="08/04/2026"/>
    <s v="Heather Rivers"/>
    <x v="0"/>
    <s v="heather.rivers451@icloud.com"/>
    <s v="Phone Case - Clear"/>
    <x v="9"/>
    <s v="Electronics"/>
    <x v="10"/>
    <n v="1"/>
    <n v="8.99"/>
    <n v="8.99"/>
    <m/>
    <x v="0"/>
    <n v="0"/>
    <n v="0"/>
    <s v="Number"/>
    <n v="4.99"/>
    <n v="4.99"/>
    <n v="13.98"/>
    <n v="13.98"/>
    <n v="13.98"/>
    <s v="True"/>
    <s v="Normal"/>
    <s v="PayPal"/>
    <x v="3"/>
    <s v="cancelled"/>
    <s v="United States"/>
    <s v="Texas"/>
    <s v="Valid"/>
    <s v="New Steven"/>
  </r>
  <r>
    <s v="#2372"/>
    <n v="1"/>
    <d v="2026-08-04T14:05:00"/>
    <d v="2026-08-04T14:05:00"/>
    <s v="Lisa Cook"/>
    <x v="0"/>
    <s v="lisa.cook622@gmail.com"/>
    <s v="Phone Case - Clear"/>
    <x v="9"/>
    <s v="Electronics"/>
    <x v="10"/>
    <n v="1"/>
    <n v="8.99"/>
    <n v="8.99"/>
    <s v="VIP15"/>
    <x v="4"/>
    <n v="1.35"/>
    <n v="1.35"/>
    <s v="Number"/>
    <n v="7.99"/>
    <n v="7.99"/>
    <n v="15.63"/>
    <n v="15.63"/>
    <n v="15.63"/>
    <s v="True"/>
    <s v="Normal"/>
    <s v="Shopify Payments"/>
    <x v="1"/>
    <s v="fulfilled"/>
    <s v="Germany"/>
    <m/>
    <s v="Not Required"/>
    <s v="East Jennifer"/>
  </r>
  <r>
    <s v="#2385"/>
    <n v="1"/>
    <d v="2026-08-04T14:00:51"/>
    <d v="2026-08-04T14:00:51"/>
    <s v="Sandra Potter"/>
    <x v="0"/>
    <s v="sandra.potter166@yahoo.com"/>
    <s v="Phone Case - Clear"/>
    <x v="9"/>
    <s v="Electronics"/>
    <x v="10"/>
    <n v="1"/>
    <n v="8.99"/>
    <n v="8.99"/>
    <m/>
    <x v="0"/>
    <n v="0"/>
    <n v="0"/>
    <s v="Number"/>
    <n v="5.99"/>
    <n v="5.99"/>
    <n v="14.98"/>
    <n v="14.98"/>
    <n v="14.98"/>
    <s v="True"/>
    <s v="Normal"/>
    <s v="Apple Pay"/>
    <x v="0"/>
    <s v="fulfilled"/>
    <s v="United States"/>
    <s v="Illinois"/>
    <s v="Valid"/>
    <s v="Lake Nancyside"/>
  </r>
  <r>
    <s v="#2424"/>
    <n v="1"/>
    <d v="2026-08-04T13:55:50"/>
    <d v="2026-08-04T13:55:50"/>
    <s v="Thomas Rojas"/>
    <x v="0"/>
    <s v="thomas.rojas667@icloud.com"/>
    <s v="Phone Case - Clear"/>
    <x v="9"/>
    <s v="Electronics"/>
    <x v="10"/>
    <n v="3"/>
    <n v="8.99"/>
    <n v="8.99"/>
    <s v="FREESHIP"/>
    <x v="5"/>
    <n v="0"/>
    <n v="0"/>
    <s v="Number"/>
    <n v="0"/>
    <n v="0"/>
    <n v="26.97"/>
    <n v="26.97"/>
    <n v="26.97"/>
    <s v="True"/>
    <s v="Normal"/>
    <s v="Apple Pay"/>
    <x v="3"/>
    <s v="fulfilled"/>
    <s v="United States"/>
    <s v="NC"/>
    <s v="Valid"/>
    <s v="Matthewland"/>
  </r>
  <r>
    <s v="#2487"/>
    <n v="1"/>
    <d v="2026-08-04T14:03:38"/>
    <d v="2026-08-04T14:03:38"/>
    <s v="Dustin Ward"/>
    <x v="0"/>
    <s v="dustin.ward756@icloud.com"/>
    <s v="Phone Case - Clear"/>
    <x v="9"/>
    <s v="Electronics"/>
    <x v="10"/>
    <n v="1"/>
    <n v="8.99"/>
    <n v="8.99"/>
    <s v="WELCOME10"/>
    <x v="1"/>
    <n v="0.9"/>
    <n v="0.9"/>
    <s v="Number"/>
    <n v="5.99"/>
    <n v="5.99"/>
    <n v="14.08"/>
    <n v="14.08"/>
    <n v="14.08"/>
    <s v="True"/>
    <s v="Normal"/>
    <s v="Shopify Payments"/>
    <x v="0"/>
    <s v="fulfilled"/>
    <s v="United States"/>
    <s v="Canada"/>
    <s v="Valid"/>
    <s v="Lawrenceshire"/>
  </r>
  <r>
    <s v="#2519"/>
    <n v="1"/>
    <d v="2026-08-04T14:05:27"/>
    <d v="2026-08-04T14:05:27"/>
    <s v="NATALIE DIXON"/>
    <x v="0"/>
    <s v="natalie.dixon388@outlook.com"/>
    <s v="Phone Case - Clear"/>
    <x v="9"/>
    <s v="Electronics"/>
    <x v="10"/>
    <n v="1"/>
    <n v="8.99"/>
    <n v="8.99"/>
    <s v="SAVE20"/>
    <x v="2"/>
    <s v="$1.80"/>
    <n v="1.8"/>
    <s v="Number"/>
    <n v="4.99"/>
    <n v="4.99"/>
    <n v="12.18"/>
    <n v="12.18"/>
    <n v="12.18"/>
    <s v="True"/>
    <s v="Normal"/>
    <s v="Shopify Payments"/>
    <x v="3"/>
    <s v="fulfilled"/>
    <s v="United States"/>
    <s v="Arizona"/>
    <s v="Valid"/>
    <s v="Lake Veronica"/>
  </r>
  <r>
    <s v="#2529"/>
    <n v="1"/>
    <d v="2026-08-04T13:53:47"/>
    <d v="2026-08-04T13:53:47"/>
    <s v="Barbara Brown"/>
    <x v="0"/>
    <s v="barbara.brown26@gmail.com"/>
    <s v="Phone Case - Clear"/>
    <x v="9"/>
    <s v="Electronics"/>
    <x v="10"/>
    <n v="1"/>
    <s v="$8.99"/>
    <n v="8.99"/>
    <m/>
    <x v="0"/>
    <n v="0"/>
    <n v="0"/>
    <s v="Number"/>
    <n v="5.99"/>
    <n v="5.99"/>
    <n v="14.98"/>
    <n v="14.98"/>
    <n v="14.98"/>
    <s v="True"/>
    <s v="Normal"/>
    <s v="Apple Pay"/>
    <x v="1"/>
    <s v="fulfilled"/>
    <s v="United States"/>
    <s v="Georgia"/>
    <s v="Valid"/>
    <s v="South Troychester"/>
  </r>
  <r>
    <s v="#2538"/>
    <n v="1"/>
    <d v="2026-08-04T14:05:23"/>
    <d v="2026-08-04T14:05:23"/>
    <s v="Kenneth Davis"/>
    <x v="0"/>
    <s v="kenneth.davis106@yahoo.com"/>
    <s v="Phone Case - Clear"/>
    <x v="9"/>
    <s v="Electronics"/>
    <x v="10"/>
    <n v="2"/>
    <s v="$8.99"/>
    <n v="8.99"/>
    <s v="BFCM25"/>
    <x v="3"/>
    <n v="4.5"/>
    <n v="4.5"/>
    <s v="Number"/>
    <n v="5.99"/>
    <n v="5.99"/>
    <n v="19.47"/>
    <n v="19.47"/>
    <n v="19.47"/>
    <s v="True"/>
    <s v="Normal"/>
    <s v="Google Pay"/>
    <x v="0"/>
    <s v="fulfilled"/>
    <s v="United States"/>
    <s v="Ohio"/>
    <s v="Valid"/>
    <s v="New Brandi"/>
  </r>
  <r>
    <s v="#2602"/>
    <n v="1"/>
    <d v="2026-08-04T14:02:13"/>
    <d v="2026-08-04T14:02:13"/>
    <s v="Ian Morris"/>
    <x v="0"/>
    <s v="ian.morris90@outlook.com"/>
    <s v="Phone Case - Clear"/>
    <x v="9"/>
    <s v="Electronics"/>
    <x v="10"/>
    <n v="1"/>
    <n v="8.99"/>
    <n v="8.99"/>
    <s v="FREESHIP"/>
    <x v="5"/>
    <n v="0"/>
    <n v="0"/>
    <s v="Number"/>
    <n v="0"/>
    <n v="0"/>
    <n v="8.99"/>
    <n v="8.99"/>
    <n v="8.99"/>
    <s v="True"/>
    <s v="Normal"/>
    <s v="Shopify Payments"/>
    <x v="0"/>
    <s v="pending"/>
    <s v="Pakistan"/>
    <m/>
    <s v="Not Required"/>
    <s v="East Leah"/>
  </r>
  <r>
    <s v="#2626"/>
    <n v="1"/>
    <d v="2026-08-04T14:03:45"/>
    <d v="2026-08-04T14:03:45"/>
    <s v="Christy Phillips"/>
    <x v="1"/>
    <m/>
    <s v="Phone Case - Clear"/>
    <x v="9"/>
    <s v="Electronics"/>
    <x v="10"/>
    <n v="1"/>
    <n v="8.99"/>
    <n v="8.99"/>
    <m/>
    <x v="0"/>
    <n v="0"/>
    <n v="0"/>
    <s v="Number"/>
    <n v="5.99"/>
    <n v="5.99"/>
    <n v="14.98"/>
    <n v="14.98"/>
    <n v="14.98"/>
    <s v="True"/>
    <s v="Normal"/>
    <s v="Shopify Payments"/>
    <x v="0"/>
    <s v="pending"/>
    <s v="Pakistan"/>
    <m/>
    <s v="Not Required"/>
    <s v="Port Ashleyview"/>
  </r>
  <r>
    <s v="#2628"/>
    <n v="1"/>
    <d v="2026-08-04T13:58:47"/>
    <d v="2026-08-04T13:58:47"/>
    <s v="Rhonda Chapman"/>
    <x v="0"/>
    <s v="rhonda.chapman481@yahoo.com"/>
    <s v="Phone Case - Clear"/>
    <x v="9"/>
    <s v="Electronics"/>
    <x v="10"/>
    <n v="2"/>
    <n v="8.99"/>
    <n v="8.99"/>
    <s v="SAVE20"/>
    <x v="2"/>
    <n v="3.6"/>
    <n v="3.6"/>
    <s v="Number"/>
    <n v="7.99"/>
    <n v="7.99"/>
    <n v="22.37"/>
    <n v="22.37"/>
    <n v="22.37"/>
    <s v="True"/>
    <s v="Normal"/>
    <s v="Apple Pay"/>
    <x v="2"/>
    <s v="fulfilled"/>
    <s v="United States"/>
    <s v="Florida"/>
    <s v="Valid"/>
    <s v="Jillmouth"/>
  </r>
  <r>
    <s v="#2679"/>
    <n v="1"/>
    <d v="2026-08-04T14:05:54"/>
    <d v="2026-08-04T14:05:54"/>
    <s v="Dustin Mccoy"/>
    <x v="0"/>
    <s v="dustin.mccoy570@gmail.com"/>
    <s v="Phone Case - Clear"/>
    <x v="9"/>
    <s v="Electronics"/>
    <x v="10"/>
    <n v="2"/>
    <n v="8.99"/>
    <n v="8.99"/>
    <s v="FREESHIP"/>
    <x v="5"/>
    <s v="$0.00"/>
    <n v="0"/>
    <s v="Number"/>
    <n v="0"/>
    <n v="0"/>
    <n v="17.98"/>
    <n v="17.98"/>
    <n v="17.98"/>
    <s v="True"/>
    <s v="Normal"/>
    <s v="Credit Card"/>
    <x v="2"/>
    <s v="fulfilled"/>
    <s v="Canada"/>
    <m/>
    <s v="Not Required"/>
    <s v="West Ryanville"/>
  </r>
  <r>
    <s v="#2702"/>
    <n v="1"/>
    <d v="2026-08-04T13:54:06"/>
    <d v="2026-08-04T13:54:06"/>
    <s v="Shelly Griffith"/>
    <x v="0"/>
    <s v="shelly.griffith342@icloud.com"/>
    <s v="Phone Case - Clear"/>
    <x v="9"/>
    <s v="Electronics"/>
    <x v="10"/>
    <n v="1"/>
    <n v="8.99"/>
    <n v="8.99"/>
    <s v="SAVE20"/>
    <x v="2"/>
    <n v="1.8"/>
    <n v="1.8"/>
    <s v="Number"/>
    <n v="5.99"/>
    <n v="5.99"/>
    <n v="13.18"/>
    <n v="13.18"/>
    <n v="13.18"/>
    <s v="True"/>
    <s v="Normal"/>
    <s v="Credit Card"/>
    <x v="3"/>
    <s v="fulfilled"/>
    <s v="Australia"/>
    <m/>
    <s v="Not Required"/>
    <s v="North Karenchester"/>
  </r>
  <r>
    <s v="#2712"/>
    <n v="1"/>
    <d v="2026-08-04T13:57:19"/>
    <d v="2026-08-04T13:57:19"/>
    <s v="Anthony Krueger"/>
    <x v="0"/>
    <s v="anthony.krueger812@yahoo.com"/>
    <s v="Phone Case - Clear"/>
    <x v="9"/>
    <s v="Electronics"/>
    <x v="10"/>
    <n v="1"/>
    <n v="8.99"/>
    <n v="8.99"/>
    <s v="SAVE20"/>
    <x v="2"/>
    <n v="1.8"/>
    <n v="1.8"/>
    <s v="Number"/>
    <n v="4.99"/>
    <n v="4.99"/>
    <n v="12.18"/>
    <n v="12.18"/>
    <n v="12.18"/>
    <s v="True"/>
    <s v="Normal"/>
    <s v="Shopify Payments"/>
    <x v="0"/>
    <s v="refunded"/>
    <s v="Pakistan"/>
    <m/>
    <s v="Not Required"/>
    <s v="East Christine"/>
  </r>
  <r>
    <s v="#2749"/>
    <n v="1"/>
    <d v="2026-08-04T14:05:46"/>
    <d v="2026-08-04T14:05:46"/>
    <s v="Thomas Rojas"/>
    <x v="0"/>
    <s v="thomas.rojas667@icloud.com"/>
    <s v="Phone Case - Clear"/>
    <x v="9"/>
    <s v="Electronics"/>
    <x v="10"/>
    <n v="1"/>
    <n v="8.99"/>
    <n v="8.99"/>
    <s v="BFCM25"/>
    <x v="3"/>
    <n v="2.25"/>
    <n v="2.25"/>
    <s v="Number"/>
    <n v="5.99"/>
    <n v="5.99"/>
    <n v="12.73"/>
    <n v="12.73"/>
    <n v="12.73"/>
    <s v="True"/>
    <s v="Normal"/>
    <s v="Google Pay"/>
    <x v="0"/>
    <s v="fulfilled"/>
    <s v="United States"/>
    <s v="Ohio"/>
    <s v="Valid"/>
    <s v="Mortonview"/>
  </r>
  <r>
    <s v="#2802"/>
    <n v="1"/>
    <d v="2026-08-04T13:56:57"/>
    <d v="2026-08-04T13:56:57"/>
    <s v="Amanda Rodriguez"/>
    <x v="0"/>
    <s v="amanda.rodriguez770@yahoo.com"/>
    <s v="Phone Case - Clear"/>
    <x v="9"/>
    <s v="Electronics"/>
    <x v="10"/>
    <n v="1"/>
    <n v="8.99"/>
    <n v="8.99"/>
    <s v="VIP15"/>
    <x v="4"/>
    <n v="1.35"/>
    <n v="1.35"/>
    <s v="Number"/>
    <n v="7.99"/>
    <n v="7.99"/>
    <n v="15.63"/>
    <n v="15.63"/>
    <n v="15.63"/>
    <s v="True"/>
    <s v="Normal"/>
    <s v="PayPal"/>
    <x v="3"/>
    <s v="cancelled"/>
    <s v="United States"/>
    <s v="North Carolina"/>
    <s v="Valid"/>
    <s v="Johnsontown"/>
  </r>
  <r>
    <s v="#2806"/>
    <n v="1"/>
    <d v="2026-08-04T13:57:26"/>
    <d v="2026-08-04T13:57:26"/>
    <s v="Michael Hays"/>
    <x v="0"/>
    <s v="michael.hays590@gmail.com"/>
    <s v="Phone Case - Clear"/>
    <x v="9"/>
    <s v="Electronics"/>
    <x v="10"/>
    <n v="1"/>
    <n v="8.99"/>
    <n v="8.99"/>
    <s v="VIP15"/>
    <x v="4"/>
    <n v="1.35"/>
    <n v="1.35"/>
    <s v="Number"/>
    <n v="7.99"/>
    <n v="7.99"/>
    <n v="15.63"/>
    <n v="15.63"/>
    <n v="15.63"/>
    <s v="True"/>
    <s v="Normal"/>
    <s v="Shopify Payments"/>
    <x v="1"/>
    <s v="fulfilled"/>
    <s v="United States"/>
    <s v="Florida"/>
    <s v="Valid"/>
    <s v="Bennettside"/>
  </r>
  <r>
    <s v="#2833"/>
    <n v="1"/>
    <d v="2026-08-04T00:00:00"/>
    <s v="04-08-2026 13:59"/>
    <s v="Karen Bautista"/>
    <x v="0"/>
    <s v="karen.bautista779@icloud.com"/>
    <s v="Phone Case - Clear"/>
    <x v="9"/>
    <s v="Electronics"/>
    <x v="10"/>
    <n v="1"/>
    <n v="8.99"/>
    <n v="8.99"/>
    <s v="FREESHIP"/>
    <x v="5"/>
    <n v="0"/>
    <n v="0"/>
    <s v="Number"/>
    <n v="0"/>
    <n v="0"/>
    <n v="8.99"/>
    <n v="8.99"/>
    <n v="8.99"/>
    <s v="True"/>
    <s v="Normal"/>
    <s v="Apple Pay"/>
    <x v="3"/>
    <s v="cancelled"/>
    <s v="United States"/>
    <s v="Illinois"/>
    <s v="Valid"/>
    <s v="North Theresaton"/>
  </r>
  <r>
    <s v="#2839"/>
    <n v="1"/>
    <d v="2026-08-04T14:06:54"/>
    <d v="2026-08-04T14:06:54"/>
    <s v="Michele Davis"/>
    <x v="0"/>
    <s v="michele.davis844@gmail.com"/>
    <s v="Phone Case - Clear"/>
    <x v="9"/>
    <s v="Electronics"/>
    <x v="10"/>
    <n v="2"/>
    <s v="$8.99"/>
    <n v="8.99"/>
    <m/>
    <x v="0"/>
    <n v="0"/>
    <n v="0"/>
    <s v="Number"/>
    <n v="5.99"/>
    <n v="5.99"/>
    <n v="23.97"/>
    <n v="23.97"/>
    <n v="23.97"/>
    <s v="True"/>
    <s v="Normal"/>
    <s v="Apple Pay"/>
    <x v="0"/>
    <s v="pending"/>
    <s v="Australia"/>
    <m/>
    <s v="Not Required"/>
    <s v="Port Michael"/>
  </r>
  <r>
    <s v="#2873"/>
    <n v="1"/>
    <d v="2026-04-08T00:00:00"/>
    <s v="08/04/2026"/>
    <s v="Timothy Weaver"/>
    <x v="0"/>
    <s v="timothy.weaver591@gmail.com"/>
    <s v="Phone Case - Clear"/>
    <x v="9"/>
    <s v="Electronics"/>
    <x v="10"/>
    <n v="1"/>
    <n v="8.99"/>
    <n v="8.99"/>
    <s v="FREESHIP"/>
    <x v="5"/>
    <n v="0"/>
    <n v="0"/>
    <s v="Number"/>
    <n v="0"/>
    <n v="0"/>
    <n v="8.99"/>
    <n v="8.99"/>
    <n v="8.99"/>
    <s v="True"/>
    <s v="Normal"/>
    <s v="Google Pay"/>
    <x v="3"/>
    <s v="refunded"/>
    <s v="Australia"/>
    <m/>
    <s v="Not Required"/>
    <s v="Lake Cynthialand"/>
  </r>
  <r>
    <s v="#2923"/>
    <n v="1"/>
    <d v="2026-08-04T14:04:36"/>
    <d v="2026-08-04T14:04:36"/>
    <s v="Walter Rodriguez"/>
    <x v="0"/>
    <s v="walter.rodriguez829@gmail.com"/>
    <s v="Phone Case - Clear"/>
    <x v="9"/>
    <s v="Electronics"/>
    <x v="10"/>
    <n v="1"/>
    <n v="8.99"/>
    <n v="8.99"/>
    <s v="SAVE20"/>
    <x v="2"/>
    <n v="1.8"/>
    <n v="1.8"/>
    <s v="Number"/>
    <n v="4.99"/>
    <n v="4.99"/>
    <n v="12.18"/>
    <n v="12.18"/>
    <n v="12.18"/>
    <s v="True"/>
    <s v="Normal"/>
    <s v="Shopify Payments"/>
    <x v="1"/>
    <s v="pending"/>
    <s v="Australia"/>
    <m/>
    <s v="Not Required"/>
    <s v="Rivasborough"/>
  </r>
  <r>
    <s v="#2972"/>
    <n v="1"/>
    <d v="2026-04-08T00:00:00"/>
    <s v="08/04/2026"/>
    <s v="Sara Hernandez"/>
    <x v="1"/>
    <m/>
    <s v="Phone Case - Clear"/>
    <x v="9"/>
    <s v="Electronics"/>
    <x v="10"/>
    <n v="1"/>
    <s v="$8.99"/>
    <n v="8.99"/>
    <s v="BFCM25"/>
    <x v="3"/>
    <n v="2.25"/>
    <n v="2.25"/>
    <s v="Number"/>
    <n v="7.99"/>
    <n v="7.99"/>
    <n v="14.73"/>
    <n v="14.73"/>
    <n v="14.73"/>
    <s v="True"/>
    <s v="Normal"/>
    <s v="Credit Card"/>
    <x v="0"/>
    <s v="cancelled"/>
    <s v="United States"/>
    <s v="NY"/>
    <s v="Valid"/>
    <s v="Catherinefurt"/>
  </r>
  <r>
    <s v="#2973"/>
    <n v="1"/>
    <d v="2026-08-04T00:00:00"/>
    <s v="2026-08-04"/>
    <s v="Rose English"/>
    <x v="0"/>
    <s v="rose.english118@icloud.com"/>
    <s v="Phone Case - Clear"/>
    <x v="9"/>
    <s v="Electronics"/>
    <x v="10"/>
    <n v="1"/>
    <n v="8.99"/>
    <n v="8.99"/>
    <m/>
    <x v="0"/>
    <n v="0"/>
    <n v="0"/>
    <s v="Number"/>
    <n v="5.99"/>
    <n v="5.99"/>
    <n v="14.98"/>
    <n v="14.98"/>
    <n v="14.98"/>
    <s v="True"/>
    <s v="Normal"/>
    <s v="PayPal"/>
    <x v="3"/>
    <s v="pending"/>
    <s v="Germany"/>
    <m/>
    <s v="Not Required"/>
    <s v="Port Janetville"/>
  </r>
  <r>
    <s v="#2979"/>
    <n v="1"/>
    <d v="2026-04-08T00:00:00"/>
    <s v="08/04/2026"/>
    <s v="Monica Hicks"/>
    <x v="0"/>
    <s v="monica.hicks473@yahoo.com"/>
    <s v="Phone Case - Clear"/>
    <x v="9"/>
    <s v="Electronics"/>
    <x v="10"/>
    <n v="4"/>
    <n v="8.99"/>
    <n v="8.99"/>
    <m/>
    <x v="0"/>
    <n v="0"/>
    <n v="0"/>
    <s v="Number"/>
    <n v="7.99"/>
    <n v="7.99"/>
    <n v="43.95"/>
    <n v="43.95"/>
    <n v="43.95"/>
    <s v="True"/>
    <s v="Normal"/>
    <s v="Shopify Payments"/>
    <x v="0"/>
    <s v="fulfilled"/>
    <s v="United States"/>
    <s v="North Carolina"/>
    <s v="Valid"/>
    <s v="Joycebury"/>
  </r>
  <r>
    <s v="#1325"/>
    <n v="1"/>
    <d v="2026-08-04T13:56:34"/>
    <d v="2026-08-04T13:56:34"/>
    <s v="Christopher Hayes"/>
    <x v="0"/>
    <s v="christopher.hayes809@icloud.com"/>
    <s v="Phone Case   Clear"/>
    <x v="9"/>
    <s v="Electronics"/>
    <x v="10"/>
    <n v="1"/>
    <n v="8.99"/>
    <n v="8.99"/>
    <m/>
    <x v="0"/>
    <n v="0"/>
    <n v="0"/>
    <s v="Number"/>
    <n v="5.99"/>
    <n v="5.99"/>
    <n v="14.98"/>
    <n v="14.98"/>
    <n v="14.98"/>
    <s v="True"/>
    <s v="Normal"/>
    <s v="Google Pay"/>
    <x v="1"/>
    <s v="fulfilled"/>
    <s v="United States"/>
    <s v="Georgia"/>
    <s v="Valid"/>
    <s v="South Aaronburgh"/>
  </r>
  <r>
    <s v="#2395"/>
    <n v="1"/>
    <d v="2026-08-04T13:54:13"/>
    <d v="2026-08-04T13:54:13"/>
    <s v="Michael Jacobson"/>
    <x v="0"/>
    <s v="michael.jacobson69@outlook.com"/>
    <s v="Phone Case   Clear"/>
    <x v="9"/>
    <s v="Electronics"/>
    <x v="10"/>
    <n v="1"/>
    <n v="8.99"/>
    <n v="8.99"/>
    <m/>
    <x v="0"/>
    <s v="$0.00"/>
    <n v="0"/>
    <s v="Number"/>
    <n v="7.99"/>
    <n v="7.99"/>
    <n v="16.98"/>
    <n v="16.98"/>
    <n v="16.98"/>
    <s v="True"/>
    <s v="Normal"/>
    <s v="PayPal"/>
    <x v="0"/>
    <s v="fulfilled"/>
    <s v="Germany"/>
    <m/>
    <s v="Not Required"/>
    <s v="Christinachester"/>
  </r>
  <r>
    <s v="#1014"/>
    <n v="1"/>
    <d v="2026-08-04T14:02:11"/>
    <d v="2026-08-04T14:02:11"/>
    <s v="Frederick Bean"/>
    <x v="0"/>
    <s v="frederick.bean141@outlook.com"/>
    <s v="Polarized Sunglasses"/>
    <x v="10"/>
    <s v="Accessories"/>
    <x v="11"/>
    <n v="1"/>
    <n v="16.989999999999998"/>
    <n v="16.989999999999998"/>
    <m/>
    <x v="0"/>
    <n v="0"/>
    <n v="0"/>
    <s v="Number"/>
    <n v="5.99"/>
    <n v="5.99"/>
    <n v="22.98"/>
    <n v="22.98"/>
    <n v="22.979999999999997"/>
    <s v="True"/>
    <s v="Normal"/>
    <s v="Credit Card"/>
    <x v="0"/>
    <s v="fulfilled"/>
    <s v="United States"/>
    <s v="Florida"/>
    <s v="Valid"/>
    <s v="Kimberlychester"/>
  </r>
  <r>
    <s v="#1023"/>
    <n v="1"/>
    <d v="2026-08-04T13:57:14"/>
    <d v="2026-08-04T13:57:14"/>
    <s v="Angela Carr"/>
    <x v="0"/>
    <s v="angela.carr488@yahoo.com"/>
    <s v="Polarized Sunglasses"/>
    <x v="10"/>
    <s v="Accessories"/>
    <x v="11"/>
    <n v="1"/>
    <n v="16.989999999999998"/>
    <n v="16.989999999999998"/>
    <s v="BFCM25"/>
    <x v="3"/>
    <n v="4.25"/>
    <n v="4.25"/>
    <s v="Number"/>
    <n v="7.99"/>
    <n v="7.99"/>
    <n v="20.73"/>
    <n v="20.73"/>
    <n v="20.729999999999997"/>
    <s v="True"/>
    <s v="Normal"/>
    <s v="Shopify Payments"/>
    <x v="1"/>
    <s v="pending"/>
    <s v="United States"/>
    <s v="Canada"/>
    <s v="Valid"/>
    <s v="Hansenberg"/>
  </r>
  <r>
    <s v="#1104"/>
    <n v="1"/>
    <d v="2026-08-04T14:04:01"/>
    <d v="2026-08-04T14:04:01"/>
    <s v="Julia Atkinson"/>
    <x v="0"/>
    <s v="julia.atkinson939@gmail.com"/>
    <s v="Polarized Sunglasses"/>
    <x v="10"/>
    <s v="Accessories"/>
    <x v="11"/>
    <n v="1"/>
    <n v="16.989999999999998"/>
    <n v="16.989999999999998"/>
    <m/>
    <x v="0"/>
    <n v="0"/>
    <n v="0"/>
    <s v="Number"/>
    <n v="5.99"/>
    <n v="5.99"/>
    <n v="22.98"/>
    <n v="22.98"/>
    <n v="22.979999999999997"/>
    <s v="True"/>
    <s v="Normal"/>
    <s v="PayPal"/>
    <x v="3"/>
    <s v="pending"/>
    <s v="Canada"/>
    <m/>
    <s v="Not Required"/>
    <s v="Lake Williamstad"/>
  </r>
  <r>
    <s v="#1121"/>
    <n v="1"/>
    <d v="2026-08-04T14:07:32"/>
    <d v="2026-08-04T14:07:32"/>
    <s v="  Barbara Brown"/>
    <x v="0"/>
    <s v="barbara.brown26@gmail.com"/>
    <s v="Polarized Sunglasses"/>
    <x v="10"/>
    <s v="Accessories"/>
    <x v="11"/>
    <n v="1"/>
    <n v="16.989999999999998"/>
    <n v="16.989999999999998"/>
    <s v="VIP15"/>
    <x v="4"/>
    <n v="2.5499999999999998"/>
    <n v="2.5499999999999998"/>
    <s v="Number"/>
    <n v="7.99"/>
    <n v="7.99"/>
    <n v="22.43"/>
    <n v="22.43"/>
    <n v="22.43"/>
    <s v="True"/>
    <s v="Normal"/>
    <s v="PayPal"/>
    <x v="0"/>
    <s v="fulfilled"/>
    <s v="United States"/>
    <s v="Georgia"/>
    <s v="Valid"/>
    <s v="Doughertyport"/>
  </r>
  <r>
    <s v="#1165"/>
    <n v="1"/>
    <d v="2026-08-04T14:02:59"/>
    <d v="2026-08-04T14:02:59"/>
    <s v="Stacey Johnson"/>
    <x v="0"/>
    <s v="stacey.johnson95@gmail.com"/>
    <s v="Polarized Sunglasses"/>
    <x v="10"/>
    <s v="Accessories"/>
    <x v="11"/>
    <n v="2"/>
    <n v="16.989999999999998"/>
    <n v="16.989999999999998"/>
    <m/>
    <x v="0"/>
    <n v="0"/>
    <n v="0"/>
    <s v="Number"/>
    <n v="7.99"/>
    <n v="7.99"/>
    <n v="41.97"/>
    <n v="41.97"/>
    <n v="41.97"/>
    <s v="True"/>
    <s v="Normal"/>
    <s v="Google Pay"/>
    <x v="2"/>
    <s v="fulfilled"/>
    <s v="Germany"/>
    <m/>
    <s v="Not Required"/>
    <s v="Traceyberg"/>
  </r>
  <r>
    <s v="#1216"/>
    <n v="1"/>
    <d v="2026-08-04T14:04:35"/>
    <d v="2026-08-04T14:04:35"/>
    <s v="Kayla Cruz"/>
    <x v="0"/>
    <s v="kayla.cruz151@outlook.com"/>
    <s v="Polarized Sunglasses"/>
    <x v="10"/>
    <s v="Accessories"/>
    <x v="11"/>
    <n v="2"/>
    <n v="16.989999999999998"/>
    <n v="16.989999999999998"/>
    <s v="SAVE20"/>
    <x v="2"/>
    <n v="6.8"/>
    <n v="6.8"/>
    <s v="Number"/>
    <n v="7.99"/>
    <n v="7.99"/>
    <n v="35.17"/>
    <n v="35.17"/>
    <n v="35.169999999999995"/>
    <s v="True"/>
    <s v="Normal"/>
    <s v="Credit Card"/>
    <x v="2"/>
    <s v="refunded"/>
    <s v="Pakistan"/>
    <m/>
    <s v="Not Required"/>
    <s v="Port Natalieview"/>
  </r>
  <r>
    <s v="#1219"/>
    <n v="1"/>
    <d v="2026-08-04T13:54:00"/>
    <d v="2026-08-04T13:54:00"/>
    <s v="Veronica Price"/>
    <x v="1"/>
    <m/>
    <s v="Polarized Sunglasses"/>
    <x v="10"/>
    <s v="Accessories"/>
    <x v="11"/>
    <n v="1"/>
    <n v="16.989999999999998"/>
    <n v="16.989999999999998"/>
    <m/>
    <x v="0"/>
    <n v="0"/>
    <n v="0"/>
    <s v="Number"/>
    <n v="4.99"/>
    <n v="4.99"/>
    <n v="21.98"/>
    <n v="21.98"/>
    <n v="21.979999999999997"/>
    <s v="True"/>
    <s v="Normal"/>
    <s v="Shopify Payments"/>
    <x v="3"/>
    <s v="fulfilled"/>
    <s v="Canada"/>
    <m/>
    <s v="Not Required"/>
    <s v="North Matthewstad"/>
  </r>
  <r>
    <s v="#1243"/>
    <n v="1"/>
    <d v="2026-08-04T13:59:21"/>
    <d v="2026-08-04T13:59:21"/>
    <s v="Jaime Vargas"/>
    <x v="0"/>
    <s v="jaime.vargas795@outlook.com"/>
    <s v="Polarized Sunglasses"/>
    <x v="10"/>
    <s v="Accessories"/>
    <x v="11"/>
    <n v="2"/>
    <s v="$16.99"/>
    <n v="16.989999999999998"/>
    <s v="FREESHIP"/>
    <x v="5"/>
    <n v="0"/>
    <n v="0"/>
    <s v="Number"/>
    <n v="0"/>
    <n v="0"/>
    <n v="33.979999999999997"/>
    <n v="33.979999999999997"/>
    <n v="33.979999999999997"/>
    <s v="True"/>
    <s v="Normal"/>
    <s v="Google Pay"/>
    <x v="0"/>
    <s v="fulfilled"/>
    <s v="United Kingdom"/>
    <m/>
    <s v="Not Required"/>
    <s v="South Benjaminstad"/>
  </r>
  <r>
    <s v="#1250"/>
    <n v="1"/>
    <d v="2026-08-04T14:04:19"/>
    <d v="2026-08-04T14:04:19"/>
    <s v="Debra Thomas"/>
    <x v="0"/>
    <s v="debra.thomas509@icloud.com"/>
    <s v="Polarized Sunglasses"/>
    <x v="10"/>
    <s v="Accessories"/>
    <x v="11"/>
    <n v="1"/>
    <n v="16.989999999999998"/>
    <n v="16.989999999999998"/>
    <s v="WELCOME10"/>
    <x v="1"/>
    <n v="1.7"/>
    <n v="1.7"/>
    <s v="Number"/>
    <n v="7.99"/>
    <n v="7.99"/>
    <n v="23.28"/>
    <n v="23.28"/>
    <n v="23.28"/>
    <s v="True"/>
    <s v="Normal"/>
    <s v="PayPal"/>
    <x v="0"/>
    <s v="fulfilled"/>
    <s v="United States"/>
    <s v="Georgia"/>
    <s v="Valid"/>
    <s v="Richardside"/>
  </r>
  <r>
    <s v="#1256"/>
    <n v="1"/>
    <d v="2026-08-04T00:00:00"/>
    <s v="04-08-2026 13:55"/>
    <s v="Andrew Mora"/>
    <x v="0"/>
    <s v="andrew.mora959@outlook.com"/>
    <s v="Polarized Sunglasses"/>
    <x v="10"/>
    <s v="Accessories"/>
    <x v="11"/>
    <n v="1"/>
    <n v="16.989999999999998"/>
    <n v="16.989999999999998"/>
    <m/>
    <x v="0"/>
    <n v="0"/>
    <n v="0"/>
    <s v="Number"/>
    <n v="7.99"/>
    <n v="7.99"/>
    <n v="24.98"/>
    <n v="24.98"/>
    <n v="24.979999999999997"/>
    <s v="True"/>
    <s v="Normal"/>
    <s v="Shopify Payments"/>
    <x v="2"/>
    <s v="fulfilled"/>
    <s v="Australia"/>
    <m/>
    <s v="Not Required"/>
    <s v="New Allison"/>
  </r>
  <r>
    <s v="#1282"/>
    <n v="1"/>
    <d v="2026-08-04T14:07:28"/>
    <d v="2026-08-04T14:07:28"/>
    <m/>
    <x v="0"/>
    <s v="ruth.duncan434@icloud.com"/>
    <s v="Polarized Sunglasses"/>
    <x v="10"/>
    <s v="Accessories"/>
    <x v="11"/>
    <n v="2"/>
    <n v="16.989999999999998"/>
    <n v="16.989999999999998"/>
    <m/>
    <x v="0"/>
    <n v="0"/>
    <n v="0"/>
    <s v="Number"/>
    <n v="5.99"/>
    <n v="5.99"/>
    <n v="39.97"/>
    <n v="39.97"/>
    <n v="39.97"/>
    <s v="True"/>
    <s v="Normal"/>
    <s v="Credit Card"/>
    <x v="0"/>
    <s v="cancelled"/>
    <s v="Australia"/>
    <m/>
    <s v="Not Required"/>
    <s v="South Susan"/>
  </r>
  <r>
    <s v="#1305"/>
    <n v="1"/>
    <d v="2026-08-04T14:04:15"/>
    <d v="2026-08-04T14:04:15"/>
    <s v="Amy Maldonado"/>
    <x v="0"/>
    <s v="amy.maldonado44@gmail.com"/>
    <s v="Polarized Sunglasses"/>
    <x v="10"/>
    <s v="Accessories"/>
    <x v="11"/>
    <n v="1"/>
    <n v="16.989999999999998"/>
    <n v="16.989999999999998"/>
    <m/>
    <x v="0"/>
    <n v="0"/>
    <n v="0"/>
    <s v="Number"/>
    <n v="5.99"/>
    <n v="5.99"/>
    <n v="22.98"/>
    <n v="22.98"/>
    <n v="22.979999999999997"/>
    <s v="True"/>
    <s v="Normal"/>
    <s v="PayPal"/>
    <x v="0"/>
    <s v="fulfilled"/>
    <s v="Pakistan"/>
    <m/>
    <s v="Not Required"/>
    <s v="Matthewstad"/>
  </r>
  <r>
    <s v="#1312"/>
    <n v="1"/>
    <d v="2026-08-04T00:00:00"/>
    <s v="04-08-2026 13:59"/>
    <s v="David Hernandez"/>
    <x v="0"/>
    <s v="david.hernandez260@yahoo.com"/>
    <s v="Polarized Sunglasses"/>
    <x v="10"/>
    <s v="Accessories"/>
    <x v="11"/>
    <n v="1"/>
    <n v="16.989999999999998"/>
    <n v="16.989999999999998"/>
    <s v="BFCM25"/>
    <x v="3"/>
    <n v="4.25"/>
    <n v="4.25"/>
    <s v="Number"/>
    <n v="5.99"/>
    <n v="5.99"/>
    <n v="18.73"/>
    <n v="18.73"/>
    <n v="18.729999999999997"/>
    <s v="True"/>
    <s v="Normal"/>
    <s v="Shopify Payments"/>
    <x v="1"/>
    <s v="fulfilled"/>
    <s v="Australia"/>
    <m/>
    <s v="Not Required"/>
    <s v="South Marissa"/>
  </r>
  <r>
    <s v="#1316"/>
    <n v="1"/>
    <d v="2026-08-04T13:58:16"/>
    <d v="2026-08-04T13:58:16"/>
    <s v="Angela Carr"/>
    <x v="0"/>
    <s v="angela.carr488@yahoo.com"/>
    <s v="Polarized Sunglasses"/>
    <x v="10"/>
    <s v="Accessories"/>
    <x v="11"/>
    <n v="1"/>
    <n v="16.989999999999998"/>
    <n v="16.989999999999998"/>
    <s v="WELCOME10"/>
    <x v="1"/>
    <n v="1.7"/>
    <n v="1.7"/>
    <s v="Number"/>
    <n v="5.99"/>
    <n v="5.99"/>
    <n v="21.28"/>
    <n v="21.28"/>
    <n v="21.28"/>
    <s v="True"/>
    <s v="Normal"/>
    <s v="Google Pay"/>
    <x v="0"/>
    <s v="cancelled"/>
    <s v="United States"/>
    <s v="New York"/>
    <s v="Valid"/>
    <s v="Hansenberg"/>
  </r>
  <r>
    <s v="#1379"/>
    <n v="1"/>
    <d v="2026-04-08T00:00:00"/>
    <s v="08/04/2026"/>
    <s v="Melissa James"/>
    <x v="0"/>
    <s v="melissa.james674@outlook.com"/>
    <s v="Polarized Sunglasses"/>
    <x v="10"/>
    <s v="Accessories"/>
    <x v="11"/>
    <n v="1"/>
    <n v="16.989999999999998"/>
    <n v="16.989999999999998"/>
    <s v="BFCM25"/>
    <x v="3"/>
    <n v="4.25"/>
    <n v="4.25"/>
    <s v="Number"/>
    <n v="4.99"/>
    <n v="4.99"/>
    <n v="17.73"/>
    <n v="17.73"/>
    <n v="17.729999999999997"/>
    <s v="True"/>
    <s v="Normal"/>
    <s v="PayPal"/>
    <x v="1"/>
    <s v="cancelled"/>
    <s v="United States"/>
    <s v="GA"/>
    <s v="Valid"/>
    <s v="East Courtneyport"/>
  </r>
  <r>
    <s v="#1397"/>
    <n v="1"/>
    <d v="2026-08-04T13:54:13"/>
    <d v="2026-08-04T13:54:13"/>
    <s v="Kristina Thompson"/>
    <x v="0"/>
    <s v="kristina.thompson501@icloud.com"/>
    <s v="Polarized Sunglasses"/>
    <x v="10"/>
    <s v="Accessories"/>
    <x v="11"/>
    <n v="1"/>
    <n v="16.989999999999998"/>
    <n v="16.989999999999998"/>
    <s v="VIP15"/>
    <x v="4"/>
    <n v="2.5499999999999998"/>
    <n v="2.5499999999999998"/>
    <s v="Number"/>
    <n v="4.99"/>
    <n v="4.99"/>
    <n v="19.43"/>
    <n v="19.43"/>
    <n v="19.43"/>
    <s v="True"/>
    <s v="Normal"/>
    <s v="PayPal"/>
    <x v="0"/>
    <s v="fulfilled"/>
    <s v="United States"/>
    <s v="North Carolina"/>
    <s v="Valid"/>
    <s v="New Dennis"/>
  </r>
  <r>
    <s v="#1426"/>
    <n v="1"/>
    <d v="2026-08-04T14:07:39"/>
    <d v="2026-08-04T14:07:39"/>
    <s v="Alan Davis"/>
    <x v="0"/>
    <s v="alan.davis483@icloud.com"/>
    <s v="Polarized Sunglasses"/>
    <x v="10"/>
    <s v="Accessories"/>
    <x v="11"/>
    <n v="2"/>
    <n v="16.989999999999998"/>
    <n v="16.989999999999998"/>
    <m/>
    <x v="0"/>
    <n v="0"/>
    <n v="0"/>
    <s v="Number"/>
    <n v="5.99"/>
    <n v="5.99"/>
    <n v="39.97"/>
    <n v="39.97"/>
    <n v="39.97"/>
    <s v="True"/>
    <s v="Normal"/>
    <s v="Shopify Payments"/>
    <x v="0"/>
    <s v="fulfilled"/>
    <s v="Canada"/>
    <m/>
    <s v="Not Required"/>
    <s v="Manningview"/>
  </r>
  <r>
    <s v="#1457"/>
    <n v="1"/>
    <d v="2026-08-04T14:04:00"/>
    <d v="2026-08-04T14:04:00"/>
    <s v="Anthony Mullen"/>
    <x v="0"/>
    <s v="anthony.mullen523@yahoo.com"/>
    <s v="Polarized Sunglasses"/>
    <x v="10"/>
    <s v="Accessories"/>
    <x v="11"/>
    <n v="1"/>
    <n v="16.989999999999998"/>
    <n v="16.989999999999998"/>
    <m/>
    <x v="0"/>
    <n v="0"/>
    <n v="0"/>
    <s v="Number"/>
    <n v="7.99"/>
    <n v="7.99"/>
    <n v="24.98"/>
    <n v="24.98"/>
    <n v="24.979999999999997"/>
    <s v="True"/>
    <s v="Normal"/>
    <s v="Shopify Payments"/>
    <x v="0"/>
    <s v="fulfilled"/>
    <s v="United States"/>
    <s v="New York"/>
    <s v="Valid"/>
    <s v="Alisonville"/>
  </r>
  <r>
    <s v="#1509"/>
    <n v="1"/>
    <d v="2026-08-04T14:01:06"/>
    <d v="2026-08-04T14:01:06"/>
    <s v="Joshua Miller"/>
    <x v="0"/>
    <s v="joshua.miller362@gmail.com"/>
    <s v="Polarized Sunglasses"/>
    <x v="10"/>
    <s v="Accessories"/>
    <x v="11"/>
    <n v="1"/>
    <n v="16.989999999999998"/>
    <n v="16.989999999999998"/>
    <s v="WELCOME10"/>
    <x v="1"/>
    <s v="$1.70"/>
    <n v="1.7"/>
    <s v="Number"/>
    <n v="5.99"/>
    <n v="5.99"/>
    <n v="21.28"/>
    <n v="21.28"/>
    <n v="21.28"/>
    <s v="True"/>
    <s v="Normal"/>
    <s v="Google Pay"/>
    <x v="0"/>
    <s v="cancelled"/>
    <s v="Canada"/>
    <m/>
    <s v="Not Required"/>
    <s v="Lake Andrewbury"/>
  </r>
  <r>
    <s v="#1527"/>
    <n v="1"/>
    <d v="2026-08-04T13:55:29"/>
    <d v="2026-08-04T13:55:29"/>
    <s v="Ian Morris"/>
    <x v="0"/>
    <s v="ian.morris90@outlook.com"/>
    <s v="Polarized Sunglasses"/>
    <x v="10"/>
    <s v="Accessories"/>
    <x v="11"/>
    <n v="1"/>
    <n v="16.989999999999998"/>
    <n v="16.989999999999998"/>
    <s v="WELCOME10"/>
    <x v="1"/>
    <n v="1.7"/>
    <n v="1.7"/>
    <s v="Number"/>
    <n v="7.99"/>
    <n v="7.99"/>
    <n v="23.28"/>
    <n v="23.28"/>
    <n v="23.28"/>
    <s v="True"/>
    <s v="Normal"/>
    <s v="PayPal"/>
    <x v="0"/>
    <s v="fulfilled"/>
    <s v="Pakistan"/>
    <m/>
    <s v="Not Required"/>
    <s v="New Benjamin"/>
  </r>
  <r>
    <s v="#1531"/>
    <n v="1"/>
    <d v="2026-08-04T13:58:06"/>
    <d v="2026-08-04T13:58:06"/>
    <s v="Julie Hoffman"/>
    <x v="0"/>
    <s v="julie.hoffman913@gmail.com"/>
    <s v="Polarized Sunglasses"/>
    <x v="10"/>
    <s v="Accessories"/>
    <x v="11"/>
    <n v="2"/>
    <n v="16.989999999999998"/>
    <n v="16.989999999999998"/>
    <s v="FREESHIP"/>
    <x v="5"/>
    <s v="$0.00"/>
    <n v="0"/>
    <s v="Number"/>
    <n v="0"/>
    <n v="0"/>
    <n v="33.979999999999997"/>
    <n v="33.979999999999997"/>
    <n v="33.979999999999997"/>
    <s v="True"/>
    <s v="Normal"/>
    <s v="Credit Card"/>
    <x v="2"/>
    <s v="fulfilled"/>
    <s v="United States"/>
    <s v="Washington"/>
    <s v="Valid"/>
    <s v="Gallaghermouth"/>
  </r>
  <r>
    <s v="#1542"/>
    <n v="1"/>
    <d v="2026-08-04T13:54:23"/>
    <d v="2026-08-04T13:54:23"/>
    <s v="Megan Dickson"/>
    <x v="0"/>
    <s v="megan.dickson508@gmail.com"/>
    <s v="Polarized Sunglasses"/>
    <x v="10"/>
    <s v="Accessories"/>
    <x v="11"/>
    <n v="1"/>
    <n v="16.989999999999998"/>
    <n v="16.989999999999998"/>
    <s v="WELCOME10"/>
    <x v="1"/>
    <s v="$1.70"/>
    <n v="1.7"/>
    <s v="Number"/>
    <n v="5.99"/>
    <n v="5.99"/>
    <s v="$21.28"/>
    <n v="21.28"/>
    <n v="21.28"/>
    <s v="True"/>
    <s v="Normal"/>
    <s v="Apple Pay"/>
    <x v="0"/>
    <s v="fulfilled"/>
    <s v="United Kingdom"/>
    <m/>
    <s v="Not Required"/>
    <s v="Port Darrylville"/>
  </r>
  <r>
    <s v="#1581"/>
    <n v="1"/>
    <d v="2026-08-04T13:58:53"/>
    <d v="2026-08-04T13:58:53"/>
    <s v="Darin Alvarez"/>
    <x v="0"/>
    <s v="darin.alvarez843@gmail.com"/>
    <s v="Polarized Sunglasses"/>
    <x v="10"/>
    <s v="Accessories"/>
    <x v="11"/>
    <n v="1"/>
    <n v="16.989999999999998"/>
    <n v="16.989999999999998"/>
    <s v="BFCM25"/>
    <x v="3"/>
    <n v="4.25"/>
    <n v="4.25"/>
    <s v="Number"/>
    <n v="7.99"/>
    <n v="7.99"/>
    <n v="20.73"/>
    <n v="20.73"/>
    <n v="20.729999999999997"/>
    <s v="True"/>
    <s v="Normal"/>
    <s v="Shopify Payments"/>
    <x v="0"/>
    <s v="refunded"/>
    <s v="Canada"/>
    <m/>
    <s v="Not Required"/>
    <s v="Alanfort"/>
  </r>
  <r>
    <s v="#1582"/>
    <n v="1"/>
    <d v="2026-08-04T13:59:49"/>
    <d v="2026-08-04T13:59:49"/>
    <s v="mary phillips"/>
    <x v="1"/>
    <m/>
    <s v="Polarized Sunglasses"/>
    <x v="10"/>
    <s v="Accessories"/>
    <x v="11"/>
    <n v="2"/>
    <n v="16.989999999999998"/>
    <n v="16.989999999999998"/>
    <s v="SAVE20"/>
    <x v="2"/>
    <n v="6.8"/>
    <n v="6.8"/>
    <s v="Number"/>
    <n v="4.99"/>
    <n v="4.99"/>
    <n v="32.17"/>
    <n v="32.17"/>
    <n v="32.169999999999995"/>
    <s v="True"/>
    <s v="Normal"/>
    <s v="Shopify Payments"/>
    <x v="1"/>
    <s v="fulfilled"/>
    <s v="United States"/>
    <s v="New York"/>
    <s v="Valid"/>
    <s v="East Thomasview"/>
  </r>
  <r>
    <s v="#1606"/>
    <n v="1"/>
    <d v="2026-08-04T13:58:13"/>
    <d v="2026-08-04T13:58:13"/>
    <s v="Christopher Harrington"/>
    <x v="0"/>
    <s v="christopher.harrington960@gmail.com"/>
    <s v="Polarized Sunglasses"/>
    <x v="10"/>
    <s v="Accessories"/>
    <x v="11"/>
    <n v="2"/>
    <n v="16.989999999999998"/>
    <n v="16.989999999999998"/>
    <s v="FREESHIP"/>
    <x v="5"/>
    <s v="$0.00"/>
    <n v="0"/>
    <s v="Number"/>
    <n v="0"/>
    <n v="0"/>
    <n v="33.979999999999997"/>
    <n v="33.979999999999997"/>
    <n v="33.979999999999997"/>
    <s v="True"/>
    <s v="Normal"/>
    <s v="Shopify Payments"/>
    <x v="0"/>
    <s v="pending"/>
    <s v="Australia"/>
    <m/>
    <s v="Not Required"/>
    <s v="Dalestad"/>
  </r>
  <r>
    <s v="#1678"/>
    <n v="1"/>
    <d v="2026-08-04T13:59:14"/>
    <d v="2026-08-04T13:59:14"/>
    <s v="Ruth Duncan"/>
    <x v="0"/>
    <s v="ruth.duncan434@icloud.com"/>
    <s v="Polarized Sunglasses"/>
    <x v="10"/>
    <s v="Accessories"/>
    <x v="11"/>
    <n v="2"/>
    <n v="16.989999999999998"/>
    <n v="16.989999999999998"/>
    <s v="BFCM25"/>
    <x v="3"/>
    <n v="8.49"/>
    <n v="8.49"/>
    <s v="Number"/>
    <n v="7.99"/>
    <n v="7.99"/>
    <s v="$33.48"/>
    <n v="33.479999999999997"/>
    <n v="33.479999999999997"/>
    <s v="True"/>
    <s v="Normal"/>
    <s v="Credit Card"/>
    <x v="2"/>
    <s v="fulfilled"/>
    <s v="Australia"/>
    <m/>
    <s v="Not Required"/>
    <s v="West Deborahshire"/>
  </r>
  <r>
    <s v="#1686"/>
    <n v="1"/>
    <d v="2026-08-04T14:03:47"/>
    <d v="2026-08-04T14:03:47"/>
    <s v="Tyler Williams"/>
    <x v="0"/>
    <s v="tyler.williams938@outlook.com"/>
    <s v="Polarized Sunglasses"/>
    <x v="10"/>
    <s v="Accessories"/>
    <x v="11"/>
    <n v="1"/>
    <s v="$16.99"/>
    <n v="16.989999999999998"/>
    <m/>
    <x v="0"/>
    <n v="0"/>
    <n v="0"/>
    <s v="Number"/>
    <n v="7.99"/>
    <n v="7.99"/>
    <s v="$24.98"/>
    <n v="24.98"/>
    <n v="24.979999999999997"/>
    <s v="True"/>
    <s v="Normal"/>
    <s v="PayPal"/>
    <x v="2"/>
    <s v="cancelled"/>
    <s v="Australia"/>
    <m/>
    <s v="Not Required"/>
    <s v="Garnerborough"/>
  </r>
  <r>
    <s v="#1702"/>
    <n v="1"/>
    <d v="2026-08-04T13:54:01"/>
    <d v="2026-08-04T13:54:01"/>
    <m/>
    <x v="0"/>
    <s v="rose.english118@icloud.com"/>
    <s v="Polarized Sunglasses"/>
    <x v="10"/>
    <s v="Accessories"/>
    <x v="11"/>
    <n v="1"/>
    <n v="16.989999999999998"/>
    <n v="16.989999999999998"/>
    <m/>
    <x v="0"/>
    <n v="0"/>
    <n v="0"/>
    <s v="Number"/>
    <n v="7.99"/>
    <n v="7.99"/>
    <n v="24.98"/>
    <n v="24.98"/>
    <n v="24.979999999999997"/>
    <s v="True"/>
    <s v="Normal"/>
    <s v="Apple Pay"/>
    <x v="0"/>
    <s v="pending"/>
    <s v="Germany"/>
    <m/>
    <s v="Not Required"/>
    <s v="New Richard"/>
  </r>
  <r>
    <s v="#1714"/>
    <n v="1"/>
    <d v="2026-08-04T14:03:27"/>
    <d v="2026-08-04T14:03:27"/>
    <s v="Julie Hoffman"/>
    <x v="0"/>
    <s v="julie.hoffman913@gmail.com"/>
    <s v="Polarized Sunglasses"/>
    <x v="10"/>
    <s v="Accessories"/>
    <x v="11"/>
    <n v="1"/>
    <n v="16.989999999999998"/>
    <n v="16.989999999999998"/>
    <s v="BFCM25"/>
    <x v="3"/>
    <n v="4.25"/>
    <n v="4.25"/>
    <s v="Number"/>
    <n v="5.99"/>
    <n v="5.99"/>
    <n v="18.73"/>
    <n v="18.73"/>
    <n v="18.729999999999997"/>
    <s v="True"/>
    <s v="Normal"/>
    <s v="Credit Card"/>
    <x v="2"/>
    <s v="fulfilled"/>
    <s v="United States"/>
    <s v="Arizona"/>
    <s v="Valid"/>
    <s v="New Jefferyton"/>
  </r>
  <r>
    <s v="#1727"/>
    <n v="1"/>
    <d v="2026-08-04T14:07:44"/>
    <d v="2026-08-04T14:07:44"/>
    <s v="Joshua Chavez"/>
    <x v="1"/>
    <m/>
    <s v="Polarized Sunglasses"/>
    <x v="10"/>
    <s v="Accessories"/>
    <x v="11"/>
    <n v="3"/>
    <n v="16.989999999999998"/>
    <n v="16.989999999999998"/>
    <s v="WELCOME10"/>
    <x v="1"/>
    <n v="5.0999999999999996"/>
    <n v="5.0999999999999996"/>
    <s v="Number"/>
    <n v="4.99"/>
    <n v="4.99"/>
    <n v="50.86"/>
    <n v="50.86"/>
    <n v="50.86"/>
    <s v="True"/>
    <s v="Normal"/>
    <s v="Apple Pay"/>
    <x v="3"/>
    <s v="fulfilled"/>
    <s v="United States"/>
    <s v="Georgia"/>
    <s v="Valid"/>
    <s v="Boyerfort"/>
  </r>
  <r>
    <s v="#1742"/>
    <n v="1"/>
    <d v="2026-08-04T14:00:54"/>
    <d v="2026-08-04T14:00:54"/>
    <s v="Rodney Lamb"/>
    <x v="0"/>
    <s v="rodney.lamb872@icloud.com"/>
    <s v="Polarized Sunglasses"/>
    <x v="10"/>
    <s v="Accessories"/>
    <x v="11"/>
    <n v="1"/>
    <n v="16.989999999999998"/>
    <n v="16.989999999999998"/>
    <s v="BFCM25"/>
    <x v="3"/>
    <n v="4.25"/>
    <n v="4.25"/>
    <s v="Number"/>
    <n v="7.99"/>
    <n v="7.99"/>
    <n v="20.73"/>
    <n v="20.73"/>
    <n v="20.729999999999997"/>
    <s v="True"/>
    <s v="Normal"/>
    <s v="Google Pay"/>
    <x v="3"/>
    <s v="cancelled"/>
    <s v="Australia"/>
    <m/>
    <s v="Not Required"/>
    <s v="East Corey"/>
  </r>
  <r>
    <s v="#1784"/>
    <n v="1"/>
    <d v="2026-08-04T00:00:00"/>
    <s v="04-08-2026 14:04"/>
    <s v="Austin Norris"/>
    <x v="0"/>
    <s v="austin.norris15@gmail.com"/>
    <s v="Polarized Sunglasses"/>
    <x v="10"/>
    <s v="Accessories"/>
    <x v="11"/>
    <n v="2"/>
    <n v="16.989999999999998"/>
    <n v="16.989999999999998"/>
    <m/>
    <x v="0"/>
    <n v="0"/>
    <n v="0"/>
    <s v="Number"/>
    <n v="7.99"/>
    <n v="7.99"/>
    <n v="41.97"/>
    <n v="41.97"/>
    <n v="41.97"/>
    <s v="True"/>
    <s v="Normal"/>
    <s v="Credit Card"/>
    <x v="0"/>
    <s v="pending"/>
    <s v="United States"/>
    <s v="Washington"/>
    <s v="Valid"/>
    <s v="Rebeccaland"/>
  </r>
  <r>
    <s v="#1812"/>
    <n v="1"/>
    <d v="2026-08-04T13:53:54"/>
    <d v="2026-08-04T13:53:54"/>
    <s v="Tyler Williams"/>
    <x v="0"/>
    <s v="tyler.williams938@outlook.com"/>
    <s v="Polarized Sunglasses"/>
    <x v="10"/>
    <s v="Accessories"/>
    <x v="11"/>
    <n v="1"/>
    <n v="16.989999999999998"/>
    <n v="16.989999999999998"/>
    <s v="SAVE20"/>
    <x v="2"/>
    <n v="3.4"/>
    <n v="3.4"/>
    <s v="Number"/>
    <n v="5.99"/>
    <n v="5.99"/>
    <n v="19.579999999999998"/>
    <n v="19.579999999999998"/>
    <n v="19.579999999999998"/>
    <s v="True"/>
    <s v="Normal"/>
    <s v="Credit Card"/>
    <x v="0"/>
    <s v="fulfilled"/>
    <s v="Australia"/>
    <m/>
    <s v="Not Required"/>
    <s v="Kathyshire"/>
  </r>
  <r>
    <s v="#1870"/>
    <n v="1"/>
    <d v="2026-04-08T00:00:00"/>
    <s v="08/04/2026"/>
    <s v="Christopher Harrington"/>
    <x v="0"/>
    <s v="christopher.harrington960@gmail.com"/>
    <s v="Polarized Sunglasses"/>
    <x v="10"/>
    <s v="Accessories"/>
    <x v="11"/>
    <n v="1"/>
    <n v="16.989999999999998"/>
    <n v="16.989999999999998"/>
    <s v="SAVE20"/>
    <x v="2"/>
    <n v="3.4"/>
    <n v="3.4"/>
    <s v="Number"/>
    <n v="7.99"/>
    <n v="7.99"/>
    <n v="21.58"/>
    <n v="21.58"/>
    <n v="21.58"/>
    <s v="True"/>
    <s v="Normal"/>
    <s v="PayPal"/>
    <x v="0"/>
    <s v="fulfilled"/>
    <s v="Australia"/>
    <m/>
    <s v="Not Required"/>
    <s v="Danaton"/>
  </r>
  <r>
    <s v="#1875"/>
    <n v="1"/>
    <d v="2026-08-04T00:00:00"/>
    <s v="2026-08-04"/>
    <s v="Jaime Vargas"/>
    <x v="0"/>
    <s v="jaime.vargas795@outlook.com"/>
    <s v="Polarized Sunglasses"/>
    <x v="10"/>
    <s v="Accessories"/>
    <x v="11"/>
    <n v="1"/>
    <n v="16.989999999999998"/>
    <n v="16.989999999999998"/>
    <m/>
    <x v="0"/>
    <n v="0"/>
    <n v="0"/>
    <s v="Number"/>
    <n v="5.99"/>
    <n v="5.99"/>
    <n v="22.98"/>
    <n v="22.98"/>
    <n v="22.979999999999997"/>
    <s v="True"/>
    <s v="Normal"/>
    <s v="Credit Card"/>
    <x v="0"/>
    <s v="fulfilled"/>
    <s v="United Kingdom"/>
    <m/>
    <s v="Not Required"/>
    <s v="Youngmouth"/>
  </r>
  <r>
    <s v="#1914"/>
    <n v="1"/>
    <d v="2026-08-04T13:53:56"/>
    <d v="2026-08-04T13:53:56"/>
    <s v="Emily Hicks"/>
    <x v="0"/>
    <s v="emily.hicks49@outlook.com"/>
    <s v="Polarized Sunglasses"/>
    <x v="10"/>
    <s v="Accessories"/>
    <x v="11"/>
    <n v="2"/>
    <n v="16.989999999999998"/>
    <n v="16.989999999999998"/>
    <s v="WELCOME10"/>
    <x v="1"/>
    <n v="3.4"/>
    <n v="3.4"/>
    <s v="Number"/>
    <n v="4.99"/>
    <n v="4.99"/>
    <n v="35.57"/>
    <n v="35.57"/>
    <n v="35.57"/>
    <s v="True"/>
    <s v="Normal"/>
    <s v="Apple Pay"/>
    <x v="3"/>
    <s v="fulfilled"/>
    <s v="Germany"/>
    <m/>
    <s v="Not Required"/>
    <s v="Lake Ashleyton"/>
  </r>
  <r>
    <s v="#1915"/>
    <n v="1"/>
    <d v="2026-08-04T13:54:08"/>
    <d v="2026-08-04T13:54:08"/>
    <s v="George Green"/>
    <x v="0"/>
    <s v="george.green694@icloud.com"/>
    <s v="Polarized Sunglasses"/>
    <x v="10"/>
    <s v="Accessories"/>
    <x v="11"/>
    <n v="2"/>
    <n v="16.989999999999998"/>
    <n v="16.989999999999998"/>
    <s v="WELCOME10"/>
    <x v="1"/>
    <n v="3.4"/>
    <n v="3.4"/>
    <s v="Number"/>
    <n v="4.99"/>
    <n v="4.99"/>
    <n v="35.57"/>
    <n v="35.57"/>
    <n v="35.57"/>
    <s v="True"/>
    <s v="Normal"/>
    <s v="Credit Card"/>
    <x v="3"/>
    <s v="cancelled"/>
    <s v="United States"/>
    <s v="North Carolina"/>
    <s v="Valid"/>
    <s v="West Kathryn"/>
  </r>
  <r>
    <s v="#2000"/>
    <n v="1"/>
    <d v="2026-08-04T14:08:01"/>
    <d v="2026-08-04T14:08:01"/>
    <s v="Denise Phillips"/>
    <x v="0"/>
    <s v="denise.phillips810@gmail.com"/>
    <s v="Polarized Sunglasses"/>
    <x v="10"/>
    <s v="Accessories"/>
    <x v="11"/>
    <n v="1"/>
    <n v="16.989999999999998"/>
    <n v="16.989999999999998"/>
    <s v="FREESHIP"/>
    <x v="5"/>
    <n v="0"/>
    <n v="0"/>
    <s v="Number"/>
    <n v="0"/>
    <n v="0"/>
    <n v="16.989999999999998"/>
    <n v="16.989999999999998"/>
    <n v="16.989999999999998"/>
    <s v="True"/>
    <s v="Normal"/>
    <s v="Apple Pay"/>
    <x v="2"/>
    <s v="fulfilled"/>
    <s v="United States"/>
    <s v="Florida"/>
    <s v="Valid"/>
    <s v="Kimberlytown"/>
  </r>
  <r>
    <s v="#2018"/>
    <n v="1"/>
    <d v="2026-08-04T13:56:50"/>
    <d v="2026-08-04T13:56:50"/>
    <s v="Maria Leon"/>
    <x v="0"/>
    <s v="maria.leon163@outlook.com"/>
    <s v="Polarized Sunglasses"/>
    <x v="10"/>
    <s v="Accessories"/>
    <x v="11"/>
    <n v="1"/>
    <n v="16.989999999999998"/>
    <n v="16.989999999999998"/>
    <s v="FREESHIP"/>
    <x v="5"/>
    <n v="0"/>
    <n v="0"/>
    <s v="Number"/>
    <n v="0"/>
    <n v="0"/>
    <s v="$16.99"/>
    <n v="16.989999999999998"/>
    <n v="16.989999999999998"/>
    <s v="True"/>
    <s v="Normal"/>
    <s v="Shopify Payments"/>
    <x v="1"/>
    <s v="pending"/>
    <s v="Canada"/>
    <m/>
    <s v="Not Required"/>
    <s v="East Dawn"/>
  </r>
  <r>
    <s v="#2034"/>
    <n v="1"/>
    <d v="2026-08-04T14:07:13"/>
    <d v="2026-08-04T14:07:13"/>
    <s v="David Hayden"/>
    <x v="0"/>
    <s v="david.hayden411@outlook.com"/>
    <s v="Polarized Sunglasses"/>
    <x v="10"/>
    <s v="Accessories"/>
    <x v="11"/>
    <n v="1"/>
    <n v="16.989999999999998"/>
    <n v="16.989999999999998"/>
    <m/>
    <x v="0"/>
    <n v="0"/>
    <n v="0"/>
    <s v="Number"/>
    <n v="5.99"/>
    <n v="5.99"/>
    <n v="22.98"/>
    <n v="22.98"/>
    <n v="22.979999999999997"/>
    <s v="True"/>
    <s v="Normal"/>
    <s v="Google Pay"/>
    <x v="0"/>
    <s v="cancelled"/>
    <s v="Australia"/>
    <m/>
    <s v="Not Required"/>
    <s v="Thomastown"/>
  </r>
  <r>
    <s v="#2117"/>
    <n v="1"/>
    <d v="2026-08-04T13:58:41"/>
    <d v="2026-08-04T13:58:41"/>
    <s v="Murray, Cody"/>
    <x v="0"/>
    <s v="cody.murray456@gmail.com"/>
    <s v="Polarized Sunglasses"/>
    <x v="10"/>
    <s v="Accessories"/>
    <x v="11"/>
    <n v="3"/>
    <n v="16.989999999999998"/>
    <n v="16.989999999999998"/>
    <m/>
    <x v="0"/>
    <n v="0"/>
    <n v="0"/>
    <s v="Number"/>
    <n v="4.99"/>
    <n v="4.99"/>
    <n v="55.96"/>
    <n v="55.96"/>
    <n v="55.96"/>
    <s v="True"/>
    <s v="Normal"/>
    <s v="Apple Pay"/>
    <x v="0"/>
    <s v="fulfilled"/>
    <s v="United Kingdom"/>
    <m/>
    <s v="Not Required"/>
    <s v="East Nicholasshire"/>
  </r>
  <r>
    <s v="#2200"/>
    <n v="1"/>
    <d v="2026-08-04T13:57:05"/>
    <d v="2026-08-04T13:57:05"/>
    <s v="Donald Davis"/>
    <x v="1"/>
    <m/>
    <s v="Polarized Sunglasses"/>
    <x v="10"/>
    <s v="Accessories"/>
    <x v="11"/>
    <n v="1"/>
    <n v="16.989999999999998"/>
    <n v="16.989999999999998"/>
    <m/>
    <x v="0"/>
    <n v="0"/>
    <n v="0"/>
    <s v="Number"/>
    <n v="7.99"/>
    <n v="7.99"/>
    <n v="24.98"/>
    <n v="24.98"/>
    <n v="24.979999999999997"/>
    <s v="True"/>
    <s v="Normal"/>
    <s v="Shopify Payments"/>
    <x v="3"/>
    <s v="cancelled"/>
    <s v="Canada"/>
    <m/>
    <s v="Not Required"/>
    <s v="West David"/>
  </r>
  <r>
    <s v="#2226"/>
    <n v="1"/>
    <d v="2026-04-08T00:00:00"/>
    <s v="08/04/2026"/>
    <s v="Jon Lambert"/>
    <x v="0"/>
    <s v="jon.lambert231@icloud.com"/>
    <s v="Polarized Sunglasses"/>
    <x v="10"/>
    <s v="Accessories"/>
    <x v="11"/>
    <n v="1"/>
    <n v="16.989999999999998"/>
    <n v="16.989999999999998"/>
    <m/>
    <x v="0"/>
    <n v="0"/>
    <n v="0"/>
    <s v="Number"/>
    <n v="4.99"/>
    <n v="4.99"/>
    <n v="21.98"/>
    <n v="21.98"/>
    <n v="21.979999999999997"/>
    <s v="True"/>
    <s v="Normal"/>
    <s v="Apple Pay"/>
    <x v="2"/>
    <s v="fulfilled"/>
    <s v="United States"/>
    <s v="California"/>
    <s v="Valid"/>
    <s v="Elizabethside"/>
  </r>
  <r>
    <s v="#2230"/>
    <n v="1"/>
    <d v="2026-08-04T00:00:00"/>
    <s v="04-08-2026 13:55"/>
    <s v="Christopher Osborne"/>
    <x v="0"/>
    <s v="christopher.osborne481@yahoo.com"/>
    <s v="Polarized Sunglasses"/>
    <x v="10"/>
    <s v="Accessories"/>
    <x v="11"/>
    <n v="1"/>
    <n v="16.989999999999998"/>
    <n v="16.989999999999998"/>
    <m/>
    <x v="0"/>
    <n v="0"/>
    <n v="0"/>
    <s v="Number"/>
    <n v="7.99"/>
    <n v="7.99"/>
    <n v="24.98"/>
    <n v="24.98"/>
    <n v="24.979999999999997"/>
    <s v="True"/>
    <s v="Normal"/>
    <s v="PayPal"/>
    <x v="0"/>
    <s v="cancelled"/>
    <s v="United States"/>
    <s v="California"/>
    <s v="Valid"/>
    <s v="South Chadside"/>
  </r>
  <r>
    <s v="#2233"/>
    <n v="1"/>
    <d v="2026-08-04T13:57:09"/>
    <d v="2026-08-04T13:57:09"/>
    <s v="Matthew Riley"/>
    <x v="0"/>
    <s v="matthew.riley309@yahoo.com"/>
    <s v="Polarized Sunglasses"/>
    <x v="10"/>
    <s v="Accessories"/>
    <x v="11"/>
    <n v="1"/>
    <n v="16.989999999999998"/>
    <n v="16.989999999999998"/>
    <s v="WELCOME10"/>
    <x v="1"/>
    <n v="1.7"/>
    <n v="1.7"/>
    <s v="Number"/>
    <n v="7.99"/>
    <n v="7.99"/>
    <n v="23.28"/>
    <n v="23.28"/>
    <n v="23.28"/>
    <s v="True"/>
    <s v="Normal"/>
    <s v="Google Pay"/>
    <x v="0"/>
    <s v="fulfilled"/>
    <s v="Canada"/>
    <m/>
    <s v="Not Required"/>
    <s v="Port Scottfurt"/>
  </r>
  <r>
    <s v="#2234"/>
    <n v="1"/>
    <d v="2026-08-04T14:01:05"/>
    <d v="2026-08-04T14:01:05"/>
    <s v="Stacey Morales"/>
    <x v="0"/>
    <s v="stacey.morales538@yahoo.com"/>
    <s v="Polarized Sunglasses"/>
    <x v="10"/>
    <s v="Accessories"/>
    <x v="11"/>
    <n v="1"/>
    <n v="16.989999999999998"/>
    <n v="16.989999999999998"/>
    <m/>
    <x v="0"/>
    <n v="0"/>
    <n v="0"/>
    <s v="Number"/>
    <n v="7.99"/>
    <n v="7.99"/>
    <s v="$24.98"/>
    <n v="24.98"/>
    <n v="24.979999999999997"/>
    <s v="True"/>
    <s v="Normal"/>
    <s v="Google Pay"/>
    <x v="2"/>
    <s v="pending"/>
    <s v="Australia"/>
    <m/>
    <s v="Not Required"/>
    <s v="Pettytown"/>
  </r>
  <r>
    <s v="#2246"/>
    <n v="1"/>
    <d v="2026-08-04T14:06:42"/>
    <d v="2026-08-04T14:06:42"/>
    <s v="Brady Garcia"/>
    <x v="0"/>
    <s v="brady.garcia57@yahoo.com"/>
    <s v="Polarized Sunglasses"/>
    <x v="10"/>
    <s v="Accessories"/>
    <x v="11"/>
    <n v="1"/>
    <s v="$16.99"/>
    <n v="16.989999999999998"/>
    <m/>
    <x v="0"/>
    <n v="0"/>
    <n v="0"/>
    <s v="Number"/>
    <n v="4.99"/>
    <n v="4.99"/>
    <s v="$21.98"/>
    <n v="21.98"/>
    <n v="21.979999999999997"/>
    <s v="True"/>
    <s v="Normal"/>
    <s v="PayPal"/>
    <x v="0"/>
    <s v="cancelled"/>
    <s v="Australia"/>
    <m/>
    <s v="Not Required"/>
    <s v="Hernandezhaven"/>
  </r>
  <r>
    <s v="#2254"/>
    <n v="1"/>
    <d v="2026-08-04T13:58:18"/>
    <d v="2026-08-04T13:58:18"/>
    <s v="Misty Martin"/>
    <x v="0"/>
    <s v="misty.martin667@gmail.com"/>
    <s v="Polarized Sunglasses"/>
    <x v="10"/>
    <s v="Accessories"/>
    <x v="11"/>
    <n v="1"/>
    <n v="16.989999999999998"/>
    <n v="16.989999999999998"/>
    <s v=" SAVE20 "/>
    <x v="2"/>
    <n v="3.4"/>
    <n v="3.4"/>
    <s v="Number"/>
    <n v="4.99"/>
    <n v="4.99"/>
    <n v="18.579999999999998"/>
    <n v="18.579999999999998"/>
    <n v="18.579999999999998"/>
    <s v="True"/>
    <s v="Normal"/>
    <s v="Google Pay"/>
    <x v="1"/>
    <s v="fulfilled"/>
    <s v="United States"/>
    <s v="Texas"/>
    <s v="Valid"/>
    <s v="Jimeneztown"/>
  </r>
  <r>
    <s v="#2262"/>
    <n v="1"/>
    <d v="2026-04-08T00:00:00"/>
    <s v="08/04/2026"/>
    <s v="David Duke"/>
    <x v="0"/>
    <s v="david.duke814@icloud.com"/>
    <s v="Polarized Sunglasses"/>
    <x v="10"/>
    <s v="Accessories"/>
    <x v="11"/>
    <n v="1"/>
    <n v="16.989999999999998"/>
    <n v="16.989999999999998"/>
    <s v="BFCM25"/>
    <x v="3"/>
    <n v="4.25"/>
    <n v="4.25"/>
    <s v="Number"/>
    <n v="4.99"/>
    <n v="4.99"/>
    <n v="17.73"/>
    <n v="17.73"/>
    <n v="17.729999999999997"/>
    <s v="True"/>
    <s v="Normal"/>
    <s v="Google Pay"/>
    <x v="2"/>
    <s v="refunded"/>
    <s v="United States"/>
    <s v="IL"/>
    <s v="Valid"/>
    <s v="West Laura"/>
  </r>
  <r>
    <s v="#2291"/>
    <n v="1"/>
    <d v="2026-08-04T13:59:56"/>
    <d v="2026-08-04T13:59:56"/>
    <s v="Andrea Martinez"/>
    <x v="0"/>
    <s v="andrea.martinez756@yahoo.com"/>
    <s v="Polarized Sunglasses"/>
    <x v="10"/>
    <s v="Accessories"/>
    <x v="11"/>
    <n v="1"/>
    <n v="16.989999999999998"/>
    <n v="16.989999999999998"/>
    <s v="BFCM25"/>
    <x v="3"/>
    <n v="4.25"/>
    <n v="4.25"/>
    <s v="Number"/>
    <n v="5.99"/>
    <n v="5.99"/>
    <n v="18.73"/>
    <n v="18.73"/>
    <n v="18.729999999999997"/>
    <s v="True"/>
    <s v="Normal"/>
    <s v="Shopify Payments"/>
    <x v="1"/>
    <s v="pending"/>
    <s v="Australia"/>
    <m/>
    <s v="Not Required"/>
    <s v="Christopherland"/>
  </r>
  <r>
    <s v="#2314"/>
    <n v="1"/>
    <d v="2026-08-04T13:59:12"/>
    <d v="2026-08-04T13:59:12"/>
    <s v="darin alvarez"/>
    <x v="0"/>
    <s v="darin.alvarez843@gmail.com"/>
    <s v="Polarized Sunglasses"/>
    <x v="10"/>
    <s v="Accessories"/>
    <x v="11"/>
    <n v="1"/>
    <n v="16.989999999999998"/>
    <n v="16.989999999999998"/>
    <s v="VIP15"/>
    <x v="4"/>
    <n v="2.5499999999999998"/>
    <n v="2.5499999999999998"/>
    <s v="Number"/>
    <n v="5.99"/>
    <n v="5.99"/>
    <n v="20.43"/>
    <n v="20.43"/>
    <n v="20.43"/>
    <s v="True"/>
    <s v="Normal"/>
    <s v="Apple Pay"/>
    <x v="2"/>
    <s v="fulfilled"/>
    <s v="Canada"/>
    <m/>
    <s v="Not Required"/>
    <s v="Port Russellstad"/>
  </r>
  <r>
    <s v="#2318"/>
    <n v="1"/>
    <d v="2026-08-04T00:00:00"/>
    <s v="Aug 04, 2026"/>
    <s v="Stephanie Miller"/>
    <x v="0"/>
    <s v="stephanie.miller962@yahoo.com"/>
    <s v="Polarized Sunglasses"/>
    <x v="10"/>
    <s v="Accessories"/>
    <x v="11"/>
    <n v="2"/>
    <n v="16.989999999999998"/>
    <n v="16.989999999999998"/>
    <s v="SAVE20"/>
    <x v="2"/>
    <n v="6.8"/>
    <n v="6.8"/>
    <s v="Number"/>
    <n v="5.99"/>
    <n v="5.99"/>
    <n v="33.17"/>
    <n v="33.17"/>
    <n v="33.169999999999995"/>
    <s v="True"/>
    <s v="Normal"/>
    <s v="Google Pay"/>
    <x v="1"/>
    <s v="fulfilled"/>
    <s v="United Kingdom"/>
    <m/>
    <s v="Not Required"/>
    <s v="South Michealfort"/>
  </r>
  <r>
    <s v="#2326"/>
    <n v="1"/>
    <d v="2026-08-04T14:01:01"/>
    <d v="2026-08-04T14:01:01"/>
    <s v="Kevin Williams"/>
    <x v="0"/>
    <s v="kevin.williams971@yahoo.com"/>
    <s v="Polarized Sunglasses"/>
    <x v="10"/>
    <s v="Accessories"/>
    <x v="11"/>
    <n v="4"/>
    <n v="16.989999999999998"/>
    <n v="16.989999999999998"/>
    <m/>
    <x v="0"/>
    <n v="0"/>
    <n v="0"/>
    <s v="Number"/>
    <n v="7.99"/>
    <n v="7.99"/>
    <n v="75.95"/>
    <n v="75.95"/>
    <n v="75.949999999999989"/>
    <s v="True"/>
    <s v="Normal"/>
    <s v="Apple Pay"/>
    <x v="0"/>
    <s v="fulfilled"/>
    <s v="Pakistan"/>
    <m/>
    <s v="Not Required"/>
    <s v="New Darius"/>
  </r>
  <r>
    <s v="#2328"/>
    <n v="1"/>
    <d v="2026-08-04T14:00:11"/>
    <d v="2026-08-04T14:00:11"/>
    <s v="Mary Meza"/>
    <x v="0"/>
    <s v="mary.meza759@gmail.com"/>
    <s v="Polarized Sunglasses"/>
    <x v="10"/>
    <s v="Accessories"/>
    <x v="11"/>
    <n v="2"/>
    <n v="16.989999999999998"/>
    <n v="16.989999999999998"/>
    <s v="BFCM25"/>
    <x v="3"/>
    <n v="8.49"/>
    <n v="8.49"/>
    <s v="Number"/>
    <n v="4.99"/>
    <n v="4.99"/>
    <s v="$30.48"/>
    <n v="30.48"/>
    <n v="30.479999999999997"/>
    <s v="True"/>
    <s v="Normal"/>
    <s v="Credit Card"/>
    <x v="0"/>
    <s v="fulfilled"/>
    <s v="Canada"/>
    <m/>
    <s v="Not Required"/>
    <s v="South Holly"/>
  </r>
  <r>
    <s v="#2399"/>
    <n v="1"/>
    <d v="2026-04-08T00:00:00"/>
    <s v="08/04/2026"/>
    <s v="Julie Terrell"/>
    <x v="0"/>
    <s v="julie.terrell409@icloud.com"/>
    <s v="Polarized Sunglasses"/>
    <x v="10"/>
    <s v="Accessories"/>
    <x v="11"/>
    <n v="3"/>
    <n v="16.989999999999998"/>
    <n v="16.989999999999998"/>
    <s v="VIP15"/>
    <x v="4"/>
    <n v="7.65"/>
    <n v="7.65"/>
    <s v="Number"/>
    <n v="5.99"/>
    <n v="5.99"/>
    <s v="$49.31"/>
    <n v="49.31"/>
    <n v="49.31"/>
    <s v="True"/>
    <s v="Normal"/>
    <s v="Google Pay"/>
    <x v="0"/>
    <s v="fulfilled"/>
    <s v="Australia"/>
    <m/>
    <s v="Not Required"/>
    <s v="Port Marvinport"/>
  </r>
  <r>
    <s v="#2428"/>
    <n v="1"/>
    <d v="2026-08-04T14:00:32"/>
    <d v="2026-08-04T14:00:32"/>
    <s v="Megan Dickson"/>
    <x v="0"/>
    <s v="megan.dickson508@gmail.com"/>
    <s v="Polarized Sunglasses"/>
    <x v="10"/>
    <s v="Accessories"/>
    <x v="11"/>
    <n v="1"/>
    <n v="16.989999999999998"/>
    <n v="16.989999999999998"/>
    <s v="WELCOME10"/>
    <x v="1"/>
    <n v="1.7"/>
    <n v="1.7"/>
    <s v="Number"/>
    <n v="4.99"/>
    <n v="4.99"/>
    <n v="20.28"/>
    <n v="20.28"/>
    <n v="20.28"/>
    <s v="True"/>
    <s v="Normal"/>
    <s v="Apple Pay"/>
    <x v="3"/>
    <s v="fulfilled"/>
    <s v="United Kingdom"/>
    <m/>
    <s v="Not Required"/>
    <s v="Jessicafort"/>
  </r>
  <r>
    <s v="#2432"/>
    <n v="1"/>
    <d v="2026-08-04T00:00:00"/>
    <s v="04-08-2026 13:58"/>
    <s v="Robert Boyd"/>
    <x v="1"/>
    <m/>
    <s v="Polarized Sunglasses"/>
    <x v="10"/>
    <s v="Accessories"/>
    <x v="11"/>
    <n v="1"/>
    <n v="16.989999999999998"/>
    <n v="16.989999999999998"/>
    <s v="VIP15"/>
    <x v="4"/>
    <s v="$2.55"/>
    <n v="2.5499999999999998"/>
    <s v="Number"/>
    <n v="7.99"/>
    <n v="7.99"/>
    <n v="22.43"/>
    <n v="22.43"/>
    <n v="22.43"/>
    <s v="True"/>
    <s v="Normal"/>
    <s v="PayPal"/>
    <x v="0"/>
    <s v="pending"/>
    <s v="Canada"/>
    <m/>
    <s v="Not Required"/>
    <s v="Port Michaelton"/>
  </r>
  <r>
    <s v="#2489"/>
    <n v="1"/>
    <d v="2026-08-04T14:01:19"/>
    <d v="2026-08-04T14:01:19"/>
    <s v="Christopher Osborne"/>
    <x v="0"/>
    <s v="christopher.osborne481@yahoo.com"/>
    <s v="Polarized Sunglasses"/>
    <x v="10"/>
    <s v="Accessories"/>
    <x v="11"/>
    <n v="2"/>
    <n v="16.989999999999998"/>
    <n v="16.989999999999998"/>
    <m/>
    <x v="0"/>
    <n v="0"/>
    <n v="0"/>
    <s v="Number"/>
    <n v="7.99"/>
    <n v="7.99"/>
    <n v="41.97"/>
    <n v="41.97"/>
    <n v="41.97"/>
    <s v="True"/>
    <s v="Normal"/>
    <s v="Credit Card"/>
    <x v="0"/>
    <s v="fulfilled"/>
    <s v="United States"/>
    <s v="Florida"/>
    <s v="Valid"/>
    <s v="North Carla"/>
  </r>
  <r>
    <s v="#2496"/>
    <n v="1"/>
    <d v="2026-08-04T13:58:02"/>
    <d v="2026-08-04T13:58:02"/>
    <s v="Christopher Harris"/>
    <x v="0"/>
    <s v="christopher.harris618@yahoo.com"/>
    <s v="Polarized Sunglasses"/>
    <x v="10"/>
    <s v="Accessories"/>
    <x v="11"/>
    <n v="1"/>
    <n v="16.989999999999998"/>
    <n v="16.989999999999998"/>
    <m/>
    <x v="0"/>
    <n v="0"/>
    <n v="0"/>
    <s v="Number"/>
    <n v="4.99"/>
    <n v="4.99"/>
    <n v="21.98"/>
    <n v="21.98"/>
    <n v="21.979999999999997"/>
    <s v="True"/>
    <s v="Normal"/>
    <s v="Apple Pay"/>
    <x v="0"/>
    <s v="fulfilled"/>
    <s v="Australia"/>
    <m/>
    <s v="Not Required"/>
    <s v="Port Kristina"/>
  </r>
  <r>
    <s v="#2534"/>
    <n v="1"/>
    <d v="2026-08-04T14:06:06"/>
    <d v="2026-08-04T14:06:06"/>
    <s v="James Miller"/>
    <x v="0"/>
    <s v="james.miller866@yahoo.com"/>
    <s v="Polarized Sunglasses"/>
    <x v="10"/>
    <s v="Accessories"/>
    <x v="11"/>
    <n v="3"/>
    <n v="16.989999999999998"/>
    <n v="16.989999999999998"/>
    <s v="SAVE20"/>
    <x v="2"/>
    <n v="10.19"/>
    <n v="10.19"/>
    <s v="Number"/>
    <n v="5.99"/>
    <n v="5.99"/>
    <n v="46.77"/>
    <n v="46.77"/>
    <n v="46.77"/>
    <s v="True"/>
    <s v="Normal"/>
    <s v="Google Pay"/>
    <x v="1"/>
    <s v="pending"/>
    <s v="Pakistan"/>
    <m/>
    <s v="Not Required"/>
    <s v="South Hector"/>
  </r>
  <r>
    <s v="#2582"/>
    <n v="1"/>
    <d v="2026-08-04T14:03:06"/>
    <d v="2026-08-04T14:03:06"/>
    <s v="Kayla Cruz"/>
    <x v="0"/>
    <s v="kayla.cruz151@outlook.com"/>
    <s v="Polarized Sunglasses"/>
    <x v="10"/>
    <s v="Accessories"/>
    <x v="11"/>
    <n v="1"/>
    <n v="16.989999999999998"/>
    <n v="16.989999999999998"/>
    <s v="BFCM25"/>
    <x v="3"/>
    <n v="4.25"/>
    <n v="4.25"/>
    <s v="Number"/>
    <n v="7.99"/>
    <n v="7.99"/>
    <n v="20.73"/>
    <n v="20.73"/>
    <n v="20.729999999999997"/>
    <s v="True"/>
    <s v="Normal"/>
    <s v="PayPal"/>
    <x v="2"/>
    <s v="fulfilled"/>
    <s v="Pakistan"/>
    <m/>
    <s v="Not Required"/>
    <s v="East Raymondview"/>
  </r>
  <r>
    <s v="#2595"/>
    <n v="1"/>
    <d v="2026-08-04T14:04:56"/>
    <d v="2026-08-04T14:04:56"/>
    <s v="Dustin Mccoy"/>
    <x v="0"/>
    <s v="dustin.mccoy570@gmail.com"/>
    <s v="Polarized Sunglasses  "/>
    <x v="10"/>
    <s v="Accessories"/>
    <x v="11"/>
    <n v="1"/>
    <n v="16.989999999999998"/>
    <n v="16.989999999999998"/>
    <s v="FREESHIP"/>
    <x v="5"/>
    <n v="0"/>
    <n v="0"/>
    <s v="Number"/>
    <n v="0"/>
    <n v="0"/>
    <n v="16.989999999999998"/>
    <n v="16.989999999999998"/>
    <n v="16.989999999999998"/>
    <s v="True"/>
    <s v="Normal"/>
    <s v="Shopify Payments"/>
    <x v="0"/>
    <s v="fulfilled"/>
    <s v="Canada"/>
    <m/>
    <s v="Not Required"/>
    <s v="New Malloryburgh"/>
  </r>
  <r>
    <s v="#2603"/>
    <n v="1"/>
    <d v="2026-08-04T14:01:58"/>
    <d v="2026-08-04T14:01:58"/>
    <s v="Amanda Harris"/>
    <x v="0"/>
    <s v="amanda.harris197@gmail.com"/>
    <s v="Polarized Sunglasses"/>
    <x v="10"/>
    <s v="Accessories"/>
    <x v="11"/>
    <n v="1"/>
    <n v="16.989999999999998"/>
    <n v="16.989999999999998"/>
    <m/>
    <x v="0"/>
    <n v="0"/>
    <n v="0"/>
    <s v="Number"/>
    <n v="7.99"/>
    <n v="7.99"/>
    <n v="24.98"/>
    <n v="24.98"/>
    <n v="24.979999999999997"/>
    <s v="True"/>
    <s v="Normal"/>
    <s v="Apple Pay"/>
    <x v="1"/>
    <s v="cancelled"/>
    <s v="United States"/>
    <s v="New York"/>
    <s v="Valid"/>
    <s v="Lake Steven"/>
  </r>
  <r>
    <s v="#2641"/>
    <n v="1"/>
    <d v="2026-08-04T14:00:13"/>
    <d v="2026-08-04T14:00:13"/>
    <s v="John Carson"/>
    <x v="0"/>
    <s v="john.carson203@yahoo.com"/>
    <s v="Polarized Sunglasses"/>
    <x v="10"/>
    <s v="Accessories"/>
    <x v="11"/>
    <n v="1"/>
    <n v="16.989999999999998"/>
    <n v="16.989999999999998"/>
    <s v="FREESHIP"/>
    <x v="5"/>
    <n v="0"/>
    <n v="0"/>
    <s v="Number"/>
    <n v="0"/>
    <n v="0"/>
    <n v="16.989999999999998"/>
    <n v="16.989999999999998"/>
    <n v="16.989999999999998"/>
    <s v="True"/>
    <s v="Normal"/>
    <s v="PayPal"/>
    <x v="1"/>
    <s v="cancelled"/>
    <s v="United States"/>
    <s v="New York"/>
    <s v="Valid"/>
    <s v="Port Heathertown"/>
  </r>
  <r>
    <s v="#2650"/>
    <n v="1"/>
    <d v="2026-08-04T13:59:57"/>
    <d v="2026-08-04T13:59:57"/>
    <s v="Lauren Howard"/>
    <x v="0"/>
    <s v="lauren.howard163@icloud.com"/>
    <s v="Polarized Sunglasses"/>
    <x v="10"/>
    <s v="Accessories"/>
    <x v="11"/>
    <n v="2"/>
    <n v="16.989999999999998"/>
    <n v="16.989999999999998"/>
    <m/>
    <x v="0"/>
    <n v="0"/>
    <n v="0"/>
    <s v="Number"/>
    <n v="7.99"/>
    <n v="7.99"/>
    <n v="41.97"/>
    <n v="41.97"/>
    <n v="41.97"/>
    <s v="True"/>
    <s v="Normal"/>
    <s v="Apple Pay"/>
    <x v="2"/>
    <s v="fulfilled"/>
    <s v="United States"/>
    <s v="California"/>
    <s v="Valid"/>
    <s v="Sullivanhaven"/>
  </r>
  <r>
    <s v="#2724"/>
    <n v="1"/>
    <d v="2026-08-04T13:56:29"/>
    <d v="2026-08-04T13:56:29"/>
    <s v="Amanda Harris"/>
    <x v="0"/>
    <s v="amanda.harris197@gmail.com"/>
    <s v="Polarized Sunglasses"/>
    <x v="10"/>
    <s v="Accessories"/>
    <x v="11"/>
    <n v="1"/>
    <n v="16.989999999999998"/>
    <n v="16.989999999999998"/>
    <m/>
    <x v="0"/>
    <s v="$0.00"/>
    <n v="0"/>
    <s v="Number"/>
    <n v="7.99"/>
    <n v="7.99"/>
    <n v="24.98"/>
    <n v="24.98"/>
    <n v="24.979999999999997"/>
    <s v="True"/>
    <s v="Normal"/>
    <s v="Apple Pay"/>
    <x v="1"/>
    <s v="fulfilled"/>
    <s v="United States"/>
    <s v="California"/>
    <s v="Valid"/>
    <s v="New Hectormouth"/>
  </r>
  <r>
    <s v="#2733"/>
    <n v="1"/>
    <d v="2026-08-04T14:08:06"/>
    <d v="2026-08-04T14:08:06"/>
    <s v="Angela Martin"/>
    <x v="1"/>
    <m/>
    <s v="Polarized Sunglasses"/>
    <x v="10"/>
    <s v="Accessories"/>
    <x v="11"/>
    <n v="1"/>
    <n v="16.989999999999998"/>
    <n v="16.989999999999998"/>
    <s v="BFCM25"/>
    <x v="3"/>
    <n v="4.25"/>
    <n v="4.25"/>
    <s v="Number"/>
    <n v="5.99"/>
    <n v="5.99"/>
    <n v="18.73"/>
    <n v="18.73"/>
    <n v="18.729999999999997"/>
    <s v="True"/>
    <s v="Normal"/>
    <s v="PayPal"/>
    <x v="0"/>
    <s v="refunded"/>
    <s v="Canada"/>
    <m/>
    <s v="Not Required"/>
    <s v="Garciaville"/>
  </r>
  <r>
    <s v="#2750"/>
    <n v="1"/>
    <d v="2026-08-04T14:04:31"/>
    <d v="2026-08-04T14:04:31"/>
    <s v="Mary Garcia"/>
    <x v="0"/>
    <s v="mary.garcia899@icloud.com"/>
    <s v="Polarized Sunglasses"/>
    <x v="10"/>
    <s v="Accessories"/>
    <x v="11"/>
    <n v="4"/>
    <n v="16.989999999999998"/>
    <n v="16.989999999999998"/>
    <s v="BFCM25"/>
    <x v="3"/>
    <n v="16.989999999999998"/>
    <n v="16.989999999999998"/>
    <s v="Number"/>
    <n v="7.99"/>
    <n v="7.99"/>
    <n v="58.96"/>
    <n v="58.96"/>
    <n v="58.96"/>
    <s v="True"/>
    <s v="Normal"/>
    <s v="Shopify Payments"/>
    <x v="2"/>
    <s v="fulfilled"/>
    <s v="Canada"/>
    <m/>
    <s v="Not Required"/>
    <s v="Danielsfurt"/>
  </r>
  <r>
    <s v="#2769"/>
    <n v="1"/>
    <d v="2026-08-04T13:56:29"/>
    <d v="2026-08-04T13:56:29"/>
    <s v="Christopher Martin"/>
    <x v="0"/>
    <s v="christopher.martin10@gmail.com"/>
    <s v="Polarized Sunglasses"/>
    <x v="10"/>
    <s v="Accessories"/>
    <x v="11"/>
    <n v="1"/>
    <n v="16.989999999999998"/>
    <n v="16.989999999999998"/>
    <m/>
    <x v="0"/>
    <n v="0"/>
    <n v="0"/>
    <s v="Number"/>
    <n v="7.99"/>
    <n v="7.99"/>
    <n v="24.98"/>
    <n v="24.98"/>
    <n v="24.979999999999997"/>
    <s v="True"/>
    <s v="Normal"/>
    <s v="Credit Card"/>
    <x v="1"/>
    <s v="fulfilled"/>
    <s v="United States"/>
    <s v="Arizona"/>
    <s v="Valid"/>
    <s v="Ramosberg"/>
  </r>
  <r>
    <s v="#2770"/>
    <n v="1"/>
    <d v="2026-08-04T14:02:15"/>
    <d v="2026-08-04T14:02:15"/>
    <s v="Elizabeth Carter"/>
    <x v="0"/>
    <s v="elizabeth.carter304@icloud.com"/>
    <s v="Polarized Sunglasses"/>
    <x v="10"/>
    <s v="Accessories"/>
    <x v="11"/>
    <n v="1"/>
    <n v="16.989999999999998"/>
    <n v="16.989999999999998"/>
    <m/>
    <x v="0"/>
    <n v="0"/>
    <n v="0"/>
    <s v="Number"/>
    <n v="5.99"/>
    <n v="5.99"/>
    <n v="22.98"/>
    <n v="22.98"/>
    <n v="22.979999999999997"/>
    <s v="True"/>
    <s v="Normal"/>
    <s v="PayPal"/>
    <x v="3"/>
    <s v="fulfilled"/>
    <s v="Canada"/>
    <m/>
    <s v="Not Required"/>
    <s v="West Lynn"/>
  </r>
  <r>
    <s v="#2773"/>
    <n v="1"/>
    <d v="2026-08-04T00:00:00"/>
    <s v="Aug 04, 2026"/>
    <s v="Zachary Hanson"/>
    <x v="1"/>
    <m/>
    <s v="Polarized Sunglasses"/>
    <x v="10"/>
    <s v="Accessories"/>
    <x v="11"/>
    <n v="1"/>
    <n v="16.989999999999998"/>
    <n v="16.989999999999998"/>
    <s v="BFCM25"/>
    <x v="3"/>
    <n v="4.25"/>
    <n v="4.25"/>
    <s v="Number"/>
    <n v="4.99"/>
    <n v="4.99"/>
    <n v="17.73"/>
    <n v="17.73"/>
    <n v="17.729999999999997"/>
    <s v="True"/>
    <s v="Normal"/>
    <s v="Credit Card"/>
    <x v="3"/>
    <s v="pending"/>
    <s v="United States"/>
    <s v="Georgia"/>
    <s v="Valid"/>
    <s v="Gregoryland"/>
  </r>
  <r>
    <s v="#2787"/>
    <n v="1"/>
    <d v="2026-08-04T14:04:53"/>
    <d v="2026-08-04T14:04:53"/>
    <s v="Christopher Harrington"/>
    <x v="0"/>
    <s v="christopher.harrington960@gmail.com"/>
    <s v="Polarized Sunglasses"/>
    <x v="10"/>
    <s v="Accessories"/>
    <x v="11"/>
    <n v="1"/>
    <n v="16.989999999999998"/>
    <n v="16.989999999999998"/>
    <s v="BFCM25"/>
    <x v="3"/>
    <n v="4.25"/>
    <n v="4.25"/>
    <s v="Number"/>
    <n v="7.99"/>
    <n v="7.99"/>
    <n v="20.73"/>
    <n v="20.73"/>
    <n v="20.729999999999997"/>
    <s v="True"/>
    <s v="Normal"/>
    <s v="Google Pay"/>
    <x v="1"/>
    <s v="fulfilled"/>
    <s v="Australia"/>
    <m/>
    <s v="Not Required"/>
    <s v="South Stacie"/>
  </r>
  <r>
    <s v="#2790"/>
    <n v="1"/>
    <d v="2026-08-04T13:55:21"/>
    <d v="2026-08-04T13:55:21"/>
    <s v="Nancy Nichols"/>
    <x v="0"/>
    <s v="nancy.nichols189@yahoo.com"/>
    <s v="Polarized Sunglasses"/>
    <x v="10"/>
    <s v="Accessories"/>
    <x v="11"/>
    <n v="1"/>
    <n v="16.989999999999998"/>
    <n v="16.989999999999998"/>
    <s v="SAVE20"/>
    <x v="2"/>
    <n v="3.4"/>
    <n v="3.4"/>
    <s v="Number"/>
    <n v="7.99"/>
    <n v="7.99"/>
    <n v="21.58"/>
    <n v="21.58"/>
    <n v="21.58"/>
    <s v="True"/>
    <s v="Normal"/>
    <s v="Apple Pay"/>
    <x v="3"/>
    <s v="cancelled"/>
    <s v="United States"/>
    <s v="North Carolina"/>
    <s v="Valid"/>
    <s v="Thompsonton"/>
  </r>
  <r>
    <s v="#2822"/>
    <n v="1"/>
    <d v="2026-08-04T14:04:28"/>
    <d v="2026-08-04T14:04:28"/>
    <s v="Christopher Osborne"/>
    <x v="0"/>
    <s v="christopher.osborne481@yahoo.com"/>
    <s v="Polarized Sunglasses"/>
    <x v="10"/>
    <s v="Accessories"/>
    <x v="11"/>
    <n v="3"/>
    <n v="16.989999999999998"/>
    <n v="16.989999999999998"/>
    <s v="FREESHIP"/>
    <x v="5"/>
    <n v="0"/>
    <n v="0"/>
    <s v="Number"/>
    <n v="0"/>
    <n v="0"/>
    <n v="50.97"/>
    <n v="50.97"/>
    <n v="50.97"/>
    <s v="True"/>
    <s v="Normal"/>
    <s v="Google Pay"/>
    <x v="3"/>
    <s v="fulfilled"/>
    <s v="United States"/>
    <s v="California"/>
    <s v="Valid"/>
    <s v="Smithhaven"/>
  </r>
  <r>
    <s v="#2909"/>
    <n v="1"/>
    <d v="2026-08-04T13:55:03"/>
    <d v="2026-08-04T13:55:03"/>
    <s v="Kristina Cook"/>
    <x v="0"/>
    <s v="kristina.cook392@outlook.com"/>
    <s v="Polarized Sunglasses"/>
    <x v="10"/>
    <s v="Accessories"/>
    <x v="11"/>
    <n v="1"/>
    <n v="16.989999999999998"/>
    <n v="16.989999999999998"/>
    <m/>
    <x v="0"/>
    <n v="0"/>
    <n v="0"/>
    <s v="Number"/>
    <n v="4.99"/>
    <n v="4.99"/>
    <n v="21.98"/>
    <n v="21.98"/>
    <n v="21.979999999999997"/>
    <s v="True"/>
    <s v="Normal"/>
    <s v="Apple Pay"/>
    <x v="2"/>
    <s v="fulfilled"/>
    <s v="United States"/>
    <s v="New York"/>
    <s v="Valid"/>
    <s v="Port Melissa"/>
  </r>
  <r>
    <s v="#2936"/>
    <n v="1"/>
    <d v="2026-08-04T14:06:12"/>
    <d v="2026-08-04T14:06:12"/>
    <s v="Karen Bautista"/>
    <x v="0"/>
    <s v="karen.bautista779@icloud.com"/>
    <s v="Polarized Sunglasses"/>
    <x v="10"/>
    <s v="Accessories"/>
    <x v="11"/>
    <n v="2"/>
    <n v="16.989999999999998"/>
    <n v="16.989999999999998"/>
    <s v="WELCOME10"/>
    <x v="1"/>
    <n v="3.4"/>
    <n v="3.4"/>
    <s v="Number"/>
    <n v="5.99"/>
    <n v="5.99"/>
    <n v="36.57"/>
    <n v="36.57"/>
    <n v="36.57"/>
    <s v="True"/>
    <s v="Normal"/>
    <s v="Credit Card"/>
    <x v="1"/>
    <s v="pending"/>
    <s v="United States"/>
    <s v="TX"/>
    <s v="Valid"/>
    <s v="Pennymouth"/>
  </r>
  <r>
    <s v="#2974"/>
    <n v="1"/>
    <d v="2026-04-08T00:00:00"/>
    <s v="08/04/2026"/>
    <s v="Dawn Randolph"/>
    <x v="0"/>
    <s v="dawn.randolph179@icloud.com"/>
    <s v="Polarized Sunglasses"/>
    <x v="10"/>
    <s v="Accessories"/>
    <x v="11"/>
    <n v="2"/>
    <n v="16.989999999999998"/>
    <n v="16.989999999999998"/>
    <s v="SAVE20"/>
    <x v="2"/>
    <n v="6.8"/>
    <n v="6.8"/>
    <s v="Number"/>
    <n v="5.99"/>
    <n v="5.99"/>
    <n v="33.17"/>
    <n v="33.17"/>
    <n v="33.169999999999995"/>
    <s v="True"/>
    <s v="Normal"/>
    <s v="Credit Card"/>
    <x v="2"/>
    <s v="fulfilled"/>
    <s v="Pakistan"/>
    <m/>
    <s v="Not Required"/>
    <s v="Meganhaven"/>
  </r>
  <r>
    <s v="#2975"/>
    <n v="1"/>
    <d v="2026-08-04T14:06:14"/>
    <d v="2026-08-04T14:06:14"/>
    <s v="Timothy Hodges"/>
    <x v="0"/>
    <s v="timothy.hodges687@icloud.com"/>
    <s v="Polarized Sunglasses"/>
    <x v="10"/>
    <s v="Accessories"/>
    <x v="11"/>
    <n v="1"/>
    <n v="16.989999999999998"/>
    <n v="16.989999999999998"/>
    <s v="FREESHIP"/>
    <x v="5"/>
    <n v="0"/>
    <n v="0"/>
    <s v="Number"/>
    <n v="0"/>
    <n v="0"/>
    <n v="16.989999999999998"/>
    <n v="16.989999999999998"/>
    <n v="16.989999999999998"/>
    <s v="True"/>
    <s v="Normal"/>
    <s v="PayPal"/>
    <x v="2"/>
    <s v="fulfilled"/>
    <s v="Australia"/>
    <m/>
    <s v="Not Required"/>
    <s v="Neilburgh"/>
  </r>
  <r>
    <s v="#1002"/>
    <n v="1"/>
    <d v="2026-08-04T14:00:14"/>
    <d v="2026-08-04T14:00:14"/>
    <s v="Miranda Gray"/>
    <x v="0"/>
    <s v="miranda.gray649@yahoo.com"/>
    <s v="Portable Power Bank 10000mAh"/>
    <x v="11"/>
    <s v="Electronics"/>
    <x v="12"/>
    <n v="1"/>
    <n v="21.99"/>
    <n v="21.99"/>
    <s v="FREESHIP"/>
    <x v="5"/>
    <n v="0"/>
    <n v="0"/>
    <s v="Number"/>
    <n v="0"/>
    <n v="0"/>
    <n v="21.99"/>
    <n v="21.99"/>
    <n v="21.99"/>
    <s v="True"/>
    <s v="Normal"/>
    <s v="Shopify Payments"/>
    <x v="3"/>
    <s v="refunded"/>
    <s v="Pakistan"/>
    <m/>
    <s v="Not Required"/>
    <s v="Port Davidshire"/>
  </r>
  <r>
    <s v="#1066"/>
    <n v="1"/>
    <d v="2026-08-04T14:01:57"/>
    <d v="2026-08-04T14:01:57"/>
    <s v="Kristen Aguirre"/>
    <x v="0"/>
    <s v="kristen.aguirre898@gmail.com"/>
    <s v="Portable Power Bank 10000mAh"/>
    <x v="11"/>
    <s v="Electronics"/>
    <x v="12"/>
    <n v="2"/>
    <n v="21.99"/>
    <n v="21.99"/>
    <s v="FREESHIP"/>
    <x v="5"/>
    <n v="0"/>
    <n v="0"/>
    <s v="Number"/>
    <n v="0"/>
    <n v="0"/>
    <n v="43.98"/>
    <n v="43.98"/>
    <n v="43.98"/>
    <s v="True"/>
    <s v="Normal"/>
    <s v="Credit Card"/>
    <x v="0"/>
    <s v="fulfilled"/>
    <s v="Germany"/>
    <m/>
    <s v="Not Required"/>
    <s v="Dennisborough"/>
  </r>
  <r>
    <s v="#1102"/>
    <n v="1"/>
    <d v="2026-08-04T13:57:18"/>
    <d v="2026-08-04T13:57:18"/>
    <s v="Michele Davis"/>
    <x v="0"/>
    <s v="michele.davis844@gmail.com"/>
    <s v="Portable Power Bank 10000mAh"/>
    <x v="11"/>
    <s v="Electronics"/>
    <x v="12"/>
    <n v="1"/>
    <n v="21.99"/>
    <n v="21.99"/>
    <m/>
    <x v="0"/>
    <n v="0"/>
    <n v="0"/>
    <s v="Number"/>
    <n v="5.99"/>
    <n v="5.99"/>
    <n v="27.98"/>
    <n v="27.98"/>
    <n v="27.979999999999997"/>
    <s v="True"/>
    <s v="Normal"/>
    <s v="PayPal"/>
    <x v="2"/>
    <s v="refunded"/>
    <s v="Australia"/>
    <m/>
    <s v="Not Required"/>
    <s v="Port Melissa"/>
  </r>
  <r>
    <s v="#1109"/>
    <n v="1"/>
    <d v="2026-08-04T13:57:49"/>
    <d v="2026-08-04T13:57:49"/>
    <s v="Emily Hicks"/>
    <x v="0"/>
    <s v="emily.hicks49@outlook.com"/>
    <s v="Portable Power Bank 10000mAh"/>
    <x v="11"/>
    <s v="Electronics"/>
    <x v="12"/>
    <n v="2"/>
    <n v="21.99"/>
    <n v="21.99"/>
    <s v="FREESHIP"/>
    <x v="5"/>
    <n v="0"/>
    <n v="0"/>
    <s v="Number"/>
    <n v="0"/>
    <n v="0"/>
    <s v="$43.98"/>
    <n v="43.98"/>
    <n v="43.98"/>
    <s v="True"/>
    <s v="Normal"/>
    <s v="Google Pay"/>
    <x v="0"/>
    <s v="pending"/>
    <s v="Germany"/>
    <m/>
    <s v="Not Required"/>
    <s v="Kendrafurt"/>
  </r>
  <r>
    <s v="#1115"/>
    <n v="1"/>
    <d v="2026-08-04T13:56:20"/>
    <d v="2026-08-04T13:56:20"/>
    <s v="Tina Crane"/>
    <x v="0"/>
    <s v="tina.crane554@gmail.com"/>
    <s v="Portable Power Bank 10000mAh"/>
    <x v="11"/>
    <s v="Electronics"/>
    <x v="12"/>
    <n v="2"/>
    <s v="$21.99"/>
    <n v="21.99"/>
    <s v="FREESHIP"/>
    <x v="5"/>
    <n v="0"/>
    <n v="0"/>
    <s v="Number"/>
    <n v="0"/>
    <n v="0"/>
    <n v="43.98"/>
    <n v="43.98"/>
    <n v="43.98"/>
    <s v="True"/>
    <s v="Normal"/>
    <s v="Google Pay"/>
    <x v="0"/>
    <s v="fulfilled"/>
    <s v="United Kingdom"/>
    <m/>
    <s v="Not Required"/>
    <s v="Elizabethhaven"/>
  </r>
  <r>
    <s v="#1166"/>
    <n v="1"/>
    <d v="2026-04-08T00:00:00"/>
    <s v="08/04/2026"/>
    <s v="Mary Garcia"/>
    <x v="1"/>
    <m/>
    <s v="Portable Power Bank 10000mAh"/>
    <x v="11"/>
    <s v="Electronics"/>
    <x v="12"/>
    <n v="1"/>
    <s v="$21.99"/>
    <n v="21.99"/>
    <s v="SAVE20"/>
    <x v="2"/>
    <n v="4.4000000000000004"/>
    <n v="4.4000000000000004"/>
    <s v="Number"/>
    <n v="7.99"/>
    <n v="7.99"/>
    <n v="25.58"/>
    <n v="25.58"/>
    <n v="25.58"/>
    <s v="True"/>
    <s v="Normal"/>
    <s v="Shopify Payments"/>
    <x v="0"/>
    <s v="refunded"/>
    <s v="Canada"/>
    <m/>
    <s v="Not Required"/>
    <s v="Hawkinsborough"/>
  </r>
  <r>
    <s v="#1170"/>
    <n v="1"/>
    <d v="2026-04-08T00:00:00"/>
    <s v="08/04/2026"/>
    <s v="Philip Stevens"/>
    <x v="0"/>
    <s v="philip.stevens908@outlook.com"/>
    <s v="Portable Power Bank 10000mAh"/>
    <x v="11"/>
    <s v="Electronics"/>
    <x v="12"/>
    <n v="3"/>
    <n v="21.99"/>
    <n v="21.99"/>
    <m/>
    <x v="0"/>
    <n v="0"/>
    <n v="0"/>
    <s v="Number"/>
    <n v="7.99"/>
    <n v="7.99"/>
    <n v="73.959999999999994"/>
    <n v="73.959999999999994"/>
    <n v="73.959999999999994"/>
    <s v="True"/>
    <s v="Normal"/>
    <s v="Shopify Payments"/>
    <x v="1"/>
    <s v="fulfilled"/>
    <s v="United States"/>
    <s v="Georgia"/>
    <s v="Valid"/>
    <s v="Jessicaville"/>
  </r>
  <r>
    <s v="#1179"/>
    <n v="1"/>
    <d v="2026-08-04T14:01:28"/>
    <d v="2026-08-04T14:01:28"/>
    <s v="Cody Murray"/>
    <x v="0"/>
    <s v="cody.murray456@gmail.com"/>
    <s v="Portable Power Bank 10000mAh"/>
    <x v="11"/>
    <s v="Electronics"/>
    <x v="12"/>
    <n v="1"/>
    <n v="21.99"/>
    <n v="21.99"/>
    <m/>
    <x v="0"/>
    <n v="0"/>
    <n v="0"/>
    <s v="Number"/>
    <n v="4.99"/>
    <n v="4.99"/>
    <n v="26.98"/>
    <n v="26.98"/>
    <n v="26.979999999999997"/>
    <s v="True"/>
    <s v="Normal"/>
    <s v="Apple Pay"/>
    <x v="2"/>
    <s v="fulfilled"/>
    <s v="United Kingdom"/>
    <m/>
    <s v="Not Required"/>
    <s v="Bellfurt"/>
  </r>
  <r>
    <s v="#1186"/>
    <n v="1"/>
    <d v="2026-08-04T14:06:44"/>
    <d v="2026-08-04T14:06:44"/>
    <s v="Patrick Richardson"/>
    <x v="0"/>
    <s v="patrick.richardson270@icloud.com"/>
    <s v="Portable Power Bank 10000mAh"/>
    <x v="11"/>
    <s v="Electronics"/>
    <x v="12"/>
    <n v="1"/>
    <n v="21.99"/>
    <n v="21.99"/>
    <m/>
    <x v="0"/>
    <n v="0"/>
    <n v="0"/>
    <s v="Number"/>
    <n v="4.99"/>
    <n v="4.99"/>
    <n v="26.98"/>
    <n v="26.98"/>
    <n v="26.979999999999997"/>
    <s v="True"/>
    <s v="Normal"/>
    <s v="Shopify Payments"/>
    <x v="0"/>
    <s v="refunded"/>
    <s v="United States"/>
    <s v="Illinois"/>
    <s v="Valid"/>
    <s v="Timothyhaven"/>
  </r>
  <r>
    <s v="#1190"/>
    <n v="1"/>
    <d v="2026-04-08T00:00:00"/>
    <s v="08/04/2026"/>
    <s v="John Hoffman"/>
    <x v="0"/>
    <s v="john.hoffman175@gmail.com"/>
    <s v="Portable Power Bank 10000mAh"/>
    <x v="11"/>
    <s v="Electronics"/>
    <x v="12"/>
    <n v="1"/>
    <n v="21.99"/>
    <n v="21.99"/>
    <s v="WELCOME10"/>
    <x v="1"/>
    <n v="2.2000000000000002"/>
    <n v="2.2000000000000002"/>
    <s v="Number"/>
    <n v="7.99"/>
    <n v="7.99"/>
    <n v="27.78"/>
    <n v="27.78"/>
    <n v="27.78"/>
    <s v="True"/>
    <s v="Normal"/>
    <s v="Credit Card"/>
    <x v="2"/>
    <s v="fulfilled"/>
    <s v="United States"/>
    <s v="California"/>
    <s v="Valid"/>
    <s v="West Jenniferfurt"/>
  </r>
  <r>
    <s v="#1258"/>
    <n v="1"/>
    <d v="2026-08-04T14:03:50"/>
    <d v="2026-08-04T14:03:50"/>
    <s v="Samuel Padilla"/>
    <x v="0"/>
    <s v="samuel.padilla79@gmail.com"/>
    <s v="Portable Power Bank 10000mAh"/>
    <x v="11"/>
    <s v="Electronics"/>
    <x v="12"/>
    <n v="1"/>
    <n v="21.99"/>
    <n v="21.99"/>
    <m/>
    <x v="0"/>
    <n v="0"/>
    <n v="0"/>
    <s v="Number"/>
    <n v="5.99"/>
    <n v="5.99"/>
    <n v="27.98"/>
    <n v="27.98"/>
    <n v="27.979999999999997"/>
    <s v="True"/>
    <s v="Normal"/>
    <s v="Shopify Payments"/>
    <x v="0"/>
    <s v="fulfilled"/>
    <s v="United States"/>
    <s v="Arizona"/>
    <s v="Valid"/>
    <s v="Collinsborough"/>
  </r>
  <r>
    <s v="#1266"/>
    <n v="1"/>
    <d v="2026-08-04T14:01:32"/>
    <d v="2026-08-04T14:01:32"/>
    <s v="  Laura Pruitt"/>
    <x v="1"/>
    <m/>
    <s v="Portable Power Bank 10000mAh"/>
    <x v="11"/>
    <s v="Electronics"/>
    <x v="12"/>
    <n v="1"/>
    <n v="21.99"/>
    <n v="21.99"/>
    <s v="VIP15"/>
    <x v="4"/>
    <n v="3.3"/>
    <n v="3.3"/>
    <s v="Number"/>
    <n v="4.99"/>
    <n v="4.99"/>
    <s v="$23.68"/>
    <n v="23.68"/>
    <n v="23.68"/>
    <s v="True"/>
    <s v="Normal"/>
    <s v="Google Pay"/>
    <x v="0"/>
    <s v="fulfilled"/>
    <s v="United States"/>
    <s v="Florida"/>
    <s v="Valid"/>
    <s v="Steveshire"/>
  </r>
  <r>
    <s v="#1318"/>
    <n v="1"/>
    <d v="2026-04-08T00:00:00"/>
    <s v="08/04/2026"/>
    <s v="Sarah Webb"/>
    <x v="0"/>
    <s v="sarah.webb997@outlook.com"/>
    <s v="Portable Power Bank 10000mAh"/>
    <x v="11"/>
    <s v="Electronics"/>
    <x v="12"/>
    <n v="1"/>
    <n v="21.99"/>
    <n v="21.99"/>
    <s v="WELCOME10"/>
    <x v="1"/>
    <n v="2.2000000000000002"/>
    <n v="2.2000000000000002"/>
    <s v="Number"/>
    <n v="7.99"/>
    <n v="7.99"/>
    <n v="27.78"/>
    <n v="27.78"/>
    <n v="27.78"/>
    <s v="True"/>
    <s v="Normal"/>
    <s v="Google Pay"/>
    <x v="0"/>
    <s v="fulfilled"/>
    <s v="Germany"/>
    <m/>
    <s v="Not Required"/>
    <s v="Lake Ariel"/>
  </r>
  <r>
    <s v="#1349"/>
    <n v="1"/>
    <d v="2026-08-04T13:54:43"/>
    <d v="2026-08-04T13:54:43"/>
    <s v="Alison Schroeder"/>
    <x v="0"/>
    <s v="alison.schroeder943@icloud.com"/>
    <s v="Portable Power Bank 10000mAh"/>
    <x v="11"/>
    <s v="Electronics"/>
    <x v="12"/>
    <n v="1"/>
    <n v="21.99"/>
    <n v="21.99"/>
    <s v="SAVE20"/>
    <x v="2"/>
    <n v="4.4000000000000004"/>
    <n v="4.4000000000000004"/>
    <s v="Number"/>
    <n v="5.99"/>
    <n v="5.99"/>
    <n v="23.58"/>
    <n v="23.58"/>
    <n v="23.58"/>
    <s v="True"/>
    <s v="Normal"/>
    <s v="PayPal"/>
    <x v="3"/>
    <s v="fulfilled"/>
    <s v="Australia"/>
    <m/>
    <s v="Not Required"/>
    <s v="Terranceburgh"/>
  </r>
  <r>
    <s v="#1352"/>
    <n v="1"/>
    <d v="2026-08-04T13:59:27"/>
    <d v="2026-08-04T13:59:27"/>
    <s v="Jon Lambert"/>
    <x v="0"/>
    <s v="jon.lambert231@icloud.com"/>
    <s v="Portable Power Bank 10000mAh"/>
    <x v="11"/>
    <s v="Electronics"/>
    <x v="12"/>
    <n v="2"/>
    <n v="21.99"/>
    <n v="21.99"/>
    <m/>
    <x v="0"/>
    <n v="0"/>
    <n v="0"/>
    <s v="Number"/>
    <n v="5.99"/>
    <n v="5.99"/>
    <n v="49.97"/>
    <n v="49.97"/>
    <n v="49.97"/>
    <s v="True"/>
    <s v="Normal"/>
    <s v="Google Pay"/>
    <x v="0"/>
    <s v="refunded"/>
    <s v="United States"/>
    <s v="California"/>
    <s v="Valid"/>
    <s v="Alexanderfort"/>
  </r>
  <r>
    <s v="#1360"/>
    <n v="1"/>
    <d v="2026-08-04T14:05:32"/>
    <d v="2026-08-04T14:05:32"/>
    <s v="Christopher Harris"/>
    <x v="0"/>
    <s v="christopher.harris618@yahoo.com"/>
    <s v="Portable Power Bank 10000mAh"/>
    <x v="11"/>
    <s v="Electronics"/>
    <x v="12"/>
    <n v="1"/>
    <n v="21.99"/>
    <n v="21.99"/>
    <m/>
    <x v="0"/>
    <n v="0"/>
    <n v="0"/>
    <s v="Number"/>
    <n v="5.99"/>
    <n v="5.99"/>
    <n v="27.98"/>
    <n v="27.98"/>
    <n v="27.979999999999997"/>
    <s v="True"/>
    <s v="Normal"/>
    <s v="Google Pay"/>
    <x v="0"/>
    <s v="fulfilled"/>
    <s v="Australia"/>
    <m/>
    <s v="Not Required"/>
    <s v="Barnesmouth"/>
  </r>
  <r>
    <s v="#1365"/>
    <n v="1"/>
    <d v="2026-04-08T00:00:00"/>
    <s v="08/04/2026"/>
    <s v="James Miller"/>
    <x v="0"/>
    <s v="james.miller866@yahoo.com"/>
    <s v="Portable Power Bank 10000mAh"/>
    <x v="11"/>
    <s v="Electronics"/>
    <x v="12"/>
    <n v="1"/>
    <n v="21.99"/>
    <n v="21.99"/>
    <s v="WELCOME10"/>
    <x v="1"/>
    <n v="2.2000000000000002"/>
    <n v="2.2000000000000002"/>
    <s v="Number"/>
    <n v="7.99"/>
    <n v="7.99"/>
    <n v="27.78"/>
    <n v="27.78"/>
    <n v="27.78"/>
    <s v="True"/>
    <s v="Normal"/>
    <s v="Credit Card"/>
    <x v="3"/>
    <s v="pending"/>
    <s v="Pakistan"/>
    <m/>
    <s v="Not Required"/>
    <s v="Lake Kaitlyn"/>
  </r>
  <r>
    <s v="#1386"/>
    <n v="1"/>
    <d v="2026-08-04T14:03:21"/>
    <d v="2026-08-04T14:03:21"/>
    <s v="Vincent Rosales"/>
    <x v="0"/>
    <s v="vincent.rosales30@icloud.com"/>
    <s v="Portable Power Bank 10000mAh"/>
    <x v="11"/>
    <s v="Electronics"/>
    <x v="12"/>
    <n v="1"/>
    <n v="21.99"/>
    <n v="21.99"/>
    <s v="BFCM25"/>
    <x v="3"/>
    <n v="5.5"/>
    <n v="5.5"/>
    <s v="Number"/>
    <n v="7.99"/>
    <n v="7.99"/>
    <n v="24.48"/>
    <n v="24.48"/>
    <n v="24.479999999999997"/>
    <s v="True"/>
    <s v="Normal"/>
    <s v="PayPal"/>
    <x v="3"/>
    <s v="fulfilled"/>
    <s v="United States"/>
    <s v="Texas"/>
    <s v="Valid"/>
    <s v="North Wendyview"/>
  </r>
  <r>
    <s v="#1388"/>
    <n v="1"/>
    <d v="2026-04-08T00:00:00"/>
    <s v="08/04/2026"/>
    <s v="kimberly estrada"/>
    <x v="1"/>
    <m/>
    <s v="Portable Power Bank 10000mAh"/>
    <x v="11"/>
    <s v="Electronics"/>
    <x v="12"/>
    <n v="3"/>
    <n v="21.99"/>
    <n v="21.99"/>
    <m/>
    <x v="0"/>
    <n v="0"/>
    <n v="0"/>
    <s v="Number"/>
    <n v="4.99"/>
    <n v="4.99"/>
    <n v="70.959999999999994"/>
    <n v="70.959999999999994"/>
    <n v="70.959999999999994"/>
    <s v="True"/>
    <s v="Normal"/>
    <s v="Apple Pay"/>
    <x v="1"/>
    <s v="fulfilled"/>
    <s v="Canada"/>
    <m/>
    <s v="Not Required"/>
    <s v="Josephbury"/>
  </r>
  <r>
    <s v="#1394"/>
    <n v="1"/>
    <d v="2026-08-04T14:04:13"/>
    <d v="2026-08-04T14:04:13"/>
    <s v="Michael Hays"/>
    <x v="0"/>
    <s v="michael.hays590@gmail.com"/>
    <s v="Portable Power Bank 10000mAh"/>
    <x v="11"/>
    <s v="Electronics"/>
    <x v="12"/>
    <n v="4"/>
    <n v="21.99"/>
    <n v="21.99"/>
    <m/>
    <x v="0"/>
    <n v="0"/>
    <n v="0"/>
    <s v="Number"/>
    <n v="0"/>
    <n v="0"/>
    <n v="87.96"/>
    <n v="87.96"/>
    <n v="87.96"/>
    <s v="True"/>
    <s v="Outlier"/>
    <s v="Google Pay"/>
    <x v="0"/>
    <s v="refunded"/>
    <s v="United States"/>
    <s v="North Carolina"/>
    <s v="Valid"/>
    <s v="New Richard"/>
  </r>
  <r>
    <s v="#1417"/>
    <n v="1"/>
    <d v="2026-08-04T14:03:39"/>
    <d v="2026-08-04T14:03:39"/>
    <s v="Barbara Brown"/>
    <x v="0"/>
    <s v="barbara.brown26@gmail.com"/>
    <s v="Portable Power Bank 10000mAh"/>
    <x v="11"/>
    <s v="Electronics"/>
    <x v="12"/>
    <n v="1"/>
    <n v="21.99"/>
    <n v="21.99"/>
    <s v="BFCM25"/>
    <x v="3"/>
    <s v="$5.50"/>
    <n v="5.5"/>
    <s v="Number"/>
    <n v="7.99"/>
    <n v="7.99"/>
    <n v="24.48"/>
    <n v="24.48"/>
    <n v="24.479999999999997"/>
    <s v="True"/>
    <s v="Normal"/>
    <s v="PayPal"/>
    <x v="2"/>
    <s v="fulfilled"/>
    <s v="United States"/>
    <s v="Georgia"/>
    <s v="Valid"/>
    <s v="South John"/>
  </r>
  <r>
    <s v="#1466"/>
    <n v="1"/>
    <d v="2026-08-04T13:57:03"/>
    <d v="2026-08-04T13:57:03"/>
    <s v="Joshua Miller"/>
    <x v="0"/>
    <s v="joshua.miller362@gmail.com"/>
    <s v="Portable Power Bank 10000mAh"/>
    <x v="11"/>
    <s v="Electronics"/>
    <x v="12"/>
    <n v="1"/>
    <n v="21.99"/>
    <n v="21.99"/>
    <m/>
    <x v="0"/>
    <n v="0"/>
    <n v="0"/>
    <s v="Number"/>
    <n v="7.99"/>
    <n v="7.99"/>
    <n v="29.98"/>
    <n v="29.98"/>
    <n v="29.979999999999997"/>
    <s v="True"/>
    <s v="Normal"/>
    <s v="Shopify Payments"/>
    <x v="2"/>
    <s v="cancelled"/>
    <s v="Canada"/>
    <m/>
    <s v="Not Required"/>
    <s v="Ramirezland"/>
  </r>
  <r>
    <s v="#1490"/>
    <n v="1"/>
    <d v="2026-08-04T14:03:30"/>
    <d v="2026-08-04T14:03:30"/>
    <s v="Sandra Wilson"/>
    <x v="0"/>
    <s v="sandra.wilson840@outlook.com"/>
    <s v="Portable Power Bank 10000mAh"/>
    <x v="11"/>
    <s v="Electronics"/>
    <x v="12"/>
    <n v="3"/>
    <n v="21.99"/>
    <n v="21.99"/>
    <m/>
    <x v="0"/>
    <n v="0"/>
    <n v="0"/>
    <s v="Number"/>
    <n v="4.99"/>
    <n v="4.99"/>
    <n v="70.959999999999994"/>
    <n v="70.959999999999994"/>
    <n v="70.959999999999994"/>
    <s v="True"/>
    <s v="Normal"/>
    <s v="PayPal"/>
    <x v="0"/>
    <s v="fulfilled"/>
    <s v="United States"/>
    <s v="Canada"/>
    <s v="Valid"/>
    <s v="Owenside"/>
  </r>
  <r>
    <s v="#1569"/>
    <n v="1"/>
    <d v="2026-08-04T13:54:17"/>
    <d v="2026-08-04T13:54:17"/>
    <s v="Robert Boyd"/>
    <x v="0"/>
    <s v="robert.boyd184@yahoo.com"/>
    <s v="Portable Power Bank 10000mAh"/>
    <x v="11"/>
    <s v="Electronics"/>
    <x v="12"/>
    <n v="1"/>
    <n v="21.99"/>
    <n v="21.99"/>
    <s v="WELCOME10"/>
    <x v="1"/>
    <n v="2.2000000000000002"/>
    <n v="2.2000000000000002"/>
    <s v="Number"/>
    <n v="5.99"/>
    <n v="5.99"/>
    <n v="25.78"/>
    <n v="25.78"/>
    <n v="25.78"/>
    <s v="True"/>
    <s v="Normal"/>
    <s v="Google Pay"/>
    <x v="0"/>
    <s v="pending"/>
    <s v="Canada"/>
    <m/>
    <s v="Not Required"/>
    <s v="New Davidmouth"/>
  </r>
  <r>
    <s v="#1602"/>
    <n v="1"/>
    <d v="2026-08-04T14:04:05"/>
    <d v="2026-08-04T14:04:05"/>
    <s v="Sarah Hart"/>
    <x v="0"/>
    <s v="sarah.hart267@yahoo.com"/>
    <s v="Portable Power Bank 10000mAh"/>
    <x v="11"/>
    <s v="Electronics"/>
    <x v="12"/>
    <n v="1"/>
    <s v="$21.99"/>
    <n v="21.99"/>
    <s v="SAVE20"/>
    <x v="2"/>
    <n v="4.4000000000000004"/>
    <n v="4.4000000000000004"/>
    <s v="Number"/>
    <n v="4.99"/>
    <n v="4.99"/>
    <n v="22.58"/>
    <n v="22.58"/>
    <n v="22.58"/>
    <s v="True"/>
    <s v="Normal"/>
    <s v="Shopify Payments"/>
    <x v="0"/>
    <s v="fulfilled"/>
    <s v="United Kingdom"/>
    <m/>
    <s v="Not Required"/>
    <s v="Alexisville"/>
  </r>
  <r>
    <s v="#1626"/>
    <n v="1"/>
    <d v="2026-04-08T00:00:00"/>
    <s v="08/04/2026"/>
    <s v="AMANDA HARRIS"/>
    <x v="0"/>
    <s v="amanda.harris197@gmail.com"/>
    <s v="Portable Power Bank 10000mAh"/>
    <x v="11"/>
    <s v="Electronics"/>
    <x v="12"/>
    <n v="2"/>
    <n v="21.99"/>
    <n v="21.99"/>
    <m/>
    <x v="0"/>
    <n v="0"/>
    <n v="0"/>
    <s v="Number"/>
    <n v="4.99"/>
    <n v="4.99"/>
    <n v="48.97"/>
    <n v="48.97"/>
    <n v="48.97"/>
    <s v="True"/>
    <s v="Normal"/>
    <s v="Apple Pay"/>
    <x v="2"/>
    <s v="fulfilled"/>
    <s v="United States"/>
    <s v="Illinois"/>
    <s v="Valid"/>
    <s v="Jenniferborough"/>
  </r>
  <r>
    <s v="#1657"/>
    <n v="1"/>
    <d v="2026-08-04T14:04:28"/>
    <d v="2026-08-04T14:04:28"/>
    <s v="George Green"/>
    <x v="1"/>
    <m/>
    <s v="Portable Power Bank 10000mAh"/>
    <x v="11"/>
    <s v="Electronics"/>
    <x v="12"/>
    <n v="1"/>
    <n v="21.99"/>
    <n v="21.99"/>
    <m/>
    <x v="0"/>
    <n v="0"/>
    <n v="0"/>
    <s v="Number"/>
    <n v="7.99"/>
    <n v="7.99"/>
    <n v="29.98"/>
    <n v="29.98"/>
    <n v="29.979999999999997"/>
    <s v="True"/>
    <s v="Normal"/>
    <s v="Google Pay"/>
    <x v="1"/>
    <s v="fulfilled"/>
    <s v="United States"/>
    <s v="North Carolina"/>
    <s v="Valid"/>
    <s v="Port Williamstad"/>
  </r>
  <r>
    <s v="#1713"/>
    <n v="1"/>
    <d v="2026-08-04T14:03:19"/>
    <d v="2026-08-04T14:03:19"/>
    <s v="Christian Leonard"/>
    <x v="0"/>
    <s v="christian.leonard732@gmail.com"/>
    <s v="Portable Power Bank 10000mAh"/>
    <x v="11"/>
    <s v="Electronics"/>
    <x v="12"/>
    <n v="1"/>
    <n v="21.99"/>
    <n v="21.99"/>
    <m/>
    <x v="0"/>
    <n v="0"/>
    <n v="0"/>
    <s v="Number"/>
    <n v="7.99"/>
    <n v="7.99"/>
    <n v="29.98"/>
    <n v="29.98"/>
    <n v="29.979999999999997"/>
    <s v="True"/>
    <s v="Normal"/>
    <s v="Shopify Payments"/>
    <x v="1"/>
    <s v="fulfilled"/>
    <s v="United States"/>
    <s v="Florida"/>
    <s v="Valid"/>
    <s v="Katietown"/>
  </r>
  <r>
    <s v="#1729"/>
    <n v="1"/>
    <d v="2026-08-04T14:08:05"/>
    <d v="2026-08-04T14:08:05"/>
    <s v="Amanda Rodriguez"/>
    <x v="0"/>
    <s v="amanda.rodriguez770@yahoo.com"/>
    <s v="Portable Power Bank 10000mAh"/>
    <x v="11"/>
    <s v="Electronics"/>
    <x v="12"/>
    <n v="1"/>
    <n v="21.99"/>
    <n v="21.99"/>
    <m/>
    <x v="0"/>
    <n v="0"/>
    <n v="0"/>
    <s v="Number"/>
    <n v="4.99"/>
    <n v="4.99"/>
    <n v="26.98"/>
    <n v="26.98"/>
    <n v="26.979999999999997"/>
    <s v="True"/>
    <s v="Normal"/>
    <s v="PayPal"/>
    <x v="3"/>
    <s v="fulfilled"/>
    <s v="United States"/>
    <s v="New York"/>
    <s v="Valid"/>
    <s v="Houstonstad"/>
  </r>
  <r>
    <s v="#1757"/>
    <n v="1"/>
    <d v="2026-08-04T14:03:18"/>
    <d v="2026-08-04T14:03:18"/>
    <s v="Anthony Parker"/>
    <x v="0"/>
    <s v="anthony.parker256@icloud.com"/>
    <s v="Portable Power Bank 10000mAh"/>
    <x v="11"/>
    <s v="Electronics"/>
    <x v="12"/>
    <n v="1"/>
    <n v="21.99"/>
    <n v="21.99"/>
    <s v="BFCM25"/>
    <x v="3"/>
    <n v="5.5"/>
    <n v="5.5"/>
    <s v="Number"/>
    <n v="5.99"/>
    <n v="5.99"/>
    <n v="22.48"/>
    <n v="22.48"/>
    <n v="22.479999999999997"/>
    <s v="True"/>
    <s v="Normal"/>
    <s v="Apple Pay"/>
    <x v="2"/>
    <s v="fulfilled"/>
    <s v="United Kingdom"/>
    <m/>
    <s v="Not Required"/>
    <s v="Justinberg"/>
  </r>
  <r>
    <s v="#1760"/>
    <n v="1"/>
    <d v="2026-08-04T13:57:12"/>
    <d v="2026-08-04T13:57:12"/>
    <s v="Christy Phillips"/>
    <x v="0"/>
    <s v="christy.phillips291@gmail.com"/>
    <s v="Portable Power Bank 10000mAh"/>
    <x v="11"/>
    <s v="Electronics"/>
    <x v="12"/>
    <n v="1"/>
    <n v="21.99"/>
    <n v="21.99"/>
    <s v="SAVE20"/>
    <x v="2"/>
    <n v="4.4000000000000004"/>
    <n v="4.4000000000000004"/>
    <s v="Number"/>
    <n v="7.99"/>
    <n v="7.99"/>
    <n v="25.58"/>
    <n v="25.58"/>
    <n v="25.58"/>
    <s v="True"/>
    <s v="Normal"/>
    <s v="PayPal"/>
    <x v="3"/>
    <s v="refunded"/>
    <s v="Pakistan"/>
    <m/>
    <s v="Not Required"/>
    <s v="South Aaronstad"/>
  </r>
  <r>
    <s v="#1768"/>
    <n v="1"/>
    <d v="2026-08-04T14:08:14"/>
    <d v="2026-08-04T14:08:14"/>
    <s v="Sandra Potter"/>
    <x v="0"/>
    <s v="sandra.potter166@yahoo.com"/>
    <s v="Portable Power Bank 10000mAh"/>
    <x v="11"/>
    <s v="Electronics"/>
    <x v="12"/>
    <n v="1"/>
    <n v="21.99"/>
    <n v="21.99"/>
    <m/>
    <x v="0"/>
    <n v="0"/>
    <n v="0"/>
    <s v="Number"/>
    <n v="4.99"/>
    <n v="4.99"/>
    <s v="$26.98"/>
    <n v="26.98"/>
    <n v="26.979999999999997"/>
    <s v="True"/>
    <s v="Normal"/>
    <s v="Shopify Payments"/>
    <x v="0"/>
    <s v="fulfilled"/>
    <s v="United States"/>
    <s v="Illinois"/>
    <s v="Valid"/>
    <s v="Port Melinda"/>
  </r>
  <r>
    <s v="#1783"/>
    <n v="1"/>
    <d v="2026-08-04T13:58:35"/>
    <d v="2026-08-04T13:58:35"/>
    <s v="Autumn Stewart"/>
    <x v="0"/>
    <s v="autumn.stewart565@outlook.com"/>
    <s v="Portable Power Bank 10000mAh"/>
    <x v="11"/>
    <s v="Electronics"/>
    <x v="12"/>
    <n v="1"/>
    <n v="21.99"/>
    <n v="21.99"/>
    <m/>
    <x v="0"/>
    <n v="0"/>
    <n v="0"/>
    <s v="Number"/>
    <n v="7.99"/>
    <n v="7.99"/>
    <n v="29.98"/>
    <n v="29.98"/>
    <n v="29.979999999999997"/>
    <s v="True"/>
    <s v="Normal"/>
    <s v="Apple Pay"/>
    <x v="0"/>
    <s v="fulfilled"/>
    <s v="United Kingdom"/>
    <m/>
    <s v="Not Required"/>
    <s v="Kimberlymouth"/>
  </r>
  <r>
    <s v="#1853"/>
    <n v="1"/>
    <d v="2026-08-04T14:05:51"/>
    <d v="2026-08-04T14:05:51"/>
    <s v="Maria Patterson"/>
    <x v="0"/>
    <s v="maria.patterson62@icloud.com"/>
    <s v="Portable Power Bank 10000mAh"/>
    <x v="11"/>
    <s v="Electronics"/>
    <x v="12"/>
    <n v="1"/>
    <n v="21.99"/>
    <n v="21.99"/>
    <m/>
    <x v="0"/>
    <n v="0"/>
    <n v="0"/>
    <s v="Number"/>
    <n v="5.99"/>
    <n v="5.99"/>
    <n v="27.98"/>
    <n v="27.98"/>
    <n v="27.979999999999997"/>
    <s v="True"/>
    <s v="Normal"/>
    <s v="Shopify Payments"/>
    <x v="0"/>
    <s v="refunded"/>
    <s v="United States"/>
    <s v="Florida"/>
    <s v="Valid"/>
    <s v="Lake Lindaport"/>
  </r>
  <r>
    <s v="#1854"/>
    <n v="1"/>
    <d v="2026-08-04T13:59:36"/>
    <d v="2026-08-04T13:59:36"/>
    <s v="Maria Patterson"/>
    <x v="0"/>
    <s v="maria.patterson62@icloud.com"/>
    <s v="Portable Power Bank 10000mAh"/>
    <x v="11"/>
    <s v="Electronics"/>
    <x v="12"/>
    <n v="1"/>
    <n v="21.99"/>
    <n v="21.99"/>
    <m/>
    <x v="0"/>
    <n v="0"/>
    <n v="0"/>
    <s v="Number"/>
    <n v="7.99"/>
    <n v="7.99"/>
    <n v="29.98"/>
    <n v="29.98"/>
    <n v="29.979999999999997"/>
    <s v="True"/>
    <s v="Normal"/>
    <s v="Google Pay"/>
    <x v="3"/>
    <s v="fulfilled"/>
    <s v="United States"/>
    <s v="Ohio"/>
    <s v="Valid"/>
    <s v="Tonybury"/>
  </r>
  <r>
    <s v="#1871"/>
    <n v="1"/>
    <d v="2026-08-04T14:01:24"/>
    <d v="2026-08-04T14:01:24"/>
    <s v="Ronald Stanley"/>
    <x v="0"/>
    <s v="ronald.stanley7@yahoo.com"/>
    <s v="Portable Power Bank 10000mAh"/>
    <x v="11"/>
    <s v="Electronics"/>
    <x v="12"/>
    <n v="2"/>
    <n v="21.99"/>
    <n v="21.99"/>
    <s v="SAVE20"/>
    <x v="2"/>
    <n v="8.8000000000000007"/>
    <n v="8.8000000000000007"/>
    <s v="Number"/>
    <n v="7.99"/>
    <n v="7.99"/>
    <n v="43.17"/>
    <n v="43.17"/>
    <n v="43.169999999999995"/>
    <s v="True"/>
    <s v="Normal"/>
    <s v="Apple Pay"/>
    <x v="1"/>
    <s v="pending"/>
    <s v="United States"/>
    <s v="Arizona"/>
    <s v="Valid"/>
    <s v="West Laura"/>
  </r>
  <r>
    <s v="#1876"/>
    <n v="1"/>
    <d v="2026-04-08T00:00:00"/>
    <s v="08/04/2026"/>
    <s v="Tasha Morales"/>
    <x v="0"/>
    <s v="tasha.morales378@outlook.com"/>
    <s v="Portable Power Bank 10000mAh"/>
    <x v="11"/>
    <s v="Electronics"/>
    <x v="12"/>
    <n v="1"/>
    <n v="21.99"/>
    <n v="21.99"/>
    <m/>
    <x v="0"/>
    <n v="0"/>
    <n v="0"/>
    <s v="Number"/>
    <n v="4.99"/>
    <n v="4.99"/>
    <n v="26.98"/>
    <n v="26.98"/>
    <n v="26.979999999999997"/>
    <s v="True"/>
    <s v="Normal"/>
    <s v="Google Pay"/>
    <x v="2"/>
    <s v="fulfilled"/>
    <s v="United States"/>
    <s v="Ohio"/>
    <s v="Valid"/>
    <s v="New James"/>
  </r>
  <r>
    <s v="#1885"/>
    <n v="1"/>
    <d v="2026-08-04T13:55:43"/>
    <d v="2026-08-04T13:55:43"/>
    <s v="Anthony Hunt"/>
    <x v="0"/>
    <s v="anthony.hunt521@outlook.com"/>
    <s v="Portable Power Bank 10000mAh"/>
    <x v="11"/>
    <s v="Electronics"/>
    <x v="12"/>
    <n v="1"/>
    <n v="21.99"/>
    <n v="21.99"/>
    <m/>
    <x v="0"/>
    <n v="0"/>
    <n v="0"/>
    <s v="Number"/>
    <n v="7.99"/>
    <n v="7.99"/>
    <s v="$29.98"/>
    <n v="29.98"/>
    <n v="29.979999999999997"/>
    <s v="True"/>
    <s v="Normal"/>
    <s v="Google Pay"/>
    <x v="0"/>
    <s v="pending"/>
    <s v="United States"/>
    <s v="TX"/>
    <s v="Valid"/>
    <s v="Loweland"/>
  </r>
  <r>
    <s v="#1890"/>
    <n v="1"/>
    <d v="2026-08-04T00:00:00"/>
    <s v="04-08-2026 13:56"/>
    <s v="Kristina Cook"/>
    <x v="0"/>
    <s v="kristina.cook392@outlook.com"/>
    <s v="Portable Power Bank 10000mAh"/>
    <x v="11"/>
    <s v="Electronics"/>
    <x v="12"/>
    <n v="1"/>
    <n v="21.99"/>
    <n v="21.99"/>
    <s v="BFCM25"/>
    <x v="3"/>
    <n v="5.5"/>
    <n v="5.5"/>
    <s v="Number"/>
    <n v="4.99"/>
    <n v="4.99"/>
    <n v="21.48"/>
    <n v="21.48"/>
    <n v="21.479999999999997"/>
    <s v="True"/>
    <s v="Normal"/>
    <s v="Apple Pay"/>
    <x v="0"/>
    <s v="fulfilled"/>
    <s v="United States"/>
    <s v="WA"/>
    <s v="Valid"/>
    <s v="New Brendaville"/>
  </r>
  <r>
    <s v="#1911"/>
    <n v="1"/>
    <d v="2026-08-04T00:00:00"/>
    <s v="Aug 04, 2026"/>
    <s v="Daniel Contreras"/>
    <x v="1"/>
    <m/>
    <s v="Portable Power Bank 10000mAh"/>
    <x v="11"/>
    <s v="Electronics"/>
    <x v="12"/>
    <n v="1"/>
    <n v="21.99"/>
    <n v="21.99"/>
    <m/>
    <x v="0"/>
    <n v="0"/>
    <n v="0"/>
    <s v="Number"/>
    <n v="4.99"/>
    <n v="4.99"/>
    <n v="26.98"/>
    <n v="26.98"/>
    <n v="26.979999999999997"/>
    <s v="True"/>
    <s v="Normal"/>
    <s v="PayPal"/>
    <x v="1"/>
    <s v="cancelled"/>
    <s v="Australia"/>
    <m/>
    <s v="Not Required"/>
    <s v="Veronicafort"/>
  </r>
  <r>
    <s v="#1927"/>
    <n v="1"/>
    <d v="2026-08-04T14:05:50"/>
    <d v="2026-08-04T14:05:50"/>
    <s v="Alan Davis"/>
    <x v="0"/>
    <s v="alan.davis483@icloud.com"/>
    <s v="Portable Power Bank 10000mAh"/>
    <x v="11"/>
    <s v="Electronics"/>
    <x v="12"/>
    <n v="2"/>
    <n v="21.99"/>
    <n v="21.99"/>
    <s v="SAVE20"/>
    <x v="2"/>
    <n v="8.8000000000000007"/>
    <n v="8.8000000000000007"/>
    <s v="Number"/>
    <n v="5.99"/>
    <n v="5.99"/>
    <n v="41.17"/>
    <n v="41.17"/>
    <n v="41.169999999999995"/>
    <s v="True"/>
    <s v="Normal"/>
    <s v="Shopify Payments"/>
    <x v="2"/>
    <s v="pending"/>
    <s v="Canada"/>
    <m/>
    <s v="Not Required"/>
    <s v="Erinburgh"/>
  </r>
  <r>
    <s v="#2025"/>
    <n v="1"/>
    <d v="2026-08-04T13:58:05"/>
    <d v="2026-08-04T13:58:05"/>
    <s v="Kenneth Coleman"/>
    <x v="0"/>
    <s v="kenneth.coleman447@icloud.com"/>
    <s v="Portable Power Bank 10000mAh"/>
    <x v="11"/>
    <s v="Electronics"/>
    <x v="12"/>
    <n v="1"/>
    <n v="21.99"/>
    <n v="21.99"/>
    <s v="WELCOME10"/>
    <x v="1"/>
    <s v="$2.20"/>
    <n v="2.2000000000000002"/>
    <s v="Number"/>
    <n v="7.99"/>
    <n v="7.99"/>
    <n v="27.78"/>
    <n v="27.78"/>
    <n v="27.78"/>
    <s v="True"/>
    <s v="Normal"/>
    <s v="Google Pay"/>
    <x v="3"/>
    <s v="fulfilled"/>
    <s v="United States"/>
    <s v="California"/>
    <s v="Valid"/>
    <s v="East Stephenville"/>
  </r>
  <r>
    <s v="#2026"/>
    <n v="1"/>
    <d v="2026-08-04T13:56:59"/>
    <d v="2026-08-04T13:56:59"/>
    <m/>
    <x v="1"/>
    <m/>
    <s v="Portable Power Bank 10000mAh"/>
    <x v="11"/>
    <s v="Electronics"/>
    <x v="12"/>
    <n v="1"/>
    <n v="21.99"/>
    <n v="21.99"/>
    <s v="FREESHIP"/>
    <x v="5"/>
    <n v="0"/>
    <n v="0"/>
    <s v="Number"/>
    <n v="0"/>
    <n v="0"/>
    <n v="21.99"/>
    <n v="21.99"/>
    <n v="21.99"/>
    <s v="True"/>
    <s v="Normal"/>
    <s v="Apple Pay"/>
    <x v="1"/>
    <s v="fulfilled"/>
    <s v="United States"/>
    <s v="California"/>
    <s v="Valid"/>
    <s v="Lake Jennifer"/>
  </r>
  <r>
    <s v="#2031"/>
    <n v="1"/>
    <d v="2026-08-04T13:54:14"/>
    <d v="2026-08-04T13:54:14"/>
    <s v="Julia Atkinson"/>
    <x v="0"/>
    <s v="julia.atkinson939@gmail.com"/>
    <s v="Portable Power Bank 10000mAh"/>
    <x v="11"/>
    <s v="Electronics"/>
    <x v="12"/>
    <n v="2"/>
    <n v="21.99"/>
    <n v="21.99"/>
    <s v="VIP15"/>
    <x v="4"/>
    <n v="6.6"/>
    <n v="6.6"/>
    <s v="Number"/>
    <n v="7.99"/>
    <n v="7.99"/>
    <n v="45.37"/>
    <n v="45.37"/>
    <n v="45.37"/>
    <s v="True"/>
    <s v="Normal"/>
    <s v="Shopify Payments"/>
    <x v="0"/>
    <s v="fulfilled"/>
    <s v="Canada"/>
    <m/>
    <s v="Not Required"/>
    <s v="Calderonton"/>
  </r>
  <r>
    <s v="#2053"/>
    <n v="1"/>
    <d v="2026-08-04T13:59:51"/>
    <d v="2026-08-04T13:59:51"/>
    <s v="Vincent Rosales"/>
    <x v="0"/>
    <s v="vincent.rosales30@icloud.com"/>
    <s v="Portable Power Bank 10000mAh"/>
    <x v="11"/>
    <s v="Electronics"/>
    <x v="12"/>
    <n v="1"/>
    <n v="21.99"/>
    <n v="21.99"/>
    <m/>
    <x v="0"/>
    <s v="$0.00"/>
    <n v="0"/>
    <s v="Number"/>
    <n v="7.99"/>
    <n v="7.99"/>
    <n v="29.98"/>
    <n v="29.98"/>
    <n v="29.979999999999997"/>
    <s v="True"/>
    <s v="Normal"/>
    <s v="Shopify Payments"/>
    <x v="0"/>
    <s v="fulfilled"/>
    <s v="United States"/>
    <s v="Georgia"/>
    <s v="Valid"/>
    <s v="North Anthonyville"/>
  </r>
  <r>
    <s v="#2069"/>
    <n v="1"/>
    <d v="2026-08-04T14:00:14"/>
    <d v="2026-08-04T14:00:14"/>
    <s v="  Jeffrey Myers"/>
    <x v="0"/>
    <s v="jeffrey.myers692@icloud.com"/>
    <s v="Portable Power Bank 10000mAh"/>
    <x v="11"/>
    <s v="Electronics"/>
    <x v="12"/>
    <n v="1"/>
    <n v="21.99"/>
    <n v="21.99"/>
    <s v="VIP15"/>
    <x v="4"/>
    <n v="3.3"/>
    <n v="3.3"/>
    <s v="Number"/>
    <n v="4.99"/>
    <n v="4.99"/>
    <n v="23.68"/>
    <n v="23.68"/>
    <n v="23.68"/>
    <s v="True"/>
    <s v="Normal"/>
    <s v="Google Pay"/>
    <x v="2"/>
    <s v="fulfilled"/>
    <s v="Pakistan"/>
    <m/>
    <s v="Not Required"/>
    <s v="Freemanborough"/>
  </r>
  <r>
    <s v="#2073"/>
    <n v="1"/>
    <d v="2026-08-04T14:08:13"/>
    <d v="2026-08-04T14:08:13"/>
    <s v="Sara Hernandez"/>
    <x v="0"/>
    <s v="sara.hernandez651@icloud.com"/>
    <s v="Portable Power Bank 10000mAh"/>
    <x v="11"/>
    <s v="Electronics"/>
    <x v="12"/>
    <n v="2"/>
    <n v="21.99"/>
    <n v="21.99"/>
    <m/>
    <x v="0"/>
    <n v="0"/>
    <n v="0"/>
    <s v="Number"/>
    <n v="7.99"/>
    <n v="7.99"/>
    <n v="51.97"/>
    <n v="51.97"/>
    <n v="51.97"/>
    <s v="True"/>
    <s v="Normal"/>
    <s v="Shopify Payments"/>
    <x v="2"/>
    <s v="cancelled"/>
    <s v="United States"/>
    <s v="Texas"/>
    <s v="Valid"/>
    <s v="North Dustinborough"/>
  </r>
  <r>
    <s v="#2191"/>
    <n v="1"/>
    <d v="2026-08-04T13:54:32"/>
    <d v="2026-08-04T13:54:32"/>
    <s v="Amanda Robinson"/>
    <x v="0"/>
    <s v="amanda.robinson263@icloud.com"/>
    <s v="Portable Power Bank 10000mAh"/>
    <x v="11"/>
    <s v="Electronics"/>
    <x v="12"/>
    <n v="4"/>
    <n v="21.99"/>
    <n v="21.99"/>
    <s v="VIP15"/>
    <x v="4"/>
    <n v="13.19"/>
    <n v="13.19"/>
    <s v="Number"/>
    <n v="0"/>
    <n v="0"/>
    <s v="$74.77"/>
    <n v="74.77"/>
    <n v="74.77"/>
    <s v="True"/>
    <s v="Normal"/>
    <s v="Shopify Payments"/>
    <x v="2"/>
    <s v="fulfilled"/>
    <s v="United States"/>
    <s v="Illinois"/>
    <s v="Valid"/>
    <s v="Lake Mariaberg"/>
  </r>
  <r>
    <s v="#2199"/>
    <n v="1"/>
    <d v="2026-08-04T14:06:32"/>
    <d v="2026-08-04T14:06:32"/>
    <s v="Christopher Osborne"/>
    <x v="0"/>
    <s v="christopher.osborne481@yahoo.com"/>
    <s v="Portable Power Bank 10000mAh"/>
    <x v="11"/>
    <s v="Electronics"/>
    <x v="12"/>
    <n v="1"/>
    <n v="21.99"/>
    <n v="21.99"/>
    <s v="VIP15"/>
    <x v="4"/>
    <n v="3.3"/>
    <n v="3.3"/>
    <s v="Number"/>
    <n v="5.99"/>
    <n v="5.99"/>
    <n v="24.68"/>
    <n v="24.68"/>
    <n v="24.68"/>
    <s v="True"/>
    <s v="Normal"/>
    <s v="Google Pay"/>
    <x v="0"/>
    <s v="fulfilled"/>
    <s v="United States"/>
    <s v="Florida"/>
    <s v="Valid"/>
    <s v="Davidshire"/>
  </r>
  <r>
    <s v="#2271"/>
    <n v="1"/>
    <d v="2026-08-04T13:56:45"/>
    <d v="2026-08-04T13:56:45"/>
    <s v="Brian Ruiz"/>
    <x v="0"/>
    <s v="brian.ruiz246@gmail.com"/>
    <s v="Portable Power Bank 10000mAh"/>
    <x v="11"/>
    <s v="Electronics"/>
    <x v="12"/>
    <n v="1"/>
    <n v="21.99"/>
    <n v="21.99"/>
    <m/>
    <x v="0"/>
    <n v="0"/>
    <n v="0"/>
    <s v="Number"/>
    <n v="7.99"/>
    <n v="7.99"/>
    <n v="29.98"/>
    <n v="29.98"/>
    <n v="29.979999999999997"/>
    <s v="True"/>
    <s v="Normal"/>
    <s v="Credit Card"/>
    <x v="3"/>
    <s v="fulfilled"/>
    <s v="Germany"/>
    <m/>
    <s v="Not Required"/>
    <s v="Chelseatown"/>
  </r>
  <r>
    <s v="#2276"/>
    <n v="1"/>
    <d v="2026-08-04T00:00:00"/>
    <s v="Aug 04, 2026"/>
    <s v="Tracy Adams"/>
    <x v="0"/>
    <s v="tracy.adams712@icloud.com"/>
    <s v="Portable Power Bank 10000mAh"/>
    <x v="11"/>
    <s v="Electronics"/>
    <x v="12"/>
    <n v="1"/>
    <n v="21.99"/>
    <n v="21.99"/>
    <s v="BFCM25"/>
    <x v="3"/>
    <n v="5.5"/>
    <n v="5.5"/>
    <s v="Number"/>
    <n v="5.99"/>
    <n v="5.99"/>
    <n v="22.48"/>
    <n v="22.48"/>
    <n v="22.479999999999997"/>
    <s v="True"/>
    <s v="Normal"/>
    <s v="Apple Pay"/>
    <x v="0"/>
    <s v="refunded"/>
    <s v="United States"/>
    <s v="California"/>
    <s v="Valid"/>
    <s v="North Katherine"/>
  </r>
  <r>
    <s v="#2287"/>
    <n v="1"/>
    <d v="2026-08-04T14:01:06"/>
    <d v="2026-08-04T14:01:06"/>
    <s v="David Hernandez"/>
    <x v="0"/>
    <s v="david.hernandez260@yahoo.com"/>
    <s v="Portable Power Bank 10000mAh"/>
    <x v="11"/>
    <s v="Electronics"/>
    <x v="12"/>
    <n v="1"/>
    <n v="21.99"/>
    <n v="21.99"/>
    <m/>
    <x v="0"/>
    <n v="0"/>
    <n v="0"/>
    <s v="Number"/>
    <n v="5.99"/>
    <n v="5.99"/>
    <n v="27.98"/>
    <n v="27.98"/>
    <n v="27.979999999999997"/>
    <s v="True"/>
    <s v="Normal"/>
    <s v="Apple Pay"/>
    <x v="0"/>
    <s v="refunded"/>
    <s v="Australia"/>
    <m/>
    <s v="Not Required"/>
    <s v="Barbaraland"/>
  </r>
  <r>
    <s v="#2303"/>
    <n v="1"/>
    <d v="2026-04-08T00:00:00"/>
    <s v="08/04/2026"/>
    <s v="Sharon Brown"/>
    <x v="0"/>
    <s v="sharon.brown14@gmail.com"/>
    <s v="Portable Power Bank 10000mAh"/>
    <x v="11"/>
    <s v="Electronics"/>
    <x v="12"/>
    <n v="1"/>
    <n v="21.99"/>
    <n v="21.99"/>
    <m/>
    <x v="0"/>
    <n v="0"/>
    <n v="0"/>
    <s v="Number"/>
    <n v="7.99"/>
    <n v="7.99"/>
    <n v="29.98"/>
    <n v="29.98"/>
    <n v="29.979999999999997"/>
    <s v="True"/>
    <s v="Normal"/>
    <s v="Shopify Payments"/>
    <x v="1"/>
    <s v="refunded"/>
    <s v="United States"/>
    <s v="Texas"/>
    <s v="Valid"/>
    <s v="Port Traceyton"/>
  </r>
  <r>
    <s v="#2322"/>
    <n v="1"/>
    <d v="2026-08-04T14:04:43"/>
    <d v="2026-08-04T14:04:43"/>
    <s v="Jamie Brown"/>
    <x v="0"/>
    <s v="jamie.brown582@icloud.com"/>
    <s v="Portable Power Bank 10000mAh"/>
    <x v="11"/>
    <s v="Electronics"/>
    <x v="12"/>
    <n v="1"/>
    <n v="21.99"/>
    <n v="21.99"/>
    <s v="VIP15"/>
    <x v="4"/>
    <n v="3.3"/>
    <n v="3.3"/>
    <s v="Number"/>
    <n v="7.99"/>
    <n v="7.99"/>
    <n v="26.68"/>
    <n v="26.68"/>
    <n v="26.68"/>
    <s v="True"/>
    <s v="Normal"/>
    <s v="Apple Pay"/>
    <x v="1"/>
    <s v="pending"/>
    <s v="United States"/>
    <s v="California"/>
    <s v="Valid"/>
    <s v="Scottfort"/>
  </r>
  <r>
    <s v="#2340"/>
    <n v="1"/>
    <d v="2026-08-04T13:58:06"/>
    <d v="2026-08-04T13:58:06"/>
    <s v="Joshua Ayers"/>
    <x v="0"/>
    <s v="joshua.ayers935@yahoo.com"/>
    <s v="Portable Power Bank 10000mAh"/>
    <x v="11"/>
    <s v="Electronics"/>
    <x v="12"/>
    <n v="1"/>
    <n v="21.99"/>
    <n v="21.99"/>
    <s v="VIP15"/>
    <x v="4"/>
    <n v="3.3"/>
    <n v="3.3"/>
    <s v="Number"/>
    <n v="7.99"/>
    <n v="7.99"/>
    <n v="26.68"/>
    <n v="26.68"/>
    <n v="26.68"/>
    <s v="True"/>
    <s v="Normal"/>
    <s v="PayPal"/>
    <x v="0"/>
    <s v="refunded"/>
    <s v="Germany"/>
    <m/>
    <s v="Not Required"/>
    <s v="South Loganbury"/>
  </r>
  <r>
    <s v="#2362"/>
    <n v="1"/>
    <d v="2026-08-04T14:00:25"/>
    <d v="2026-08-04T14:00:25"/>
    <s v="Kayla Cruz"/>
    <x v="0"/>
    <s v="kayla.cruz151@outlook.com"/>
    <s v="Portable Power Bank 10000mAh"/>
    <x v="11"/>
    <s v="Electronics"/>
    <x v="12"/>
    <n v="1"/>
    <n v="21.99"/>
    <n v="21.99"/>
    <s v="SAVE20"/>
    <x v="2"/>
    <n v="4.4000000000000004"/>
    <n v="4.4000000000000004"/>
    <s v="Number"/>
    <n v="5.99"/>
    <n v="5.99"/>
    <n v="23.58"/>
    <n v="23.58"/>
    <n v="23.58"/>
    <s v="True"/>
    <s v="Normal"/>
    <s v="Credit Card"/>
    <x v="0"/>
    <s v="fulfilled"/>
    <s v="Pakistan"/>
    <m/>
    <s v="Not Required"/>
    <s v="West Beth"/>
  </r>
  <r>
    <s v="#2365"/>
    <n v="1"/>
    <d v="2026-08-04T14:02:18"/>
    <d v="2026-08-04T14:02:18"/>
    <s v="Darin Alvarez"/>
    <x v="0"/>
    <s v="darin.alvarez843@gmail.com"/>
    <s v="Portable Power Bank 10000mAh"/>
    <x v="11"/>
    <s v="Electronics"/>
    <x v="12"/>
    <n v="1"/>
    <s v="$21.99"/>
    <n v="21.99"/>
    <s v="FREESHIP"/>
    <x v="5"/>
    <n v="0"/>
    <n v="0"/>
    <s v="Number"/>
    <n v="0"/>
    <n v="0"/>
    <n v="21.99"/>
    <n v="21.99"/>
    <n v="21.99"/>
    <s v="True"/>
    <s v="Normal"/>
    <s v="Apple Pay"/>
    <x v="1"/>
    <s v="cancelled"/>
    <s v="Canada"/>
    <m/>
    <s v="Not Required"/>
    <s v="Lake Charlesview"/>
  </r>
  <r>
    <s v="#2388"/>
    <n v="1"/>
    <d v="2026-08-04T13:57:45"/>
    <d v="2026-08-04T13:57:45"/>
    <s v="Sandra Potter"/>
    <x v="0"/>
    <s v="sandra.potter166@yahoo.com"/>
    <s v="Portable Power Bank 10000mAh"/>
    <x v="11"/>
    <s v="Electronics"/>
    <x v="12"/>
    <n v="1"/>
    <n v="21.99"/>
    <n v="21.99"/>
    <s v="VIP15"/>
    <x v="4"/>
    <n v="3.3"/>
    <n v="3.3"/>
    <s v="Number"/>
    <n v="7.99"/>
    <n v="7.99"/>
    <n v="26.68"/>
    <n v="26.68"/>
    <n v="26.68"/>
    <s v="True"/>
    <s v="Normal"/>
    <s v="PayPal"/>
    <x v="0"/>
    <s v="fulfilled"/>
    <s v="United States"/>
    <s v="Georgia"/>
    <s v="Valid"/>
    <s v="New Crystalside"/>
  </r>
  <r>
    <s v="#2403"/>
    <n v="1"/>
    <d v="2026-08-04T14:02:54"/>
    <d v="2026-08-04T14:02:54"/>
    <s v="James Castro"/>
    <x v="0"/>
    <s v="james.castro923@icloud.com"/>
    <s v="Portable Power Bank 10000mAh"/>
    <x v="11"/>
    <s v="Electronics"/>
    <x v="12"/>
    <n v="1"/>
    <n v="21.99"/>
    <n v="21.99"/>
    <s v="BFCM25"/>
    <x v="3"/>
    <n v="5.5"/>
    <n v="5.5"/>
    <s v="Number"/>
    <n v="7.99"/>
    <n v="7.99"/>
    <n v="24.48"/>
    <n v="24.48"/>
    <n v="24.479999999999997"/>
    <s v="True"/>
    <s v="Normal"/>
    <s v="Google Pay"/>
    <x v="0"/>
    <s v="fulfilled"/>
    <s v="Pakistan"/>
    <m/>
    <s v="Not Required"/>
    <s v="Hansenmouth"/>
  </r>
  <r>
    <s v="#2413"/>
    <n v="1"/>
    <d v="2026-08-04T14:05:45"/>
    <d v="2026-08-04T14:05:45"/>
    <s v="Karen Lewis"/>
    <x v="0"/>
    <s v="karen.lewis137@icloud.com"/>
    <s v="Portable Power Bank 10000mAh"/>
    <x v="11"/>
    <s v="Electronics"/>
    <x v="12"/>
    <n v="1"/>
    <n v="21.99"/>
    <n v="21.99"/>
    <m/>
    <x v="0"/>
    <n v="0"/>
    <n v="0"/>
    <s v="Number"/>
    <n v="4.99"/>
    <n v="4.99"/>
    <n v="26.98"/>
    <n v="26.98"/>
    <n v="26.979999999999997"/>
    <s v="True"/>
    <s v="Normal"/>
    <s v="Shopify Payments"/>
    <x v="0"/>
    <s v="cancelled"/>
    <s v="Australia"/>
    <m/>
    <s v="Not Required"/>
    <s v="Greerhaven"/>
  </r>
  <r>
    <s v="#2420"/>
    <n v="1"/>
    <d v="2026-08-04T14:01:36"/>
    <d v="2026-08-04T14:01:36"/>
    <s v="Samuel Padilla"/>
    <x v="0"/>
    <s v="samuel.padilla79@gmail.com"/>
    <s v="Portable Power Bank 10000mAh"/>
    <x v="11"/>
    <s v="Electronics"/>
    <x v="12"/>
    <n v="2"/>
    <n v="21.99"/>
    <n v="21.99"/>
    <s v="SAVE20"/>
    <x v="2"/>
    <n v="8.8000000000000007"/>
    <n v="8.8000000000000007"/>
    <s v="Number"/>
    <n v="4.99"/>
    <n v="4.99"/>
    <n v="40.17"/>
    <n v="40.17"/>
    <n v="40.169999999999995"/>
    <s v="True"/>
    <s v="Normal"/>
    <s v="Google Pay"/>
    <x v="0"/>
    <s v="fulfilled"/>
    <s v="United States"/>
    <s v="Washington"/>
    <s v="Valid"/>
    <s v="Myerschester"/>
  </r>
  <r>
    <s v="#2484"/>
    <n v="1"/>
    <d v="2026-04-08T00:00:00"/>
    <s v="08/04/2026"/>
    <s v="CORY WALTON"/>
    <x v="0"/>
    <s v="cory.walton975@outlook.com"/>
    <s v="Portable Power Bank 10000mAh"/>
    <x v="11"/>
    <s v="Electronics"/>
    <x v="12"/>
    <n v="1"/>
    <n v="21.99"/>
    <n v="21.99"/>
    <s v="BFCM25"/>
    <x v="3"/>
    <n v="5.5"/>
    <n v="5.5"/>
    <s v="Number"/>
    <n v="7.99"/>
    <n v="7.99"/>
    <n v="24.48"/>
    <n v="24.48"/>
    <n v="24.479999999999997"/>
    <s v="True"/>
    <s v="Normal"/>
    <s v="Apple Pay"/>
    <x v="0"/>
    <s v="pending"/>
    <s v="Canada"/>
    <m/>
    <s v="Not Required"/>
    <s v="Derekville"/>
  </r>
  <r>
    <s v="#2493"/>
    <n v="1"/>
    <d v="2026-08-04T14:07:07"/>
    <d v="2026-08-04T14:07:07"/>
    <s v="Michele Davis"/>
    <x v="0"/>
    <s v="michele.davis844@gmail.com"/>
    <s v="Portable Power Bank 10000mAh  "/>
    <x v="11"/>
    <s v="Electronics"/>
    <x v="12"/>
    <n v="1"/>
    <n v="21.99"/>
    <n v="21.99"/>
    <s v="WELCOME10"/>
    <x v="1"/>
    <n v="2.2000000000000002"/>
    <n v="2.2000000000000002"/>
    <s v="Number"/>
    <n v="4.99"/>
    <n v="4.99"/>
    <n v="24.78"/>
    <n v="24.78"/>
    <n v="24.78"/>
    <s v="True"/>
    <s v="Normal"/>
    <s v="Credit Card"/>
    <x v="2"/>
    <s v="fulfilled"/>
    <s v="Australia"/>
    <m/>
    <s v="Not Required"/>
    <s v="South Jesse"/>
  </r>
  <r>
    <s v="#2500"/>
    <n v="1"/>
    <d v="2026-08-04T13:54:04"/>
    <d v="2026-08-04T13:54:04"/>
    <s v="kayla lee"/>
    <x v="0"/>
    <s v="kayla.lee278@yahoo.com"/>
    <s v="Portable Power Bank 10000mAh  "/>
    <x v="11"/>
    <s v="Electronics"/>
    <x v="12"/>
    <n v="1"/>
    <n v="21.99"/>
    <n v="21.99"/>
    <m/>
    <x v="0"/>
    <n v="0"/>
    <n v="0"/>
    <s v="Number"/>
    <n v="4.99"/>
    <n v="4.99"/>
    <n v="26.98"/>
    <n v="26.98"/>
    <n v="26.979999999999997"/>
    <s v="True"/>
    <s v="Normal"/>
    <s v="Google Pay"/>
    <x v="3"/>
    <s v="refunded"/>
    <s v="United Kingdom"/>
    <m/>
    <s v="Not Required"/>
    <s v="Duncanport"/>
  </r>
  <r>
    <s v="#2505"/>
    <n v="1"/>
    <d v="2026-08-04T14:01:00"/>
    <d v="2026-08-04T14:01:00"/>
    <s v="Tracy Kennedy"/>
    <x v="0"/>
    <s v="tracy.kennedy796@outlook.com"/>
    <s v="Portable Power Bank 10000mAh"/>
    <x v="11"/>
    <s v="Electronics"/>
    <x v="12"/>
    <n v="3"/>
    <n v="21.99"/>
    <n v="21.99"/>
    <m/>
    <x v="0"/>
    <n v="0"/>
    <n v="0"/>
    <s v="Number"/>
    <n v="4.99"/>
    <n v="4.99"/>
    <n v="70.959999999999994"/>
    <n v="70.959999999999994"/>
    <n v="70.959999999999994"/>
    <s v="True"/>
    <s v="Normal"/>
    <s v="Apple Pay"/>
    <x v="0"/>
    <s v="fulfilled"/>
    <s v="Pakistan"/>
    <m/>
    <s v="Not Required"/>
    <s v="Nelsontown"/>
  </r>
  <r>
    <s v="#2532"/>
    <n v="1"/>
    <d v="2026-08-04T13:58:32"/>
    <d v="2026-08-04T13:58:32"/>
    <s v="Joseph Phillips"/>
    <x v="0"/>
    <s v="joseph.phillips672@yahoo.com"/>
    <s v="Portable Power Bank 10000mAh"/>
    <x v="11"/>
    <s v="Electronics"/>
    <x v="12"/>
    <n v="1"/>
    <n v="21.99"/>
    <n v="21.99"/>
    <s v="BFCM25"/>
    <x v="3"/>
    <n v="5.5"/>
    <n v="5.5"/>
    <s v="Number"/>
    <n v="5.99"/>
    <n v="5.99"/>
    <n v="22.48"/>
    <n v="22.48"/>
    <n v="22.479999999999997"/>
    <s v="True"/>
    <s v="Normal"/>
    <s v="Credit Card"/>
    <x v="3"/>
    <s v="refunded"/>
    <s v="Pakistan"/>
    <m/>
    <s v="Not Required"/>
    <s v="West Ebony"/>
  </r>
  <r>
    <s v="#2546"/>
    <n v="1"/>
    <d v="2026-08-04T14:03:35"/>
    <d v="2026-08-04T14:03:35"/>
    <s v="Devin Jones"/>
    <x v="0"/>
    <s v="devin.jones807@yahoo.com"/>
    <s v="Portable Power Bank 10000mAh"/>
    <x v="11"/>
    <s v="Electronics"/>
    <x v="12"/>
    <n v="1"/>
    <n v="21.99"/>
    <n v="21.99"/>
    <s v="VIP15"/>
    <x v="4"/>
    <n v="3.3"/>
    <n v="3.3"/>
    <s v="Number"/>
    <n v="5.99"/>
    <n v="5.99"/>
    <s v="$24.68"/>
    <n v="24.68"/>
    <n v="24.68"/>
    <s v="True"/>
    <s v="Normal"/>
    <s v="Apple Pay"/>
    <x v="0"/>
    <s v="refunded"/>
    <s v="Pakistan"/>
    <m/>
    <s v="Not Required"/>
    <s v="East Karla"/>
  </r>
  <r>
    <s v="#2548"/>
    <n v="1"/>
    <d v="2026-08-04T13:54:00"/>
    <d v="2026-08-04T13:54:00"/>
    <s v="Christopher Osborne"/>
    <x v="0"/>
    <s v="christopher.osborne481@yahoo.com"/>
    <s v="Portable Power Bank 10000mAh"/>
    <x v="11"/>
    <s v="Electronics"/>
    <x v="12"/>
    <n v="1"/>
    <n v="21.99"/>
    <n v="21.99"/>
    <s v="WELCOME10"/>
    <x v="1"/>
    <n v="2.2000000000000002"/>
    <n v="2.2000000000000002"/>
    <s v="Number"/>
    <n v="7.99"/>
    <n v="7.99"/>
    <n v="27.78"/>
    <n v="27.78"/>
    <n v="27.78"/>
    <s v="True"/>
    <s v="Normal"/>
    <s v="Google Pay"/>
    <x v="0"/>
    <s v="fulfilled"/>
    <s v="United States"/>
    <s v="NC"/>
    <s v="Valid"/>
    <s v="New Melissaview"/>
  </r>
  <r>
    <s v="#2564"/>
    <n v="1"/>
    <d v="2026-08-04T00:00:00"/>
    <s v="04-08-2026 14:00"/>
    <s v="Jessica Garcia"/>
    <x v="0"/>
    <s v="jessica.garcia931@gmail.com"/>
    <s v="Portable Power Bank 10000mAh"/>
    <x v="11"/>
    <s v="Electronics"/>
    <x v="12"/>
    <n v="2"/>
    <n v="21.99"/>
    <n v="21.99"/>
    <s v="WELCOME10"/>
    <x v="1"/>
    <n v="4.4000000000000004"/>
    <n v="4.4000000000000004"/>
    <s v="Number"/>
    <n v="5.99"/>
    <n v="5.99"/>
    <n v="45.57"/>
    <n v="45.57"/>
    <n v="45.57"/>
    <s v="True"/>
    <s v="Normal"/>
    <s v="Google Pay"/>
    <x v="2"/>
    <s v="fulfilled"/>
    <s v="United States"/>
    <s v="North Carolina"/>
    <s v="Valid"/>
    <s v="Jodyport"/>
  </r>
  <r>
    <s v="#2578"/>
    <n v="1"/>
    <d v="2026-08-04T14:03:20"/>
    <d v="2026-08-04T14:03:20"/>
    <s v="TYLER WILLIAMS"/>
    <x v="0"/>
    <s v="tyler.williams938@outlook.com"/>
    <s v="Portable Power Bank 10000mAh"/>
    <x v="11"/>
    <s v="Electronics"/>
    <x v="12"/>
    <n v="1"/>
    <n v="21.99"/>
    <n v="21.99"/>
    <m/>
    <x v="0"/>
    <n v="0"/>
    <n v="0"/>
    <s v="Number"/>
    <n v="5.99"/>
    <n v="5.99"/>
    <n v="27.98"/>
    <n v="27.98"/>
    <n v="27.979999999999997"/>
    <s v="True"/>
    <s v="Normal"/>
    <s v="PayPal"/>
    <x v="3"/>
    <s v="pending"/>
    <s v="Australia"/>
    <m/>
    <s v="Not Required"/>
    <s v="Jackfurt"/>
  </r>
  <r>
    <s v="#2588"/>
    <n v="1"/>
    <d v="2026-08-04T13:56:02"/>
    <d v="2026-08-04T13:56:02"/>
    <s v="Seth Price"/>
    <x v="0"/>
    <s v="seth.price179@gmail.com"/>
    <s v="Portable Power Bank 10000mAh"/>
    <x v="11"/>
    <s v="Electronics"/>
    <x v="12"/>
    <n v="1"/>
    <n v="21.99"/>
    <n v="21.99"/>
    <m/>
    <x v="0"/>
    <n v="0"/>
    <n v="0"/>
    <s v="Number"/>
    <n v="7.99"/>
    <n v="7.99"/>
    <n v="29.98"/>
    <n v="29.98"/>
    <n v="29.979999999999997"/>
    <s v="True"/>
    <s v="Normal"/>
    <s v="Shopify Payments"/>
    <x v="0"/>
    <s v="fulfilled"/>
    <s v="United States"/>
    <s v="New York"/>
    <s v="Valid"/>
    <s v="Port Jackville"/>
  </r>
  <r>
    <s v="#2592"/>
    <n v="1"/>
    <d v="2026-08-04T14:01:07"/>
    <d v="2026-08-04T14:01:07"/>
    <s v="Linda Byrd"/>
    <x v="0"/>
    <s v="linda.byrd87@outlook.com"/>
    <s v="Portable Power Bank 10000mAh"/>
    <x v="11"/>
    <s v="Electronics"/>
    <x v="12"/>
    <n v="1"/>
    <n v="21.99"/>
    <n v="21.99"/>
    <m/>
    <x v="0"/>
    <s v="$0.00"/>
    <n v="0"/>
    <s v="Number"/>
    <n v="5.99"/>
    <n v="5.99"/>
    <n v="27.98"/>
    <n v="27.98"/>
    <n v="27.979999999999997"/>
    <s v="True"/>
    <s v="Normal"/>
    <s v="Shopify Payments"/>
    <x v="0"/>
    <s v="fulfilled"/>
    <s v="United States"/>
    <s v="Washington"/>
    <s v="Valid"/>
    <s v="Riceborough"/>
  </r>
  <r>
    <s v="#2608"/>
    <n v="1"/>
    <d v="2026-08-04T14:06:09"/>
    <d v="2026-08-04T14:06:09"/>
    <s v="Perez, Joanne"/>
    <x v="0"/>
    <s v="joanne.perez120@gmail.com"/>
    <s v="Portable Power Bank 10000mAh"/>
    <x v="11"/>
    <s v="Electronics"/>
    <x v="12"/>
    <n v="1"/>
    <n v="21.99"/>
    <n v="21.99"/>
    <s v="VIP15"/>
    <x v="4"/>
    <n v="3.3"/>
    <n v="3.3"/>
    <s v="Number"/>
    <n v="5.99"/>
    <n v="5.99"/>
    <n v="24.68"/>
    <n v="24.68"/>
    <n v="24.68"/>
    <s v="True"/>
    <s v="Normal"/>
    <s v="Apple Pay"/>
    <x v="1"/>
    <s v="fulfilled"/>
    <s v="United States"/>
    <s v="California"/>
    <s v="Valid"/>
    <s v="Rossville"/>
  </r>
  <r>
    <s v="#2612"/>
    <n v="1"/>
    <d v="2026-08-04T13:56:39"/>
    <d v="2026-08-04T13:56:39"/>
    <m/>
    <x v="0"/>
    <s v="george.green694@icloud.com"/>
    <s v="Portable Power Bank 10000mAh"/>
    <x v="11"/>
    <s v="Electronics"/>
    <x v="12"/>
    <n v="1"/>
    <n v="21.99"/>
    <n v="21.99"/>
    <s v="SAVE20"/>
    <x v="2"/>
    <n v="4.4000000000000004"/>
    <n v="4.4000000000000004"/>
    <s v="Number"/>
    <n v="4.99"/>
    <n v="4.99"/>
    <n v="22.58"/>
    <n v="22.58"/>
    <n v="22.58"/>
    <s v="True"/>
    <s v="Normal"/>
    <s v="Apple Pay"/>
    <x v="2"/>
    <s v="fulfilled"/>
    <s v="United States"/>
    <s v="Georgia"/>
    <s v="Valid"/>
    <s v="North Laurenville"/>
  </r>
  <r>
    <s v="#2625"/>
    <n v="1"/>
    <d v="2026-08-04T14:08:24"/>
    <d v="2026-08-04T14:08:24"/>
    <s v="NICHOLAS PARKER"/>
    <x v="0"/>
    <s v="nicholas.parker656@yahoo.com"/>
    <s v="Portable Power Bank 10000mAh"/>
    <x v="11"/>
    <s v="Electronics"/>
    <x v="12"/>
    <n v="1"/>
    <n v="21.99"/>
    <n v="21.99"/>
    <s v="FREESHIP"/>
    <x v="5"/>
    <n v="0"/>
    <n v="0"/>
    <s v="Number"/>
    <n v="0"/>
    <n v="0"/>
    <n v="21.99"/>
    <n v="21.99"/>
    <n v="21.99"/>
    <s v="True"/>
    <s v="Normal"/>
    <s v="Credit Card"/>
    <x v="2"/>
    <s v="fulfilled"/>
    <s v="United States"/>
    <s v="Florida"/>
    <s v="Valid"/>
    <s v="East William"/>
  </r>
  <r>
    <s v="#2638"/>
    <n v="1"/>
    <d v="2026-08-04T14:04:29"/>
    <d v="2026-08-04T14:04:29"/>
    <s v="Daniel Parsons"/>
    <x v="0"/>
    <s v="daniel.parsons636@gmail.com"/>
    <s v="Portable Power Bank 10000mAh"/>
    <x v="11"/>
    <s v="Electronics"/>
    <x v="12"/>
    <n v="1"/>
    <n v="21.99"/>
    <n v="21.99"/>
    <m/>
    <x v="0"/>
    <n v="0"/>
    <n v="0"/>
    <s v="Number"/>
    <n v="7.99"/>
    <n v="7.99"/>
    <n v="29.98"/>
    <n v="29.98"/>
    <n v="29.979999999999997"/>
    <s v="True"/>
    <s v="Normal"/>
    <s v="Google Pay"/>
    <x v="0"/>
    <s v="fulfilled"/>
    <s v="United States"/>
    <s v="California"/>
    <s v="Valid"/>
    <s v="South Bobberg"/>
  </r>
  <r>
    <s v="#2656"/>
    <n v="1"/>
    <d v="2026-08-04T14:07:03"/>
    <d v="2026-08-04T14:07:03"/>
    <s v="Andrea Martinez"/>
    <x v="0"/>
    <s v="andrea.martinez756@yahoo.com"/>
    <s v="Portable Power Bank 10000mAh"/>
    <x v="11"/>
    <s v="Electronics"/>
    <x v="12"/>
    <n v="2"/>
    <n v="21.99"/>
    <n v="21.99"/>
    <s v="BFCM25"/>
    <x v="3"/>
    <n v="10.99"/>
    <n v="10.99"/>
    <s v="Number"/>
    <n v="7.99"/>
    <n v="7.99"/>
    <n v="40.98"/>
    <n v="40.98"/>
    <n v="40.98"/>
    <s v="True"/>
    <s v="Normal"/>
    <s v="Apple Pay"/>
    <x v="0"/>
    <s v="pending"/>
    <s v="Australia"/>
    <m/>
    <s v="Not Required"/>
    <s v="Lake Brittneyton"/>
  </r>
  <r>
    <s v="#2664"/>
    <n v="1"/>
    <d v="2026-08-04T14:02:06"/>
    <d v="2026-08-04T14:02:06"/>
    <s v="Tyler Williams"/>
    <x v="1"/>
    <m/>
    <s v="Portable Power Bank 10000mAh"/>
    <x v="11"/>
    <s v="Electronics"/>
    <x v="12"/>
    <n v="4"/>
    <n v="21.99"/>
    <n v="21.99"/>
    <m/>
    <x v="0"/>
    <n v="0"/>
    <n v="0"/>
    <s v="Number"/>
    <n v="0"/>
    <n v="0"/>
    <n v="87.96"/>
    <n v="87.96"/>
    <n v="87.96"/>
    <s v="True"/>
    <s v="Outlier"/>
    <s v="Shopify Payments"/>
    <x v="1"/>
    <s v="fulfilled"/>
    <s v="Australia"/>
    <m/>
    <s v="Not Required"/>
    <s v="Michelleland"/>
  </r>
  <r>
    <s v="#2677"/>
    <n v="1"/>
    <d v="2026-08-04T13:53:53"/>
    <d v="2026-08-04T13:53:53"/>
    <s v="DEREK RICHARDSON"/>
    <x v="0"/>
    <s v="derek.richardson414@outlook.com"/>
    <s v="Portable Power Bank 10000mAh"/>
    <x v="11"/>
    <s v="Electronics"/>
    <x v="12"/>
    <n v="1"/>
    <n v="21.99"/>
    <n v="21.99"/>
    <m/>
    <x v="0"/>
    <n v="0"/>
    <n v="0"/>
    <s v="Number"/>
    <n v="4.99"/>
    <n v="4.99"/>
    <n v="26.98"/>
    <n v="26.98"/>
    <n v="26.979999999999997"/>
    <s v="True"/>
    <s v="Normal"/>
    <s v="PayPal"/>
    <x v="3"/>
    <s v="refunded"/>
    <s v="United Kingdom"/>
    <m/>
    <s v="Not Required"/>
    <s v="South Raymond"/>
  </r>
  <r>
    <s v="#2709"/>
    <n v="1"/>
    <d v="2026-08-04T14:07:48"/>
    <d v="2026-08-04T14:07:48"/>
    <s v="Christy Phillips"/>
    <x v="0"/>
    <s v="christy.phillips291@gmail.com"/>
    <s v="Portable Power Bank 10000mAh"/>
    <x v="11"/>
    <s v="Electronics"/>
    <x v="12"/>
    <n v="1"/>
    <n v="21.99"/>
    <n v="21.99"/>
    <s v="WELCOME10"/>
    <x v="1"/>
    <n v="2.2000000000000002"/>
    <n v="2.2000000000000002"/>
    <s v="Number"/>
    <n v="5.99"/>
    <n v="5.99"/>
    <n v="25.78"/>
    <n v="25.78"/>
    <n v="25.78"/>
    <s v="True"/>
    <s v="Normal"/>
    <s v="Credit Card"/>
    <x v="0"/>
    <s v="fulfilled"/>
    <s v="Pakistan"/>
    <m/>
    <s v="Not Required"/>
    <s v="Port Sherry"/>
  </r>
  <r>
    <s v="#2730"/>
    <n v="1"/>
    <d v="2026-08-04T14:07:35"/>
    <d v="2026-08-04T14:07:35"/>
    <s v="Kathryn Robinson"/>
    <x v="0"/>
    <s v="kathryn.robinson965@gmail.com"/>
    <s v="Portable Power Bank 10000mAh"/>
    <x v="11"/>
    <s v="Electronics"/>
    <x v="12"/>
    <n v="1"/>
    <n v="21.99"/>
    <n v="21.99"/>
    <m/>
    <x v="0"/>
    <n v="0"/>
    <n v="0"/>
    <s v="Number"/>
    <n v="4.99"/>
    <n v="4.99"/>
    <s v="$26.98"/>
    <n v="26.98"/>
    <n v="26.979999999999997"/>
    <s v="True"/>
    <s v="Normal"/>
    <s v="Google Pay"/>
    <x v="0"/>
    <s v="cancelled"/>
    <s v="United Kingdom"/>
    <m/>
    <s v="Not Required"/>
    <s v="Melaniehaven"/>
  </r>
  <r>
    <s v="#2826"/>
    <n v="1"/>
    <d v="2026-08-04T14:06:21"/>
    <d v="2026-08-04T14:06:21"/>
    <s v="Heather Davis"/>
    <x v="1"/>
    <m/>
    <s v="Portable Power Bank 10000mAh"/>
    <x v="11"/>
    <s v="Electronics"/>
    <x v="12"/>
    <n v="1"/>
    <n v="21.99"/>
    <n v="21.99"/>
    <m/>
    <x v="0"/>
    <n v="0"/>
    <n v="0"/>
    <s v="Number"/>
    <n v="7.99"/>
    <n v="7.99"/>
    <n v="29.98"/>
    <n v="29.98"/>
    <n v="29.979999999999997"/>
    <s v="True"/>
    <s v="Normal"/>
    <s v="Shopify Payments"/>
    <x v="2"/>
    <s v="fulfilled"/>
    <s v="Germany"/>
    <m/>
    <s v="Not Required"/>
    <s v="Jonburgh"/>
  </r>
  <r>
    <s v="#2848"/>
    <n v="1"/>
    <d v="2026-08-04T13:54:14"/>
    <d v="2026-08-04T13:54:14"/>
    <s v="Kristina Thompson"/>
    <x v="0"/>
    <s v="kristina.thompson501@icloud.com"/>
    <s v="Portable Power Bank 10000mAh"/>
    <x v="11"/>
    <s v="Electronics"/>
    <x v="12"/>
    <n v="1"/>
    <n v="21.99"/>
    <n v="21.99"/>
    <s v="WELCOME10"/>
    <x v="1"/>
    <n v="2.2000000000000002"/>
    <n v="2.2000000000000002"/>
    <s v="Number"/>
    <n v="5.99"/>
    <n v="5.99"/>
    <n v="25.78"/>
    <n v="25.78"/>
    <n v="25.78"/>
    <s v="True"/>
    <s v="Normal"/>
    <s v="Shopify Payments"/>
    <x v="0"/>
    <s v="refunded"/>
    <s v="United States"/>
    <s v="Illinois"/>
    <s v="Valid"/>
    <s v="East Tamaraberg"/>
  </r>
  <r>
    <s v="#2905"/>
    <n v="1"/>
    <d v="2026-08-04T14:08:13"/>
    <d v="2026-08-04T14:08:13"/>
    <s v="Jeremy Tucker"/>
    <x v="1"/>
    <m/>
    <s v="Portable Power Bank 10000mAh"/>
    <x v="11"/>
    <s v="Electronics"/>
    <x v="12"/>
    <n v="1"/>
    <n v="21.99"/>
    <n v="21.99"/>
    <s v="VIP15"/>
    <x v="4"/>
    <n v="3.3"/>
    <n v="3.3"/>
    <s v="Number"/>
    <n v="4.99"/>
    <n v="4.99"/>
    <n v="23.68"/>
    <n v="23.68"/>
    <n v="23.68"/>
    <s v="True"/>
    <s v="Normal"/>
    <s v="Google Pay"/>
    <x v="0"/>
    <s v="fulfilled"/>
    <s v="United States"/>
    <s v="Georgia"/>
    <s v="Valid"/>
    <s v="Prattfurt"/>
  </r>
  <r>
    <s v="#2918"/>
    <n v="1"/>
    <d v="2026-08-04T00:00:00"/>
    <s v="04-08-2026 14:02"/>
    <s v="Dustin Mccoy"/>
    <x v="0"/>
    <s v="dustin.mccoy570@gmail.com"/>
    <s v="Portable Power Bank 10000mAh"/>
    <x v="11"/>
    <s v="Electronics"/>
    <x v="12"/>
    <n v="1"/>
    <n v="21.99"/>
    <n v="21.99"/>
    <m/>
    <x v="0"/>
    <n v="0"/>
    <n v="0"/>
    <s v="Number"/>
    <n v="5.99"/>
    <n v="5.99"/>
    <n v="27.98"/>
    <n v="27.98"/>
    <n v="27.979999999999997"/>
    <s v="True"/>
    <s v="Normal"/>
    <s v="Credit Card"/>
    <x v="0"/>
    <s v="fulfilled"/>
    <s v="Canada"/>
    <m/>
    <s v="Not Required"/>
    <s v="New Justin"/>
  </r>
  <r>
    <s v="#2938"/>
    <n v="1"/>
    <d v="2026-08-04T14:05:43"/>
    <d v="2026-08-04T14:05:43"/>
    <s v="Barbara Brown"/>
    <x v="0"/>
    <s v="barbara.brown26@gmail.com"/>
    <s v="Portable Power Bank 10000mAh"/>
    <x v="11"/>
    <s v="Electronics"/>
    <x v="12"/>
    <n v="1"/>
    <s v="$21.99"/>
    <n v="21.99"/>
    <s v="WELCOME10"/>
    <x v="1"/>
    <n v="2.2000000000000002"/>
    <n v="2.2000000000000002"/>
    <s v="Number"/>
    <n v="7.99"/>
    <n v="7.99"/>
    <n v="27.78"/>
    <n v="27.78"/>
    <n v="27.78"/>
    <s v="True"/>
    <s v="Normal"/>
    <s v="Shopify Payments"/>
    <x v="0"/>
    <s v="fulfilled"/>
    <s v="United States"/>
    <s v="Georgia"/>
    <s v="Valid"/>
    <s v="Rogersborough"/>
  </r>
  <r>
    <s v="#2967"/>
    <n v="1"/>
    <d v="2026-08-04T14:07:13"/>
    <d v="2026-08-04T14:07:13"/>
    <s v="Rebecca Watts"/>
    <x v="0"/>
    <s v="rebecca.watts779@gmail.com"/>
    <s v="Portable Power Bank 10000mAh"/>
    <x v="11"/>
    <s v="Electronics"/>
    <x v="12"/>
    <n v="1"/>
    <n v="21.99"/>
    <n v="21.99"/>
    <s v="FREESHIP"/>
    <x v="5"/>
    <n v="0"/>
    <n v="0"/>
    <s v="Number"/>
    <n v="0"/>
    <n v="0"/>
    <n v="21.99"/>
    <n v="21.99"/>
    <n v="21.99"/>
    <s v="True"/>
    <s v="Normal"/>
    <s v="Credit Card"/>
    <x v="0"/>
    <s v="pending"/>
    <s v="United States"/>
    <s v="Arizona"/>
    <s v="Valid"/>
    <s v="South Donna"/>
  </r>
  <r>
    <s v="#2993"/>
    <n v="1"/>
    <d v="2026-08-04T13:58:10"/>
    <d v="2026-08-04T13:58:10"/>
    <s v="Rebecca Watts"/>
    <x v="0"/>
    <s v="rebecca.watts779@gmail.com"/>
    <s v="Portable Power Bank 10000mAh"/>
    <x v="11"/>
    <s v="Electronics"/>
    <x v="12"/>
    <n v="1"/>
    <n v="21.99"/>
    <n v="21.99"/>
    <m/>
    <x v="0"/>
    <n v="0"/>
    <n v="0"/>
    <s v="Number"/>
    <n v="4.99"/>
    <n v="4.99"/>
    <n v="26.98"/>
    <n v="26.98"/>
    <n v="26.979999999999997"/>
    <s v="True"/>
    <s v="Normal"/>
    <s v="Apple Pay"/>
    <x v="0"/>
    <s v="pending"/>
    <s v="United States"/>
    <s v="FL"/>
    <s v="Valid"/>
    <s v="Smithmouth"/>
  </r>
  <r>
    <s v="#1013"/>
    <n v="1"/>
    <d v="2026-08-04T14:02:41"/>
    <d v="2026-08-04T14:02:41"/>
    <s v="Anthony Patterson"/>
    <x v="0"/>
    <s v="anthony.patterson944@gmail.com"/>
    <s v="Resistance Bands Set"/>
    <x v="12"/>
    <s v="Sports &amp; Outdoors"/>
    <x v="13"/>
    <n v="1"/>
    <n v="13.99"/>
    <n v="13.99"/>
    <s v="SAVE20"/>
    <x v="2"/>
    <n v="2.8"/>
    <n v="2.8"/>
    <s v="Number"/>
    <n v="5.99"/>
    <n v="5.99"/>
    <n v="17.18"/>
    <n v="17.18"/>
    <n v="17.18"/>
    <s v="True"/>
    <s v="Normal"/>
    <s v="Apple Pay"/>
    <x v="2"/>
    <s v="cancelled"/>
    <s v="Pakistan"/>
    <m/>
    <s v="Not Required"/>
    <s v="West Denisemouth"/>
  </r>
  <r>
    <s v="#1034"/>
    <n v="1"/>
    <d v="2026-08-04T13:55:46"/>
    <d v="2026-08-04T13:55:46"/>
    <s v="Amy Barnett"/>
    <x v="1"/>
    <m/>
    <s v="Resistance Bands Set"/>
    <x v="12"/>
    <s v="Sports &amp; Outdoors"/>
    <x v="13"/>
    <n v="2"/>
    <n v="13.99"/>
    <n v="13.99"/>
    <s v="WELCOME10"/>
    <x v="1"/>
    <n v="2.8"/>
    <n v="2.8"/>
    <s v="Number"/>
    <n v="4.99"/>
    <n v="4.99"/>
    <n v="30.17"/>
    <n v="30.17"/>
    <n v="30.17"/>
    <s v="True"/>
    <s v="Normal"/>
    <s v="Shopify Payments"/>
    <x v="0"/>
    <s v="fulfilled"/>
    <s v="Pakistan"/>
    <m/>
    <s v="Not Required"/>
    <s v="Joshuaborough"/>
  </r>
  <r>
    <s v="#1050"/>
    <n v="1"/>
    <d v="2026-08-04T14:01:55"/>
    <d v="2026-08-04T14:01:55"/>
    <s v="Tina Singh"/>
    <x v="0"/>
    <s v="tina.singh98@icloud.com"/>
    <s v="Resistance Bands Set"/>
    <x v="12"/>
    <s v="Sports &amp; Outdoors"/>
    <x v="13"/>
    <n v="1"/>
    <n v="13.99"/>
    <n v="13.99"/>
    <s v="BFCM25"/>
    <x v="3"/>
    <n v="3.5"/>
    <n v="3.5"/>
    <s v="Number"/>
    <n v="4.99"/>
    <n v="4.99"/>
    <n v="15.48"/>
    <n v="15.48"/>
    <n v="15.48"/>
    <s v="True"/>
    <s v="Normal"/>
    <s v="Shopify Payments"/>
    <x v="0"/>
    <s v="fulfilled"/>
    <s v="United States"/>
    <s v="Texas"/>
    <s v="Valid"/>
    <s v="Port Angela"/>
  </r>
  <r>
    <s v="#1139"/>
    <n v="1"/>
    <d v="2026-04-08T00:00:00"/>
    <s v="08/04/2026"/>
    <s v="Rose Campos"/>
    <x v="0"/>
    <s v="rose.campos542@gmail.com"/>
    <s v="Resistance Bands Set"/>
    <x v="12"/>
    <s v="Sports &amp; Outdoors"/>
    <x v="13"/>
    <n v="1"/>
    <n v="13.99"/>
    <n v="13.99"/>
    <s v="BFCM25"/>
    <x v="3"/>
    <n v="3.5"/>
    <n v="3.5"/>
    <s v="Number"/>
    <n v="5.99"/>
    <n v="5.99"/>
    <n v="16.48"/>
    <n v="16.48"/>
    <n v="16.48"/>
    <s v="True"/>
    <s v="Normal"/>
    <s v="PayPal"/>
    <x v="0"/>
    <s v="fulfilled"/>
    <s v="Canada"/>
    <m/>
    <s v="Not Required"/>
    <s v="Williamside"/>
  </r>
  <r>
    <s v="#1142"/>
    <n v="1"/>
    <d v="2026-08-04T14:00:03"/>
    <d v="2026-08-04T14:00:03"/>
    <m/>
    <x v="0"/>
    <s v="karen.bautista779@icloud.com"/>
    <s v="Resistance Bands Set"/>
    <x v="12"/>
    <s v="Sports &amp; Outdoors"/>
    <x v="13"/>
    <n v="2"/>
    <n v="13.99"/>
    <n v="13.99"/>
    <s v="FREESHIP"/>
    <x v="5"/>
    <n v="0"/>
    <n v="0"/>
    <s v="Number"/>
    <n v="0"/>
    <n v="0"/>
    <n v="27.98"/>
    <n v="27.98"/>
    <n v="27.98"/>
    <s v="True"/>
    <s v="Normal"/>
    <s v="Credit Card"/>
    <x v="1"/>
    <s v="fulfilled"/>
    <s v="United States"/>
    <s v="TX"/>
    <s v="Valid"/>
    <s v="Lake Katherine"/>
  </r>
  <r>
    <s v="#1145"/>
    <n v="1"/>
    <d v="2026-08-04T00:00:00"/>
    <s v="2026-08-04"/>
    <s v="Jose Ingram"/>
    <x v="0"/>
    <s v="jose.ingram37@gmail.com"/>
    <s v="Resistance Bands Set"/>
    <x v="12"/>
    <s v="Sports &amp; Outdoors"/>
    <x v="13"/>
    <n v="1"/>
    <n v="13.99"/>
    <n v="13.99"/>
    <s v="SAVE20"/>
    <x v="2"/>
    <n v="2.8"/>
    <n v="2.8"/>
    <s v="Number"/>
    <n v="7.99"/>
    <n v="7.99"/>
    <n v="19.18"/>
    <n v="19.18"/>
    <n v="19.18"/>
    <s v="True"/>
    <s v="Normal"/>
    <s v="Apple Pay"/>
    <x v="2"/>
    <s v="fulfilled"/>
    <s v="United States"/>
    <s v="California"/>
    <s v="Valid"/>
    <s v="Sandersstad"/>
  </r>
  <r>
    <s v="#1171"/>
    <n v="1"/>
    <d v="2026-08-04T14:07:11"/>
    <d v="2026-08-04T14:07:11"/>
    <s v="Lori Davis"/>
    <x v="0"/>
    <s v="lori.davis757@yahoo.com"/>
    <s v="Resistance Bands Set"/>
    <x v="12"/>
    <s v="Sports &amp; Outdoors"/>
    <x v="13"/>
    <n v="1"/>
    <n v="13.99"/>
    <n v="13.99"/>
    <m/>
    <x v="0"/>
    <n v="0"/>
    <n v="0"/>
    <s v="Number"/>
    <n v="5.99"/>
    <n v="5.99"/>
    <n v="19.98"/>
    <n v="19.98"/>
    <n v="19.98"/>
    <s v="True"/>
    <s v="Normal"/>
    <s v="Google Pay"/>
    <x v="3"/>
    <s v="fulfilled"/>
    <s v="Germany"/>
    <m/>
    <s v="Not Required"/>
    <s v="Amyburgh"/>
  </r>
  <r>
    <s v="#1277"/>
    <n v="1"/>
    <d v="2026-08-04T14:00:01"/>
    <d v="2026-08-04T14:00:01"/>
    <s v="Vincent Rosales"/>
    <x v="0"/>
    <s v="vincent.rosales30@icloud.com"/>
    <s v="Resistance Bands Set"/>
    <x v="12"/>
    <s v="Sports &amp; Outdoors"/>
    <x v="13"/>
    <n v="1"/>
    <s v="$13.99"/>
    <n v="13.99"/>
    <m/>
    <x v="0"/>
    <n v="0"/>
    <n v="0"/>
    <s v="Number"/>
    <n v="7.99"/>
    <n v="7.99"/>
    <n v="21.98"/>
    <n v="21.98"/>
    <n v="21.98"/>
    <s v="True"/>
    <s v="Normal"/>
    <s v="Credit Card"/>
    <x v="2"/>
    <s v="fulfilled"/>
    <s v="United States"/>
    <s v="Ohio"/>
    <s v="Valid"/>
    <s v="Mcdonaldhaven"/>
  </r>
  <r>
    <s v="#1299"/>
    <n v="1"/>
    <d v="2026-08-04T13:54:08"/>
    <d v="2026-08-04T13:54:08"/>
    <s v="Devin Jones"/>
    <x v="0"/>
    <s v="devin.jones807@yahoo.com"/>
    <s v="Resistance Bands Set"/>
    <x v="12"/>
    <s v="Sports &amp; Outdoors"/>
    <x v="13"/>
    <n v="1"/>
    <s v="$13.99"/>
    <n v="13.99"/>
    <m/>
    <x v="0"/>
    <n v="0"/>
    <n v="0"/>
    <s v="Number"/>
    <n v="4.99"/>
    <n v="4.99"/>
    <n v="18.98"/>
    <n v="18.98"/>
    <n v="18.98"/>
    <s v="True"/>
    <s v="Normal"/>
    <s v="Credit Card"/>
    <x v="1"/>
    <s v="fulfilled"/>
    <s v="Pakistan"/>
    <m/>
    <s v="Not Required"/>
    <s v="Huffmanfurt"/>
  </r>
  <r>
    <s v="#1367"/>
    <n v="1"/>
    <d v="2026-04-08T00:00:00"/>
    <s v="08/04/2026"/>
    <s v="Andrew Cross"/>
    <x v="0"/>
    <s v="andrew.cross512@yahoo.com"/>
    <s v="Resistance Bands Set"/>
    <x v="12"/>
    <s v="Sports &amp; Outdoors"/>
    <x v="13"/>
    <n v="1"/>
    <n v="13.99"/>
    <n v="13.99"/>
    <m/>
    <x v="0"/>
    <n v="0"/>
    <n v="0"/>
    <s v="Number"/>
    <n v="4.99"/>
    <n v="4.99"/>
    <n v="18.98"/>
    <n v="18.98"/>
    <n v="18.98"/>
    <s v="True"/>
    <s v="Normal"/>
    <s v="PayPal"/>
    <x v="0"/>
    <s v="refunded"/>
    <s v="United States"/>
    <s v="North Carolina"/>
    <s v="Valid"/>
    <s v="New Melissabury"/>
  </r>
  <r>
    <s v="#1422"/>
    <n v="1"/>
    <d v="2026-08-04T13:56:26"/>
    <d v="2026-08-04T13:56:26"/>
    <s v="Charles Franco"/>
    <x v="0"/>
    <s v="charles.franco761@outlook.com"/>
    <s v="Resistance Bands Set"/>
    <x v="12"/>
    <s v="Sports &amp; Outdoors"/>
    <x v="13"/>
    <n v="1"/>
    <n v="13.99"/>
    <n v="13.99"/>
    <m/>
    <x v="0"/>
    <n v="0"/>
    <n v="0"/>
    <s v="Number"/>
    <n v="4.99"/>
    <n v="4.99"/>
    <n v="18.98"/>
    <n v="18.98"/>
    <n v="18.98"/>
    <s v="True"/>
    <s v="Normal"/>
    <s v="Apple Pay"/>
    <x v="0"/>
    <s v="cancelled"/>
    <s v="United States"/>
    <s v="California"/>
    <s v="Valid"/>
    <s v="Nicolestad"/>
  </r>
  <r>
    <s v="#1433"/>
    <n v="1"/>
    <d v="2026-08-04T00:00:00"/>
    <s v="04-08-2026 14:07"/>
    <s v="Timothy Weaver"/>
    <x v="0"/>
    <s v="timothy.weaver591@gmail.com"/>
    <s v="Resistance Bands Set"/>
    <x v="12"/>
    <s v="Sports &amp; Outdoors"/>
    <x v="13"/>
    <n v="1"/>
    <n v="13.99"/>
    <n v="13.99"/>
    <s v="VIP15"/>
    <x v="4"/>
    <n v="2.1"/>
    <n v="2.1"/>
    <s v="Number"/>
    <n v="4.99"/>
    <n v="4.99"/>
    <n v="16.88"/>
    <n v="16.88"/>
    <n v="16.880000000000003"/>
    <s v="True"/>
    <s v="Normal"/>
    <s v="Credit Card"/>
    <x v="2"/>
    <s v="fulfilled"/>
    <s v="Australia"/>
    <m/>
    <s v="Not Required"/>
    <s v="North Reginaside"/>
  </r>
  <r>
    <s v="#1461"/>
    <n v="1"/>
    <d v="2026-08-04T14:02:10"/>
    <d v="2026-08-04T14:02:10"/>
    <s v="Matthew Newman"/>
    <x v="0"/>
    <s v="matthew.newman714@gmail.com"/>
    <s v="Resistance Bands Set"/>
    <x v="12"/>
    <s v="Sports &amp; Outdoors"/>
    <x v="13"/>
    <n v="1"/>
    <n v="13.99"/>
    <n v="13.99"/>
    <s v="WELCOME10"/>
    <x v="1"/>
    <s v="$1.40"/>
    <n v="1.4"/>
    <s v="Number"/>
    <n v="4.99"/>
    <n v="4.99"/>
    <n v="17.579999999999998"/>
    <n v="17.579999999999998"/>
    <n v="17.579999999999998"/>
    <s v="True"/>
    <s v="Normal"/>
    <s v="Shopify Payments"/>
    <x v="0"/>
    <s v="fulfilled"/>
    <s v="Germany"/>
    <m/>
    <s v="Not Required"/>
    <s v="Michaelborough"/>
  </r>
  <r>
    <s v="#1501"/>
    <n v="1"/>
    <d v="2026-08-04T13:56:31"/>
    <d v="2026-08-04T13:56:31"/>
    <s v="Darin Alvarez"/>
    <x v="0"/>
    <s v="darin.alvarez843@gmail.com"/>
    <s v="Resistance Bands Set"/>
    <x v="12"/>
    <s v="Sports &amp; Outdoors"/>
    <x v="13"/>
    <n v="2"/>
    <s v="$13.99"/>
    <n v="13.99"/>
    <s v="SAVE20"/>
    <x v="2"/>
    <n v="5.6"/>
    <n v="5.6"/>
    <s v="Number"/>
    <n v="7.99"/>
    <n v="7.99"/>
    <n v="30.37"/>
    <n v="30.37"/>
    <n v="30.370000000000005"/>
    <s v="True"/>
    <s v="Normal"/>
    <s v="Apple Pay"/>
    <x v="3"/>
    <s v="fulfilled"/>
    <s v="Canada"/>
    <m/>
    <s v="Not Required"/>
    <s v="East Taylorfurt"/>
  </r>
  <r>
    <s v="#1506"/>
    <n v="1"/>
    <d v="2026-08-04T13:58:39"/>
    <d v="2026-08-04T13:58:39"/>
    <s v="Patrick Richardson"/>
    <x v="0"/>
    <s v="patrick.richardson270@icloud.com"/>
    <s v="Resistance Bands Set"/>
    <x v="12"/>
    <s v="Sports &amp; Outdoors"/>
    <x v="13"/>
    <n v="2"/>
    <n v="13.99"/>
    <n v="13.99"/>
    <s v="SAVE20"/>
    <x v="2"/>
    <n v="5.6"/>
    <n v="5.6"/>
    <s v="Number"/>
    <n v="7.99"/>
    <n v="7.99"/>
    <n v="30.37"/>
    <n v="30.37"/>
    <n v="30.370000000000005"/>
    <s v="True"/>
    <s v="Normal"/>
    <s v="Apple Pay"/>
    <x v="0"/>
    <s v="fulfilled"/>
    <s v="United States"/>
    <s v="Ohio"/>
    <s v="Valid"/>
    <s v="New Stephen"/>
  </r>
  <r>
    <s v="#1517"/>
    <n v="1"/>
    <d v="2026-08-04T00:00:00"/>
    <s v="04-08-2026 14:00"/>
    <s v="Justin Mcguire"/>
    <x v="0"/>
    <s v="justin.mcguire224@icloud.com"/>
    <s v="Resistance Bands Set"/>
    <x v="12"/>
    <s v="Sports &amp; Outdoors"/>
    <x v="13"/>
    <n v="1"/>
    <s v="$13.99"/>
    <n v="13.99"/>
    <m/>
    <x v="0"/>
    <n v="0"/>
    <n v="0"/>
    <s v="Number"/>
    <n v="4.99"/>
    <n v="4.99"/>
    <n v="18.98"/>
    <n v="18.98"/>
    <n v="18.98"/>
    <s v="True"/>
    <s v="Normal"/>
    <s v="Google Pay"/>
    <x v="0"/>
    <s v="pending"/>
    <s v="United States"/>
    <s v="Georgia"/>
    <s v="Valid"/>
    <s v="Lake Lisa"/>
  </r>
  <r>
    <s v="#1528"/>
    <n v="1"/>
    <d v="2026-08-04T14:03:12"/>
    <d v="2026-08-04T14:03:12"/>
    <s v="Nicole Taylor"/>
    <x v="0"/>
    <s v="nicole.taylor607@icloud.com"/>
    <s v="Resistance Bands Set"/>
    <x v="12"/>
    <s v="Sports &amp; Outdoors"/>
    <x v="13"/>
    <n v="1"/>
    <n v="13.99"/>
    <n v="13.99"/>
    <m/>
    <x v="0"/>
    <n v="0"/>
    <n v="0"/>
    <s v="Number"/>
    <n v="5.99"/>
    <n v="5.99"/>
    <s v="$19.98"/>
    <n v="19.98"/>
    <n v="19.98"/>
    <s v="True"/>
    <s v="Normal"/>
    <s v="Google Pay"/>
    <x v="2"/>
    <s v="refunded"/>
    <s v="United States"/>
    <s v="Florida"/>
    <s v="Valid"/>
    <s v="Phillipsmouth"/>
  </r>
  <r>
    <s v="#1536"/>
    <n v="1"/>
    <d v="2026-08-04T14:02:52"/>
    <d v="2026-08-04T14:02:52"/>
    <s v="Nicholas Jarvis"/>
    <x v="0"/>
    <s v="nicholas.jarvis112@icloud.com"/>
    <s v="Resistance Bands Set"/>
    <x v="12"/>
    <s v="Sports &amp; Outdoors"/>
    <x v="13"/>
    <n v="1"/>
    <n v="13.99"/>
    <n v="13.99"/>
    <s v="SAVE20"/>
    <x v="2"/>
    <n v="2.8"/>
    <n v="2.8"/>
    <s v="Number"/>
    <n v="7.99"/>
    <n v="7.99"/>
    <n v="19.18"/>
    <n v="19.18"/>
    <n v="19.18"/>
    <s v="True"/>
    <s v="Normal"/>
    <s v="Shopify Payments"/>
    <x v="1"/>
    <s v="pending"/>
    <s v="Canada"/>
    <m/>
    <s v="Not Required"/>
    <s v="Angelatown"/>
  </r>
  <r>
    <s v="#1555"/>
    <n v="1"/>
    <d v="2026-08-04T14:08:10"/>
    <d v="2026-08-04T14:08:10"/>
    <s v="Samantha Robinson"/>
    <x v="0"/>
    <s v="samantha.robinson35@icloud.com"/>
    <s v="Resistance Bands Set"/>
    <x v="12"/>
    <s v="Sports &amp; Outdoors"/>
    <x v="13"/>
    <n v="2"/>
    <n v="13.99"/>
    <n v="13.99"/>
    <m/>
    <x v="0"/>
    <n v="0"/>
    <n v="0"/>
    <s v="Number"/>
    <n v="5.99"/>
    <n v="5.99"/>
    <s v="$33.97"/>
    <n v="33.97"/>
    <n v="33.97"/>
    <s v="True"/>
    <s v="Normal"/>
    <s v="Apple Pay"/>
    <x v="0"/>
    <s v="pending"/>
    <s v="Australia"/>
    <m/>
    <s v="Not Required"/>
    <s v="Lake Kaylee"/>
  </r>
  <r>
    <s v="#1584"/>
    <n v="1"/>
    <d v="2026-08-04T14:04:11"/>
    <d v="2026-08-04T14:04:11"/>
    <s v="Brian Ruiz"/>
    <x v="0"/>
    <s v="brian.ruiz246@gmail.com"/>
    <s v="Resistance Bands Set"/>
    <x v="12"/>
    <s v="Sports &amp; Outdoors"/>
    <x v="13"/>
    <n v="2"/>
    <n v="13.99"/>
    <n v="13.99"/>
    <m/>
    <x v="0"/>
    <n v="0"/>
    <n v="0"/>
    <s v="Number"/>
    <n v="4.99"/>
    <n v="4.99"/>
    <n v="32.97"/>
    <n v="32.97"/>
    <n v="32.97"/>
    <s v="True"/>
    <s v="Normal"/>
    <s v="Credit Card"/>
    <x v="3"/>
    <s v="fulfilled"/>
    <s v="Germany"/>
    <m/>
    <s v="Not Required"/>
    <s v="Leahfort"/>
  </r>
  <r>
    <s v="#1585"/>
    <n v="1"/>
    <d v="2026-08-04T14:03:26"/>
    <d v="2026-08-04T14:03:26"/>
    <s v="Ronald Johnson"/>
    <x v="0"/>
    <s v="ronald.johnson972@icloud.com"/>
    <s v="Resistance Bands Set"/>
    <x v="12"/>
    <s v="Sports &amp; Outdoors"/>
    <x v="13"/>
    <n v="1"/>
    <n v="13.99"/>
    <n v="13.99"/>
    <s v="SAVE20"/>
    <x v="2"/>
    <n v="2.8"/>
    <n v="2.8"/>
    <s v="Number"/>
    <n v="4.99"/>
    <n v="4.99"/>
    <n v="16.18"/>
    <n v="16.18"/>
    <n v="16.18"/>
    <s v="True"/>
    <s v="Normal"/>
    <s v="Credit Card"/>
    <x v="0"/>
    <s v="fulfilled"/>
    <s v="Germany"/>
    <m/>
    <s v="Not Required"/>
    <s v="Hamptonbury"/>
  </r>
  <r>
    <s v="#1587"/>
    <n v="1"/>
    <d v="2026-04-08T00:00:00"/>
    <s v="08/04/2026"/>
    <s v="Lauren Nguyen"/>
    <x v="0"/>
    <s v="lauren.nguyen819@outlook.com"/>
    <s v="Resistance Bands Set"/>
    <x v="12"/>
    <s v="Sports &amp; Outdoors"/>
    <x v="13"/>
    <n v="1"/>
    <n v="13.99"/>
    <n v="13.99"/>
    <m/>
    <x v="0"/>
    <n v="0"/>
    <n v="0"/>
    <s v="Number"/>
    <n v="4.99"/>
    <n v="4.99"/>
    <n v="18.98"/>
    <n v="18.98"/>
    <n v="18.98"/>
    <s v="True"/>
    <s v="Normal"/>
    <s v="Google Pay"/>
    <x v="2"/>
    <s v="refunded"/>
    <s v="United Kingdom"/>
    <m/>
    <s v="Not Required"/>
    <s v="Lake Ashley"/>
  </r>
  <r>
    <s v="#1601"/>
    <n v="1"/>
    <d v="2026-08-04T14:07:21"/>
    <d v="2026-08-04T14:07:21"/>
    <s v="Tasha Morales"/>
    <x v="0"/>
    <s v="tasha.morales378@outlook.com"/>
    <s v="Resistance Bands Set"/>
    <x v="12"/>
    <s v="Sports &amp; Outdoors"/>
    <x v="13"/>
    <n v="1"/>
    <n v="13.99"/>
    <n v="13.99"/>
    <s v="WELCOME10"/>
    <x v="1"/>
    <n v="1.4"/>
    <n v="1.4"/>
    <s v="Number"/>
    <n v="5.99"/>
    <n v="5.99"/>
    <n v="18.579999999999998"/>
    <n v="18.579999999999998"/>
    <n v="18.579999999999998"/>
    <s v="True"/>
    <s v="Normal"/>
    <s v="PayPal"/>
    <x v="0"/>
    <s v="cancelled"/>
    <s v="United States"/>
    <s v="Arizona"/>
    <s v="Valid"/>
    <s v="New Katherine"/>
  </r>
  <r>
    <s v="#1654"/>
    <n v="1"/>
    <d v="2026-04-08T00:00:00"/>
    <s v="08/04/2026"/>
    <s v="Cheryl Coleman"/>
    <x v="0"/>
    <s v="cheryl.coleman261@icloud.com"/>
    <s v="Resistance Bands Set"/>
    <x v="12"/>
    <s v="Sports &amp; Outdoors"/>
    <x v="13"/>
    <n v="1"/>
    <n v="13.99"/>
    <n v="13.99"/>
    <m/>
    <x v="0"/>
    <n v="0"/>
    <n v="0"/>
    <s v="Number"/>
    <n v="4.99"/>
    <n v="4.99"/>
    <n v="18.98"/>
    <n v="18.98"/>
    <n v="18.98"/>
    <s v="True"/>
    <s v="Normal"/>
    <s v="Shopify Payments"/>
    <x v="2"/>
    <s v="pending"/>
    <s v="Pakistan"/>
    <m/>
    <s v="Not Required"/>
    <s v="Meganfort"/>
  </r>
  <r>
    <s v="#1662"/>
    <n v="1"/>
    <d v="2026-08-04T14:07:23"/>
    <d v="2026-08-04T14:07:23"/>
    <s v="Johnathan Sloan"/>
    <x v="0"/>
    <s v="johnathan.sloan721@outlook.com"/>
    <s v="Resistance Bands Set"/>
    <x v="12"/>
    <s v="Sports &amp; Outdoors"/>
    <x v="13"/>
    <n v="1"/>
    <n v="13.99"/>
    <n v="13.99"/>
    <s v="SAVE20 "/>
    <x v="2"/>
    <n v="2.8"/>
    <n v="2.8"/>
    <s v="Number"/>
    <n v="7.99"/>
    <n v="7.99"/>
    <n v="19.18"/>
    <n v="19.18"/>
    <n v="19.18"/>
    <s v="True"/>
    <s v="Normal"/>
    <s v="Google Pay"/>
    <x v="0"/>
    <s v="fulfilled"/>
    <s v="Pakistan"/>
    <m/>
    <s v="Not Required"/>
    <s v="North Jefferyberg"/>
  </r>
  <r>
    <s v="#1664"/>
    <n v="1"/>
    <d v="2026-08-04T13:57:52"/>
    <d v="2026-08-04T13:57:52"/>
    <s v="Dustin Mccoy"/>
    <x v="0"/>
    <s v="dustin.mccoy570@gmail.com"/>
    <s v="Resistance Bands Set"/>
    <x v="12"/>
    <s v="Sports &amp; Outdoors"/>
    <x v="13"/>
    <n v="1"/>
    <n v="13.99"/>
    <n v="13.99"/>
    <s v="BFCM25"/>
    <x v="3"/>
    <n v="3.5"/>
    <n v="3.5"/>
    <s v="Number"/>
    <n v="4.99"/>
    <n v="4.99"/>
    <n v="15.48"/>
    <n v="15.48"/>
    <n v="15.48"/>
    <s v="True"/>
    <s v="Normal"/>
    <s v="Apple Pay"/>
    <x v="0"/>
    <s v="fulfilled"/>
    <s v="Canada"/>
    <m/>
    <s v="Not Required"/>
    <s v="Larryfort"/>
  </r>
  <r>
    <s v="#1712"/>
    <n v="1"/>
    <d v="2026-08-04T13:59:48"/>
    <d v="2026-08-04T13:59:48"/>
    <s v="David Hayden"/>
    <x v="0"/>
    <s v="david.hayden411@outlook.com"/>
    <s v="Resistance Bands Set"/>
    <x v="12"/>
    <s v="Sports &amp; Outdoors"/>
    <x v="13"/>
    <n v="1"/>
    <n v="13.99"/>
    <n v="13.99"/>
    <s v="SAVE20"/>
    <x v="2"/>
    <n v="2.8"/>
    <n v="2.8"/>
    <s v="Number"/>
    <n v="5.99"/>
    <n v="5.99"/>
    <n v="17.18"/>
    <n v="17.18"/>
    <n v="17.18"/>
    <s v="True"/>
    <s v="Normal"/>
    <s v="Apple Pay"/>
    <x v="3"/>
    <s v="cancelled"/>
    <s v="Australia"/>
    <m/>
    <s v="Not Required"/>
    <s v="New Daniel"/>
  </r>
  <r>
    <s v="#1739"/>
    <n v="1"/>
    <d v="2026-08-04T14:01:23"/>
    <d v="2026-08-04T14:01:23"/>
    <s v="Joshua Medina"/>
    <x v="0"/>
    <s v="joshua.medina38@yahoo.com"/>
    <s v="Resistance Bands Set"/>
    <x v="12"/>
    <s v="Sports &amp; Outdoors"/>
    <x v="13"/>
    <n v="1"/>
    <n v="13.99"/>
    <n v="13.99"/>
    <m/>
    <x v="0"/>
    <n v="0"/>
    <n v="0"/>
    <s v="Number"/>
    <n v="4.99"/>
    <n v="4.99"/>
    <n v="18.98"/>
    <n v="18.98"/>
    <n v="18.98"/>
    <s v="True"/>
    <s v="Normal"/>
    <s v="Apple Pay"/>
    <x v="0"/>
    <s v="refunded"/>
    <s v="United Kingdom"/>
    <m/>
    <s v="Not Required"/>
    <s v="Lake Jamesbury"/>
  </r>
  <r>
    <s v="#1792"/>
    <n v="1"/>
    <d v="2026-04-08T00:00:00"/>
    <s v="08/04/2026"/>
    <s v="Karen Bautista"/>
    <x v="0"/>
    <s v="karen.bautista779@icloud.com"/>
    <s v="Resistance Bands Set"/>
    <x v="12"/>
    <s v="Sports &amp; Outdoors"/>
    <x v="13"/>
    <n v="1"/>
    <n v="13.99"/>
    <n v="13.99"/>
    <s v="BFCM25"/>
    <x v="3"/>
    <n v="3.5"/>
    <n v="3.5"/>
    <s v="Number"/>
    <n v="7.99"/>
    <n v="7.99"/>
    <n v="18.48"/>
    <n v="18.48"/>
    <n v="18.48"/>
    <s v="True"/>
    <s v="Normal"/>
    <s v="Credit Card"/>
    <x v="0"/>
    <s v="fulfilled"/>
    <s v="United States"/>
    <s v="Arizona"/>
    <s v="Valid"/>
    <s v="Boylechester"/>
  </r>
  <r>
    <s v="#1820"/>
    <n v="1"/>
    <d v="2026-08-04T00:00:00"/>
    <s v="Aug 04, 2026"/>
    <s v="Albert Phillips"/>
    <x v="0"/>
    <s v="albert.phillips237@gmail.com"/>
    <s v="Resistance Bands Set"/>
    <x v="12"/>
    <s v="Sports &amp; Outdoors"/>
    <x v="13"/>
    <n v="1"/>
    <n v="13.99"/>
    <n v="13.99"/>
    <s v="WELCOME10"/>
    <x v="1"/>
    <s v="$1.40"/>
    <n v="1.4"/>
    <s v="Number"/>
    <n v="7.99"/>
    <n v="7.99"/>
    <s v="$20.58"/>
    <n v="20.58"/>
    <n v="20.58"/>
    <s v="True"/>
    <s v="Normal"/>
    <s v="Apple Pay"/>
    <x v="0"/>
    <s v="fulfilled"/>
    <s v="United States"/>
    <s v="North Carolina"/>
    <s v="Valid"/>
    <s v="Berrystad"/>
  </r>
  <r>
    <s v="#1851"/>
    <n v="1"/>
    <d v="2026-08-04T14:01:08"/>
    <d v="2026-08-04T14:01:08"/>
    <s v="Joshua Miller"/>
    <x v="0"/>
    <s v="joshua.miller362@gmail.com"/>
    <s v="Resistance Bands Set"/>
    <x v="12"/>
    <s v="Sports &amp; Outdoors"/>
    <x v="13"/>
    <n v="2"/>
    <n v="13.99"/>
    <n v="13.99"/>
    <s v="SAVE20"/>
    <x v="2"/>
    <n v="5.6"/>
    <n v="5.6"/>
    <s v="Number"/>
    <n v="7.99"/>
    <n v="7.99"/>
    <n v="30.37"/>
    <n v="30.37"/>
    <n v="30.370000000000005"/>
    <s v="True"/>
    <s v="Normal"/>
    <s v="PayPal"/>
    <x v="1"/>
    <s v="cancelled"/>
    <s v="Canada"/>
    <m/>
    <s v="Not Required"/>
    <s v="Jonesfort"/>
  </r>
  <r>
    <s v="#1868"/>
    <n v="1"/>
    <d v="2026-08-04T00:00:00"/>
    <s v="2026-08-04"/>
    <s v="Kayla Cruz"/>
    <x v="0"/>
    <s v="kayla.cruz151@outlook.com"/>
    <s v="Resistance Bands Set"/>
    <x v="12"/>
    <s v="Sports &amp; Outdoors"/>
    <x v="13"/>
    <n v="1"/>
    <n v="13.99"/>
    <n v="13.99"/>
    <s v="SAVE20"/>
    <x v="2"/>
    <s v="$2.80"/>
    <n v="2.8"/>
    <s v="Number"/>
    <n v="4.99"/>
    <n v="4.99"/>
    <n v="16.18"/>
    <n v="16.18"/>
    <n v="16.18"/>
    <s v="True"/>
    <s v="Normal"/>
    <s v="Google Pay"/>
    <x v="0"/>
    <s v="fulfilled"/>
    <s v="Pakistan"/>
    <m/>
    <s v="Not Required"/>
    <s v="West Amber"/>
  </r>
  <r>
    <s v="#1922"/>
    <n v="1"/>
    <d v="2026-08-04T14:03:00"/>
    <d v="2026-08-04T14:03:00"/>
    <s v="Brian Ruiz"/>
    <x v="0"/>
    <s v="brian.ruiz246@gmail.com"/>
    <s v="Resistance Bands Set"/>
    <x v="12"/>
    <s v="Sports &amp; Outdoors"/>
    <x v="13"/>
    <n v="1"/>
    <n v="13.99"/>
    <n v="13.99"/>
    <s v="SAVE20"/>
    <x v="2"/>
    <n v="2.8"/>
    <n v="2.8"/>
    <s v="Number"/>
    <n v="5.99"/>
    <n v="5.99"/>
    <s v="$17.18"/>
    <n v="17.18"/>
    <n v="17.18"/>
    <s v="True"/>
    <s v="Normal"/>
    <s v="Google Pay"/>
    <x v="0"/>
    <s v="pending"/>
    <s v="Germany"/>
    <m/>
    <s v="Not Required"/>
    <s v="Lake Jodi"/>
  </r>
  <r>
    <s v="#1956"/>
    <n v="1"/>
    <d v="2026-08-04T13:56:36"/>
    <d v="2026-08-04T13:56:36"/>
    <s v="Jacob Gibbs"/>
    <x v="0"/>
    <s v="jacob.gibbs527@gmail.com"/>
    <s v="Resistance Bands Set"/>
    <x v="12"/>
    <s v="Sports &amp; Outdoors"/>
    <x v="13"/>
    <n v="3"/>
    <n v="13.99"/>
    <n v="13.99"/>
    <m/>
    <x v="0"/>
    <n v="0"/>
    <n v="0"/>
    <s v="Number"/>
    <n v="7.99"/>
    <n v="7.99"/>
    <n v="49.96"/>
    <n v="49.96"/>
    <n v="49.96"/>
    <s v="True"/>
    <s v="Normal"/>
    <s v="Credit Card"/>
    <x v="0"/>
    <s v="fulfilled"/>
    <s v="United States"/>
    <s v="Washington"/>
    <s v="Valid"/>
    <s v="Danielstad"/>
  </r>
  <r>
    <s v="#1971"/>
    <n v="1"/>
    <d v="2026-08-04T00:00:00"/>
    <s v="04-08-2026 13:57"/>
    <s v="Brady Garcia"/>
    <x v="0"/>
    <s v="brady.garcia57@yahoo.com"/>
    <s v="Resistance Bands Set"/>
    <x v="12"/>
    <s v="Sports &amp; Outdoors"/>
    <x v="13"/>
    <n v="1"/>
    <n v="13.99"/>
    <n v="13.99"/>
    <s v="SAVE20"/>
    <x v="2"/>
    <n v="2.8"/>
    <n v="2.8"/>
    <s v="Number"/>
    <n v="7.99"/>
    <n v="7.99"/>
    <n v="19.18"/>
    <n v="19.18"/>
    <n v="19.18"/>
    <s v="True"/>
    <s v="Normal"/>
    <s v="Apple Pay"/>
    <x v="1"/>
    <s v="fulfilled"/>
    <s v="Australia"/>
    <m/>
    <s v="Not Required"/>
    <s v="Ryanhaven"/>
  </r>
  <r>
    <s v="#1972"/>
    <n v="1"/>
    <d v="2026-08-04T14:02:19"/>
    <d v="2026-08-04T14:02:19"/>
    <s v="Gerald Li"/>
    <x v="0"/>
    <s v="gerald.li856@icloud.com"/>
    <s v="Resistance Bands Set"/>
    <x v="12"/>
    <s v="Sports &amp; Outdoors"/>
    <x v="13"/>
    <n v="1"/>
    <n v="13.99"/>
    <n v="13.99"/>
    <s v="VIP15"/>
    <x v="4"/>
    <n v="2.1"/>
    <n v="2.1"/>
    <s v="Number"/>
    <n v="4.99"/>
    <n v="4.99"/>
    <n v="16.88"/>
    <n v="16.88"/>
    <n v="16.880000000000003"/>
    <s v="True"/>
    <s v="Normal"/>
    <s v="Google Pay"/>
    <x v="0"/>
    <s v="fulfilled"/>
    <s v="United States"/>
    <s v="Ohio"/>
    <s v="Valid"/>
    <s v="Timothymouth"/>
  </r>
  <r>
    <s v="#1985"/>
    <n v="1"/>
    <d v="2026-08-04T14:07:22"/>
    <d v="2026-08-04T14:07:22"/>
    <s v="Taylor Davis"/>
    <x v="0"/>
    <s v="taylor.davis403@outlook.com"/>
    <s v="Resistance Bands Set"/>
    <x v="12"/>
    <s v="Sports &amp; Outdoors"/>
    <x v="13"/>
    <n v="1"/>
    <n v="13.99"/>
    <n v="13.99"/>
    <m/>
    <x v="0"/>
    <n v="0"/>
    <n v="0"/>
    <s v="Number"/>
    <n v="7.99"/>
    <n v="7.99"/>
    <n v="21.98"/>
    <n v="21.98"/>
    <n v="21.98"/>
    <s v="True"/>
    <s v="Normal"/>
    <s v="Shopify Payments"/>
    <x v="0"/>
    <s v="fulfilled"/>
    <s v="United States"/>
    <s v="Georgia"/>
    <s v="Valid"/>
    <s v="Thompsontown"/>
  </r>
  <r>
    <s v="#2032"/>
    <n v="1"/>
    <d v="2026-08-04T14:00:39"/>
    <d v="2026-08-04T14:00:39"/>
    <s v="David Mcknight"/>
    <x v="0"/>
    <s v="david.mcknight827@gmail.com"/>
    <s v="Resistance Bands Set"/>
    <x v="12"/>
    <s v="Sports &amp; Outdoors"/>
    <x v="13"/>
    <n v="1"/>
    <n v="13.99"/>
    <n v="13.99"/>
    <s v="SAVE20"/>
    <x v="2"/>
    <n v="2.8"/>
    <n v="2.8"/>
    <s v="Number"/>
    <n v="4.99"/>
    <n v="4.99"/>
    <n v="16.18"/>
    <n v="16.18"/>
    <n v="16.18"/>
    <s v="True"/>
    <s v="Normal"/>
    <s v="Credit Card"/>
    <x v="0"/>
    <s v="fulfilled"/>
    <s v="United States"/>
    <s v="Washington"/>
    <s v="Valid"/>
    <s v="West Peter"/>
  </r>
  <r>
    <s v="#2047"/>
    <n v="1"/>
    <d v="2026-08-04T00:00:00"/>
    <s v="2026-08-04"/>
    <s v="Samuel Padilla"/>
    <x v="0"/>
    <s v="samuel.padilla79@gmail.com"/>
    <s v="Resistance Bands Set"/>
    <x v="12"/>
    <s v="Sports &amp; Outdoors"/>
    <x v="13"/>
    <n v="2"/>
    <n v="13.99"/>
    <n v="13.99"/>
    <s v="VIP15"/>
    <x v="4"/>
    <n v="4.2"/>
    <n v="4.2"/>
    <s v="Number"/>
    <n v="7.99"/>
    <n v="7.99"/>
    <n v="31.77"/>
    <n v="31.77"/>
    <n v="31.770000000000003"/>
    <s v="True"/>
    <s v="Normal"/>
    <s v="Apple Pay"/>
    <x v="0"/>
    <s v="cancelled"/>
    <s v="United States"/>
    <s v="Arizona"/>
    <s v="Valid"/>
    <s v="Meganville"/>
  </r>
  <r>
    <s v="#2084"/>
    <n v="1"/>
    <d v="2026-08-04T14:02:40"/>
    <d v="2026-08-04T14:02:40"/>
    <s v="John Dunlap"/>
    <x v="0"/>
    <s v="john.dunlap479@outlook.com"/>
    <s v="Resistance Bands Set"/>
    <x v="12"/>
    <s v="Sports &amp; Outdoors"/>
    <x v="13"/>
    <n v="3"/>
    <n v="13.99"/>
    <n v="13.99"/>
    <s v="SAVE20"/>
    <x v="2"/>
    <n v="8.39"/>
    <n v="8.39"/>
    <s v="Number"/>
    <n v="7.99"/>
    <n v="7.99"/>
    <n v="41.57"/>
    <n v="41.57"/>
    <n v="41.57"/>
    <s v="True"/>
    <s v="Normal"/>
    <s v="Credit Card"/>
    <x v="2"/>
    <s v="fulfilled"/>
    <s v="Australia"/>
    <m/>
    <s v="Not Required"/>
    <s v="Luisstad"/>
  </r>
  <r>
    <s v="#2118"/>
    <n v="1"/>
    <d v="2026-08-04T00:00:00"/>
    <s v="04-08-2026 14:08"/>
    <s v="Mary Garcia"/>
    <x v="0"/>
    <s v="mary.garcia899@icloud.com"/>
    <s v="Resistance Bands Set"/>
    <x v="12"/>
    <s v="Sports &amp; Outdoors"/>
    <x v="13"/>
    <n v="1"/>
    <n v="13.99"/>
    <n v="13.99"/>
    <s v="VIP15"/>
    <x v="4"/>
    <n v="2.1"/>
    <n v="2.1"/>
    <s v="Number"/>
    <n v="5.99"/>
    <n v="5.99"/>
    <n v="17.88"/>
    <n v="17.88"/>
    <n v="17.880000000000003"/>
    <s v="True"/>
    <s v="Normal"/>
    <s v="Shopify Payments"/>
    <x v="3"/>
    <s v="fulfilled"/>
    <s v="Canada"/>
    <m/>
    <s v="Not Required"/>
    <s v="East Robertmouth"/>
  </r>
  <r>
    <s v="#2259"/>
    <n v="1"/>
    <d v="2026-08-04T14:02:17"/>
    <d v="2026-08-04T14:02:17"/>
    <s v="Karen Lewis"/>
    <x v="0"/>
    <s v="karen.lewis137@icloud.com"/>
    <s v="Resistance Bands Set"/>
    <x v="12"/>
    <s v="Sports &amp; Outdoors"/>
    <x v="13"/>
    <n v="1"/>
    <n v="13.99"/>
    <n v="13.99"/>
    <m/>
    <x v="0"/>
    <n v="0"/>
    <n v="0"/>
    <s v="Number"/>
    <n v="5.99"/>
    <n v="5.99"/>
    <n v="19.98"/>
    <n v="19.98"/>
    <n v="19.98"/>
    <s v="True"/>
    <s v="Normal"/>
    <s v="Google Pay"/>
    <x v="1"/>
    <s v="fulfilled"/>
    <s v="Australia"/>
    <m/>
    <s v="Not Required"/>
    <s v="Port Tylerstad"/>
  </r>
  <r>
    <s v="#2273"/>
    <n v="1"/>
    <d v="2026-08-04T14:07:38"/>
    <d v="2026-08-04T14:07:38"/>
    <s v="Christopher Harrington"/>
    <x v="0"/>
    <s v="christopher.harrington960@gmail.com"/>
    <s v="Resistance Bands Set"/>
    <x v="12"/>
    <s v="Sports &amp; Outdoors"/>
    <x v="13"/>
    <n v="2"/>
    <n v="13.99"/>
    <n v="13.99"/>
    <m/>
    <x v="0"/>
    <n v="0"/>
    <n v="0"/>
    <s v="Number"/>
    <n v="7.99"/>
    <n v="7.99"/>
    <n v="35.97"/>
    <n v="35.97"/>
    <n v="35.97"/>
    <s v="True"/>
    <s v="Normal"/>
    <s v="PayPal"/>
    <x v="1"/>
    <s v="fulfilled"/>
    <s v="Australia"/>
    <m/>
    <s v="Not Required"/>
    <s v="Wrighttown"/>
  </r>
  <r>
    <s v="#2307"/>
    <n v="1"/>
    <d v="2026-08-04T14:01:36"/>
    <d v="2026-08-04T14:01:36"/>
    <s v="Natalie Dixon"/>
    <x v="0"/>
    <s v="natalie.dixon388@outlook.com"/>
    <s v="Resistance Bands Set"/>
    <x v="12"/>
    <s v="Sports &amp; Outdoors"/>
    <x v="13"/>
    <n v="1"/>
    <n v="13.99"/>
    <n v="13.99"/>
    <m/>
    <x v="0"/>
    <n v="0"/>
    <n v="0"/>
    <s v="Number"/>
    <n v="5.99"/>
    <n v="5.99"/>
    <n v="19.98"/>
    <n v="19.98"/>
    <n v="19.98"/>
    <s v="True"/>
    <s v="Normal"/>
    <s v="Google Pay"/>
    <x v="0"/>
    <s v="fulfilled"/>
    <s v="United States"/>
    <s v="WA"/>
    <s v="Valid"/>
    <s v="Jennifershire"/>
  </r>
  <r>
    <s v="#2312"/>
    <n v="1"/>
    <d v="2026-08-04T14:05:46"/>
    <d v="2026-08-04T14:05:46"/>
    <s v="Matthew Riley"/>
    <x v="0"/>
    <s v="matthew.riley309@yahoo.com"/>
    <s v="Resistance Bands Set"/>
    <x v="12"/>
    <s v="Sports &amp; Outdoors"/>
    <x v="13"/>
    <n v="1"/>
    <n v="13.99"/>
    <n v="13.99"/>
    <s v="FREESHIP"/>
    <x v="5"/>
    <n v="0"/>
    <n v="0"/>
    <s v="Number"/>
    <n v="0"/>
    <n v="0"/>
    <n v="13.99"/>
    <n v="13.99"/>
    <n v="13.99"/>
    <s v="True"/>
    <s v="Normal"/>
    <s v="Google Pay"/>
    <x v="1"/>
    <s v="fulfilled"/>
    <s v="Canada"/>
    <m/>
    <s v="Not Required"/>
    <s v="Velezshire"/>
  </r>
  <r>
    <s v="#2345"/>
    <n v="1"/>
    <d v="2026-08-04T13:58:15"/>
    <d v="2026-08-04T13:58:15"/>
    <s v="David Duke"/>
    <x v="0"/>
    <s v="david.duke814@icloud.com"/>
    <s v="Resistance Bands Set"/>
    <x v="12"/>
    <s v="Sports &amp; Outdoors"/>
    <x v="13"/>
    <n v="1"/>
    <n v="13.99"/>
    <n v="13.99"/>
    <s v="WELCOME10"/>
    <x v="1"/>
    <n v="1.4"/>
    <n v="1.4"/>
    <s v="Number"/>
    <n v="7.99"/>
    <n v="7.99"/>
    <n v="20.58"/>
    <n v="20.58"/>
    <n v="20.58"/>
    <s v="True"/>
    <s v="Normal"/>
    <s v="Credit Card"/>
    <x v="0"/>
    <s v="fulfilled"/>
    <s v="United States"/>
    <s v="Florida"/>
    <s v="Valid"/>
    <s v="South Erik"/>
  </r>
  <r>
    <s v="#2363"/>
    <n v="1"/>
    <d v="2026-08-04T14:00:00"/>
    <d v="2026-08-04T14:00:00"/>
    <s v="Tyler Williams"/>
    <x v="0"/>
    <s v="tyler.williams938@outlook.com"/>
    <s v="Resistance Bands Set"/>
    <x v="12"/>
    <s v="Sports &amp; Outdoors"/>
    <x v="13"/>
    <n v="1"/>
    <n v="13.99"/>
    <n v="13.99"/>
    <s v="BFCM25"/>
    <x v="3"/>
    <n v="3.5"/>
    <n v="3.5"/>
    <s v="Number"/>
    <n v="7.99"/>
    <n v="7.99"/>
    <n v="18.48"/>
    <n v="18.48"/>
    <n v="18.48"/>
    <s v="True"/>
    <s v="Normal"/>
    <s v="PayPal"/>
    <x v="0"/>
    <s v="fulfilled"/>
    <s v="Australia"/>
    <m/>
    <s v="Not Required"/>
    <s v="Rebeccaton"/>
  </r>
  <r>
    <s v="#2378"/>
    <n v="1"/>
    <d v="2026-08-04T14:00:03"/>
    <d v="2026-08-04T14:00:03"/>
    <s v="Sheryl Nguyen"/>
    <x v="0"/>
    <s v="sheryl.nguyen272@outlook.com"/>
    <s v="Resistance Bands Set"/>
    <x v="12"/>
    <s v="Sports &amp; Outdoors"/>
    <x v="13"/>
    <n v="1"/>
    <s v="$13.99"/>
    <n v="13.99"/>
    <s v="BFCM25"/>
    <x v="3"/>
    <n v="3.5"/>
    <n v="3.5"/>
    <s v="Number"/>
    <n v="4.99"/>
    <n v="4.99"/>
    <n v="15.48"/>
    <n v="15.48"/>
    <n v="15.48"/>
    <s v="True"/>
    <s v="Normal"/>
    <s v="PayPal"/>
    <x v="1"/>
    <s v="fulfilled"/>
    <s v="United States"/>
    <s v="California"/>
    <s v="Valid"/>
    <s v="Turnerchester"/>
  </r>
  <r>
    <s v="#2426"/>
    <n v="1"/>
    <d v="2026-08-04T14:01:17"/>
    <d v="2026-08-04T14:01:17"/>
    <s v="Christopher Harrington"/>
    <x v="0"/>
    <s v="christopher.harrington960@gmail.com"/>
    <s v="Resistance Bands Set"/>
    <x v="12"/>
    <s v="Sports &amp; Outdoors"/>
    <x v="13"/>
    <n v="2"/>
    <n v="13.99"/>
    <n v="13.99"/>
    <s v="BFCM25"/>
    <x v="3"/>
    <n v="7"/>
    <n v="7"/>
    <s v="Number"/>
    <n v="7.99"/>
    <n v="7.99"/>
    <n v="28.97"/>
    <n v="28.97"/>
    <n v="28.97"/>
    <s v="True"/>
    <s v="Normal"/>
    <s v="PayPal"/>
    <x v="3"/>
    <s v="fulfilled"/>
    <s v="Australia"/>
    <m/>
    <s v="Not Required"/>
    <s v="Brownmouth"/>
  </r>
  <r>
    <s v="#2539"/>
    <n v="1"/>
    <d v="2026-04-08T00:00:00"/>
    <s v="08/04/2026"/>
    <s v="David Duke"/>
    <x v="0"/>
    <s v="david.duke814@icloud.com"/>
    <s v="Resistance Bands Set"/>
    <x v="12"/>
    <s v="Sports &amp; Outdoors"/>
    <x v="13"/>
    <n v="1"/>
    <n v="13.99"/>
    <n v="13.99"/>
    <m/>
    <x v="0"/>
    <n v="0"/>
    <n v="0"/>
    <s v="Number"/>
    <n v="5.99"/>
    <n v="5.99"/>
    <n v="19.98"/>
    <n v="19.98"/>
    <n v="19.98"/>
    <s v="True"/>
    <s v="Normal"/>
    <s v="Apple Pay"/>
    <x v="2"/>
    <s v="fulfilled"/>
    <s v="United States"/>
    <s v="Georgia"/>
    <s v="Valid"/>
    <s v="Lake George"/>
  </r>
  <r>
    <s v="#2543"/>
    <n v="1"/>
    <d v="2026-08-04T14:03:11"/>
    <d v="2026-08-04T14:03:11"/>
    <s v="Monica Hicks"/>
    <x v="0"/>
    <s v="monica.hicks473@yahoo.com"/>
    <s v="Resistance Bands Set"/>
    <x v="12"/>
    <s v="Sports &amp; Outdoors"/>
    <x v="13"/>
    <n v="1"/>
    <n v="13.99"/>
    <n v="13.99"/>
    <s v="BFCM25"/>
    <x v="3"/>
    <n v="3.5"/>
    <n v="3.5"/>
    <s v="Number"/>
    <n v="4.99"/>
    <n v="4.99"/>
    <n v="15.48"/>
    <n v="15.48"/>
    <n v="15.48"/>
    <s v="True"/>
    <s v="Normal"/>
    <s v="PayPal"/>
    <x v="0"/>
    <s v="pending"/>
    <s v="United States"/>
    <s v="Florida"/>
    <s v="Valid"/>
    <s v="Brownchester"/>
  </r>
  <r>
    <s v="#2558"/>
    <n v="1"/>
    <d v="2026-08-04T14:00:15"/>
    <d v="2026-08-04T14:00:15"/>
    <s v="Lauren Nguyen"/>
    <x v="1"/>
    <m/>
    <s v="Resistance Bands Set"/>
    <x v="12"/>
    <s v="Sports &amp; Outdoors"/>
    <x v="13"/>
    <n v="2"/>
    <n v="13.99"/>
    <n v="13.99"/>
    <s v="BFCM25"/>
    <x v="3"/>
    <n v="7"/>
    <n v="7"/>
    <s v="Number"/>
    <n v="5.99"/>
    <n v="5.99"/>
    <n v="26.97"/>
    <n v="26.97"/>
    <n v="26.97"/>
    <s v="True"/>
    <s v="Normal"/>
    <s v="Apple Pay"/>
    <x v="0"/>
    <s v="fulfilled"/>
    <s v="United Kingdom"/>
    <m/>
    <s v="Not Required"/>
    <s v="North Lauraburgh"/>
  </r>
  <r>
    <s v="#2644"/>
    <n v="1"/>
    <d v="2026-08-04T14:02:37"/>
    <d v="2026-08-04T14:02:37"/>
    <s v="Tracy Dominguez"/>
    <x v="0"/>
    <s v="tracy.dominguez23@gmail.com"/>
    <s v="Resistance Bands Set"/>
    <x v="12"/>
    <s v="Sports &amp; Outdoors"/>
    <x v="13"/>
    <n v="3"/>
    <n v="13.99"/>
    <n v="13.99"/>
    <s v="FREESHIP"/>
    <x v="5"/>
    <s v="$0.00"/>
    <n v="0"/>
    <s v="Number"/>
    <n v="0"/>
    <n v="0"/>
    <n v="41.97"/>
    <n v="41.97"/>
    <n v="41.97"/>
    <s v="True"/>
    <s v="Normal"/>
    <s v="PayPal"/>
    <x v="2"/>
    <s v="refunded"/>
    <s v="United States"/>
    <s v="Illinois"/>
    <s v="Valid"/>
    <s v="West Ashleyside"/>
  </r>
  <r>
    <s v="#2662"/>
    <n v="1"/>
    <d v="2026-08-04T14:05:08"/>
    <d v="2026-08-04T14:05:08"/>
    <s v="Denise Phillips"/>
    <x v="0"/>
    <s v="denise.phillips810@gmail.com"/>
    <s v="Resistance Bands Set"/>
    <x v="12"/>
    <s v="Sports &amp; Outdoors"/>
    <x v="13"/>
    <n v="1"/>
    <s v="$13.99"/>
    <n v="13.99"/>
    <s v="SAVE20"/>
    <x v="2"/>
    <s v="$2.80"/>
    <n v="2.8"/>
    <s v="Number"/>
    <n v="4.99"/>
    <n v="4.99"/>
    <n v="16.18"/>
    <n v="16.18"/>
    <n v="16.18"/>
    <s v="True"/>
    <s v="Normal"/>
    <s v="Shopify Payments"/>
    <x v="3"/>
    <s v="refunded"/>
    <s v="United States"/>
    <s v="Florida"/>
    <s v="Valid"/>
    <s v="Perkinsville"/>
  </r>
  <r>
    <s v="#2666"/>
    <n v="1"/>
    <d v="2026-08-04T14:01:38"/>
    <d v="2026-08-04T14:01:38"/>
    <s v="Glenn Smith"/>
    <x v="0"/>
    <s v="glenn.smith305@gmail.com"/>
    <s v="Resistance Bands Set"/>
    <x v="12"/>
    <s v="Sports &amp; Outdoors"/>
    <x v="13"/>
    <n v="1"/>
    <n v="13.99"/>
    <n v="13.99"/>
    <m/>
    <x v="0"/>
    <n v="0"/>
    <n v="0"/>
    <s v="Number"/>
    <n v="5.99"/>
    <n v="5.99"/>
    <n v="19.98"/>
    <n v="19.98"/>
    <n v="19.98"/>
    <s v="True"/>
    <s v="Normal"/>
    <s v="Google Pay"/>
    <x v="0"/>
    <s v="refunded"/>
    <s v="Canada"/>
    <m/>
    <s v="Not Required"/>
    <s v="Port Jasminefort"/>
  </r>
  <r>
    <s v="#2735"/>
    <n v="1"/>
    <d v="2026-08-04T13:59:33"/>
    <d v="2026-08-04T13:59:33"/>
    <s v="Sandra Wilson"/>
    <x v="0"/>
    <s v="sandra.wilson554@outlook.com"/>
    <s v="Resistance Bands Set"/>
    <x v="12"/>
    <s v="Sports &amp; Outdoors"/>
    <x v="13"/>
    <n v="1"/>
    <s v="$13.99"/>
    <n v="13.99"/>
    <m/>
    <x v="0"/>
    <n v="0"/>
    <n v="0"/>
    <s v="Number"/>
    <n v="4.99"/>
    <n v="4.99"/>
    <n v="18.98"/>
    <n v="18.98"/>
    <n v="18.98"/>
    <s v="True"/>
    <s v="Normal"/>
    <s v="Apple Pay"/>
    <x v="0"/>
    <s v="fulfilled"/>
    <s v="Canada"/>
    <m/>
    <s v="Not Required"/>
    <s v="North Deborah"/>
  </r>
  <r>
    <s v="#2740"/>
    <n v="1"/>
    <d v="2026-08-04T14:03:34"/>
    <d v="2026-08-04T14:03:34"/>
    <s v="Peter Alvarez"/>
    <x v="0"/>
    <s v="peter.alvarez465@yahoo.com"/>
    <s v="Resistance Bands Set"/>
    <x v="12"/>
    <s v="Sports &amp; Outdoors"/>
    <x v="13"/>
    <n v="1"/>
    <n v="13.99"/>
    <n v="13.99"/>
    <m/>
    <x v="0"/>
    <n v="0"/>
    <n v="0"/>
    <s v="Number"/>
    <n v="7.99"/>
    <n v="7.99"/>
    <n v="21.98"/>
    <n v="21.98"/>
    <n v="21.98"/>
    <s v="True"/>
    <s v="Normal"/>
    <s v="Apple Pay"/>
    <x v="2"/>
    <s v="fulfilled"/>
    <s v="United States"/>
    <s v="Texas"/>
    <s v="Valid"/>
    <s v="North Christopher"/>
  </r>
  <r>
    <s v="#2745"/>
    <n v="1"/>
    <d v="2026-08-04T13:56:08"/>
    <d v="2026-08-04T13:56:08"/>
    <s v="Christopher Harrington"/>
    <x v="0"/>
    <s v="christopher.harrington960@gmail.com"/>
    <s v="Resistance Bands Set"/>
    <x v="12"/>
    <s v="Sports &amp; Outdoors"/>
    <x v="13"/>
    <n v="2"/>
    <n v="13.99"/>
    <n v="13.99"/>
    <s v="BFCM25"/>
    <x v="3"/>
    <n v="7"/>
    <n v="7"/>
    <s v="Number"/>
    <n v="4.99"/>
    <n v="4.99"/>
    <n v="25.97"/>
    <n v="25.97"/>
    <n v="25.97"/>
    <s v="True"/>
    <s v="Normal"/>
    <s v="Google Pay"/>
    <x v="0"/>
    <s v="fulfilled"/>
    <s v="Australia"/>
    <m/>
    <s v="Not Required"/>
    <s v="Madisonfort"/>
  </r>
  <r>
    <s v="#2758"/>
    <n v="1"/>
    <d v="2026-08-04T13:59:35"/>
    <d v="2026-08-04T13:59:35"/>
    <s v="Elizabeth Johnston"/>
    <x v="0"/>
    <s v="elizabeth.johnston946@gmail.com"/>
    <s v="Resistance Bands Set"/>
    <x v="12"/>
    <s v="Sports &amp; Outdoors"/>
    <x v="13"/>
    <n v="1"/>
    <n v="13.99"/>
    <n v="13.99"/>
    <m/>
    <x v="0"/>
    <n v="0"/>
    <n v="0"/>
    <s v="Number"/>
    <n v="5.99"/>
    <n v="5.99"/>
    <n v="19.98"/>
    <n v="19.98"/>
    <n v="19.98"/>
    <s v="True"/>
    <s v="Normal"/>
    <s v="Google Pay"/>
    <x v="3"/>
    <s v="fulfilled"/>
    <s v="United Kingdom"/>
    <m/>
    <s v="Not Required"/>
    <s v="Gibbsfurt"/>
  </r>
  <r>
    <s v="#2761"/>
    <n v="1"/>
    <d v="2026-08-04T14:03:16"/>
    <d v="2026-08-04T14:03:16"/>
    <s v="Victoria Wilson"/>
    <x v="0"/>
    <s v="victoria.wilson114@gmail.com"/>
    <s v="Resistance Bands Set"/>
    <x v="12"/>
    <s v="Sports &amp; Outdoors"/>
    <x v="13"/>
    <n v="2"/>
    <n v="13.99"/>
    <n v="13.99"/>
    <s v="BFCM25"/>
    <x v="3"/>
    <n v="7"/>
    <n v="7"/>
    <s v="Number"/>
    <n v="7.99"/>
    <n v="7.99"/>
    <n v="28.97"/>
    <n v="28.97"/>
    <n v="28.97"/>
    <s v="True"/>
    <s v="Normal"/>
    <s v="Shopify Payments"/>
    <x v="1"/>
    <s v="pending"/>
    <s v="Canada"/>
    <m/>
    <s v="Not Required"/>
    <s v="East Sarahstad"/>
  </r>
  <r>
    <s v="#2771"/>
    <n v="1"/>
    <d v="2026-08-04T13:59:27"/>
    <d v="2026-08-04T13:59:27"/>
    <s v="Kenneth Davis"/>
    <x v="0"/>
    <s v="kenneth.davis106@yahoo.com"/>
    <s v="Resistance Bands Set"/>
    <x v="12"/>
    <s v="Sports &amp; Outdoors"/>
    <x v="13"/>
    <n v="1"/>
    <n v="13.99"/>
    <n v="13.99"/>
    <m/>
    <x v="0"/>
    <n v="0"/>
    <n v="0"/>
    <s v="Number"/>
    <n v="5.99"/>
    <n v="5.99"/>
    <n v="19.98"/>
    <n v="19.98"/>
    <n v="19.98"/>
    <s v="True"/>
    <s v="Normal"/>
    <s v="Google Pay"/>
    <x v="1"/>
    <s v="fulfilled"/>
    <s v="United States"/>
    <s v="Georgia"/>
    <s v="Valid"/>
    <s v="Roseton"/>
  </r>
  <r>
    <s v="#2772"/>
    <n v="1"/>
    <d v="2026-08-04T13:58:04"/>
    <d v="2026-08-04T13:58:04"/>
    <s v="Mary Garcia"/>
    <x v="0"/>
    <s v="mary.garcia899@icloud.com"/>
    <s v="Resistance Bands Set"/>
    <x v="12"/>
    <s v="Sports &amp; Outdoors"/>
    <x v="13"/>
    <n v="2"/>
    <s v="$13.99"/>
    <n v="13.99"/>
    <s v="VIP15"/>
    <x v="4"/>
    <n v="4.2"/>
    <n v="4.2"/>
    <s v="Number"/>
    <n v="4.99"/>
    <n v="4.99"/>
    <n v="28.77"/>
    <n v="28.77"/>
    <n v="28.770000000000003"/>
    <s v="True"/>
    <s v="Normal"/>
    <s v="Shopify Payments"/>
    <x v="0"/>
    <s v="fulfilled"/>
    <s v="Canada"/>
    <m/>
    <s v="Not Required"/>
    <s v="West Sarahchester"/>
  </r>
  <r>
    <s v="#2788"/>
    <n v="1"/>
    <d v="2026-08-04T13:53:44"/>
    <d v="2026-08-04T13:53:44"/>
    <s v="Charles Franco"/>
    <x v="0"/>
    <s v="charles.franco761@outlook.com"/>
    <s v="Resistance Bands Set"/>
    <x v="12"/>
    <s v="Sports &amp; Outdoors"/>
    <x v="13"/>
    <n v="1"/>
    <n v="13.99"/>
    <n v="13.99"/>
    <s v="SAVE20"/>
    <x v="2"/>
    <n v="2.8"/>
    <n v="2.8"/>
    <s v="Number"/>
    <n v="4.99"/>
    <n v="4.99"/>
    <n v="16.18"/>
    <n v="16.18"/>
    <n v="16.18"/>
    <s v="True"/>
    <s v="Normal"/>
    <s v="PayPal"/>
    <x v="0"/>
    <s v="fulfilled"/>
    <s v="United States"/>
    <s v="Florida"/>
    <s v="Valid"/>
    <s v="West Dawn"/>
  </r>
  <r>
    <s v="#2815"/>
    <n v="1"/>
    <d v="2026-08-04T00:00:00"/>
    <s v="2026-08-04"/>
    <s v="Danielle Franco"/>
    <x v="0"/>
    <s v="danielle.franco952@yahoo.com"/>
    <s v="Resistance Bands Set"/>
    <x v="12"/>
    <s v="Sports &amp; Outdoors"/>
    <x v="13"/>
    <n v="1"/>
    <n v="13.99"/>
    <n v="13.99"/>
    <s v="WELCOME10"/>
    <x v="1"/>
    <n v="1.4"/>
    <n v="1.4"/>
    <s v="Number"/>
    <n v="7.99"/>
    <n v="7.99"/>
    <n v="20.58"/>
    <n v="20.58"/>
    <n v="20.58"/>
    <s v="True"/>
    <s v="Normal"/>
    <s v="Credit Card"/>
    <x v="0"/>
    <s v="refunded"/>
    <s v="Germany"/>
    <m/>
    <s v="Not Required"/>
    <s v="Port Daniel"/>
  </r>
  <r>
    <s v="#2861"/>
    <n v="1"/>
    <d v="2026-08-04T00:00:00"/>
    <s v="Aug 04, 2026"/>
    <s v="Dawn Randolph"/>
    <x v="1"/>
    <m/>
    <s v="Resistance Bands Set"/>
    <x v="12"/>
    <s v="Sports &amp; Outdoors"/>
    <x v="13"/>
    <n v="1"/>
    <n v="13.99"/>
    <n v="13.99"/>
    <s v="SAVE20"/>
    <x v="2"/>
    <n v="2.8"/>
    <n v="2.8"/>
    <s v="Number"/>
    <n v="7.99"/>
    <n v="7.99"/>
    <n v="19.18"/>
    <n v="19.18"/>
    <n v="19.18"/>
    <s v="True"/>
    <s v="Normal"/>
    <s v="Google Pay"/>
    <x v="0"/>
    <s v="fulfilled"/>
    <s v="Pakistan"/>
    <m/>
    <s v="Not Required"/>
    <s v="West Brittanyborough"/>
  </r>
  <r>
    <s v="#2876"/>
    <n v="1"/>
    <d v="2026-08-04T14:01:02"/>
    <d v="2026-08-04T14:01:02"/>
    <s v="Heather Davis"/>
    <x v="0"/>
    <s v="heather.davis117@icloud.com"/>
    <s v="Resistance Bands Set"/>
    <x v="12"/>
    <s v="Sports &amp; Outdoors"/>
    <x v="13"/>
    <n v="1"/>
    <n v="13.99"/>
    <n v="13.99"/>
    <m/>
    <x v="0"/>
    <n v="0"/>
    <n v="0"/>
    <s v="Number"/>
    <n v="4.99"/>
    <n v="4.99"/>
    <n v="18.98"/>
    <n v="18.98"/>
    <n v="18.98"/>
    <s v="True"/>
    <s v="Normal"/>
    <s v="PayPal"/>
    <x v="3"/>
    <s v="fulfilled"/>
    <s v="Germany"/>
    <m/>
    <s v="Not Required"/>
    <s v="Richardville"/>
  </r>
  <r>
    <s v="#2883"/>
    <n v="1"/>
    <d v="2026-08-04T00:00:00"/>
    <s v="2026-08-04"/>
    <s v="Kenneth Davis"/>
    <x v="1"/>
    <m/>
    <s v="Resistance Bands Set"/>
    <x v="12"/>
    <s v="Sports &amp; Outdoors"/>
    <x v="13"/>
    <n v="3"/>
    <n v="13.99"/>
    <n v="13.99"/>
    <s v="SAVE20"/>
    <x v="2"/>
    <n v="8.39"/>
    <n v="8.39"/>
    <s v="Number"/>
    <n v="7.99"/>
    <n v="7.99"/>
    <n v="41.57"/>
    <n v="41.57"/>
    <n v="41.57"/>
    <s v="True"/>
    <s v="Normal"/>
    <s v="Apple Pay"/>
    <x v="0"/>
    <s v="cancelled"/>
    <s v="United States"/>
    <s v="Georgia"/>
    <s v="Valid"/>
    <s v="Teresaton"/>
  </r>
  <r>
    <s v="#2891"/>
    <n v="1"/>
    <d v="2026-08-04T13:53:44"/>
    <d v="2026-08-04T13:53:44"/>
    <s v="Austin Norris"/>
    <x v="0"/>
    <s v="austin.norris15@gmail.com"/>
    <s v="Resistance Bands Set"/>
    <x v="12"/>
    <s v="Sports &amp; Outdoors"/>
    <x v="13"/>
    <n v="2"/>
    <n v="13.99"/>
    <n v="13.99"/>
    <m/>
    <x v="0"/>
    <n v="0"/>
    <n v="0"/>
    <s v="Number"/>
    <n v="7.99"/>
    <n v="7.99"/>
    <s v="$35.97"/>
    <n v="35.97"/>
    <n v="35.97"/>
    <s v="True"/>
    <s v="Normal"/>
    <s v="Credit Card"/>
    <x v="2"/>
    <s v="cancelled"/>
    <s v="United States"/>
    <s v="FL"/>
    <s v="Valid"/>
    <s v="Angelicamouth"/>
  </r>
  <r>
    <s v="#2898"/>
    <n v="1"/>
    <d v="2026-08-04T14:02:01"/>
    <d v="2026-08-04T14:02:01"/>
    <s v="Allison Byrd"/>
    <x v="0"/>
    <s v="allison.byrd266@yahoo.com"/>
    <s v="Resistance Bands Set"/>
    <x v="12"/>
    <s v="Sports &amp; Outdoors"/>
    <x v="13"/>
    <n v="1"/>
    <n v="13.99"/>
    <n v="13.99"/>
    <m/>
    <x v="0"/>
    <n v="0"/>
    <n v="0"/>
    <s v="Number"/>
    <n v="4.99"/>
    <n v="4.99"/>
    <n v="18.98"/>
    <n v="18.98"/>
    <n v="18.98"/>
    <s v="True"/>
    <s v="Normal"/>
    <s v="Apple Pay"/>
    <x v="1"/>
    <s v="pending"/>
    <s v="United States"/>
    <s v="Washington"/>
    <s v="Valid"/>
    <s v="Pruittshire"/>
  </r>
  <r>
    <s v="#2922"/>
    <n v="1"/>
    <d v="2026-04-08T00:00:00"/>
    <s v="08/04/2026"/>
    <s v="Devin Jones"/>
    <x v="0"/>
    <s v="devin.jones807@yahoo.com"/>
    <s v="Resistance Bands Set"/>
    <x v="12"/>
    <s v="Sports &amp; Outdoors"/>
    <x v="13"/>
    <n v="1"/>
    <n v="13.99"/>
    <n v="13.99"/>
    <s v="BFCM25"/>
    <x v="3"/>
    <n v="3.5"/>
    <n v="3.5"/>
    <s v="Number"/>
    <n v="4.99"/>
    <n v="4.99"/>
    <n v="15.48"/>
    <n v="15.48"/>
    <n v="15.48"/>
    <s v="True"/>
    <s v="Normal"/>
    <s v="Credit Card"/>
    <x v="0"/>
    <s v="fulfilled"/>
    <s v="Pakistan"/>
    <m/>
    <s v="Not Required"/>
    <s v="Shawnbury"/>
  </r>
  <r>
    <s v="#2935"/>
    <n v="1"/>
    <d v="2026-08-04T14:03:04"/>
    <d v="2026-08-04T14:03:04"/>
    <s v="Jeremy Hicks"/>
    <x v="0"/>
    <s v="jeremy.hicks984@yahoo.com"/>
    <s v="Resistance Bands Set"/>
    <x v="12"/>
    <s v="Sports &amp; Outdoors"/>
    <x v="13"/>
    <n v="1"/>
    <n v="13.99"/>
    <n v="13.99"/>
    <s v="SAVE20"/>
    <x v="2"/>
    <n v="2.8"/>
    <n v="2.8"/>
    <s v="Number"/>
    <n v="4.99"/>
    <n v="4.99"/>
    <n v="16.18"/>
    <n v="16.18"/>
    <n v="16.18"/>
    <s v="True"/>
    <s v="Normal"/>
    <s v="Credit Card"/>
    <x v="0"/>
    <s v="refunded"/>
    <s v="United Kingdom"/>
    <m/>
    <s v="Not Required"/>
    <s v="Christopherside"/>
  </r>
  <r>
    <s v="#2937"/>
    <n v="1"/>
    <d v="2026-08-04T13:57:48"/>
    <d v="2026-08-04T13:57:48"/>
    <s v="Angel Clark"/>
    <x v="0"/>
    <s v="angel.clark280@yahoo.com"/>
    <s v="Resistance Bands Set"/>
    <x v="12"/>
    <s v="Sports &amp; Outdoors"/>
    <x v="13"/>
    <n v="2"/>
    <n v="13.99"/>
    <n v="13.99"/>
    <s v=" SAVE20 "/>
    <x v="2"/>
    <n v="5.6"/>
    <n v="5.6"/>
    <s v="Number"/>
    <n v="5.99"/>
    <n v="5.99"/>
    <n v="28.37"/>
    <n v="28.37"/>
    <n v="28.370000000000005"/>
    <s v="True"/>
    <s v="Normal"/>
    <s v="Google Pay"/>
    <x v="0"/>
    <s v="fulfilled"/>
    <s v="Germany"/>
    <m/>
    <s v="Not Required"/>
    <s v="East Melissa"/>
  </r>
  <r>
    <s v="#2961"/>
    <n v="1"/>
    <d v="2026-08-04T14:08:18"/>
    <d v="2026-08-04T14:08:18"/>
    <s v="Erika Maxwell"/>
    <x v="0"/>
    <s v="erika.maxwell281@gmail.com"/>
    <s v="Resistance Bands Set"/>
    <x v="12"/>
    <s v="Sports &amp; Outdoors"/>
    <x v="13"/>
    <n v="1"/>
    <n v="13.99"/>
    <n v="13.99"/>
    <m/>
    <x v="0"/>
    <n v="0"/>
    <n v="0"/>
    <s v="Number"/>
    <n v="4.99"/>
    <n v="4.99"/>
    <s v="$18.98"/>
    <n v="18.98"/>
    <n v="18.98"/>
    <s v="True"/>
    <s v="Normal"/>
    <s v="Credit Card"/>
    <x v="1"/>
    <s v="cancelled"/>
    <s v="United States"/>
    <s v="Ohio"/>
    <s v="Valid"/>
    <s v="New Raymond"/>
  </r>
  <r>
    <s v="#2977"/>
    <n v="1"/>
    <d v="2026-08-04T14:04:19"/>
    <d v="2026-08-04T14:04:19"/>
    <s v="William Houston"/>
    <x v="0"/>
    <s v="william.houston340@outlook.com"/>
    <s v="Resistance Bands Set"/>
    <x v="12"/>
    <s v="Sports &amp; Outdoors"/>
    <x v="13"/>
    <n v="1"/>
    <n v="13.99"/>
    <n v="13.99"/>
    <s v="SAVE20"/>
    <x v="2"/>
    <n v="2.8"/>
    <n v="2.8"/>
    <s v="Number"/>
    <n v="7.99"/>
    <n v="7.99"/>
    <n v="19.18"/>
    <n v="19.18"/>
    <n v="19.18"/>
    <s v="True"/>
    <s v="Normal"/>
    <s v="Apple Pay"/>
    <x v="0"/>
    <s v="fulfilled"/>
    <s v="United States"/>
    <s v="North Carolina"/>
    <s v="Valid"/>
    <s v="West Brian"/>
  </r>
  <r>
    <s v="#1064"/>
    <n v="1"/>
    <d v="2026-08-04T14:08:12"/>
    <d v="2026-08-04T14:08:12"/>
    <s v="Jennifer Burke"/>
    <x v="0"/>
    <s v="jennifer.burke472@icloud.com"/>
    <s v="Running Shoes - Men's"/>
    <x v="13"/>
    <s v="Footwear"/>
    <x v="14"/>
    <n v="2"/>
    <s v="$54.99"/>
    <n v="54.99"/>
    <m/>
    <x v="0"/>
    <n v="0"/>
    <n v="0"/>
    <s v="Number"/>
    <n v="0"/>
    <n v="0"/>
    <n v="109.98"/>
    <n v="109.98"/>
    <n v="109.98"/>
    <s v="True"/>
    <s v="Outlier"/>
    <s v="Apple Pay"/>
    <x v="0"/>
    <s v="cancelled"/>
    <s v="Pakistan"/>
    <m/>
    <s v="Not Required"/>
    <s v="Arroyomouth"/>
  </r>
  <r>
    <s v="#1083"/>
    <n v="1"/>
    <d v="2026-08-04T13:54:56"/>
    <d v="2026-08-04T13:54:56"/>
    <s v="Johnathan Sloan"/>
    <x v="0"/>
    <s v="johnathan.sloan721@outlook.com"/>
    <s v="Running Shoes - Men's"/>
    <x v="13"/>
    <s v="Footwear"/>
    <x v="14"/>
    <n v="1"/>
    <n v="54.99"/>
    <n v="54.99"/>
    <s v="SAVE20"/>
    <x v="2"/>
    <s v="$11.00"/>
    <n v="11"/>
    <s v="Number"/>
    <n v="5.99"/>
    <n v="5.99"/>
    <n v="49.98"/>
    <n v="49.98"/>
    <n v="49.980000000000004"/>
    <s v="True"/>
    <s v="Normal"/>
    <s v="Apple Pay"/>
    <x v="0"/>
    <s v="fulfilled"/>
    <s v="Pakistan"/>
    <m/>
    <s v="Not Required"/>
    <s v="Robertborough"/>
  </r>
  <r>
    <s v="#1147"/>
    <n v="1"/>
    <d v="2026-08-04T14:00:13"/>
    <d v="2026-08-04T14:00:13"/>
    <s v="Donald Davis"/>
    <x v="0"/>
    <s v="donald.davis404@icloud.com"/>
    <s v="Running Shoes - Men's"/>
    <x v="13"/>
    <s v="Footwear"/>
    <x v="14"/>
    <n v="1"/>
    <n v="54.99"/>
    <n v="54.99"/>
    <m/>
    <x v="0"/>
    <n v="0"/>
    <n v="0"/>
    <s v="Number"/>
    <n v="7.99"/>
    <n v="7.99"/>
    <n v="62.98"/>
    <n v="62.98"/>
    <n v="62.980000000000004"/>
    <s v="True"/>
    <s v="Normal"/>
    <s v="PayPal"/>
    <x v="1"/>
    <s v="fulfilled"/>
    <s v="Canada"/>
    <m/>
    <s v="Not Required"/>
    <s v="South Joelstad"/>
  </r>
  <r>
    <s v="#1158"/>
    <n v="1"/>
    <d v="2026-08-04T14:00:28"/>
    <d v="2026-08-04T14:00:28"/>
    <s v="Samuel Padilla"/>
    <x v="1"/>
    <m/>
    <s v="Running Shoes - Men's"/>
    <x v="13"/>
    <s v="Footwear"/>
    <x v="14"/>
    <n v="1"/>
    <n v="54.99"/>
    <n v="54.99"/>
    <m/>
    <x v="0"/>
    <n v="0"/>
    <n v="0"/>
    <s v="Number"/>
    <n v="7.99"/>
    <n v="7.99"/>
    <n v="62.98"/>
    <n v="62.98"/>
    <n v="62.980000000000004"/>
    <s v="True"/>
    <s v="Normal"/>
    <s v="Credit Card"/>
    <x v="0"/>
    <s v="fulfilled"/>
    <s v="United States"/>
    <s v="Illinois"/>
    <s v="Valid"/>
    <s v="South Rebecca"/>
  </r>
  <r>
    <s v="#1161"/>
    <n v="1"/>
    <d v="2026-08-04T14:00:30"/>
    <d v="2026-08-04T14:00:30"/>
    <s v="Omar Sanders"/>
    <x v="0"/>
    <s v="omar.sanders208@outlook.com"/>
    <s v="Running Shoes - Men's"/>
    <x v="13"/>
    <s v="Footwear"/>
    <x v="14"/>
    <n v="1"/>
    <n v="54.99"/>
    <n v="54.99"/>
    <s v="WELCOME10"/>
    <x v="1"/>
    <n v="5.5"/>
    <n v="5.5"/>
    <s v="Number"/>
    <n v="5.99"/>
    <n v="5.99"/>
    <n v="55.48"/>
    <n v="55.48"/>
    <n v="55.480000000000004"/>
    <s v="True"/>
    <s v="Normal"/>
    <s v="Apple Pay"/>
    <x v="2"/>
    <s v="fulfilled"/>
    <s v="United Kingdom"/>
    <m/>
    <s v="Not Required"/>
    <s v="Port Sonya"/>
  </r>
  <r>
    <s v="#1167"/>
    <n v="1"/>
    <d v="2026-08-04T14:01:50"/>
    <d v="2026-08-04T14:01:50"/>
    <s v="Anthony Hunt"/>
    <x v="0"/>
    <s v="anthony.hunt521@outlook.com"/>
    <s v="Running Shoes - Men's"/>
    <x v="13"/>
    <s v="Footwear"/>
    <x v="14"/>
    <n v="1"/>
    <s v="$54.99"/>
    <n v="54.99"/>
    <s v="BFCM25"/>
    <x v="3"/>
    <n v="13.75"/>
    <n v="13.75"/>
    <s v="Number"/>
    <n v="4.99"/>
    <n v="4.99"/>
    <n v="46.23"/>
    <n v="46.23"/>
    <n v="46.230000000000004"/>
    <s v="True"/>
    <s v="Normal"/>
    <s v="Credit Card"/>
    <x v="0"/>
    <s v="fulfilled"/>
    <s v="United States"/>
    <s v="Arizona"/>
    <s v="Valid"/>
    <s v="Evansburgh"/>
  </r>
  <r>
    <s v="#1168"/>
    <n v="1"/>
    <d v="2026-08-04T13:53:50"/>
    <d v="2026-08-04T13:53:50"/>
    <s v="Lisa Williams"/>
    <x v="0"/>
    <s v="lisa.williams715@yahoo.com"/>
    <s v="Running Shoes - Men's"/>
    <x v="13"/>
    <s v="Footwear"/>
    <x v="14"/>
    <n v="1"/>
    <n v="54.99"/>
    <n v="54.99"/>
    <s v="VIP15"/>
    <x v="4"/>
    <n v="8.25"/>
    <n v="8.25"/>
    <s v="Number"/>
    <n v="7.99"/>
    <n v="7.99"/>
    <n v="54.73"/>
    <n v="54.73"/>
    <n v="54.730000000000004"/>
    <s v="True"/>
    <s v="Normal"/>
    <s v="Shopify Payments"/>
    <x v="3"/>
    <s v="fulfilled"/>
    <s v="United States"/>
    <s v="North Carolina"/>
    <s v="Valid"/>
    <s v="Jacksonborough"/>
  </r>
  <r>
    <s v="#1205"/>
    <n v="1"/>
    <d v="2026-08-04T13:58:18"/>
    <d v="2026-08-04T13:58:18"/>
    <s v="James Miller"/>
    <x v="0"/>
    <s v="james.miller866@yahoo.com"/>
    <s v="Running Shoes - Men's"/>
    <x v="13"/>
    <s v="Footwear"/>
    <x v="14"/>
    <n v="1"/>
    <n v="54.99"/>
    <n v="54.99"/>
    <m/>
    <x v="0"/>
    <n v="0"/>
    <n v="0"/>
    <s v="Number"/>
    <n v="5.99"/>
    <n v="5.99"/>
    <n v="60.98"/>
    <n v="60.98"/>
    <n v="60.980000000000004"/>
    <s v="True"/>
    <s v="Normal"/>
    <s v="Credit Card"/>
    <x v="0"/>
    <s v="pending"/>
    <s v="Pakistan"/>
    <m/>
    <s v="Not Required"/>
    <s v="Gibsontown"/>
  </r>
  <r>
    <s v="#1228"/>
    <n v="1"/>
    <d v="2026-08-04T13:53:57"/>
    <d v="2026-08-04T13:53:57"/>
    <s v="Andrew Cross"/>
    <x v="0"/>
    <s v="andrew.cross512@yahoo.com"/>
    <s v="Running Shoes - Men's"/>
    <x v="13"/>
    <s v="Footwear"/>
    <x v="14"/>
    <n v="1"/>
    <n v="54.99"/>
    <n v="54.99"/>
    <s v="WELCOME10"/>
    <x v="1"/>
    <n v="5.5"/>
    <n v="5.5"/>
    <s v="Number"/>
    <n v="5.99"/>
    <n v="5.99"/>
    <n v="55.48"/>
    <n v="55.48"/>
    <n v="55.480000000000004"/>
    <s v="True"/>
    <s v="Normal"/>
    <s v="Apple Pay"/>
    <x v="0"/>
    <s v="fulfilled"/>
    <s v="United States"/>
    <s v="TX"/>
    <s v="Valid"/>
    <s v="New Kelly"/>
  </r>
  <r>
    <s v="#1232"/>
    <n v="1"/>
    <d v="2026-08-04T14:08:09"/>
    <d v="2026-08-04T14:08:09"/>
    <s v="Patrick Richardson"/>
    <x v="0"/>
    <s v="patrick.richardson270@icloud.com"/>
    <s v="Running Shoes - Men's"/>
    <x v="13"/>
    <s v="Footwear"/>
    <x v="14"/>
    <n v="2"/>
    <n v="54.99"/>
    <n v="54.99"/>
    <s v="FREESHIP"/>
    <x v="5"/>
    <n v="0"/>
    <n v="0"/>
    <s v="Number"/>
    <n v="0"/>
    <n v="0"/>
    <n v="109.98"/>
    <n v="109.98"/>
    <n v="109.98"/>
    <s v="True"/>
    <s v="Outlier"/>
    <s v="Credit Card"/>
    <x v="0"/>
    <s v="fulfilled"/>
    <s v="United States"/>
    <s v="New York"/>
    <s v="Valid"/>
    <s v="South Malloryview"/>
  </r>
  <r>
    <s v="#1237"/>
    <n v="1"/>
    <d v="2026-08-04T14:05:14"/>
    <d v="2026-08-04T14:05:14"/>
    <s v="  Shawn Oliver"/>
    <x v="0"/>
    <s v="shawn.oliver540@icloud.com"/>
    <s v="Running Shoes - Men's"/>
    <x v="13"/>
    <s v="Footwear"/>
    <x v="14"/>
    <n v="2"/>
    <n v="54.99"/>
    <n v="54.99"/>
    <m/>
    <x v="0"/>
    <n v="0"/>
    <n v="0"/>
    <s v="Number"/>
    <n v="0"/>
    <n v="0"/>
    <n v="109.98"/>
    <n v="109.98"/>
    <n v="109.98"/>
    <s v="True"/>
    <s v="Outlier"/>
    <s v="Google Pay"/>
    <x v="0"/>
    <s v="cancelled"/>
    <s v="Canada"/>
    <m/>
    <s v="Not Required"/>
    <s v="East April"/>
  </r>
  <r>
    <s v="#1274"/>
    <n v="1"/>
    <d v="2026-08-04T13:59:18"/>
    <d v="2026-08-04T13:59:18"/>
    <s v="Barbara Brown"/>
    <x v="0"/>
    <s v="barbara.brown26@gmail.com"/>
    <s v="Running Shoes - Men's"/>
    <x v="13"/>
    <s v="Footwear"/>
    <x v="14"/>
    <n v="1"/>
    <n v="54.99"/>
    <n v="54.99"/>
    <s v="FREESHIP"/>
    <x v="5"/>
    <n v="0"/>
    <n v="0"/>
    <s v="Number"/>
    <n v="0"/>
    <n v="0"/>
    <n v="54.99"/>
    <n v="54.99"/>
    <n v="54.99"/>
    <s v="True"/>
    <s v="Normal"/>
    <s v="Apple Pay"/>
    <x v="0"/>
    <s v="pending"/>
    <s v="United States"/>
    <s v="Ohio"/>
    <s v="Valid"/>
    <s v="Port Troy"/>
  </r>
  <r>
    <s v="#1300"/>
    <n v="1"/>
    <d v="2026-08-04T14:00:39"/>
    <d v="2026-08-04T14:00:39"/>
    <s v="Heather Davis"/>
    <x v="0"/>
    <s v="heather.davis117@icloud.com"/>
    <s v="Running Shoes - Men's"/>
    <x v="13"/>
    <s v="Footwear"/>
    <x v="14"/>
    <n v="1"/>
    <n v="54.99"/>
    <n v="54.99"/>
    <m/>
    <x v="0"/>
    <n v="0"/>
    <n v="0"/>
    <s v="Number"/>
    <n v="7.99"/>
    <n v="7.99"/>
    <n v="62.98"/>
    <n v="62.98"/>
    <n v="62.980000000000004"/>
    <s v="True"/>
    <s v="Normal"/>
    <s v="Shopify Payments"/>
    <x v="2"/>
    <s v="cancelled"/>
    <s v="Germany"/>
    <m/>
    <s v="Not Required"/>
    <s v="South Michaelmouth"/>
  </r>
  <r>
    <s v="#1372"/>
    <n v="1"/>
    <d v="2026-08-04T14:02:01"/>
    <d v="2026-08-04T14:02:01"/>
    <s v="Jane Gregory"/>
    <x v="0"/>
    <s v="jane.gregory935@icloud.com"/>
    <s v="Running Shoes - Men's"/>
    <x v="13"/>
    <s v="Footwear"/>
    <x v="14"/>
    <n v="1"/>
    <n v="54.99"/>
    <n v="54.99"/>
    <s v="BFCM25"/>
    <x v="3"/>
    <n v="13.75"/>
    <n v="13.75"/>
    <s v="Number"/>
    <n v="7.99"/>
    <n v="7.99"/>
    <n v="49.23"/>
    <n v="49.23"/>
    <n v="49.230000000000004"/>
    <s v="True"/>
    <s v="Normal"/>
    <s v="Credit Card"/>
    <x v="0"/>
    <s v="fulfilled"/>
    <s v="Germany"/>
    <m/>
    <s v="Not Required"/>
    <s v="Fletcherberg"/>
  </r>
  <r>
    <s v="#1375"/>
    <n v="1"/>
    <d v="2026-08-04T14:01:21"/>
    <d v="2026-08-04T14:01:21"/>
    <s v="Cody Murray"/>
    <x v="0"/>
    <s v="cody.murray456@gmail.com"/>
    <s v="Running Shoes - Men's"/>
    <x v="13"/>
    <s v="Footwear"/>
    <x v="14"/>
    <n v="2"/>
    <n v="54.99"/>
    <n v="54.99"/>
    <s v="WELCOME10"/>
    <x v="1"/>
    <n v="11"/>
    <n v="11"/>
    <s v="Number"/>
    <n v="0"/>
    <n v="0"/>
    <n v="98.98"/>
    <n v="98.98"/>
    <n v="98.98"/>
    <s v="True"/>
    <s v="Outlier"/>
    <s v="Credit Card"/>
    <x v="2"/>
    <s v="fulfilled"/>
    <s v="United Kingdom"/>
    <m/>
    <s v="Not Required"/>
    <s v="Medinaville"/>
  </r>
  <r>
    <s v="#1410"/>
    <n v="1"/>
    <d v="2026-08-04T13:55:04"/>
    <d v="2026-08-04T13:55:04"/>
    <s v="Jesse Hammond"/>
    <x v="0"/>
    <s v="jesse.hammond987@gmail.com"/>
    <s v="Running Shoes - Men's"/>
    <x v="13"/>
    <s v="Footwear"/>
    <x v="14"/>
    <n v="3"/>
    <n v="54.99"/>
    <n v="54.99"/>
    <s v="SAVE20"/>
    <x v="2"/>
    <n v="32.99"/>
    <n v="32.99"/>
    <s v="Number"/>
    <n v="0"/>
    <n v="0"/>
    <n v="131.97999999999999"/>
    <n v="131.97999999999999"/>
    <n v="131.97999999999999"/>
    <s v="True"/>
    <s v="Outlier"/>
    <s v="Google Pay"/>
    <x v="0"/>
    <s v="fulfilled"/>
    <s v="United States"/>
    <s v="IL"/>
    <s v="Valid"/>
    <s v="Cynthiatown"/>
  </r>
  <r>
    <s v="#1414"/>
    <n v="1"/>
    <d v="2026-04-08T00:00:00"/>
    <s v="08/04/2026"/>
    <s v="Kenneth Davis"/>
    <x v="0"/>
    <s v="kenneth.davis106@yahoo.com"/>
    <s v="Running Shoes - Men's"/>
    <x v="13"/>
    <s v="Footwear"/>
    <x v="14"/>
    <n v="1"/>
    <n v="54.99"/>
    <n v="54.99"/>
    <s v="SAVE20"/>
    <x v="2"/>
    <n v="11"/>
    <n v="11"/>
    <s v="Number"/>
    <n v="5.99"/>
    <n v="5.99"/>
    <n v="49.98"/>
    <n v="49.98"/>
    <n v="49.980000000000004"/>
    <s v="True"/>
    <s v="Normal"/>
    <s v="Credit Card"/>
    <x v="0"/>
    <s v="fulfilled"/>
    <s v="United States"/>
    <s v="North Carolina"/>
    <s v="Valid"/>
    <s v="North Dustin"/>
  </r>
  <r>
    <s v="#1416"/>
    <n v="1"/>
    <d v="2026-08-04T13:56:38"/>
    <d v="2026-08-04T13:56:38"/>
    <s v="Tammy Hawkins"/>
    <x v="0"/>
    <s v="tammy.hawkins461@outlook.com"/>
    <s v="Running Shoes - Men's"/>
    <x v="13"/>
    <s v="Footwear"/>
    <x v="14"/>
    <n v="1"/>
    <n v="54.99"/>
    <n v="54.99"/>
    <s v="FREESHIP"/>
    <x v="5"/>
    <n v="0"/>
    <n v="0"/>
    <s v="Number"/>
    <n v="0"/>
    <n v="0"/>
    <n v="54.99"/>
    <n v="54.99"/>
    <n v="54.99"/>
    <s v="True"/>
    <s v="Normal"/>
    <s v="Credit Card"/>
    <x v="0"/>
    <s v="pending"/>
    <s v="United States"/>
    <s v="WA"/>
    <s v="Valid"/>
    <s v="South Williamhaven"/>
  </r>
  <r>
    <s v="#1464"/>
    <n v="1"/>
    <d v="2026-08-04T14:07:11"/>
    <d v="2026-08-04T14:07:11"/>
    <s v="Melinda Henderson"/>
    <x v="0"/>
    <s v="melinda.henderson831@gmail.com"/>
    <s v="Running Shoes - Men's"/>
    <x v="13"/>
    <s v="Footwear"/>
    <x v="14"/>
    <n v="1"/>
    <n v="54.99"/>
    <n v="54.99"/>
    <m/>
    <x v="0"/>
    <n v="0"/>
    <n v="0"/>
    <s v="Number"/>
    <n v="5.99"/>
    <n v="5.99"/>
    <n v="60.98"/>
    <n v="60.98"/>
    <n v="60.980000000000004"/>
    <s v="True"/>
    <s v="Normal"/>
    <s v="Shopify Payments"/>
    <x v="2"/>
    <s v="pending"/>
    <s v="United Kingdom"/>
    <m/>
    <s v="Not Required"/>
    <s v="New Scottberg"/>
  </r>
  <r>
    <s v="#1469"/>
    <n v="1"/>
    <d v="2026-08-04T00:00:00"/>
    <s v="04-08-2026 13:54"/>
    <s v="Melissa Thompson"/>
    <x v="0"/>
    <s v="melissa.thompson241@yahoo.com"/>
    <s v="Running Shoes - Men's"/>
    <x v="13"/>
    <s v="Footwear"/>
    <x v="14"/>
    <n v="1"/>
    <n v="54.99"/>
    <n v="54.99"/>
    <m/>
    <x v="0"/>
    <n v="0"/>
    <n v="0"/>
    <s v="Number"/>
    <n v="4.99"/>
    <n v="4.99"/>
    <n v="2999"/>
    <n v="2999"/>
    <n v="59.980000000000004"/>
    <s v="False"/>
    <s v="Normal"/>
    <s v="Shopify Payments"/>
    <x v="0"/>
    <s v="fulfilled"/>
    <s v="United States"/>
    <s v="Florida"/>
    <s v="Valid"/>
    <s v="Noblehaven"/>
  </r>
  <r>
    <s v="#1479"/>
    <n v="1"/>
    <d v="2026-08-04T13:57:56"/>
    <d v="2026-08-04T13:57:56"/>
    <s v="Angel Clark"/>
    <x v="0"/>
    <s v="angel.clark280@yahoo.com"/>
    <s v="Running Shoes - Men's"/>
    <x v="13"/>
    <s v="Footwear"/>
    <x v="14"/>
    <n v="2"/>
    <n v="54.99"/>
    <n v="54.99"/>
    <s v="VIP15"/>
    <x v="4"/>
    <n v="16.5"/>
    <n v="16.5"/>
    <s v="Number"/>
    <n v="0"/>
    <n v="0"/>
    <n v="93.48"/>
    <n v="93.48"/>
    <n v="93.48"/>
    <s v="True"/>
    <s v="Outlier"/>
    <s v="Apple Pay"/>
    <x v="2"/>
    <s v="pending"/>
    <s v="Germany"/>
    <m/>
    <s v="Not Required"/>
    <s v="Davidshire"/>
  </r>
  <r>
    <s v="#1532"/>
    <n v="1"/>
    <d v="2026-08-04T13:53:52"/>
    <d v="2026-08-04T13:53:52"/>
    <s v="Timothy Sanchez"/>
    <x v="0"/>
    <s v="timothy.sanchez728@gmail.com"/>
    <s v="Running Shoes - Men's"/>
    <x v="13"/>
    <s v="Footwear"/>
    <x v="14"/>
    <n v="1"/>
    <n v="54.99"/>
    <n v="54.99"/>
    <s v="WELCOME10"/>
    <x v="1"/>
    <n v="5.5"/>
    <n v="5.5"/>
    <s v="Number"/>
    <n v="5.99"/>
    <n v="5.99"/>
    <n v="55.48"/>
    <n v="55.48"/>
    <n v="55.480000000000004"/>
    <s v="True"/>
    <s v="Normal"/>
    <s v="Apple Pay"/>
    <x v="1"/>
    <s v="fulfilled"/>
    <s v="United States"/>
    <s v="Illinois"/>
    <s v="Valid"/>
    <s v="North Joseph"/>
  </r>
  <r>
    <s v="#1558"/>
    <n v="1"/>
    <d v="2026-08-04T13:56:12"/>
    <d v="2026-08-04T13:56:12"/>
    <s v="Frank White"/>
    <x v="0"/>
    <s v="frank.white670@icloud.com"/>
    <s v="Running Shoes - Men's"/>
    <x v="13"/>
    <s v="Footwear"/>
    <x v="14"/>
    <n v="1"/>
    <n v="54.99"/>
    <n v="54.99"/>
    <s v="VIP15"/>
    <x v="4"/>
    <n v="8.25"/>
    <n v="8.25"/>
    <s v="Number"/>
    <n v="5.99"/>
    <n v="5.99"/>
    <n v="52.73"/>
    <n v="52.73"/>
    <n v="52.730000000000004"/>
    <s v="True"/>
    <s v="Normal"/>
    <s v="Credit Card"/>
    <x v="0"/>
    <s v="fulfilled"/>
    <s v="United States"/>
    <s v="Georgia"/>
    <s v="Valid"/>
    <s v="Port Cherylhaven"/>
  </r>
  <r>
    <s v="#1572"/>
    <n v="1"/>
    <d v="2026-08-04T14:00:14"/>
    <d v="2026-08-04T14:00:14"/>
    <s v="Andrea Gallegos"/>
    <x v="1"/>
    <m/>
    <s v="Running Shoes - Men's"/>
    <x v="13"/>
    <s v="Footwear"/>
    <x v="14"/>
    <n v="1"/>
    <n v="54.99"/>
    <n v="54.99"/>
    <s v="FREESHIP"/>
    <x v="5"/>
    <s v="$0.00"/>
    <n v="0"/>
    <s v="Number"/>
    <n v="0"/>
    <n v="0"/>
    <n v="54.99"/>
    <n v="54.99"/>
    <n v="54.99"/>
    <s v="True"/>
    <s v="Normal"/>
    <s v="PayPal"/>
    <x v="0"/>
    <s v="pending"/>
    <s v="Germany"/>
    <m/>
    <s v="Not Required"/>
    <s v="Ashleybury"/>
  </r>
  <r>
    <s v="#1615"/>
    <n v="1"/>
    <d v="2026-08-04T14:03:37"/>
    <d v="2026-08-04T14:03:37"/>
    <s v="Matthew Riley"/>
    <x v="0"/>
    <s v="matthew.riley309@yahoo.com"/>
    <s v="Running Shoes - Men's"/>
    <x v="13"/>
    <s v="Footwear"/>
    <x v="14"/>
    <n v="1"/>
    <n v="54.99"/>
    <n v="54.99"/>
    <m/>
    <x v="0"/>
    <n v="0"/>
    <n v="0"/>
    <s v="Number"/>
    <n v="4.99"/>
    <n v="4.99"/>
    <n v="59.98"/>
    <n v="59.98"/>
    <n v="59.980000000000004"/>
    <s v="True"/>
    <s v="Normal"/>
    <s v="Shopify Payments"/>
    <x v="2"/>
    <s v="pending"/>
    <s v="Canada"/>
    <m/>
    <s v="Not Required"/>
    <s v="Millerton"/>
  </r>
  <r>
    <s v="#1637"/>
    <n v="1"/>
    <d v="2026-08-04T13:59:08"/>
    <d v="2026-08-04T13:59:08"/>
    <s v="Kaitlyn Hernandez"/>
    <x v="0"/>
    <s v="kaitlyn.hernandez192@gmail.com"/>
    <s v="Running Shoes - Men's"/>
    <x v="13"/>
    <s v="Footwear"/>
    <x v="14"/>
    <n v="1"/>
    <n v="54.99"/>
    <n v="54.99"/>
    <m/>
    <x v="0"/>
    <n v="0"/>
    <n v="0"/>
    <s v="Number"/>
    <n v="7.99"/>
    <n v="7.99"/>
    <n v="62.98"/>
    <n v="62.98"/>
    <n v="62.980000000000004"/>
    <s v="True"/>
    <s v="Normal"/>
    <s v="PayPal"/>
    <x v="0"/>
    <s v="pending"/>
    <s v="Pakistan"/>
    <m/>
    <s v="Not Required"/>
    <s v="East Seanbury"/>
  </r>
  <r>
    <s v="#1676"/>
    <n v="1"/>
    <d v="2026-08-04T14:01:42"/>
    <d v="2026-08-04T14:01:42"/>
    <s v="Jesus Mason"/>
    <x v="0"/>
    <s v="jesus.mason798@icloud.com"/>
    <s v="Running Shoes - Men's"/>
    <x v="13"/>
    <s v="Footwear"/>
    <x v="14"/>
    <n v="1"/>
    <s v="$54.99"/>
    <n v="54.99"/>
    <m/>
    <x v="0"/>
    <n v="0"/>
    <n v="0"/>
    <s v="Number"/>
    <n v="4.99"/>
    <n v="4.99"/>
    <n v="59.98"/>
    <n v="59.98"/>
    <n v="59.980000000000004"/>
    <s v="True"/>
    <s v="Normal"/>
    <s v="Credit Card"/>
    <x v="0"/>
    <s v="pending"/>
    <s v="United States"/>
    <s v="IL"/>
    <s v="Valid"/>
    <s v="North Derek"/>
  </r>
  <r>
    <s v="#1698"/>
    <n v="1"/>
    <d v="2026-08-04T00:00:00"/>
    <s v="2026-08-04"/>
    <s v="Donald Davis"/>
    <x v="0"/>
    <s v="donald.davis404@icloud.com"/>
    <s v="Running Shoes - Men's"/>
    <x v="13"/>
    <s v="Footwear"/>
    <x v="14"/>
    <n v="1"/>
    <n v="54.99"/>
    <n v="54.99"/>
    <m/>
    <x v="0"/>
    <n v="0"/>
    <n v="0"/>
    <s v="Number"/>
    <n v="7.99"/>
    <n v="7.99"/>
    <n v="62.98"/>
    <n v="62.98"/>
    <n v="62.980000000000004"/>
    <s v="True"/>
    <s v="Normal"/>
    <s v="Apple Pay"/>
    <x v="0"/>
    <s v="fulfilled"/>
    <s v="Canada"/>
    <m/>
    <s v="Not Required"/>
    <s v="South Madison"/>
  </r>
  <r>
    <s v="#1745"/>
    <n v="1"/>
    <d v="2026-08-04T13:56:11"/>
    <d v="2026-08-04T13:56:11"/>
    <s v="Samuel Smith"/>
    <x v="0"/>
    <s v="samuel.smith76@outlook.com"/>
    <s v="Running Shoes - Men's"/>
    <x v="13"/>
    <s v="Footwear"/>
    <x v="14"/>
    <n v="1"/>
    <n v="54.99"/>
    <n v="54.99"/>
    <s v="SAVE20"/>
    <x v="2"/>
    <n v="11"/>
    <n v="11"/>
    <s v="Number"/>
    <n v="5.99"/>
    <n v="5.99"/>
    <n v="49.98"/>
    <n v="49.98"/>
    <n v="49.980000000000004"/>
    <s v="True"/>
    <s v="Normal"/>
    <s v="Credit Card"/>
    <x v="0"/>
    <s v="pending"/>
    <s v="United Kingdom"/>
    <m/>
    <s v="Not Required"/>
    <s v="Richardshire"/>
  </r>
  <r>
    <s v="#1766"/>
    <n v="1"/>
    <d v="2026-08-04T14:04:05"/>
    <d v="2026-08-04T14:04:05"/>
    <s v="Cody Murray"/>
    <x v="0"/>
    <s v="cody.murray456@gmail.com"/>
    <s v="Running Shoes - Men's"/>
    <x v="13"/>
    <s v="Footwear"/>
    <x v="14"/>
    <n v="2"/>
    <s v="$54.99"/>
    <n v="54.99"/>
    <s v="SAVE20"/>
    <x v="2"/>
    <n v="22"/>
    <n v="22"/>
    <s v="Number"/>
    <n v="0"/>
    <n v="0"/>
    <n v="87.98"/>
    <n v="87.98"/>
    <n v="87.98"/>
    <s v="True"/>
    <s v="Outlier"/>
    <s v="Apple Pay"/>
    <x v="1"/>
    <s v="cancelled"/>
    <s v="United Kingdom"/>
    <m/>
    <s v="Not Required"/>
    <s v="East David"/>
  </r>
  <r>
    <s v="#1778"/>
    <n v="1"/>
    <d v="2026-08-04T13:56:45"/>
    <d v="2026-08-04T13:56:45"/>
    <s v="Matthew Perez"/>
    <x v="0"/>
    <s v="matthew.perez875@gmail.com"/>
    <s v="Running Shoes - Men's"/>
    <x v="13"/>
    <s v="Footwear"/>
    <x v="14"/>
    <n v="2"/>
    <n v="54.99"/>
    <n v="54.99"/>
    <s v="SAVE20"/>
    <x v="2"/>
    <n v="22"/>
    <n v="22"/>
    <s v="Number"/>
    <n v="0"/>
    <n v="0"/>
    <n v="87.98"/>
    <n v="87.98"/>
    <n v="87.98"/>
    <s v="True"/>
    <s v="Outlier"/>
    <s v="Apple Pay"/>
    <x v="2"/>
    <s v="fulfilled"/>
    <s v="Pakistan"/>
    <m/>
    <s v="Not Required"/>
    <s v="West Drewland"/>
  </r>
  <r>
    <s v="#1781"/>
    <n v="1"/>
    <d v="2026-08-04T13:55:08"/>
    <d v="2026-08-04T13:55:08"/>
    <s v="  Sharon Brown"/>
    <x v="0"/>
    <s v="sharon.brown14@gmail.com"/>
    <s v="Running Shoes - Men's"/>
    <x v="13"/>
    <s v="Footwear"/>
    <x v="14"/>
    <n v="1"/>
    <n v="54.99"/>
    <n v="54.99"/>
    <m/>
    <x v="0"/>
    <n v="0"/>
    <n v="0"/>
    <s v="Number"/>
    <n v="4.99"/>
    <n v="4.99"/>
    <n v="59.98"/>
    <n v="59.98"/>
    <n v="59.980000000000004"/>
    <s v="True"/>
    <s v="Normal"/>
    <s v="Shopify Payments"/>
    <x v="1"/>
    <s v="fulfilled"/>
    <s v="United States"/>
    <s v="Arizona"/>
    <s v="Valid"/>
    <s v="Clarkmouth"/>
  </r>
  <r>
    <s v="#1782"/>
    <n v="1"/>
    <d v="2026-08-04T13:59:00"/>
    <d v="2026-08-04T13:59:00"/>
    <s v="Charles Franco"/>
    <x v="0"/>
    <s v="charles.franco761@outlook.com"/>
    <s v="Running Shoes - Men's"/>
    <x v="13"/>
    <s v="Footwear"/>
    <x v="14"/>
    <n v="1"/>
    <n v="54.99"/>
    <n v="54.99"/>
    <m/>
    <x v="0"/>
    <n v="0"/>
    <n v="0"/>
    <s v="Number"/>
    <n v="4.99"/>
    <n v="4.99"/>
    <n v="59.98"/>
    <n v="59.98"/>
    <n v="59.980000000000004"/>
    <s v="True"/>
    <s v="Normal"/>
    <s v="PayPal"/>
    <x v="3"/>
    <s v="fulfilled"/>
    <s v="United States"/>
    <s v="Ohio"/>
    <s v="Valid"/>
    <s v="Peckstad"/>
  </r>
  <r>
    <s v="#1839"/>
    <n v="1"/>
    <d v="2026-08-04T00:00:00"/>
    <s v="04-08-2026 14:08"/>
    <s v="Matthew Riley"/>
    <x v="0"/>
    <s v="matthew.riley309@yahoo.com"/>
    <s v="Running Shoes - Men's"/>
    <x v="13"/>
    <s v="Footwear"/>
    <x v="14"/>
    <n v="1"/>
    <n v="54.99"/>
    <n v="54.99"/>
    <m/>
    <x v="0"/>
    <s v="$0.00"/>
    <n v="0"/>
    <s v="Number"/>
    <n v="4.99"/>
    <n v="4.99"/>
    <n v="59.98"/>
    <n v="59.98"/>
    <n v="59.980000000000004"/>
    <s v="True"/>
    <s v="Normal"/>
    <s v="Apple Pay"/>
    <x v="0"/>
    <s v="fulfilled"/>
    <s v="Canada"/>
    <m/>
    <s v="Not Required"/>
    <s v="West Albertton"/>
  </r>
  <r>
    <s v="#1840"/>
    <n v="1"/>
    <d v="2026-08-04T14:06:14"/>
    <d v="2026-08-04T14:06:14"/>
    <s v="Dustin Mccoy"/>
    <x v="0"/>
    <s v="dustin.mccoy570@gmail.com"/>
    <s v="Running Shoes - Men's"/>
    <x v="13"/>
    <s v="Footwear"/>
    <x v="14"/>
    <n v="1"/>
    <n v="54.99"/>
    <n v="54.99"/>
    <s v="SAVE20"/>
    <x v="2"/>
    <n v="11"/>
    <n v="11"/>
    <s v="Number"/>
    <n v="4.99"/>
    <n v="4.99"/>
    <n v="48.98"/>
    <n v="48.98"/>
    <n v="48.980000000000004"/>
    <s v="True"/>
    <s v="Normal"/>
    <s v="Apple Pay"/>
    <x v="1"/>
    <s v="fulfilled"/>
    <s v="Canada"/>
    <m/>
    <s v="Not Required"/>
    <s v="West Donfurt"/>
  </r>
  <r>
    <s v="#1841"/>
    <n v="1"/>
    <d v="2026-08-04T14:02:59"/>
    <d v="2026-08-04T14:02:59"/>
    <s v="William Houston"/>
    <x v="0"/>
    <s v="william.houston340@outlook.com"/>
    <s v="Running Shoes - Men's"/>
    <x v="13"/>
    <s v="Footwear"/>
    <x v="14"/>
    <n v="1"/>
    <n v="54.99"/>
    <n v="54.99"/>
    <m/>
    <x v="0"/>
    <n v="0"/>
    <n v="0"/>
    <s v="Number"/>
    <n v="5.99"/>
    <n v="5.99"/>
    <n v="60.98"/>
    <n v="60.98"/>
    <n v="60.980000000000004"/>
    <s v="True"/>
    <s v="Normal"/>
    <s v="Credit Card"/>
    <x v="1"/>
    <s v="cancelled"/>
    <s v="United States"/>
    <s v="Ohio"/>
    <s v="Valid"/>
    <s v="Port Lynn"/>
  </r>
  <r>
    <s v="#1856"/>
    <n v="1"/>
    <d v="2026-08-04T13:56:18"/>
    <d v="2026-08-04T13:56:18"/>
    <s v="James Castro"/>
    <x v="0"/>
    <s v="james.castro923@icloud.com"/>
    <s v="Running Shoes - Men's"/>
    <x v="13"/>
    <s v="Footwear"/>
    <x v="14"/>
    <n v="1"/>
    <n v="54.99"/>
    <n v="54.99"/>
    <m/>
    <x v="0"/>
    <n v="0"/>
    <n v="0"/>
    <s v="Number"/>
    <n v="5.99"/>
    <n v="5.99"/>
    <n v="60.98"/>
    <n v="60.98"/>
    <n v="60.980000000000004"/>
    <s v="True"/>
    <s v="Normal"/>
    <s v="Google Pay"/>
    <x v="1"/>
    <s v="refunded"/>
    <s v="Pakistan"/>
    <m/>
    <s v="Not Required"/>
    <s v="South Leslie"/>
  </r>
  <r>
    <s v="#1891"/>
    <n v="1"/>
    <d v="2026-08-04T14:06:17"/>
    <d v="2026-08-04T14:06:17"/>
    <s v="Anthony Marshall"/>
    <x v="0"/>
    <s v="anthony.marshall823@yahoo.com"/>
    <s v="Running Shoes - Men's"/>
    <x v="13"/>
    <s v="Footwear"/>
    <x v="14"/>
    <n v="1"/>
    <n v="54.99"/>
    <n v="54.99"/>
    <s v="WELCOME10"/>
    <x v="1"/>
    <n v="5.5"/>
    <n v="5.5"/>
    <s v="Number"/>
    <n v="7.99"/>
    <n v="7.99"/>
    <n v="57.48"/>
    <n v="57.48"/>
    <n v="57.480000000000004"/>
    <s v="True"/>
    <s v="Normal"/>
    <s v="PayPal"/>
    <x v="0"/>
    <s v="fulfilled"/>
    <s v="United States"/>
    <s v="Arizona"/>
    <s v="Valid"/>
    <s v="West Alisonstad"/>
  </r>
  <r>
    <s v="#1936"/>
    <n v="1"/>
    <d v="2026-08-04T14:07:12"/>
    <d v="2026-08-04T14:07:12"/>
    <s v="Michael Hays"/>
    <x v="0"/>
    <s v="michael.hays590@gmail.com"/>
    <s v="Running Shoes - Men's"/>
    <x v="13"/>
    <s v="Footwear"/>
    <x v="14"/>
    <n v="1"/>
    <n v="54.99"/>
    <n v="54.99"/>
    <s v="WELCOME10"/>
    <x v="1"/>
    <s v="$5.50"/>
    <n v="5.5"/>
    <s v="Number"/>
    <n v="7.99"/>
    <n v="7.99"/>
    <n v="57.48"/>
    <n v="57.48"/>
    <n v="57.480000000000004"/>
    <s v="True"/>
    <s v="Normal"/>
    <s v="Shopify Payments"/>
    <x v="3"/>
    <s v="pending"/>
    <s v="United States"/>
    <s v="Georgia"/>
    <s v="Valid"/>
    <s v="West Derekborough"/>
  </r>
  <r>
    <s v="#1954"/>
    <n v="1"/>
    <d v="2026-08-04T13:58:44"/>
    <d v="2026-08-04T13:58:44"/>
    <s v="Debra Thomas"/>
    <x v="0"/>
    <s v="debra.thomas509@icloud.com"/>
    <s v="Running Shoes - Men's"/>
    <x v="13"/>
    <s v="Footwear"/>
    <x v="14"/>
    <n v="1"/>
    <n v="54.99"/>
    <n v="54.99"/>
    <s v="WELCOME10"/>
    <x v="1"/>
    <n v="5.5"/>
    <n v="5.5"/>
    <s v="Number"/>
    <n v="4.99"/>
    <n v="4.99"/>
    <n v="54.48"/>
    <n v="54.48"/>
    <n v="54.480000000000004"/>
    <s v="True"/>
    <s v="Normal"/>
    <s v="PayPal"/>
    <x v="3"/>
    <s v="fulfilled"/>
    <s v="United States"/>
    <s v="Florida"/>
    <s v="Valid"/>
    <s v="East Jonathanmouth"/>
  </r>
  <r>
    <s v="#1955"/>
    <n v="1"/>
    <d v="2026-08-04T13:58:49"/>
    <d v="2026-08-04T13:58:49"/>
    <s v="Jose Ingram"/>
    <x v="0"/>
    <s v="jose.ingram37@gmail.com"/>
    <s v="Running Shoes - Men's"/>
    <x v="13"/>
    <s v="Footwear"/>
    <x v="14"/>
    <n v="1"/>
    <n v="54.99"/>
    <n v="54.99"/>
    <m/>
    <x v="0"/>
    <n v="0"/>
    <n v="0"/>
    <s v="Number"/>
    <n v="5.99"/>
    <n v="5.99"/>
    <n v="60.98"/>
    <n v="60.98"/>
    <n v="60.980000000000004"/>
    <s v="True"/>
    <s v="Normal"/>
    <s v="Credit Card"/>
    <x v="0"/>
    <s v="fulfilled"/>
    <s v="United States"/>
    <s v="Georgia"/>
    <s v="Valid"/>
    <s v="Tiffanyfort"/>
  </r>
  <r>
    <s v="#1959"/>
    <n v="1"/>
    <d v="2026-04-08T00:00:00"/>
    <s v="08/04/2026"/>
    <s v="Kelly Wyatt"/>
    <x v="0"/>
    <s v="kelly.wyatt277@yahoo.com"/>
    <s v="Running Shoes - Men's"/>
    <x v="13"/>
    <s v="Footwear"/>
    <x v="14"/>
    <n v="2"/>
    <n v="54.99"/>
    <n v="54.99"/>
    <m/>
    <x v="0"/>
    <n v="0"/>
    <n v="0"/>
    <s v="Number"/>
    <n v="0"/>
    <n v="0"/>
    <n v="109.98"/>
    <n v="109.98"/>
    <n v="109.98"/>
    <s v="True"/>
    <s v="Outlier"/>
    <s v="Google Pay"/>
    <x v="0"/>
    <s v="fulfilled"/>
    <s v="Germany"/>
    <m/>
    <s v="Not Required"/>
    <s v="Reidbury"/>
  </r>
  <r>
    <s v="#1976"/>
    <n v="1"/>
    <d v="2026-08-04T00:00:00"/>
    <s v="Aug 04, 2026"/>
    <s v="Christy Long"/>
    <x v="0"/>
    <s v="christy.long561@yahoo.com"/>
    <s v="Running Shoes - Men's"/>
    <x v="13"/>
    <s v="Footwear"/>
    <x v="14"/>
    <n v="3"/>
    <n v="54.99"/>
    <n v="54.99"/>
    <m/>
    <x v="0"/>
    <n v="0"/>
    <n v="0"/>
    <s v="Number"/>
    <n v="0"/>
    <n v="0"/>
    <n v="164.97"/>
    <n v="164.97"/>
    <n v="164.97"/>
    <s v="True"/>
    <s v="Outlier"/>
    <s v="Google Pay"/>
    <x v="0"/>
    <s v="fulfilled"/>
    <s v="United Kingdom"/>
    <m/>
    <s v="Not Required"/>
    <s v="Murphystad"/>
  </r>
  <r>
    <s v="#2055"/>
    <n v="1"/>
    <d v="2026-08-04T13:58:11"/>
    <d v="2026-08-04T13:58:11"/>
    <s v="katelyn johnson"/>
    <x v="0"/>
    <s v="katelyn.johnson502@outlook.com"/>
    <s v="Running Shoes - Men's"/>
    <x v="13"/>
    <s v="Footwear"/>
    <x v="14"/>
    <n v="1"/>
    <n v="54.99"/>
    <n v="54.99"/>
    <s v="SAVE20"/>
    <x v="2"/>
    <n v="11"/>
    <n v="11"/>
    <s v="Number"/>
    <n v="7.99"/>
    <n v="7.99"/>
    <n v="51.98"/>
    <n v="51.98"/>
    <n v="51.980000000000004"/>
    <s v="True"/>
    <s v="Normal"/>
    <s v="Google Pay"/>
    <x v="2"/>
    <s v="fulfilled"/>
    <s v="United States"/>
    <s v="New York"/>
    <s v="Valid"/>
    <s v="West Michelletown"/>
  </r>
  <r>
    <s v="#2056"/>
    <n v="1"/>
    <d v="2026-08-04T14:02:39"/>
    <d v="2026-08-04T14:02:39"/>
    <m/>
    <x v="0"/>
    <s v="sarah.mendoza691@outlook.com"/>
    <s v="Running Shoes - Men's"/>
    <x v="13"/>
    <s v="Footwear"/>
    <x v="14"/>
    <n v="1"/>
    <n v="54.99"/>
    <n v="54.99"/>
    <m/>
    <x v="0"/>
    <n v="0"/>
    <n v="0"/>
    <s v="Number"/>
    <n v="4.99"/>
    <n v="4.99"/>
    <s v="$59.98"/>
    <n v="59.98"/>
    <n v="59.980000000000004"/>
    <s v="True"/>
    <s v="Normal"/>
    <s v="Apple Pay"/>
    <x v="1"/>
    <s v="pending"/>
    <s v="United States"/>
    <s v="Arizona"/>
    <s v="Valid"/>
    <s v="Jenniferberg"/>
  </r>
  <r>
    <s v="#2143"/>
    <n v="1"/>
    <d v="2026-08-04T14:06:54"/>
    <d v="2026-08-04T14:06:54"/>
    <s v="Daniel Parsons"/>
    <x v="0"/>
    <s v="daniel.parsons636@gmail.com"/>
    <s v="Running Shoes - Men's"/>
    <x v="13"/>
    <s v="Footwear"/>
    <x v="14"/>
    <n v="2"/>
    <n v="54.99"/>
    <n v="54.99"/>
    <s v="FREESHIP"/>
    <x v="5"/>
    <n v="0"/>
    <n v="0"/>
    <s v="Number"/>
    <n v="0"/>
    <n v="0"/>
    <s v="$109.98"/>
    <n v="109.98"/>
    <n v="109.98"/>
    <s v="True"/>
    <s v="Outlier"/>
    <s v="Apple Pay"/>
    <x v="1"/>
    <s v="fulfilled"/>
    <s v="United States"/>
    <s v="NY"/>
    <s v="Valid"/>
    <s v="Sanchezmouth"/>
  </r>
  <r>
    <s v="#2202"/>
    <n v="1"/>
    <d v="2026-08-04T13:54:49"/>
    <d v="2026-08-04T13:54:49"/>
    <s v="Rebecca Watts"/>
    <x v="0"/>
    <s v="rebecca.watts779@gmail.com"/>
    <s v="Running Shoes - Men's"/>
    <x v="13"/>
    <s v="Footwear"/>
    <x v="14"/>
    <n v="1"/>
    <n v="54.99"/>
    <n v="54.99"/>
    <m/>
    <x v="0"/>
    <s v="$0.00"/>
    <n v="0"/>
    <s v="Number"/>
    <n v="7.99"/>
    <n v="7.99"/>
    <n v="62.98"/>
    <n v="62.98"/>
    <n v="62.980000000000004"/>
    <s v="True"/>
    <s v="Normal"/>
    <s v="Credit Card"/>
    <x v="0"/>
    <s v="refunded"/>
    <s v="United States"/>
    <s v="Arizona"/>
    <s v="Valid"/>
    <s v="New Jerry"/>
  </r>
  <r>
    <s v="#2221"/>
    <n v="1"/>
    <d v="2026-08-04T14:05:01"/>
    <d v="2026-08-04T14:05:01"/>
    <s v="Tammy Hawkins"/>
    <x v="0"/>
    <s v="tammy.hawkins461@outlook.com"/>
    <s v="Running Shoes - Men's"/>
    <x v="13"/>
    <s v="Footwear"/>
    <x v="14"/>
    <n v="1"/>
    <n v="54.99"/>
    <n v="54.99"/>
    <s v="BFCM25"/>
    <x v="3"/>
    <n v="13.75"/>
    <n v="13.75"/>
    <s v="Number"/>
    <n v="7.99"/>
    <n v="7.99"/>
    <n v="49.23"/>
    <n v="49.23"/>
    <n v="49.230000000000004"/>
    <s v="True"/>
    <s v="Normal"/>
    <s v="Credit Card"/>
    <x v="2"/>
    <s v="fulfilled"/>
    <s v="United States"/>
    <s v="California"/>
    <s v="Valid"/>
    <s v="East Karen"/>
  </r>
  <r>
    <s v="#2237"/>
    <n v="1"/>
    <d v="2026-08-04T13:54:36"/>
    <d v="2026-08-04T13:54:36"/>
    <s v="Barbara Brown"/>
    <x v="0"/>
    <s v="barbara.brown26@gmail.com"/>
    <s v="Running Shoes - Men's"/>
    <x v="13"/>
    <s v="Footwear"/>
    <x v="14"/>
    <n v="1"/>
    <n v="54.99"/>
    <n v="54.99"/>
    <m/>
    <x v="0"/>
    <n v="0"/>
    <n v="0"/>
    <s v="Number"/>
    <n v="7.99"/>
    <n v="7.99"/>
    <n v="62.98"/>
    <n v="62.98"/>
    <n v="62.980000000000004"/>
    <s v="True"/>
    <s v="Normal"/>
    <s v="Credit Card"/>
    <x v="1"/>
    <s v="pending"/>
    <s v="United States"/>
    <s v="NY"/>
    <s v="Valid"/>
    <s v="Port Stephanieview"/>
  </r>
  <r>
    <s v="#2243"/>
    <n v="1"/>
    <d v="2026-08-04T14:06:19"/>
    <d v="2026-08-04T14:06:19"/>
    <s v="Samuel Lee"/>
    <x v="0"/>
    <s v="samuel.lee63@icloud.com"/>
    <s v="Running Shoes - Men's"/>
    <x v="13"/>
    <s v="Footwear"/>
    <x v="14"/>
    <n v="1"/>
    <s v="$54.99"/>
    <n v="54.99"/>
    <s v="SAVE20"/>
    <x v="2"/>
    <n v="11"/>
    <n v="11"/>
    <s v="Number"/>
    <n v="5.99"/>
    <n v="5.99"/>
    <n v="49.98"/>
    <n v="49.98"/>
    <n v="49.980000000000004"/>
    <s v="True"/>
    <s v="Normal"/>
    <s v="Google Pay"/>
    <x v="3"/>
    <s v="fulfilled"/>
    <s v="Australia"/>
    <m/>
    <s v="Not Required"/>
    <s v="New Williamhaven"/>
  </r>
  <r>
    <s v="#2263"/>
    <n v="1"/>
    <d v="2026-08-04T14:05:44"/>
    <d v="2026-08-04T14:05:44"/>
    <s v="Vincent Rosales"/>
    <x v="1"/>
    <m/>
    <s v="Running Shoes - Men's"/>
    <x v="13"/>
    <s v="Footwear"/>
    <x v="14"/>
    <n v="1"/>
    <n v="54.99"/>
    <n v="54.99"/>
    <m/>
    <x v="0"/>
    <s v="$0.00"/>
    <n v="0"/>
    <s v="Number"/>
    <n v="7.99"/>
    <n v="7.99"/>
    <n v="62.98"/>
    <n v="62.98"/>
    <n v="62.980000000000004"/>
    <s v="True"/>
    <s v="Normal"/>
    <s v="Apple Pay"/>
    <x v="2"/>
    <s v="pending"/>
    <s v="United States"/>
    <s v="Georgia"/>
    <s v="Valid"/>
    <s v="Joeview"/>
  </r>
  <r>
    <s v="#2267"/>
    <n v="1"/>
    <d v="2026-08-04T13:56:47"/>
    <d v="2026-08-04T13:56:47"/>
    <s v="Natalie Dixon"/>
    <x v="0"/>
    <s v="natalie.dixon388@outlook.com"/>
    <s v="Running Shoes - Men's"/>
    <x v="13"/>
    <s v="Footwear"/>
    <x v="14"/>
    <n v="1"/>
    <n v="54.99"/>
    <n v="54.99"/>
    <m/>
    <x v="0"/>
    <s v="$0.00"/>
    <n v="0"/>
    <s v="Number"/>
    <n v="5.99"/>
    <n v="5.99"/>
    <n v="60.98"/>
    <n v="60.98"/>
    <n v="60.980000000000004"/>
    <s v="True"/>
    <s v="Normal"/>
    <s v="PayPal"/>
    <x v="0"/>
    <s v="fulfilled"/>
    <s v="United States"/>
    <s v="Ohio"/>
    <s v="Valid"/>
    <s v="Port Megan"/>
  </r>
  <r>
    <s v="#2286"/>
    <n v="1"/>
    <d v="2026-08-04T00:00:00"/>
    <s v="04-08-2026 13:57"/>
    <s v="Joshua Chavez"/>
    <x v="1"/>
    <m/>
    <s v="Running Shoes - Men's"/>
    <x v="13"/>
    <s v="Footwear"/>
    <x v="14"/>
    <n v="1"/>
    <n v="54.99"/>
    <n v="54.99"/>
    <s v="SAVE20"/>
    <x v="2"/>
    <n v="11"/>
    <n v="11"/>
    <s v="Number"/>
    <n v="4.99"/>
    <n v="4.99"/>
    <n v="48.98"/>
    <n v="48.98"/>
    <n v="48.980000000000004"/>
    <s v="True"/>
    <s v="Normal"/>
    <s v="Credit Card"/>
    <x v="1"/>
    <s v="fulfilled"/>
    <s v="United States"/>
    <s v="Texas"/>
    <s v="Valid"/>
    <s v="Kathrynshire"/>
  </r>
  <r>
    <s v="#2402"/>
    <n v="1"/>
    <d v="2026-08-04T14:05:27"/>
    <d v="2026-08-04T14:05:27"/>
    <s v="Dustin Mccoy"/>
    <x v="0"/>
    <s v="dustin.mccoy570@gmail.com"/>
    <s v="Running Shoes - Men's"/>
    <x v="13"/>
    <s v="Footwear"/>
    <x v="14"/>
    <n v="1"/>
    <n v="54.99"/>
    <n v="54.99"/>
    <m/>
    <x v="0"/>
    <n v="0"/>
    <n v="0"/>
    <s v="Number"/>
    <n v="5.99"/>
    <n v="5.99"/>
    <n v="60.98"/>
    <n v="60.98"/>
    <n v="60.980000000000004"/>
    <s v="True"/>
    <s v="Normal"/>
    <s v="PayPal"/>
    <x v="0"/>
    <s v="fulfilled"/>
    <s v="Canada"/>
    <m/>
    <s v="Not Required"/>
    <s v="Lake Mariatown"/>
  </r>
  <r>
    <s v="#2452"/>
    <n v="1"/>
    <d v="2026-08-04T13:56:48"/>
    <d v="2026-08-04T13:56:48"/>
    <s v="Andrea Gallegos"/>
    <x v="0"/>
    <s v="andrea.gallegos495@gmail.com"/>
    <s v="Running Shoes - Men's"/>
    <x v="13"/>
    <s v="Footwear"/>
    <x v="14"/>
    <n v="1"/>
    <n v="54.99"/>
    <n v="54.99"/>
    <s v="WELCOME10"/>
    <x v="1"/>
    <n v="5.5"/>
    <n v="5.5"/>
    <s v="Number"/>
    <n v="4.99"/>
    <n v="4.99"/>
    <n v="54.48"/>
    <n v="54.48"/>
    <n v="54.480000000000004"/>
    <s v="True"/>
    <s v="Normal"/>
    <s v="Shopify Payments"/>
    <x v="1"/>
    <s v="pending"/>
    <s v="Germany"/>
    <m/>
    <s v="Not Required"/>
    <s v="New Eric"/>
  </r>
  <r>
    <s v="#2480"/>
    <n v="1"/>
    <d v="2026-08-04T13:55:13"/>
    <d v="2026-08-04T13:55:13"/>
    <s v="Stacey Johnson"/>
    <x v="0"/>
    <s v="stacey.johnson444@outlook.com"/>
    <s v="Running Shoes - Men's"/>
    <x v="13"/>
    <s v="Footwear"/>
    <x v="14"/>
    <n v="1"/>
    <n v="54.99"/>
    <n v="54.99"/>
    <s v="BFCM25"/>
    <x v="3"/>
    <n v="13.75"/>
    <n v="13.75"/>
    <s v="Number"/>
    <n v="4.99"/>
    <n v="4.99"/>
    <n v="46.23"/>
    <n v="46.23"/>
    <n v="46.230000000000004"/>
    <s v="True"/>
    <s v="Normal"/>
    <s v="Shopify Payments"/>
    <x v="0"/>
    <s v="fulfilled"/>
    <s v="United States"/>
    <s v="North Carolina"/>
    <s v="Valid"/>
    <s v="Kimberlyberg"/>
  </r>
  <r>
    <s v="#2514"/>
    <n v="1"/>
    <d v="2026-04-08T00:00:00"/>
    <s v="08/04/2026"/>
    <s v="Russell Walton"/>
    <x v="0"/>
    <s v="russell.walton605@icloud.com"/>
    <s v="Running Shoes - Men's"/>
    <x v="13"/>
    <s v="Footwear"/>
    <x v="14"/>
    <n v="1"/>
    <n v="54.99"/>
    <n v="54.99"/>
    <m/>
    <x v="0"/>
    <n v="0"/>
    <n v="0"/>
    <s v="Number"/>
    <n v="5.99"/>
    <n v="5.99"/>
    <n v="60.98"/>
    <n v="60.98"/>
    <n v="60.980000000000004"/>
    <s v="True"/>
    <s v="Normal"/>
    <s v="PayPal"/>
    <x v="3"/>
    <s v="fulfilled"/>
    <s v="United States"/>
    <s v="Texas"/>
    <s v="Valid"/>
    <s v="New Kyle"/>
  </r>
  <r>
    <s v="#2537"/>
    <n v="1"/>
    <d v="2026-08-04T14:05:36"/>
    <d v="2026-08-04T14:05:36"/>
    <s v="Nancy Nichols"/>
    <x v="1"/>
    <m/>
    <s v="Running Shoes - Men's"/>
    <x v="13"/>
    <s v="Footwear"/>
    <x v="14"/>
    <n v="1"/>
    <n v="54.99"/>
    <n v="54.99"/>
    <s v="SAVE20"/>
    <x v="2"/>
    <n v="11"/>
    <n v="11"/>
    <s v="Number"/>
    <n v="5.99"/>
    <n v="5.99"/>
    <n v="49.98"/>
    <n v="49.98"/>
    <n v="49.980000000000004"/>
    <s v="True"/>
    <s v="Normal"/>
    <s v="Apple Pay"/>
    <x v="2"/>
    <s v="fulfilled"/>
    <s v="United States"/>
    <s v="Florida"/>
    <s v="Valid"/>
    <s v="East Joseph"/>
  </r>
  <r>
    <s v="#2552"/>
    <n v="1"/>
    <d v="2026-04-08T00:00:00"/>
    <s v="08/04/2026"/>
    <s v="michael jacobson"/>
    <x v="0"/>
    <s v="michael.jacobson69@outlook.com"/>
    <s v="Running Shoes - Men's"/>
    <x v="13"/>
    <s v="Footwear"/>
    <x v="14"/>
    <n v="1"/>
    <n v="54.99"/>
    <n v="54.99"/>
    <s v="VIP15"/>
    <x v="4"/>
    <n v="8.25"/>
    <n v="8.25"/>
    <s v="Number"/>
    <n v="4.99"/>
    <n v="4.99"/>
    <n v="51.73"/>
    <n v="51.73"/>
    <n v="51.730000000000004"/>
    <s v="True"/>
    <s v="Normal"/>
    <s v="Apple Pay"/>
    <x v="3"/>
    <s v="cancelled"/>
    <s v="Germany"/>
    <m/>
    <s v="Not Required"/>
    <s v="Nathanport"/>
  </r>
  <r>
    <s v="#2610"/>
    <n v="1"/>
    <d v="2026-04-08T00:00:00"/>
    <s v="08/04/2026"/>
    <s v="Christy Long"/>
    <x v="0"/>
    <s v="christy.long561@yahoo.com"/>
    <s v="Running Shoes - Men's"/>
    <x v="13"/>
    <s v="Footwear"/>
    <x v="14"/>
    <n v="1"/>
    <s v="$54.99"/>
    <n v="54.99"/>
    <s v="WELCOME10"/>
    <x v="1"/>
    <n v="5.5"/>
    <n v="5.5"/>
    <s v="Number"/>
    <n v="5.99"/>
    <n v="5.99"/>
    <n v="55.48"/>
    <n v="55.48"/>
    <n v="55.480000000000004"/>
    <s v="True"/>
    <s v="Normal"/>
    <s v="Apple Pay"/>
    <x v="0"/>
    <s v="pending"/>
    <s v="United Kingdom"/>
    <m/>
    <s v="Not Required"/>
    <s v="South Roy"/>
  </r>
  <r>
    <s v="#2636"/>
    <n v="1"/>
    <d v="2026-08-04T00:00:00"/>
    <s v="04-08-2026 13:54"/>
    <s v="Michael Hays"/>
    <x v="0"/>
    <s v="michael.hays590@gmail.com"/>
    <s v="Running Shoes - Men's"/>
    <x v="13"/>
    <s v="Footwear"/>
    <x v="14"/>
    <n v="1"/>
    <n v="54.99"/>
    <n v="54.99"/>
    <s v="SAVE20"/>
    <x v="2"/>
    <n v="11"/>
    <n v="11"/>
    <s v="Number"/>
    <n v="5.99"/>
    <n v="5.99"/>
    <n v="49.98"/>
    <n v="49.98"/>
    <n v="49.980000000000004"/>
    <s v="True"/>
    <s v="Normal"/>
    <s v="Apple Pay"/>
    <x v="2"/>
    <s v="fulfilled"/>
    <s v="United States"/>
    <s v="NY"/>
    <s v="Valid"/>
    <s v="Gutierrezville"/>
  </r>
  <r>
    <s v="#2649"/>
    <n v="1"/>
    <d v="2026-08-04T13:54:29"/>
    <d v="2026-08-04T13:54:29"/>
    <s v="Kimberly Mitchell"/>
    <x v="0"/>
    <s v="kimberly.mitchell299@gmail.com"/>
    <s v="Running Shoes - Men's"/>
    <x v="13"/>
    <s v="Footwear"/>
    <x v="14"/>
    <n v="1"/>
    <n v="54.99"/>
    <n v="54.99"/>
    <s v="FREESHIP"/>
    <x v="5"/>
    <n v="0"/>
    <n v="0"/>
    <s v="Number"/>
    <n v="0"/>
    <n v="0"/>
    <n v="54.99"/>
    <n v="54.99"/>
    <n v="54.99"/>
    <s v="True"/>
    <s v="Normal"/>
    <s v="Apple Pay"/>
    <x v="2"/>
    <s v="refunded"/>
    <s v="United States"/>
    <s v="New York"/>
    <s v="Valid"/>
    <s v="Garyton"/>
  </r>
  <r>
    <s v="#2676"/>
    <n v="1"/>
    <d v="2026-08-04T13:59:43"/>
    <d v="2026-08-04T13:59:43"/>
    <s v="Samuel Padilla"/>
    <x v="0"/>
    <s v="samuel.padilla79@gmail.com"/>
    <s v="Running Shoes - Men's"/>
    <x v="13"/>
    <s v="Footwear"/>
    <x v="14"/>
    <n v="2"/>
    <n v="54.99"/>
    <n v="54.99"/>
    <s v="SAVE20"/>
    <x v="2"/>
    <n v="22"/>
    <n v="22"/>
    <s v="Number"/>
    <n v="0"/>
    <n v="0"/>
    <n v="87.98"/>
    <n v="87.98"/>
    <n v="87.98"/>
    <s v="True"/>
    <s v="Outlier"/>
    <s v="Credit Card"/>
    <x v="1"/>
    <s v="fulfilled"/>
    <s v="United States"/>
    <s v="Washington"/>
    <s v="Valid"/>
    <s v="Luisbury"/>
  </r>
  <r>
    <s v="#2681"/>
    <n v="1"/>
    <d v="2026-08-04T13:59:46"/>
    <d v="2026-08-04T13:59:46"/>
    <s v="Bradley Farmer"/>
    <x v="0"/>
    <s v="bradley.farmer290@icloud.com"/>
    <s v="Running Shoes - Men's"/>
    <x v="13"/>
    <s v="Footwear"/>
    <x v="14"/>
    <n v="1"/>
    <n v="54.99"/>
    <n v="54.99"/>
    <m/>
    <x v="0"/>
    <n v="0"/>
    <n v="0"/>
    <s v="Number"/>
    <n v="7.99"/>
    <n v="7.99"/>
    <n v="62.98"/>
    <n v="62.98"/>
    <n v="62.980000000000004"/>
    <s v="True"/>
    <s v="Normal"/>
    <s v="PayPal"/>
    <x v="2"/>
    <s v="fulfilled"/>
    <s v="United Kingdom"/>
    <m/>
    <s v="Not Required"/>
    <s v="Kimberlyview"/>
  </r>
  <r>
    <s v="#2731"/>
    <n v="1"/>
    <d v="2026-04-08T00:00:00"/>
    <s v="08/04/2026"/>
    <s v="Elizabeth Johnston"/>
    <x v="0"/>
    <s v="elizabeth.johnston946@gmail.com"/>
    <s v="Running Shoes - Men's"/>
    <x v="13"/>
    <s v="Footwear"/>
    <x v="14"/>
    <n v="1"/>
    <n v="54.99"/>
    <n v="54.99"/>
    <s v="BFCM25"/>
    <x v="3"/>
    <n v="13.75"/>
    <n v="13.75"/>
    <s v="Number"/>
    <n v="4.99"/>
    <n v="4.99"/>
    <n v="46.23"/>
    <n v="46.23"/>
    <n v="46.230000000000004"/>
    <s v="True"/>
    <s v="Normal"/>
    <s v="Apple Pay"/>
    <x v="3"/>
    <s v="fulfilled"/>
    <s v="United Kingdom"/>
    <m/>
    <s v="Not Required"/>
    <s v="Batesborough"/>
  </r>
  <r>
    <s v="#2757"/>
    <n v="1"/>
    <d v="2026-08-04T13:58:34"/>
    <d v="2026-08-04T13:58:34"/>
    <s v="  Amy West"/>
    <x v="0"/>
    <s v="amy.west811@icloud.com"/>
    <s v="Running Shoes - Men's"/>
    <x v="13"/>
    <s v="Footwear"/>
    <x v="14"/>
    <n v="2"/>
    <n v="54.99"/>
    <n v="54.99"/>
    <m/>
    <x v="0"/>
    <n v="0"/>
    <n v="0"/>
    <s v="Number"/>
    <n v="0"/>
    <n v="0"/>
    <n v="109.98"/>
    <n v="109.98"/>
    <n v="109.98"/>
    <s v="True"/>
    <s v="Outlier"/>
    <s v="Shopify Payments"/>
    <x v="0"/>
    <s v="fulfilled"/>
    <s v="Australia"/>
    <m/>
    <s v="Not Required"/>
    <s v="Cunninghamland"/>
  </r>
  <r>
    <s v="#2775"/>
    <n v="1"/>
    <d v="2026-08-04T14:03:53"/>
    <d v="2026-08-04T14:03:53"/>
    <s v="Charles Franco"/>
    <x v="0"/>
    <s v="charles.franco761@outlook.com"/>
    <s v="Running Shoes - Men's"/>
    <x v="13"/>
    <s v="Footwear"/>
    <x v="14"/>
    <n v="2"/>
    <n v="54.99"/>
    <n v="54.99"/>
    <s v="VIP15"/>
    <x v="4"/>
    <n v="16.5"/>
    <n v="16.5"/>
    <s v="Number"/>
    <n v="0"/>
    <n v="0"/>
    <n v="93.48"/>
    <n v="93.48"/>
    <n v="93.48"/>
    <s v="True"/>
    <s v="Outlier"/>
    <s v="Apple Pay"/>
    <x v="3"/>
    <s v="fulfilled"/>
    <s v="United States"/>
    <s v="Georgia"/>
    <s v="Valid"/>
    <s v="Jacobton"/>
  </r>
  <r>
    <s v="#2824"/>
    <n v="1"/>
    <d v="2026-08-04T13:56:28"/>
    <d v="2026-08-04T13:56:28"/>
    <s v="Devon Rodriguez"/>
    <x v="0"/>
    <s v="devon.rodriguez635@outlook.com"/>
    <s v="Running Shoes - Men's"/>
    <x v="13"/>
    <s v="Footwear"/>
    <x v="14"/>
    <n v="1"/>
    <n v="54.99"/>
    <n v="54.99"/>
    <m/>
    <x v="0"/>
    <n v="0"/>
    <n v="0"/>
    <s v="Number"/>
    <n v="7.99"/>
    <n v="7.99"/>
    <n v="62.98"/>
    <n v="62.98"/>
    <n v="62.980000000000004"/>
    <s v="True"/>
    <s v="Normal"/>
    <s v="Apple Pay"/>
    <x v="1"/>
    <s v="refunded"/>
    <s v="United States"/>
    <s v="Texas"/>
    <s v="Valid"/>
    <s v="South Nicholasberg"/>
  </r>
  <r>
    <s v="#2880"/>
    <n v="1"/>
    <d v="2026-08-04T14:01:13"/>
    <d v="2026-08-04T14:01:13"/>
    <s v="Brianna Hicks"/>
    <x v="0"/>
    <s v="brianna.hicks972@icloud.com"/>
    <s v="Running Shoes - Men's"/>
    <x v="13"/>
    <s v="Footwear"/>
    <x v="14"/>
    <n v="1"/>
    <n v="54.99"/>
    <n v="54.99"/>
    <s v="WELCOME10"/>
    <x v="1"/>
    <n v="5.5"/>
    <n v="5.5"/>
    <s v="Number"/>
    <n v="5.99"/>
    <n v="5.99"/>
    <n v="55.48"/>
    <n v="55.48"/>
    <n v="55.480000000000004"/>
    <s v="True"/>
    <s v="Normal"/>
    <s v="Credit Card"/>
    <x v="0"/>
    <s v="pending"/>
    <s v="United States"/>
    <s v="TX"/>
    <s v="Valid"/>
    <s v="Shawnshire"/>
  </r>
  <r>
    <s v="#2886"/>
    <n v="1"/>
    <d v="2026-08-04T14:00:20"/>
    <d v="2026-08-04T14:00:20"/>
    <s v="Jaime Vargas"/>
    <x v="0"/>
    <s v="jaime.vargas795@outlook.com"/>
    <s v="Running Shoes - Men's"/>
    <x v="13"/>
    <s v="Footwear"/>
    <x v="14"/>
    <n v="1"/>
    <s v="$54.99"/>
    <n v="54.99"/>
    <m/>
    <x v="0"/>
    <n v="0"/>
    <n v="0"/>
    <s v="Number"/>
    <n v="5.99"/>
    <n v="5.99"/>
    <n v="60.98"/>
    <n v="60.98"/>
    <n v="60.980000000000004"/>
    <s v="True"/>
    <s v="Normal"/>
    <s v="PayPal"/>
    <x v="0"/>
    <s v="refunded"/>
    <s v="United Kingdom"/>
    <m/>
    <s v="Not Required"/>
    <s v="Hernandezbury"/>
  </r>
  <r>
    <s v="#2913"/>
    <n v="1"/>
    <d v="2026-08-04T14:00:54"/>
    <d v="2026-08-04T14:00:54"/>
    <s v="JAMES MILLER"/>
    <x v="0"/>
    <s v="james.miller866@yahoo.com"/>
    <s v="Running Shoes - Men's"/>
    <x v="13"/>
    <s v="Footwear"/>
    <x v="14"/>
    <n v="1"/>
    <n v="54.99"/>
    <n v="54.99"/>
    <s v="BFCM25"/>
    <x v="3"/>
    <n v="13.75"/>
    <n v="13.75"/>
    <s v="Number"/>
    <n v="4.99"/>
    <n v="4.99"/>
    <n v="46.23"/>
    <n v="46.23"/>
    <n v="46.230000000000004"/>
    <s v="True"/>
    <s v="Normal"/>
    <s v="Credit Card"/>
    <x v="3"/>
    <s v="cancelled"/>
    <s v="Pakistan"/>
    <m/>
    <s v="Not Required"/>
    <s v="Mercadostad"/>
  </r>
  <r>
    <s v="#2940"/>
    <n v="1"/>
    <d v="2026-08-04T14:02:40"/>
    <d v="2026-08-04T14:02:40"/>
    <s v="Maria Leon"/>
    <x v="0"/>
    <s v="maria.leon163@outlook.com"/>
    <s v="Running Shoes - Men's"/>
    <x v="13"/>
    <s v="Footwear"/>
    <x v="14"/>
    <n v="2"/>
    <n v="54.99"/>
    <n v="54.99"/>
    <m/>
    <x v="0"/>
    <n v="0"/>
    <n v="0"/>
    <s v="Number"/>
    <n v="0"/>
    <n v="0"/>
    <n v="109.98"/>
    <n v="109.98"/>
    <n v="109.98"/>
    <s v="True"/>
    <s v="Outlier"/>
    <s v="Google Pay"/>
    <x v="0"/>
    <s v="cancelled"/>
    <s v="Canada"/>
    <m/>
    <s v="Not Required"/>
    <s v="New Alejandra"/>
  </r>
  <r>
    <s v="#2959"/>
    <n v="1"/>
    <d v="2026-08-04T14:00:40"/>
    <d v="2026-08-04T14:00:40"/>
    <s v="Mary Garcia"/>
    <x v="0"/>
    <s v="mary.garcia899@icloud.com"/>
    <s v="Running Shoes - Men's"/>
    <x v="13"/>
    <s v="Footwear"/>
    <x v="14"/>
    <n v="2"/>
    <n v="54.99"/>
    <n v="54.99"/>
    <s v="WELCOME10"/>
    <x v="1"/>
    <s v="$11.00"/>
    <n v="11"/>
    <s v="Number"/>
    <n v="0"/>
    <n v="0"/>
    <n v="98.98"/>
    <n v="98.98"/>
    <n v="98.98"/>
    <s v="True"/>
    <s v="Outlier"/>
    <s v="PayPal"/>
    <x v="0"/>
    <s v="cancelled"/>
    <s v="Canada"/>
    <m/>
    <s v="Not Required"/>
    <s v="Campbellfurt"/>
  </r>
  <r>
    <s v="#2963"/>
    <n v="1"/>
    <d v="2026-08-04T13:54:29"/>
    <d v="2026-08-04T13:54:29"/>
    <s v="John Carson"/>
    <x v="0"/>
    <s v="john.carson203@yahoo.com"/>
    <s v="Running Shoes - Men's"/>
    <x v="13"/>
    <s v="Footwear"/>
    <x v="14"/>
    <n v="1"/>
    <n v="54.99"/>
    <n v="54.99"/>
    <s v="BFCM25"/>
    <x v="3"/>
    <n v="13.75"/>
    <n v="13.75"/>
    <s v="Number"/>
    <n v="5.99"/>
    <n v="5.99"/>
    <n v="47.23"/>
    <n v="47.23"/>
    <n v="47.230000000000004"/>
    <s v="True"/>
    <s v="Normal"/>
    <s v="Credit Card"/>
    <x v="0"/>
    <s v="cancelled"/>
    <s v="United States"/>
    <s v="North Carolina"/>
    <s v="Valid"/>
    <s v="Keithfort"/>
  </r>
  <r>
    <s v="#2983"/>
    <n v="1"/>
    <d v="2026-08-04T14:07:27"/>
    <d v="2026-08-04T14:07:27"/>
    <s v="Sarah Webb"/>
    <x v="0"/>
    <s v="sarah.webb997@outlook.com"/>
    <s v="Running Shoes - Men's"/>
    <x v="13"/>
    <s v="Footwear"/>
    <x v="14"/>
    <n v="1"/>
    <n v="54.99"/>
    <n v="54.99"/>
    <s v="WELCOME10"/>
    <x v="1"/>
    <s v="$5.50"/>
    <n v="5.5"/>
    <s v="Number"/>
    <n v="7.99"/>
    <n v="7.99"/>
    <n v="57.48"/>
    <n v="57.48"/>
    <n v="57.480000000000004"/>
    <s v="True"/>
    <s v="Normal"/>
    <s v="Apple Pay"/>
    <x v="1"/>
    <s v="pending"/>
    <s v="Germany"/>
    <m/>
    <s v="Not Required"/>
    <s v="Smithside"/>
  </r>
  <r>
    <s v="#2997"/>
    <n v="1"/>
    <d v="2026-08-04T13:53:57"/>
    <d v="2026-08-04T13:53:57"/>
    <s v="Teresa Campbell"/>
    <x v="0"/>
    <s v="teresa.campbell610@icloud.com"/>
    <s v="Running Shoes - Men's"/>
    <x v="13"/>
    <s v="Footwear"/>
    <x v="14"/>
    <n v="2"/>
    <n v="54.99"/>
    <n v="54.99"/>
    <s v="WELCOME10"/>
    <x v="1"/>
    <n v="11"/>
    <n v="11"/>
    <s v="Number"/>
    <n v="0"/>
    <n v="0"/>
    <n v="98.98"/>
    <n v="98.98"/>
    <n v="98.98"/>
    <s v="True"/>
    <s v="Outlier"/>
    <s v="Google Pay"/>
    <x v="0"/>
    <s v="fulfilled"/>
    <s v="United Kingdom"/>
    <m/>
    <s v="Not Required"/>
    <s v="Moorefurt"/>
  </r>
  <r>
    <s v="#1220"/>
    <n v="1"/>
    <d v="2026-08-04T00:00:00"/>
    <s v="04-08-2026 13:53"/>
    <s v="  Megan Dickson"/>
    <x v="0"/>
    <s v="megan.dickson508@gmail.com"/>
    <s v="Running Shoes - Womens"/>
    <x v="14"/>
    <s v="Footwear"/>
    <x v="15"/>
    <n v="1"/>
    <n v="54.99"/>
    <n v="54.99"/>
    <s v="BFCM25"/>
    <x v="3"/>
    <n v="13.75"/>
    <n v="13.75"/>
    <s v="Number"/>
    <n v="7.99"/>
    <n v="7.99"/>
    <n v="49.23"/>
    <n v="49.23"/>
    <n v="49.230000000000004"/>
    <s v="True"/>
    <s v="Normal"/>
    <s v="Google Pay"/>
    <x v="0"/>
    <s v="fulfilled"/>
    <s v="United Kingdom"/>
    <m/>
    <s v="Not Required"/>
    <s v="Lake Joe"/>
  </r>
  <r>
    <s v="#1770"/>
    <n v="1"/>
    <d v="2026-08-04T14:08:16"/>
    <d v="2026-08-04T14:08:16"/>
    <s v="Richard Ward"/>
    <x v="0"/>
    <s v="richard.ward894@icloud.com"/>
    <s v="Running Shoes - Womens"/>
    <x v="14"/>
    <s v="Footwear"/>
    <x v="15"/>
    <n v="1"/>
    <n v="54.99"/>
    <n v="54.99"/>
    <s v="VIP15"/>
    <x v="4"/>
    <n v="8.25"/>
    <n v="8.25"/>
    <s v="Number"/>
    <n v="4.99"/>
    <n v="4.99"/>
    <n v="51.73"/>
    <n v="51.73"/>
    <n v="51.730000000000004"/>
    <s v="True"/>
    <s v="Normal"/>
    <s v="Google Pay"/>
    <x v="1"/>
    <s v="cancelled"/>
    <s v="Pakistan"/>
    <m/>
    <s v="Not Required"/>
    <s v="Lake Aprilstad"/>
  </r>
  <r>
    <s v="#2674"/>
    <n v="1"/>
    <d v="2026-08-04T13:53:51"/>
    <d v="2026-08-04T13:53:51"/>
    <s v="Kendra Price"/>
    <x v="1"/>
    <m/>
    <s v="Running Shoes - Womens"/>
    <x v="14"/>
    <s v="Footwear"/>
    <x v="15"/>
    <n v="1"/>
    <n v="54.99"/>
    <n v="54.99"/>
    <m/>
    <x v="0"/>
    <n v="0"/>
    <n v="0"/>
    <s v="Number"/>
    <n v="7.99"/>
    <n v="7.99"/>
    <n v="62.98"/>
    <n v="62.98"/>
    <n v="62.980000000000004"/>
    <s v="True"/>
    <s v="Normal"/>
    <s v="Credit Card"/>
    <x v="0"/>
    <s v="fulfilled"/>
    <s v="Germany"/>
    <m/>
    <s v="Not Required"/>
    <s v="Jonathanville"/>
  </r>
  <r>
    <s v="#1008"/>
    <n v="1"/>
    <d v="2026-08-04T13:55:20"/>
    <d v="2026-08-04T13:55:20"/>
    <s v="austin norris"/>
    <x v="0"/>
    <s v="austin.norris15@gmail.com"/>
    <s v="Running Shoes - Women's"/>
    <x v="14"/>
    <s v="Footwear"/>
    <x v="15"/>
    <n v="1"/>
    <n v="54.99"/>
    <n v="54.99"/>
    <m/>
    <x v="0"/>
    <n v="0"/>
    <n v="0"/>
    <s v="Number"/>
    <n v="4.99"/>
    <n v="4.99"/>
    <n v="59.98"/>
    <n v="59.98"/>
    <n v="59.980000000000004"/>
    <s v="True"/>
    <s v="Normal"/>
    <s v="Credit Card"/>
    <x v="2"/>
    <s v="fulfilled"/>
    <s v="United States"/>
    <s v="Florida"/>
    <s v="Valid"/>
    <s v="South Kaitlyn"/>
  </r>
  <r>
    <s v="#1009"/>
    <n v="1"/>
    <d v="2026-08-04T14:06:48"/>
    <d v="2026-08-04T14:06:48"/>
    <s v="Jennifer Burke"/>
    <x v="0"/>
    <s v="jennifer.burke472@icloud.com"/>
    <s v="Running Shoes - Women's  "/>
    <x v="14"/>
    <s v="Footwear"/>
    <x v="15"/>
    <n v="3"/>
    <n v="54.99"/>
    <n v="54.99"/>
    <s v="SAVE20"/>
    <x v="2"/>
    <n v="32.99"/>
    <n v="32.99"/>
    <s v="Number"/>
    <n v="0"/>
    <n v="0"/>
    <s v="$131.98"/>
    <n v="131.97999999999999"/>
    <n v="131.97999999999999"/>
    <s v="True"/>
    <s v="Outlier"/>
    <s v="Google Pay"/>
    <x v="0"/>
    <s v="cancelled"/>
    <s v="Pakistan"/>
    <m/>
    <s v="Not Required"/>
    <s v="Reneemouth"/>
  </r>
  <r>
    <s v="#1022"/>
    <n v="1"/>
    <d v="2026-08-04T00:00:00"/>
    <s v="Aug 04, 2026"/>
    <s v="Rebecca Watts"/>
    <x v="0"/>
    <s v="rebecca.watts779@gmail.com"/>
    <s v="Running Shoes - Women's"/>
    <x v="14"/>
    <s v="Footwear"/>
    <x v="15"/>
    <n v="2"/>
    <n v="54.99"/>
    <n v="54.99"/>
    <m/>
    <x v="0"/>
    <n v="0"/>
    <n v="0"/>
    <s v="Number"/>
    <n v="0"/>
    <n v="0"/>
    <n v="109.98"/>
    <n v="109.98"/>
    <n v="109.98"/>
    <s v="True"/>
    <s v="Outlier"/>
    <s v="Shopify Payments"/>
    <x v="2"/>
    <s v="fulfilled"/>
    <s v="United States"/>
    <s v="Illinois"/>
    <s v="Valid"/>
    <s v="Tammystad"/>
  </r>
  <r>
    <s v="#1042"/>
    <n v="1"/>
    <d v="2026-08-04T13:55:24"/>
    <d v="2026-08-04T13:55:24"/>
    <s v="Angie Martin"/>
    <x v="0"/>
    <s v="angie.martin506@icloud.com"/>
    <s v="Running Shoes - Women's"/>
    <x v="14"/>
    <s v="Footwear"/>
    <x v="15"/>
    <n v="1"/>
    <n v="54.99"/>
    <n v="54.99"/>
    <s v="VIP15"/>
    <x v="4"/>
    <n v="8.25"/>
    <n v="8.25"/>
    <s v="Number"/>
    <n v="5.99"/>
    <n v="5.99"/>
    <n v="52.73"/>
    <n v="52.73"/>
    <n v="52.730000000000004"/>
    <s v="True"/>
    <s v="Normal"/>
    <s v="PayPal"/>
    <x v="0"/>
    <s v="fulfilled"/>
    <s v="Pakistan"/>
    <m/>
    <s v="Not Required"/>
    <s v="West Travis"/>
  </r>
  <r>
    <s v="#1046"/>
    <n v="1"/>
    <d v="2026-08-04T14:03:04"/>
    <d v="2026-08-04T14:03:04"/>
    <s v="Kristen Lewis"/>
    <x v="0"/>
    <s v="kristen.lewis649@icloud.com"/>
    <s v="Running Shoes - Women's"/>
    <x v="14"/>
    <s v="Footwear"/>
    <x v="15"/>
    <n v="1"/>
    <n v="54.99"/>
    <n v="54.99"/>
    <s v="VIP15"/>
    <x v="4"/>
    <n v="8.25"/>
    <n v="8.25"/>
    <s v="Number"/>
    <n v="7.99"/>
    <n v="7.99"/>
    <n v="54.73"/>
    <n v="54.73"/>
    <n v="54.730000000000004"/>
    <s v="True"/>
    <s v="Normal"/>
    <s v="Credit Card"/>
    <x v="0"/>
    <s v="fulfilled"/>
    <s v="United States"/>
    <s v="WA"/>
    <s v="Valid"/>
    <s v="North Jacqueline"/>
  </r>
  <r>
    <s v="#1099"/>
    <n v="1"/>
    <d v="2026-08-04T14:00:01"/>
    <d v="2026-08-04T14:00:01"/>
    <s v="Michael Davis"/>
    <x v="0"/>
    <s v="michael.davis313@outlook.com"/>
    <s v="Running Shoes - Women's"/>
    <x v="14"/>
    <s v="Footwear"/>
    <x v="15"/>
    <n v="1"/>
    <n v="54.99"/>
    <n v="54.99"/>
    <s v="BFCM25"/>
    <x v="3"/>
    <n v="13.75"/>
    <n v="13.75"/>
    <s v="Number"/>
    <n v="5.99"/>
    <n v="5.99"/>
    <n v="47.23"/>
    <n v="47.23"/>
    <n v="47.230000000000004"/>
    <s v="True"/>
    <s v="Normal"/>
    <s v="Shopify Payments"/>
    <x v="1"/>
    <s v="fulfilled"/>
    <s v="United States"/>
    <s v="California"/>
    <s v="Valid"/>
    <s v="Sarahborough"/>
  </r>
  <r>
    <s v="#1100"/>
    <n v="1"/>
    <d v="2026-08-04T13:56:47"/>
    <d v="2026-08-04T13:56:47"/>
    <s v="OMAR SANDERS"/>
    <x v="0"/>
    <s v="omar.sanders208@outlook.com"/>
    <s v="Running Shoes - Women's"/>
    <x v="14"/>
    <s v="Footwear"/>
    <x v="15"/>
    <n v="1"/>
    <n v="54.99"/>
    <n v="54.99"/>
    <s v="WELCOME10"/>
    <x v="1"/>
    <n v="5.5"/>
    <n v="5.5"/>
    <s v="Number"/>
    <n v="7.99"/>
    <n v="7.99"/>
    <s v="$57.48"/>
    <n v="57.48"/>
    <n v="57.480000000000004"/>
    <s v="True"/>
    <s v="Normal"/>
    <s v="Credit Card"/>
    <x v="3"/>
    <s v="fulfilled"/>
    <s v="United Kingdom"/>
    <m/>
    <s v="Not Required"/>
    <s v="Mclaughlinbury"/>
  </r>
  <r>
    <s v="#1130"/>
    <n v="1"/>
    <d v="2026-08-04T13:59:11"/>
    <d v="2026-08-04T13:59:11"/>
    <s v="Andrew Wheeler"/>
    <x v="0"/>
    <s v="andrew.wheeler379@yahoo.com"/>
    <s v="Running Shoes - Women's"/>
    <x v="14"/>
    <s v="Footwear"/>
    <x v="15"/>
    <n v="1"/>
    <n v="54.99"/>
    <n v="54.99"/>
    <s v="VIP15"/>
    <x v="4"/>
    <n v="8.25"/>
    <n v="8.25"/>
    <s v="Number"/>
    <n v="4.99"/>
    <n v="4.99"/>
    <n v="51.73"/>
    <n v="51.73"/>
    <n v="51.730000000000004"/>
    <s v="True"/>
    <s v="Normal"/>
    <s v="PayPal"/>
    <x v="2"/>
    <s v="fulfilled"/>
    <s v="United States"/>
    <s v="Ohio"/>
    <s v="Valid"/>
    <s v="Perezville"/>
  </r>
  <r>
    <s v="#1148"/>
    <n v="1"/>
    <d v="2026-08-04T14:01:58"/>
    <d v="2026-08-04T14:01:58"/>
    <s v="Johnathan Everett"/>
    <x v="0"/>
    <s v="johnathan.everett6@outlook.com"/>
    <s v="Running Shoes - Women's"/>
    <x v="14"/>
    <s v="Footwear"/>
    <x v="15"/>
    <n v="1"/>
    <n v="54.99"/>
    <n v="54.99"/>
    <s v="WELCOME10"/>
    <x v="1"/>
    <n v="5.5"/>
    <n v="5.5"/>
    <s v="Number"/>
    <n v="5.99"/>
    <n v="5.99"/>
    <n v="55.48"/>
    <n v="55.48"/>
    <n v="55.480000000000004"/>
    <s v="True"/>
    <s v="Normal"/>
    <s v="Shopify Payments"/>
    <x v="3"/>
    <s v="fulfilled"/>
    <s v="United States"/>
    <s v="WA"/>
    <s v="Valid"/>
    <s v="Davischester"/>
  </r>
  <r>
    <s v="#1150"/>
    <n v="1"/>
    <d v="2026-08-04T14:01:59"/>
    <d v="2026-08-04T14:01:59"/>
    <s v="Jaime Vargas"/>
    <x v="0"/>
    <s v="jaime.vargas795@outlook.com"/>
    <s v="Running Shoes - Women's"/>
    <x v="14"/>
    <s v="Footwear"/>
    <x v="15"/>
    <n v="1"/>
    <n v="54.99"/>
    <n v="54.99"/>
    <s v="BFCM25"/>
    <x v="3"/>
    <n v="13.75"/>
    <n v="13.75"/>
    <s v="Number"/>
    <n v="7.99"/>
    <n v="7.99"/>
    <n v="49.23"/>
    <n v="49.23"/>
    <n v="49.230000000000004"/>
    <s v="True"/>
    <s v="Normal"/>
    <s v="Credit Card"/>
    <x v="0"/>
    <s v="refunded"/>
    <s v="United Kingdom"/>
    <m/>
    <s v="Not Required"/>
    <s v="Perryberg"/>
  </r>
  <r>
    <s v="#1173"/>
    <n v="1"/>
    <d v="2026-08-04T14:07:30"/>
    <d v="2026-08-04T14:07:30"/>
    <s v="Samuel Lee"/>
    <x v="0"/>
    <s v="samuel.lee63@icloud.com"/>
    <s v="Running Shoes - Women's"/>
    <x v="14"/>
    <s v="Footwear"/>
    <x v="15"/>
    <n v="1"/>
    <n v="54.99"/>
    <n v="54.99"/>
    <m/>
    <x v="0"/>
    <n v="0"/>
    <n v="0"/>
    <s v="Number"/>
    <n v="4.99"/>
    <n v="4.99"/>
    <n v="59.98"/>
    <n v="59.98"/>
    <n v="59.980000000000004"/>
    <s v="True"/>
    <s v="Normal"/>
    <s v="Credit Card"/>
    <x v="0"/>
    <s v="fulfilled"/>
    <s v="Australia"/>
    <m/>
    <s v="Not Required"/>
    <s v="South Ericburgh"/>
  </r>
  <r>
    <s v="#1177"/>
    <n v="1"/>
    <d v="2026-08-04T14:00:31"/>
    <d v="2026-08-04T14:00:31"/>
    <s v="Nicole Taylor"/>
    <x v="0"/>
    <s v="nicole.taylor607@icloud.com"/>
    <s v="Running Shoes - Women's"/>
    <x v="14"/>
    <s v="Footwear"/>
    <x v="15"/>
    <n v="1"/>
    <n v="54.99"/>
    <n v="54.99"/>
    <s v="BFCM25"/>
    <x v="3"/>
    <n v="13.75"/>
    <n v="13.75"/>
    <s v="Number"/>
    <n v="5.99"/>
    <n v="5.99"/>
    <n v="47.23"/>
    <n v="47.23"/>
    <n v="47.230000000000004"/>
    <s v="True"/>
    <s v="Normal"/>
    <s v="PayPal"/>
    <x v="3"/>
    <s v="fulfilled"/>
    <s v="United States"/>
    <s v="Texas"/>
    <s v="Valid"/>
    <s v="Mcphersonmouth"/>
  </r>
  <r>
    <s v="#1248"/>
    <n v="1"/>
    <d v="2026-08-04T14:04:31"/>
    <d v="2026-08-04T14:04:31"/>
    <s v="Melissa Smith"/>
    <x v="0"/>
    <s v="melissa.smith711@gmail.com"/>
    <s v="Running Shoes - Women's"/>
    <x v="14"/>
    <s v="Footwear"/>
    <x v="15"/>
    <n v="2"/>
    <n v="54.99"/>
    <n v="54.99"/>
    <s v="BFCM25"/>
    <x v="3"/>
    <n v="27.5"/>
    <n v="27.5"/>
    <s v="Number"/>
    <n v="0"/>
    <n v="0"/>
    <n v="82.48"/>
    <n v="82.48"/>
    <n v="82.48"/>
    <s v="True"/>
    <s v="Outlier"/>
    <s v="Credit Card"/>
    <x v="0"/>
    <s v="fulfilled"/>
    <s v="Pakistan"/>
    <m/>
    <s v="Not Required"/>
    <s v="Thompsonshire"/>
  </r>
  <r>
    <s v="#1261"/>
    <n v="1"/>
    <d v="2026-08-04T13:56:13"/>
    <d v="2026-08-04T13:56:13"/>
    <s v="Tyler Williams"/>
    <x v="0"/>
    <s v="tyler.williams938@outlook.com"/>
    <s v="Running Shoes - Women's"/>
    <x v="14"/>
    <s v="Footwear"/>
    <x v="15"/>
    <n v="1"/>
    <s v="$54.99"/>
    <n v="54.99"/>
    <m/>
    <x v="0"/>
    <n v="0"/>
    <n v="0"/>
    <s v="Number"/>
    <n v="7.99"/>
    <n v="7.99"/>
    <n v="62.98"/>
    <n v="62.98"/>
    <n v="62.980000000000004"/>
    <s v="True"/>
    <s v="Normal"/>
    <s v="Credit Card"/>
    <x v="0"/>
    <s v="cancelled"/>
    <s v="Australia"/>
    <m/>
    <s v="Not Required"/>
    <s v="South Jasonmouth"/>
  </r>
  <r>
    <s v="#1322"/>
    <n v="1"/>
    <d v="2026-08-04T00:00:00"/>
    <s v="04-08-2026 14:04"/>
    <s v="Timothy Hodges"/>
    <x v="1"/>
    <m/>
    <s v="Running Shoes - Women's"/>
    <x v="14"/>
    <s v="Footwear"/>
    <x v="15"/>
    <n v="1"/>
    <n v="54.99"/>
    <n v="54.99"/>
    <s v="SAVE20"/>
    <x v="2"/>
    <n v="11"/>
    <n v="11"/>
    <s v="Number"/>
    <n v="5.99"/>
    <n v="5.99"/>
    <n v="49.98"/>
    <n v="49.98"/>
    <n v="49.980000000000004"/>
    <s v="True"/>
    <s v="Normal"/>
    <s v="Credit Card"/>
    <x v="1"/>
    <s v="fulfilled"/>
    <s v="Australia"/>
    <m/>
    <s v="Not Required"/>
    <s v="Tammyshire"/>
  </r>
  <r>
    <s v="#1329"/>
    <n v="1"/>
    <d v="2026-08-04T14:07:03"/>
    <d v="2026-08-04T14:07:03"/>
    <s v="Christopher Harrington"/>
    <x v="0"/>
    <s v="christopher.harrington960@gmail.com"/>
    <s v="Running Shoes - Women's"/>
    <x v="14"/>
    <s v="Footwear"/>
    <x v="15"/>
    <n v="1"/>
    <n v="54.99"/>
    <n v="54.99"/>
    <s v="SAVE20"/>
    <x v="2"/>
    <n v="11"/>
    <n v="11"/>
    <s v="Number"/>
    <n v="7.99"/>
    <n v="7.99"/>
    <n v="51.98"/>
    <n v="51.98"/>
    <n v="51.980000000000004"/>
    <s v="True"/>
    <s v="Normal"/>
    <s v="Credit Card"/>
    <x v="0"/>
    <s v="refunded"/>
    <s v="Australia"/>
    <m/>
    <s v="Not Required"/>
    <s v="West Andrew"/>
  </r>
  <r>
    <s v="#1363"/>
    <n v="1"/>
    <d v="2026-08-04T13:54:46"/>
    <d v="2026-08-04T13:54:46"/>
    <s v="William Houston"/>
    <x v="0"/>
    <s v="william.houston340@outlook.com"/>
    <s v="Running Shoes - Women's"/>
    <x v="14"/>
    <s v="Footwear"/>
    <x v="15"/>
    <n v="2"/>
    <n v="54.99"/>
    <n v="54.99"/>
    <s v="WELCOME10"/>
    <x v="1"/>
    <n v="11"/>
    <n v="11"/>
    <s v="Number"/>
    <n v="0"/>
    <n v="0"/>
    <n v="98.98"/>
    <n v="98.98"/>
    <n v="98.98"/>
    <s v="True"/>
    <s v="Outlier"/>
    <s v="PayPal"/>
    <x v="0"/>
    <s v="fulfilled"/>
    <s v="United States"/>
    <s v="Ohio"/>
    <s v="Valid"/>
    <s v="Adamhaven"/>
  </r>
  <r>
    <s v="#1396"/>
    <n v="1"/>
    <d v="2026-08-04T13:58:19"/>
    <d v="2026-08-04T13:58:19"/>
    <s v="  Peter Alvarez"/>
    <x v="0"/>
    <s v="peter.alvarez465@yahoo.com"/>
    <s v="Running Shoes - Women's"/>
    <x v="14"/>
    <s v="Footwear"/>
    <x v="15"/>
    <n v="1"/>
    <n v="54.99"/>
    <n v="54.99"/>
    <s v="SAVE20"/>
    <x v="2"/>
    <n v="11"/>
    <n v="11"/>
    <s v="Number"/>
    <n v="7.99"/>
    <n v="7.99"/>
    <n v="51.98"/>
    <n v="51.98"/>
    <n v="51.980000000000004"/>
    <s v="True"/>
    <s v="Normal"/>
    <s v="PayPal"/>
    <x v="3"/>
    <s v="fulfilled"/>
    <s v="United States"/>
    <s v="OH"/>
    <s v="Valid"/>
    <s v="Ritterborough"/>
  </r>
  <r>
    <s v="#1405"/>
    <n v="1"/>
    <d v="2026-08-04T14:08:10"/>
    <d v="2026-08-04T14:08:10"/>
    <s v="David Duke"/>
    <x v="0"/>
    <s v="david.duke814@icloud.com"/>
    <s v="Running Shoes - Women's"/>
    <x v="14"/>
    <s v="Footwear"/>
    <x v="15"/>
    <n v="1"/>
    <n v="54.99"/>
    <n v="54.99"/>
    <m/>
    <x v="0"/>
    <n v="0"/>
    <n v="0"/>
    <s v="Number"/>
    <n v="7.99"/>
    <n v="7.99"/>
    <n v="62.98"/>
    <n v="62.98"/>
    <n v="62.980000000000004"/>
    <s v="True"/>
    <s v="Normal"/>
    <s v="PayPal"/>
    <x v="2"/>
    <s v="cancelled"/>
    <s v="United States"/>
    <s v="Ohio"/>
    <s v="Valid"/>
    <s v="Cynthiabury"/>
  </r>
  <r>
    <s v="#1439"/>
    <n v="1"/>
    <d v="2026-08-04T00:00:00"/>
    <s v="04-08-2026 13:54"/>
    <s v="Kayla Cruz"/>
    <x v="0"/>
    <s v="kayla.cruz151@outlook.com"/>
    <s v="Running Shoes - Women's"/>
    <x v="14"/>
    <s v="Footwear"/>
    <x v="15"/>
    <n v="1"/>
    <s v="$54.99"/>
    <n v="54.99"/>
    <s v="VIP15"/>
    <x v="4"/>
    <n v="8.25"/>
    <n v="8.25"/>
    <s v="Number"/>
    <n v="7.99"/>
    <n v="7.99"/>
    <n v="54.73"/>
    <n v="54.73"/>
    <n v="54.730000000000004"/>
    <s v="True"/>
    <s v="Normal"/>
    <s v="Google Pay"/>
    <x v="0"/>
    <s v="pending"/>
    <s v="Pakistan"/>
    <m/>
    <s v="Not Required"/>
    <s v="West Ashleyborough"/>
  </r>
  <r>
    <s v="#1460"/>
    <n v="1"/>
    <d v="2026-08-04T13:58:41"/>
    <d v="2026-08-04T13:58:41"/>
    <s v="Timothy Maldonado"/>
    <x v="0"/>
    <s v="timothy.maldonado551@gmail.com"/>
    <s v="Running Shoes - Women's"/>
    <x v="14"/>
    <s v="Footwear"/>
    <x v="15"/>
    <n v="1"/>
    <n v="54.99"/>
    <n v="54.99"/>
    <s v="BFCM25"/>
    <x v="3"/>
    <n v="13.75"/>
    <n v="13.75"/>
    <s v="Number"/>
    <n v="4.99"/>
    <n v="4.99"/>
    <n v="46.23"/>
    <n v="46.23"/>
    <n v="46.230000000000004"/>
    <s v="True"/>
    <s v="Normal"/>
    <s v="Shopify Payments"/>
    <x v="0"/>
    <s v="cancelled"/>
    <s v="United States"/>
    <s v="FL"/>
    <s v="Valid"/>
    <s v="Simpsonburgh"/>
  </r>
  <r>
    <s v="#1518"/>
    <n v="1"/>
    <d v="2026-08-04T13:59:49"/>
    <d v="2026-08-04T13:59:49"/>
    <s v="Andrea Martinez"/>
    <x v="0"/>
    <s v="andrea.martinez756@yahoo.com"/>
    <s v="Running Shoes - Women's"/>
    <x v="14"/>
    <s v="Footwear"/>
    <x v="15"/>
    <n v="1"/>
    <n v="54.99"/>
    <n v="54.99"/>
    <s v="WELCOME10"/>
    <x v="1"/>
    <n v="5.5"/>
    <n v="5.5"/>
    <s v="Number"/>
    <n v="4.99"/>
    <n v="4.99"/>
    <n v="54.48"/>
    <n v="54.48"/>
    <n v="54.480000000000004"/>
    <s v="True"/>
    <s v="Normal"/>
    <s v="Shopify Payments"/>
    <x v="3"/>
    <s v="fulfilled"/>
    <s v="Australia"/>
    <m/>
    <s v="Not Required"/>
    <s v="Williamsport"/>
  </r>
  <r>
    <s v="#1520"/>
    <n v="1"/>
    <d v="2026-08-04T14:02:09"/>
    <d v="2026-08-04T14:02:09"/>
    <s v="Lisa Williams"/>
    <x v="0"/>
    <s v="lisa.williams715@yahoo.com"/>
    <s v="Running Shoes - Women's"/>
    <x v="14"/>
    <s v="Footwear"/>
    <x v="15"/>
    <n v="3"/>
    <n v="54.99"/>
    <n v="54.99"/>
    <s v="BFCM25"/>
    <x v="3"/>
    <n v="41.24"/>
    <n v="41.24"/>
    <s v="Number"/>
    <n v="0"/>
    <n v="0"/>
    <n v="123.73"/>
    <n v="123.73"/>
    <n v="123.72999999999999"/>
    <s v="True"/>
    <s v="Outlier"/>
    <s v="PayPal"/>
    <x v="2"/>
    <s v="pending"/>
    <s v="United States"/>
    <s v="Ohio"/>
    <s v="Valid"/>
    <s v="Denniston"/>
  </r>
  <r>
    <s v="#1530"/>
    <n v="1"/>
    <d v="2026-08-04T00:00:00"/>
    <s v="Aug 04, 2026"/>
    <s v="Logan Fox"/>
    <x v="0"/>
    <s v="logan.fox165@gmail.com"/>
    <s v="Running Shoes - Women's"/>
    <x v="14"/>
    <s v="Footwear"/>
    <x v="15"/>
    <n v="1"/>
    <s v="$54.99"/>
    <n v="54.99"/>
    <m/>
    <x v="0"/>
    <n v="0"/>
    <n v="0"/>
    <s v="Number"/>
    <n v="5.99"/>
    <n v="5.99"/>
    <n v="60.98"/>
    <n v="60.98"/>
    <n v="60.980000000000004"/>
    <s v="True"/>
    <s v="Normal"/>
    <s v="Google Pay"/>
    <x v="1"/>
    <s v="fulfilled"/>
    <s v="Australia"/>
    <m/>
    <s v="Not Required"/>
    <s v="East Sheila"/>
  </r>
  <r>
    <s v="#1567"/>
    <n v="1"/>
    <d v="2026-08-04T13:57:47"/>
    <d v="2026-08-04T13:57:47"/>
    <s v="Timothy Hodges"/>
    <x v="0"/>
    <s v="timothy.hodges687@icloud.com"/>
    <s v="Running Shoes - Women's"/>
    <x v="14"/>
    <s v="Footwear"/>
    <x v="15"/>
    <n v="1"/>
    <s v="$54.99"/>
    <n v="54.99"/>
    <s v="VIP15"/>
    <x v="4"/>
    <n v="8.25"/>
    <n v="8.25"/>
    <s v="Number"/>
    <n v="7.99"/>
    <n v="7.99"/>
    <n v="54.73"/>
    <n v="54.73"/>
    <n v="54.730000000000004"/>
    <s v="True"/>
    <s v="Normal"/>
    <s v="Apple Pay"/>
    <x v="2"/>
    <s v="fulfilled"/>
    <s v="Australia"/>
    <m/>
    <s v="Not Required"/>
    <s v="Port Cynthia"/>
  </r>
  <r>
    <s v="#1621"/>
    <n v="1"/>
    <d v="2026-08-04T14:06:09"/>
    <d v="2026-08-04T14:06:09"/>
    <s v="Ryan Jones"/>
    <x v="0"/>
    <s v="ryan.jones314@gmail.com"/>
    <s v="Running Shoes - Women's"/>
    <x v="14"/>
    <s v="Footwear"/>
    <x v="15"/>
    <n v="3"/>
    <s v="$54.99"/>
    <n v="54.99"/>
    <m/>
    <x v="0"/>
    <n v="0"/>
    <n v="0"/>
    <s v="Number"/>
    <n v="0"/>
    <n v="0"/>
    <n v="164.97"/>
    <n v="164.97"/>
    <n v="164.97"/>
    <s v="True"/>
    <s v="Outlier"/>
    <s v="Credit Card"/>
    <x v="0"/>
    <s v="fulfilled"/>
    <s v="Australia"/>
    <m/>
    <s v="Not Required"/>
    <s v="Mariaport"/>
  </r>
  <r>
    <s v="#1646"/>
    <n v="1"/>
    <d v="2026-08-04T14:06:20"/>
    <d v="2026-08-04T14:06:20"/>
    <s v="Patrick Stevens"/>
    <x v="0"/>
    <s v="patrick.stevens218@gmail.com"/>
    <s v="Running Shoes - Women's"/>
    <x v="14"/>
    <s v="Footwear"/>
    <x v="15"/>
    <n v="1"/>
    <n v="54.99"/>
    <n v="54.99"/>
    <s v="VIP15"/>
    <x v="4"/>
    <n v="8.25"/>
    <n v="8.25"/>
    <s v="Number"/>
    <n v="7.99"/>
    <n v="7.99"/>
    <n v="54.73"/>
    <n v="54.73"/>
    <n v="54.730000000000004"/>
    <s v="True"/>
    <s v="Normal"/>
    <s v="PayPal"/>
    <x v="0"/>
    <s v="refunded"/>
    <s v="Pakistan"/>
    <m/>
    <s v="Not Required"/>
    <s v="Kylieside"/>
  </r>
  <r>
    <s v="#1674"/>
    <n v="1"/>
    <d v="2026-08-04T13:59:09"/>
    <d v="2026-08-04T13:59:09"/>
    <s v="Mary Meza"/>
    <x v="0"/>
    <s v="mary.meza759@gmail.com"/>
    <s v="Running Shoes - Women's"/>
    <x v="14"/>
    <s v="Footwear"/>
    <x v="15"/>
    <n v="1"/>
    <n v="54.99"/>
    <n v="54.99"/>
    <s v="WELCOME10"/>
    <x v="1"/>
    <n v="5.5"/>
    <n v="5.5"/>
    <s v="Number"/>
    <n v="7.99"/>
    <n v="7.99"/>
    <n v="57.48"/>
    <n v="57.48"/>
    <n v="57.480000000000004"/>
    <s v="True"/>
    <s v="Normal"/>
    <s v="PayPal"/>
    <x v="0"/>
    <s v="cancelled"/>
    <s v="Canada"/>
    <m/>
    <s v="Not Required"/>
    <s v="Lake Ashley"/>
  </r>
  <r>
    <s v="#1677"/>
    <n v="1"/>
    <d v="2026-08-04T14:01:03"/>
    <d v="2026-08-04T14:01:03"/>
    <s v="Andrea Martinez"/>
    <x v="0"/>
    <s v="andrea.martinez756@yahoo.com"/>
    <s v="Running Shoes - Women's"/>
    <x v="14"/>
    <s v="Footwear"/>
    <x v="15"/>
    <n v="2"/>
    <n v="54.99"/>
    <n v="54.99"/>
    <s v="SAVE20"/>
    <x v="2"/>
    <n v="22"/>
    <n v="22"/>
    <s v="Number"/>
    <n v="0"/>
    <n v="0"/>
    <s v="$87.98"/>
    <n v="87.98"/>
    <n v="87.98"/>
    <s v="True"/>
    <s v="Outlier"/>
    <s v="Shopify Payments"/>
    <x v="0"/>
    <s v="fulfilled"/>
    <s v="Australia"/>
    <m/>
    <s v="Not Required"/>
    <s v="South Jeffrey"/>
  </r>
  <r>
    <s v="#1769"/>
    <n v="1"/>
    <d v="2026-08-04T14:02:15"/>
    <d v="2026-08-04T14:02:15"/>
    <s v="Timothy Hodges"/>
    <x v="0"/>
    <s v="timothy.hodges687@icloud.com"/>
    <s v="Running Shoes - Women's"/>
    <x v="14"/>
    <s v="Footwear"/>
    <x v="15"/>
    <n v="1"/>
    <n v="54.99"/>
    <n v="54.99"/>
    <s v="VIP15"/>
    <x v="4"/>
    <n v="8.25"/>
    <n v="8.25"/>
    <s v="Number"/>
    <n v="7.99"/>
    <n v="7.99"/>
    <n v="54.73"/>
    <n v="54.73"/>
    <n v="54.730000000000004"/>
    <s v="True"/>
    <s v="Normal"/>
    <s v="Apple Pay"/>
    <x v="0"/>
    <s v="fulfilled"/>
    <s v="Australia"/>
    <m/>
    <s v="Not Required"/>
    <s v="North William"/>
  </r>
  <r>
    <s v="#1779"/>
    <n v="1"/>
    <d v="2026-08-04T13:59:23"/>
    <d v="2026-08-04T13:59:23"/>
    <s v="Andrew Vargas"/>
    <x v="0"/>
    <s v="andrew.vargas381@outlook.com"/>
    <s v="Running Shoes - Women's"/>
    <x v="14"/>
    <s v="Footwear"/>
    <x v="15"/>
    <n v="1"/>
    <n v="54.99"/>
    <n v="54.99"/>
    <m/>
    <x v="0"/>
    <n v="0"/>
    <n v="0"/>
    <s v="Number"/>
    <n v="5.99"/>
    <n v="5.99"/>
    <n v="60.98"/>
    <n v="60.98"/>
    <n v="60.980000000000004"/>
    <s v="True"/>
    <s v="Normal"/>
    <s v="Apple Pay"/>
    <x v="0"/>
    <s v="pending"/>
    <s v="Canada"/>
    <m/>
    <s v="Not Required"/>
    <s v="Lake Joseph"/>
  </r>
  <r>
    <s v="#1797"/>
    <n v="1"/>
    <d v="2026-08-04T13:55:23"/>
    <d v="2026-08-04T13:55:23"/>
    <s v="Erika Maxwell"/>
    <x v="0"/>
    <s v="erika.maxwell281@gmail.com"/>
    <s v="Running Shoes - Women's"/>
    <x v="14"/>
    <s v="Footwear"/>
    <x v="15"/>
    <n v="2"/>
    <n v="54.99"/>
    <n v="54.99"/>
    <s v="WELCOME10"/>
    <x v="1"/>
    <n v="11"/>
    <n v="11"/>
    <s v="Number"/>
    <n v="0"/>
    <n v="0"/>
    <n v="98.98"/>
    <n v="98.98"/>
    <n v="98.98"/>
    <s v="True"/>
    <s v="Outlier"/>
    <s v="Credit Card"/>
    <x v="3"/>
    <s v="fulfilled"/>
    <s v="United States"/>
    <s v="NC"/>
    <s v="Valid"/>
    <s v="Melissahaven"/>
  </r>
  <r>
    <s v="#1860"/>
    <n v="1"/>
    <d v="2026-08-04T13:57:07"/>
    <d v="2026-08-04T13:57:07"/>
    <s v="Anthony Krueger"/>
    <x v="0"/>
    <s v="anthony.krueger812@yahoo.com"/>
    <s v="Running Shoes - Women's"/>
    <x v="14"/>
    <s v="Footwear"/>
    <x v="15"/>
    <n v="1"/>
    <n v="54.99"/>
    <n v="54.99"/>
    <s v="WELCOME10"/>
    <x v="1"/>
    <n v="5.5"/>
    <n v="5.5"/>
    <s v="Number"/>
    <n v="5.99"/>
    <n v="5.99"/>
    <s v="$55.48"/>
    <n v="55.48"/>
    <n v="55.480000000000004"/>
    <s v="True"/>
    <s v="Normal"/>
    <s v="Google Pay"/>
    <x v="0"/>
    <s v="fulfilled"/>
    <s v="Pakistan"/>
    <m/>
    <s v="Not Required"/>
    <s v="Simpsonstad"/>
  </r>
  <r>
    <s v="#1863"/>
    <n v="1"/>
    <d v="2026-04-08T00:00:00"/>
    <s v="08/04/2026"/>
    <s v="Chad Smith"/>
    <x v="0"/>
    <s v="chad.smith773@icloud.com"/>
    <s v="Running Shoes - Women's"/>
    <x v="14"/>
    <s v="Footwear"/>
    <x v="15"/>
    <n v="1"/>
    <n v="54.99"/>
    <n v="54.99"/>
    <s v="FREESHIP"/>
    <x v="5"/>
    <n v="0"/>
    <n v="0"/>
    <s v="Number"/>
    <n v="0"/>
    <n v="0"/>
    <n v="54.99"/>
    <n v="54.99"/>
    <n v="54.99"/>
    <s v="True"/>
    <s v="Normal"/>
    <s v="PayPal"/>
    <x v="0"/>
    <s v="cancelled"/>
    <s v="Pakistan"/>
    <m/>
    <s v="Not Required"/>
    <s v="Amandaland"/>
  </r>
  <r>
    <s v="#1878"/>
    <n v="1"/>
    <d v="2026-04-08T00:00:00"/>
    <s v="08/04/2026"/>
    <s v="Kaitlyn Hernandez"/>
    <x v="0"/>
    <s v="kaitlyn.hernandez192@gmail.com"/>
    <s v="Running Shoes - Women's"/>
    <x v="14"/>
    <s v="Footwear"/>
    <x v="15"/>
    <n v="1"/>
    <n v="54.99"/>
    <n v="54.99"/>
    <m/>
    <x v="0"/>
    <s v="$0.00"/>
    <n v="0"/>
    <s v="Number"/>
    <n v="5.99"/>
    <n v="5.99"/>
    <n v="60.98"/>
    <n v="60.98"/>
    <n v="60.980000000000004"/>
    <s v="True"/>
    <s v="Normal"/>
    <s v="PayPal"/>
    <x v="3"/>
    <s v="fulfilled"/>
    <s v="Pakistan"/>
    <m/>
    <s v="Not Required"/>
    <s v="North Lindseymouth"/>
  </r>
  <r>
    <s v="#1883"/>
    <n v="1"/>
    <d v="2026-04-08T00:00:00"/>
    <s v="08/04/2026"/>
    <s v="Jennifer Martin"/>
    <x v="1"/>
    <m/>
    <s v="Running Shoes - Women's"/>
    <x v="14"/>
    <s v="Footwear"/>
    <x v="15"/>
    <n v="2"/>
    <n v="54.99"/>
    <n v="54.99"/>
    <s v="SAVE20"/>
    <x v="2"/>
    <n v="22"/>
    <n v="22"/>
    <s v="Number"/>
    <n v="0"/>
    <n v="0"/>
    <s v="$87.98"/>
    <n v="87.98"/>
    <n v="87.98"/>
    <s v="True"/>
    <s v="Outlier"/>
    <s v="Apple Pay"/>
    <x v="3"/>
    <s v="fulfilled"/>
    <s v="United States"/>
    <s v="IL"/>
    <s v="Valid"/>
    <s v="Robertstad"/>
  </r>
  <r>
    <s v="#1894"/>
    <n v="1"/>
    <d v="2026-08-04T13:54:04"/>
    <d v="2026-08-04T13:54:04"/>
    <s v="Davis, Alan"/>
    <x v="0"/>
    <s v="alan.davis483@icloud.com"/>
    <s v="Running Shoes - Women's"/>
    <x v="14"/>
    <s v="Footwear"/>
    <x v="15"/>
    <n v="1"/>
    <n v="54.99"/>
    <n v="54.99"/>
    <s v="WELCOME10"/>
    <x v="1"/>
    <n v="5.5"/>
    <n v="5.5"/>
    <s v="Number"/>
    <n v="4.99"/>
    <n v="4.99"/>
    <n v="54.48"/>
    <n v="54.48"/>
    <n v="54.480000000000004"/>
    <s v="True"/>
    <s v="Normal"/>
    <s v="Apple Pay"/>
    <x v="0"/>
    <s v="cancelled"/>
    <s v="Canada"/>
    <m/>
    <s v="Not Required"/>
    <s v="West Joseph"/>
  </r>
  <r>
    <s v="#1944"/>
    <n v="1"/>
    <d v="2026-08-04T00:00:00"/>
    <s v="Aug 04, 2026"/>
    <s v="Cruz, Matthew"/>
    <x v="0"/>
    <s v="matthew.cruz992@gmail.com"/>
    <s v="Running Shoes - Women's"/>
    <x v="14"/>
    <s v="Footwear"/>
    <x v="15"/>
    <n v="1"/>
    <n v="54.99"/>
    <n v="54.99"/>
    <s v="BFCM25"/>
    <x v="3"/>
    <n v="13.75"/>
    <n v="13.75"/>
    <s v="Number"/>
    <n v="5.99"/>
    <n v="5.99"/>
    <n v="47.23"/>
    <n v="47.23"/>
    <n v="47.230000000000004"/>
    <s v="True"/>
    <s v="Normal"/>
    <s v="PayPal"/>
    <x v="3"/>
    <s v="fulfilled"/>
    <s v="United States"/>
    <s v="New York"/>
    <s v="Valid"/>
    <s v="West Crystal"/>
  </r>
  <r>
    <s v="#2020"/>
    <n v="1"/>
    <d v="2026-08-04T13:56:55"/>
    <d v="2026-08-04T13:56:55"/>
    <s v="Tyler Williams"/>
    <x v="0"/>
    <s v="tyler.williams938@outlook.com"/>
    <s v="Running Shoes - Women's"/>
    <x v="14"/>
    <s v="Footwear"/>
    <x v="15"/>
    <n v="2"/>
    <n v="54.99"/>
    <n v="54.99"/>
    <m/>
    <x v="0"/>
    <s v="$0.00"/>
    <n v="0"/>
    <s v="Number"/>
    <n v="0"/>
    <n v="0"/>
    <n v="109.98"/>
    <n v="109.98"/>
    <n v="109.98"/>
    <s v="True"/>
    <s v="Outlier"/>
    <s v="Apple Pay"/>
    <x v="0"/>
    <s v="fulfilled"/>
    <s v="Australia"/>
    <m/>
    <s v="Not Required"/>
    <s v="Lake Caitlynbury"/>
  </r>
  <r>
    <s v="#2063"/>
    <n v="1"/>
    <d v="2026-08-04T00:00:00"/>
    <s v="04-08-2026 13:59"/>
    <s v="Kenneth Davis"/>
    <x v="0"/>
    <s v="kenneth.davis106@yahoo.com"/>
    <s v="Running Shoes - Women's"/>
    <x v="14"/>
    <s v="Footwear"/>
    <x v="15"/>
    <n v="1"/>
    <n v="54.99"/>
    <n v="54.99"/>
    <m/>
    <x v="0"/>
    <n v="0"/>
    <n v="0"/>
    <s v="Number"/>
    <n v="4.99"/>
    <n v="4.99"/>
    <n v="59.98"/>
    <n v="59.98"/>
    <n v="59.980000000000004"/>
    <s v="True"/>
    <s v="Normal"/>
    <s v="Apple Pay"/>
    <x v="3"/>
    <s v="pending"/>
    <s v="United States"/>
    <s v="Arizona"/>
    <s v="Valid"/>
    <s v="West Scott"/>
  </r>
  <r>
    <s v="#2098"/>
    <n v="1"/>
    <d v="2026-08-04T13:57:23"/>
    <d v="2026-08-04T13:57:23"/>
    <s v="Frank Diaz"/>
    <x v="0"/>
    <s v="frank.diaz795@gmail.com"/>
    <s v="Running Shoes - Women's"/>
    <x v="14"/>
    <s v="Footwear"/>
    <x v="15"/>
    <n v="1"/>
    <n v="54.99"/>
    <n v="54.99"/>
    <m/>
    <x v="0"/>
    <n v="0"/>
    <n v="0"/>
    <s v="Number"/>
    <n v="7.99"/>
    <n v="7.99"/>
    <n v="62.98"/>
    <n v="62.98"/>
    <n v="62.980000000000004"/>
    <s v="True"/>
    <s v="Normal"/>
    <s v="Apple Pay"/>
    <x v="3"/>
    <s v="pending"/>
    <s v="United States"/>
    <s v="California"/>
    <s v="Valid"/>
    <s v="Port Amberberg"/>
  </r>
  <r>
    <s v="#2106"/>
    <n v="1"/>
    <d v="2026-08-04T14:06:23"/>
    <d v="2026-08-04T14:06:23"/>
    <s v="Stacey Gonzales"/>
    <x v="0"/>
    <s v="stacey.gonzales655@icloud.com"/>
    <s v="Running Shoes - Women's"/>
    <x v="14"/>
    <s v="Footwear"/>
    <x v="15"/>
    <n v="1"/>
    <n v="54.99"/>
    <n v="54.99"/>
    <s v="VIP15"/>
    <x v="4"/>
    <n v="8.25"/>
    <n v="8.25"/>
    <s v="Number"/>
    <n v="5.99"/>
    <n v="5.99"/>
    <n v="52.73"/>
    <n v="52.73"/>
    <n v="52.730000000000004"/>
    <s v="True"/>
    <s v="Normal"/>
    <s v="Google Pay"/>
    <x v="0"/>
    <s v="fulfilled"/>
    <s v="United States"/>
    <s v="FL"/>
    <s v="Valid"/>
    <s v="Port Danielland"/>
  </r>
  <r>
    <s v="#2182"/>
    <n v="1"/>
    <d v="2026-08-04T14:01:55"/>
    <d v="2026-08-04T14:01:55"/>
    <s v="Robert Boyd"/>
    <x v="0"/>
    <s v="robert.boyd184@yahoo.com"/>
    <s v="Running Shoes - Women's"/>
    <x v="14"/>
    <s v="Footwear"/>
    <x v="15"/>
    <n v="1"/>
    <n v="54.99"/>
    <n v="54.99"/>
    <s v="SAVE20"/>
    <x v="2"/>
    <n v="11"/>
    <n v="11"/>
    <s v="Number"/>
    <n v="5.99"/>
    <n v="5.99"/>
    <n v="49.98"/>
    <n v="49.98"/>
    <n v="49.980000000000004"/>
    <s v="True"/>
    <s v="Normal"/>
    <s v="Apple Pay"/>
    <x v="1"/>
    <s v="cancelled"/>
    <s v="Canada"/>
    <m/>
    <s v="Not Required"/>
    <s v="Joshuachester"/>
  </r>
  <r>
    <s v="#2208"/>
    <n v="1"/>
    <d v="2026-08-04T13:59:49"/>
    <d v="2026-08-04T13:59:49"/>
    <s v="Autumn Stewart"/>
    <x v="0"/>
    <s v="autumn.stewart565@outlook.com"/>
    <s v="Running Shoes - Women's"/>
    <x v="14"/>
    <s v="Footwear"/>
    <x v="15"/>
    <n v="2"/>
    <n v="54.99"/>
    <n v="54.99"/>
    <m/>
    <x v="0"/>
    <n v="0"/>
    <n v="0"/>
    <s v="Number"/>
    <n v="0"/>
    <n v="0"/>
    <n v="109.98"/>
    <n v="109.98"/>
    <n v="109.98"/>
    <s v="True"/>
    <s v="Outlier"/>
    <s v="Shopify Payments"/>
    <x v="0"/>
    <s v="cancelled"/>
    <s v="United Kingdom"/>
    <m/>
    <s v="Not Required"/>
    <s v="Lake Gina"/>
  </r>
  <r>
    <s v="#2209"/>
    <n v="1"/>
    <d v="2026-08-04T14:03:20"/>
    <d v="2026-08-04T14:03:20"/>
    <s v="Tiffany Jones"/>
    <x v="0"/>
    <s v="tiffany.jones564@outlook.com"/>
    <s v="Running Shoes - Women's"/>
    <x v="14"/>
    <s v="Footwear"/>
    <x v="15"/>
    <n v="1"/>
    <n v="54.99"/>
    <n v="54.99"/>
    <m/>
    <x v="0"/>
    <n v="0"/>
    <n v="0"/>
    <s v="Number"/>
    <n v="5.99"/>
    <n v="5.99"/>
    <n v="60.98"/>
    <n v="60.98"/>
    <n v="60.980000000000004"/>
    <s v="True"/>
    <s v="Normal"/>
    <s v="Google Pay"/>
    <x v="3"/>
    <s v="fulfilled"/>
    <s v="Germany"/>
    <m/>
    <s v="Not Required"/>
    <s v="Markfort"/>
  </r>
  <r>
    <s v="#2269"/>
    <n v="1"/>
    <d v="2026-08-04T14:06:36"/>
    <d v="2026-08-04T14:06:36"/>
    <s v="Kathleen Mayer"/>
    <x v="0"/>
    <s v="kathleen.mayer237@outlook.com"/>
    <s v="Running Shoes - Women's"/>
    <x v="14"/>
    <s v="Footwear"/>
    <x v="15"/>
    <n v="3"/>
    <n v="54.99"/>
    <n v="54.99"/>
    <s v="VIP15"/>
    <x v="4"/>
    <n v="24.75"/>
    <n v="24.75"/>
    <s v="Number"/>
    <n v="0"/>
    <n v="0"/>
    <n v="140.22"/>
    <n v="140.22"/>
    <n v="140.22"/>
    <s v="True"/>
    <s v="Outlier"/>
    <s v="Credit Card"/>
    <x v="2"/>
    <s v="fulfilled"/>
    <s v="United States"/>
    <s v="Illinois"/>
    <s v="Valid"/>
    <s v="Lake Elizabethside"/>
  </r>
  <r>
    <s v="#2284"/>
    <n v="1"/>
    <d v="2026-08-04T14:01:47"/>
    <d v="2026-08-04T14:01:47"/>
    <m/>
    <x v="0"/>
    <s v="timothy.hodges687@icloud.com"/>
    <s v="Running Shoes - Women's"/>
    <x v="14"/>
    <s v="Footwear"/>
    <x v="15"/>
    <n v="1"/>
    <n v="54.99"/>
    <n v="54.99"/>
    <s v="BFCM25"/>
    <x v="3"/>
    <n v="13.75"/>
    <n v="13.75"/>
    <s v="Number"/>
    <n v="5.99"/>
    <n v="5.99"/>
    <n v="47.23"/>
    <n v="47.23"/>
    <n v="47.230000000000004"/>
    <s v="True"/>
    <s v="Normal"/>
    <s v="PayPal"/>
    <x v="0"/>
    <s v="refunded"/>
    <s v="Australia"/>
    <m/>
    <s v="Not Required"/>
    <s v="Simonton"/>
  </r>
  <r>
    <s v="#2301"/>
    <n v="1"/>
    <d v="2026-08-04T13:58:45"/>
    <d v="2026-08-04T13:58:45"/>
    <s v="Megan Dickson"/>
    <x v="0"/>
    <s v="megan.dickson508@gmail.com"/>
    <s v="Running Shoes - Women's"/>
    <x v="14"/>
    <s v="Footwear"/>
    <x v="15"/>
    <n v="2"/>
    <n v="54.99"/>
    <n v="54.99"/>
    <m/>
    <x v="0"/>
    <n v="0"/>
    <n v="0"/>
    <s v="Number"/>
    <n v="0"/>
    <n v="0"/>
    <n v="109.98"/>
    <n v="109.98"/>
    <n v="109.98"/>
    <s v="True"/>
    <s v="Outlier"/>
    <s v="Credit Card"/>
    <x v="0"/>
    <s v="refunded"/>
    <s v="United Kingdom"/>
    <m/>
    <s v="Not Required"/>
    <s v="Stanleyside"/>
  </r>
  <r>
    <s v="#2311"/>
    <n v="1"/>
    <d v="2026-08-04T14:02:25"/>
    <d v="2026-08-04T14:02:25"/>
    <s v="Amanda Robinson"/>
    <x v="0"/>
    <s v="amanda.robinson263@icloud.com"/>
    <s v="Running Shoes - Women's"/>
    <x v="14"/>
    <s v="Footwear"/>
    <x v="15"/>
    <n v="1"/>
    <n v="54.99"/>
    <n v="54.99"/>
    <s v="FREESHIP"/>
    <x v="5"/>
    <n v="0"/>
    <n v="0"/>
    <s v="Number"/>
    <n v="0"/>
    <n v="0"/>
    <n v="54.99"/>
    <n v="54.99"/>
    <n v="54.99"/>
    <s v="True"/>
    <s v="Normal"/>
    <s v="Apple Pay"/>
    <x v="2"/>
    <s v="fulfilled"/>
    <s v="United States"/>
    <s v="Arizona"/>
    <s v="Valid"/>
    <s v="Jenniferfurt"/>
  </r>
  <r>
    <s v="#2335"/>
    <n v="1"/>
    <d v="2026-08-04T14:05:17"/>
    <d v="2026-08-04T14:05:17"/>
    <s v="Barbara Brown"/>
    <x v="0"/>
    <s v="barbara.brown26@gmail.com"/>
    <s v="Running Shoes - Women's"/>
    <x v="14"/>
    <s v="Footwear"/>
    <x v="15"/>
    <n v="1"/>
    <n v="54.99"/>
    <n v="54.99"/>
    <m/>
    <x v="0"/>
    <n v="0"/>
    <n v="0"/>
    <s v="Number"/>
    <n v="7.99"/>
    <n v="7.99"/>
    <n v="62.98"/>
    <n v="62.98"/>
    <n v="62.980000000000004"/>
    <s v="True"/>
    <s v="Normal"/>
    <s v="PayPal"/>
    <x v="1"/>
    <s v="refunded"/>
    <s v="United States"/>
    <s v="California"/>
    <s v="Valid"/>
    <s v="Rileyborough"/>
  </r>
  <r>
    <s v="#2353"/>
    <n v="1"/>
    <d v="2026-08-04T14:07:10"/>
    <d v="2026-08-04T14:07:10"/>
    <s v="Jacqueline Wiley"/>
    <x v="0"/>
    <s v="jacqueline.wiley718@icloud.com"/>
    <s v="Running Shoes - Women's"/>
    <x v="14"/>
    <s v="Footwear"/>
    <x v="15"/>
    <n v="2"/>
    <n v="54.99"/>
    <n v="54.99"/>
    <s v="BFCM25"/>
    <x v="3"/>
    <n v="27.5"/>
    <n v="27.5"/>
    <s v="Number"/>
    <n v="0"/>
    <n v="0"/>
    <n v="82.48"/>
    <n v="82.48"/>
    <n v="82.48"/>
    <s v="True"/>
    <s v="Outlier"/>
    <s v="Apple Pay"/>
    <x v="0"/>
    <s v="fulfilled"/>
    <s v="United States"/>
    <s v="Washington"/>
    <s v="Valid"/>
    <s v="East Desiree"/>
  </r>
  <r>
    <s v="#2354"/>
    <n v="1"/>
    <d v="2026-08-04T14:04:02"/>
    <d v="2026-08-04T14:04:02"/>
    <s v="Laura Pruitt"/>
    <x v="0"/>
    <s v="laura.pruitt212@yahoo.com"/>
    <s v="Running Shoes - Women's"/>
    <x v="14"/>
    <s v="Footwear"/>
    <x v="15"/>
    <n v="1"/>
    <n v="54.99"/>
    <n v="54.99"/>
    <s v="SAVE20"/>
    <x v="2"/>
    <n v="11"/>
    <n v="11"/>
    <s v="Number"/>
    <n v="7.99"/>
    <n v="7.99"/>
    <n v="51.98"/>
    <n v="51.98"/>
    <n v="51.980000000000004"/>
    <s v="True"/>
    <s v="Normal"/>
    <s v="Apple Pay"/>
    <x v="2"/>
    <s v="refunded"/>
    <s v="United States"/>
    <s v="Texas"/>
    <s v="Valid"/>
    <s v="Racheltown"/>
  </r>
  <r>
    <s v="#2369"/>
    <n v="1"/>
    <d v="2026-08-04T14:03:47"/>
    <d v="2026-08-04T14:03:47"/>
    <s v="David Duke"/>
    <x v="0"/>
    <s v="david.duke814@icloud.com"/>
    <s v="Running Shoes - Women's"/>
    <x v="14"/>
    <s v="Footwear"/>
    <x v="15"/>
    <n v="2"/>
    <n v="54.99"/>
    <n v="54.99"/>
    <m/>
    <x v="0"/>
    <n v="0"/>
    <n v="0"/>
    <s v="Number"/>
    <n v="0"/>
    <n v="0"/>
    <n v="109.98"/>
    <n v="109.98"/>
    <n v="109.98"/>
    <s v="True"/>
    <s v="Outlier"/>
    <s v="Credit Card"/>
    <x v="0"/>
    <s v="fulfilled"/>
    <s v="United States"/>
    <s v="Washington"/>
    <s v="Valid"/>
    <s v="Jacksonside"/>
  </r>
  <r>
    <s v="#2418"/>
    <n v="1"/>
    <d v="2026-08-04T13:59:06"/>
    <d v="2026-08-04T13:59:06"/>
    <s v="Tracy Adams"/>
    <x v="0"/>
    <s v="tracy.adams712@icloud.com"/>
    <s v="Running Shoes - Women's"/>
    <x v="14"/>
    <s v="Footwear"/>
    <x v="15"/>
    <n v="1"/>
    <n v="54.99"/>
    <n v="54.99"/>
    <m/>
    <x v="0"/>
    <n v="0"/>
    <n v="0"/>
    <s v="Number"/>
    <n v="7.99"/>
    <n v="7.99"/>
    <n v="62.98"/>
    <n v="62.98"/>
    <n v="62.980000000000004"/>
    <s v="True"/>
    <s v="Normal"/>
    <s v="Apple Pay"/>
    <x v="0"/>
    <s v="cancelled"/>
    <s v="United States"/>
    <s v="Washington"/>
    <s v="Valid"/>
    <s v="Jenningsborough"/>
  </r>
  <r>
    <s v="#2423"/>
    <n v="1"/>
    <d v="2026-08-04T14:02:24"/>
    <d v="2026-08-04T14:02:24"/>
    <s v="Megan Dickson"/>
    <x v="0"/>
    <s v="megan.dickson508@gmail.com"/>
    <s v="Running Shoes - Women's"/>
    <x v="14"/>
    <s v="Footwear"/>
    <x v="15"/>
    <n v="1"/>
    <n v="54.99"/>
    <n v="54.99"/>
    <m/>
    <x v="0"/>
    <n v="0"/>
    <n v="0"/>
    <s v="Number"/>
    <n v="4.99"/>
    <n v="4.99"/>
    <n v="59.98"/>
    <n v="59.98"/>
    <n v="59.980000000000004"/>
    <s v="True"/>
    <s v="Normal"/>
    <s v="Google Pay"/>
    <x v="0"/>
    <s v="fulfilled"/>
    <s v="United Kingdom"/>
    <m/>
    <s v="Not Required"/>
    <s v="Washingtonburgh"/>
  </r>
  <r>
    <s v="#2473"/>
    <n v="1"/>
    <d v="2026-08-04T13:59:13"/>
    <d v="2026-08-04T13:59:13"/>
    <s v="Sharon Brown"/>
    <x v="1"/>
    <m/>
    <s v="Running Shoes - Women's"/>
    <x v="14"/>
    <s v="Footwear"/>
    <x v="15"/>
    <n v="1"/>
    <n v="54.99"/>
    <n v="54.99"/>
    <s v="WELCOME10"/>
    <x v="1"/>
    <n v="5.5"/>
    <n v="5.5"/>
    <s v="Number"/>
    <n v="7.99"/>
    <n v="7.99"/>
    <n v="57.48"/>
    <n v="57.48"/>
    <n v="57.480000000000004"/>
    <s v="True"/>
    <s v="Normal"/>
    <s v="Credit Card"/>
    <x v="0"/>
    <s v="pending"/>
    <s v="United States"/>
    <s v="California"/>
    <s v="Valid"/>
    <s v="Lake Donna"/>
  </r>
  <r>
    <s v="#2485"/>
    <n v="1"/>
    <d v="2026-08-04T14:05:20"/>
    <d v="2026-08-04T14:05:20"/>
    <s v="George Gould"/>
    <x v="0"/>
    <s v="george.gould10@yahoo.com"/>
    <s v="Running Shoes - Women's"/>
    <x v="14"/>
    <s v="Footwear"/>
    <x v="15"/>
    <n v="1"/>
    <s v="$54.99"/>
    <n v="54.99"/>
    <m/>
    <x v="0"/>
    <n v="0"/>
    <n v="0"/>
    <s v="Number"/>
    <n v="7.99"/>
    <n v="7.99"/>
    <n v="62.98"/>
    <n v="62.98"/>
    <n v="62.980000000000004"/>
    <s v="True"/>
    <s v="Normal"/>
    <s v="Google Pay"/>
    <x v="0"/>
    <s v="fulfilled"/>
    <s v="Canada"/>
    <m/>
    <s v="Not Required"/>
    <s v="Port Jenniferburgh"/>
  </r>
  <r>
    <s v="#2518"/>
    <n v="1"/>
    <d v="2026-04-08T00:00:00"/>
    <s v="08/04/2026"/>
    <s v="  John Hoffman"/>
    <x v="0"/>
    <s v="john.hoffman175@gmail.com"/>
    <s v="Running Shoes - Women's"/>
    <x v="14"/>
    <s v="Footwear"/>
    <x v="15"/>
    <n v="1"/>
    <n v="54.99"/>
    <n v="54.99"/>
    <s v="SAVE20"/>
    <x v="2"/>
    <n v="11"/>
    <n v="11"/>
    <s v="Number"/>
    <n v="7.99"/>
    <n v="7.99"/>
    <n v="51.98"/>
    <n v="51.98"/>
    <n v="51.980000000000004"/>
    <s v="True"/>
    <s v="Normal"/>
    <s v="PayPal"/>
    <x v="0"/>
    <s v="fulfilled"/>
    <s v="United States"/>
    <s v="Texas"/>
    <s v="Valid"/>
    <s v="West Peter"/>
  </r>
  <r>
    <s v="#2544"/>
    <n v="1"/>
    <d v="2026-08-04T14:00:10"/>
    <d v="2026-08-04T14:00:10"/>
    <s v="Erika Maxwell"/>
    <x v="0"/>
    <s v="erika.maxwell281@gmail.com"/>
    <s v="Running Shoes - Women's"/>
    <x v="14"/>
    <s v="Footwear"/>
    <x v="15"/>
    <n v="1"/>
    <n v="54.99"/>
    <n v="54.99"/>
    <m/>
    <x v="0"/>
    <n v="0"/>
    <n v="0"/>
    <s v="Number"/>
    <n v="5.99"/>
    <n v="5.99"/>
    <n v="60.98"/>
    <n v="60.98"/>
    <n v="60.980000000000004"/>
    <s v="True"/>
    <s v="Normal"/>
    <s v="Apple Pay"/>
    <x v="0"/>
    <s v="fulfilled"/>
    <s v="United States"/>
    <s v="Ohio"/>
    <s v="Valid"/>
    <s v="Lake Leah"/>
  </r>
  <r>
    <s v="#2569"/>
    <n v="1"/>
    <d v="2026-04-08T00:00:00"/>
    <s v="08/04/2026"/>
    <s v="Anthony Mullen"/>
    <x v="0"/>
    <s v="anthony.mullen523@yahoo.com"/>
    <s v="Running Shoes - Women's"/>
    <x v="14"/>
    <s v="Footwear"/>
    <x v="15"/>
    <n v="1"/>
    <n v="54.99"/>
    <n v="54.99"/>
    <s v="VIP15"/>
    <x v="4"/>
    <n v="8.25"/>
    <n v="8.25"/>
    <s v="Number"/>
    <n v="4.99"/>
    <n v="4.99"/>
    <n v="51.73"/>
    <n v="51.73"/>
    <n v="51.730000000000004"/>
    <s v="True"/>
    <s v="Normal"/>
    <s v="Apple Pay"/>
    <x v="1"/>
    <s v="refunded"/>
    <s v="United States"/>
    <s v="Illinois"/>
    <s v="Valid"/>
    <s v="West Sarahmouth"/>
  </r>
  <r>
    <s v="#2629"/>
    <n v="1"/>
    <d v="2026-04-08T00:00:00"/>
    <s v="08/04/2026"/>
    <s v="Anthony Parker"/>
    <x v="0"/>
    <s v="anthony.parker256@icloud.com"/>
    <s v="Running Shoes - Women's"/>
    <x v="14"/>
    <s v="Footwear"/>
    <x v="15"/>
    <n v="1"/>
    <n v="54.99"/>
    <n v="54.99"/>
    <s v="SAVE20"/>
    <x v="2"/>
    <n v="11"/>
    <n v="11"/>
    <s v="Number"/>
    <n v="5.99"/>
    <n v="5.99"/>
    <n v="49.98"/>
    <n v="49.98"/>
    <n v="49.980000000000004"/>
    <s v="True"/>
    <s v="Normal"/>
    <s v="Shopify Payments"/>
    <x v="1"/>
    <s v="refunded"/>
    <s v="United Kingdom"/>
    <m/>
    <s v="Not Required"/>
    <s v="North Kevinbury"/>
  </r>
  <r>
    <s v="#2683"/>
    <n v="1"/>
    <d v="2026-08-04T14:03:49"/>
    <d v="2026-08-04T14:03:49"/>
    <s v="Chad Smith"/>
    <x v="0"/>
    <s v="chad.smith773@icloud.com"/>
    <s v="Running Shoes - Women's"/>
    <x v="14"/>
    <s v="Footwear"/>
    <x v="15"/>
    <n v="1"/>
    <n v="54.99"/>
    <n v="54.99"/>
    <m/>
    <x v="0"/>
    <n v="0"/>
    <n v="0"/>
    <s v="Number"/>
    <n v="5.99"/>
    <n v="5.99"/>
    <s v="$60.98"/>
    <n v="60.98"/>
    <n v="60.980000000000004"/>
    <s v="True"/>
    <s v="Normal"/>
    <s v="Shopify Payments"/>
    <x v="0"/>
    <s v="fulfilled"/>
    <s v="Pakistan"/>
    <m/>
    <s v="Not Required"/>
    <s v="Michelleview"/>
  </r>
  <r>
    <s v="#2686"/>
    <n v="1"/>
    <d v="2026-08-04T14:03:35"/>
    <d v="2026-08-04T14:03:35"/>
    <s v="erika maxwell"/>
    <x v="0"/>
    <s v="erika.maxwell281@gmail.com"/>
    <s v="Running Shoes - Women's"/>
    <x v="14"/>
    <s v="Footwear"/>
    <x v="15"/>
    <n v="2"/>
    <n v="54.99"/>
    <n v="54.99"/>
    <s v="FREESHIP"/>
    <x v="5"/>
    <n v="0"/>
    <n v="0"/>
    <s v="Number"/>
    <n v="0"/>
    <n v="0"/>
    <n v="109.98"/>
    <n v="109.98"/>
    <n v="109.98"/>
    <s v="True"/>
    <s v="Outlier"/>
    <s v="Google Pay"/>
    <x v="3"/>
    <s v="fulfilled"/>
    <s v="United States"/>
    <s v="Arizona"/>
    <s v="Valid"/>
    <s v="Wilsonview"/>
  </r>
  <r>
    <s v="#2705"/>
    <n v="1"/>
    <d v="2026-08-04T14:05:55"/>
    <d v="2026-08-04T14:05:55"/>
    <s v="Ronald Stanley"/>
    <x v="0"/>
    <s v="ronald.stanley7@yahoo.com"/>
    <s v="Running Shoes - Women's"/>
    <x v="14"/>
    <s v="Footwear"/>
    <x v="15"/>
    <n v="1"/>
    <n v="54.99"/>
    <n v="54.99"/>
    <s v="SAVE20"/>
    <x v="2"/>
    <n v="11"/>
    <n v="11"/>
    <s v="Number"/>
    <n v="4.99"/>
    <n v="4.99"/>
    <n v="48.98"/>
    <n v="48.98"/>
    <n v="48.980000000000004"/>
    <s v="True"/>
    <s v="Normal"/>
    <s v="Shopify Payments"/>
    <x v="0"/>
    <s v="fulfilled"/>
    <s v="United States"/>
    <s v="Ohio"/>
    <s v="Valid"/>
    <s v="Castillostad"/>
  </r>
  <r>
    <s v="#2783"/>
    <n v="1"/>
    <d v="2026-04-08T00:00:00"/>
    <s v="08/04/2026"/>
    <s v="Amanda Robinson"/>
    <x v="0"/>
    <s v="amanda.robinson263@icloud.com"/>
    <s v="Running Shoes - Women's"/>
    <x v="14"/>
    <s v="Footwear"/>
    <x v="15"/>
    <n v="1"/>
    <n v="54.99"/>
    <n v="54.99"/>
    <m/>
    <x v="0"/>
    <n v="0"/>
    <n v="0"/>
    <s v="Number"/>
    <n v="5.99"/>
    <n v="5.99"/>
    <n v="60.98"/>
    <n v="60.98"/>
    <n v="60.980000000000004"/>
    <s v="True"/>
    <s v="Normal"/>
    <s v="Apple Pay"/>
    <x v="0"/>
    <s v="fulfilled"/>
    <s v="United States"/>
    <s v="Washington"/>
    <s v="Valid"/>
    <s v="New Cindy"/>
  </r>
  <r>
    <s v="#2820"/>
    <n v="1"/>
    <d v="2026-08-04T13:56:43"/>
    <d v="2026-08-04T13:56:43"/>
    <s v="Joshua Owens"/>
    <x v="0"/>
    <s v="joshua.owens56@icloud.com"/>
    <s v="Running Shoes - Women's"/>
    <x v="14"/>
    <s v="Footwear"/>
    <x v="15"/>
    <n v="1"/>
    <n v="54.99"/>
    <n v="54.99"/>
    <m/>
    <x v="0"/>
    <n v="0"/>
    <n v="0"/>
    <s v="Number"/>
    <n v="5.99"/>
    <n v="5.99"/>
    <n v="60.98"/>
    <n v="60.98"/>
    <n v="60.980000000000004"/>
    <s v="True"/>
    <s v="Normal"/>
    <s v="PayPal"/>
    <x v="1"/>
    <s v="fulfilled"/>
    <s v="United States"/>
    <s v="OH"/>
    <s v="Valid"/>
    <s v="New Dawn"/>
  </r>
  <r>
    <s v="#2830"/>
    <n v="1"/>
    <d v="2026-08-04T00:00:00"/>
    <s v="04-08-2026 13:57"/>
    <s v="Samuel Padilla"/>
    <x v="0"/>
    <s v="samuel.padilla79@gmail.com"/>
    <s v="Running Shoes - Women's"/>
    <x v="14"/>
    <s v="Footwear"/>
    <x v="15"/>
    <n v="1"/>
    <n v="54.99"/>
    <n v="54.99"/>
    <m/>
    <x v="0"/>
    <n v="0"/>
    <n v="0"/>
    <s v="Number"/>
    <n v="7.99"/>
    <n v="7.99"/>
    <n v="62.98"/>
    <n v="62.98"/>
    <n v="62.980000000000004"/>
    <s v="True"/>
    <s v="Normal"/>
    <s v="Credit Card"/>
    <x v="3"/>
    <s v="pending"/>
    <s v="United States"/>
    <s v="Texas"/>
    <s v="Valid"/>
    <s v="Branchberg"/>
  </r>
  <r>
    <s v="#2853"/>
    <n v="1"/>
    <d v="2026-08-04T14:03:49"/>
    <d v="2026-08-04T14:03:49"/>
    <s v="Logan Fox"/>
    <x v="0"/>
    <s v="logan.fox165@gmail.com"/>
    <s v="Running Shoes - Women's  "/>
    <x v="14"/>
    <s v="Footwear"/>
    <x v="15"/>
    <n v="1"/>
    <n v="54.99"/>
    <n v="54.99"/>
    <s v="WELCOME10"/>
    <x v="1"/>
    <n v="5.5"/>
    <n v="5.5"/>
    <s v="Number"/>
    <n v="7.99"/>
    <n v="7.99"/>
    <n v="57.48"/>
    <n v="57.48"/>
    <n v="57.480000000000004"/>
    <s v="True"/>
    <s v="Normal"/>
    <s v="Shopify Payments"/>
    <x v="3"/>
    <s v="fulfilled"/>
    <s v="Australia"/>
    <m/>
    <s v="Not Required"/>
    <s v="Port Andrewburgh"/>
  </r>
  <r>
    <s v="#2868"/>
    <n v="1"/>
    <d v="2026-08-04T14:04:09"/>
    <d v="2026-08-04T14:04:09"/>
    <s v="Christopher Hayes"/>
    <x v="0"/>
    <s v="christopher.hayes809@icloud.com"/>
    <s v="Running Shoes - Women's"/>
    <x v="14"/>
    <s v="Footwear"/>
    <x v="15"/>
    <n v="1"/>
    <n v="54.99"/>
    <n v="54.99"/>
    <m/>
    <x v="0"/>
    <n v="0"/>
    <n v="0"/>
    <s v="Number"/>
    <n v="5.99"/>
    <n v="5.99"/>
    <n v="60.98"/>
    <n v="60.98"/>
    <n v="60.980000000000004"/>
    <s v="True"/>
    <s v="Normal"/>
    <s v="Google Pay"/>
    <x v="1"/>
    <s v="fulfilled"/>
    <s v="United States"/>
    <s v="NY"/>
    <s v="Valid"/>
    <s v="Reginafurt"/>
  </r>
  <r>
    <s v="#2872"/>
    <n v="1"/>
    <d v="2026-08-04T14:06:06"/>
    <d v="2026-08-04T14:06:06"/>
    <s v="Alison Schroeder"/>
    <x v="0"/>
    <s v="alison.schroeder943@icloud.com"/>
    <s v="Running Shoes - Women's"/>
    <x v="14"/>
    <s v="Footwear"/>
    <x v="15"/>
    <n v="1"/>
    <n v="54.99"/>
    <n v="54.99"/>
    <m/>
    <x v="0"/>
    <n v="0"/>
    <n v="0"/>
    <s v="Number"/>
    <n v="5.99"/>
    <n v="5.99"/>
    <s v="$60.98"/>
    <n v="60.98"/>
    <n v="60.980000000000004"/>
    <s v="True"/>
    <s v="Normal"/>
    <s v="Credit Card"/>
    <x v="0"/>
    <s v="fulfilled"/>
    <s v="Australia"/>
    <m/>
    <s v="Not Required"/>
    <s v="Crawfordland"/>
  </r>
  <r>
    <s v="#2952"/>
    <n v="1"/>
    <d v="2026-08-04T13:56:18"/>
    <d v="2026-08-04T13:56:18"/>
    <s v="Tracy Barr"/>
    <x v="0"/>
    <s v="tracy.barr550@icloud.com"/>
    <s v="Running Shoes - Women's"/>
    <x v="14"/>
    <s v="Footwear"/>
    <x v="15"/>
    <n v="2"/>
    <n v="54.99"/>
    <n v="54.99"/>
    <s v="FREESHIP"/>
    <x v="5"/>
    <n v="0"/>
    <n v="0"/>
    <s v="Number"/>
    <n v="0"/>
    <n v="0"/>
    <n v="109.98"/>
    <n v="109.98"/>
    <n v="109.98"/>
    <s v="True"/>
    <s v="Outlier"/>
    <s v="Shopify Payments"/>
    <x v="2"/>
    <s v="fulfilled"/>
    <s v="United States"/>
    <s v="Washington"/>
    <s v="Valid"/>
    <s v="South Drewport"/>
  </r>
  <r>
    <s v="#2966"/>
    <n v="1"/>
    <d v="2026-08-04T14:08:06"/>
    <d v="2026-08-04T14:08:06"/>
    <s v="Lauren Nguyen"/>
    <x v="0"/>
    <s v="lauren.nguyen819@outlook.com"/>
    <s v="Running Shoes - Women's"/>
    <x v="14"/>
    <s v="Footwear"/>
    <x v="15"/>
    <n v="1"/>
    <s v="$54.99"/>
    <n v="54.99"/>
    <s v="BFCM25"/>
    <x v="3"/>
    <n v="13.75"/>
    <n v="13.75"/>
    <s v="Number"/>
    <n v="4.99"/>
    <n v="4.99"/>
    <n v="46.23"/>
    <n v="46.23"/>
    <n v="46.230000000000004"/>
    <s v="True"/>
    <s v="Normal"/>
    <s v="PayPal"/>
    <x v="0"/>
    <s v="fulfilled"/>
    <s v="United Kingdom"/>
    <m/>
    <s v="Not Required"/>
    <s v="New Amberbury"/>
  </r>
  <r>
    <s v="#2991"/>
    <n v="1"/>
    <d v="2026-08-04T14:02:24"/>
    <d v="2026-08-04T14:02:24"/>
    <s v="Amanda Harris"/>
    <x v="0"/>
    <s v="amanda.harris197@gmail.com"/>
    <s v="Running Shoes - Women's"/>
    <x v="14"/>
    <s v="Footwear"/>
    <x v="15"/>
    <n v="2"/>
    <n v="54.99"/>
    <n v="54.99"/>
    <s v="VIP15"/>
    <x v="4"/>
    <n v="16.5"/>
    <n v="16.5"/>
    <s v="Number"/>
    <n v="0"/>
    <n v="0"/>
    <n v="93.48"/>
    <n v="93.48"/>
    <n v="93.48"/>
    <s v="True"/>
    <s v="Outlier"/>
    <s v="Apple Pay"/>
    <x v="0"/>
    <s v="fulfilled"/>
    <s v="United States"/>
    <s v="Texas"/>
    <s v="Valid"/>
    <s v="East Adamville"/>
  </r>
  <r>
    <s v="#2994"/>
    <n v="1"/>
    <d v="2026-08-04T13:58:11"/>
    <d v="2026-08-04T13:58:11"/>
    <s v="Timothy Curry"/>
    <x v="0"/>
    <s v="timothy.curry5@gmail.com"/>
    <s v="Running Shoes - Women's"/>
    <x v="14"/>
    <s v="Footwear"/>
    <x v="15"/>
    <n v="1"/>
    <n v="54.99"/>
    <n v="54.99"/>
    <s v="FREESHIP"/>
    <x v="5"/>
    <n v="0"/>
    <n v="0"/>
    <s v="Number"/>
    <n v="0"/>
    <n v="0"/>
    <n v="54.99"/>
    <n v="54.99"/>
    <n v="54.99"/>
    <s v="True"/>
    <s v="Normal"/>
    <s v="PayPal"/>
    <x v="0"/>
    <s v="fulfilled"/>
    <s v="United States"/>
    <s v="New York"/>
    <s v="Valid"/>
    <s v="Boydhaven"/>
  </r>
  <r>
    <s v="#1586"/>
    <n v="1"/>
    <d v="2026-08-04T13:53:48"/>
    <d v="2026-08-04T13:53:48"/>
    <s v="Kenneth Davis"/>
    <x v="1"/>
    <m/>
    <s v="Running Shoes - Men's"/>
    <x v="13"/>
    <s v="Footwear"/>
    <x v="14"/>
    <n v="2"/>
    <n v="54.99"/>
    <n v="54.99"/>
    <s v="SAVE20"/>
    <x v="2"/>
    <s v="$22.00"/>
    <n v="22"/>
    <s v="Number"/>
    <n v="0"/>
    <n v="0"/>
    <n v="87.98"/>
    <n v="87.98"/>
    <n v="87.98"/>
    <s v="True"/>
    <s v="Outlier"/>
    <s v="Google Pay"/>
    <x v="1"/>
    <s v="fulfilled"/>
    <s v="United States"/>
    <s v="NY"/>
    <s v="Valid"/>
    <s v="South Jeremyside"/>
  </r>
  <r>
    <s v="#2742"/>
    <n v="1"/>
    <d v="2026-08-04T14:05:23"/>
    <d v="2026-08-04T14:05:23"/>
    <s v="Ian Morris"/>
    <x v="0"/>
    <s v="ian.morris90@outlook.com"/>
    <s v="Running Shoes -  Men's"/>
    <x v="13"/>
    <s v="Footwear"/>
    <x v="14"/>
    <n v="1"/>
    <n v="54.99"/>
    <n v="54.99"/>
    <m/>
    <x v="0"/>
    <n v="0"/>
    <n v="0"/>
    <s v="Number"/>
    <n v="5.99"/>
    <n v="5.99"/>
    <n v="60.98"/>
    <n v="60.98"/>
    <n v="60.980000000000004"/>
    <s v="True"/>
    <s v="Normal"/>
    <s v="Shopify Payments"/>
    <x v="0"/>
    <s v="fulfilled"/>
    <s v="Pakistan"/>
    <m/>
    <s v="Not Required"/>
    <s v="Pamfurt"/>
  </r>
  <r>
    <s v="#1004"/>
    <n v="1"/>
    <d v="2026-08-04T14:06:42"/>
    <d v="2026-08-04T14:06:42"/>
    <s v="Robyn Hughes"/>
    <x v="0"/>
    <s v="robyn.hughes771@gmail.com"/>
    <s v="Scented Soy Candle - Vanilla"/>
    <x v="15"/>
    <s v="Home &amp; Kitchen"/>
    <x v="16"/>
    <n v="1"/>
    <n v="9.99"/>
    <n v="9.99"/>
    <s v="FREESHIP"/>
    <x v="5"/>
    <n v="0"/>
    <n v="0"/>
    <s v="Number"/>
    <n v="0"/>
    <n v="0"/>
    <n v="9.99"/>
    <n v="9.99"/>
    <n v="9.99"/>
    <s v="True"/>
    <s v="Normal"/>
    <s v="Google Pay"/>
    <x v="3"/>
    <s v="fulfilled"/>
    <s v="United States"/>
    <s v="New York"/>
    <s v="Valid"/>
    <s v="New Debra"/>
  </r>
  <r>
    <s v="#1006"/>
    <n v="1"/>
    <d v="2026-08-04T14:00:26"/>
    <d v="2026-08-04T14:00:26"/>
    <s v="Joshua Anderson"/>
    <x v="0"/>
    <s v="joshua.anderson662@gmail.com"/>
    <s v="Scented Soy Candle - Vanilla"/>
    <x v="15"/>
    <s v="Home &amp; Kitchen"/>
    <x v="16"/>
    <n v="2"/>
    <n v="9.99"/>
    <n v="9.99"/>
    <s v="WELCOME10"/>
    <x v="1"/>
    <n v="2"/>
    <n v="2"/>
    <s v="Number"/>
    <n v="4.99"/>
    <n v="4.99"/>
    <n v="22.97"/>
    <n v="22.97"/>
    <n v="22.97"/>
    <s v="True"/>
    <s v="Normal"/>
    <s v="PayPal"/>
    <x v="3"/>
    <s v="fulfilled"/>
    <s v="Canada"/>
    <m/>
    <s v="Not Required"/>
    <s v="Joshuastad"/>
  </r>
  <r>
    <s v="#1028"/>
    <n v="1"/>
    <d v="2026-08-04T13:53:56"/>
    <d v="2026-08-04T13:53:56"/>
    <s v="Andrea Martinez"/>
    <x v="0"/>
    <s v="andrea.martinez756@yahoo.com"/>
    <s v="Scented Soy Candle - Vanilla"/>
    <x v="15"/>
    <s v="Home &amp; Kitchen"/>
    <x v="16"/>
    <n v="1"/>
    <s v="$9.99"/>
    <n v="9.99"/>
    <m/>
    <x v="0"/>
    <n v="0"/>
    <n v="0"/>
    <s v="Number"/>
    <n v="7.99"/>
    <n v="7.99"/>
    <n v="17.98"/>
    <n v="17.98"/>
    <n v="17.98"/>
    <s v="True"/>
    <s v="Normal"/>
    <s v="Shopify Payments"/>
    <x v="1"/>
    <s v="fulfilled"/>
    <s v="Australia"/>
    <m/>
    <s v="Not Required"/>
    <s v="East Sarah"/>
  </r>
  <r>
    <s v="#1043"/>
    <n v="1"/>
    <d v="2026-08-04T00:00:00"/>
    <s v="Aug 04, 2026"/>
    <s v="Linda Scott"/>
    <x v="0"/>
    <s v="linda.scott2@icloud.com"/>
    <s v="Scented Soy Candle - Vanilla"/>
    <x v="15"/>
    <s v="Home &amp; Kitchen"/>
    <x v="16"/>
    <n v="2"/>
    <n v="9.99"/>
    <n v="9.99"/>
    <m/>
    <x v="0"/>
    <n v="0"/>
    <n v="0"/>
    <s v="Number"/>
    <n v="5.99"/>
    <n v="5.99"/>
    <n v="25.97"/>
    <n v="25.97"/>
    <n v="25.97"/>
    <s v="True"/>
    <s v="Normal"/>
    <s v="PayPal"/>
    <x v="0"/>
    <s v="refunded"/>
    <s v="Canada"/>
    <m/>
    <s v="Not Required"/>
    <s v="North Tonyfurt"/>
  </r>
  <r>
    <s v="#1071"/>
    <n v="1"/>
    <d v="2026-08-04T13:55:13"/>
    <d v="2026-08-04T13:55:13"/>
    <s v="Kathryn Robinson"/>
    <x v="0"/>
    <s v="kathryn.robinson965@gmail.com"/>
    <s v="Scented Soy Candle - Vanilla"/>
    <x v="15"/>
    <s v="Home &amp; Kitchen"/>
    <x v="16"/>
    <n v="2"/>
    <n v="9.99"/>
    <n v="9.99"/>
    <s v="BFCM25 "/>
    <x v="3"/>
    <n v="5"/>
    <n v="5"/>
    <s v="Number"/>
    <n v="5.99"/>
    <n v="5.99"/>
    <n v="20.97"/>
    <n v="20.97"/>
    <n v="20.97"/>
    <s v="True"/>
    <s v="Normal"/>
    <s v="Shopify Payments"/>
    <x v="2"/>
    <s v="fulfilled"/>
    <s v="United Kingdom"/>
    <m/>
    <s v="Not Required"/>
    <s v="South Katherine"/>
  </r>
  <r>
    <s v="#1191"/>
    <n v="1"/>
    <d v="2026-08-04T13:54:25"/>
    <d v="2026-08-04T13:54:25"/>
    <s v="Brittney Thomas"/>
    <x v="0"/>
    <s v="brittney.thomas484@gmail.com"/>
    <s v="Scented Soy Candle - Vanilla"/>
    <x v="15"/>
    <s v="Home &amp; Kitchen"/>
    <x v="16"/>
    <n v="1"/>
    <n v="9.99"/>
    <n v="9.99"/>
    <m/>
    <x v="0"/>
    <n v="0"/>
    <n v="0"/>
    <s v="Number"/>
    <n v="5.99"/>
    <n v="5.99"/>
    <n v="15.98"/>
    <n v="15.98"/>
    <n v="15.98"/>
    <s v="True"/>
    <s v="Normal"/>
    <s v="Credit Card"/>
    <x v="3"/>
    <s v="fulfilled"/>
    <s v="United States"/>
    <s v="Texas"/>
    <s v="Valid"/>
    <s v="North Lance"/>
  </r>
  <r>
    <s v="#1192"/>
    <n v="1"/>
    <d v="2026-08-04T14:01:10"/>
    <d v="2026-08-04T14:01:10"/>
    <s v="Jennifer Burke"/>
    <x v="0"/>
    <s v="jennifer.burke472@icloud.com"/>
    <s v="Scented Soy Candle - Vanilla"/>
    <x v="15"/>
    <s v="Home &amp; Kitchen"/>
    <x v="16"/>
    <n v="1"/>
    <n v="9.99"/>
    <n v="9.99"/>
    <s v="WELCOME10"/>
    <x v="1"/>
    <n v="1"/>
    <n v="1"/>
    <s v="Number"/>
    <n v="4.99"/>
    <n v="4.99"/>
    <n v="13.98"/>
    <n v="13.98"/>
    <n v="13.98"/>
    <s v="True"/>
    <s v="Normal"/>
    <s v="Google Pay"/>
    <x v="3"/>
    <s v="fulfilled"/>
    <s v="Pakistan"/>
    <m/>
    <s v="Not Required"/>
    <s v="Lake Susan"/>
  </r>
  <r>
    <s v="#1207"/>
    <n v="1"/>
    <d v="2026-08-04T14:01:29"/>
    <d v="2026-08-04T14:01:29"/>
    <s v="Natalie Roberts"/>
    <x v="0"/>
    <s v="natalie.roberts628@yahoo.com"/>
    <s v="Scented Soy Candle - Vanilla"/>
    <x v="15"/>
    <s v="Home &amp; Kitchen"/>
    <x v="16"/>
    <n v="1"/>
    <s v="$9.99"/>
    <n v="9.99"/>
    <s v="VIP15"/>
    <x v="4"/>
    <n v="1.5"/>
    <n v="1.5"/>
    <s v="Number"/>
    <n v="5.99"/>
    <n v="5.99"/>
    <n v="14.48"/>
    <n v="14.48"/>
    <n v="14.48"/>
    <s v="True"/>
    <s v="Normal"/>
    <s v="Apple Pay"/>
    <x v="3"/>
    <s v="fulfilled"/>
    <s v="United States"/>
    <s v="New York"/>
    <s v="Valid"/>
    <s v="West Misty"/>
  </r>
  <r>
    <s v="#1210"/>
    <n v="1"/>
    <d v="2026-08-04T13:59:45"/>
    <d v="2026-08-04T13:59:45"/>
    <s v="Stacey Johnson"/>
    <x v="0"/>
    <s v="stacey.johnson95@gmail.com"/>
    <s v="Scented Soy Candle - Vanilla"/>
    <x v="15"/>
    <s v="Home &amp; Kitchen"/>
    <x v="16"/>
    <n v="1"/>
    <s v="$9.99"/>
    <n v="9.99"/>
    <s v="BFCM25"/>
    <x v="3"/>
    <n v="2.5"/>
    <n v="2.5"/>
    <s v="Number"/>
    <n v="7.99"/>
    <n v="7.99"/>
    <n v="15.48"/>
    <n v="15.48"/>
    <n v="15.48"/>
    <s v="True"/>
    <s v="Normal"/>
    <s v="Shopify Payments"/>
    <x v="1"/>
    <s v="fulfilled"/>
    <s v="Germany"/>
    <m/>
    <s v="Not Required"/>
    <s v="Port Josephmouth"/>
  </r>
  <r>
    <s v="#1218"/>
    <n v="1"/>
    <d v="2026-08-04T13:56:07"/>
    <d v="2026-08-04T13:56:07"/>
    <s v="Zachary Hanson"/>
    <x v="0"/>
    <s v="zachary.hanson261@outlook.com"/>
    <s v="Scented Soy Candle - Vanilla"/>
    <x v="15"/>
    <s v="Home &amp; Kitchen"/>
    <x v="16"/>
    <n v="1"/>
    <n v="9.99"/>
    <n v="9.99"/>
    <m/>
    <x v="0"/>
    <n v="0"/>
    <n v="0"/>
    <s v="Number"/>
    <n v="4.99"/>
    <n v="4.99"/>
    <n v="14.98"/>
    <n v="14.98"/>
    <n v="14.98"/>
    <s v="True"/>
    <s v="Normal"/>
    <s v="Shopify Payments"/>
    <x v="2"/>
    <s v="fulfilled"/>
    <s v="United States"/>
    <s v="TX"/>
    <s v="Valid"/>
    <s v="Santosburgh"/>
  </r>
  <r>
    <s v="#1240"/>
    <n v="1"/>
    <d v="2026-04-08T00:00:00"/>
    <s v="08/04/2026"/>
    <s v="Anthony Parker"/>
    <x v="0"/>
    <s v="anthony.parker256@icloud.com"/>
    <s v="Scented Soy Candle - Vanilla"/>
    <x v="15"/>
    <s v="Home &amp; Kitchen"/>
    <x v="16"/>
    <n v="1"/>
    <n v="9.99"/>
    <n v="9.99"/>
    <m/>
    <x v="0"/>
    <n v="0"/>
    <n v="0"/>
    <s v="Number"/>
    <n v="4.99"/>
    <n v="4.99"/>
    <s v="$14.98"/>
    <n v="14.98"/>
    <n v="14.98"/>
    <s v="True"/>
    <s v="Normal"/>
    <s v="Credit Card"/>
    <x v="2"/>
    <s v="cancelled"/>
    <s v="United Kingdom"/>
    <m/>
    <s v="Not Required"/>
    <s v="Oneillborough"/>
  </r>
  <r>
    <s v="#1286"/>
    <n v="1"/>
    <d v="2026-08-04T14:01:36"/>
    <d v="2026-08-04T14:01:36"/>
    <s v="Natalie Roberts"/>
    <x v="0"/>
    <s v="natalie.roberts628@yahoo.com"/>
    <s v="Scented Soy Candle - Vanilla"/>
    <x v="15"/>
    <s v="Home &amp; Kitchen"/>
    <x v="16"/>
    <n v="1"/>
    <n v="9.99"/>
    <n v="9.99"/>
    <m/>
    <x v="0"/>
    <n v="0"/>
    <n v="0"/>
    <s v="Number"/>
    <n v="5.99"/>
    <n v="5.99"/>
    <n v="15.98"/>
    <n v="15.98"/>
    <n v="15.98"/>
    <s v="True"/>
    <s v="Normal"/>
    <s v="Google Pay"/>
    <x v="1"/>
    <s v="cancelled"/>
    <s v="United States"/>
    <s v="Texas"/>
    <s v="Valid"/>
    <s v="West Davidberg"/>
  </r>
  <r>
    <s v="#1292"/>
    <n v="1"/>
    <d v="2026-08-04T13:58:07"/>
    <d v="2026-08-04T13:58:07"/>
    <s v="Robert Miller"/>
    <x v="0"/>
    <s v="robert.miller69@yahoo.com"/>
    <s v="Scented Soy Candle - Vanilla"/>
    <x v="15"/>
    <s v="Home &amp; Kitchen"/>
    <x v="16"/>
    <n v="1"/>
    <n v="9.99"/>
    <n v="9.99"/>
    <s v="WELCOME10"/>
    <x v="1"/>
    <n v="1"/>
    <n v="1"/>
    <s v="Number"/>
    <n v="4.99"/>
    <n v="4.99"/>
    <s v="$13.98"/>
    <n v="13.98"/>
    <n v="13.98"/>
    <s v="True"/>
    <s v="Normal"/>
    <s v="Shopify Payments"/>
    <x v="2"/>
    <s v="refunded"/>
    <s v="Australia"/>
    <m/>
    <s v="Not Required"/>
    <s v="East Victor"/>
  </r>
  <r>
    <s v="#1297"/>
    <n v="1"/>
    <d v="2026-08-04T14:04:28"/>
    <d v="2026-08-04T14:04:28"/>
    <s v="Nicholas Parker"/>
    <x v="0"/>
    <s v="nicholas.parker656@yahoo.com"/>
    <s v="Scented Soy Candle - Vanilla"/>
    <x v="15"/>
    <s v="Home &amp; Kitchen"/>
    <x v="16"/>
    <n v="1"/>
    <n v="9.99"/>
    <n v="9.99"/>
    <s v="SAVE20"/>
    <x v="2"/>
    <n v="2"/>
    <n v="2"/>
    <s v="Number"/>
    <n v="4.99"/>
    <n v="4.99"/>
    <n v="12.98"/>
    <n v="12.98"/>
    <n v="12.98"/>
    <s v="True"/>
    <s v="Normal"/>
    <s v="Apple Pay"/>
    <x v="0"/>
    <s v="fulfilled"/>
    <s v="United States"/>
    <s v="Ohio"/>
    <s v="Valid"/>
    <s v="Bennettbury"/>
  </r>
  <r>
    <s v="#1328"/>
    <n v="1"/>
    <d v="2026-04-08T00:00:00"/>
    <s v="08/04/2026"/>
    <s v="Kayla Cruz"/>
    <x v="0"/>
    <s v="kayla.cruz151@outlook.com"/>
    <s v="Scented Soy Candle - Vanilla"/>
    <x v="15"/>
    <s v="Home &amp; Kitchen"/>
    <x v="16"/>
    <n v="1"/>
    <n v="9.99"/>
    <n v="9.99"/>
    <s v="VIP15"/>
    <x v="4"/>
    <n v="1.5"/>
    <n v="1.5"/>
    <s v="Number"/>
    <n v="4.99"/>
    <n v="4.99"/>
    <n v="13.48"/>
    <n v="13.48"/>
    <n v="13.48"/>
    <s v="True"/>
    <s v="Normal"/>
    <s v="Apple Pay"/>
    <x v="1"/>
    <s v="cancelled"/>
    <s v="Pakistan"/>
    <m/>
    <s v="Not Required"/>
    <s v="South Charlesland"/>
  </r>
  <r>
    <s v="#1338"/>
    <n v="1"/>
    <d v="2026-04-08T00:00:00"/>
    <s v="08/04/2026"/>
    <s v="Christopher Harris"/>
    <x v="0"/>
    <s v="christopher.harris618@yahoo.com"/>
    <s v="Scented Soy Candle - Vanilla"/>
    <x v="15"/>
    <s v="Home &amp; Kitchen"/>
    <x v="16"/>
    <n v="1"/>
    <n v="9.99"/>
    <n v="9.99"/>
    <s v="VIP15"/>
    <x v="4"/>
    <n v="1.5"/>
    <n v="1.5"/>
    <s v="Number"/>
    <n v="5.99"/>
    <n v="5.99"/>
    <n v="14.48"/>
    <n v="14.48"/>
    <n v="14.48"/>
    <s v="True"/>
    <s v="Normal"/>
    <s v="PayPal"/>
    <x v="3"/>
    <s v="pending"/>
    <s v="Australia"/>
    <m/>
    <s v="Not Required"/>
    <s v="Lake Crystal"/>
  </r>
  <r>
    <s v="#1364"/>
    <n v="1"/>
    <d v="2026-08-04T13:57:54"/>
    <d v="2026-08-04T13:57:54"/>
    <s v="Anthony Krueger"/>
    <x v="0"/>
    <s v="anthony.krueger812@yahoo.com"/>
    <s v="Scented Soy Candle - Vanilla"/>
    <x v="15"/>
    <s v="Home &amp; Kitchen"/>
    <x v="16"/>
    <n v="1"/>
    <n v="9.99"/>
    <n v="9.99"/>
    <s v="FREESHIP"/>
    <x v="5"/>
    <n v="0"/>
    <n v="0"/>
    <s v="Number"/>
    <n v="0"/>
    <n v="0"/>
    <n v="9.99"/>
    <n v="9.99"/>
    <n v="9.99"/>
    <s v="True"/>
    <s v="Normal"/>
    <s v="PayPal"/>
    <x v="2"/>
    <s v="fulfilled"/>
    <s v="Pakistan"/>
    <m/>
    <s v="Not Required"/>
    <s v="Jessicaberg"/>
  </r>
  <r>
    <s v="#1373"/>
    <n v="1"/>
    <d v="2026-08-04T14:05:06"/>
    <d v="2026-08-04T14:05:06"/>
    <s v="Amanda Robinson"/>
    <x v="1"/>
    <m/>
    <s v="Scented Soy Candle - Vanilla"/>
    <x v="15"/>
    <s v="Home &amp; Kitchen"/>
    <x v="16"/>
    <n v="2"/>
    <n v="9.99"/>
    <n v="9.99"/>
    <s v="SAVE20"/>
    <x v="2"/>
    <n v="4"/>
    <n v="4"/>
    <s v="Number"/>
    <n v="4.99"/>
    <n v="4.99"/>
    <n v="20.97"/>
    <n v="20.97"/>
    <n v="20.97"/>
    <s v="True"/>
    <s v="Normal"/>
    <s v="Credit Card"/>
    <x v="0"/>
    <s v="pending"/>
    <s v="United States"/>
    <s v="Georgia"/>
    <s v="Valid"/>
    <s v="Calebstad"/>
  </r>
  <r>
    <s v="#1420"/>
    <n v="1"/>
    <d v="2026-08-04T00:00:00"/>
    <s v="Aug 04, 2026"/>
    <s v="Matthew Riley"/>
    <x v="0"/>
    <s v="matthew.riley309@yahoo.com"/>
    <s v="Scented Soy Candle - Vanilla"/>
    <x v="15"/>
    <s v="Home &amp; Kitchen"/>
    <x v="16"/>
    <n v="1"/>
    <n v="9.99"/>
    <n v="9.99"/>
    <m/>
    <x v="0"/>
    <n v="0"/>
    <n v="0"/>
    <s v="Number"/>
    <n v="5.99"/>
    <n v="5.99"/>
    <n v="15.98"/>
    <n v="15.98"/>
    <n v="15.98"/>
    <s v="True"/>
    <s v="Normal"/>
    <s v="Shopify Payments"/>
    <x v="1"/>
    <s v="cancelled"/>
    <s v="Canada"/>
    <m/>
    <s v="Not Required"/>
    <s v="Allisonmouth"/>
  </r>
  <r>
    <s v="#1428"/>
    <n v="1"/>
    <d v="2026-08-04T13:53:28"/>
    <d v="2026-08-04T13:53:28"/>
    <s v="Christopher Harrington"/>
    <x v="0"/>
    <s v="christopher.harrington960@gmail.com"/>
    <s v="Scented Soy Candle - Vanilla"/>
    <x v="15"/>
    <s v="Home &amp; Kitchen"/>
    <x v="16"/>
    <n v="1"/>
    <n v="9.99"/>
    <n v="9.99"/>
    <s v="BFCM25"/>
    <x v="3"/>
    <n v="2.5"/>
    <n v="2.5"/>
    <s v="Number"/>
    <n v="4.99"/>
    <n v="4.99"/>
    <n v="12.48"/>
    <n v="12.48"/>
    <n v="12.48"/>
    <s v="True"/>
    <s v="Normal"/>
    <s v="Shopify Payments"/>
    <x v="3"/>
    <s v="fulfilled"/>
    <s v="Australia"/>
    <m/>
    <s v="Not Required"/>
    <s v="South Dana"/>
  </r>
  <r>
    <s v="#1440"/>
    <n v="1"/>
    <d v="2026-08-04T13:58:57"/>
    <d v="2026-08-04T13:58:57"/>
    <s v="William Houston"/>
    <x v="0"/>
    <s v="william.houston340@outlook.com"/>
    <s v="Scented Soy Candle - Vanilla"/>
    <x v="15"/>
    <s v="Home &amp; Kitchen"/>
    <x v="16"/>
    <n v="2"/>
    <n v="9.99"/>
    <n v="9.99"/>
    <s v="VIP15"/>
    <x v="4"/>
    <n v="3"/>
    <n v="3"/>
    <s v="Number"/>
    <n v="5.99"/>
    <n v="5.99"/>
    <n v="22.97"/>
    <n v="22.97"/>
    <n v="22.97"/>
    <s v="True"/>
    <s v="Normal"/>
    <s v="Credit Card"/>
    <x v="0"/>
    <s v="fulfilled"/>
    <s v="United States"/>
    <s v="Florida"/>
    <s v="Valid"/>
    <s v="East Scottport"/>
  </r>
  <r>
    <s v="#1455"/>
    <n v="1"/>
    <d v="2026-08-04T14:06:48"/>
    <d v="2026-08-04T14:06:48"/>
    <s v="Samuel Padilla"/>
    <x v="0"/>
    <s v="samuel.padilla79@gmail.com"/>
    <s v="Scented Soy Candle - Vanilla"/>
    <x v="15"/>
    <s v="Home &amp; Kitchen"/>
    <x v="16"/>
    <n v="2"/>
    <n v="9.99"/>
    <n v="9.99"/>
    <m/>
    <x v="0"/>
    <n v="0"/>
    <n v="0"/>
    <s v="Number"/>
    <n v="5.99"/>
    <n v="5.99"/>
    <n v="25.97"/>
    <n v="25.97"/>
    <n v="25.97"/>
    <s v="True"/>
    <s v="Normal"/>
    <s v="Apple Pay"/>
    <x v="2"/>
    <s v="fulfilled"/>
    <s v="United States"/>
    <s v="California"/>
    <s v="Valid"/>
    <s v="Henryview"/>
  </r>
  <r>
    <s v="#1467"/>
    <n v="1"/>
    <d v="2026-08-04T14:04:47"/>
    <d v="2026-08-04T14:04:47"/>
    <s v="Jeremy Tucker"/>
    <x v="0"/>
    <s v="jeremy.tucker26@yahoo.com"/>
    <s v="Scented Soy Candle - Vanilla"/>
    <x v="15"/>
    <s v="Home &amp; Kitchen"/>
    <x v="16"/>
    <n v="1"/>
    <n v="9.99"/>
    <n v="9.99"/>
    <m/>
    <x v="0"/>
    <n v="0"/>
    <n v="0"/>
    <s v="Number"/>
    <n v="4.99"/>
    <n v="4.99"/>
    <n v="14.98"/>
    <n v="14.98"/>
    <n v="14.98"/>
    <s v="True"/>
    <s v="Normal"/>
    <s v="Google Pay"/>
    <x v="3"/>
    <s v="cancelled"/>
    <s v="United States"/>
    <s v="North Carolina"/>
    <s v="Valid"/>
    <s v="Hayleychester"/>
  </r>
  <r>
    <s v="#1470"/>
    <n v="1"/>
    <d v="2026-08-04T13:56:17"/>
    <d v="2026-08-04T13:56:17"/>
    <s v="Angela Carr"/>
    <x v="0"/>
    <s v="angela.carr488@yahoo.com"/>
    <s v="Scented Soy Candle - Vanilla"/>
    <x v="15"/>
    <s v="Home &amp; Kitchen"/>
    <x v="16"/>
    <n v="1"/>
    <n v="9.99"/>
    <n v="9.99"/>
    <s v="SAVE20"/>
    <x v="2"/>
    <n v="2"/>
    <n v="2"/>
    <s v="Number"/>
    <n v="7.99"/>
    <n v="7.99"/>
    <n v="15.98"/>
    <n v="15.98"/>
    <n v="15.98"/>
    <s v="True"/>
    <s v="Normal"/>
    <s v="Credit Card"/>
    <x v="0"/>
    <s v="fulfilled"/>
    <s v="United States"/>
    <s v="Canada"/>
    <s v="Valid"/>
    <s v="New Jennifer"/>
  </r>
  <r>
    <s v="#1485"/>
    <n v="1"/>
    <d v="2026-08-04T14:06:09"/>
    <d v="2026-08-04T14:06:09"/>
    <s v="Amanda Harris"/>
    <x v="1"/>
    <m/>
    <s v="Scented Soy Candle - Vanilla"/>
    <x v="15"/>
    <s v="Home &amp; Kitchen"/>
    <x v="16"/>
    <n v="1"/>
    <n v="9.99"/>
    <n v="9.99"/>
    <s v="FREESHIP"/>
    <x v="5"/>
    <n v="0"/>
    <n v="0"/>
    <s v="Number"/>
    <n v="0"/>
    <n v="0"/>
    <n v="9.99"/>
    <n v="9.99"/>
    <n v="9.99"/>
    <s v="True"/>
    <s v="Normal"/>
    <s v="PayPal"/>
    <x v="3"/>
    <s v="fulfilled"/>
    <s v="United States"/>
    <s v="Florida"/>
    <s v="Valid"/>
    <s v="East Stacyfurt"/>
  </r>
  <r>
    <s v="#1525"/>
    <n v="1"/>
    <d v="2026-08-04T14:05:27"/>
    <d v="2026-08-04T14:05:27"/>
    <s v="Vincent Rosales"/>
    <x v="0"/>
    <s v="vincent.rosales30@icloud.com"/>
    <s v="Scented Soy Candle - Vanilla"/>
    <x v="15"/>
    <s v="Home &amp; Kitchen"/>
    <x v="16"/>
    <n v="1"/>
    <n v="9.99"/>
    <n v="9.99"/>
    <s v="BFCM25"/>
    <x v="3"/>
    <n v="2.5"/>
    <n v="2.5"/>
    <s v="Number"/>
    <n v="7.99"/>
    <n v="7.99"/>
    <n v="15.48"/>
    <n v="15.48"/>
    <n v="15.48"/>
    <s v="True"/>
    <s v="Normal"/>
    <s v="Google Pay"/>
    <x v="0"/>
    <s v="fulfilled"/>
    <s v="United States"/>
    <s v="New York"/>
    <s v="Valid"/>
    <s v="West Sethport"/>
  </r>
  <r>
    <s v="#1545"/>
    <n v="1"/>
    <d v="2026-08-04T13:59:42"/>
    <d v="2026-08-04T13:59:42"/>
    <s v="Alec Chambers"/>
    <x v="0"/>
    <s v="alec.chambers767@outlook.com"/>
    <s v="Scented Soy Candle - Vanilla"/>
    <x v="15"/>
    <s v="Home &amp; Kitchen"/>
    <x v="16"/>
    <n v="1"/>
    <n v="9.99"/>
    <n v="9.99"/>
    <s v="SAVE20"/>
    <x v="2"/>
    <n v="2"/>
    <n v="2"/>
    <s v="Number"/>
    <n v="7.99"/>
    <n v="7.99"/>
    <n v="15.98"/>
    <n v="15.98"/>
    <n v="15.98"/>
    <s v="True"/>
    <s v="Normal"/>
    <s v="Credit Card"/>
    <x v="0"/>
    <s v="fulfilled"/>
    <s v="Canada"/>
    <m/>
    <s v="Not Required"/>
    <s v="Shawnton"/>
  </r>
  <r>
    <s v="#1553"/>
    <n v="1"/>
    <d v="2026-08-04T13:58:55"/>
    <d v="2026-08-04T13:58:55"/>
    <s v="SETH PRICE"/>
    <x v="0"/>
    <s v="seth.price179@gmail.com"/>
    <s v="Scented Soy Candle - Vanilla"/>
    <x v="15"/>
    <s v="Home &amp; Kitchen"/>
    <x v="16"/>
    <n v="1"/>
    <n v="9.99"/>
    <n v="9.99"/>
    <m/>
    <x v="0"/>
    <n v="0"/>
    <n v="0"/>
    <s v="Number"/>
    <n v="7.99"/>
    <n v="7.99"/>
    <n v="17.98"/>
    <n v="17.98"/>
    <n v="17.98"/>
    <s v="True"/>
    <s v="Normal"/>
    <s v="PayPal"/>
    <x v="0"/>
    <s v="fulfilled"/>
    <s v="United States"/>
    <s v="Texas"/>
    <s v="Valid"/>
    <s v="Port Kimberlyborough"/>
  </r>
  <r>
    <s v="#1575"/>
    <n v="1"/>
    <d v="2026-08-04T13:56:43"/>
    <d v="2026-08-04T13:56:43"/>
    <s v="Timothy Curry"/>
    <x v="0"/>
    <s v="timothy.curry5@gmail.com"/>
    <s v="Scented Soy Candle - Vanilla"/>
    <x v="15"/>
    <s v="Home &amp; Kitchen"/>
    <x v="16"/>
    <n v="1"/>
    <s v="$9.99"/>
    <n v="9.99"/>
    <s v="BFCM25"/>
    <x v="3"/>
    <n v="2.5"/>
    <n v="2.5"/>
    <s v="Number"/>
    <n v="4.99"/>
    <n v="4.99"/>
    <n v="12.48"/>
    <n v="12.48"/>
    <n v="12.48"/>
    <s v="True"/>
    <s v="Normal"/>
    <s v="Apple Pay"/>
    <x v="2"/>
    <s v="refunded"/>
    <s v="United States"/>
    <s v="Ohio"/>
    <s v="Valid"/>
    <s v="Port Paigeview"/>
  </r>
  <r>
    <s v="#1610"/>
    <n v="1"/>
    <d v="2026-08-04T13:59:32"/>
    <d v="2026-08-04T13:59:32"/>
    <s v="Brittney Conway"/>
    <x v="0"/>
    <s v="brittney.conway383@outlook.com"/>
    <s v="Scented Soy Candle - Vanilla"/>
    <x v="15"/>
    <s v="Home &amp; Kitchen"/>
    <x v="16"/>
    <n v="1"/>
    <n v="9.99"/>
    <n v="9.99"/>
    <m/>
    <x v="0"/>
    <n v="0"/>
    <n v="0"/>
    <s v="Number"/>
    <n v="7.99"/>
    <n v="7.99"/>
    <n v="17.98"/>
    <n v="17.98"/>
    <n v="17.98"/>
    <s v="True"/>
    <s v="Normal"/>
    <s v="PayPal"/>
    <x v="0"/>
    <s v="refunded"/>
    <s v="United States"/>
    <s v="Florida"/>
    <s v="Valid"/>
    <s v="Sullivanside"/>
  </r>
  <r>
    <s v="#1617"/>
    <n v="1"/>
    <d v="2026-04-08T00:00:00"/>
    <s v="08/04/2026"/>
    <s v="James Mason"/>
    <x v="0"/>
    <s v="james.mason603@gmail.com"/>
    <s v="Scented Soy Candle - Vanilla"/>
    <x v="15"/>
    <s v="Home &amp; Kitchen"/>
    <x v="16"/>
    <n v="2"/>
    <n v="9.99"/>
    <n v="9.99"/>
    <m/>
    <x v="0"/>
    <n v="0"/>
    <n v="0"/>
    <s v="Number"/>
    <n v="4.99"/>
    <n v="4.99"/>
    <n v="24.97"/>
    <n v="24.97"/>
    <n v="24.97"/>
    <s v="True"/>
    <s v="Normal"/>
    <s v="Apple Pay"/>
    <x v="1"/>
    <s v="fulfilled"/>
    <s v="Pakistan"/>
    <m/>
    <s v="Not Required"/>
    <s v="Williamsshire"/>
  </r>
  <r>
    <s v="#1650"/>
    <n v="1"/>
    <d v="2026-04-08T00:00:00"/>
    <s v="08/04/2026"/>
    <s v="Alan Davis"/>
    <x v="0"/>
    <s v="alan.davis483@icloud.com"/>
    <s v="Scented Soy Candle - Vanilla"/>
    <x v="15"/>
    <s v="Home &amp; Kitchen"/>
    <x v="16"/>
    <n v="1"/>
    <n v="9.99"/>
    <n v="9.99"/>
    <s v="FREESHIP"/>
    <x v="5"/>
    <n v="0"/>
    <n v="0"/>
    <s v="Number"/>
    <n v="0"/>
    <n v="0"/>
    <n v="9.99"/>
    <n v="9.99"/>
    <n v="9.99"/>
    <s v="True"/>
    <s v="Normal"/>
    <s v="Shopify Payments"/>
    <x v="0"/>
    <s v="cancelled"/>
    <s v="Canada"/>
    <m/>
    <s v="Not Required"/>
    <s v="South Justin"/>
  </r>
  <r>
    <s v="#1707"/>
    <n v="1"/>
    <d v="2026-08-04T14:02:45"/>
    <d v="2026-08-04T14:02:45"/>
    <s v="Jacqueline Richmond"/>
    <x v="0"/>
    <s v="jacqueline.richmond595@outlook.com"/>
    <s v="Scented Soy Candle - Vanilla"/>
    <x v="15"/>
    <s v="Home &amp; Kitchen"/>
    <x v="16"/>
    <n v="1"/>
    <n v="9.99"/>
    <n v="9.99"/>
    <s v="BFCM25"/>
    <x v="3"/>
    <n v="2.5"/>
    <n v="2.5"/>
    <s v="Number"/>
    <n v="5.99"/>
    <n v="5.99"/>
    <n v="13.48"/>
    <n v="13.48"/>
    <n v="13.48"/>
    <s v="True"/>
    <s v="Normal"/>
    <s v="Credit Card"/>
    <x v="0"/>
    <s v="fulfilled"/>
    <s v="United States"/>
    <s v="Georgia"/>
    <s v="Valid"/>
    <s v="East Heidi"/>
  </r>
  <r>
    <s v="#1758"/>
    <n v="1"/>
    <d v="2026-08-04T00:00:00"/>
    <s v="2026-08-04"/>
    <s v="Ian Morris"/>
    <x v="0"/>
    <s v="ian.morris90@outlook.com"/>
    <s v="Scented Soy Candle - Vanilla"/>
    <x v="15"/>
    <s v="Home &amp; Kitchen"/>
    <x v="16"/>
    <n v="1"/>
    <n v="9.99"/>
    <n v="9.99"/>
    <s v="VIP15"/>
    <x v="4"/>
    <n v="1.5"/>
    <n v="1.5"/>
    <s v="Number"/>
    <n v="4.99"/>
    <n v="4.99"/>
    <n v="13.48"/>
    <n v="13.48"/>
    <n v="13.48"/>
    <s v="True"/>
    <s v="Normal"/>
    <s v="Credit Card"/>
    <x v="1"/>
    <s v="refunded"/>
    <s v="Pakistan"/>
    <m/>
    <s v="Not Required"/>
    <s v="Andersontown"/>
  </r>
  <r>
    <s v="#1764"/>
    <n v="1"/>
    <d v="2026-08-04T14:03:40"/>
    <d v="2026-08-04T14:03:40"/>
    <s v="Lindsay Shaw"/>
    <x v="1"/>
    <m/>
    <s v="Scented Soy Candle - Vanilla"/>
    <x v="15"/>
    <s v="Home &amp; Kitchen"/>
    <x v="16"/>
    <n v="1"/>
    <n v="9.99"/>
    <n v="9.99"/>
    <m/>
    <x v="0"/>
    <n v="0"/>
    <n v="0"/>
    <s v="Number"/>
    <n v="4.99"/>
    <n v="4.99"/>
    <n v="14.98"/>
    <n v="14.98"/>
    <n v="14.98"/>
    <s v="True"/>
    <s v="Normal"/>
    <s v="Google Pay"/>
    <x v="0"/>
    <s v="fulfilled"/>
    <s v="United Kingdom"/>
    <m/>
    <s v="Not Required"/>
    <s v="Lake Rhondaton"/>
  </r>
  <r>
    <s v="#1765"/>
    <n v="1"/>
    <d v="2026-08-04T13:55:01"/>
    <d v="2026-08-04T13:55:01"/>
    <s v="Brian Gardner"/>
    <x v="0"/>
    <s v="brian.gardner260@outlook.com"/>
    <s v="Scented Soy Candle - Vanilla"/>
    <x v="15"/>
    <s v="Home &amp; Kitchen"/>
    <x v="16"/>
    <n v="1"/>
    <n v="9.99"/>
    <n v="9.99"/>
    <s v="VIP15"/>
    <x v="4"/>
    <n v="1.5"/>
    <n v="1.5"/>
    <s v="Number"/>
    <n v="5.99"/>
    <n v="5.99"/>
    <n v="14.48"/>
    <n v="14.48"/>
    <n v="14.48"/>
    <s v="True"/>
    <s v="Normal"/>
    <s v="Apple Pay"/>
    <x v="3"/>
    <s v="fulfilled"/>
    <s v="United States"/>
    <s v="Ohio"/>
    <s v="Valid"/>
    <s v="Chelseafurt"/>
  </r>
  <r>
    <s v="#1794"/>
    <n v="1"/>
    <d v="2026-08-04T14:08:03"/>
    <d v="2026-08-04T14:08:03"/>
    <s v="Carson, John"/>
    <x v="0"/>
    <s v="john.carson203@yahoo.com"/>
    <s v="Scented Soy Candle - Vanilla"/>
    <x v="15"/>
    <s v="Home &amp; Kitchen"/>
    <x v="16"/>
    <n v="2"/>
    <s v="$9.99"/>
    <n v="9.99"/>
    <s v="FREESHIP"/>
    <x v="5"/>
    <n v="0"/>
    <n v="0"/>
    <s v="Number"/>
    <n v="0"/>
    <n v="0"/>
    <n v="19.98"/>
    <n v="19.98"/>
    <n v="19.98"/>
    <s v="True"/>
    <s v="Normal"/>
    <s v="Credit Card"/>
    <x v="0"/>
    <s v="fulfilled"/>
    <s v="United States"/>
    <s v="Arizona"/>
    <s v="Valid"/>
    <s v="Port Cindyhaven"/>
  </r>
  <r>
    <s v="#1808"/>
    <n v="1"/>
    <d v="2026-08-04T14:00:13"/>
    <d v="2026-08-04T14:00:13"/>
    <s v="jeremy tucker"/>
    <x v="0"/>
    <s v="jeremy.tucker26@yahoo.com"/>
    <s v="Scented Soy Candle - Vanilla"/>
    <x v="15"/>
    <s v="Home &amp; Kitchen"/>
    <x v="16"/>
    <n v="1"/>
    <n v="9.99"/>
    <n v="9.99"/>
    <m/>
    <x v="0"/>
    <n v="0"/>
    <n v="0"/>
    <s v="Number"/>
    <n v="5.99"/>
    <n v="5.99"/>
    <n v="15.98"/>
    <n v="15.98"/>
    <n v="15.98"/>
    <s v="True"/>
    <s v="Normal"/>
    <s v="Credit Card"/>
    <x v="3"/>
    <s v="fulfilled"/>
    <s v="United States"/>
    <s v="Florida"/>
    <s v="Valid"/>
    <s v="Jessicafurt"/>
  </r>
  <r>
    <s v="#1816"/>
    <n v="1"/>
    <d v="2026-08-04T13:59:23"/>
    <d v="2026-08-04T13:59:23"/>
    <s v="Karen Bautista"/>
    <x v="0"/>
    <s v="karen.bautista779@icloud.com"/>
    <s v="Scented Soy Candle - Vanilla"/>
    <x v="15"/>
    <s v="Home &amp; Kitchen"/>
    <x v="16"/>
    <n v="1"/>
    <n v="9.99"/>
    <n v="9.99"/>
    <s v="BFCM25"/>
    <x v="3"/>
    <n v="2.5"/>
    <n v="2.5"/>
    <s v="Number"/>
    <n v="4.99"/>
    <n v="4.99"/>
    <n v="12.48"/>
    <n v="12.48"/>
    <n v="12.48"/>
    <s v="True"/>
    <s v="Normal"/>
    <s v="Apple Pay"/>
    <x v="2"/>
    <s v="fulfilled"/>
    <s v="United States"/>
    <s v="California"/>
    <s v="Valid"/>
    <s v="West Kyle"/>
  </r>
  <r>
    <s v="#1830"/>
    <n v="1"/>
    <d v="2026-08-04T14:03:15"/>
    <d v="2026-08-04T14:03:15"/>
    <s v="Tammy Hawkins"/>
    <x v="0"/>
    <s v="tammy.hawkins461@outlook.com"/>
    <s v="Scented Soy Candle - Vanilla"/>
    <x v="15"/>
    <s v="Home &amp; Kitchen"/>
    <x v="16"/>
    <n v="1"/>
    <n v="9.99"/>
    <n v="9.99"/>
    <s v="SAVE20"/>
    <x v="2"/>
    <s v="$2.00"/>
    <n v="2"/>
    <s v="Number"/>
    <n v="7.99"/>
    <n v="7.99"/>
    <n v="15.98"/>
    <n v="15.98"/>
    <n v="15.98"/>
    <s v="True"/>
    <s v="Normal"/>
    <s v="Google Pay"/>
    <x v="0"/>
    <s v="cancelled"/>
    <s v="United States"/>
    <s v="Georgia"/>
    <s v="Valid"/>
    <s v="Salazarland"/>
  </r>
  <r>
    <s v="#1846"/>
    <n v="1"/>
    <d v="2026-08-04T13:55:31"/>
    <d v="2026-08-04T13:55:31"/>
    <s v="Heather Davis"/>
    <x v="0"/>
    <s v="heather.davis117@icloud.com"/>
    <s v="Scented Soy Candle - Vanilla"/>
    <x v="15"/>
    <s v="Home &amp; Kitchen"/>
    <x v="16"/>
    <n v="2"/>
    <n v="9.99"/>
    <n v="9.99"/>
    <m/>
    <x v="0"/>
    <n v="0"/>
    <n v="0"/>
    <s v="Number"/>
    <n v="4.99"/>
    <n v="4.99"/>
    <s v="$24.97"/>
    <n v="24.97"/>
    <n v="24.97"/>
    <s v="True"/>
    <s v="Normal"/>
    <s v="Apple Pay"/>
    <x v="1"/>
    <s v="fulfilled"/>
    <s v="Germany"/>
    <m/>
    <s v="Not Required"/>
    <s v="Humphreymouth"/>
  </r>
  <r>
    <s v="#1869"/>
    <n v="1"/>
    <d v="2026-08-04T14:05:01"/>
    <d v="2026-08-04T14:05:01"/>
    <s v="Jennifer Burke"/>
    <x v="0"/>
    <s v="jennifer.burke472@icloud.com"/>
    <s v="Scented Soy Candle - Vanilla"/>
    <x v="15"/>
    <s v="Home &amp; Kitchen"/>
    <x v="16"/>
    <n v="1"/>
    <n v="9.99"/>
    <n v="9.99"/>
    <m/>
    <x v="0"/>
    <n v="0"/>
    <n v="0"/>
    <s v="Number"/>
    <n v="7.99"/>
    <n v="7.99"/>
    <n v="17.98"/>
    <n v="17.98"/>
    <n v="17.98"/>
    <s v="True"/>
    <s v="Normal"/>
    <s v="Shopify Payments"/>
    <x v="3"/>
    <s v="fulfilled"/>
    <s v="Pakistan"/>
    <m/>
    <s v="Not Required"/>
    <s v="Lake Thomasville"/>
  </r>
  <r>
    <s v="#1877"/>
    <n v="1"/>
    <d v="2026-08-04T13:56:03"/>
    <d v="2026-08-04T13:56:03"/>
    <s v="Chavez, Summer"/>
    <x v="0"/>
    <s v="summer.chavez101@icloud.com"/>
    <s v="Scented Soy Candle - Vanilla"/>
    <x v="15"/>
    <s v="Home &amp; Kitchen"/>
    <x v="16"/>
    <n v="1"/>
    <n v="9.99"/>
    <n v="9.99"/>
    <s v="SAVE20"/>
    <x v="2"/>
    <n v="2"/>
    <n v="2"/>
    <s v="Number"/>
    <n v="7.99"/>
    <n v="7.99"/>
    <n v="15.98"/>
    <n v="15.98"/>
    <n v="15.98"/>
    <s v="True"/>
    <s v="Normal"/>
    <s v="Apple Pay"/>
    <x v="0"/>
    <s v="pending"/>
    <s v="United States"/>
    <s v="Arizona"/>
    <s v="Valid"/>
    <s v="Port Colleen"/>
  </r>
  <r>
    <s v="#1889"/>
    <n v="1"/>
    <d v="2026-04-08T00:00:00"/>
    <s v="08/04/2026"/>
    <s v="Danielle Morrow"/>
    <x v="0"/>
    <s v="danielle.morrow805@outlook.com"/>
    <s v="Scented Soy Candle - Vanilla"/>
    <x v="15"/>
    <s v="Home &amp; Kitchen"/>
    <x v="16"/>
    <n v="1"/>
    <n v="9.99"/>
    <n v="9.99"/>
    <s v="VIP15"/>
    <x v="4"/>
    <n v="1.5"/>
    <n v="1.5"/>
    <s v="Number"/>
    <n v="4.99"/>
    <n v="4.99"/>
    <n v="13.48"/>
    <n v="13.48"/>
    <n v="13.48"/>
    <s v="True"/>
    <s v="Normal"/>
    <s v="Credit Card"/>
    <x v="0"/>
    <s v="fulfilled"/>
    <s v="United Kingdom"/>
    <m/>
    <s v="Not Required"/>
    <s v="Johnchester"/>
  </r>
  <r>
    <s v="#1918"/>
    <n v="1"/>
    <d v="2026-08-04T14:02:45"/>
    <d v="2026-08-04T14:02:45"/>
    <s v="Tina Singh"/>
    <x v="0"/>
    <s v="tina.singh98@icloud.com"/>
    <s v="Scented Soy Candle - Vanilla"/>
    <x v="15"/>
    <s v="Home &amp; Kitchen"/>
    <x v="16"/>
    <n v="1"/>
    <n v="9.99"/>
    <n v="9.99"/>
    <s v="SAVE20"/>
    <x v="2"/>
    <n v="2"/>
    <n v="2"/>
    <s v="Number"/>
    <n v="4.99"/>
    <n v="4.99"/>
    <n v="12.98"/>
    <n v="12.98"/>
    <n v="12.98"/>
    <s v="True"/>
    <s v="Normal"/>
    <s v="Shopify Payments"/>
    <x v="0"/>
    <s v="fulfilled"/>
    <s v="United States"/>
    <s v="Arizona"/>
    <s v="Valid"/>
    <s v="West Stephenton"/>
  </r>
  <r>
    <s v="#1924"/>
    <n v="1"/>
    <d v="2026-08-04T14:06:53"/>
    <d v="2026-08-04T14:06:53"/>
    <s v="Timothy Hodges"/>
    <x v="0"/>
    <s v="timothy.hodges687@icloud.com"/>
    <s v="Scented Soy Candle - Vanilla"/>
    <x v="15"/>
    <s v="Home &amp; Kitchen"/>
    <x v="16"/>
    <n v="1"/>
    <n v="9.99"/>
    <n v="9.99"/>
    <s v="WELCOME10"/>
    <x v="1"/>
    <n v="1"/>
    <n v="1"/>
    <s v="Number"/>
    <n v="5.99"/>
    <n v="5.99"/>
    <n v="14.98"/>
    <n v="14.98"/>
    <n v="14.98"/>
    <s v="True"/>
    <s v="Normal"/>
    <s v="Google Pay"/>
    <x v="0"/>
    <s v="refunded"/>
    <s v="Australia"/>
    <m/>
    <s v="Not Required"/>
    <s v="South Stephanie"/>
  </r>
  <r>
    <s v="#1969"/>
    <n v="1"/>
    <d v="2026-08-04T14:06:03"/>
    <d v="2026-08-04T14:06:03"/>
    <s v="Morgan Johnson"/>
    <x v="0"/>
    <s v="morgan.johnson938@outlook.com"/>
    <s v="Scented Soy Candle - Vanilla"/>
    <x v="15"/>
    <s v="Home &amp; Kitchen"/>
    <x v="16"/>
    <n v="2"/>
    <n v="9.99"/>
    <n v="9.99"/>
    <s v="BFCM25"/>
    <x v="3"/>
    <n v="5"/>
    <n v="5"/>
    <s v="Number"/>
    <n v="4.99"/>
    <n v="4.99"/>
    <n v="19.97"/>
    <n v="19.97"/>
    <n v="19.97"/>
    <s v="True"/>
    <s v="Normal"/>
    <s v="Google Pay"/>
    <x v="0"/>
    <s v="cancelled"/>
    <s v="Canada"/>
    <m/>
    <s v="Not Required"/>
    <s v="South Brad"/>
  </r>
  <r>
    <s v="#1980"/>
    <n v="1"/>
    <d v="2026-08-04T13:55:53"/>
    <d v="2026-08-04T13:55:53"/>
    <s v="Tammy Hawkins"/>
    <x v="0"/>
    <s v="tammy.hawkins461@outlook.com"/>
    <s v="Scented Soy Candle - Vanilla"/>
    <x v="15"/>
    <s v="Home &amp; Kitchen"/>
    <x v="16"/>
    <n v="1"/>
    <n v="9.99"/>
    <n v="9.99"/>
    <m/>
    <x v="0"/>
    <n v="0"/>
    <n v="0"/>
    <s v="Number"/>
    <n v="5.99"/>
    <n v="5.99"/>
    <n v="15.98"/>
    <n v="15.98"/>
    <n v="15.98"/>
    <s v="True"/>
    <s v="Normal"/>
    <s v="PayPal"/>
    <x v="3"/>
    <s v="fulfilled"/>
    <s v="United States"/>
    <s v="Washington"/>
    <s v="Valid"/>
    <s v="Estradashire"/>
  </r>
  <r>
    <s v="#2012"/>
    <n v="1"/>
    <d v="2026-08-04T14:06:16"/>
    <d v="2026-08-04T14:06:16"/>
    <s v="Jordan Wilkins"/>
    <x v="0"/>
    <s v="jordan.wilkins318@outlook.com"/>
    <s v="Scented Soy Candle - Vanilla"/>
    <x v="15"/>
    <s v="Home &amp; Kitchen"/>
    <x v="16"/>
    <n v="1"/>
    <n v="9.99"/>
    <n v="9.99"/>
    <m/>
    <x v="0"/>
    <s v="$0.00"/>
    <n v="0"/>
    <s v="Number"/>
    <n v="5.99"/>
    <n v="5.99"/>
    <n v="15.98"/>
    <n v="15.98"/>
    <n v="15.98"/>
    <s v="True"/>
    <s v="Normal"/>
    <s v="Apple Pay"/>
    <x v="0"/>
    <s v="cancelled"/>
    <s v="Pakistan"/>
    <m/>
    <s v="Not Required"/>
    <s v="Michaeltown"/>
  </r>
  <r>
    <s v="#2027"/>
    <n v="1"/>
    <d v="2026-08-04T13:59:00"/>
    <d v="2026-08-04T13:59:00"/>
    <s v="sandra potter"/>
    <x v="0"/>
    <s v="sandra.potter166@yahoo.com"/>
    <s v="Scented Soy Candle - Vanilla"/>
    <x v="15"/>
    <s v="Home &amp; Kitchen"/>
    <x v="16"/>
    <n v="2"/>
    <n v="9.99"/>
    <n v="9.99"/>
    <m/>
    <x v="0"/>
    <n v="0"/>
    <n v="0"/>
    <s v="Number"/>
    <n v="4.99"/>
    <n v="4.99"/>
    <s v="$24.97"/>
    <n v="24.97"/>
    <n v="24.97"/>
    <s v="True"/>
    <s v="Normal"/>
    <s v="Apple Pay"/>
    <x v="0"/>
    <s v="fulfilled"/>
    <s v="United States"/>
    <s v="California"/>
    <s v="Valid"/>
    <s v="Port Ginaburgh"/>
  </r>
  <r>
    <s v="#2039"/>
    <n v="1"/>
    <d v="2026-08-04T14:02:56"/>
    <d v="2026-08-04T14:02:56"/>
    <s v="Amber Kennedy"/>
    <x v="0"/>
    <s v="amber.kennedy723@icloud.com"/>
    <s v="Scented Soy Candle - Vanilla"/>
    <x v="15"/>
    <s v="Home &amp; Kitchen"/>
    <x v="16"/>
    <n v="1"/>
    <n v="9.99"/>
    <n v="9.99"/>
    <m/>
    <x v="0"/>
    <n v="0"/>
    <n v="0"/>
    <s v="Number"/>
    <n v="4.99"/>
    <n v="4.99"/>
    <n v="14.98"/>
    <n v="14.98"/>
    <n v="14.98"/>
    <s v="True"/>
    <s v="Normal"/>
    <s v="Credit Card"/>
    <x v="0"/>
    <s v="fulfilled"/>
    <s v="United States"/>
    <s v="Florida"/>
    <s v="Valid"/>
    <s v="Joshuamouth"/>
  </r>
  <r>
    <s v="#2046"/>
    <n v="1"/>
    <d v="2026-08-04T00:00:00"/>
    <s v="04-08-2026 13:59"/>
    <s v="Sandra Wilson"/>
    <x v="0"/>
    <s v="sandra.wilson554@outlook.com"/>
    <s v="Scented Soy Candle - Vanilla"/>
    <x v="15"/>
    <s v="Home &amp; Kitchen"/>
    <x v="16"/>
    <n v="2"/>
    <n v="9.99"/>
    <n v="9.99"/>
    <s v="FREESHIP"/>
    <x v="5"/>
    <n v="0"/>
    <n v="0"/>
    <s v="Number"/>
    <n v="0"/>
    <n v="0"/>
    <n v="19.98"/>
    <n v="19.98"/>
    <n v="19.98"/>
    <s v="True"/>
    <s v="Normal"/>
    <s v="Credit Card"/>
    <x v="0"/>
    <s v="pending"/>
    <s v="Canada"/>
    <m/>
    <s v="Not Required"/>
    <s v="Brockville"/>
  </r>
  <r>
    <s v="#2049"/>
    <n v="1"/>
    <d v="2026-08-04T14:04:26"/>
    <d v="2026-08-04T14:04:26"/>
    <s v="Megan Herman"/>
    <x v="0"/>
    <s v="megan.herman268@yahoo.com"/>
    <s v="Scented Soy Candle - Vanilla"/>
    <x v="15"/>
    <s v="Home &amp; Kitchen"/>
    <x v="16"/>
    <n v="1"/>
    <n v="9.99"/>
    <n v="9.99"/>
    <s v="VIP15"/>
    <x v="4"/>
    <n v="1.5"/>
    <n v="1.5"/>
    <s v="Number"/>
    <n v="5.99"/>
    <n v="5.99"/>
    <n v="14.48"/>
    <n v="14.48"/>
    <n v="14.48"/>
    <s v="True"/>
    <s v="Normal"/>
    <s v="Shopify Payments"/>
    <x v="0"/>
    <s v="fulfilled"/>
    <s v="United States"/>
    <s v="New York"/>
    <s v="Valid"/>
    <s v="Grayville"/>
  </r>
  <r>
    <s v="#2091"/>
    <n v="1"/>
    <d v="2026-08-04T00:00:00"/>
    <s v="2026-08-04"/>
    <s v="Peter Alvarez"/>
    <x v="0"/>
    <s v="peter.alvarez465@yahoo.com"/>
    <s v="Scented Soy Candle - Vanilla"/>
    <x v="15"/>
    <s v="Home &amp; Kitchen"/>
    <x v="16"/>
    <n v="1"/>
    <n v="9.99"/>
    <n v="9.99"/>
    <m/>
    <x v="0"/>
    <n v="0"/>
    <n v="0"/>
    <s v="Number"/>
    <n v="4.99"/>
    <n v="4.99"/>
    <n v="14.98"/>
    <n v="14.98"/>
    <n v="14.98"/>
    <s v="True"/>
    <s v="Normal"/>
    <s v="PayPal"/>
    <x v="0"/>
    <s v="fulfilled"/>
    <s v="United States"/>
    <s v="Texas"/>
    <s v="Valid"/>
    <s v="East Matthew"/>
  </r>
  <r>
    <s v="#2109"/>
    <n v="1"/>
    <d v="2026-08-04T14:00:11"/>
    <d v="2026-08-04T14:00:11"/>
    <s v="Jennifer Burke"/>
    <x v="0"/>
    <s v="jennifer.burke472@icloud.com"/>
    <s v="Scented Soy Candle - Vanilla"/>
    <x v="15"/>
    <s v="Home &amp; Kitchen"/>
    <x v="16"/>
    <n v="1"/>
    <n v="9.99"/>
    <n v="9.99"/>
    <m/>
    <x v="0"/>
    <n v="0"/>
    <n v="0"/>
    <s v="Number"/>
    <n v="4.99"/>
    <n v="4.99"/>
    <n v="14.98"/>
    <n v="14.98"/>
    <n v="14.98"/>
    <s v="True"/>
    <s v="Normal"/>
    <s v="Google Pay"/>
    <x v="3"/>
    <s v="fulfilled"/>
    <s v="Pakistan"/>
    <m/>
    <s v="Not Required"/>
    <s v="Stephenview"/>
  </r>
  <r>
    <s v="#2157"/>
    <n v="1"/>
    <d v="2026-08-04T14:05:11"/>
    <d v="2026-08-04T14:05:11"/>
    <s v="Tasha Morales"/>
    <x v="1"/>
    <m/>
    <s v="Scented Soy Candle - Vanilla"/>
    <x v="15"/>
    <s v="Home &amp; Kitchen"/>
    <x v="16"/>
    <n v="2"/>
    <n v="9.99"/>
    <n v="9.99"/>
    <s v="FREESHIP"/>
    <x v="5"/>
    <n v="0"/>
    <n v="0"/>
    <s v="Number"/>
    <n v="0"/>
    <n v="0"/>
    <n v="19.98"/>
    <n v="19.98"/>
    <n v="19.98"/>
    <s v="True"/>
    <s v="Normal"/>
    <s v="Shopify Payments"/>
    <x v="0"/>
    <s v="fulfilled"/>
    <s v="United States"/>
    <s v="North Carolina"/>
    <s v="Valid"/>
    <s v="East James"/>
  </r>
  <r>
    <s v="#2212"/>
    <n v="1"/>
    <d v="2026-08-04T14:01:47"/>
    <d v="2026-08-04T14:01:47"/>
    <s v="Anthony Patterson"/>
    <x v="0"/>
    <s v="anthony.patterson944@gmail.com"/>
    <s v="Scented Soy Candle - Vanilla"/>
    <x v="15"/>
    <s v="Home &amp; Kitchen"/>
    <x v="16"/>
    <n v="1"/>
    <n v="9.99"/>
    <n v="9.99"/>
    <s v="BFCM25"/>
    <x v="3"/>
    <n v="2.5"/>
    <n v="2.5"/>
    <s v="Number"/>
    <n v="4.99"/>
    <n v="4.99"/>
    <n v="12.48"/>
    <n v="12.48"/>
    <n v="12.48"/>
    <s v="True"/>
    <s v="Normal"/>
    <s v="Shopify Payments"/>
    <x v="2"/>
    <s v="refunded"/>
    <s v="Pakistan"/>
    <m/>
    <s v="Not Required"/>
    <s v="Josephbury"/>
  </r>
  <r>
    <s v="#2235"/>
    <n v="1"/>
    <d v="2026-08-04T14:07:46"/>
    <d v="2026-08-04T14:07:46"/>
    <s v="Heather Rivers"/>
    <x v="0"/>
    <s v="heather.rivers451@icloud.com"/>
    <s v="Scented Soy Candle - Vanilla"/>
    <x v="15"/>
    <s v="Home &amp; Kitchen"/>
    <x v="16"/>
    <n v="1"/>
    <n v="9.99"/>
    <n v="9.99"/>
    <m/>
    <x v="0"/>
    <n v="0"/>
    <n v="0"/>
    <s v="Number"/>
    <n v="5.99"/>
    <n v="5.99"/>
    <n v="15.98"/>
    <n v="15.98"/>
    <n v="15.98"/>
    <s v="True"/>
    <s v="Normal"/>
    <s v="Google Pay"/>
    <x v="0"/>
    <s v="fulfilled"/>
    <s v="United States"/>
    <s v="Georgia"/>
    <s v="Valid"/>
    <s v="Lindastad"/>
  </r>
  <r>
    <s v="#2253"/>
    <n v="1"/>
    <d v="2026-08-04T13:58:28"/>
    <d v="2026-08-04T13:58:28"/>
    <s v="Sara Sims"/>
    <x v="0"/>
    <s v="sara.sims992@icloud.com"/>
    <s v="Scented Soy Candle - Vanilla"/>
    <x v="15"/>
    <s v="Home &amp; Kitchen"/>
    <x v="16"/>
    <n v="1"/>
    <n v="9.99"/>
    <n v="9.99"/>
    <m/>
    <x v="0"/>
    <n v="0"/>
    <n v="0"/>
    <s v="Number"/>
    <n v="5.99"/>
    <n v="5.99"/>
    <n v="15.98"/>
    <n v="15.98"/>
    <n v="15.98"/>
    <s v="True"/>
    <s v="Normal"/>
    <s v="Shopify Payments"/>
    <x v="0"/>
    <s v="fulfilled"/>
    <s v="Germany"/>
    <m/>
    <s v="Not Required"/>
    <s v="Amychester"/>
  </r>
  <r>
    <s v="#2264"/>
    <n v="1"/>
    <d v="2026-08-04T00:00:00"/>
    <s v="2026-08-04"/>
    <s v="Chad Smith"/>
    <x v="0"/>
    <s v="chad.smith773@icloud.com"/>
    <s v="Scented Soy Candle - Vanilla"/>
    <x v="15"/>
    <s v="Home &amp; Kitchen"/>
    <x v="16"/>
    <n v="1"/>
    <n v="9.99"/>
    <n v="9.99"/>
    <s v="SAVE20"/>
    <x v="2"/>
    <n v="2"/>
    <n v="2"/>
    <s v="Number"/>
    <n v="5.99"/>
    <n v="5.99"/>
    <n v="13.98"/>
    <n v="13.98"/>
    <n v="13.98"/>
    <s v="True"/>
    <s v="Normal"/>
    <s v="PayPal"/>
    <x v="1"/>
    <s v="pending"/>
    <s v="Pakistan"/>
    <m/>
    <s v="Not Required"/>
    <s v="Richardsonview"/>
  </r>
  <r>
    <s v="#2268"/>
    <n v="1"/>
    <d v="2026-08-04T13:58:37"/>
    <d v="2026-08-04T13:58:37"/>
    <s v="Jeremy Hicks"/>
    <x v="0"/>
    <s v="jeremy.hicks984@yahoo.com"/>
    <s v="Scented Soy Candle - Vanilla"/>
    <x v="15"/>
    <s v="Home &amp; Kitchen"/>
    <x v="16"/>
    <n v="1"/>
    <n v="9.99"/>
    <n v="9.99"/>
    <s v="BFCM25"/>
    <x v="3"/>
    <n v="2.5"/>
    <n v="2.5"/>
    <s v="Number"/>
    <n v="7.99"/>
    <n v="7.99"/>
    <n v="15.48"/>
    <n v="15.48"/>
    <n v="15.48"/>
    <s v="True"/>
    <s v="Normal"/>
    <s v="PayPal"/>
    <x v="3"/>
    <s v="refunded"/>
    <s v="United Kingdom"/>
    <m/>
    <s v="Not Required"/>
    <s v="Port Patrickton"/>
  </r>
  <r>
    <s v="#2331"/>
    <n v="1"/>
    <d v="2026-08-04T13:55:08"/>
    <d v="2026-08-04T13:55:08"/>
    <s v="Taylor Davis"/>
    <x v="0"/>
    <s v="taylor.davis403@outlook.com"/>
    <s v="Scented Soy Candle - Vanilla"/>
    <x v="15"/>
    <s v="Home &amp; Kitchen"/>
    <x v="16"/>
    <n v="2"/>
    <n v="9.99"/>
    <n v="9.99"/>
    <s v="FREESHIP"/>
    <x v="5"/>
    <n v="0"/>
    <n v="0"/>
    <s v="Number"/>
    <n v="0"/>
    <n v="0"/>
    <n v="19.98"/>
    <n v="19.98"/>
    <n v="19.98"/>
    <s v="True"/>
    <s v="Normal"/>
    <s v="PayPal"/>
    <x v="0"/>
    <s v="fulfilled"/>
    <s v="United States"/>
    <s v="Florida"/>
    <s v="Valid"/>
    <s v="East Rhonda"/>
  </r>
  <r>
    <s v="#2342"/>
    <n v="1"/>
    <d v="2026-08-04T14:06:14"/>
    <d v="2026-08-04T14:06:14"/>
    <s v="Gregory Vega"/>
    <x v="0"/>
    <s v="gregory.vega882@outlook.com"/>
    <s v="Scented Soy Candle - Vanilla"/>
    <x v="15"/>
    <s v="Home &amp; Kitchen"/>
    <x v="16"/>
    <n v="4"/>
    <n v="9.99"/>
    <n v="9.99"/>
    <m/>
    <x v="0"/>
    <n v="0"/>
    <n v="0"/>
    <s v="Number"/>
    <n v="7.99"/>
    <n v="7.99"/>
    <n v="47.95"/>
    <n v="47.95"/>
    <n v="47.95"/>
    <s v="True"/>
    <s v="Normal"/>
    <s v="Shopify Payments"/>
    <x v="2"/>
    <s v="fulfilled"/>
    <s v="Pakistan"/>
    <m/>
    <s v="Not Required"/>
    <s v="West Paulamouth"/>
  </r>
  <r>
    <s v="#2351"/>
    <n v="1"/>
    <d v="2026-08-04T14:03:06"/>
    <d v="2026-08-04T14:03:06"/>
    <s v="Anthony Mullen"/>
    <x v="0"/>
    <s v="anthony.mullen523@yahoo.com"/>
    <s v="Scented Soy Candle - Vanilla"/>
    <x v="15"/>
    <s v="Home &amp; Kitchen"/>
    <x v="16"/>
    <n v="1"/>
    <n v="9.99"/>
    <n v="9.99"/>
    <s v="WELCOME10"/>
    <x v="1"/>
    <s v="$1.00"/>
    <n v="1"/>
    <s v="Number"/>
    <n v="5.99"/>
    <n v="5.99"/>
    <n v="14.98"/>
    <n v="14.98"/>
    <n v="14.98"/>
    <s v="True"/>
    <s v="Normal"/>
    <s v="Google Pay"/>
    <x v="3"/>
    <s v="pending"/>
    <s v="United States"/>
    <s v="Ohio"/>
    <s v="Valid"/>
    <s v="Lisaton"/>
  </r>
  <r>
    <s v="#2379"/>
    <n v="1"/>
    <d v="2026-08-04T14:00:43"/>
    <d v="2026-08-04T14:00:43"/>
    <s v="Danielle Thornton"/>
    <x v="0"/>
    <s v="danielle.thornton674@icloud.com"/>
    <s v="Scented Soy Candle - Vanilla"/>
    <x v="15"/>
    <s v="Home &amp; Kitchen"/>
    <x v="16"/>
    <n v="1"/>
    <n v="9.99"/>
    <n v="9.99"/>
    <s v="SAVE20"/>
    <x v="2"/>
    <n v="2"/>
    <n v="2"/>
    <s v="Number"/>
    <n v="7.99"/>
    <n v="7.99"/>
    <n v="15.98"/>
    <n v="15.98"/>
    <n v="15.98"/>
    <s v="True"/>
    <s v="Normal"/>
    <s v="Credit Card"/>
    <x v="2"/>
    <s v="cancelled"/>
    <s v="United States"/>
    <s v="Ohio"/>
    <s v="Valid"/>
    <s v="West Tamara"/>
  </r>
  <r>
    <s v="#2384"/>
    <n v="1"/>
    <d v="2026-08-04T13:58:59"/>
    <d v="2026-08-04T13:58:59"/>
    <s v="Devin Jones"/>
    <x v="0"/>
    <s v="devin.jones807@yahoo.com"/>
    <s v="Scented Soy Candle - Vanilla"/>
    <x v="15"/>
    <s v="Home &amp; Kitchen"/>
    <x v="16"/>
    <n v="1"/>
    <n v="9.99"/>
    <n v="9.99"/>
    <s v="WELCOME10"/>
    <x v="1"/>
    <n v="1"/>
    <n v="1"/>
    <s v="Number"/>
    <n v="4.99"/>
    <n v="4.99"/>
    <n v="13.98"/>
    <n v="13.98"/>
    <n v="13.98"/>
    <s v="True"/>
    <s v="Normal"/>
    <s v="Apple Pay"/>
    <x v="0"/>
    <s v="fulfilled"/>
    <s v="Pakistan"/>
    <m/>
    <s v="Not Required"/>
    <s v="New Patrick"/>
  </r>
  <r>
    <s v="#2415"/>
    <n v="1"/>
    <d v="2026-08-04T13:55:10"/>
    <d v="2026-08-04T13:55:10"/>
    <s v="Vincent Rosales"/>
    <x v="0"/>
    <s v="vincent.rosales30@icloud.com"/>
    <s v="Scented Soy Candle - Vanilla"/>
    <x v="15"/>
    <s v="Home &amp; Kitchen"/>
    <x v="16"/>
    <n v="2"/>
    <n v="9.99"/>
    <n v="9.99"/>
    <s v="FREESHIP"/>
    <x v="5"/>
    <n v="0"/>
    <n v="0"/>
    <s v="Number"/>
    <n v="0"/>
    <n v="0"/>
    <n v="19.98"/>
    <n v="19.98"/>
    <n v="19.98"/>
    <s v="True"/>
    <s v="Normal"/>
    <s v="PayPal"/>
    <x v="0"/>
    <s v="pending"/>
    <s v="United States"/>
    <s v="Texas"/>
    <s v="Valid"/>
    <s v="Stephaniebury"/>
  </r>
  <r>
    <s v="#2464"/>
    <n v="1"/>
    <d v="2026-04-08T00:00:00"/>
    <s v="08/04/2026"/>
    <s v="  Sean Frank"/>
    <x v="0"/>
    <s v="sean.frank587@icloud.com"/>
    <s v="Scented Soy Candle - Vanilla"/>
    <x v="15"/>
    <s v="Home &amp; Kitchen"/>
    <x v="16"/>
    <n v="2"/>
    <n v="9.99"/>
    <n v="9.99"/>
    <s v="FREESHIP"/>
    <x v="5"/>
    <n v="0"/>
    <n v="0"/>
    <s v="Number"/>
    <n v="0"/>
    <n v="0"/>
    <n v="19.98"/>
    <n v="19.98"/>
    <n v="19.98"/>
    <s v="True"/>
    <s v="Normal"/>
    <s v="Credit Card"/>
    <x v="0"/>
    <s v="refunded"/>
    <s v="Australia"/>
    <m/>
    <s v="Not Required"/>
    <s v="West Tiffanyfurt"/>
  </r>
  <r>
    <s v="#2503"/>
    <n v="1"/>
    <d v="2026-08-04T13:56:06"/>
    <d v="2026-08-04T13:56:06"/>
    <s v="Thomas Vazquez"/>
    <x v="0"/>
    <s v="thomas.vazquez673@icloud.com"/>
    <s v="Scented Soy Candle - Vanilla"/>
    <x v="15"/>
    <s v="Home &amp; Kitchen"/>
    <x v="16"/>
    <n v="1"/>
    <n v="9.99"/>
    <n v="9.99"/>
    <s v="BFCM25"/>
    <x v="3"/>
    <n v="2.5"/>
    <n v="2.5"/>
    <s v="Number"/>
    <n v="4.99"/>
    <n v="4.99"/>
    <n v="12.48"/>
    <n v="12.48"/>
    <n v="12.48"/>
    <s v="True"/>
    <s v="Normal"/>
    <s v="PayPal"/>
    <x v="2"/>
    <s v="fulfilled"/>
    <s v="Germany"/>
    <m/>
    <s v="Not Required"/>
    <s v="North Michaelside"/>
  </r>
  <r>
    <s v="#2556"/>
    <n v="1"/>
    <d v="2026-08-04T13:53:54"/>
    <d v="2026-08-04T13:53:54"/>
    <s v="Richard Zavala"/>
    <x v="0"/>
    <s v="richard.zavala602@gmail.com"/>
    <s v="Scented Soy Candle - Vanilla"/>
    <x v="15"/>
    <s v="Home &amp; Kitchen"/>
    <x v="16"/>
    <n v="1"/>
    <n v="9.99"/>
    <n v="9.99"/>
    <s v="FREESHIP"/>
    <x v="5"/>
    <s v="$0.00"/>
    <n v="0"/>
    <s v="Number"/>
    <n v="0"/>
    <n v="0"/>
    <n v="9.99"/>
    <n v="9.99"/>
    <n v="9.99"/>
    <s v="True"/>
    <s v="Normal"/>
    <s v="PayPal"/>
    <x v="1"/>
    <s v="fulfilled"/>
    <s v="Canada"/>
    <m/>
    <s v="Not Required"/>
    <s v="Thomasside"/>
  </r>
  <r>
    <s v="#2571"/>
    <n v="1"/>
    <d v="2026-08-04T13:56:05"/>
    <d v="2026-08-04T13:56:05"/>
    <s v="Cheryl Coleman"/>
    <x v="0"/>
    <s v="cheryl.coleman261@icloud.com"/>
    <s v="Scented Soy Candle - Vanilla"/>
    <x v="15"/>
    <s v="Home &amp; Kitchen"/>
    <x v="16"/>
    <n v="1"/>
    <n v="9.99"/>
    <n v="9.99"/>
    <s v="SAVE20"/>
    <x v="2"/>
    <n v="2"/>
    <n v="2"/>
    <s v="Number"/>
    <n v="4.99"/>
    <n v="4.99"/>
    <n v="12.98"/>
    <n v="12.98"/>
    <n v="12.98"/>
    <s v="True"/>
    <s v="Normal"/>
    <s v="PayPal"/>
    <x v="0"/>
    <s v="refunded"/>
    <s v="Pakistan"/>
    <m/>
    <s v="Not Required"/>
    <s v="Camposville"/>
  </r>
  <r>
    <s v="#2572"/>
    <n v="1"/>
    <d v="2026-08-04T13:58:55"/>
    <d v="2026-08-04T13:58:55"/>
    <s v="John Jacobs"/>
    <x v="0"/>
    <s v="john.jacobs137@yahoo.com"/>
    <s v="Scented Soy Candle - Vanilla"/>
    <x v="15"/>
    <s v="Home &amp; Kitchen"/>
    <x v="16"/>
    <n v="1"/>
    <n v="9.99"/>
    <n v="9.99"/>
    <s v="BFCM25"/>
    <x v="3"/>
    <n v="2.5"/>
    <n v="2.5"/>
    <s v="Number"/>
    <n v="4.99"/>
    <n v="4.99"/>
    <n v="12.48"/>
    <n v="12.48"/>
    <n v="12.48"/>
    <s v="True"/>
    <s v="Normal"/>
    <s v="Google Pay"/>
    <x v="3"/>
    <s v="fulfilled"/>
    <s v="Australia"/>
    <m/>
    <s v="Not Required"/>
    <s v="South Daniel"/>
  </r>
  <r>
    <s v="#2585"/>
    <n v="1"/>
    <d v="2026-04-08T00:00:00"/>
    <s v="08/04/2026"/>
    <s v="Kristen Lewis"/>
    <x v="0"/>
    <s v="kristen.lewis649@icloud.com"/>
    <s v="Scented Soy Candle - Vanilla"/>
    <x v="15"/>
    <s v="Home &amp; Kitchen"/>
    <x v="16"/>
    <n v="1"/>
    <n v="9.99"/>
    <n v="9.99"/>
    <s v="WELCOME10"/>
    <x v="1"/>
    <n v="1"/>
    <n v="1"/>
    <s v="Number"/>
    <n v="7.99"/>
    <n v="7.99"/>
    <n v="16.98"/>
    <n v="16.98"/>
    <n v="16.98"/>
    <s v="True"/>
    <s v="Normal"/>
    <s v="Shopify Payments"/>
    <x v="0"/>
    <s v="fulfilled"/>
    <s v="United States"/>
    <s v="California"/>
    <s v="Valid"/>
    <s v="Rachelfort"/>
  </r>
  <r>
    <s v="#2587"/>
    <n v="1"/>
    <d v="2026-08-04T13:59:08"/>
    <d v="2026-08-04T13:59:08"/>
    <s v="RONNIE JOHNSON"/>
    <x v="0"/>
    <s v="ronnie.johnson454@outlook.com"/>
    <s v="Scented Soy Candle - Vanilla"/>
    <x v="15"/>
    <s v="Home &amp; Kitchen"/>
    <x v="16"/>
    <n v="1"/>
    <n v="9.99"/>
    <n v="9.99"/>
    <m/>
    <x v="0"/>
    <n v="0"/>
    <n v="0"/>
    <s v="Number"/>
    <n v="5.99"/>
    <n v="5.99"/>
    <n v="15.98"/>
    <n v="15.98"/>
    <n v="15.98"/>
    <s v="True"/>
    <s v="Normal"/>
    <s v="Shopify Payments"/>
    <x v="2"/>
    <s v="fulfilled"/>
    <s v="United States"/>
    <s v="Arizona"/>
    <s v="Valid"/>
    <s v="Patrickshire"/>
  </r>
  <r>
    <s v="#2618"/>
    <n v="1"/>
    <d v="2026-08-04T14:01:53"/>
    <d v="2026-08-04T14:01:53"/>
    <s v="Thomas Rojas"/>
    <x v="1"/>
    <m/>
    <s v="Scented Soy Candle - Vanilla"/>
    <x v="15"/>
    <s v="Home &amp; Kitchen"/>
    <x v="16"/>
    <n v="2"/>
    <n v="9.99"/>
    <n v="9.99"/>
    <s v="BFCM25"/>
    <x v="3"/>
    <n v="5"/>
    <n v="5"/>
    <s v="Number"/>
    <n v="7.99"/>
    <n v="7.99"/>
    <n v="22.97"/>
    <n v="22.97"/>
    <n v="22.97"/>
    <s v="True"/>
    <s v="Normal"/>
    <s v="PayPal"/>
    <x v="3"/>
    <s v="cancelled"/>
    <s v="United States"/>
    <s v="TX"/>
    <s v="Valid"/>
    <s v="Harrisfurt"/>
  </r>
  <r>
    <s v="#2643"/>
    <n v="1"/>
    <d v="2026-08-04T13:56:17"/>
    <d v="2026-08-04T13:56:17"/>
    <s v="Logan Fox"/>
    <x v="0"/>
    <s v="logan.fox165@gmail.com"/>
    <s v="Scented Soy Candle - Vanilla"/>
    <x v="15"/>
    <s v="Home &amp; Kitchen"/>
    <x v="16"/>
    <n v="2"/>
    <n v="9.99"/>
    <n v="9.99"/>
    <m/>
    <x v="0"/>
    <n v="0"/>
    <n v="0"/>
    <s v="Number"/>
    <n v="5.99"/>
    <n v="5.99"/>
    <n v="25.97"/>
    <n v="25.97"/>
    <n v="25.97"/>
    <s v="True"/>
    <s v="Normal"/>
    <s v="PayPal"/>
    <x v="0"/>
    <s v="fulfilled"/>
    <s v="Australia"/>
    <m/>
    <s v="Not Required"/>
    <s v="Smithmouth"/>
  </r>
  <r>
    <s v="#2661"/>
    <n v="1"/>
    <d v="2026-08-04T13:59:38"/>
    <d v="2026-08-04T13:59:38"/>
    <s v="Sarah Webb"/>
    <x v="0"/>
    <s v="sarah.webb997@outlook.com"/>
    <s v="Scented Soy Candle - Vanilla"/>
    <x v="15"/>
    <s v="Home &amp; Kitchen"/>
    <x v="16"/>
    <n v="1"/>
    <n v="9.99"/>
    <n v="9.99"/>
    <s v="VIP15"/>
    <x v="4"/>
    <n v="1.5"/>
    <n v="1.5"/>
    <s v="Number"/>
    <n v="4.99"/>
    <n v="4.99"/>
    <n v="13.48"/>
    <n v="13.48"/>
    <n v="13.48"/>
    <s v="True"/>
    <s v="Normal"/>
    <s v="Apple Pay"/>
    <x v="1"/>
    <s v="cancelled"/>
    <s v="Germany"/>
    <m/>
    <s v="Not Required"/>
    <s v="Weaverborough"/>
  </r>
  <r>
    <s v="#2669"/>
    <n v="1"/>
    <d v="2026-08-04T14:08:19"/>
    <d v="2026-08-04T14:08:19"/>
    <s v="Peter Alvarez"/>
    <x v="0"/>
    <s v="peter.alvarez465@yahoo.com"/>
    <s v="Scented Soy Candle - Vanilla"/>
    <x v="15"/>
    <s v="Home &amp; Kitchen"/>
    <x v="16"/>
    <n v="1"/>
    <n v="9.99"/>
    <n v="9.99"/>
    <m/>
    <x v="0"/>
    <n v="0"/>
    <n v="0"/>
    <s v="Number"/>
    <n v="5.99"/>
    <n v="5.99"/>
    <n v="15.98"/>
    <n v="15.98"/>
    <n v="15.98"/>
    <s v="True"/>
    <s v="Normal"/>
    <s v="Credit Card"/>
    <x v="1"/>
    <s v="fulfilled"/>
    <s v="United States"/>
    <s v="Washington"/>
    <s v="Valid"/>
    <s v="Lake Mark"/>
  </r>
  <r>
    <s v="#2673"/>
    <n v="1"/>
    <d v="2026-08-04T14:04:16"/>
    <d v="2026-08-04T14:04:16"/>
    <s v="Catherine Vang"/>
    <x v="0"/>
    <s v="catherine.vang600@yahoo.com"/>
    <s v="Scented Soy Candle - Vanilla"/>
    <x v="15"/>
    <s v="Home &amp; Kitchen"/>
    <x v="16"/>
    <n v="1"/>
    <n v="9.99"/>
    <n v="9.99"/>
    <m/>
    <x v="0"/>
    <s v="$0.00"/>
    <n v="0"/>
    <s v="Number"/>
    <n v="4.99"/>
    <n v="4.99"/>
    <n v="14.98"/>
    <n v="14.98"/>
    <n v="14.98"/>
    <s v="True"/>
    <s v="Normal"/>
    <s v="PayPal"/>
    <x v="1"/>
    <s v="refunded"/>
    <s v="Australia"/>
    <m/>
    <s v="Not Required"/>
    <s v="Port Eileen"/>
  </r>
  <r>
    <s v="#2695"/>
    <n v="1"/>
    <d v="2026-08-04T14:00:08"/>
    <d v="2026-08-04T14:00:08"/>
    <s v="Ian Morris"/>
    <x v="0"/>
    <s v="ian.morris90@outlook.com"/>
    <s v="Scented Soy Candle - Vanilla"/>
    <x v="15"/>
    <s v="Home &amp; Kitchen"/>
    <x v="16"/>
    <n v="1"/>
    <s v="$9.99"/>
    <n v="9.99"/>
    <m/>
    <x v="0"/>
    <n v="0"/>
    <n v="0"/>
    <s v="Number"/>
    <n v="7.99"/>
    <n v="7.99"/>
    <n v="17.98"/>
    <n v="17.98"/>
    <n v="17.98"/>
    <s v="True"/>
    <s v="Normal"/>
    <s v="PayPal"/>
    <x v="3"/>
    <s v="fulfilled"/>
    <s v="Pakistan"/>
    <m/>
    <s v="Not Required"/>
    <s v="Alimouth"/>
  </r>
  <r>
    <s v="#2697"/>
    <n v="1"/>
    <d v="2026-08-04T14:01:30"/>
    <d v="2026-08-04T14:01:30"/>
    <s v="Patrick Richardson"/>
    <x v="0"/>
    <s v="patrick.richardson270@icloud.com"/>
    <s v="Scented Soy Candle - Vanilla"/>
    <x v="15"/>
    <s v="Home &amp; Kitchen"/>
    <x v="16"/>
    <n v="1"/>
    <n v="9.99"/>
    <n v="9.99"/>
    <m/>
    <x v="0"/>
    <n v="0"/>
    <n v="0"/>
    <s v="Number"/>
    <n v="4.99"/>
    <n v="4.99"/>
    <n v="14.98"/>
    <n v="14.98"/>
    <n v="14.98"/>
    <s v="True"/>
    <s v="Normal"/>
    <s v="PayPal"/>
    <x v="2"/>
    <s v="cancelled"/>
    <s v="United States"/>
    <s v="Texas"/>
    <s v="Valid"/>
    <s v="West Melissa"/>
  </r>
  <r>
    <s v="#2795"/>
    <n v="1"/>
    <d v="2026-08-04T00:00:00"/>
    <s v="2026-08-04"/>
    <s v="Jose Ingram"/>
    <x v="1"/>
    <m/>
    <s v="Scented Soy Candle - Vanilla"/>
    <x v="15"/>
    <s v="Home &amp; Kitchen"/>
    <x v="16"/>
    <n v="1"/>
    <n v="9.99"/>
    <n v="9.99"/>
    <s v=" WELCOME10 "/>
    <x v="1"/>
    <n v="1"/>
    <n v="1"/>
    <s v="Number"/>
    <n v="5.99"/>
    <n v="5.99"/>
    <n v="14.98"/>
    <n v="14.98"/>
    <n v="14.98"/>
    <s v="True"/>
    <s v="Normal"/>
    <s v="Google Pay"/>
    <x v="3"/>
    <s v="pending"/>
    <s v="United States"/>
    <s v="TX"/>
    <s v="Valid"/>
    <s v="Port Caitlin"/>
  </r>
  <r>
    <s v="#2834"/>
    <n v="1"/>
    <d v="2026-08-04T14:04:51"/>
    <d v="2026-08-04T14:04:51"/>
    <s v="Rachel Colon"/>
    <x v="0"/>
    <s v="rachel.colon654@yahoo.com"/>
    <s v="Scented Soy Candle - Vanilla"/>
    <x v="15"/>
    <s v="Home &amp; Kitchen"/>
    <x v="16"/>
    <n v="1"/>
    <n v="9.99"/>
    <n v="9.99"/>
    <m/>
    <x v="0"/>
    <n v="0"/>
    <n v="0"/>
    <s v="Number"/>
    <n v="5.99"/>
    <n v="5.99"/>
    <n v="15.98"/>
    <n v="15.98"/>
    <n v="15.98"/>
    <s v="True"/>
    <s v="Normal"/>
    <s v="Apple Pay"/>
    <x v="0"/>
    <s v="fulfilled"/>
    <s v="Australia"/>
    <m/>
    <s v="Not Required"/>
    <s v="North Javier"/>
  </r>
  <r>
    <s v="#2885"/>
    <n v="1"/>
    <d v="2026-08-04T14:04:24"/>
    <d v="2026-08-04T14:04:24"/>
    <s v="Jessica Tucker"/>
    <x v="0"/>
    <s v="jessica.tucker963@gmail.com"/>
    <s v="Scented Soy Candle - Vanilla"/>
    <x v="15"/>
    <s v="Home &amp; Kitchen"/>
    <x v="16"/>
    <n v="1"/>
    <n v="9.99"/>
    <n v="9.99"/>
    <m/>
    <x v="0"/>
    <n v="0"/>
    <n v="0"/>
    <s v="Number"/>
    <n v="4.99"/>
    <n v="4.99"/>
    <n v="14.98"/>
    <n v="14.98"/>
    <n v="14.98"/>
    <s v="True"/>
    <s v="Normal"/>
    <s v="Google Pay"/>
    <x v="0"/>
    <s v="fulfilled"/>
    <s v="Germany"/>
    <m/>
    <s v="Not Required"/>
    <s v="Ryantown"/>
  </r>
  <r>
    <s v="#2887"/>
    <n v="1"/>
    <d v="2026-08-04T14:07:13"/>
    <d v="2026-08-04T14:07:13"/>
    <s v="Kristina Thompson"/>
    <x v="0"/>
    <s v="kristina.thompson501@icloud.com"/>
    <s v="Scented Soy Candle - Vanilla"/>
    <x v="15"/>
    <s v="Home &amp; Kitchen"/>
    <x v="16"/>
    <n v="2"/>
    <n v="9.99"/>
    <n v="9.99"/>
    <m/>
    <x v="0"/>
    <n v="0"/>
    <n v="0"/>
    <s v="Number"/>
    <n v="7.99"/>
    <n v="7.99"/>
    <n v="27.97"/>
    <n v="27.97"/>
    <n v="27.97"/>
    <s v="True"/>
    <s v="Normal"/>
    <s v="PayPal"/>
    <x v="3"/>
    <s v="cancelled"/>
    <s v="United States"/>
    <s v="New York"/>
    <s v="Valid"/>
    <s v="East Charlestown"/>
  </r>
  <r>
    <s v="#2906"/>
    <n v="1"/>
    <d v="2026-08-04T14:01:30"/>
    <d v="2026-08-04T14:01:30"/>
    <s v="Nicholas Jarvis"/>
    <x v="0"/>
    <s v="nicholas.jarvis112@icloud.com"/>
    <s v="Scented Soy Candle - Vanilla"/>
    <x v="15"/>
    <s v="Home &amp; Kitchen"/>
    <x v="16"/>
    <n v="1"/>
    <n v="9.99"/>
    <n v="9.99"/>
    <s v="WELCOME10"/>
    <x v="1"/>
    <n v="1"/>
    <n v="1"/>
    <s v="Number"/>
    <n v="4.99"/>
    <n v="4.99"/>
    <n v="13.98"/>
    <n v="13.98"/>
    <n v="13.98"/>
    <s v="True"/>
    <s v="Normal"/>
    <s v="Google Pay"/>
    <x v="3"/>
    <s v="refunded"/>
    <s v="Canada"/>
    <m/>
    <s v="Not Required"/>
    <s v="Jonesshire"/>
  </r>
  <r>
    <s v="#2917"/>
    <n v="1"/>
    <d v="2026-08-04T14:05:06"/>
    <d v="2026-08-04T14:05:06"/>
    <s v="Andrew Cross"/>
    <x v="0"/>
    <s v="andrew.cross512@yahoo.com"/>
    <s v="Scented Soy Candle - Vanilla"/>
    <x v="15"/>
    <s v="Home &amp; Kitchen"/>
    <x v="16"/>
    <n v="2"/>
    <n v="9.99"/>
    <n v="9.99"/>
    <s v="VIP15"/>
    <x v="4"/>
    <n v="3"/>
    <n v="3"/>
    <s v="Number"/>
    <n v="7.99"/>
    <n v="7.99"/>
    <n v="24.97"/>
    <n v="24.97"/>
    <n v="24.97"/>
    <s v="True"/>
    <s v="Normal"/>
    <s v="Google Pay"/>
    <x v="0"/>
    <s v="cancelled"/>
    <s v="United States"/>
    <s v="Arizona"/>
    <s v="Valid"/>
    <s v="West Robert"/>
  </r>
  <r>
    <s v="#2965"/>
    <n v="1"/>
    <d v="2026-08-04T00:00:00"/>
    <s v="Aug 04, 2026"/>
    <s v="HEATHER RIVERS"/>
    <x v="0"/>
    <s v="heather.rivers451@icloud.com"/>
    <s v="Scented Soy Candle - Vanilla"/>
    <x v="15"/>
    <s v="Home &amp; Kitchen"/>
    <x v="16"/>
    <n v="1"/>
    <n v="9.99"/>
    <n v="9.99"/>
    <s v="VIP15"/>
    <x v="4"/>
    <n v="1.5"/>
    <n v="1.5"/>
    <s v="Number"/>
    <n v="7.99"/>
    <n v="7.99"/>
    <n v="16.48"/>
    <n v="16.48"/>
    <n v="16.48"/>
    <s v="True"/>
    <s v="Normal"/>
    <s v="PayPal"/>
    <x v="0"/>
    <s v="fulfilled"/>
    <s v="United States"/>
    <s v="California"/>
    <s v="Valid"/>
    <s v="New Jessicamouth"/>
  </r>
  <r>
    <s v="#2968"/>
    <n v="1"/>
    <d v="2026-04-08T00:00:00"/>
    <s v="08/04/2026"/>
    <s v="Johnson, Kimberly"/>
    <x v="0"/>
    <s v="kimberly.johnson443@icloud.com"/>
    <s v="Scented Soy Candle - Vanilla"/>
    <x v="15"/>
    <s v="Home &amp; Kitchen"/>
    <x v="16"/>
    <n v="1"/>
    <n v="9.99"/>
    <n v="9.99"/>
    <s v="BFCM25"/>
    <x v="3"/>
    <n v="2.5"/>
    <n v="2.5"/>
    <s v="Number"/>
    <n v="7.99"/>
    <n v="7.99"/>
    <n v="15.48"/>
    <n v="15.48"/>
    <n v="15.48"/>
    <s v="True"/>
    <s v="Normal"/>
    <s v="PayPal"/>
    <x v="0"/>
    <s v="fulfilled"/>
    <s v="Australia"/>
    <m/>
    <s v="Not Required"/>
    <s v="Lake Craigburgh"/>
  </r>
  <r>
    <s v="#2969"/>
    <n v="1"/>
    <d v="2026-08-04T14:04:21"/>
    <d v="2026-08-04T14:04:21"/>
    <s v="Sandra Wilson"/>
    <x v="0"/>
    <s v="sandra.wilson554@outlook.com"/>
    <s v="Scented Soy Candle - Vanilla"/>
    <x v="15"/>
    <s v="Home &amp; Kitchen"/>
    <x v="16"/>
    <n v="1"/>
    <n v="9.99"/>
    <n v="9.99"/>
    <s v="FREESHIP"/>
    <x v="5"/>
    <n v="0"/>
    <n v="0"/>
    <s v="Number"/>
    <n v="0"/>
    <n v="0"/>
    <n v="9.99"/>
    <n v="9.99"/>
    <n v="9.99"/>
    <s v="True"/>
    <s v="Normal"/>
    <s v="PayPal"/>
    <x v="0"/>
    <s v="fulfilled"/>
    <s v="Canada"/>
    <m/>
    <s v="Not Required"/>
    <s v="South Lindsey"/>
  </r>
  <r>
    <s v="#2978"/>
    <n v="1"/>
    <d v="2026-08-04T14:00:22"/>
    <d v="2026-08-04T14:00:22"/>
    <s v="Sara Hernandez"/>
    <x v="0"/>
    <s v="sara.hernandez651@icloud.com"/>
    <s v="Scented Soy Candle - Vanilla"/>
    <x v="15"/>
    <s v="Home &amp; Kitchen"/>
    <x v="16"/>
    <n v="1"/>
    <n v="9.99"/>
    <n v="9.99"/>
    <m/>
    <x v="0"/>
    <n v="0"/>
    <n v="0"/>
    <s v="Number"/>
    <n v="7.99"/>
    <n v="7.99"/>
    <s v="$17.98"/>
    <n v="17.98"/>
    <n v="17.98"/>
    <s v="True"/>
    <s v="Normal"/>
    <s v="PayPal"/>
    <x v="3"/>
    <s v="fulfilled"/>
    <s v="United States"/>
    <s v="Georgia"/>
    <s v="Valid"/>
    <s v="Dennisshire"/>
  </r>
  <r>
    <s v="#2988"/>
    <n v="1"/>
    <d v="2026-08-04T14:01:29"/>
    <d v="2026-08-04T14:01:29"/>
    <s v="Bryan Barnes"/>
    <x v="0"/>
    <s v="bryan.barnes666@yahoo.com"/>
    <s v="Scented Soy Candle - Vanilla"/>
    <x v="15"/>
    <s v="Home &amp; Kitchen"/>
    <x v="16"/>
    <n v="1"/>
    <n v="9.99"/>
    <n v="9.99"/>
    <s v="SAVE20"/>
    <x v="2"/>
    <n v="2"/>
    <n v="2"/>
    <s v="Number"/>
    <n v="5.99"/>
    <n v="5.99"/>
    <n v="13.98"/>
    <n v="13.98"/>
    <n v="13.98"/>
    <s v="True"/>
    <s v="Normal"/>
    <s v="Apple Pay"/>
    <x v="3"/>
    <s v="fulfilled"/>
    <s v="United States"/>
    <s v="Illinois"/>
    <s v="Valid"/>
    <s v="North Lindaberg"/>
  </r>
  <r>
    <s v="#1003"/>
    <n v="1"/>
    <d v="2026-08-04T00:00:00"/>
    <s v="Aug 04, 2026"/>
    <s v="Thomas Rojas"/>
    <x v="0"/>
    <s v="thomas.rojas667@icloud.com"/>
    <s v="Slim Fit Denim Jeans"/>
    <x v="16"/>
    <s v="Apparel"/>
    <x v="17"/>
    <n v="1"/>
    <n v="39.99"/>
    <n v="39.99"/>
    <m/>
    <x v="0"/>
    <n v="0"/>
    <n v="0"/>
    <s v="Number"/>
    <n v="5.99"/>
    <n v="5.99"/>
    <n v="45.98"/>
    <n v="45.98"/>
    <n v="45.980000000000004"/>
    <s v="True"/>
    <s v="Normal"/>
    <s v="Credit Card"/>
    <x v="0"/>
    <s v="fulfilled"/>
    <s v="United States"/>
    <s v="North Carolina"/>
    <s v="Valid"/>
    <s v="West Cynthialand"/>
  </r>
  <r>
    <s v="#1069"/>
    <n v="1"/>
    <d v="2026-08-04T14:00:22"/>
    <d v="2026-08-04T14:00:22"/>
    <s v="Kristina Cook"/>
    <x v="0"/>
    <s v="kristina.cook392@outlook.com"/>
    <s v="Slim Fit Denim Jeans"/>
    <x v="16"/>
    <s v="Apparel"/>
    <x v="17"/>
    <n v="1"/>
    <n v="39.99"/>
    <n v="39.99"/>
    <m/>
    <x v="0"/>
    <n v="0"/>
    <n v="0"/>
    <s v="Number"/>
    <n v="4.99"/>
    <n v="4.99"/>
    <n v="44.98"/>
    <n v="44.98"/>
    <n v="44.980000000000004"/>
    <s v="True"/>
    <s v="Normal"/>
    <s v="Credit Card"/>
    <x v="0"/>
    <s v="refunded"/>
    <s v="United States"/>
    <s v="TX"/>
    <s v="Valid"/>
    <s v="Copelandburgh"/>
  </r>
  <r>
    <s v="#1153"/>
    <n v="1"/>
    <d v="2026-08-04T14:03:38"/>
    <d v="2026-08-04T14:03:38"/>
    <s v="Kayla Cruz"/>
    <x v="0"/>
    <s v="kayla.cruz151@outlook.com"/>
    <s v="Slim Fit Denim Jeans"/>
    <x v="16"/>
    <s v="Apparel"/>
    <x v="17"/>
    <n v="1"/>
    <n v="39.99"/>
    <n v="39.99"/>
    <s v="VIP15"/>
    <x v="4"/>
    <n v="6"/>
    <n v="6"/>
    <s v="Number"/>
    <n v="7.99"/>
    <n v="7.99"/>
    <n v="41.98"/>
    <n v="41.98"/>
    <n v="41.980000000000004"/>
    <s v="True"/>
    <s v="Normal"/>
    <s v="Shopify Payments"/>
    <x v="0"/>
    <s v="cancelled"/>
    <s v="Pakistan"/>
    <m/>
    <s v="Not Required"/>
    <s v="Juanshire"/>
  </r>
  <r>
    <s v="#1227"/>
    <n v="1"/>
    <d v="2026-04-08T00:00:00"/>
    <s v="08/04/2026"/>
    <s v="Rebecca Watts"/>
    <x v="0"/>
    <s v="rebecca.watts779@gmail.com"/>
    <s v="Slim Fit Denim Jeans"/>
    <x v="16"/>
    <s v="Apparel"/>
    <x v="17"/>
    <n v="1"/>
    <n v="39.99"/>
    <n v="39.99"/>
    <m/>
    <x v="0"/>
    <n v="0"/>
    <n v="0"/>
    <s v="Number"/>
    <n v="4.99"/>
    <n v="4.99"/>
    <n v="44.98"/>
    <n v="44.98"/>
    <n v="44.980000000000004"/>
    <s v="True"/>
    <s v="Normal"/>
    <s v="Google Pay"/>
    <x v="0"/>
    <s v="fulfilled"/>
    <s v="United States"/>
    <s v="Ohio"/>
    <s v="Valid"/>
    <s v="Andreaport"/>
  </r>
  <r>
    <s v="#1257"/>
    <n v="1"/>
    <d v="2026-08-04T14:04:44"/>
    <d v="2026-08-04T14:04:44"/>
    <s v="Tina Singh"/>
    <x v="0"/>
    <s v="tina.singh98@icloud.com"/>
    <s v="Slim Fit Denim Jeans"/>
    <x v="16"/>
    <s v="Apparel"/>
    <x v="17"/>
    <n v="1"/>
    <n v="39.99"/>
    <n v="39.99"/>
    <m/>
    <x v="0"/>
    <s v="$0.00"/>
    <n v="0"/>
    <s v="Number"/>
    <n v="5.99"/>
    <n v="5.99"/>
    <n v="45.98"/>
    <n v="45.98"/>
    <n v="45.980000000000004"/>
    <s v="True"/>
    <s v="Normal"/>
    <s v="Credit Card"/>
    <x v="3"/>
    <s v="cancelled"/>
    <s v="United States"/>
    <s v="California"/>
    <s v="Valid"/>
    <s v="Matthewchester"/>
  </r>
  <r>
    <s v="#1295"/>
    <n v="1"/>
    <d v="2026-08-04T00:00:00"/>
    <s v="Aug 04, 2026"/>
    <s v="James Castro"/>
    <x v="0"/>
    <s v="james.castro923@icloud.com"/>
    <s v="Slim Fit Denim Jeans"/>
    <x v="16"/>
    <s v="Apparel"/>
    <x v="17"/>
    <n v="1"/>
    <n v="39.99"/>
    <n v="39.99"/>
    <s v="WELCOME10"/>
    <x v="1"/>
    <n v="4"/>
    <n v="4"/>
    <s v="Number"/>
    <n v="7.99"/>
    <n v="7.99"/>
    <n v="43.98"/>
    <n v="43.98"/>
    <n v="43.980000000000004"/>
    <s v="True"/>
    <s v="Normal"/>
    <s v="Credit Card"/>
    <x v="3"/>
    <s v="fulfilled"/>
    <s v="Pakistan"/>
    <m/>
    <s v="Not Required"/>
    <s v="Williamsfort"/>
  </r>
  <r>
    <s v="#1327"/>
    <n v="1"/>
    <d v="2026-08-04T13:54:51"/>
    <d v="2026-08-04T13:54:51"/>
    <s v="Patricia Thompson"/>
    <x v="0"/>
    <s v="patricia.thompson164@icloud.com"/>
    <s v="Slim Fit Denim Jeans"/>
    <x v="16"/>
    <s v="Apparel"/>
    <x v="17"/>
    <n v="1"/>
    <n v="39.99"/>
    <n v="39.99"/>
    <s v="VIP15"/>
    <x v="4"/>
    <n v="6"/>
    <n v="6"/>
    <s v="Number"/>
    <n v="5.99"/>
    <n v="5.99"/>
    <n v="39.979999999999997"/>
    <n v="39.979999999999997"/>
    <n v="39.980000000000004"/>
    <s v="True"/>
    <s v="Normal"/>
    <s v="Google Pay"/>
    <x v="2"/>
    <s v="fulfilled"/>
    <s v="United States"/>
    <s v="Florida"/>
    <s v="Valid"/>
    <s v="West Bethanyburgh"/>
  </r>
  <r>
    <s v="#1408"/>
    <n v="1"/>
    <d v="2026-08-04T14:01:58"/>
    <d v="2026-08-04T14:01:58"/>
    <s v="Ian Morris"/>
    <x v="0"/>
    <s v="ian.morris90@outlook.com"/>
    <s v="Slim Fit Denim Jeans"/>
    <x v="16"/>
    <s v="Apparel"/>
    <x v="17"/>
    <n v="1"/>
    <n v="39.99"/>
    <n v="39.99"/>
    <m/>
    <x v="0"/>
    <n v="0"/>
    <n v="0"/>
    <s v="Number"/>
    <n v="7.99"/>
    <n v="7.99"/>
    <s v="$47.98"/>
    <n v="47.98"/>
    <n v="47.980000000000004"/>
    <s v="True"/>
    <s v="Normal"/>
    <s v="Google Pay"/>
    <x v="2"/>
    <s v="fulfilled"/>
    <s v="Pakistan"/>
    <m/>
    <s v="Not Required"/>
    <s v="West Christine"/>
  </r>
  <r>
    <s v="#1413"/>
    <n v="1"/>
    <d v="2026-08-04T14:07:09"/>
    <d v="2026-08-04T14:07:09"/>
    <s v="Christy Phillips"/>
    <x v="0"/>
    <s v="christy.phillips291@gmail.com"/>
    <s v="Slim Fit Denim Jeans"/>
    <x v="16"/>
    <s v="Apparel"/>
    <x v="17"/>
    <n v="1"/>
    <s v="$39.99"/>
    <n v="39.99"/>
    <m/>
    <x v="0"/>
    <n v="0"/>
    <n v="0"/>
    <s v="Number"/>
    <n v="7.99"/>
    <n v="7.99"/>
    <s v="$47.98"/>
    <n v="47.98"/>
    <n v="47.980000000000004"/>
    <s v="True"/>
    <s v="Normal"/>
    <s v="PayPal"/>
    <x v="0"/>
    <s v="refunded"/>
    <s v="Pakistan"/>
    <m/>
    <s v="Not Required"/>
    <s v="North Cynthia"/>
  </r>
  <r>
    <s v="#1415"/>
    <n v="1"/>
    <d v="2026-08-04T00:00:00"/>
    <s v="Aug 04, 2026"/>
    <s v="Lauren Nguyen"/>
    <x v="0"/>
    <s v="lauren.nguyen819@outlook.com"/>
    <s v="Slim Fit Denim Jeans"/>
    <x v="16"/>
    <s v="Apparel"/>
    <x v="17"/>
    <n v="1"/>
    <n v="39.99"/>
    <n v="39.99"/>
    <s v="SAVE20"/>
    <x v="2"/>
    <n v="8"/>
    <n v="8"/>
    <s v="Number"/>
    <n v="4.99"/>
    <n v="4.99"/>
    <n v="36.979999999999997"/>
    <n v="36.979999999999997"/>
    <n v="36.980000000000004"/>
    <s v="True"/>
    <s v="Normal"/>
    <s v="Google Pay"/>
    <x v="3"/>
    <s v="refunded"/>
    <s v="United Kingdom"/>
    <m/>
    <s v="Not Required"/>
    <s v="Port Kerryton"/>
  </r>
  <r>
    <s v="#1430"/>
    <n v="1"/>
    <d v="2026-08-04T14:00:44"/>
    <d v="2026-08-04T14:00:44"/>
    <s v="Denise Phillips"/>
    <x v="0"/>
    <s v="denise.phillips810@gmail.com"/>
    <s v="Slim Fit Denim Jeans"/>
    <x v="16"/>
    <s v="Apparel"/>
    <x v="17"/>
    <n v="2"/>
    <n v="39.99"/>
    <n v="39.99"/>
    <s v="FREESHIP"/>
    <x v="5"/>
    <s v="$0.00"/>
    <n v="0"/>
    <s v="Number"/>
    <n v="0"/>
    <n v="0"/>
    <n v="79.98"/>
    <n v="79.98"/>
    <n v="79.98"/>
    <s v="True"/>
    <s v="Normal"/>
    <s v="PayPal"/>
    <x v="1"/>
    <s v="cancelled"/>
    <s v="United States"/>
    <s v="Washington"/>
    <s v="Valid"/>
    <s v="Wangmouth"/>
  </r>
  <r>
    <s v="#1436"/>
    <n v="1"/>
    <d v="2026-08-04T14:02:05"/>
    <d v="2026-08-04T14:02:05"/>
    <s v="Sarah Williams"/>
    <x v="0"/>
    <s v="sarah.williams329@icloud.com"/>
    <s v="Slim Fit Denim Jeans"/>
    <x v="16"/>
    <s v="Apparel"/>
    <x v="17"/>
    <n v="2"/>
    <n v="39.99"/>
    <n v="39.99"/>
    <s v="SAVE20"/>
    <x v="2"/>
    <n v="16"/>
    <n v="16"/>
    <s v="Number"/>
    <n v="0"/>
    <n v="0"/>
    <n v="63.98"/>
    <n v="63.98"/>
    <n v="63.980000000000004"/>
    <s v="True"/>
    <s v="Normal"/>
    <s v="Apple Pay"/>
    <x v="2"/>
    <s v="fulfilled"/>
    <s v="Canada"/>
    <m/>
    <s v="Not Required"/>
    <s v="Zacharyside"/>
  </r>
  <r>
    <s v="#1447"/>
    <n v="1"/>
    <d v="2026-08-04T14:07:47"/>
    <d v="2026-08-04T14:07:47"/>
    <s v="Joshua Miller"/>
    <x v="0"/>
    <s v="joshua.miller362@gmail.com"/>
    <s v="Slim Fit Denim Jeans"/>
    <x v="16"/>
    <s v="Apparel"/>
    <x v="17"/>
    <n v="2"/>
    <n v="39.99"/>
    <n v="39.99"/>
    <s v="VIP15"/>
    <x v="4"/>
    <n v="12"/>
    <n v="12"/>
    <s v="Number"/>
    <n v="0"/>
    <n v="0"/>
    <n v="67.98"/>
    <n v="67.98"/>
    <n v="67.98"/>
    <s v="True"/>
    <s v="Normal"/>
    <s v="Google Pay"/>
    <x v="0"/>
    <s v="cancelled"/>
    <s v="Canada"/>
    <m/>
    <s v="Not Required"/>
    <s v="Annefort"/>
  </r>
  <r>
    <s v="#1483"/>
    <n v="1"/>
    <d v="2026-08-04T13:57:13"/>
    <d v="2026-08-04T13:57:13"/>
    <s v="Megan Herman"/>
    <x v="1"/>
    <m/>
    <s v="Slim Fit Denim Jeans"/>
    <x v="16"/>
    <s v="Apparel"/>
    <x v="17"/>
    <n v="1"/>
    <n v="39.99"/>
    <n v="39.99"/>
    <m/>
    <x v="0"/>
    <n v="0"/>
    <n v="0"/>
    <s v="Number"/>
    <n v="5.99"/>
    <n v="5.99"/>
    <n v="45.98"/>
    <n v="45.98"/>
    <n v="45.980000000000004"/>
    <s v="True"/>
    <s v="Normal"/>
    <s v="Google Pay"/>
    <x v="0"/>
    <s v="fulfilled"/>
    <s v="United States"/>
    <s v="Ohio"/>
    <s v="Valid"/>
    <s v="Port Katie"/>
  </r>
  <r>
    <s v="#1500"/>
    <n v="1"/>
    <d v="2026-08-04T14:05:07"/>
    <d v="2026-08-04T14:05:07"/>
    <s v="Joshua Medina"/>
    <x v="0"/>
    <s v="joshua.medina38@yahoo.com"/>
    <s v="Slim Fit Denim Jeans"/>
    <x v="16"/>
    <s v="Apparel"/>
    <x v="17"/>
    <n v="1"/>
    <n v="39.99"/>
    <n v="39.99"/>
    <m/>
    <x v="0"/>
    <n v="0"/>
    <n v="0"/>
    <s v="Number"/>
    <n v="7.99"/>
    <n v="7.99"/>
    <n v="47.98"/>
    <n v="47.98"/>
    <n v="47.980000000000004"/>
    <s v="True"/>
    <s v="Normal"/>
    <s v="Apple Pay"/>
    <x v="0"/>
    <s v="fulfilled"/>
    <s v="United Kingdom"/>
    <m/>
    <s v="Not Required"/>
    <s v="Port James"/>
  </r>
  <r>
    <s v="#1519"/>
    <n v="1"/>
    <d v="2026-08-04T13:59:05"/>
    <d v="2026-08-04T13:59:05"/>
    <s v="Carrie White"/>
    <x v="0"/>
    <s v="carrie.white846@gmail.com"/>
    <s v="Slim Fit Denim Jeans"/>
    <x v="16"/>
    <s v="Apparel"/>
    <x v="17"/>
    <n v="2"/>
    <s v="$39.99"/>
    <n v="39.99"/>
    <s v="BFCM25"/>
    <x v="3"/>
    <s v="$20.00"/>
    <n v="20"/>
    <s v="Number"/>
    <n v="0"/>
    <n v="0"/>
    <n v="59.98"/>
    <n v="59.98"/>
    <n v="59.980000000000004"/>
    <s v="True"/>
    <s v="Normal"/>
    <s v="Shopify Payments"/>
    <x v="0"/>
    <s v="fulfilled"/>
    <s v="United Kingdom"/>
    <m/>
    <s v="Not Required"/>
    <s v="Ethanland"/>
  </r>
  <r>
    <s v="#1523"/>
    <n v="1"/>
    <d v="2026-08-04T14:06:56"/>
    <d v="2026-08-04T14:06:56"/>
    <s v="Amy Barnett"/>
    <x v="0"/>
    <s v="amy.barnett396@icloud.com"/>
    <s v="Slim Fit Denim Jeans"/>
    <x v="16"/>
    <s v="Apparel"/>
    <x v="17"/>
    <n v="1"/>
    <n v="39.99"/>
    <n v="39.99"/>
    <s v="SAVE20"/>
    <x v="2"/>
    <n v="8"/>
    <n v="8"/>
    <s v="Number"/>
    <n v="5.99"/>
    <n v="5.99"/>
    <n v="37.979999999999997"/>
    <n v="37.979999999999997"/>
    <n v="37.980000000000004"/>
    <s v="True"/>
    <s v="Normal"/>
    <s v="Google Pay"/>
    <x v="0"/>
    <s v="pending"/>
    <s v="Pakistan"/>
    <m/>
    <s v="Not Required"/>
    <s v="Jeffreyfort"/>
  </r>
  <r>
    <s v="#1552"/>
    <n v="1"/>
    <d v="2026-08-04T13:58:43"/>
    <d v="2026-08-04T13:58:43"/>
    <s v="Amanda Harris"/>
    <x v="0"/>
    <s v="amanda.harris197@gmail.com"/>
    <s v="Slim Fit Denim Jeans"/>
    <x v="16"/>
    <s v="Apparel"/>
    <x v="17"/>
    <n v="1"/>
    <n v="39.99"/>
    <n v="39.99"/>
    <s v="BFCM25"/>
    <x v="3"/>
    <n v="10"/>
    <n v="10"/>
    <s v="Number"/>
    <n v="4.99"/>
    <n v="4.99"/>
    <n v="34.979999999999997"/>
    <n v="34.979999999999997"/>
    <n v="34.980000000000004"/>
    <s v="True"/>
    <s v="Normal"/>
    <s v="Credit Card"/>
    <x v="3"/>
    <s v="pending"/>
    <s v="United States"/>
    <s v="California"/>
    <s v="Valid"/>
    <s v="Port Lisa"/>
  </r>
  <r>
    <s v="#1618"/>
    <n v="1"/>
    <d v="2026-08-04T13:56:00"/>
    <d v="2026-08-04T13:56:00"/>
    <s v="Christopher Martin"/>
    <x v="0"/>
    <s v="christopher.martin10@gmail.com"/>
    <s v="Slim Fit Denim Jeans"/>
    <x v="16"/>
    <s v="Apparel"/>
    <x v="17"/>
    <n v="1"/>
    <n v="39.99"/>
    <n v="39.99"/>
    <s v="FREESHIP"/>
    <x v="5"/>
    <s v="$0.00"/>
    <n v="0"/>
    <s v="Number"/>
    <n v="0"/>
    <n v="0"/>
    <n v="39.99"/>
    <n v="39.99"/>
    <n v="39.99"/>
    <s v="True"/>
    <s v="Normal"/>
    <s v="Apple Pay"/>
    <x v="0"/>
    <s v="fulfilled"/>
    <s v="United States"/>
    <s v="Florida"/>
    <s v="Valid"/>
    <s v="Brittanyburgh"/>
  </r>
  <r>
    <s v="#1636"/>
    <n v="1"/>
    <d v="2026-08-04T14:01:54"/>
    <d v="2026-08-04T14:01:54"/>
    <s v="Franco, Charles"/>
    <x v="0"/>
    <s v="charles.franco761@outlook.com"/>
    <s v="Slim Fit Denim Jeans"/>
    <x v="16"/>
    <s v="Apparel"/>
    <x v="17"/>
    <n v="3"/>
    <n v="39.99"/>
    <n v="39.99"/>
    <m/>
    <x v="0"/>
    <s v="$0.00"/>
    <n v="0"/>
    <s v="Number"/>
    <n v="0"/>
    <n v="0"/>
    <n v="119.97"/>
    <n v="119.97"/>
    <n v="119.97"/>
    <s v="True"/>
    <s v="Outlier"/>
    <s v="Shopify Payments"/>
    <x v="0"/>
    <s v="fulfilled"/>
    <s v="United States"/>
    <s v="Florida"/>
    <s v="Valid"/>
    <s v="North Kristineview"/>
  </r>
  <r>
    <s v="#1695"/>
    <n v="1"/>
    <d v="2026-08-04T00:00:00"/>
    <s v="04-08-2026 13:59"/>
    <s v="Ryan Gonzalez"/>
    <x v="0"/>
    <s v="ryan.gonzalez192@gmail.com"/>
    <s v="Slim Fit Denim Jeans"/>
    <x v="16"/>
    <s v="Apparel"/>
    <x v="17"/>
    <n v="2"/>
    <n v="39.99"/>
    <n v="39.99"/>
    <m/>
    <x v="0"/>
    <n v="0"/>
    <n v="0"/>
    <s v="Number"/>
    <n v="0"/>
    <n v="0"/>
    <s v="$79.98"/>
    <n v="79.98"/>
    <n v="79.98"/>
    <s v="True"/>
    <s v="Normal"/>
    <s v="Google Pay"/>
    <x v="3"/>
    <s v="cancelled"/>
    <s v="United States"/>
    <s v="Florida"/>
    <s v="Valid"/>
    <s v="Thompsonport"/>
  </r>
  <r>
    <s v="#1696"/>
    <n v="1"/>
    <d v="2026-08-04T13:58:01"/>
    <d v="2026-08-04T13:58:01"/>
    <s v="David Mcknight"/>
    <x v="0"/>
    <s v="david.mcknight827@gmail.com"/>
    <s v="Slim Fit Denim Jeans"/>
    <x v="16"/>
    <s v="Apparel"/>
    <x v="17"/>
    <n v="2"/>
    <n v="39.99"/>
    <n v="39.99"/>
    <m/>
    <x v="0"/>
    <n v="0"/>
    <n v="0"/>
    <s v="Number"/>
    <n v="0"/>
    <n v="0"/>
    <n v="79.98"/>
    <n v="79.98"/>
    <n v="79.98"/>
    <s v="True"/>
    <s v="Normal"/>
    <s v="PayPal"/>
    <x v="0"/>
    <s v="fulfilled"/>
    <s v="United States"/>
    <s v="Ohio"/>
    <s v="Valid"/>
    <s v="Lake Michael"/>
  </r>
  <r>
    <s v="#1725"/>
    <n v="1"/>
    <d v="2026-08-04T13:56:42"/>
    <d v="2026-08-04T13:56:42"/>
    <s v="Joshua Thompson"/>
    <x v="0"/>
    <s v="joshua.thompson522@outlook.com"/>
    <s v="Slim Fit Denim Jeans"/>
    <x v="16"/>
    <s v="Apparel"/>
    <x v="17"/>
    <n v="1"/>
    <n v="39.99"/>
    <n v="39.99"/>
    <m/>
    <x v="0"/>
    <n v="0"/>
    <n v="0"/>
    <s v="Number"/>
    <n v="7.99"/>
    <n v="7.99"/>
    <n v="47.98"/>
    <n v="47.98"/>
    <n v="47.980000000000004"/>
    <s v="True"/>
    <s v="Normal"/>
    <s v="PayPal"/>
    <x v="0"/>
    <s v="fulfilled"/>
    <s v="Pakistan"/>
    <m/>
    <s v="Not Required"/>
    <s v="West Derekport"/>
  </r>
  <r>
    <s v="#1731"/>
    <n v="1"/>
    <d v="2026-08-04T14:01:31"/>
    <d v="2026-08-04T14:01:31"/>
    <s v="KENNETH DAVIS"/>
    <x v="0"/>
    <s v="kenneth.davis106@yahoo.com"/>
    <s v="Slim Fit Denim Jeans"/>
    <x v="16"/>
    <s v="Apparel"/>
    <x v="17"/>
    <n v="1"/>
    <n v="39.99"/>
    <n v="39.99"/>
    <m/>
    <x v="0"/>
    <n v="0"/>
    <n v="0"/>
    <s v="Number"/>
    <n v="5.99"/>
    <n v="5.99"/>
    <n v="45.98"/>
    <n v="45.98"/>
    <n v="45.980000000000004"/>
    <s v="True"/>
    <s v="Normal"/>
    <s v="Google Pay"/>
    <x v="1"/>
    <s v="cancelled"/>
    <s v="United States"/>
    <s v="Florida"/>
    <s v="Valid"/>
    <s v="Dylanmouth"/>
  </r>
  <r>
    <s v="#1777"/>
    <n v="1"/>
    <d v="2026-08-04T14:04:07"/>
    <d v="2026-08-04T14:04:07"/>
    <s v="Jasmine Parker"/>
    <x v="0"/>
    <s v="jasmine.parker47@icloud.com"/>
    <s v="Slim Fit Denim Jeans"/>
    <x v="16"/>
    <s v="Apparel"/>
    <x v="17"/>
    <n v="1"/>
    <n v="39.99"/>
    <n v="39.99"/>
    <s v="BFCM25"/>
    <x v="3"/>
    <n v="10"/>
    <n v="10"/>
    <s v="Number"/>
    <n v="7.99"/>
    <n v="7.99"/>
    <n v="37.979999999999997"/>
    <n v="37.979999999999997"/>
    <n v="37.980000000000004"/>
    <s v="True"/>
    <s v="Normal"/>
    <s v="PayPal"/>
    <x v="3"/>
    <s v="pending"/>
    <s v="Pakistan"/>
    <m/>
    <s v="Not Required"/>
    <s v="Deanmouth"/>
  </r>
  <r>
    <s v="#1803"/>
    <n v="1"/>
    <d v="2026-08-04T13:55:11"/>
    <d v="2026-08-04T13:55:11"/>
    <s v="Kimberly Cordova"/>
    <x v="0"/>
    <s v="kimberly.cordova508@icloud.com"/>
    <s v="Slim Fit Denim Jeans"/>
    <x v="16"/>
    <s v="Apparel"/>
    <x v="17"/>
    <n v="1"/>
    <n v="39.99"/>
    <n v="39.99"/>
    <m/>
    <x v="0"/>
    <n v="0"/>
    <n v="0"/>
    <s v="Number"/>
    <n v="7.99"/>
    <n v="7.99"/>
    <n v="47.98"/>
    <n v="47.98"/>
    <n v="47.980000000000004"/>
    <s v="True"/>
    <s v="Normal"/>
    <s v="Credit Card"/>
    <x v="3"/>
    <s v="pending"/>
    <s v="Pakistan"/>
    <m/>
    <s v="Not Required"/>
    <s v="Pamelabury"/>
  </r>
  <r>
    <s v="#1814"/>
    <n v="1"/>
    <d v="2026-08-04T13:57:24"/>
    <d v="2026-08-04T13:57:24"/>
    <s v="Christy Phillips"/>
    <x v="0"/>
    <s v="christy.phillips291@gmail.com"/>
    <s v="Slim Fit Denim Jeans"/>
    <x v="16"/>
    <s v="Apparel"/>
    <x v="17"/>
    <n v="1"/>
    <n v="39.99"/>
    <n v="39.99"/>
    <s v="BFCM25"/>
    <x v="3"/>
    <n v="10"/>
    <n v="10"/>
    <s v="Number"/>
    <n v="7.99"/>
    <n v="7.99"/>
    <n v="37.979999999999997"/>
    <n v="37.979999999999997"/>
    <n v="37.980000000000004"/>
    <s v="True"/>
    <s v="Normal"/>
    <s v="Google Pay"/>
    <x v="2"/>
    <s v="refunded"/>
    <s v="Pakistan"/>
    <m/>
    <s v="Not Required"/>
    <s v="Nicholasburgh"/>
  </r>
  <r>
    <s v="#1835"/>
    <n v="1"/>
    <d v="2026-08-04T13:54:52"/>
    <d v="2026-08-04T13:54:52"/>
    <s v="Diane Campos"/>
    <x v="0"/>
    <s v="diane.campos325@gmail.com"/>
    <s v="Slim Fit Denim Jeans"/>
    <x v="16"/>
    <s v="Apparel"/>
    <x v="17"/>
    <n v="1"/>
    <n v="39.99"/>
    <n v="39.99"/>
    <s v="BFCM25"/>
    <x v="3"/>
    <n v="10"/>
    <n v="10"/>
    <s v="Number"/>
    <n v="7.99"/>
    <n v="7.99"/>
    <n v="37.979999999999997"/>
    <n v="37.979999999999997"/>
    <n v="37.980000000000004"/>
    <s v="True"/>
    <s v="Normal"/>
    <s v="Credit Card"/>
    <x v="1"/>
    <s v="fulfilled"/>
    <s v="United States"/>
    <s v="Georgia"/>
    <s v="Valid"/>
    <s v="Port Karenland"/>
  </r>
  <r>
    <s v="#1843"/>
    <n v="1"/>
    <d v="2026-08-04T13:58:17"/>
    <d v="2026-08-04T13:58:17"/>
    <s v="Devin Jones"/>
    <x v="0"/>
    <s v="devin.jones807@yahoo.com"/>
    <s v="Slim Fit Denim Jeans"/>
    <x v="16"/>
    <s v="Apparel"/>
    <x v="17"/>
    <n v="2"/>
    <n v="39.99"/>
    <n v="39.99"/>
    <m/>
    <x v="0"/>
    <n v="0"/>
    <n v="0"/>
    <s v="Number"/>
    <n v="0"/>
    <n v="0"/>
    <n v="79.98"/>
    <n v="79.98"/>
    <n v="79.98"/>
    <s v="True"/>
    <s v="Normal"/>
    <s v="PayPal"/>
    <x v="1"/>
    <s v="pending"/>
    <s v="Pakistan"/>
    <m/>
    <s v="Not Required"/>
    <s v="New Amyville"/>
  </r>
  <r>
    <s v="#1852"/>
    <n v="1"/>
    <d v="2026-08-04T14:02:21"/>
    <d v="2026-08-04T14:02:21"/>
    <s v="Andrea Martinez"/>
    <x v="0"/>
    <s v="andrea.martinez756@yahoo.com"/>
    <s v="Slim Fit Denim Jeans"/>
    <x v="16"/>
    <s v="Apparel"/>
    <x v="17"/>
    <n v="1"/>
    <n v="39.99"/>
    <n v="39.99"/>
    <m/>
    <x v="0"/>
    <n v="0"/>
    <n v="0"/>
    <s v="Number"/>
    <n v="4.99"/>
    <n v="4.99"/>
    <n v="44.98"/>
    <n v="44.98"/>
    <n v="44.980000000000004"/>
    <s v="True"/>
    <s v="Normal"/>
    <s v="Shopify Payments"/>
    <x v="0"/>
    <s v="cancelled"/>
    <s v="Australia"/>
    <m/>
    <s v="Not Required"/>
    <s v="South Michelle"/>
  </r>
  <r>
    <s v="#1903"/>
    <n v="1"/>
    <d v="2026-08-04T14:06:32"/>
    <d v="2026-08-04T14:06:32"/>
    <s v="Justin Chavez"/>
    <x v="0"/>
    <s v="justin.chavez556@gmail.com"/>
    <s v="Slim Fit Denim Jeans"/>
    <x v="16"/>
    <s v="Apparel"/>
    <x v="17"/>
    <n v="1"/>
    <n v="39.99"/>
    <n v="39.99"/>
    <s v="SAVE20"/>
    <x v="2"/>
    <n v="8"/>
    <n v="8"/>
    <s v="Number"/>
    <n v="5.99"/>
    <n v="5.99"/>
    <n v="37.979999999999997"/>
    <n v="37.979999999999997"/>
    <n v="37.980000000000004"/>
    <s v="True"/>
    <s v="Normal"/>
    <s v="Shopify Payments"/>
    <x v="0"/>
    <s v="refunded"/>
    <s v="United States"/>
    <s v="Texas"/>
    <s v="Valid"/>
    <s v="Timothyview"/>
  </r>
  <r>
    <s v="#1908"/>
    <n v="1"/>
    <d v="2026-08-04T00:00:00"/>
    <s v="04-08-2026 14:02"/>
    <s v="William Houston"/>
    <x v="0"/>
    <s v="william.houston340@outlook.com"/>
    <s v="Slim Fit Denim Jeans"/>
    <x v="16"/>
    <s v="Apparel"/>
    <x v="17"/>
    <n v="1"/>
    <n v="39.99"/>
    <n v="39.99"/>
    <m/>
    <x v="0"/>
    <n v="0"/>
    <n v="0"/>
    <s v="Number"/>
    <n v="7.99"/>
    <n v="7.99"/>
    <n v="47.98"/>
    <n v="47.98"/>
    <n v="47.980000000000004"/>
    <s v="True"/>
    <s v="Normal"/>
    <s v="Apple Pay"/>
    <x v="3"/>
    <s v="fulfilled"/>
    <s v="United States"/>
    <s v="California"/>
    <s v="Valid"/>
    <s v="East Terryfurt"/>
  </r>
  <r>
    <s v="#1929"/>
    <n v="1"/>
    <d v="2026-08-04T14:01:33"/>
    <d v="2026-08-04T14:01:33"/>
    <s v="Erika Maxwell"/>
    <x v="0"/>
    <s v="erika.maxwell281@gmail.com"/>
    <s v="Slim Fit Denim Jeans"/>
    <x v="16"/>
    <s v="Apparel"/>
    <x v="17"/>
    <n v="2"/>
    <n v="39.99"/>
    <n v="39.99"/>
    <m/>
    <x v="0"/>
    <n v="0"/>
    <n v="0"/>
    <s v="Number"/>
    <n v="0"/>
    <n v="0"/>
    <n v="79.98"/>
    <n v="79.98"/>
    <n v="79.98"/>
    <s v="True"/>
    <s v="Normal"/>
    <s v="Credit Card"/>
    <x v="0"/>
    <s v="fulfilled"/>
    <s v="United States"/>
    <s v="Georgia"/>
    <s v="Valid"/>
    <s v="East Kelly"/>
  </r>
  <r>
    <s v="#1988"/>
    <n v="1"/>
    <d v="2026-08-04T13:57:41"/>
    <d v="2026-08-04T13:57:41"/>
    <s v="Allen Diaz"/>
    <x v="0"/>
    <s v="allen.diaz546@gmail.com"/>
    <s v="Slim Fit Denim Jeans"/>
    <x v="16"/>
    <s v="Apparel"/>
    <x v="17"/>
    <n v="1"/>
    <n v="39.99"/>
    <n v="39.99"/>
    <m/>
    <x v="0"/>
    <n v="0"/>
    <n v="0"/>
    <s v="Number"/>
    <n v="7.99"/>
    <n v="7.99"/>
    <n v="47.98"/>
    <n v="47.98"/>
    <n v="47.980000000000004"/>
    <s v="True"/>
    <s v="Normal"/>
    <s v="Credit Card"/>
    <x v="2"/>
    <s v="fulfilled"/>
    <s v="United States"/>
    <s v="Texas"/>
    <s v="Valid"/>
    <s v="Aliciaville"/>
  </r>
  <r>
    <s v="#2058"/>
    <n v="1"/>
    <d v="2026-08-04T13:59:52"/>
    <d v="2026-08-04T13:59:52"/>
    <s v="James Andrade"/>
    <x v="0"/>
    <s v="james.andrade258@icloud.com"/>
    <s v="Slim Fit Denim Jeans"/>
    <x v="16"/>
    <s v="Apparel"/>
    <x v="17"/>
    <n v="1"/>
    <n v="39.99"/>
    <n v="39.99"/>
    <m/>
    <x v="0"/>
    <n v="0"/>
    <n v="0"/>
    <s v="Number"/>
    <n v="7.99"/>
    <n v="7.99"/>
    <n v="47.98"/>
    <n v="47.98"/>
    <n v="47.980000000000004"/>
    <s v="True"/>
    <s v="Normal"/>
    <s v="Shopify Payments"/>
    <x v="0"/>
    <s v="fulfilled"/>
    <s v="Germany"/>
    <m/>
    <s v="Not Required"/>
    <s v="South Dwayne"/>
  </r>
  <r>
    <s v="#2102"/>
    <n v="1"/>
    <d v="2026-04-08T00:00:00"/>
    <s v="08/04/2026"/>
    <s v="Diana Romero"/>
    <x v="0"/>
    <s v="diana.romero386@outlook.com"/>
    <s v="Slim Fit Denim Jeans"/>
    <x v="16"/>
    <s v="Apparel"/>
    <x v="17"/>
    <n v="2"/>
    <n v="39.99"/>
    <n v="39.99"/>
    <m/>
    <x v="0"/>
    <n v="0"/>
    <n v="0"/>
    <s v="Number"/>
    <n v="0"/>
    <n v="0"/>
    <n v="79.98"/>
    <n v="79.98"/>
    <n v="79.98"/>
    <s v="True"/>
    <s v="Normal"/>
    <s v="Google Pay"/>
    <x v="3"/>
    <s v="pending"/>
    <s v="United States"/>
    <s v="Texas"/>
    <s v="Valid"/>
    <s v="Coleburgh"/>
  </r>
  <r>
    <s v="#2105"/>
    <n v="1"/>
    <d v="2026-08-04T13:59:06"/>
    <d v="2026-08-04T13:59:06"/>
    <s v="Philip Stevens"/>
    <x v="0"/>
    <s v="philip.stevens908@outlook.com"/>
    <s v="Slim Fit Denim Jeans"/>
    <x v="16"/>
    <s v="Apparel"/>
    <x v="17"/>
    <n v="2"/>
    <n v="39.99"/>
    <n v="39.99"/>
    <m/>
    <x v="0"/>
    <n v="0"/>
    <n v="0"/>
    <s v="Number"/>
    <n v="0"/>
    <n v="0"/>
    <n v="79.98"/>
    <n v="79.98"/>
    <n v="79.98"/>
    <s v="True"/>
    <s v="Normal"/>
    <s v="PayPal"/>
    <x v="3"/>
    <s v="fulfilled"/>
    <s v="United States"/>
    <s v="California"/>
    <s v="Valid"/>
    <s v="Sandersport"/>
  </r>
  <r>
    <s v="#2112"/>
    <n v="1"/>
    <d v="2026-08-04T14:03:07"/>
    <d v="2026-08-04T14:03:07"/>
    <s v="Michael Hays"/>
    <x v="0"/>
    <s v="michael.hays590@gmail.com"/>
    <s v="Slim Fit Denim Jeans"/>
    <x v="16"/>
    <s v="Apparel"/>
    <x v="17"/>
    <n v="1"/>
    <n v="39.99"/>
    <n v="39.99"/>
    <s v="SAVE20"/>
    <x v="2"/>
    <n v="8"/>
    <n v="8"/>
    <s v="Number"/>
    <n v="7.99"/>
    <n v="7.99"/>
    <n v="39.979999999999997"/>
    <n v="39.979999999999997"/>
    <n v="39.980000000000004"/>
    <s v="True"/>
    <s v="Normal"/>
    <s v="Google Pay"/>
    <x v="0"/>
    <s v="fulfilled"/>
    <s v="United States"/>
    <s v="California"/>
    <s v="Valid"/>
    <s v="East Brandon"/>
  </r>
  <r>
    <s v="#2136"/>
    <n v="1"/>
    <d v="2026-08-04T14:05:39"/>
    <d v="2026-08-04T14:05:39"/>
    <s v="Tina Crane"/>
    <x v="0"/>
    <s v="tina.crane554@gmail.com"/>
    <s v="Slim Fit Denim Jeans"/>
    <x v="16"/>
    <s v="Apparel"/>
    <x v="17"/>
    <n v="2"/>
    <n v="39.99"/>
    <n v="39.99"/>
    <s v="WELCOME10"/>
    <x v="1"/>
    <n v="8"/>
    <n v="8"/>
    <s v="Number"/>
    <n v="0"/>
    <n v="0"/>
    <n v="71.98"/>
    <n v="71.98"/>
    <n v="71.98"/>
    <s v="True"/>
    <s v="Normal"/>
    <s v="Google Pay"/>
    <x v="1"/>
    <s v="pending"/>
    <s v="United Kingdom"/>
    <m/>
    <s v="Not Required"/>
    <s v="Campbellport"/>
  </r>
  <r>
    <s v="#2147"/>
    <n v="1"/>
    <d v="2026-08-04T13:54:27"/>
    <d v="2026-08-04T13:54:27"/>
    <s v="Seth Price"/>
    <x v="0"/>
    <s v="seth.price179@gmail.com"/>
    <s v="Slim Fit Denim Jeans"/>
    <x v="16"/>
    <s v="Apparel"/>
    <x v="17"/>
    <n v="1"/>
    <n v="39.99"/>
    <n v="39.99"/>
    <s v="FREESHIP"/>
    <x v="5"/>
    <n v="0"/>
    <n v="0"/>
    <s v="Number"/>
    <n v="0"/>
    <n v="0"/>
    <n v="39.99"/>
    <n v="39.99"/>
    <n v="39.99"/>
    <s v="True"/>
    <s v="Normal"/>
    <s v="Shopify Payments"/>
    <x v="0"/>
    <s v="fulfilled"/>
    <s v="United States"/>
    <s v="California"/>
    <s v="Valid"/>
    <s v="East Reneeborough"/>
  </r>
  <r>
    <s v="#2169"/>
    <n v="1"/>
    <d v="2026-08-04T14:04:08"/>
    <d v="2026-08-04T14:04:08"/>
    <s v="William Houston"/>
    <x v="0"/>
    <s v="william.houston340@outlook.com"/>
    <s v="Slim Fit Denim Jeans"/>
    <x v="16"/>
    <s v="Apparel"/>
    <x v="17"/>
    <n v="1"/>
    <n v="39.99"/>
    <n v="39.99"/>
    <m/>
    <x v="0"/>
    <n v="0"/>
    <n v="0"/>
    <s v="Number"/>
    <n v="5.99"/>
    <n v="5.99"/>
    <n v="45.98"/>
    <n v="45.98"/>
    <n v="45.980000000000004"/>
    <s v="True"/>
    <s v="Normal"/>
    <s v="PayPal"/>
    <x v="3"/>
    <s v="pending"/>
    <s v="United States"/>
    <s v="Arizona"/>
    <s v="Valid"/>
    <s v="West Emilyview"/>
  </r>
  <r>
    <s v="#2194"/>
    <n v="1"/>
    <d v="2026-08-04T14:08:08"/>
    <d v="2026-08-04T14:08:08"/>
    <s v="Tracy Kennedy"/>
    <x v="0"/>
    <s v="tracy.kennedy796@outlook.com"/>
    <s v="Slim Fit Denim Jeans"/>
    <x v="16"/>
    <s v="Apparel"/>
    <x v="17"/>
    <n v="1"/>
    <n v="39.99"/>
    <n v="39.99"/>
    <m/>
    <x v="0"/>
    <n v="0"/>
    <n v="0"/>
    <s v="Number"/>
    <n v="5.99"/>
    <n v="5.99"/>
    <s v="$45.98"/>
    <n v="45.98"/>
    <n v="45.980000000000004"/>
    <s v="True"/>
    <s v="Normal"/>
    <s v="Credit Card"/>
    <x v="0"/>
    <s v="cancelled"/>
    <s v="Pakistan"/>
    <m/>
    <s v="Not Required"/>
    <s v="Caseyfurt"/>
  </r>
  <r>
    <s v="#2196"/>
    <n v="1"/>
    <d v="2026-08-04T13:58:49"/>
    <d v="2026-08-04T13:58:49"/>
    <s v="Anthony Vaughn"/>
    <x v="0"/>
    <s v="anthony.vaughn72@gmail.com"/>
    <s v="Slim Fit Denim Jeans"/>
    <x v="16"/>
    <s v="Apparel"/>
    <x v="17"/>
    <n v="2"/>
    <n v="39.99"/>
    <n v="39.99"/>
    <m/>
    <x v="0"/>
    <s v="$0.00"/>
    <n v="0"/>
    <s v="Number"/>
    <n v="0"/>
    <n v="0"/>
    <n v="79.98"/>
    <n v="79.98"/>
    <n v="79.98"/>
    <s v="True"/>
    <s v="Normal"/>
    <s v="Google Pay"/>
    <x v="0"/>
    <s v="fulfilled"/>
    <s v="Germany"/>
    <m/>
    <s v="Not Required"/>
    <s v="Lake Karenchester"/>
  </r>
  <r>
    <s v="#2250"/>
    <n v="1"/>
    <d v="2026-08-04T14:07:36"/>
    <d v="2026-08-04T14:07:36"/>
    <s v="Mary Garcia"/>
    <x v="0"/>
    <s v="mary.garcia899@icloud.com"/>
    <s v="Slim Fit Denim Jeans"/>
    <x v="16"/>
    <s v="Apparel"/>
    <x v="17"/>
    <n v="4"/>
    <n v="39.99"/>
    <n v="39.99"/>
    <s v="WELCOME10"/>
    <x v="1"/>
    <n v="16"/>
    <n v="16"/>
    <s v="Number"/>
    <n v="0"/>
    <n v="0"/>
    <n v="143.96"/>
    <n v="143.96"/>
    <n v="143.96"/>
    <s v="True"/>
    <s v="Outlier"/>
    <s v="Credit Card"/>
    <x v="2"/>
    <s v="refunded"/>
    <s v="Canada"/>
    <m/>
    <s v="Not Required"/>
    <s v="East Michelle"/>
  </r>
  <r>
    <s v="#2327"/>
    <n v="1"/>
    <d v="2026-08-04T14:02:16"/>
    <d v="2026-08-04T14:02:16"/>
    <s v="Stacey Johnson"/>
    <x v="0"/>
    <s v="stacey.johnson95@gmail.com"/>
    <s v="Slim Fit Denim Jeans"/>
    <x v="16"/>
    <s v="Apparel"/>
    <x v="17"/>
    <n v="1"/>
    <n v="39.99"/>
    <n v="39.99"/>
    <m/>
    <x v="0"/>
    <n v="0"/>
    <n v="0"/>
    <s v="Number"/>
    <n v="5.99"/>
    <n v="5.99"/>
    <n v="45.98"/>
    <n v="45.98"/>
    <n v="45.980000000000004"/>
    <s v="True"/>
    <s v="Normal"/>
    <s v="Credit Card"/>
    <x v="0"/>
    <s v="pending"/>
    <s v="Germany"/>
    <m/>
    <s v="Not Required"/>
    <s v="Lake Yolandatown"/>
  </r>
  <r>
    <s v="#2360"/>
    <n v="1"/>
    <d v="2026-08-04T14:06:22"/>
    <d v="2026-08-04T14:06:22"/>
    <s v="Sarah Williams"/>
    <x v="0"/>
    <s v="sarah.williams329@icloud.com"/>
    <s v="Slim Fit Denim Jeans"/>
    <x v="16"/>
    <s v="Apparel"/>
    <x v="17"/>
    <n v="2"/>
    <n v="39.99"/>
    <n v="39.99"/>
    <m/>
    <x v="0"/>
    <n v="0"/>
    <n v="0"/>
    <s v="Number"/>
    <n v="0"/>
    <n v="0"/>
    <n v="79.98"/>
    <n v="79.98"/>
    <n v="79.98"/>
    <s v="True"/>
    <s v="Normal"/>
    <s v="Shopify Payments"/>
    <x v="0"/>
    <s v="fulfilled"/>
    <s v="Canada"/>
    <m/>
    <s v="Not Required"/>
    <s v="Wesleymouth"/>
  </r>
  <r>
    <s v="#2392"/>
    <n v="1"/>
    <d v="2026-08-04T13:53:58"/>
    <d v="2026-08-04T13:53:58"/>
    <s v="Frederick Bean"/>
    <x v="0"/>
    <s v="frederick.bean141@outlook.com"/>
    <s v="Slim Fit Denim Jeans"/>
    <x v="16"/>
    <s v="Apparel"/>
    <x v="17"/>
    <n v="1"/>
    <s v="$39.99"/>
    <n v="39.99"/>
    <s v="BFCM25"/>
    <x v="3"/>
    <n v="10"/>
    <n v="10"/>
    <s v="Number"/>
    <n v="5.99"/>
    <n v="5.99"/>
    <n v="35.979999999999997"/>
    <n v="35.979999999999997"/>
    <n v="35.980000000000004"/>
    <s v="True"/>
    <s v="Normal"/>
    <s v="Shopify Payments"/>
    <x v="3"/>
    <s v="refunded"/>
    <s v="United States"/>
    <s v="North Carolina"/>
    <s v="Valid"/>
    <s v="Gabrielbury"/>
  </r>
  <r>
    <s v="#2410"/>
    <n v="1"/>
    <d v="2026-08-04T14:03:08"/>
    <d v="2026-08-04T14:03:08"/>
    <s v="Christopher Martin"/>
    <x v="0"/>
    <s v="christopher.martin10@gmail.com"/>
    <s v="Slim Fit Denim Jeans"/>
    <x v="16"/>
    <s v="Apparel"/>
    <x v="17"/>
    <n v="2"/>
    <n v="39.99"/>
    <n v="39.99"/>
    <m/>
    <x v="0"/>
    <n v="0"/>
    <n v="0"/>
    <s v="Number"/>
    <n v="0"/>
    <n v="0"/>
    <n v="79.98"/>
    <n v="79.98"/>
    <n v="79.98"/>
    <s v="True"/>
    <s v="Normal"/>
    <s v="Shopify Payments"/>
    <x v="2"/>
    <s v="refunded"/>
    <s v="United States"/>
    <s v="NC"/>
    <s v="Valid"/>
    <s v="Port Jose"/>
  </r>
  <r>
    <s v="#2430"/>
    <n v="1"/>
    <d v="2026-08-04T13:58:01"/>
    <d v="2026-08-04T13:58:01"/>
    <s v="Sandra Potter"/>
    <x v="0"/>
    <s v="sandra.potter166@yahoo.com"/>
    <s v="Slim Fit Denim Jeans"/>
    <x v="16"/>
    <s v="Apparel"/>
    <x v="17"/>
    <n v="2"/>
    <n v="39.99"/>
    <n v="39.99"/>
    <m/>
    <x v="0"/>
    <n v="0"/>
    <n v="0"/>
    <s v="Number"/>
    <n v="0"/>
    <n v="0"/>
    <n v="79.98"/>
    <n v="79.98"/>
    <n v="79.98"/>
    <s v="True"/>
    <s v="Normal"/>
    <s v="PayPal"/>
    <x v="2"/>
    <s v="fulfilled"/>
    <s v="United States"/>
    <s v="Illinois"/>
    <s v="Valid"/>
    <s v="South Andreastad"/>
  </r>
  <r>
    <s v="#2435"/>
    <n v="1"/>
    <d v="2026-08-04T13:56:19"/>
    <d v="2026-08-04T13:56:19"/>
    <s v="Andrea Martinez"/>
    <x v="0"/>
    <s v="andrea.martinez756@yahoo.com"/>
    <s v="Slim Fit Denim Jeans"/>
    <x v="16"/>
    <s v="Apparel"/>
    <x v="17"/>
    <n v="2"/>
    <n v="39.99"/>
    <n v="39.99"/>
    <m/>
    <x v="0"/>
    <n v="0"/>
    <n v="0"/>
    <s v="Number"/>
    <n v="0"/>
    <n v="0"/>
    <n v="79.98"/>
    <n v="79.98"/>
    <n v="79.98"/>
    <s v="True"/>
    <s v="Normal"/>
    <s v="PayPal"/>
    <x v="3"/>
    <s v="pending"/>
    <s v="Australia"/>
    <m/>
    <s v="Not Required"/>
    <s v="Shannonport"/>
  </r>
  <r>
    <s v="#2437"/>
    <n v="1"/>
    <d v="2026-08-04T13:54:56"/>
    <d v="2026-08-04T13:54:56"/>
    <s v="Amanda Harris"/>
    <x v="0"/>
    <s v="amanda.harris197@gmail.com"/>
    <s v="Slim Fit Denim Jeans"/>
    <x v="16"/>
    <s v="Apparel"/>
    <x v="17"/>
    <n v="4"/>
    <n v="39.99"/>
    <n v="39.99"/>
    <m/>
    <x v="0"/>
    <n v="0"/>
    <n v="0"/>
    <s v="Number"/>
    <n v="0"/>
    <n v="0"/>
    <n v="159.96"/>
    <n v="159.96"/>
    <n v="159.96"/>
    <s v="True"/>
    <s v="Outlier"/>
    <s v="Credit Card"/>
    <x v="0"/>
    <s v="fulfilled"/>
    <s v="United States"/>
    <s v="California"/>
    <s v="Valid"/>
    <s v="Lake Ianmouth"/>
  </r>
  <r>
    <s v="#2459"/>
    <n v="1"/>
    <d v="2026-08-04T14:03:36"/>
    <d v="2026-08-04T14:03:36"/>
    <s v="Jaime Vargas"/>
    <x v="0"/>
    <s v="jaime.vargas795@outlook.com"/>
    <s v="Slim Fit Denim Jeans"/>
    <x v="16"/>
    <s v="Apparel"/>
    <x v="17"/>
    <n v="1"/>
    <s v="$39.99"/>
    <n v="39.99"/>
    <m/>
    <x v="0"/>
    <s v="$0.00"/>
    <n v="0"/>
    <s v="Number"/>
    <n v="7.99"/>
    <n v="7.99"/>
    <n v="47.98"/>
    <n v="47.98"/>
    <n v="47.980000000000004"/>
    <s v="True"/>
    <s v="Normal"/>
    <s v="Shopify Payments"/>
    <x v="2"/>
    <s v="pending"/>
    <s v="United Kingdom"/>
    <m/>
    <s v="Not Required"/>
    <s v="North Patriciaton"/>
  </r>
  <r>
    <s v="#2469"/>
    <n v="1"/>
    <d v="2026-08-04T14:06:45"/>
    <d v="2026-08-04T14:06:45"/>
    <s v="Peter Alvarez"/>
    <x v="0"/>
    <s v="peter.alvarez465@yahoo.com"/>
    <s v="Slim Fit Denim Jeans"/>
    <x v="16"/>
    <s v="Apparel"/>
    <x v="17"/>
    <n v="1"/>
    <n v="39.99"/>
    <n v="39.99"/>
    <s v="WELCOME10"/>
    <x v="1"/>
    <n v="4"/>
    <n v="4"/>
    <s v="Number"/>
    <n v="4.99"/>
    <n v="4.99"/>
    <n v="40.98"/>
    <n v="40.98"/>
    <n v="40.980000000000004"/>
    <s v="True"/>
    <s v="Normal"/>
    <s v="Apple Pay"/>
    <x v="1"/>
    <s v="fulfilled"/>
    <s v="United States"/>
    <s v="New York"/>
    <s v="Valid"/>
    <s v="Davishaven"/>
  </r>
  <r>
    <s v="#2502"/>
    <n v="1"/>
    <d v="2026-08-04T13:57:49"/>
    <d v="2026-08-04T13:57:49"/>
    <s v="Barbara Brown"/>
    <x v="0"/>
    <s v="barbara.brown26@gmail.com"/>
    <s v="Slim Fit Denim Jeans"/>
    <x v="16"/>
    <s v="Apparel"/>
    <x v="17"/>
    <n v="1"/>
    <n v="39.99"/>
    <n v="39.99"/>
    <s v="VIP15"/>
    <x v="4"/>
    <n v="6"/>
    <n v="6"/>
    <s v="Number"/>
    <n v="7.99"/>
    <n v="7.99"/>
    <n v="41.98"/>
    <n v="41.98"/>
    <n v="41.980000000000004"/>
    <s v="True"/>
    <s v="Normal"/>
    <s v="Google Pay"/>
    <x v="2"/>
    <s v="refunded"/>
    <s v="United States"/>
    <s v="California"/>
    <s v="Valid"/>
    <s v="North Benjamintown"/>
  </r>
  <r>
    <s v="#2512"/>
    <n v="1"/>
    <d v="2026-08-04T14:06:33"/>
    <d v="2026-08-04T14:06:33"/>
    <s v="Ryan Jones"/>
    <x v="0"/>
    <s v="ryan.jones314@gmail.com"/>
    <s v="Slim Fit Denim Jeans"/>
    <x v="16"/>
    <s v="Apparel"/>
    <x v="17"/>
    <n v="1"/>
    <n v="39.99"/>
    <n v="39.99"/>
    <s v="WELCOME10"/>
    <x v="1"/>
    <n v="4"/>
    <n v="4"/>
    <s v="Number"/>
    <n v="4.99"/>
    <n v="4.99"/>
    <n v="40.98"/>
    <n v="40.98"/>
    <n v="40.980000000000004"/>
    <s v="True"/>
    <s v="Normal"/>
    <s v="Shopify Payments"/>
    <x v="0"/>
    <s v="fulfilled"/>
    <s v="Australia"/>
    <m/>
    <s v="Not Required"/>
    <s v="Higginsborough"/>
  </r>
  <r>
    <s v="#2515"/>
    <n v="1"/>
    <d v="2026-08-04T00:00:00"/>
    <s v="04-08-2026 13:59"/>
    <s v="Katelyn Johnson"/>
    <x v="0"/>
    <s v="katelyn.johnson502@outlook.com"/>
    <s v="Slim Fit Denim Jeans"/>
    <x v="16"/>
    <s v="Apparel"/>
    <x v="17"/>
    <n v="1"/>
    <s v="$39.99"/>
    <n v="39.99"/>
    <m/>
    <x v="0"/>
    <n v="0"/>
    <n v="0"/>
    <s v="Number"/>
    <n v="7.99"/>
    <n v="7.99"/>
    <n v="47.98"/>
    <n v="47.98"/>
    <n v="47.980000000000004"/>
    <s v="True"/>
    <s v="Normal"/>
    <s v="Credit Card"/>
    <x v="2"/>
    <s v="refunded"/>
    <s v="United States"/>
    <s v="Georgia"/>
    <s v="Valid"/>
    <s v="Wilsonburgh"/>
  </r>
  <r>
    <s v="#2525"/>
    <n v="1"/>
    <d v="2026-08-04T13:55:11"/>
    <d v="2026-08-04T13:55:11"/>
    <s v="Tammy Hawkins"/>
    <x v="0"/>
    <s v="tammy.hawkins461@outlook.com"/>
    <s v="Slim Fit Denim Jeans"/>
    <x v="16"/>
    <s v="Apparel"/>
    <x v="17"/>
    <n v="1"/>
    <n v="39.99"/>
    <n v="39.99"/>
    <s v="SAVE20"/>
    <x v="2"/>
    <n v="8"/>
    <n v="8"/>
    <s v="Number"/>
    <n v="4.99"/>
    <n v="4.99"/>
    <n v="36.979999999999997"/>
    <n v="36.979999999999997"/>
    <n v="36.980000000000004"/>
    <s v="True"/>
    <s v="Normal"/>
    <s v="Google Pay"/>
    <x v="0"/>
    <s v="fulfilled"/>
    <s v="United States"/>
    <s v="North Carolina"/>
    <s v="Valid"/>
    <s v="Danielsport"/>
  </r>
  <r>
    <s v="#2528"/>
    <n v="1"/>
    <d v="2026-08-04T14:02:10"/>
    <d v="2026-08-04T14:02:10"/>
    <s v="Megan Herman"/>
    <x v="0"/>
    <s v="megan.herman268@yahoo.com"/>
    <s v="Slim Fit Denim Jeans"/>
    <x v="16"/>
    <s v="Apparel"/>
    <x v="17"/>
    <n v="1"/>
    <n v="39.99"/>
    <n v="39.99"/>
    <s v="VIP15"/>
    <x v="4"/>
    <n v="6"/>
    <n v="6"/>
    <s v="Number"/>
    <n v="5.99"/>
    <n v="5.99"/>
    <n v="39.979999999999997"/>
    <n v="39.979999999999997"/>
    <n v="39.980000000000004"/>
    <s v="True"/>
    <s v="Normal"/>
    <s v="PayPal"/>
    <x v="3"/>
    <s v="cancelled"/>
    <s v="United States"/>
    <s v="Illinois"/>
    <s v="Valid"/>
    <s v="East Bradleyfurt"/>
  </r>
  <r>
    <s v="#2541"/>
    <n v="1"/>
    <d v="2026-08-04T14:08:22"/>
    <d v="2026-08-04T14:08:22"/>
    <s v="Jacqueline Miller"/>
    <x v="0"/>
    <s v="jacqueline.miller687@yahoo.com"/>
    <s v="Slim Fit Denim Jeans"/>
    <x v="16"/>
    <s v="Apparel"/>
    <x v="17"/>
    <n v="1"/>
    <n v="39.99"/>
    <n v="39.99"/>
    <m/>
    <x v="0"/>
    <n v="0"/>
    <n v="0"/>
    <s v="Number"/>
    <n v="5.99"/>
    <n v="5.99"/>
    <n v="45.98"/>
    <n v="45.98"/>
    <n v="45.980000000000004"/>
    <s v="True"/>
    <s v="Normal"/>
    <s v="PayPal"/>
    <x v="3"/>
    <s v="fulfilled"/>
    <s v="Canada"/>
    <m/>
    <s v="Not Required"/>
    <s v="West Erikabury"/>
  </r>
  <r>
    <s v="#2542"/>
    <n v="1"/>
    <d v="2026-08-04T14:05:12"/>
    <d v="2026-08-04T14:05:12"/>
    <s v="Gloria Ballard"/>
    <x v="0"/>
    <s v="gloria.ballard194@outlook.com"/>
    <s v="Slim Fit Denim Jeans"/>
    <x v="16"/>
    <s v="Apparel"/>
    <x v="17"/>
    <n v="1"/>
    <s v="$39.99"/>
    <n v="39.99"/>
    <s v="FREESHIP"/>
    <x v="5"/>
    <s v="$0.00"/>
    <n v="0"/>
    <s v="Number"/>
    <n v="0"/>
    <n v="0"/>
    <n v="39.99"/>
    <n v="39.99"/>
    <n v="39.99"/>
    <s v="True"/>
    <s v="Normal"/>
    <s v="PayPal"/>
    <x v="1"/>
    <s v="fulfilled"/>
    <s v="Germany"/>
    <m/>
    <s v="Not Required"/>
    <s v="South Kathleenhaven"/>
  </r>
  <r>
    <s v="#2591"/>
    <n v="1"/>
    <d v="2026-08-04T14:04:05"/>
    <d v="2026-08-04T14:04:05"/>
    <s v="Robert Clark"/>
    <x v="0"/>
    <s v="robert.clark185@icloud.com"/>
    <s v="Slim Fit Denim Jeans"/>
    <x v="16"/>
    <s v="Apparel"/>
    <x v="17"/>
    <n v="1"/>
    <s v="$39.99"/>
    <n v="39.99"/>
    <m/>
    <x v="0"/>
    <n v="0"/>
    <n v="0"/>
    <s v="Number"/>
    <n v="7.99"/>
    <n v="7.99"/>
    <n v="47.98"/>
    <n v="47.98"/>
    <n v="47.980000000000004"/>
    <s v="True"/>
    <s v="Normal"/>
    <s v="Apple Pay"/>
    <x v="2"/>
    <s v="fulfilled"/>
    <s v="Pakistan"/>
    <m/>
    <s v="Not Required"/>
    <s v="Gonzalezmouth"/>
  </r>
  <r>
    <s v="#2596"/>
    <n v="1"/>
    <d v="2026-08-04T14:05:41"/>
    <d v="2026-08-04T14:05:41"/>
    <s v="Timothy Becker"/>
    <x v="0"/>
    <s v="timothy.becker88@yahoo.com"/>
    <s v="Slim Fit Denim Jeans"/>
    <x v="16"/>
    <s v="Apparel"/>
    <x v="17"/>
    <n v="1"/>
    <n v="39.99"/>
    <n v="39.99"/>
    <s v="WELCOME10"/>
    <x v="1"/>
    <n v="4"/>
    <n v="4"/>
    <s v="Number"/>
    <n v="7.99"/>
    <n v="7.99"/>
    <n v="43.98"/>
    <n v="43.98"/>
    <n v="43.980000000000004"/>
    <s v="True"/>
    <s v="Normal"/>
    <s v="Apple Pay"/>
    <x v="2"/>
    <s v="refunded"/>
    <s v="United States"/>
    <s v="Washington"/>
    <s v="Valid"/>
    <s v="East Seth"/>
  </r>
  <r>
    <s v="#2624"/>
    <n v="1"/>
    <d v="2026-08-04T14:03:54"/>
    <d v="2026-08-04T14:03:54"/>
    <s v="Nicholas Jarvis"/>
    <x v="0"/>
    <s v="nicholas.jarvis112@icloud.com"/>
    <s v="Slim Fit Denim Jeans"/>
    <x v="16"/>
    <s v="Apparel"/>
    <x v="17"/>
    <n v="1"/>
    <n v="39.99"/>
    <n v="39.99"/>
    <m/>
    <x v="0"/>
    <n v="0"/>
    <n v="0"/>
    <s v="Number"/>
    <n v="7.99"/>
    <n v="7.99"/>
    <n v="47.98"/>
    <n v="47.98"/>
    <n v="47.980000000000004"/>
    <s v="True"/>
    <s v="Normal"/>
    <s v="Shopify Payments"/>
    <x v="0"/>
    <s v="pending"/>
    <s v="Canada"/>
    <m/>
    <s v="Not Required"/>
    <s v="Sheltonfurt"/>
  </r>
  <r>
    <s v="#2646"/>
    <n v="1"/>
    <d v="2026-08-04T13:56:12"/>
    <d v="2026-08-04T13:56:12"/>
    <s v="Sandra Potter"/>
    <x v="0"/>
    <s v="sandra.potter166@yahoo.com"/>
    <s v="Slim Fit Denim Jeans"/>
    <x v="16"/>
    <s v="Apparel"/>
    <x v="17"/>
    <n v="1"/>
    <n v="39.99"/>
    <n v="39.99"/>
    <m/>
    <x v="0"/>
    <n v="0"/>
    <n v="0"/>
    <s v="Number"/>
    <n v="7.99"/>
    <n v="7.99"/>
    <n v="47.98"/>
    <n v="47.98"/>
    <n v="47.980000000000004"/>
    <s v="True"/>
    <s v="Normal"/>
    <s v="Shopify Payments"/>
    <x v="3"/>
    <s v="fulfilled"/>
    <s v="United States"/>
    <s v="Illinois"/>
    <s v="Valid"/>
    <s v="South Juanview"/>
  </r>
  <r>
    <s v="#2657"/>
    <n v="1"/>
    <d v="2026-08-04T13:56:04"/>
    <d v="2026-08-04T13:56:04"/>
    <s v="Erika Maxwell"/>
    <x v="0"/>
    <s v="erika.maxwell281@gmail.com"/>
    <s v="Slim Fit Denim Jeans"/>
    <x v="16"/>
    <s v="Apparel"/>
    <x v="17"/>
    <n v="2"/>
    <n v="39.99"/>
    <n v="39.99"/>
    <s v="FREESHIP"/>
    <x v="5"/>
    <n v="0"/>
    <n v="0"/>
    <s v="Number"/>
    <n v="0"/>
    <n v="0"/>
    <s v="$79.98"/>
    <n v="79.98"/>
    <n v="79.98"/>
    <s v="True"/>
    <s v="Normal"/>
    <s v="Shopify Payments"/>
    <x v="0"/>
    <s v="fulfilled"/>
    <s v="United States"/>
    <s v="Washington"/>
    <s v="Valid"/>
    <s v="Kristiberg"/>
  </r>
  <r>
    <s v="#2714"/>
    <n v="1"/>
    <d v="2026-08-04T14:04:45"/>
    <d v="2026-08-04T14:04:45"/>
    <s v="Dustin Mccoy"/>
    <x v="0"/>
    <s v="dustin.mccoy570@gmail.com"/>
    <s v="Slim Fit Denim Jeans"/>
    <x v="16"/>
    <s v="Apparel"/>
    <x v="17"/>
    <n v="2"/>
    <s v="$39.99"/>
    <n v="39.99"/>
    <s v="BFCM25"/>
    <x v="3"/>
    <s v="$20.00"/>
    <n v="20"/>
    <s v="Number"/>
    <n v="0"/>
    <n v="0"/>
    <n v="59.98"/>
    <n v="59.98"/>
    <n v="59.980000000000004"/>
    <s v="True"/>
    <s v="Normal"/>
    <s v="Shopify Payments"/>
    <x v="2"/>
    <s v="cancelled"/>
    <s v="Canada"/>
    <m/>
    <s v="Not Required"/>
    <s v="South Edwardtown"/>
  </r>
  <r>
    <s v="#2785"/>
    <n v="1"/>
    <d v="2026-08-04T14:02:35"/>
    <d v="2026-08-04T14:02:35"/>
    <s v="Lisa Zuniga"/>
    <x v="0"/>
    <s v="lisa.zuniga825@outlook.com"/>
    <s v="Slim Fit Denim Jeans"/>
    <x v="16"/>
    <s v="Apparel"/>
    <x v="17"/>
    <n v="1"/>
    <n v="39.99"/>
    <n v="39.99"/>
    <m/>
    <x v="0"/>
    <n v="0"/>
    <n v="0"/>
    <s v="Number"/>
    <n v="5.99"/>
    <n v="5.99"/>
    <n v="45.98"/>
    <n v="45.98"/>
    <n v="45.980000000000004"/>
    <s v="True"/>
    <s v="Normal"/>
    <s v="Credit Card"/>
    <x v="3"/>
    <s v="fulfilled"/>
    <s v="Germany"/>
    <m/>
    <s v="Not Required"/>
    <s v="Marcmouth"/>
  </r>
  <r>
    <s v="#2807"/>
    <n v="1"/>
    <d v="2026-08-04T14:04:59"/>
    <d v="2026-08-04T14:04:59"/>
    <s v="Patricia Thompson"/>
    <x v="0"/>
    <s v="patricia.thompson164@icloud.com"/>
    <s v="Slim Fit Denim Jeans"/>
    <x v="16"/>
    <s v="Apparel"/>
    <x v="17"/>
    <n v="1"/>
    <n v="39.99"/>
    <n v="39.99"/>
    <m/>
    <x v="0"/>
    <s v="$0.00"/>
    <n v="0"/>
    <s v="Number"/>
    <n v="4.99"/>
    <n v="4.99"/>
    <n v="44.98"/>
    <n v="44.98"/>
    <n v="44.980000000000004"/>
    <s v="True"/>
    <s v="Normal"/>
    <s v="PayPal"/>
    <x v="1"/>
    <s v="fulfilled"/>
    <s v="United States"/>
    <s v="TX"/>
    <s v="Valid"/>
    <s v="New Loriport"/>
  </r>
  <r>
    <s v="#2827"/>
    <n v="1"/>
    <d v="2026-08-04T13:56:59"/>
    <d v="2026-08-04T13:56:59"/>
    <s v="Barbara Brown"/>
    <x v="0"/>
    <s v="barbara.brown26@gmail.com"/>
    <s v="Slim Fit Denim Jeans"/>
    <x v="16"/>
    <s v="Apparel"/>
    <x v="17"/>
    <n v="1"/>
    <n v="39.99"/>
    <n v="39.99"/>
    <m/>
    <x v="0"/>
    <s v="$0.00"/>
    <n v="0"/>
    <s v="Number"/>
    <n v="4.99"/>
    <n v="4.99"/>
    <n v="44.98"/>
    <n v="44.98"/>
    <n v="44.980000000000004"/>
    <s v="True"/>
    <s v="Normal"/>
    <s v="Shopify Payments"/>
    <x v="1"/>
    <s v="fulfilled"/>
    <s v="United States"/>
    <s v="New York"/>
    <s v="Valid"/>
    <s v="East Nicholas"/>
  </r>
  <r>
    <s v="#2912"/>
    <n v="1"/>
    <d v="2026-08-04T14:06:43"/>
    <d v="2026-08-04T14:06:43"/>
    <s v="Andrea Gallegos"/>
    <x v="0"/>
    <s v="andrea.gallegos495@gmail.com"/>
    <s v="Slim Fit Denim Jeans"/>
    <x v="16"/>
    <s v="Apparel"/>
    <x v="17"/>
    <n v="1"/>
    <n v="39.99"/>
    <n v="39.99"/>
    <m/>
    <x v="0"/>
    <n v="0"/>
    <n v="0"/>
    <s v="Number"/>
    <n v="5.99"/>
    <n v="5.99"/>
    <n v="45.98"/>
    <n v="45.98"/>
    <n v="45.980000000000004"/>
    <s v="True"/>
    <s v="Normal"/>
    <s v="PayPal"/>
    <x v="3"/>
    <s v="refunded"/>
    <s v="Germany"/>
    <m/>
    <s v="Not Required"/>
    <s v="Longstad"/>
  </r>
  <r>
    <s v="#2950"/>
    <n v="1"/>
    <d v="2026-08-04T14:00:23"/>
    <d v="2026-08-04T14:00:23"/>
    <s v="Teresa Campbell"/>
    <x v="0"/>
    <s v="teresa.campbell610@icloud.com"/>
    <s v="Slim Fit Denim Jeans"/>
    <x v="16"/>
    <s v="Apparel"/>
    <x v="17"/>
    <n v="1"/>
    <n v="39.99"/>
    <n v="39.99"/>
    <m/>
    <x v="0"/>
    <n v="0"/>
    <n v="0"/>
    <s v="Number"/>
    <n v="4.99"/>
    <n v="4.99"/>
    <n v="44.98"/>
    <n v="44.98"/>
    <n v="44.980000000000004"/>
    <s v="True"/>
    <s v="Normal"/>
    <s v="Google Pay"/>
    <x v="0"/>
    <s v="pending"/>
    <s v="United Kingdom"/>
    <m/>
    <s v="Not Required"/>
    <s v="Sandyshire"/>
  </r>
  <r>
    <s v="#2957"/>
    <n v="1"/>
    <d v="2026-08-04T00:00:00"/>
    <s v="2026-08-04"/>
    <s v="Amanda Rodriguez"/>
    <x v="0"/>
    <s v="amanda.rodriguez770@yahoo.com"/>
    <s v="Slim Fit Denim Jeans"/>
    <x v="16"/>
    <s v="Apparel"/>
    <x v="17"/>
    <n v="1"/>
    <n v="39.99"/>
    <n v="39.99"/>
    <s v="VIP15"/>
    <x v="4"/>
    <n v="6"/>
    <n v="6"/>
    <s v="Number"/>
    <n v="4.99"/>
    <n v="4.99"/>
    <n v="38.979999999999997"/>
    <n v="38.979999999999997"/>
    <n v="38.980000000000004"/>
    <s v="True"/>
    <s v="Normal"/>
    <s v="Shopify Payments"/>
    <x v="0"/>
    <s v="cancelled"/>
    <s v="United States"/>
    <s v="New York"/>
    <s v="Valid"/>
    <s v="South Oliviaburgh"/>
  </r>
  <r>
    <s v="#2976"/>
    <n v="1"/>
    <d v="2026-08-04T13:59:04"/>
    <d v="2026-08-04T13:59:04"/>
    <s v="Robert Boyd"/>
    <x v="0"/>
    <s v="robert.boyd184@yahoo.com"/>
    <s v="Slim Fit Denim Jeans"/>
    <x v="16"/>
    <s v="Apparel"/>
    <x v="17"/>
    <n v="1"/>
    <n v="39.99"/>
    <n v="39.99"/>
    <s v="BFCM25"/>
    <x v="3"/>
    <n v="10"/>
    <n v="10"/>
    <s v="Number"/>
    <n v="4.99"/>
    <n v="4.99"/>
    <n v="34.979999999999997"/>
    <n v="34.979999999999997"/>
    <n v="34.980000000000004"/>
    <s v="True"/>
    <s v="Normal"/>
    <s v="Credit Card"/>
    <x v="2"/>
    <s v="refunded"/>
    <s v="Canada"/>
    <m/>
    <s v="Not Required"/>
    <s v="Abigailtown"/>
  </r>
  <r>
    <s v="#2992"/>
    <n v="1"/>
    <d v="2026-08-04T14:06:13"/>
    <d v="2026-08-04T14:06:13"/>
    <s v="Michelle Bell"/>
    <x v="0"/>
    <s v="michelle.bell28@yahoo.com"/>
    <s v="Slim Fit Denim Jeans"/>
    <x v="16"/>
    <s v="Apparel"/>
    <x v="17"/>
    <n v="3"/>
    <n v="39.99"/>
    <n v="39.99"/>
    <s v="SAVE20"/>
    <x v="2"/>
    <n v="23.99"/>
    <n v="23.99"/>
    <s v="Number"/>
    <n v="0"/>
    <n v="0"/>
    <n v="95.98"/>
    <n v="95.98"/>
    <n v="95.98"/>
    <s v="True"/>
    <s v="Outlier"/>
    <s v="Credit Card"/>
    <x v="3"/>
    <s v="fulfilled"/>
    <s v="United States"/>
    <s v="California"/>
    <s v="Valid"/>
    <s v="Robinsonberg"/>
  </r>
  <r>
    <s v="#1001"/>
    <n v="1"/>
    <d v="2026-08-04T13:55:58"/>
    <d v="2026-08-04T13:55:58"/>
    <s v="Glenn Mcmahon"/>
    <x v="0"/>
    <s v="glenn.mcmahon733@yahoo.com"/>
    <s v="Stainless Steel Water Bottle  "/>
    <x v="17"/>
    <s v="Home &amp; Kitchen"/>
    <x v="18"/>
    <n v="1"/>
    <n v="12.99"/>
    <n v="12.99"/>
    <s v="SAVE20"/>
    <x v="2"/>
    <s v="$2.60"/>
    <n v="2.6"/>
    <s v="Number"/>
    <n v="5.99"/>
    <n v="5.99"/>
    <n v="16.38"/>
    <n v="16.38"/>
    <n v="16.380000000000003"/>
    <s v="True"/>
    <s v="Normal"/>
    <s v="Google Pay"/>
    <x v="0"/>
    <s v="pending"/>
    <s v="United States"/>
    <s v="Georgia"/>
    <s v="Valid"/>
    <s v="Jamesfurt"/>
  </r>
  <r>
    <s v="#1012"/>
    <n v="1"/>
    <d v="2026-08-04T13:54:35"/>
    <d v="2026-08-04T13:54:35"/>
    <s v="Karen Jones"/>
    <x v="0"/>
    <s v="karen.jones287@icloud.com"/>
    <s v="Stainless Steel Water Bottle"/>
    <x v="17"/>
    <s v="Home &amp; Kitchen"/>
    <x v="18"/>
    <n v="1"/>
    <n v="12.99"/>
    <n v="12.99"/>
    <s v="BFCM25"/>
    <x v="3"/>
    <n v="3.25"/>
    <n v="3.25"/>
    <s v="Number"/>
    <n v="4.99"/>
    <n v="4.99"/>
    <s v="$14.73"/>
    <n v="14.73"/>
    <n v="14.73"/>
    <s v="True"/>
    <s v="Normal"/>
    <s v="Shopify Payments"/>
    <x v="0"/>
    <s v="refunded"/>
    <s v="Australia"/>
    <m/>
    <s v="Not Required"/>
    <s v="South Joseph"/>
  </r>
  <r>
    <s v="#1038"/>
    <n v="1"/>
    <d v="2026-08-04T00:00:00"/>
    <s v="04-08-2026 13:58"/>
    <s v="William Houston"/>
    <x v="1"/>
    <m/>
    <s v="Stainless Steel Water Bottle"/>
    <x v="17"/>
    <s v="Home &amp; Kitchen"/>
    <x v="18"/>
    <n v="2"/>
    <n v="12.99"/>
    <n v="12.99"/>
    <m/>
    <x v="0"/>
    <n v="0"/>
    <n v="0"/>
    <s v="Number"/>
    <n v="4.99"/>
    <n v="4.99"/>
    <n v="30.97"/>
    <n v="30.97"/>
    <n v="30.97"/>
    <s v="True"/>
    <s v="Normal"/>
    <s v="Google Pay"/>
    <x v="2"/>
    <s v="fulfilled"/>
    <s v="United States"/>
    <s v="Ohio"/>
    <s v="Valid"/>
    <s v="Greenfurt"/>
  </r>
  <r>
    <s v="#1052"/>
    <n v="1"/>
    <d v="2026-08-04T14:03:12"/>
    <d v="2026-08-04T14:03:12"/>
    <s v="Leon Oliver"/>
    <x v="0"/>
    <s v="leon.oliver578@gmail.com"/>
    <s v="Stainless Steel Water Bottle"/>
    <x v="17"/>
    <s v="Home &amp; Kitchen"/>
    <x v="18"/>
    <n v="3"/>
    <n v="12.99"/>
    <n v="12.99"/>
    <s v="VIP15"/>
    <x v="4"/>
    <n v="5.85"/>
    <n v="5.85"/>
    <s v="Number"/>
    <n v="7.99"/>
    <n v="7.99"/>
    <n v="41.11"/>
    <n v="41.11"/>
    <n v="41.11"/>
    <s v="True"/>
    <s v="Normal"/>
    <s v="PayPal"/>
    <x v="3"/>
    <s v="cancelled"/>
    <s v="Canada"/>
    <m/>
    <s v="Not Required"/>
    <s v="Samuelshire"/>
  </r>
  <r>
    <s v="#1067"/>
    <n v="1"/>
    <d v="2026-08-04T00:00:00"/>
    <s v="Aug 04, 2026"/>
    <s v="Amanda Robinson"/>
    <x v="1"/>
    <m/>
    <s v="Stainless Steel Water Bottle"/>
    <x v="17"/>
    <s v="Home &amp; Kitchen"/>
    <x v="18"/>
    <n v="2"/>
    <n v="12.99"/>
    <n v="12.99"/>
    <s v="FREESHIP"/>
    <x v="5"/>
    <n v="0"/>
    <n v="0"/>
    <s v="Number"/>
    <n v="0"/>
    <n v="0"/>
    <n v="25.98"/>
    <n v="25.98"/>
    <n v="25.98"/>
    <s v="True"/>
    <s v="Normal"/>
    <s v="Apple Pay"/>
    <x v="0"/>
    <s v="fulfilled"/>
    <s v="United States"/>
    <s v="Texas"/>
    <s v="Valid"/>
    <s v="Lake Josehaven"/>
  </r>
  <r>
    <s v="#1077"/>
    <n v="1"/>
    <d v="2026-08-04T00:00:00"/>
    <s v="2026-08-04"/>
    <s v="Cody Murray"/>
    <x v="0"/>
    <s v="cody.murray456@gmail.com"/>
    <s v="Stainless Steel Water Bottle"/>
    <x v="17"/>
    <s v="Home &amp; Kitchen"/>
    <x v="18"/>
    <n v="2"/>
    <n v="12.99"/>
    <n v="12.99"/>
    <s v="FREESHIP"/>
    <x v="5"/>
    <n v="0"/>
    <n v="0"/>
    <s v="Number"/>
    <n v="0"/>
    <n v="0"/>
    <n v="25.98"/>
    <n v="25.98"/>
    <n v="25.98"/>
    <s v="True"/>
    <s v="Normal"/>
    <s v="Shopify Payments"/>
    <x v="1"/>
    <s v="refunded"/>
    <s v="United Kingdom"/>
    <m/>
    <s v="Not Required"/>
    <s v="Haydenport"/>
  </r>
  <r>
    <s v="#1082"/>
    <n v="1"/>
    <d v="2026-04-08T00:00:00"/>
    <s v="08/04/2026"/>
    <s v="Michele Davis"/>
    <x v="0"/>
    <s v="michele.davis844@gmail.com"/>
    <s v="Stainless Steel Water Bottle"/>
    <x v="17"/>
    <s v="Home &amp; Kitchen"/>
    <x v="18"/>
    <n v="1"/>
    <n v="12.99"/>
    <n v="12.99"/>
    <s v="SAVE20"/>
    <x v="2"/>
    <n v="2.6"/>
    <n v="2.6"/>
    <s v="Number"/>
    <n v="4.99"/>
    <n v="4.99"/>
    <s v="$15.38"/>
    <n v="15.38"/>
    <n v="15.38"/>
    <s v="True"/>
    <s v="Normal"/>
    <s v="Google Pay"/>
    <x v="0"/>
    <s v="refunded"/>
    <s v="Australia"/>
    <m/>
    <s v="Not Required"/>
    <s v="Perkinschester"/>
  </r>
  <r>
    <s v="#1096"/>
    <n v="1"/>
    <d v="2026-08-04T14:08:13"/>
    <d v="2026-08-04T14:08:13"/>
    <s v="Natalie Dixon"/>
    <x v="0"/>
    <s v="natalie.dixon388@outlook.com"/>
    <s v="Stainless Steel Water Bottle"/>
    <x v="17"/>
    <s v="Home &amp; Kitchen"/>
    <x v="18"/>
    <n v="2"/>
    <n v="12.99"/>
    <n v="12.99"/>
    <m/>
    <x v="0"/>
    <n v="0"/>
    <n v="0"/>
    <s v="Number"/>
    <n v="4.99"/>
    <n v="4.99"/>
    <s v="$30.97"/>
    <n v="30.97"/>
    <n v="30.97"/>
    <s v="True"/>
    <s v="Normal"/>
    <s v="Apple Pay"/>
    <x v="3"/>
    <s v="pending"/>
    <s v="United States"/>
    <s v="NC"/>
    <s v="Valid"/>
    <s v="East Emilyfort"/>
  </r>
  <r>
    <s v="#1101"/>
    <n v="1"/>
    <d v="2026-08-04T13:54:09"/>
    <d v="2026-08-04T13:54:09"/>
    <s v="Brian Ruiz"/>
    <x v="0"/>
    <s v="brian.ruiz246@gmail.com"/>
    <s v="Stainless Steel Water Bottle"/>
    <x v="17"/>
    <s v="Home &amp; Kitchen"/>
    <x v="18"/>
    <n v="1"/>
    <n v="12.99"/>
    <n v="12.99"/>
    <s v="FREESHIP"/>
    <x v="5"/>
    <s v="$0.00"/>
    <n v="0"/>
    <s v="Number"/>
    <n v="0"/>
    <n v="0"/>
    <n v="12.99"/>
    <n v="12.99"/>
    <n v="12.99"/>
    <s v="True"/>
    <s v="Normal"/>
    <s v="Shopify Payments"/>
    <x v="3"/>
    <s v="fulfilled"/>
    <s v="Germany"/>
    <m/>
    <s v="Not Required"/>
    <s v="Jerryborough"/>
  </r>
  <r>
    <s v="#1103"/>
    <n v="1"/>
    <d v="2026-08-04T13:57:04"/>
    <d v="2026-08-04T13:57:04"/>
    <s v="Tracy Adams"/>
    <x v="0"/>
    <s v="tracy.adams712@icloud.com"/>
    <s v="Stainless Steel Water Bottle"/>
    <x v="17"/>
    <s v="Home &amp; Kitchen"/>
    <x v="18"/>
    <n v="1"/>
    <n v="12.99"/>
    <n v="12.99"/>
    <s v="BFCM25"/>
    <x v="3"/>
    <n v="3.25"/>
    <n v="3.25"/>
    <s v="Number"/>
    <n v="4.99"/>
    <n v="4.99"/>
    <n v="14.73"/>
    <n v="14.73"/>
    <n v="14.73"/>
    <s v="True"/>
    <s v="Normal"/>
    <s v="Google Pay"/>
    <x v="1"/>
    <s v="fulfilled"/>
    <s v="United States"/>
    <s v="Arizona"/>
    <s v="Valid"/>
    <s v="Harrisonville"/>
  </r>
  <r>
    <s v="#1114"/>
    <n v="1"/>
    <d v="2026-04-08T00:00:00"/>
    <s v="08/04/2026"/>
    <s v="Kayla Cruz"/>
    <x v="0"/>
    <s v="kayla.cruz151@outlook.com"/>
    <s v="Stainless Steel Water Bottle"/>
    <x v="17"/>
    <s v="Home &amp; Kitchen"/>
    <x v="18"/>
    <n v="1"/>
    <n v="12.99"/>
    <n v="12.99"/>
    <s v="FREESHIP"/>
    <x v="5"/>
    <n v="0"/>
    <n v="0"/>
    <s v="Number"/>
    <n v="0"/>
    <n v="0"/>
    <n v="12.99"/>
    <n v="12.99"/>
    <n v="12.99"/>
    <s v="True"/>
    <s v="Normal"/>
    <s v="Apple Pay"/>
    <x v="0"/>
    <s v="fulfilled"/>
    <s v="Pakistan"/>
    <m/>
    <s v="Not Required"/>
    <s v="East Samantha"/>
  </r>
  <r>
    <s v="#1180"/>
    <n v="1"/>
    <d v="2026-04-08T00:00:00"/>
    <s v="08/04/2026"/>
    <s v="Lindsay Shaw"/>
    <x v="0"/>
    <s v="lindsay.shaw178@icloud.com"/>
    <s v="Stainless Steel Water Bottle"/>
    <x v="17"/>
    <s v="Home &amp; Kitchen"/>
    <x v="18"/>
    <n v="2"/>
    <n v="12.99"/>
    <n v="12.99"/>
    <s v="VIP15"/>
    <x v="4"/>
    <n v="3.9"/>
    <n v="3.9"/>
    <s v="Number"/>
    <n v="7.99"/>
    <n v="7.99"/>
    <n v="30.07"/>
    <n v="30.07"/>
    <n v="30.07"/>
    <s v="True"/>
    <s v="Normal"/>
    <s v="Google Pay"/>
    <x v="1"/>
    <s v="fulfilled"/>
    <s v="United Kingdom"/>
    <m/>
    <s v="Not Required"/>
    <s v="Riverafort"/>
  </r>
  <r>
    <s v="#1189"/>
    <n v="1"/>
    <d v="2026-08-04T14:01:03"/>
    <d v="2026-08-04T14:01:03"/>
    <s v="Dustin Mccoy"/>
    <x v="0"/>
    <s v="dustin.mccoy570@gmail.com"/>
    <s v="Stainless Steel Water Bottle"/>
    <x v="17"/>
    <s v="Home &amp; Kitchen"/>
    <x v="18"/>
    <n v="3"/>
    <n v="12.99"/>
    <n v="12.99"/>
    <s v="SAVE20"/>
    <x v="2"/>
    <n v="7.79"/>
    <n v="7.79"/>
    <s v="Number"/>
    <n v="4.99"/>
    <n v="4.99"/>
    <n v="36.17"/>
    <n v="36.17"/>
    <n v="36.17"/>
    <s v="True"/>
    <s v="Normal"/>
    <s v="Credit Card"/>
    <x v="0"/>
    <s v="fulfilled"/>
    <s v="Canada"/>
    <m/>
    <s v="Not Required"/>
    <s v="South Ryan"/>
  </r>
  <r>
    <s v="#1195"/>
    <n v="1"/>
    <d v="2026-08-04T13:56:06"/>
    <d v="2026-08-04T13:56:06"/>
    <s v="Justin Chavez"/>
    <x v="0"/>
    <s v="justin.chavez556@gmail.com"/>
    <s v="Stainless Steel Water Bottle"/>
    <x v="17"/>
    <s v="Home &amp; Kitchen"/>
    <x v="18"/>
    <n v="1"/>
    <n v="12.99"/>
    <n v="12.99"/>
    <m/>
    <x v="0"/>
    <n v="0"/>
    <n v="0"/>
    <s v="Number"/>
    <n v="5.99"/>
    <n v="5.99"/>
    <n v="18.98"/>
    <n v="18.98"/>
    <n v="18.98"/>
    <s v="True"/>
    <s v="Normal"/>
    <s v="Google Pay"/>
    <x v="0"/>
    <s v="fulfilled"/>
    <s v="United States"/>
    <s v="New York"/>
    <s v="Valid"/>
    <s v="South Andrea"/>
  </r>
  <r>
    <s v="#1202"/>
    <n v="1"/>
    <d v="2026-08-04T13:56:55"/>
    <d v="2026-08-04T13:56:55"/>
    <s v="Alexandria Miller"/>
    <x v="0"/>
    <s v="alexandria.miller414@outlook.com"/>
    <s v="Stainless Steel Water Bottle"/>
    <x v="17"/>
    <s v="Home &amp; Kitchen"/>
    <x v="18"/>
    <n v="1"/>
    <n v="12.99"/>
    <n v="12.99"/>
    <m/>
    <x v="0"/>
    <n v="0"/>
    <n v="0"/>
    <s v="Number"/>
    <n v="4.99"/>
    <n v="4.99"/>
    <n v="17.98"/>
    <n v="17.98"/>
    <n v="17.98"/>
    <s v="True"/>
    <s v="Normal"/>
    <s v="Credit Card"/>
    <x v="0"/>
    <s v="fulfilled"/>
    <s v="Australia"/>
    <m/>
    <s v="Not Required"/>
    <s v="East Anthonyton"/>
  </r>
  <r>
    <s v="#1285"/>
    <n v="1"/>
    <d v="2026-08-04T13:57:56"/>
    <d v="2026-08-04T13:57:56"/>
    <s v="jennifer willis"/>
    <x v="0"/>
    <s v="jennifer.willis714@gmail.com"/>
    <s v="Stainless Steel Water Bottle"/>
    <x v="17"/>
    <s v="Home &amp; Kitchen"/>
    <x v="18"/>
    <n v="1"/>
    <n v="12.99"/>
    <n v="12.99"/>
    <s v="BFCM25"/>
    <x v="3"/>
    <n v="3.25"/>
    <n v="3.25"/>
    <s v="Number"/>
    <n v="7.99"/>
    <n v="7.99"/>
    <s v="$17.73"/>
    <n v="17.73"/>
    <n v="17.73"/>
    <s v="True"/>
    <s v="Normal"/>
    <s v="Apple Pay"/>
    <x v="0"/>
    <s v="refunded"/>
    <s v="United States"/>
    <s v="Florida"/>
    <s v="Valid"/>
    <s v="Aaronville"/>
  </r>
  <r>
    <s v="#1296"/>
    <n v="1"/>
    <d v="2026-08-04T00:00:00"/>
    <s v="04-08-2026 14:08"/>
    <s v="Kenneth Davis"/>
    <x v="0"/>
    <s v="kenneth.davis106@yahoo.com"/>
    <s v="Stainless Steel Water Bottle"/>
    <x v="17"/>
    <s v="Home &amp; Kitchen"/>
    <x v="18"/>
    <n v="1"/>
    <s v="$12.99"/>
    <n v="12.99"/>
    <m/>
    <x v="0"/>
    <n v="0"/>
    <n v="0"/>
    <s v="Number"/>
    <n v="4.99"/>
    <n v="4.99"/>
    <n v="17.98"/>
    <n v="17.98"/>
    <n v="17.98"/>
    <s v="True"/>
    <s v="Normal"/>
    <s v="Google Pay"/>
    <x v="1"/>
    <s v="fulfilled"/>
    <s v="United States"/>
    <s v="North Carolina"/>
    <s v="Valid"/>
    <s v="Lake Seanfort"/>
  </r>
  <r>
    <s v="#1302"/>
    <n v="1"/>
    <d v="2026-04-08T00:00:00"/>
    <s v="08/04/2026"/>
    <s v="Cody Murray"/>
    <x v="0"/>
    <s v="cody.murray456@gmail.com"/>
    <s v="Stainless Steel Water Bottle"/>
    <x v="17"/>
    <s v="Home &amp; Kitchen"/>
    <x v="18"/>
    <n v="1"/>
    <n v="12.99"/>
    <n v="12.99"/>
    <s v="BFCM25"/>
    <x v="3"/>
    <n v="3.25"/>
    <n v="3.25"/>
    <s v="Number"/>
    <n v="5.99"/>
    <n v="5.99"/>
    <s v="$15.73"/>
    <n v="15.73"/>
    <n v="15.73"/>
    <s v="True"/>
    <s v="Normal"/>
    <s v="Apple Pay"/>
    <x v="0"/>
    <s v="fulfilled"/>
    <s v="United Kingdom"/>
    <m/>
    <s v="Not Required"/>
    <s v="North Paulberg"/>
  </r>
  <r>
    <s v="#1331"/>
    <n v="1"/>
    <d v="2026-08-04T13:54:43"/>
    <d v="2026-08-04T13:54:43"/>
    <s v="Timothy Hodges"/>
    <x v="0"/>
    <s v="timothy.hodges687@icloud.com"/>
    <s v="Stainless Steel Water Bottle"/>
    <x v="17"/>
    <s v="Home &amp; Kitchen"/>
    <x v="18"/>
    <n v="1"/>
    <n v="12.99"/>
    <n v="12.99"/>
    <m/>
    <x v="0"/>
    <s v="$0.00"/>
    <n v="0"/>
    <s v="Number"/>
    <n v="4.99"/>
    <n v="4.99"/>
    <n v="17.98"/>
    <n v="17.98"/>
    <n v="17.98"/>
    <s v="True"/>
    <s v="Normal"/>
    <s v="Apple Pay"/>
    <x v="0"/>
    <s v="refunded"/>
    <s v="Australia"/>
    <m/>
    <s v="Not Required"/>
    <s v="Perezmouth"/>
  </r>
  <r>
    <s v="#1355"/>
    <n v="1"/>
    <d v="2026-08-04T14:02:45"/>
    <d v="2026-08-04T14:02:45"/>
    <s v="Stacey Johnson"/>
    <x v="0"/>
    <s v="stacey.johnson95@gmail.com"/>
    <s v="Stainless Steel Water Bottle"/>
    <x v="17"/>
    <s v="Home &amp; Kitchen"/>
    <x v="18"/>
    <n v="1"/>
    <n v="12.99"/>
    <n v="12.99"/>
    <s v="SAVE20"/>
    <x v="2"/>
    <n v="2.6"/>
    <n v="2.6"/>
    <s v="Number"/>
    <n v="5.99"/>
    <n v="5.99"/>
    <n v="16.38"/>
    <n v="16.38"/>
    <n v="16.380000000000003"/>
    <s v="True"/>
    <s v="Normal"/>
    <s v="PayPal"/>
    <x v="0"/>
    <s v="cancelled"/>
    <s v="Germany"/>
    <m/>
    <s v="Not Required"/>
    <s v="Wardstad"/>
  </r>
  <r>
    <s v="#1357"/>
    <n v="1"/>
    <d v="2026-08-04T14:03:36"/>
    <d v="2026-08-04T14:03:36"/>
    <s v="Sandra Potter"/>
    <x v="0"/>
    <s v="sandra.potter166@yahoo.com"/>
    <s v="Stainless Steel Water Bottle"/>
    <x v="17"/>
    <s v="Home &amp; Kitchen"/>
    <x v="18"/>
    <n v="1"/>
    <n v="12.99"/>
    <n v="12.99"/>
    <s v="VIP15"/>
    <x v="4"/>
    <n v="1.95"/>
    <n v="1.95"/>
    <s v="Number"/>
    <n v="7.99"/>
    <n v="7.99"/>
    <n v="19.03"/>
    <n v="19.03"/>
    <n v="19.03"/>
    <s v="True"/>
    <s v="Normal"/>
    <s v="Google Pay"/>
    <x v="1"/>
    <s v="fulfilled"/>
    <s v="United States"/>
    <s v="North Carolina"/>
    <s v="Valid"/>
    <s v="East Wendyton"/>
  </r>
  <r>
    <s v="#1383"/>
    <n v="1"/>
    <d v="2026-08-04T13:59:35"/>
    <d v="2026-08-04T13:59:35"/>
    <s v="Ryan Gonzalez"/>
    <x v="0"/>
    <s v="ryan.gonzalez192@gmail.com"/>
    <s v="Stainless Steel Water Bottle"/>
    <x v="17"/>
    <s v="Home &amp; Kitchen"/>
    <x v="18"/>
    <n v="1"/>
    <s v="$12.99"/>
    <n v="12.99"/>
    <s v="SAVE20"/>
    <x v="2"/>
    <n v="2.6"/>
    <n v="2.6"/>
    <s v="Number"/>
    <n v="5.99"/>
    <n v="5.99"/>
    <n v="16.38"/>
    <n v="16.38"/>
    <n v="16.380000000000003"/>
    <s v="True"/>
    <s v="Normal"/>
    <s v="Credit Card"/>
    <x v="3"/>
    <s v="refunded"/>
    <s v="United States"/>
    <s v="Texas"/>
    <s v="Valid"/>
    <s v="East Jameston"/>
  </r>
  <r>
    <s v="#1400"/>
    <n v="1"/>
    <d v="2026-08-04T14:04:57"/>
    <d v="2026-08-04T14:04:57"/>
    <s v="Joel Davidson"/>
    <x v="0"/>
    <s v="joel.davidson94@icloud.com"/>
    <s v="Stainless Steel Water Bottle"/>
    <x v="17"/>
    <s v="Home &amp; Kitchen"/>
    <x v="18"/>
    <n v="1"/>
    <n v="12.99"/>
    <n v="12.99"/>
    <m/>
    <x v="0"/>
    <n v="0"/>
    <n v="0"/>
    <s v="Number"/>
    <n v="7.99"/>
    <n v="7.99"/>
    <n v="20.98"/>
    <n v="20.98"/>
    <n v="20.98"/>
    <s v="True"/>
    <s v="Normal"/>
    <s v="Credit Card"/>
    <x v="0"/>
    <s v="pending"/>
    <s v="United States"/>
    <s v="Arizona"/>
    <s v="Valid"/>
    <s v="North Elizabeth"/>
  </r>
  <r>
    <s v="#1402"/>
    <n v="1"/>
    <d v="2026-08-04T14:04:33"/>
    <d v="2026-08-04T14:04:33"/>
    <s v="William Houston"/>
    <x v="1"/>
    <m/>
    <s v="Stainless Steel Water Bottle"/>
    <x v="17"/>
    <s v="Home &amp; Kitchen"/>
    <x v="18"/>
    <n v="2"/>
    <n v="12.99"/>
    <n v="12.99"/>
    <m/>
    <x v="0"/>
    <n v="0"/>
    <n v="0"/>
    <s v="Number"/>
    <n v="4.99"/>
    <n v="4.99"/>
    <s v="$30.97"/>
    <n v="30.97"/>
    <n v="30.97"/>
    <s v="True"/>
    <s v="Normal"/>
    <s v="PayPal"/>
    <x v="2"/>
    <s v="fulfilled"/>
    <s v="United States"/>
    <s v="Illinois"/>
    <s v="Valid"/>
    <s v="Samuelport"/>
  </r>
  <r>
    <s v="#1434"/>
    <n v="1"/>
    <d v="2026-08-04T13:56:29"/>
    <d v="2026-08-04T13:56:29"/>
    <s v="Patrick Richardson"/>
    <x v="0"/>
    <s v="patrick.richardson270@icloud.com"/>
    <s v="Stainless Steel Water Bottle"/>
    <x v="17"/>
    <s v="Home &amp; Kitchen"/>
    <x v="18"/>
    <n v="1"/>
    <n v="12.99"/>
    <n v="12.99"/>
    <m/>
    <x v="0"/>
    <n v="0"/>
    <n v="0"/>
    <s v="Number"/>
    <n v="7.99"/>
    <n v="7.99"/>
    <n v="20.98"/>
    <n v="20.98"/>
    <n v="20.98"/>
    <s v="True"/>
    <s v="Normal"/>
    <s v="PayPal"/>
    <x v="0"/>
    <s v="fulfilled"/>
    <s v="United States"/>
    <s v="FL"/>
    <s v="Valid"/>
    <s v="Haleystad"/>
  </r>
  <r>
    <s v="#1491"/>
    <n v="1"/>
    <d v="2026-08-04T14:00:55"/>
    <d v="2026-08-04T14:00:55"/>
    <s v="Stacy Webb"/>
    <x v="0"/>
    <s v="stacy.webb586@yahoo.com"/>
    <s v="Stainless Steel Water Bottle"/>
    <x v="17"/>
    <s v="Home &amp; Kitchen"/>
    <x v="18"/>
    <n v="1"/>
    <n v="12.99"/>
    <n v="12.99"/>
    <s v="WELCOME10"/>
    <x v="1"/>
    <s v="$1.30"/>
    <n v="1.3"/>
    <s v="Number"/>
    <n v="7.99"/>
    <n v="7.99"/>
    <n v="19.68"/>
    <n v="19.68"/>
    <n v="19.68"/>
    <s v="True"/>
    <s v="Normal"/>
    <s v="Credit Card"/>
    <x v="2"/>
    <s v="fulfilled"/>
    <s v="United States"/>
    <s v="Florida"/>
    <s v="Valid"/>
    <s v="East Alexis"/>
  </r>
  <r>
    <s v="#1510"/>
    <n v="1"/>
    <d v="2026-08-04T14:01:47"/>
    <d v="2026-08-04T14:01:47"/>
    <s v="Bryan Smith"/>
    <x v="0"/>
    <s v="bryan.smith876@yahoo.com"/>
    <s v="Stainless Steel Water Bottle"/>
    <x v="17"/>
    <s v="Home &amp; Kitchen"/>
    <x v="18"/>
    <n v="1"/>
    <n v="12.99"/>
    <n v="12.99"/>
    <s v="BFCM25"/>
    <x v="3"/>
    <s v="$3.25"/>
    <n v="3.25"/>
    <s v="Number"/>
    <n v="4.99"/>
    <n v="4.99"/>
    <n v="14.73"/>
    <n v="14.73"/>
    <n v="14.73"/>
    <s v="True"/>
    <s v="Normal"/>
    <s v="Shopify Payments"/>
    <x v="0"/>
    <s v="fulfilled"/>
    <s v="United States"/>
    <s v="North Carolina"/>
    <s v="Valid"/>
    <s v="Davidfurt"/>
  </r>
  <r>
    <s v="#1556"/>
    <n v="1"/>
    <d v="2026-08-04T00:00:00"/>
    <s v="Aug 04, 2026"/>
    <s v="Anthony Mullen"/>
    <x v="0"/>
    <s v="anthony.mullen523@yahoo.com"/>
    <s v="Stainless Steel Water Bottle"/>
    <x v="17"/>
    <s v="Home &amp; Kitchen"/>
    <x v="18"/>
    <n v="1"/>
    <n v="12.99"/>
    <n v="12.99"/>
    <m/>
    <x v="0"/>
    <n v="0"/>
    <n v="0"/>
    <s v="Number"/>
    <n v="7.99"/>
    <n v="7.99"/>
    <n v="20.98"/>
    <n v="20.98"/>
    <n v="20.98"/>
    <s v="True"/>
    <s v="Normal"/>
    <s v="Apple Pay"/>
    <x v="1"/>
    <s v="fulfilled"/>
    <s v="United States"/>
    <s v="Arizona"/>
    <s v="Valid"/>
    <s v="New Aaronfort"/>
  </r>
  <r>
    <s v="#1597"/>
    <n v="1"/>
    <d v="2026-08-04T00:00:00"/>
    <s v="04-08-2026 13:56"/>
    <s v="Omar Sanders"/>
    <x v="0"/>
    <s v="omar.sanders208@outlook.com"/>
    <s v="Stainless Steel Water Bottle"/>
    <x v="17"/>
    <s v="Home &amp; Kitchen"/>
    <x v="18"/>
    <n v="1"/>
    <n v="12.99"/>
    <n v="12.99"/>
    <s v="FREESHIP"/>
    <x v="5"/>
    <n v="0"/>
    <n v="0"/>
    <s v="Number"/>
    <n v="0"/>
    <n v="0"/>
    <n v="12.99"/>
    <n v="12.99"/>
    <n v="12.99"/>
    <s v="True"/>
    <s v="Normal"/>
    <s v="Shopify Payments"/>
    <x v="3"/>
    <s v="fulfilled"/>
    <s v="United Kingdom"/>
    <m/>
    <s v="Not Required"/>
    <s v="East Pamela"/>
  </r>
  <r>
    <s v="#1598"/>
    <n v="1"/>
    <d v="2026-08-04T00:00:00"/>
    <s v="2026-08-04"/>
    <s v="Jennifer Burke"/>
    <x v="0"/>
    <s v="jennifer.burke472@icloud.com"/>
    <s v="Stainless Steel Water Bottle"/>
    <x v="17"/>
    <s v="Home &amp; Kitchen"/>
    <x v="18"/>
    <n v="1"/>
    <n v="12.99"/>
    <n v="12.99"/>
    <s v="WELCOME10"/>
    <x v="1"/>
    <n v="1.3"/>
    <n v="1.3"/>
    <s v="Number"/>
    <n v="5.99"/>
    <n v="5.99"/>
    <n v="17.68"/>
    <n v="17.68"/>
    <n v="17.68"/>
    <s v="True"/>
    <s v="Normal"/>
    <s v="Shopify Payments"/>
    <x v="2"/>
    <s v="fulfilled"/>
    <s v="Pakistan"/>
    <m/>
    <s v="Not Required"/>
    <s v="Banksshire"/>
  </r>
  <r>
    <s v="#1638"/>
    <n v="1"/>
    <d v="2026-04-08T00:00:00"/>
    <s v="08/04/2026"/>
    <s v="David Duke"/>
    <x v="0"/>
    <s v="david.duke814@icloud.com"/>
    <s v="Stainless Steel Water Bottle"/>
    <x v="17"/>
    <s v="Home &amp; Kitchen"/>
    <x v="18"/>
    <n v="1"/>
    <n v="12.99"/>
    <n v="12.99"/>
    <m/>
    <x v="0"/>
    <s v="$0.00"/>
    <n v="0"/>
    <s v="Number"/>
    <n v="7.99"/>
    <n v="7.99"/>
    <n v="20.98"/>
    <n v="20.98"/>
    <n v="20.98"/>
    <s v="True"/>
    <s v="Normal"/>
    <s v="Shopify Payments"/>
    <x v="3"/>
    <s v="fulfilled"/>
    <s v="United States"/>
    <s v="North Carolina"/>
    <s v="Valid"/>
    <s v="Hallmouth"/>
  </r>
  <r>
    <s v="#1738"/>
    <n v="1"/>
    <d v="2026-08-04T13:53:42"/>
    <d v="2026-08-04T13:53:42"/>
    <s v="Dustin Mccoy"/>
    <x v="0"/>
    <s v="dustin.mccoy570@gmail.com"/>
    <s v="Stainless Steel Water Bottle"/>
    <x v="17"/>
    <s v="Home &amp; Kitchen"/>
    <x v="18"/>
    <n v="1"/>
    <n v="12.99"/>
    <n v="12.99"/>
    <s v="SAVE20"/>
    <x v="2"/>
    <n v="2.6"/>
    <n v="2.6"/>
    <s v="Number"/>
    <n v="5.99"/>
    <n v="5.99"/>
    <n v="16.38"/>
    <n v="16.38"/>
    <n v="16.380000000000003"/>
    <s v="True"/>
    <s v="Normal"/>
    <s v="Credit Card"/>
    <x v="0"/>
    <s v="pending"/>
    <s v="Canada"/>
    <m/>
    <s v="Not Required"/>
    <s v="Williamhaven"/>
  </r>
  <r>
    <s v="#1786"/>
    <n v="1"/>
    <d v="2026-08-04T13:56:08"/>
    <d v="2026-08-04T13:56:08"/>
    <s v="Anthony Marshall"/>
    <x v="0"/>
    <s v="anthony.marshall823@yahoo.com"/>
    <s v="Stainless Steel Water Bottle"/>
    <x v="17"/>
    <s v="Home &amp; Kitchen"/>
    <x v="18"/>
    <n v="1"/>
    <n v="12.99"/>
    <n v="12.99"/>
    <s v="SAVE20"/>
    <x v="2"/>
    <s v="$2.60"/>
    <n v="2.6"/>
    <s v="Number"/>
    <n v="5.99"/>
    <n v="5.99"/>
    <n v="16.38"/>
    <n v="16.38"/>
    <n v="16.380000000000003"/>
    <s v="True"/>
    <s v="Normal"/>
    <s v="Credit Card"/>
    <x v="0"/>
    <s v="fulfilled"/>
    <s v="United States"/>
    <s v="Florida"/>
    <s v="Valid"/>
    <s v="North Ricardoland"/>
  </r>
  <r>
    <s v="#1796"/>
    <n v="1"/>
    <d v="2026-08-04T14:01:42"/>
    <d v="2026-08-04T14:01:42"/>
    <s v="Angela Rose"/>
    <x v="0"/>
    <s v="angela.rose740@outlook.com"/>
    <s v="Stainless Steel Water Bottle"/>
    <x v="17"/>
    <s v="Home &amp; Kitchen"/>
    <x v="18"/>
    <n v="1"/>
    <n v="12.99"/>
    <n v="12.99"/>
    <m/>
    <x v="0"/>
    <n v="0"/>
    <n v="0"/>
    <s v="Number"/>
    <n v="5.99"/>
    <n v="5.99"/>
    <n v="18.98"/>
    <n v="18.98"/>
    <n v="18.98"/>
    <s v="True"/>
    <s v="Normal"/>
    <s v="Shopify Payments"/>
    <x v="0"/>
    <s v="fulfilled"/>
    <s v="United States"/>
    <s v="New York"/>
    <s v="Valid"/>
    <s v="West Christopher"/>
  </r>
  <r>
    <s v="#1813"/>
    <n v="1"/>
    <d v="2026-08-04T14:05:40"/>
    <d v="2026-08-04T14:05:40"/>
    <s v="John Carson"/>
    <x v="0"/>
    <s v="john.carson203@yahoo.com"/>
    <s v="Stainless Steel Water Bottle"/>
    <x v="17"/>
    <s v="Home &amp; Kitchen"/>
    <x v="18"/>
    <n v="1"/>
    <n v="12.99"/>
    <n v="12.99"/>
    <m/>
    <x v="0"/>
    <n v="0"/>
    <n v="0"/>
    <s v="Number"/>
    <n v="5.99"/>
    <n v="5.99"/>
    <n v="18.98"/>
    <n v="18.98"/>
    <n v="18.98"/>
    <s v="True"/>
    <s v="Normal"/>
    <s v="Shopify Payments"/>
    <x v="1"/>
    <s v="pending"/>
    <s v="United States"/>
    <s v="Arizona"/>
    <s v="Valid"/>
    <s v="West Kevinview"/>
  </r>
  <r>
    <s v="#1829"/>
    <n v="1"/>
    <d v="2026-08-04T14:00:33"/>
    <d v="2026-08-04T14:00:33"/>
    <s v="Brian Ruiz"/>
    <x v="0"/>
    <s v="brian.ruiz246@gmail.com"/>
    <s v="Stainless Steel Water Bottle"/>
    <x v="17"/>
    <s v="Home &amp; Kitchen"/>
    <x v="18"/>
    <n v="1"/>
    <n v="12.99"/>
    <n v="12.99"/>
    <s v="WELCOME10"/>
    <x v="1"/>
    <n v="1.3"/>
    <n v="1.3"/>
    <s v="Number"/>
    <n v="7.99"/>
    <n v="7.99"/>
    <n v="19.68"/>
    <n v="19.68"/>
    <n v="19.68"/>
    <s v="True"/>
    <s v="Normal"/>
    <s v="Shopify Payments"/>
    <x v="0"/>
    <s v="fulfilled"/>
    <s v="Germany"/>
    <m/>
    <s v="Not Required"/>
    <s v="Alvarezstad"/>
  </r>
  <r>
    <s v="#1837"/>
    <n v="1"/>
    <d v="2026-08-04T14:00:26"/>
    <d v="2026-08-04T14:00:26"/>
    <s v="Charles Franco"/>
    <x v="0"/>
    <s v="charles.franco761@outlook.com"/>
    <s v="Stainless Steel Water Bottle"/>
    <x v="17"/>
    <s v="Home &amp; Kitchen"/>
    <x v="18"/>
    <n v="1"/>
    <n v="12.99"/>
    <n v="12.99"/>
    <m/>
    <x v="0"/>
    <n v="0"/>
    <n v="0"/>
    <s v="Number"/>
    <n v="7.99"/>
    <n v="7.99"/>
    <n v="20.98"/>
    <n v="20.98"/>
    <n v="20.98"/>
    <s v="True"/>
    <s v="Normal"/>
    <s v="Credit Card"/>
    <x v="0"/>
    <s v="pending"/>
    <s v="United States"/>
    <s v="Florida"/>
    <s v="Valid"/>
    <s v="Kristytown"/>
  </r>
  <r>
    <s v="#1849"/>
    <n v="1"/>
    <d v="2026-08-04T00:00:00"/>
    <s v="2026-08-04"/>
    <s v="Stacey Johnson"/>
    <x v="1"/>
    <m/>
    <s v="Stainless Steel Water Bottle"/>
    <x v="17"/>
    <s v="Home &amp; Kitchen"/>
    <x v="18"/>
    <n v="1"/>
    <n v="12.99"/>
    <n v="12.99"/>
    <s v="FREESHIP"/>
    <x v="5"/>
    <n v="0"/>
    <n v="0"/>
    <s v="Number"/>
    <n v="0"/>
    <n v="0"/>
    <n v="12.99"/>
    <n v="12.99"/>
    <n v="12.99"/>
    <s v="True"/>
    <s v="Normal"/>
    <s v="Credit Card"/>
    <x v="0"/>
    <s v="refunded"/>
    <s v="United States"/>
    <s v="New York"/>
    <s v="Valid"/>
    <s v="Gravesshire"/>
  </r>
  <r>
    <s v="#1850"/>
    <n v="1"/>
    <d v="2026-08-04T13:56:44"/>
    <d v="2026-08-04T13:56:44"/>
    <s v="Ronald Davis"/>
    <x v="0"/>
    <s v="ronald.davis995@yahoo.com"/>
    <s v="Stainless Steel Water Bottle"/>
    <x v="17"/>
    <s v="Home &amp; Kitchen"/>
    <x v="18"/>
    <n v="1"/>
    <s v="$12.99"/>
    <n v="12.99"/>
    <m/>
    <x v="0"/>
    <n v="0"/>
    <n v="0"/>
    <s v="Number"/>
    <n v="7.99"/>
    <n v="7.99"/>
    <n v="20.98"/>
    <n v="20.98"/>
    <n v="20.98"/>
    <s v="True"/>
    <s v="Normal"/>
    <s v="Google Pay"/>
    <x v="2"/>
    <s v="pending"/>
    <s v="Pakistan"/>
    <m/>
    <s v="Not Required"/>
    <s v="Lake Johnbury"/>
  </r>
  <r>
    <s v="#1861"/>
    <n v="1"/>
    <d v="2026-08-04T13:59:03"/>
    <d v="2026-08-04T13:59:03"/>
    <s v="Gerald Li"/>
    <x v="0"/>
    <s v="gerald.li856@icloud.com"/>
    <s v="Stainless Steel Water Bottle"/>
    <x v="17"/>
    <s v="Home &amp; Kitchen"/>
    <x v="18"/>
    <n v="1"/>
    <n v="12.99"/>
    <n v="12.99"/>
    <m/>
    <x v="0"/>
    <s v="$0.00"/>
    <n v="0"/>
    <s v="Number"/>
    <n v="5.99"/>
    <n v="5.99"/>
    <n v="18.98"/>
    <n v="18.98"/>
    <n v="18.98"/>
    <s v="True"/>
    <s v="Normal"/>
    <s v="Credit Card"/>
    <x v="0"/>
    <s v="fulfilled"/>
    <s v="United States"/>
    <s v="Ohio"/>
    <s v="Valid"/>
    <s v="Blackwellland"/>
  </r>
  <r>
    <s v="#1926"/>
    <n v="1"/>
    <d v="2026-08-04T14:08:09"/>
    <d v="2026-08-04T14:08:09"/>
    <s v="Christopher Martin"/>
    <x v="0"/>
    <s v="christopher.martin10@gmail.com"/>
    <s v="Stainless Steel Water Bottle"/>
    <x v="17"/>
    <s v="Home &amp; Kitchen"/>
    <x v="18"/>
    <n v="1"/>
    <n v="12.99"/>
    <n v="12.99"/>
    <m/>
    <x v="0"/>
    <n v="0"/>
    <n v="0"/>
    <s v="Number"/>
    <n v="7.99"/>
    <n v="7.99"/>
    <n v="20.98"/>
    <n v="20.98"/>
    <n v="20.98"/>
    <s v="True"/>
    <s v="Normal"/>
    <s v="Apple Pay"/>
    <x v="0"/>
    <s v="pending"/>
    <s v="United States"/>
    <s v="Ohio"/>
    <s v="Valid"/>
    <s v="New John"/>
  </r>
  <r>
    <s v="#1953"/>
    <n v="1"/>
    <d v="2026-08-04T13:53:56"/>
    <d v="2026-08-04T13:53:56"/>
    <s v="Susan Stark"/>
    <x v="0"/>
    <s v="susan.stark500@yahoo.com"/>
    <s v="Stainless Steel Water Bottle"/>
    <x v="17"/>
    <s v="Home &amp; Kitchen"/>
    <x v="18"/>
    <n v="1"/>
    <n v="12.99"/>
    <n v="12.99"/>
    <s v="FREESHIP"/>
    <x v="5"/>
    <n v="0"/>
    <n v="0"/>
    <s v="Number"/>
    <n v="0"/>
    <n v="0"/>
    <n v="12.99"/>
    <n v="12.99"/>
    <n v="12.99"/>
    <s v="True"/>
    <s v="Normal"/>
    <s v="Shopify Payments"/>
    <x v="0"/>
    <s v="fulfilled"/>
    <s v="Australia"/>
    <m/>
    <s v="Not Required"/>
    <s v="North Danfort"/>
  </r>
  <r>
    <s v="#1994"/>
    <n v="1"/>
    <d v="2026-08-04T14:02:01"/>
    <d v="2026-08-04T14:02:01"/>
    <s v="Jackson, Tara"/>
    <x v="0"/>
    <s v="tara.jackson708@outlook.com"/>
    <s v="Stainless Steel Water Bottle"/>
    <x v="17"/>
    <s v="Home &amp; Kitchen"/>
    <x v="18"/>
    <n v="2"/>
    <n v="12.99"/>
    <n v="12.99"/>
    <m/>
    <x v="0"/>
    <n v="0"/>
    <n v="0"/>
    <s v="Number"/>
    <n v="5.99"/>
    <n v="5.99"/>
    <n v="31.97"/>
    <n v="31.97"/>
    <n v="31.97"/>
    <s v="True"/>
    <s v="Normal"/>
    <s v="Credit Card"/>
    <x v="0"/>
    <s v="refunded"/>
    <s v="Canada"/>
    <m/>
    <s v="Not Required"/>
    <s v="New John"/>
  </r>
  <r>
    <s v="#2035"/>
    <n v="1"/>
    <d v="2026-08-04T14:04:56"/>
    <d v="2026-08-04T14:04:56"/>
    <s v="Justin Mcguire"/>
    <x v="0"/>
    <s v="justin.mcguire224@icloud.com"/>
    <s v="Stainless Steel Water Bottle"/>
    <x v="17"/>
    <s v="Home &amp; Kitchen"/>
    <x v="18"/>
    <n v="1"/>
    <n v="12.99"/>
    <n v="12.99"/>
    <m/>
    <x v="0"/>
    <n v="0"/>
    <n v="0"/>
    <s v="Number"/>
    <n v="5.99"/>
    <n v="5.99"/>
    <n v="18.98"/>
    <n v="18.98"/>
    <n v="18.98"/>
    <s v="True"/>
    <s v="Normal"/>
    <s v="Credit Card"/>
    <x v="2"/>
    <s v="fulfilled"/>
    <s v="United States"/>
    <s v="California"/>
    <s v="Valid"/>
    <s v="South William"/>
  </r>
  <r>
    <s v="#2036"/>
    <n v="1"/>
    <d v="2026-08-04T13:57:36"/>
    <d v="2026-08-04T13:57:36"/>
    <s v="James Castro"/>
    <x v="0"/>
    <s v="james.castro923@icloud.com"/>
    <s v="Stainless Steel Water Bottle"/>
    <x v="17"/>
    <s v="Home &amp; Kitchen"/>
    <x v="18"/>
    <n v="1"/>
    <n v="12.99"/>
    <n v="12.99"/>
    <s v="SAVE20"/>
    <x v="2"/>
    <n v="2.6"/>
    <n v="2.6"/>
    <s v="Number"/>
    <n v="4.99"/>
    <n v="4.99"/>
    <s v="$15.38"/>
    <n v="15.38"/>
    <n v="15.38"/>
    <s v="True"/>
    <s v="Normal"/>
    <s v="Shopify Payments"/>
    <x v="2"/>
    <s v="pending"/>
    <s v="Pakistan"/>
    <m/>
    <s v="Not Required"/>
    <s v="Garrisonville"/>
  </r>
  <r>
    <s v="#2040"/>
    <n v="1"/>
    <d v="2026-08-04T13:54:02"/>
    <d v="2026-08-04T13:54:02"/>
    <s v="Sean Frank"/>
    <x v="0"/>
    <s v="sean.frank587@icloud.com"/>
    <s v="Stainless Steel Water Bottle"/>
    <x v="17"/>
    <s v="Home &amp; Kitchen"/>
    <x v="18"/>
    <n v="1"/>
    <n v="12.99"/>
    <n v="12.99"/>
    <s v="VIP15"/>
    <x v="4"/>
    <n v="1.95"/>
    <n v="1.95"/>
    <s v="Number"/>
    <n v="7.99"/>
    <n v="7.99"/>
    <n v="19.03"/>
    <n v="19.03"/>
    <n v="19.03"/>
    <s v="True"/>
    <s v="Normal"/>
    <s v="PayPal"/>
    <x v="3"/>
    <s v="fulfilled"/>
    <s v="Australia"/>
    <m/>
    <s v="Not Required"/>
    <s v="Thompsonburgh"/>
  </r>
  <r>
    <s v="#2057"/>
    <n v="1"/>
    <d v="2026-08-04T13:54:41"/>
    <d v="2026-08-04T13:54:41"/>
    <s v="Monica Hicks"/>
    <x v="0"/>
    <s v="monica.hicks473@yahoo.com"/>
    <s v="Stainless Steel Water Bottle"/>
    <x v="17"/>
    <s v="Home &amp; Kitchen"/>
    <x v="18"/>
    <n v="4"/>
    <n v="12.99"/>
    <n v="12.99"/>
    <m/>
    <x v="0"/>
    <s v="$0.00"/>
    <n v="0"/>
    <s v="Number"/>
    <n v="5.99"/>
    <n v="5.99"/>
    <s v="$57.95"/>
    <n v="57.95"/>
    <n v="57.95"/>
    <s v="True"/>
    <s v="Normal"/>
    <s v="Apple Pay"/>
    <x v="0"/>
    <s v="fulfilled"/>
    <s v="United States"/>
    <s v="California"/>
    <s v="Valid"/>
    <s v="North Jamiefort"/>
  </r>
  <r>
    <s v="#2090"/>
    <n v="1"/>
    <d v="2026-08-04T14:04:32"/>
    <d v="2026-08-04T14:04:32"/>
    <s v="Jeffrey Myers"/>
    <x v="0"/>
    <s v="jeffrey.myers692@icloud.com"/>
    <s v="Stainless Steel Water Bottle  "/>
    <x v="17"/>
    <s v="Home &amp; Kitchen"/>
    <x v="18"/>
    <n v="1"/>
    <n v="12.99"/>
    <n v="12.99"/>
    <m/>
    <x v="0"/>
    <n v="0"/>
    <n v="0"/>
    <s v="Number"/>
    <n v="5.99"/>
    <n v="5.99"/>
    <n v="18.98"/>
    <n v="18.98"/>
    <n v="18.98"/>
    <s v="True"/>
    <s v="Normal"/>
    <s v="PayPal"/>
    <x v="1"/>
    <s v="refunded"/>
    <s v="Pakistan"/>
    <m/>
    <s v="Not Required"/>
    <s v="Ericksonshire"/>
  </r>
  <r>
    <s v="#2122"/>
    <n v="1"/>
    <d v="2026-08-04T13:59:45"/>
    <d v="2026-08-04T13:59:45"/>
    <s v="Kayla Cruz"/>
    <x v="0"/>
    <s v="kayla.cruz151@outlook.com"/>
    <s v="Stainless Steel Water Bottle"/>
    <x v="17"/>
    <s v="Home &amp; Kitchen"/>
    <x v="18"/>
    <n v="1"/>
    <n v="12.99"/>
    <n v="12.99"/>
    <m/>
    <x v="0"/>
    <n v="0"/>
    <n v="0"/>
    <s v="Number"/>
    <n v="4.99"/>
    <n v="4.99"/>
    <n v="17.98"/>
    <n v="17.98"/>
    <n v="17.98"/>
    <s v="True"/>
    <s v="Normal"/>
    <s v="Apple Pay"/>
    <x v="1"/>
    <s v="cancelled"/>
    <s v="Pakistan"/>
    <m/>
    <s v="Not Required"/>
    <s v="Courtneystad"/>
  </r>
  <r>
    <s v="#2132"/>
    <n v="1"/>
    <d v="2026-08-04T00:00:00"/>
    <s v="04-08-2026 14:03"/>
    <s v="Albert Salazar"/>
    <x v="0"/>
    <s v="albert.salazar398@outlook.com"/>
    <s v="Stainless Steel Water Bottle"/>
    <x v="17"/>
    <s v="Home &amp; Kitchen"/>
    <x v="18"/>
    <n v="1"/>
    <n v="12.99"/>
    <n v="12.99"/>
    <s v="WELCOME10"/>
    <x v="1"/>
    <n v="1.3"/>
    <n v="1.3"/>
    <s v="Number"/>
    <n v="7.99"/>
    <n v="7.99"/>
    <n v="19.68"/>
    <n v="19.68"/>
    <n v="19.68"/>
    <s v="True"/>
    <s v="Normal"/>
    <s v="Shopify Payments"/>
    <x v="1"/>
    <s v="fulfilled"/>
    <s v="United States"/>
    <s v="NY"/>
    <s v="Valid"/>
    <s v="New Troy"/>
  </r>
  <r>
    <s v="#2137"/>
    <n v="1"/>
    <d v="2026-08-04T14:07:33"/>
    <d v="2026-08-04T14:07:33"/>
    <s v="Nicole Taylor"/>
    <x v="0"/>
    <s v="nicole.taylor607@icloud.com"/>
    <s v="Stainless Steel Water Bottle"/>
    <x v="17"/>
    <s v="Home &amp; Kitchen"/>
    <x v="18"/>
    <n v="1"/>
    <n v="12.99"/>
    <n v="12.99"/>
    <s v="BFCM25"/>
    <x v="3"/>
    <n v="3.25"/>
    <n v="3.25"/>
    <s v="Number"/>
    <n v="7.99"/>
    <n v="7.99"/>
    <n v="17.73"/>
    <n v="17.73"/>
    <n v="17.73"/>
    <s v="True"/>
    <s v="Normal"/>
    <s v="PayPal"/>
    <x v="3"/>
    <s v="fulfilled"/>
    <s v="United States"/>
    <s v="California"/>
    <s v="Valid"/>
    <s v="Hornstad"/>
  </r>
  <r>
    <s v="#2138"/>
    <n v="1"/>
    <d v="2026-08-04T13:57:20"/>
    <d v="2026-08-04T13:57:20"/>
    <s v="Tina Singh"/>
    <x v="0"/>
    <s v="tina.singh98@icloud.com"/>
    <s v="Stainless Steel Water Bottle"/>
    <x v="17"/>
    <s v="Home &amp; Kitchen"/>
    <x v="18"/>
    <n v="1"/>
    <n v="12.99"/>
    <n v="12.99"/>
    <m/>
    <x v="0"/>
    <n v="0"/>
    <n v="0"/>
    <s v="Number"/>
    <n v="5.99"/>
    <n v="5.99"/>
    <n v="18.98"/>
    <n v="18.98"/>
    <n v="18.98"/>
    <s v="True"/>
    <s v="Normal"/>
    <s v="Credit Card"/>
    <x v="0"/>
    <s v="pending"/>
    <s v="United States"/>
    <s v="Georgia"/>
    <s v="Valid"/>
    <s v="West Lucastown"/>
  </r>
  <r>
    <s v="#2146"/>
    <n v="1"/>
    <d v="2026-08-04T13:56:17"/>
    <d v="2026-08-04T13:56:17"/>
    <s v="Nancy Nichols"/>
    <x v="0"/>
    <s v="nancy.nichols189@yahoo.com"/>
    <s v="Stainless Steel Water Bottle"/>
    <x v="17"/>
    <s v="Home &amp; Kitchen"/>
    <x v="18"/>
    <n v="2"/>
    <n v="12.99"/>
    <n v="12.99"/>
    <m/>
    <x v="0"/>
    <n v="0"/>
    <n v="0"/>
    <s v="Number"/>
    <n v="5.99"/>
    <n v="5.99"/>
    <n v="31.97"/>
    <n v="31.97"/>
    <n v="31.97"/>
    <s v="True"/>
    <s v="Normal"/>
    <s v="PayPal"/>
    <x v="3"/>
    <s v="pending"/>
    <s v="United States"/>
    <s v="Illinois"/>
    <s v="Valid"/>
    <s v="Port Sarah"/>
  </r>
  <r>
    <s v="#2195"/>
    <n v="1"/>
    <d v="2026-08-04T14:05:04"/>
    <d v="2026-08-04T14:05:04"/>
    <s v="Randall Rhodes"/>
    <x v="0"/>
    <s v="randall.rhodes730@outlook.com"/>
    <s v="Stainless Steel Water Bottle"/>
    <x v="17"/>
    <s v="Home &amp; Kitchen"/>
    <x v="18"/>
    <n v="1"/>
    <n v="12.99"/>
    <n v="12.99"/>
    <m/>
    <x v="0"/>
    <n v="0"/>
    <n v="0"/>
    <s v="Number"/>
    <n v="5.99"/>
    <n v="5.99"/>
    <n v="18.98"/>
    <n v="18.98"/>
    <n v="18.98"/>
    <s v="True"/>
    <s v="Normal"/>
    <s v="Apple Pay"/>
    <x v="0"/>
    <s v="fulfilled"/>
    <s v="United Kingdom"/>
    <m/>
    <s v="Not Required"/>
    <s v="Port Emilyfort"/>
  </r>
  <r>
    <s v="#2197"/>
    <n v="1"/>
    <d v="2026-08-04T14:00:06"/>
    <d v="2026-08-04T14:00:06"/>
    <s v="Barbara Brown"/>
    <x v="0"/>
    <s v="barbara.brown26@gmail.com"/>
    <s v="Stainless Steel Water Bottle"/>
    <x v="17"/>
    <s v="Home &amp; Kitchen"/>
    <x v="18"/>
    <n v="1"/>
    <n v="12.99"/>
    <n v="12.99"/>
    <m/>
    <x v="0"/>
    <n v="0"/>
    <n v="0"/>
    <s v="Number"/>
    <n v="4.99"/>
    <n v="4.99"/>
    <n v="17.98"/>
    <n v="17.98"/>
    <n v="17.98"/>
    <s v="True"/>
    <s v="Normal"/>
    <s v="Credit Card"/>
    <x v="2"/>
    <s v="pending"/>
    <s v="United States"/>
    <s v="California"/>
    <s v="Valid"/>
    <s v="East Patrick"/>
  </r>
  <r>
    <s v="#2203"/>
    <n v="1"/>
    <d v="2026-08-04T13:59:52"/>
    <d v="2026-08-04T13:59:52"/>
    <s v="Jessica Garcia"/>
    <x v="0"/>
    <s v="jessica.garcia931@gmail.com"/>
    <s v="Stainless Steel Water Bottle"/>
    <x v="17"/>
    <s v="Home &amp; Kitchen"/>
    <x v="18"/>
    <n v="2"/>
    <n v="12.99"/>
    <n v="12.99"/>
    <m/>
    <x v="0"/>
    <s v="$0.00"/>
    <n v="0"/>
    <s v="Number"/>
    <n v="7.99"/>
    <n v="7.99"/>
    <s v="$33.97"/>
    <n v="33.97"/>
    <n v="33.97"/>
    <s v="True"/>
    <s v="Normal"/>
    <s v="PayPal"/>
    <x v="0"/>
    <s v="cancelled"/>
    <s v="United States"/>
    <s v="California"/>
    <s v="Valid"/>
    <s v="Lake Jillianfurt"/>
  </r>
  <r>
    <s v="#2206"/>
    <n v="1"/>
    <d v="2026-08-04T13:55:17"/>
    <d v="2026-08-04T13:55:17"/>
    <s v="Patrick Richardson"/>
    <x v="0"/>
    <s v="patrick.richardson270@icloud.com"/>
    <s v="Stainless Steel Water Bottle"/>
    <x v="17"/>
    <s v="Home &amp; Kitchen"/>
    <x v="18"/>
    <n v="2"/>
    <n v="12.99"/>
    <n v="12.99"/>
    <m/>
    <x v="0"/>
    <n v="0"/>
    <n v="0"/>
    <s v="Number"/>
    <n v="7.99"/>
    <n v="7.99"/>
    <n v="33.97"/>
    <n v="33.97"/>
    <n v="33.97"/>
    <s v="True"/>
    <s v="Normal"/>
    <s v="Credit Card"/>
    <x v="0"/>
    <s v="fulfilled"/>
    <s v="United States"/>
    <s v="Georgia"/>
    <s v="Valid"/>
    <s v="Fernandezbury"/>
  </r>
  <r>
    <s v="#2245"/>
    <n v="1"/>
    <d v="2026-04-08T00:00:00"/>
    <s v="08/04/2026"/>
    <s v="Erika Maxwell"/>
    <x v="0"/>
    <s v="erika.maxwell281@gmail.com"/>
    <s v="Stainless Steel Water Bottle"/>
    <x v="17"/>
    <s v="Home &amp; Kitchen"/>
    <x v="18"/>
    <n v="1"/>
    <n v="12.99"/>
    <n v="12.99"/>
    <m/>
    <x v="0"/>
    <s v="$0.00"/>
    <n v="0"/>
    <s v="Number"/>
    <n v="7.99"/>
    <n v="7.99"/>
    <n v="20.98"/>
    <n v="20.98"/>
    <n v="20.98"/>
    <s v="True"/>
    <s v="Normal"/>
    <s v="Credit Card"/>
    <x v="2"/>
    <s v="fulfilled"/>
    <s v="United States"/>
    <s v="Ohio"/>
    <s v="Valid"/>
    <s v="North Pamela"/>
  </r>
  <r>
    <s v="#2266"/>
    <n v="1"/>
    <d v="2026-04-08T00:00:00"/>
    <s v="08/04/2026"/>
    <s v="Tracy Kennedy"/>
    <x v="1"/>
    <m/>
    <s v="Stainless Steel Water Bottle"/>
    <x v="17"/>
    <s v="Home &amp; Kitchen"/>
    <x v="18"/>
    <n v="1"/>
    <n v="12.99"/>
    <n v="12.99"/>
    <s v="SAVE20"/>
    <x v="2"/>
    <n v="2.6"/>
    <n v="2.6"/>
    <s v="Number"/>
    <n v="7.99"/>
    <n v="7.99"/>
    <n v="18.38"/>
    <n v="18.38"/>
    <n v="18.380000000000003"/>
    <s v="True"/>
    <s v="Normal"/>
    <s v="Credit Card"/>
    <x v="0"/>
    <s v="cancelled"/>
    <s v="Pakistan"/>
    <m/>
    <s v="Not Required"/>
    <s v="New Richardhaven"/>
  </r>
  <r>
    <s v="#2274"/>
    <n v="1"/>
    <d v="2026-08-04T13:56:16"/>
    <d v="2026-08-04T13:56:16"/>
    <s v="Mark Mata"/>
    <x v="0"/>
    <s v="mark.mata757@outlook.com"/>
    <s v="STAINLESS STEEL WATER BOTTLE"/>
    <x v="17"/>
    <s v="Home &amp; Kitchen"/>
    <x v="18"/>
    <n v="1"/>
    <s v="$12.99"/>
    <n v="12.99"/>
    <m/>
    <x v="0"/>
    <n v="0"/>
    <n v="0"/>
    <s v="Number"/>
    <n v="4.99"/>
    <n v="4.99"/>
    <n v="899"/>
    <n v="899"/>
    <n v="17.98"/>
    <s v="False"/>
    <s v="Normal"/>
    <s v="Google Pay"/>
    <x v="0"/>
    <s v="refunded"/>
    <s v="United States"/>
    <s v="Florida"/>
    <s v="Valid"/>
    <s v="Taylortown"/>
  </r>
  <r>
    <s v="#2283"/>
    <n v="1"/>
    <d v="2026-08-04T13:59:24"/>
    <d v="2026-08-04T13:59:24"/>
    <s v="Tracy Adams"/>
    <x v="0"/>
    <s v="tracy.adams712@icloud.com"/>
    <s v="Stainless Steel Water Bottle"/>
    <x v="17"/>
    <s v="Home &amp; Kitchen"/>
    <x v="18"/>
    <n v="4"/>
    <n v="12.99"/>
    <n v="12.99"/>
    <m/>
    <x v="0"/>
    <n v="0"/>
    <n v="0"/>
    <s v="Number"/>
    <n v="7.99"/>
    <n v="7.99"/>
    <s v="$59.95"/>
    <n v="59.95"/>
    <n v="59.95"/>
    <s v="True"/>
    <s v="Normal"/>
    <s v="PayPal"/>
    <x v="0"/>
    <s v="fulfilled"/>
    <s v="United States"/>
    <s v="California"/>
    <s v="Valid"/>
    <s v="New Ann"/>
  </r>
  <r>
    <s v="#2357"/>
    <n v="1"/>
    <d v="2026-08-04T14:06:28"/>
    <d v="2026-08-04T14:06:28"/>
    <s v="William Houston"/>
    <x v="0"/>
    <s v="william.houston340@outlook.com"/>
    <s v="Stainless Steel Water Bottle"/>
    <x v="17"/>
    <s v="Home &amp; Kitchen"/>
    <x v="18"/>
    <n v="1"/>
    <n v="12.99"/>
    <n v="12.99"/>
    <s v="FREESHIP"/>
    <x v="5"/>
    <n v="0"/>
    <n v="0"/>
    <s v="Number"/>
    <n v="0"/>
    <n v="0"/>
    <n v="12.99"/>
    <n v="12.99"/>
    <n v="12.99"/>
    <s v="True"/>
    <s v="Normal"/>
    <s v="PayPal"/>
    <x v="2"/>
    <s v="fulfilled"/>
    <s v="United States"/>
    <s v="Arizona"/>
    <s v="Valid"/>
    <s v="Frederickbury"/>
  </r>
  <r>
    <s v="#2367"/>
    <n v="1"/>
    <d v="2026-08-04T00:00:00"/>
    <s v="2026-08-04"/>
    <s v="CATHERINE VANG"/>
    <x v="0"/>
    <s v="catherine.vang600@yahoo.com"/>
    <s v="Stainless Steel Water Bottle"/>
    <x v="17"/>
    <s v="Home &amp; Kitchen"/>
    <x v="18"/>
    <n v="1"/>
    <n v="12.99"/>
    <n v="12.99"/>
    <m/>
    <x v="0"/>
    <n v="0"/>
    <n v="0"/>
    <s v="Number"/>
    <n v="4.99"/>
    <n v="4.99"/>
    <n v="17.98"/>
    <n v="17.98"/>
    <n v="17.98"/>
    <s v="True"/>
    <s v="Normal"/>
    <s v="PayPal"/>
    <x v="2"/>
    <s v="pending"/>
    <s v="Australia"/>
    <m/>
    <s v="Not Required"/>
    <s v="Brittneychester"/>
  </r>
  <r>
    <s v="#2396"/>
    <n v="1"/>
    <d v="2026-08-04T14:05:47"/>
    <d v="2026-08-04T14:05:47"/>
    <s v="Morgan Brown"/>
    <x v="0"/>
    <s v="morgan.brown933@gmail.com"/>
    <s v="Stainless Steel Water Bottle"/>
    <x v="17"/>
    <s v="Home &amp; Kitchen"/>
    <x v="18"/>
    <n v="3"/>
    <s v="$12.99"/>
    <n v="12.99"/>
    <m/>
    <x v="0"/>
    <n v="0"/>
    <n v="0"/>
    <s v="Number"/>
    <n v="4.99"/>
    <n v="4.99"/>
    <n v="43.96"/>
    <n v="43.96"/>
    <n v="43.96"/>
    <s v="True"/>
    <s v="Normal"/>
    <s v="PayPal"/>
    <x v="0"/>
    <s v="fulfilled"/>
    <s v="United States"/>
    <s v="North Carolina"/>
    <s v="Valid"/>
    <s v="Lake Meganland"/>
  </r>
  <r>
    <s v="#2513"/>
    <n v="1"/>
    <d v="2026-08-04T13:58:17"/>
    <d v="2026-08-04T13:58:17"/>
    <s v="Eric Santiago"/>
    <x v="0"/>
    <s v="eric.santiago110@icloud.com"/>
    <s v="Stainless Steel Water Bottle"/>
    <x v="17"/>
    <s v="Home &amp; Kitchen"/>
    <x v="18"/>
    <n v="1"/>
    <n v="12.99"/>
    <n v="12.99"/>
    <m/>
    <x v="0"/>
    <n v="0"/>
    <n v="0"/>
    <s v="Number"/>
    <n v="7.99"/>
    <n v="7.99"/>
    <n v="20.98"/>
    <n v="20.98"/>
    <n v="20.98"/>
    <s v="True"/>
    <s v="Normal"/>
    <s v="Apple Pay"/>
    <x v="0"/>
    <s v="fulfilled"/>
    <s v="United States"/>
    <s v="North Carolina"/>
    <s v="Valid"/>
    <s v="West Devon"/>
  </r>
  <r>
    <s v="#2536"/>
    <n v="1"/>
    <d v="2026-08-04T14:03:20"/>
    <d v="2026-08-04T14:03:20"/>
    <s v="Nicholas Parker"/>
    <x v="0"/>
    <s v="nicholas.parker656@yahoo.com"/>
    <s v="Stainless Steel Water Bottle"/>
    <x v="17"/>
    <s v="Home &amp; Kitchen"/>
    <x v="18"/>
    <n v="1"/>
    <s v="$12.99"/>
    <n v="12.99"/>
    <m/>
    <x v="0"/>
    <n v="0"/>
    <n v="0"/>
    <s v="Number"/>
    <n v="4.99"/>
    <n v="4.99"/>
    <n v="17.98"/>
    <n v="17.98"/>
    <n v="17.98"/>
    <s v="True"/>
    <s v="Normal"/>
    <s v="PayPal"/>
    <x v="0"/>
    <s v="refunded"/>
    <s v="United States"/>
    <s v="North Carolina"/>
    <s v="Valid"/>
    <s v="Lauraburgh"/>
  </r>
  <r>
    <s v="#2568"/>
    <n v="1"/>
    <d v="2026-08-04T14:01:05"/>
    <d v="2026-08-04T14:01:05"/>
    <s v="James Castro"/>
    <x v="0"/>
    <s v="james.castro923@icloud.com"/>
    <s v="Stainless Steel Water Bottle"/>
    <x v="17"/>
    <s v="Home &amp; Kitchen"/>
    <x v="18"/>
    <n v="1"/>
    <s v="$12.99"/>
    <n v="12.99"/>
    <m/>
    <x v="0"/>
    <n v="0"/>
    <n v="0"/>
    <s v="Number"/>
    <n v="7.99"/>
    <n v="7.99"/>
    <n v="20.98"/>
    <n v="20.98"/>
    <n v="20.98"/>
    <s v="True"/>
    <s v="Normal"/>
    <s v="Google Pay"/>
    <x v="0"/>
    <s v="fulfilled"/>
    <s v="Pakistan"/>
    <m/>
    <s v="Not Required"/>
    <s v="East Deborah"/>
  </r>
  <r>
    <s v="#2574"/>
    <n v="1"/>
    <d v="2026-08-04T14:01:24"/>
    <d v="2026-08-04T14:01:24"/>
    <s v="Chad Smith"/>
    <x v="0"/>
    <s v="chad.smith773@icloud.com"/>
    <s v="Stainless Steel Water Bottle"/>
    <x v="17"/>
    <s v="Home &amp; Kitchen"/>
    <x v="18"/>
    <n v="1"/>
    <n v="12.99"/>
    <n v="12.99"/>
    <s v="BFCM25"/>
    <x v="3"/>
    <n v="3.25"/>
    <n v="3.25"/>
    <s v="Number"/>
    <n v="5.99"/>
    <n v="5.99"/>
    <n v="15.73"/>
    <n v="15.73"/>
    <n v="15.73"/>
    <s v="True"/>
    <s v="Normal"/>
    <s v="Shopify Payments"/>
    <x v="1"/>
    <s v="refunded"/>
    <s v="Pakistan"/>
    <m/>
    <s v="Not Required"/>
    <s v="Teresaberg"/>
  </r>
  <r>
    <s v="#2631"/>
    <n v="1"/>
    <d v="2026-08-04T00:00:00"/>
    <s v="04-08-2026 13:58"/>
    <s v="Jennifer Burke"/>
    <x v="0"/>
    <s v="jennifer.burke472@icloud.com"/>
    <s v="Stainless Steel Water Bottle"/>
    <x v="17"/>
    <s v="Home &amp; Kitchen"/>
    <x v="18"/>
    <n v="1"/>
    <n v="12.99"/>
    <n v="12.99"/>
    <s v="WELCOME10"/>
    <x v="1"/>
    <n v="1.3"/>
    <n v="1.3"/>
    <s v="Number"/>
    <n v="5.99"/>
    <n v="5.99"/>
    <n v="17.68"/>
    <n v="17.68"/>
    <n v="17.68"/>
    <s v="True"/>
    <s v="Normal"/>
    <s v="Google Pay"/>
    <x v="0"/>
    <s v="cancelled"/>
    <s v="Pakistan"/>
    <m/>
    <s v="Not Required"/>
    <s v="Heathtown"/>
  </r>
  <r>
    <s v="#2659"/>
    <n v="1"/>
    <d v="2026-08-04T13:55:01"/>
    <d v="2026-08-04T13:55:01"/>
    <s v="Nicole Taylor"/>
    <x v="0"/>
    <s v="nicole.taylor607@icloud.com"/>
    <s v="Stainless Steel Water Bottle"/>
    <x v="17"/>
    <s v="Home &amp; Kitchen"/>
    <x v="18"/>
    <n v="1"/>
    <n v="12.99"/>
    <n v="12.99"/>
    <s v="WELCOME10"/>
    <x v="1"/>
    <n v="1.3"/>
    <n v="1.3"/>
    <s v="Number"/>
    <n v="5.99"/>
    <n v="5.99"/>
    <n v="17.68"/>
    <n v="17.68"/>
    <n v="17.68"/>
    <s v="True"/>
    <s v="Normal"/>
    <s v="PayPal"/>
    <x v="0"/>
    <s v="fulfilled"/>
    <s v="United States"/>
    <s v="Illinois"/>
    <s v="Valid"/>
    <s v="Matthewchester"/>
  </r>
  <r>
    <s v="#2698"/>
    <n v="1"/>
    <d v="2026-08-04T13:57:15"/>
    <d v="2026-08-04T13:57:15"/>
    <s v="Marcus Sloan"/>
    <x v="0"/>
    <s v="marcus.sloan49@icloud.com"/>
    <s v="Stainless Steel Water Bottle"/>
    <x v="17"/>
    <s v="Home &amp; Kitchen"/>
    <x v="18"/>
    <n v="2"/>
    <n v="12.99"/>
    <n v="12.99"/>
    <s v="WELCOME10"/>
    <x v="1"/>
    <s v="$2.60"/>
    <n v="2.6"/>
    <s v="Number"/>
    <n v="5.99"/>
    <n v="5.99"/>
    <n v="29.37"/>
    <n v="29.37"/>
    <n v="29.369999999999997"/>
    <s v="True"/>
    <s v="Normal"/>
    <s v="Apple Pay"/>
    <x v="2"/>
    <s v="fulfilled"/>
    <s v="United States"/>
    <s v="Illinois"/>
    <s v="Valid"/>
    <s v="New Michael"/>
  </r>
  <r>
    <s v="#2779"/>
    <n v="1"/>
    <d v="2026-08-04T14:05:39"/>
    <d v="2026-08-04T14:05:39"/>
    <s v="Anthony Krueger"/>
    <x v="0"/>
    <s v="anthony.krueger812@yahoo.com"/>
    <s v="Stainless Steel Water Bottle"/>
    <x v="17"/>
    <s v="Home &amp; Kitchen"/>
    <x v="18"/>
    <n v="1"/>
    <n v="12.99"/>
    <n v="12.99"/>
    <s v="VIP15"/>
    <x v="4"/>
    <n v="1.95"/>
    <n v="1.95"/>
    <s v="Number"/>
    <n v="5.99"/>
    <n v="5.99"/>
    <n v="17.03"/>
    <n v="17.03"/>
    <n v="17.03"/>
    <s v="True"/>
    <s v="Normal"/>
    <s v="Google Pay"/>
    <x v="3"/>
    <s v="refunded"/>
    <s v="Pakistan"/>
    <m/>
    <s v="Not Required"/>
    <s v="Hughesmouth"/>
  </r>
  <r>
    <s v="#2823"/>
    <n v="1"/>
    <d v="2026-08-04T13:59:33"/>
    <d v="2026-08-04T13:59:33"/>
    <s v="Kaitlyn Hernandez"/>
    <x v="1"/>
    <m/>
    <s v="Stainless Steel Water Bottle"/>
    <x v="17"/>
    <s v="Home &amp; Kitchen"/>
    <x v="18"/>
    <n v="1"/>
    <n v="12.99"/>
    <n v="12.99"/>
    <s v="BFCM25"/>
    <x v="3"/>
    <n v="3.25"/>
    <n v="3.25"/>
    <s v="Number"/>
    <n v="5.99"/>
    <n v="5.99"/>
    <s v="$15.73"/>
    <n v="15.73"/>
    <n v="15.73"/>
    <s v="True"/>
    <s v="Normal"/>
    <s v="PayPal"/>
    <x v="0"/>
    <s v="cancelled"/>
    <s v="Pakistan"/>
    <m/>
    <s v="Not Required"/>
    <s v="New Tony"/>
  </r>
  <r>
    <s v="#2857"/>
    <n v="1"/>
    <d v="2026-08-04T14:03:49"/>
    <d v="2026-08-04T14:03:49"/>
    <s v="Jamie Brown"/>
    <x v="0"/>
    <s v="jamie.brown582@icloud.com"/>
    <s v="Stainless Steel Water Bottle"/>
    <x v="17"/>
    <s v="Home &amp; Kitchen"/>
    <x v="18"/>
    <n v="1"/>
    <n v="12.99"/>
    <n v="12.99"/>
    <s v="BFCM25"/>
    <x v="3"/>
    <n v="3.25"/>
    <n v="3.25"/>
    <s v="Number"/>
    <n v="5.99"/>
    <n v="5.99"/>
    <n v="15.73"/>
    <n v="15.73"/>
    <n v="15.73"/>
    <s v="True"/>
    <s v="Normal"/>
    <s v="PayPal"/>
    <x v="0"/>
    <s v="pending"/>
    <s v="United States"/>
    <s v="Illinois"/>
    <s v="Valid"/>
    <s v="Angelabury"/>
  </r>
  <r>
    <s v="#2859"/>
    <n v="1"/>
    <d v="2026-08-04T13:54:13"/>
    <d v="2026-08-04T13:54:13"/>
    <s v="Sandra Potter"/>
    <x v="0"/>
    <s v="sandra.potter166@yahoo.com"/>
    <s v="Stainless Steel Water Bottle"/>
    <x v="17"/>
    <s v="Home &amp; Kitchen"/>
    <x v="18"/>
    <n v="1"/>
    <n v="12.99"/>
    <n v="12.99"/>
    <m/>
    <x v="0"/>
    <n v="0"/>
    <n v="0"/>
    <s v="Number"/>
    <n v="5.99"/>
    <n v="5.99"/>
    <n v="18.98"/>
    <n v="18.98"/>
    <n v="18.98"/>
    <s v="True"/>
    <s v="Normal"/>
    <s v="PayPal"/>
    <x v="0"/>
    <s v="fulfilled"/>
    <s v="United States"/>
    <s v="Washington"/>
    <s v="Valid"/>
    <s v="Heatherside"/>
  </r>
  <r>
    <s v="#2864"/>
    <n v="1"/>
    <d v="2026-08-04T14:06:39"/>
    <d v="2026-08-04T14:06:39"/>
    <s v="Glenn Smith"/>
    <x v="0"/>
    <s v="glenn.smith305@gmail.com"/>
    <s v="Stainless Steel Water Bottle"/>
    <x v="17"/>
    <s v="Home &amp; Kitchen"/>
    <x v="18"/>
    <n v="3"/>
    <n v="12.99"/>
    <n v="12.99"/>
    <s v="FREESHIP"/>
    <x v="5"/>
    <n v="0"/>
    <n v="0"/>
    <s v="Number"/>
    <n v="0"/>
    <n v="0"/>
    <n v="38.97"/>
    <n v="38.97"/>
    <n v="38.97"/>
    <s v="True"/>
    <s v="Normal"/>
    <s v="Credit Card"/>
    <x v="2"/>
    <s v="fulfilled"/>
    <s v="Canada"/>
    <m/>
    <s v="Not Required"/>
    <s v="North Amanda"/>
  </r>
  <r>
    <s v="#2916"/>
    <n v="1"/>
    <d v="2026-08-04T00:00:00"/>
    <s v="2026-08-04"/>
    <s v="Chad Smith"/>
    <x v="0"/>
    <s v="chad.smith773@icloud.com"/>
    <s v="Stainless Steel Water Bottle"/>
    <x v="17"/>
    <s v="Home &amp; Kitchen"/>
    <x v="18"/>
    <n v="1"/>
    <n v="12.99"/>
    <n v="12.99"/>
    <s v="SAVE20"/>
    <x v="2"/>
    <n v="2.6"/>
    <n v="2.6"/>
    <s v="Number"/>
    <n v="4.99"/>
    <n v="4.99"/>
    <n v="15.38"/>
    <n v="15.38"/>
    <n v="15.38"/>
    <s v="True"/>
    <s v="Normal"/>
    <s v="Credit Card"/>
    <x v="0"/>
    <s v="pending"/>
    <s v="Pakistan"/>
    <m/>
    <s v="Not Required"/>
    <s v="Faithhaven"/>
  </r>
  <r>
    <s v="#2925"/>
    <n v="1"/>
    <d v="2026-08-04T14:00:11"/>
    <d v="2026-08-04T14:00:11"/>
    <s v="Eric Golden"/>
    <x v="0"/>
    <s v="eric.golden379@outlook.com"/>
    <s v="Stainless Steel Water Bottle"/>
    <x v="17"/>
    <s v="Home &amp; Kitchen"/>
    <x v="18"/>
    <n v="2"/>
    <n v="12.99"/>
    <n v="12.99"/>
    <s v="VIP15"/>
    <x v="4"/>
    <n v="3.9"/>
    <n v="3.9"/>
    <s v="Number"/>
    <n v="7.99"/>
    <n v="7.99"/>
    <n v="30.07"/>
    <n v="30.07"/>
    <n v="30.07"/>
    <s v="True"/>
    <s v="Normal"/>
    <s v="Credit Card"/>
    <x v="0"/>
    <s v="pending"/>
    <s v="United States"/>
    <s v="New York"/>
    <s v="Valid"/>
    <s v="Montoyaside"/>
  </r>
  <r>
    <s v="#1032"/>
    <n v="1"/>
    <d v="2026-08-04T14:08:18"/>
    <d v="2026-08-04T14:08:18"/>
    <s v="Joe Taylor"/>
    <x v="0"/>
    <s v="joe.taylor714@yahoo.com"/>
    <s v="Throw Blanket - Fleece"/>
    <x v="18"/>
    <s v="Home &amp; Kitchen"/>
    <x v="19"/>
    <n v="2"/>
    <n v="17.989999999999998"/>
    <n v="17.989999999999998"/>
    <m/>
    <x v="0"/>
    <n v="0"/>
    <n v="0"/>
    <s v="Number"/>
    <n v="4.99"/>
    <n v="4.99"/>
    <n v="40.97"/>
    <n v="40.97"/>
    <n v="40.97"/>
    <s v="True"/>
    <s v="Normal"/>
    <s v="PayPal"/>
    <x v="2"/>
    <s v="fulfilled"/>
    <s v="Germany"/>
    <m/>
    <s v="Not Required"/>
    <s v="New Marciatown"/>
  </r>
  <r>
    <s v="#1068"/>
    <n v="1"/>
    <d v="2026-08-04T14:04:01"/>
    <d v="2026-08-04T14:04:01"/>
    <s v="Mary Garcia"/>
    <x v="0"/>
    <s v="mary.garcia899@icloud.com"/>
    <s v="Throw Blanket - Fleece"/>
    <x v="18"/>
    <s v="Home &amp; Kitchen"/>
    <x v="19"/>
    <n v="1"/>
    <n v="17.989999999999998"/>
    <n v="17.989999999999998"/>
    <s v="WELCOME10"/>
    <x v="1"/>
    <n v="1.8"/>
    <n v="1.8"/>
    <s v="Number"/>
    <n v="7.99"/>
    <n v="7.99"/>
    <n v="24.18"/>
    <n v="24.18"/>
    <n v="24.18"/>
    <s v="True"/>
    <s v="Normal"/>
    <s v="Credit Card"/>
    <x v="0"/>
    <s v="pending"/>
    <s v="Canada"/>
    <m/>
    <s v="Not Required"/>
    <s v="Lake Rebecca"/>
  </r>
  <r>
    <s v="#1106"/>
    <n v="1"/>
    <d v="2026-08-04T14:04:31"/>
    <d v="2026-08-04T14:04:31"/>
    <s v="Thomas Smith"/>
    <x v="0"/>
    <s v="thomas.smith633@gmail.com"/>
    <s v="Throw Blanket - Fleece"/>
    <x v="18"/>
    <s v="Home &amp; Kitchen"/>
    <x v="19"/>
    <n v="1"/>
    <n v="17.989999999999998"/>
    <n v="17.989999999999998"/>
    <s v="FREESHIP"/>
    <x v="5"/>
    <n v="0"/>
    <n v="0"/>
    <s v="Number"/>
    <n v="0"/>
    <n v="0"/>
    <n v="17.989999999999998"/>
    <n v="17.989999999999998"/>
    <n v="17.989999999999998"/>
    <s v="True"/>
    <s v="Normal"/>
    <s v="Credit Card"/>
    <x v="2"/>
    <s v="cancelled"/>
    <s v="Germany"/>
    <m/>
    <s v="Not Required"/>
    <s v="East Seth"/>
  </r>
  <r>
    <s v="#1138"/>
    <n v="1"/>
    <d v="2026-04-08T00:00:00"/>
    <s v="08/04/2026"/>
    <s v="Samuel Padilla"/>
    <x v="0"/>
    <s v="samuel.padilla79@gmail.com"/>
    <s v="Throw Blanket - Fleece"/>
    <x v="18"/>
    <s v="Home &amp; Kitchen"/>
    <x v="19"/>
    <n v="1"/>
    <n v="17.989999999999998"/>
    <n v="17.989999999999998"/>
    <m/>
    <x v="0"/>
    <n v="0"/>
    <n v="0"/>
    <s v="Number"/>
    <n v="4.99"/>
    <n v="4.99"/>
    <n v="22.98"/>
    <n v="22.98"/>
    <n v="22.979999999999997"/>
    <s v="True"/>
    <s v="Normal"/>
    <s v="Google Pay"/>
    <x v="3"/>
    <s v="fulfilled"/>
    <s v="United States"/>
    <s v="Georgia"/>
    <s v="Valid"/>
    <s v="Port Lisamouth"/>
  </r>
  <r>
    <s v="#1152"/>
    <n v="1"/>
    <d v="2026-08-04T14:06:08"/>
    <d v="2026-08-04T14:06:08"/>
    <s v="Trevor Carter"/>
    <x v="0"/>
    <s v="trevor.carter617@icloud.com"/>
    <s v="Throw Blanket - Fleece"/>
    <x v="18"/>
    <s v="Home &amp; Kitchen"/>
    <x v="19"/>
    <n v="1"/>
    <s v="$17.99"/>
    <n v="17.989999999999998"/>
    <s v="WELCOME10"/>
    <x v="1"/>
    <n v="1.8"/>
    <n v="1.8"/>
    <s v="Number"/>
    <n v="4.99"/>
    <n v="4.99"/>
    <n v="21.18"/>
    <n v="21.18"/>
    <n v="21.18"/>
    <s v="True"/>
    <s v="Normal"/>
    <s v="Credit Card"/>
    <x v="3"/>
    <s v="refunded"/>
    <s v="United States"/>
    <s v="North Carolina"/>
    <s v="Valid"/>
    <s v="South Richardville"/>
  </r>
  <r>
    <s v="#1154"/>
    <n v="1"/>
    <d v="2026-08-04T13:55:21"/>
    <d v="2026-08-04T13:55:21"/>
    <s v="Megan Dickson"/>
    <x v="0"/>
    <s v="megan.dickson508@gmail.com"/>
    <s v="Throw Blanket - Fleece"/>
    <x v="18"/>
    <s v="Home &amp; Kitchen"/>
    <x v="19"/>
    <n v="1"/>
    <n v="17.989999999999998"/>
    <n v="17.989999999999998"/>
    <s v="SAVE20"/>
    <x v="2"/>
    <s v="$3.60"/>
    <n v="3.6"/>
    <s v="Number"/>
    <n v="5.99"/>
    <n v="5.99"/>
    <n v="20.38"/>
    <n v="20.38"/>
    <n v="20.38"/>
    <s v="True"/>
    <s v="Normal"/>
    <s v="Google Pay"/>
    <x v="2"/>
    <s v="pending"/>
    <s v="United Kingdom"/>
    <m/>
    <s v="Not Required"/>
    <s v="West Joseph"/>
  </r>
  <r>
    <s v="#1178"/>
    <n v="1"/>
    <d v="2026-08-04T13:57:58"/>
    <d v="2026-08-04T13:57:58"/>
    <s v="Lisa Zuniga"/>
    <x v="0"/>
    <s v="lisa.zuniga825@outlook.com"/>
    <s v="Throw Blanket - Fleece"/>
    <x v="18"/>
    <s v="Home &amp; Kitchen"/>
    <x v="19"/>
    <n v="2"/>
    <n v="17.989999999999998"/>
    <n v="17.989999999999998"/>
    <s v="FREESHIP"/>
    <x v="5"/>
    <n v="0"/>
    <n v="0"/>
    <s v="Number"/>
    <n v="0"/>
    <n v="0"/>
    <s v="$35.98"/>
    <n v="35.979999999999997"/>
    <n v="35.979999999999997"/>
    <s v="True"/>
    <s v="Normal"/>
    <s v="Apple Pay"/>
    <x v="2"/>
    <s v="fulfilled"/>
    <s v="Germany"/>
    <m/>
    <s v="Not Required"/>
    <s v="Griffithville"/>
  </r>
  <r>
    <s v="#1185"/>
    <n v="1"/>
    <d v="2026-04-08T00:00:00"/>
    <s v="08/04/2026"/>
    <s v="Philip Stevens"/>
    <x v="0"/>
    <s v="philip.stevens908@outlook.com"/>
    <s v="Throw Blanket - Fleece"/>
    <x v="18"/>
    <s v="Home &amp; Kitchen"/>
    <x v="19"/>
    <n v="1"/>
    <n v="17.989999999999998"/>
    <n v="17.989999999999998"/>
    <m/>
    <x v="0"/>
    <n v="0"/>
    <n v="0"/>
    <s v="Number"/>
    <n v="7.99"/>
    <n v="7.99"/>
    <n v="25.98"/>
    <n v="25.98"/>
    <n v="25.979999999999997"/>
    <s v="True"/>
    <s v="Normal"/>
    <s v="Google Pay"/>
    <x v="0"/>
    <s v="fulfilled"/>
    <s v="United States"/>
    <s v="Georgia"/>
    <s v="Valid"/>
    <s v="North Garyfurt"/>
  </r>
  <r>
    <s v="#1215"/>
    <n v="1"/>
    <d v="2026-08-04T14:02:52"/>
    <d v="2026-08-04T14:02:52"/>
    <s v="Tracy Dominguez"/>
    <x v="0"/>
    <s v="tracy.dominguez23@gmail.com"/>
    <s v="Throw Blanket - Fleece"/>
    <x v="18"/>
    <s v="Home &amp; Kitchen"/>
    <x v="19"/>
    <n v="1"/>
    <n v="17.989999999999998"/>
    <n v="17.989999999999998"/>
    <s v="WELCOME10"/>
    <x v="1"/>
    <n v="1.8"/>
    <n v="1.8"/>
    <s v="Number"/>
    <n v="7.99"/>
    <n v="7.99"/>
    <n v="24.18"/>
    <n v="24.18"/>
    <n v="24.18"/>
    <s v="True"/>
    <s v="Normal"/>
    <s v="PayPal"/>
    <x v="1"/>
    <s v="refunded"/>
    <s v="United States"/>
    <s v="Arizona"/>
    <s v="Valid"/>
    <s v="Lake Anitaview"/>
  </r>
  <r>
    <s v="#1233"/>
    <n v="1"/>
    <d v="2026-04-08T00:00:00"/>
    <s v="08/04/2026"/>
    <s v="KEVIN STOUT"/>
    <x v="0"/>
    <s v="kevin.stout35@icloud.com"/>
    <s v="Throw Blanket - Fleece"/>
    <x v="18"/>
    <s v="Home &amp; Kitchen"/>
    <x v="19"/>
    <n v="2"/>
    <n v="17.989999999999998"/>
    <n v="17.989999999999998"/>
    <m/>
    <x v="0"/>
    <n v="0"/>
    <n v="0"/>
    <s v="Number"/>
    <n v="7.99"/>
    <n v="7.99"/>
    <n v="43.97"/>
    <n v="43.97"/>
    <n v="43.97"/>
    <s v="True"/>
    <s v="Normal"/>
    <s v="PayPal"/>
    <x v="1"/>
    <s v="fulfilled"/>
    <s v="United States"/>
    <s v="IL"/>
    <s v="Valid"/>
    <s v="New Paul"/>
  </r>
  <r>
    <s v="#1278"/>
    <n v="1"/>
    <d v="2026-08-04T13:59:03"/>
    <d v="2026-08-04T13:59:03"/>
    <s v="Douglas Walker"/>
    <x v="0"/>
    <s v="douglas.walker28@outlook.com"/>
    <s v="Throw Blanket - Fleece"/>
    <x v="18"/>
    <s v="Home &amp; Kitchen"/>
    <x v="19"/>
    <n v="2"/>
    <n v="17.989999999999998"/>
    <n v="17.989999999999998"/>
    <m/>
    <x v="0"/>
    <s v="$0.00"/>
    <n v="0"/>
    <s v="Number"/>
    <n v="4.99"/>
    <n v="4.99"/>
    <n v="40.97"/>
    <n v="40.97"/>
    <n v="40.97"/>
    <s v="True"/>
    <s v="Normal"/>
    <s v="Apple Pay"/>
    <x v="0"/>
    <s v="fulfilled"/>
    <s v="United Kingdom"/>
    <m/>
    <s v="Not Required"/>
    <s v="South Robert"/>
  </r>
  <r>
    <s v="#1306"/>
    <n v="1"/>
    <d v="2026-08-04T14:05:21"/>
    <d v="2026-08-04T14:05:21"/>
    <s v="Timothy Maldonado"/>
    <x v="0"/>
    <s v="timothy.maldonado551@gmail.com"/>
    <s v="Throw Blanket - Fleece"/>
    <x v="18"/>
    <s v="Home &amp; Kitchen"/>
    <x v="19"/>
    <n v="2"/>
    <n v="17.989999999999998"/>
    <n v="17.989999999999998"/>
    <s v="VIP15"/>
    <x v="4"/>
    <n v="5.4"/>
    <n v="5.4"/>
    <s v="Number"/>
    <n v="7.99"/>
    <n v="7.99"/>
    <n v="38.57"/>
    <n v="38.57"/>
    <n v="38.57"/>
    <s v="True"/>
    <s v="Normal"/>
    <s v="Google Pay"/>
    <x v="0"/>
    <s v="fulfilled"/>
    <s v="United States"/>
    <s v="North Carolina"/>
    <s v="Valid"/>
    <s v="South Christinabury"/>
  </r>
  <r>
    <s v="#1341"/>
    <n v="1"/>
    <d v="2026-08-04T14:05:29"/>
    <d v="2026-08-04T14:05:29"/>
    <s v="Elizabeth Carter"/>
    <x v="0"/>
    <s v="elizabeth.carter304@icloud.com"/>
    <s v="Throw Blanket - Fleece"/>
    <x v="18"/>
    <s v="Home &amp; Kitchen"/>
    <x v="19"/>
    <n v="3"/>
    <n v="17.989999999999998"/>
    <n v="17.989999999999998"/>
    <m/>
    <x v="0"/>
    <n v="0"/>
    <n v="0"/>
    <s v="Number"/>
    <n v="4.99"/>
    <n v="4.99"/>
    <s v="$58.96"/>
    <n v="58.96"/>
    <n v="58.96"/>
    <s v="True"/>
    <s v="Normal"/>
    <s v="Apple Pay"/>
    <x v="2"/>
    <s v="pending"/>
    <s v="Canada"/>
    <m/>
    <s v="Not Required"/>
    <s v="Maryborough"/>
  </r>
  <r>
    <s v="#1377"/>
    <n v="1"/>
    <d v="2026-08-04T13:59:25"/>
    <d v="2026-08-04T13:59:25"/>
    <s v="Sarah Singh"/>
    <x v="0"/>
    <s v="sarah.singh298@gmail.com"/>
    <s v="Throw Blanket - Fleece"/>
    <x v="18"/>
    <s v="Home &amp; Kitchen"/>
    <x v="19"/>
    <n v="1"/>
    <n v="17.989999999999998"/>
    <n v="17.989999999999998"/>
    <s v="SAVE20"/>
    <x v="2"/>
    <n v="3.6"/>
    <n v="3.6"/>
    <s v="Number"/>
    <n v="5.99"/>
    <n v="5.99"/>
    <n v="20.38"/>
    <n v="20.38"/>
    <n v="20.38"/>
    <s v="True"/>
    <s v="Normal"/>
    <s v="Shopify Payments"/>
    <x v="1"/>
    <s v="pending"/>
    <s v="Canada"/>
    <m/>
    <s v="Not Required"/>
    <s v="New Jamesshire"/>
  </r>
  <r>
    <s v="#1492"/>
    <n v="1"/>
    <d v="2026-08-04T14:02:03"/>
    <d v="2026-08-04T14:02:03"/>
    <s v="Taylor Lee"/>
    <x v="0"/>
    <s v="taylor.lee613@gmail.com"/>
    <s v="Throw Blanket - Fleece"/>
    <x v="18"/>
    <s v="Home &amp; Kitchen"/>
    <x v="19"/>
    <n v="1"/>
    <n v="17.989999999999998"/>
    <n v="17.989999999999998"/>
    <m/>
    <x v="0"/>
    <n v="0"/>
    <n v="0"/>
    <s v="Number"/>
    <n v="7.99"/>
    <n v="7.99"/>
    <n v="25.98"/>
    <n v="25.98"/>
    <n v="25.979999999999997"/>
    <s v="True"/>
    <s v="Normal"/>
    <s v="Google Pay"/>
    <x v="0"/>
    <s v="cancelled"/>
    <s v="United Kingdom"/>
    <m/>
    <s v="Not Required"/>
    <s v="Dawnville"/>
  </r>
  <r>
    <s v="#1513"/>
    <n v="1"/>
    <d v="2026-04-08T00:00:00"/>
    <s v="08/04/2026"/>
    <s v="Ian Morris"/>
    <x v="0"/>
    <s v="ian.morris90@outlook.com"/>
    <s v="Throw Blanket - Fleece"/>
    <x v="18"/>
    <s v="Home &amp; Kitchen"/>
    <x v="19"/>
    <n v="3"/>
    <n v="17.989999999999998"/>
    <n v="17.989999999999998"/>
    <m/>
    <x v="0"/>
    <n v="0"/>
    <n v="0"/>
    <s v="Number"/>
    <n v="4.99"/>
    <n v="4.99"/>
    <n v="58.96"/>
    <n v="58.96"/>
    <n v="58.96"/>
    <s v="True"/>
    <s v="Normal"/>
    <s v="Credit Card"/>
    <x v="3"/>
    <s v="fulfilled"/>
    <s v="Pakistan"/>
    <m/>
    <s v="Not Required"/>
    <s v="West Nancybury"/>
  </r>
  <r>
    <s v="#1524"/>
    <n v="1"/>
    <d v="2026-08-04T13:56:41"/>
    <d v="2026-08-04T13:56:41"/>
    <s v="Megan Herman"/>
    <x v="0"/>
    <s v="megan.herman268@yahoo.com"/>
    <s v="Throw Blanket - Fleece"/>
    <x v="18"/>
    <s v="Home &amp; Kitchen"/>
    <x v="19"/>
    <n v="1"/>
    <n v="17.989999999999998"/>
    <n v="17.989999999999998"/>
    <m/>
    <x v="0"/>
    <n v="0"/>
    <n v="0"/>
    <s v="Number"/>
    <n v="7.99"/>
    <n v="7.99"/>
    <n v="25.98"/>
    <n v="25.98"/>
    <n v="25.979999999999997"/>
    <s v="True"/>
    <s v="Normal"/>
    <s v="PayPal"/>
    <x v="3"/>
    <s v="fulfilled"/>
    <s v="United States"/>
    <s v="Arizona"/>
    <s v="Valid"/>
    <s v="Port Sheri"/>
  </r>
  <r>
    <s v="#1544"/>
    <n v="1"/>
    <d v="2026-08-04T14:05:22"/>
    <d v="2026-08-04T14:05:22"/>
    <s v="Nancy Williams"/>
    <x v="0"/>
    <s v="nancy.williams148@outlook.com"/>
    <s v="Throw Blanket - Fleece"/>
    <x v="18"/>
    <s v="Home &amp; Kitchen"/>
    <x v="19"/>
    <n v="1"/>
    <n v="17.989999999999998"/>
    <n v="17.989999999999998"/>
    <m/>
    <x v="0"/>
    <n v="0"/>
    <n v="0"/>
    <s v="Number"/>
    <n v="4.99"/>
    <n v="4.99"/>
    <n v="22.98"/>
    <n v="22.98"/>
    <n v="22.979999999999997"/>
    <s v="True"/>
    <s v="Normal"/>
    <s v="PayPal"/>
    <x v="1"/>
    <s v="pending"/>
    <s v="United States"/>
    <s v="Georgia"/>
    <s v="Valid"/>
    <s v="North Austin"/>
  </r>
  <r>
    <s v="#1554"/>
    <n v="1"/>
    <d v="2026-08-04T14:05:20"/>
    <d v="2026-08-04T14:05:20"/>
    <s v="Kiara Burke"/>
    <x v="0"/>
    <s v="kiara.burke246@yahoo.com"/>
    <s v="Throw Blanket - Fleece  "/>
    <x v="18"/>
    <s v="Home &amp; Kitchen"/>
    <x v="19"/>
    <n v="2"/>
    <n v="17.989999999999998"/>
    <n v="17.989999999999998"/>
    <s v="SAVE20"/>
    <x v="2"/>
    <n v="7.2"/>
    <n v="7.2"/>
    <s v="Number"/>
    <n v="5.99"/>
    <n v="5.99"/>
    <n v="34.770000000000003"/>
    <n v="34.770000000000003"/>
    <n v="34.769999999999996"/>
    <s v="True"/>
    <s v="Normal"/>
    <s v="Shopify Payments"/>
    <x v="2"/>
    <s v="fulfilled"/>
    <s v="Germany"/>
    <m/>
    <s v="Not Required"/>
    <s v="Port James"/>
  </r>
  <r>
    <s v="#1603"/>
    <n v="1"/>
    <d v="2026-08-04T14:01:47"/>
    <d v="2026-08-04T14:01:47"/>
    <s v="Timothy Hodges"/>
    <x v="0"/>
    <s v="timothy.hodges687@icloud.com"/>
    <s v="Throw Blanket - Fleece"/>
    <x v="18"/>
    <s v="Home &amp; Kitchen"/>
    <x v="19"/>
    <n v="2"/>
    <n v="17.989999999999998"/>
    <n v="17.989999999999998"/>
    <m/>
    <x v="0"/>
    <n v="0"/>
    <n v="0"/>
    <s v="Number"/>
    <n v="7.99"/>
    <n v="7.99"/>
    <n v="43.97"/>
    <n v="43.97"/>
    <n v="43.97"/>
    <s v="True"/>
    <s v="Normal"/>
    <s v="PayPal"/>
    <x v="3"/>
    <s v="fulfilled"/>
    <s v="Australia"/>
    <m/>
    <s v="Not Required"/>
    <s v="Taylortown"/>
  </r>
  <r>
    <s v="#1629"/>
    <n v="1"/>
    <d v="2026-04-08T00:00:00"/>
    <s v="08/04/2026"/>
    <s v="Rose Campos"/>
    <x v="0"/>
    <s v="rose.campos542@gmail.com"/>
    <s v="Throw Blanket - Fleece"/>
    <x v="18"/>
    <s v="Home &amp; Kitchen"/>
    <x v="19"/>
    <n v="2"/>
    <n v="17.989999999999998"/>
    <n v="17.989999999999998"/>
    <m/>
    <x v="0"/>
    <n v="0"/>
    <n v="0"/>
    <s v="Number"/>
    <n v="5.99"/>
    <n v="5.99"/>
    <n v="41.97"/>
    <n v="41.97"/>
    <n v="41.97"/>
    <s v="True"/>
    <s v="Normal"/>
    <s v="Credit Card"/>
    <x v="0"/>
    <s v="fulfilled"/>
    <s v="Canada"/>
    <m/>
    <s v="Not Required"/>
    <s v="Ryanton"/>
  </r>
  <r>
    <s v="#1649"/>
    <n v="1"/>
    <d v="2026-08-04T14:02:07"/>
    <d v="2026-08-04T14:02:07"/>
    <s v="Nicole Taylor"/>
    <x v="0"/>
    <s v="nicole.taylor607@icloud.com"/>
    <s v="Throw Blanket - Fleece"/>
    <x v="18"/>
    <s v="Home &amp; Kitchen"/>
    <x v="19"/>
    <n v="1"/>
    <n v="17.989999999999998"/>
    <n v="17.989999999999998"/>
    <m/>
    <x v="0"/>
    <n v="0"/>
    <n v="0"/>
    <s v="Number"/>
    <n v="7.99"/>
    <n v="7.99"/>
    <n v="25.98"/>
    <n v="25.98"/>
    <n v="25.979999999999997"/>
    <s v="True"/>
    <s v="Normal"/>
    <s v="Apple Pay"/>
    <x v="0"/>
    <s v="fulfilled"/>
    <s v="United States"/>
    <s v="Arizona"/>
    <s v="Valid"/>
    <s v="West Michael"/>
  </r>
  <r>
    <s v="#1658"/>
    <n v="1"/>
    <d v="2026-08-04T13:57:03"/>
    <d v="2026-08-04T13:57:03"/>
    <s v="Amanda Robinson"/>
    <x v="0"/>
    <s v="amanda.robinson263@icloud.com"/>
    <s v="Throw Blanket - Fleece"/>
    <x v="18"/>
    <s v="Home &amp; Kitchen"/>
    <x v="19"/>
    <n v="1"/>
    <n v="17.989999999999998"/>
    <n v="17.989999999999998"/>
    <m/>
    <x v="0"/>
    <n v="0"/>
    <n v="0"/>
    <s v="Number"/>
    <n v="4.99"/>
    <n v="4.99"/>
    <n v="22.98"/>
    <n v="22.98"/>
    <n v="22.979999999999997"/>
    <s v="True"/>
    <s v="Normal"/>
    <s v="PayPal"/>
    <x v="0"/>
    <s v="refunded"/>
    <s v="United States"/>
    <s v="NY"/>
    <s v="Valid"/>
    <s v="Courtneyview"/>
  </r>
  <r>
    <s v="#1683"/>
    <n v="1"/>
    <d v="2026-08-04T00:00:00"/>
    <s v="04-08-2026 14:05"/>
    <s v="Sean Frank"/>
    <x v="0"/>
    <s v="sean.frank587@icloud.com"/>
    <s v="Throw Blanket - Fleece"/>
    <x v="18"/>
    <s v="Home &amp; Kitchen"/>
    <x v="19"/>
    <n v="1"/>
    <n v="17.989999999999998"/>
    <n v="17.989999999999998"/>
    <s v="VIP15"/>
    <x v="4"/>
    <n v="2.7"/>
    <n v="2.7"/>
    <s v="Number"/>
    <n v="7.99"/>
    <n v="7.99"/>
    <n v="23.28"/>
    <n v="23.28"/>
    <n v="23.28"/>
    <s v="True"/>
    <s v="Normal"/>
    <s v="PayPal"/>
    <x v="0"/>
    <s v="fulfilled"/>
    <s v="Australia"/>
    <m/>
    <s v="Not Required"/>
    <s v="East Steventon"/>
  </r>
  <r>
    <s v="#1688"/>
    <n v="1"/>
    <d v="2026-08-04T14:00:31"/>
    <d v="2026-08-04T14:00:31"/>
    <s v="Dustin Mccoy"/>
    <x v="0"/>
    <s v="dustin.mccoy570@gmail.com"/>
    <s v="Throw Blanket - Fleece"/>
    <x v="18"/>
    <s v="Home &amp; Kitchen"/>
    <x v="19"/>
    <n v="1"/>
    <n v="17.989999999999998"/>
    <n v="17.989999999999998"/>
    <s v="BFCM25"/>
    <x v="3"/>
    <n v="4.5"/>
    <n v="4.5"/>
    <s v="Number"/>
    <n v="4.99"/>
    <n v="4.99"/>
    <n v="18.48"/>
    <n v="18.48"/>
    <n v="18.479999999999997"/>
    <s v="True"/>
    <s v="Normal"/>
    <s v="Google Pay"/>
    <x v="0"/>
    <s v="fulfilled"/>
    <s v="Canada"/>
    <m/>
    <s v="Not Required"/>
    <s v="New Ashley"/>
  </r>
  <r>
    <s v="#1689"/>
    <n v="1"/>
    <d v="2026-08-04T14:05:33"/>
    <d v="2026-08-04T14:05:33"/>
    <s v="Dominique Huerta"/>
    <x v="0"/>
    <s v="dominique.huerta708@outlook.com"/>
    <s v="Throw Blanket - Fleece"/>
    <x v="18"/>
    <s v="Home &amp; Kitchen"/>
    <x v="19"/>
    <n v="1"/>
    <n v="17.989999999999998"/>
    <n v="17.989999999999998"/>
    <s v="BFCM25"/>
    <x v="3"/>
    <n v="4.5"/>
    <n v="4.5"/>
    <s v="Number"/>
    <n v="7.99"/>
    <n v="7.99"/>
    <n v="21.48"/>
    <n v="21.48"/>
    <n v="21.479999999999997"/>
    <s v="True"/>
    <s v="Normal"/>
    <s v="Apple Pay"/>
    <x v="3"/>
    <s v="cancelled"/>
    <s v="United Kingdom"/>
    <m/>
    <s v="Not Required"/>
    <s v="Haynesfurt"/>
  </r>
  <r>
    <s v="#1706"/>
    <n v="1"/>
    <d v="2026-04-08T00:00:00"/>
    <s v="08/04/2026"/>
    <s v="Anthony Krueger"/>
    <x v="0"/>
    <s v="anthony.krueger812@yahoo.com"/>
    <s v="Throw Blanket - Fleece"/>
    <x v="18"/>
    <s v="Home &amp; Kitchen"/>
    <x v="19"/>
    <n v="1"/>
    <n v="17.989999999999998"/>
    <n v="17.989999999999998"/>
    <m/>
    <x v="0"/>
    <n v="0"/>
    <n v="0"/>
    <s v="Number"/>
    <n v="5.99"/>
    <n v="5.99"/>
    <n v="23.98"/>
    <n v="23.98"/>
    <n v="23.979999999999997"/>
    <s v="True"/>
    <s v="Normal"/>
    <s v="Google Pay"/>
    <x v="2"/>
    <s v="refunded"/>
    <s v="Pakistan"/>
    <m/>
    <s v="Not Required"/>
    <s v="North Daniel"/>
  </r>
  <r>
    <s v="#1709"/>
    <n v="1"/>
    <d v="2026-08-04T13:54:46"/>
    <d v="2026-08-04T13:54:46"/>
    <s v="Kristina Cook"/>
    <x v="0"/>
    <s v="kristina.cook392@outlook.com"/>
    <s v="Throw Blanket - Fleece"/>
    <x v="18"/>
    <s v="Home &amp; Kitchen"/>
    <x v="19"/>
    <n v="2"/>
    <s v="$17.99"/>
    <n v="17.989999999999998"/>
    <s v="SAVE20"/>
    <x v="2"/>
    <n v="7.2"/>
    <n v="7.2"/>
    <s v="Number"/>
    <n v="4.99"/>
    <n v="4.99"/>
    <n v="33.770000000000003"/>
    <n v="33.770000000000003"/>
    <n v="33.769999999999996"/>
    <s v="True"/>
    <s v="Normal"/>
    <s v="PayPal"/>
    <x v="0"/>
    <s v="refunded"/>
    <s v="United States"/>
    <s v="Florida"/>
    <s v="Valid"/>
    <s v="Port Charles"/>
  </r>
  <r>
    <s v="#1711"/>
    <n v="1"/>
    <d v="2026-08-04T14:02:07"/>
    <d v="2026-08-04T14:02:07"/>
    <s v="Joshua Chavez"/>
    <x v="0"/>
    <s v="joshua.chavez332@outlook.com"/>
    <s v="Throw Blanket - Fleece"/>
    <x v="18"/>
    <s v="Home &amp; Kitchen"/>
    <x v="19"/>
    <n v="1"/>
    <n v="17.989999999999998"/>
    <n v="17.989999999999998"/>
    <m/>
    <x v="0"/>
    <n v="0"/>
    <n v="0"/>
    <s v="Number"/>
    <n v="4.99"/>
    <n v="4.99"/>
    <n v="22.98"/>
    <n v="22.98"/>
    <n v="22.979999999999997"/>
    <s v="True"/>
    <s v="Normal"/>
    <s v="Google Pay"/>
    <x v="0"/>
    <s v="cancelled"/>
    <s v="United States"/>
    <s v="Georgia"/>
    <s v="Valid"/>
    <s v="East Sarahfort"/>
  </r>
  <r>
    <s v="#1743"/>
    <n v="1"/>
    <d v="2026-08-04T00:00:00"/>
    <s v="04-08-2026 14:00"/>
    <s v="Joshua Miller"/>
    <x v="0"/>
    <s v="joshua.miller362@gmail.com"/>
    <s v="Throw Blanket - Fleece"/>
    <x v="18"/>
    <s v="Home &amp; Kitchen"/>
    <x v="19"/>
    <n v="1"/>
    <n v="17.989999999999998"/>
    <n v="17.989999999999998"/>
    <s v="VIP15"/>
    <x v="4"/>
    <n v="2.7"/>
    <n v="2.7"/>
    <s v="Number"/>
    <n v="5.99"/>
    <n v="5.99"/>
    <n v="21.28"/>
    <n v="21.28"/>
    <n v="21.28"/>
    <s v="True"/>
    <s v="Normal"/>
    <s v="Apple Pay"/>
    <x v="0"/>
    <s v="pending"/>
    <s v="Canada"/>
    <m/>
    <s v="Not Required"/>
    <s v="Alexandrachester"/>
  </r>
  <r>
    <s v="#1755"/>
    <n v="1"/>
    <d v="2026-04-08T00:00:00"/>
    <s v="08/04/2026"/>
    <s v="Melinda Williams"/>
    <x v="0"/>
    <s v="melinda.williams310@icloud.com"/>
    <s v="Throw Blanket - Fleece"/>
    <x v="18"/>
    <s v="Home &amp; Kitchen"/>
    <x v="19"/>
    <n v="1"/>
    <n v="17.989999999999998"/>
    <n v="17.989999999999998"/>
    <s v="SAVE20"/>
    <x v="2"/>
    <s v="$3.60"/>
    <n v="3.6"/>
    <s v="Number"/>
    <n v="7.99"/>
    <n v="7.99"/>
    <n v="22.38"/>
    <n v="22.38"/>
    <n v="22.38"/>
    <s v="True"/>
    <s v="Normal"/>
    <s v="PayPal"/>
    <x v="2"/>
    <s v="fulfilled"/>
    <s v="United States"/>
    <s v="New York"/>
    <s v="Valid"/>
    <s v="South Brianmouth"/>
  </r>
  <r>
    <s v="#1756"/>
    <n v="1"/>
    <d v="2026-08-04T14:02:02"/>
    <d v="2026-08-04T14:02:02"/>
    <s v="Kristina Thompson"/>
    <x v="0"/>
    <s v="kristina.thompson501@icloud.com"/>
    <s v="Throw Blanket - Fleece"/>
    <x v="18"/>
    <s v="Home &amp; Kitchen"/>
    <x v="19"/>
    <n v="2"/>
    <n v="17.989999999999998"/>
    <n v="17.989999999999998"/>
    <s v="FREESHIP"/>
    <x v="5"/>
    <n v="0"/>
    <n v="0"/>
    <s v="Number"/>
    <n v="0"/>
    <n v="0"/>
    <n v="35.979999999999997"/>
    <n v="35.979999999999997"/>
    <n v="35.979999999999997"/>
    <s v="True"/>
    <s v="Normal"/>
    <s v="Google Pay"/>
    <x v="0"/>
    <s v="fulfilled"/>
    <s v="United States"/>
    <s v="Canada"/>
    <s v="Valid"/>
    <s v="Heatherfort"/>
  </r>
  <r>
    <s v="#1809"/>
    <n v="1"/>
    <d v="2026-04-08T00:00:00"/>
    <s v="08/04/2026"/>
    <s v="Denise Phillips"/>
    <x v="0"/>
    <s v="denise.phillips810@gmail.com"/>
    <s v="Throw Blanket - Fleece"/>
    <x v="18"/>
    <s v="Home &amp; Kitchen"/>
    <x v="19"/>
    <n v="1"/>
    <s v="$17.99"/>
    <n v="17.989999999999998"/>
    <m/>
    <x v="0"/>
    <n v="0"/>
    <n v="0"/>
    <s v="Number"/>
    <n v="5.99"/>
    <n v="5.99"/>
    <n v="23.98"/>
    <n v="23.98"/>
    <n v="23.979999999999997"/>
    <s v="True"/>
    <s v="Normal"/>
    <s v="PayPal"/>
    <x v="0"/>
    <s v="fulfilled"/>
    <s v="United States"/>
    <s v="Florida"/>
    <s v="Valid"/>
    <s v="Charleschester"/>
  </r>
  <r>
    <s v="#1826"/>
    <n v="1"/>
    <d v="2026-08-04T14:00:17"/>
    <d v="2026-08-04T14:00:17"/>
    <s v="Joshua Owens"/>
    <x v="0"/>
    <s v="joshua.owens56@icloud.com"/>
    <s v="Throw Blanket - Fleece"/>
    <x v="18"/>
    <s v="Home &amp; Kitchen"/>
    <x v="19"/>
    <n v="1"/>
    <n v="17.989999999999998"/>
    <n v="17.989999999999998"/>
    <m/>
    <x v="0"/>
    <n v="0"/>
    <n v="0"/>
    <s v="Number"/>
    <n v="4.99"/>
    <n v="4.99"/>
    <n v="22.98"/>
    <n v="22.98"/>
    <n v="22.979999999999997"/>
    <s v="True"/>
    <s v="Normal"/>
    <s v="PayPal"/>
    <x v="1"/>
    <s v="fulfilled"/>
    <s v="United States"/>
    <s v="Ohio"/>
    <s v="Valid"/>
    <s v="North Aprilburgh"/>
  </r>
  <r>
    <s v="#1838"/>
    <n v="1"/>
    <d v="2026-08-04T13:57:06"/>
    <d v="2026-08-04T13:57:06"/>
    <s v="Nicholas Jarvis"/>
    <x v="0"/>
    <s v="nicholas.jarvis112@icloud.com"/>
    <s v="Throw Blanket - Fleece"/>
    <x v="18"/>
    <s v="Home &amp; Kitchen"/>
    <x v="19"/>
    <n v="2"/>
    <n v="17.989999999999998"/>
    <n v="17.989999999999998"/>
    <s v="BFCM25"/>
    <x v="3"/>
    <n v="8.99"/>
    <n v="8.99"/>
    <s v="Number"/>
    <n v="4.99"/>
    <n v="4.99"/>
    <s v="$31.98"/>
    <n v="31.98"/>
    <n v="31.979999999999997"/>
    <s v="True"/>
    <s v="Normal"/>
    <s v="Apple Pay"/>
    <x v="3"/>
    <s v="fulfilled"/>
    <s v="Canada"/>
    <m/>
    <s v="Not Required"/>
    <s v="Riverastad"/>
  </r>
  <r>
    <s v="#1847"/>
    <n v="1"/>
    <d v="2026-08-04T13:55:06"/>
    <d v="2026-08-04T13:55:06"/>
    <s v="Julia Atkinson"/>
    <x v="0"/>
    <s v="julia.atkinson939@gmail.com"/>
    <s v="Throw Blanket - Fleece"/>
    <x v="18"/>
    <s v="Home &amp; Kitchen"/>
    <x v="19"/>
    <n v="2"/>
    <s v="$17.99"/>
    <n v="17.989999999999998"/>
    <m/>
    <x v="0"/>
    <n v="0"/>
    <n v="0"/>
    <s v="Number"/>
    <n v="7.99"/>
    <n v="7.99"/>
    <s v="$43.97"/>
    <n v="43.97"/>
    <n v="43.97"/>
    <s v="True"/>
    <s v="Normal"/>
    <s v="Shopify Payments"/>
    <x v="2"/>
    <s v="fulfilled"/>
    <s v="Canada"/>
    <m/>
    <s v="Not Required"/>
    <s v="Johnsonberg"/>
  </r>
  <r>
    <s v="#1848"/>
    <n v="1"/>
    <d v="2026-08-04T13:54:09"/>
    <d v="2026-08-04T13:54:09"/>
    <s v="Dustin Mccoy"/>
    <x v="0"/>
    <s v="dustin.mccoy570@gmail.com"/>
    <s v="Throw Blanket - Fleece"/>
    <x v="18"/>
    <s v="Home &amp; Kitchen"/>
    <x v="19"/>
    <n v="1"/>
    <n v="17.989999999999998"/>
    <n v="17.989999999999998"/>
    <s v="SAVE20"/>
    <x v="2"/>
    <n v="3.6"/>
    <n v="3.6"/>
    <s v="Number"/>
    <n v="5.99"/>
    <n v="5.99"/>
    <n v="20.38"/>
    <n v="20.38"/>
    <n v="20.38"/>
    <s v="True"/>
    <s v="Normal"/>
    <s v="Shopify Payments"/>
    <x v="3"/>
    <s v="fulfilled"/>
    <s v="Canada"/>
    <m/>
    <s v="Not Required"/>
    <s v="Jesusland"/>
  </r>
  <r>
    <s v="#1925"/>
    <n v="1"/>
    <d v="2026-08-04T14:00:06"/>
    <d v="2026-08-04T14:00:06"/>
    <s v="Barbara Brown"/>
    <x v="0"/>
    <s v="barbara.brown26@gmail.com"/>
    <s v="Throw Blanket - Fleece"/>
    <x v="18"/>
    <s v="Home &amp; Kitchen"/>
    <x v="19"/>
    <n v="1"/>
    <n v="17.989999999999998"/>
    <n v="17.989999999999998"/>
    <s v="SAVE20"/>
    <x v="2"/>
    <s v="$3.60"/>
    <n v="3.6"/>
    <s v="Number"/>
    <n v="4.99"/>
    <n v="4.99"/>
    <s v="$19.38"/>
    <n v="19.38"/>
    <n v="19.38"/>
    <s v="True"/>
    <s v="Normal"/>
    <s v="PayPal"/>
    <x v="1"/>
    <s v="fulfilled"/>
    <s v="United States"/>
    <s v="North Carolina"/>
    <s v="Valid"/>
    <s v="Rodriguezhaven"/>
  </r>
  <r>
    <s v="#1939"/>
    <n v="1"/>
    <d v="2026-08-04T13:56:51"/>
    <d v="2026-08-04T13:56:51"/>
    <s v="Kayla Cruz"/>
    <x v="0"/>
    <s v="kayla.cruz151@outlook.com"/>
    <s v="Throw Blanket - Fleece"/>
    <x v="18"/>
    <s v="Home &amp; Kitchen"/>
    <x v="19"/>
    <n v="1"/>
    <n v="17.989999999999998"/>
    <n v="17.989999999999998"/>
    <s v="VIP15"/>
    <x v="4"/>
    <n v="2.7"/>
    <n v="2.7"/>
    <s v="Number"/>
    <n v="5.99"/>
    <n v="5.99"/>
    <n v="21.28"/>
    <n v="21.28"/>
    <n v="21.28"/>
    <s v="True"/>
    <s v="Normal"/>
    <s v="PayPal"/>
    <x v="0"/>
    <s v="fulfilled"/>
    <s v="Pakistan"/>
    <m/>
    <s v="Not Required"/>
    <s v="Lake Joshua"/>
  </r>
  <r>
    <s v="#1949"/>
    <n v="1"/>
    <d v="2026-08-04T13:57:04"/>
    <d v="2026-08-04T13:57:04"/>
    <s v="Rachel Jimenez"/>
    <x v="0"/>
    <s v="rachel.jimenez326@outlook.com"/>
    <s v="Throw Blanket - Fleece"/>
    <x v="18"/>
    <s v="Home &amp; Kitchen"/>
    <x v="19"/>
    <n v="1"/>
    <n v="17.989999999999998"/>
    <n v="17.989999999999998"/>
    <m/>
    <x v="0"/>
    <n v="0"/>
    <n v="0"/>
    <s v="Number"/>
    <n v="4.99"/>
    <n v="4.99"/>
    <n v="22.98"/>
    <n v="22.98"/>
    <n v="22.979999999999997"/>
    <s v="True"/>
    <s v="Normal"/>
    <s v="Credit Card"/>
    <x v="2"/>
    <s v="fulfilled"/>
    <s v="United States"/>
    <s v="Arizona"/>
    <s v="Valid"/>
    <s v="Cindyland"/>
  </r>
  <r>
    <s v="#1978"/>
    <n v="1"/>
    <d v="2026-08-04T13:55:40"/>
    <d v="2026-08-04T13:55:40"/>
    <s v="Katelyn Johnson"/>
    <x v="0"/>
    <s v="katelyn.johnson502@outlook.com"/>
    <s v="Throw Blanket - Fleece"/>
    <x v="18"/>
    <s v="Home &amp; Kitchen"/>
    <x v="19"/>
    <n v="2"/>
    <n v="17.989999999999998"/>
    <n v="17.989999999999998"/>
    <s v="SAVE20"/>
    <x v="2"/>
    <n v="7.2"/>
    <n v="7.2"/>
    <s v="Number"/>
    <n v="4.99"/>
    <n v="4.99"/>
    <n v="33.770000000000003"/>
    <n v="33.770000000000003"/>
    <n v="33.769999999999996"/>
    <s v="True"/>
    <s v="Normal"/>
    <s v="PayPal"/>
    <x v="0"/>
    <s v="pending"/>
    <s v="United States"/>
    <s v="WA"/>
    <s v="Valid"/>
    <s v="Margarethaven"/>
  </r>
  <r>
    <s v="#1981"/>
    <n v="1"/>
    <d v="2026-08-04T14:04:46"/>
    <d v="2026-08-04T14:04:46"/>
    <s v="Cody Murray"/>
    <x v="0"/>
    <s v="cody.murray456@gmail.com"/>
    <s v="Throw Blanket - Fleece"/>
    <x v="18"/>
    <s v="Home &amp; Kitchen"/>
    <x v="19"/>
    <n v="1"/>
    <n v="17.989999999999998"/>
    <n v="17.989999999999998"/>
    <s v=" SAVE20 "/>
    <x v="2"/>
    <n v="3.6"/>
    <n v="3.6"/>
    <s v="Number"/>
    <n v="5.99"/>
    <n v="5.99"/>
    <n v="20.38"/>
    <n v="20.38"/>
    <n v="20.38"/>
    <s v="True"/>
    <s v="Normal"/>
    <s v="Shopify Payments"/>
    <x v="0"/>
    <s v="refunded"/>
    <s v="United Kingdom"/>
    <m/>
    <s v="Not Required"/>
    <s v="Davidmouth"/>
  </r>
  <r>
    <s v="#2004"/>
    <n v="1"/>
    <d v="2026-08-04T00:00:00"/>
    <s v="04-08-2026 14:05"/>
    <s v="Jose Ingram"/>
    <x v="0"/>
    <s v="jose.ingram37@gmail.com"/>
    <s v="Throw Blanket - Fleece"/>
    <x v="18"/>
    <s v="Home &amp; Kitchen"/>
    <x v="19"/>
    <n v="1"/>
    <n v="17.989999999999998"/>
    <n v="17.989999999999998"/>
    <s v="SAVE20"/>
    <x v="2"/>
    <n v="3.6"/>
    <n v="3.6"/>
    <s v="Number"/>
    <n v="7.99"/>
    <n v="7.99"/>
    <n v="22.38"/>
    <n v="22.38"/>
    <n v="22.38"/>
    <s v="True"/>
    <s v="Normal"/>
    <s v="PayPal"/>
    <x v="0"/>
    <s v="fulfilled"/>
    <s v="United States"/>
    <s v="Ohio"/>
    <s v="Valid"/>
    <s v="Bennetttown"/>
  </r>
  <r>
    <s v="#2009"/>
    <n v="1"/>
    <d v="2026-08-04T14:02:36"/>
    <d v="2026-08-04T14:02:36"/>
    <s v="Shawn Alexander"/>
    <x v="0"/>
    <s v="shawn.alexander522@outlook.com"/>
    <s v="Throw Blanket - Fleece"/>
    <x v="18"/>
    <s v="Home &amp; Kitchen"/>
    <x v="19"/>
    <n v="1"/>
    <n v="17.989999999999998"/>
    <n v="17.989999999999998"/>
    <m/>
    <x v="0"/>
    <n v="0"/>
    <n v="0"/>
    <s v="Number"/>
    <n v="5.99"/>
    <n v="5.99"/>
    <n v="23.98"/>
    <n v="23.98"/>
    <n v="23.979999999999997"/>
    <s v="True"/>
    <s v="Normal"/>
    <s v="Shopify Payments"/>
    <x v="2"/>
    <s v="cancelled"/>
    <s v="United States"/>
    <s v="WA"/>
    <s v="Valid"/>
    <s v="Rodgersland"/>
  </r>
  <r>
    <s v="#2033"/>
    <n v="1"/>
    <d v="2026-08-04T13:59:49"/>
    <d v="2026-08-04T13:59:49"/>
    <s v="David Hayden"/>
    <x v="0"/>
    <s v="david.hayden411@outlook.com"/>
    <s v="Throw Blanket - Fleece"/>
    <x v="18"/>
    <s v="Home &amp; Kitchen"/>
    <x v="19"/>
    <n v="2"/>
    <n v="17.989999999999998"/>
    <n v="17.989999999999998"/>
    <m/>
    <x v="0"/>
    <n v="0"/>
    <n v="0"/>
    <s v="Number"/>
    <n v="7.99"/>
    <n v="7.99"/>
    <n v="43.97"/>
    <n v="43.97"/>
    <n v="43.97"/>
    <s v="True"/>
    <s v="Normal"/>
    <s v="Credit Card"/>
    <x v="3"/>
    <s v="fulfilled"/>
    <s v="Australia"/>
    <m/>
    <s v="Not Required"/>
    <s v="Annetteborough"/>
  </r>
  <r>
    <s v="#2048"/>
    <n v="1"/>
    <d v="2026-08-04T00:00:00"/>
    <s v="2026-08-04"/>
    <s v="Amanda Robinson"/>
    <x v="0"/>
    <s v="amanda.robinson263@icloud.com"/>
    <s v="Throw Blanket - Fleece"/>
    <x v="18"/>
    <s v="Home &amp; Kitchen"/>
    <x v="19"/>
    <n v="1"/>
    <n v="17.989999999999998"/>
    <n v="17.989999999999998"/>
    <m/>
    <x v="0"/>
    <n v="0"/>
    <n v="0"/>
    <s v="Number"/>
    <n v="5.99"/>
    <n v="5.99"/>
    <n v="23.98"/>
    <n v="23.98"/>
    <n v="23.979999999999997"/>
    <s v="True"/>
    <s v="Normal"/>
    <s v="Google Pay"/>
    <x v="0"/>
    <s v="fulfilled"/>
    <s v="United States"/>
    <s v="FL"/>
    <s v="Valid"/>
    <s v="North Amanda"/>
  </r>
  <r>
    <s v="#2052"/>
    <n v="1"/>
    <d v="2026-08-04T13:58:07"/>
    <d v="2026-08-04T13:58:07"/>
    <s v="Nicholas Jarvis"/>
    <x v="0"/>
    <s v="nicholas.jarvis112@icloud.com"/>
    <s v="Throw Blanket - Fleece"/>
    <x v="18"/>
    <s v="Home &amp; Kitchen"/>
    <x v="19"/>
    <n v="1"/>
    <n v="17.989999999999998"/>
    <n v="17.989999999999998"/>
    <m/>
    <x v="0"/>
    <s v="$0.00"/>
    <n v="0"/>
    <s v="Number"/>
    <n v="5.99"/>
    <n v="5.99"/>
    <n v="23.98"/>
    <n v="23.98"/>
    <n v="23.979999999999997"/>
    <s v="True"/>
    <s v="Normal"/>
    <s v="Google Pay"/>
    <x v="3"/>
    <s v="fulfilled"/>
    <s v="Canada"/>
    <m/>
    <s v="Not Required"/>
    <s v="Toddville"/>
  </r>
  <r>
    <s v="#2060"/>
    <n v="1"/>
    <d v="2026-08-04T14:00:24"/>
    <d v="2026-08-04T14:00:24"/>
    <s v="Megan Herman"/>
    <x v="0"/>
    <s v="megan.herman268@yahoo.com"/>
    <s v="Throw Blanket - Fleece"/>
    <x v="18"/>
    <s v="Home &amp; Kitchen"/>
    <x v="19"/>
    <n v="1"/>
    <n v="17.989999999999998"/>
    <n v="17.989999999999998"/>
    <m/>
    <x v="0"/>
    <s v="$0.00"/>
    <n v="0"/>
    <s v="Number"/>
    <n v="5.99"/>
    <n v="5.99"/>
    <s v="$23.98"/>
    <n v="23.98"/>
    <n v="23.979999999999997"/>
    <s v="True"/>
    <s v="Normal"/>
    <s v="Credit Card"/>
    <x v="2"/>
    <s v="pending"/>
    <s v="United States"/>
    <s v="Illinois"/>
    <s v="Valid"/>
    <s v="Spearsmouth"/>
  </r>
  <r>
    <s v="#2081"/>
    <n v="1"/>
    <d v="2026-08-04T14:03:17"/>
    <d v="2026-08-04T14:03:17"/>
    <s v="Samuel Smith"/>
    <x v="0"/>
    <s v="samuel.smith76@outlook.com"/>
    <s v="Throw Blanket - Fleece"/>
    <x v="18"/>
    <s v="Home &amp; Kitchen"/>
    <x v="19"/>
    <n v="1"/>
    <n v="17.989999999999998"/>
    <n v="17.989999999999998"/>
    <m/>
    <x v="0"/>
    <n v="0"/>
    <n v="0"/>
    <s v="Number"/>
    <n v="5.99"/>
    <n v="5.99"/>
    <n v="23.98"/>
    <n v="23.98"/>
    <n v="23.979999999999997"/>
    <s v="True"/>
    <s v="Normal"/>
    <s v="Credit Card"/>
    <x v="3"/>
    <s v="fulfilled"/>
    <s v="United Kingdom"/>
    <m/>
    <s v="Not Required"/>
    <s v="East Dominicbury"/>
  </r>
  <r>
    <s v="#2097"/>
    <n v="1"/>
    <d v="2026-08-04T14:01:01"/>
    <d v="2026-08-04T14:01:01"/>
    <s v="Glenn Smith"/>
    <x v="0"/>
    <s v="glenn.smith305@gmail.com"/>
    <s v="Throw Blanket - Fleece"/>
    <x v="18"/>
    <s v="Home &amp; Kitchen"/>
    <x v="19"/>
    <n v="1"/>
    <n v="17.989999999999998"/>
    <n v="17.989999999999998"/>
    <m/>
    <x v="0"/>
    <n v="0"/>
    <n v="0"/>
    <s v="Number"/>
    <n v="5.99"/>
    <n v="5.99"/>
    <n v="23.98"/>
    <n v="23.98"/>
    <n v="23.979999999999997"/>
    <s v="True"/>
    <s v="Normal"/>
    <s v="Credit Card"/>
    <x v="1"/>
    <s v="refunded"/>
    <s v="Canada"/>
    <m/>
    <s v="Not Required"/>
    <s v="North Tommy"/>
  </r>
  <r>
    <s v="#2111"/>
    <n v="1"/>
    <d v="2026-08-04T14:03:48"/>
    <d v="2026-08-04T14:03:48"/>
    <s v="Kelly Wyatt"/>
    <x v="0"/>
    <s v="kelly.wyatt277@yahoo.com"/>
    <s v="Throw Blanket - Fleece"/>
    <x v="18"/>
    <s v="Home &amp; Kitchen"/>
    <x v="19"/>
    <n v="2"/>
    <n v="17.989999999999998"/>
    <n v="17.989999999999998"/>
    <m/>
    <x v="0"/>
    <n v="0"/>
    <n v="0"/>
    <s v="Number"/>
    <n v="5.99"/>
    <n v="5.99"/>
    <n v="41.97"/>
    <n v="41.97"/>
    <n v="41.97"/>
    <s v="True"/>
    <s v="Normal"/>
    <s v="PayPal"/>
    <x v="0"/>
    <s v="fulfilled"/>
    <s v="Germany"/>
    <m/>
    <s v="Not Required"/>
    <s v="Johnsonfurt"/>
  </r>
  <r>
    <s v="#2115"/>
    <n v="1"/>
    <d v="2026-08-04T13:54:07"/>
    <d v="2026-08-04T13:54:07"/>
    <s v="Paul Pratt"/>
    <x v="0"/>
    <s v="paul.pratt856@outlook.com"/>
    <s v="Throw Blanket - Fleece"/>
    <x v="18"/>
    <s v="Home &amp; Kitchen"/>
    <x v="19"/>
    <n v="1"/>
    <n v="17.989999999999998"/>
    <n v="17.989999999999998"/>
    <m/>
    <x v="0"/>
    <n v="0"/>
    <n v="0"/>
    <s v="Number"/>
    <n v="4.99"/>
    <n v="4.99"/>
    <n v="22.98"/>
    <n v="22.98"/>
    <n v="22.979999999999997"/>
    <s v="True"/>
    <s v="Normal"/>
    <s v="Google Pay"/>
    <x v="0"/>
    <s v="refunded"/>
    <s v="United States"/>
    <s v="Illinois"/>
    <s v="Valid"/>
    <s v="Huffmanhaven"/>
  </r>
  <r>
    <s v="#2134"/>
    <n v="1"/>
    <d v="2026-08-04T14:03:16"/>
    <d v="2026-08-04T14:03:16"/>
    <s v="Chad Smith"/>
    <x v="0"/>
    <s v="chad.smith773@icloud.com"/>
    <s v="Throw Blanket - Fleece"/>
    <x v="18"/>
    <s v="Home &amp; Kitchen"/>
    <x v="19"/>
    <n v="3"/>
    <n v="17.989999999999998"/>
    <n v="17.989999999999998"/>
    <m/>
    <x v="0"/>
    <n v="0"/>
    <n v="0"/>
    <s v="Number"/>
    <n v="7.99"/>
    <n v="7.99"/>
    <n v="61.96"/>
    <n v="61.96"/>
    <n v="61.96"/>
    <s v="True"/>
    <s v="Normal"/>
    <s v="Shopify Payments"/>
    <x v="0"/>
    <s v="refunded"/>
    <s v="Pakistan"/>
    <m/>
    <s v="Not Required"/>
    <s v="North Samantha"/>
  </r>
  <r>
    <s v="#2139"/>
    <n v="1"/>
    <d v="2026-08-04T14:06:35"/>
    <d v="2026-08-04T14:06:35"/>
    <s v="Jaime Vargas"/>
    <x v="0"/>
    <s v="jaime.vargas795@outlook.com"/>
    <s v="Throw Blanket - Fleece"/>
    <x v="18"/>
    <s v="Home &amp; Kitchen"/>
    <x v="19"/>
    <n v="1"/>
    <n v="17.989999999999998"/>
    <n v="17.989999999999998"/>
    <s v="BFCM25"/>
    <x v="3"/>
    <n v="4.5"/>
    <n v="4.5"/>
    <s v="Number"/>
    <n v="4.99"/>
    <n v="4.99"/>
    <n v="18.48"/>
    <n v="18.48"/>
    <n v="18.479999999999997"/>
    <s v="True"/>
    <s v="Normal"/>
    <s v="Google Pay"/>
    <x v="3"/>
    <s v="fulfilled"/>
    <s v="United Kingdom"/>
    <m/>
    <s v="Not Required"/>
    <s v="North Anneton"/>
  </r>
  <r>
    <s v="#2142"/>
    <n v="1"/>
    <d v="2026-08-04T14:02:09"/>
    <d v="2026-08-04T14:02:09"/>
    <s v="Megan Herman"/>
    <x v="0"/>
    <s v="megan.herman268@yahoo.com"/>
    <s v="Throw Blanket - Fleece"/>
    <x v="18"/>
    <s v="Home &amp; Kitchen"/>
    <x v="19"/>
    <n v="1"/>
    <n v="17.989999999999998"/>
    <n v="17.989999999999998"/>
    <m/>
    <x v="0"/>
    <n v="0"/>
    <n v="0"/>
    <s v="Number"/>
    <n v="7.99"/>
    <n v="7.99"/>
    <n v="25.98"/>
    <n v="25.98"/>
    <n v="25.979999999999997"/>
    <s v="True"/>
    <s v="Normal"/>
    <s v="PayPal"/>
    <x v="2"/>
    <s v="fulfilled"/>
    <s v="United States"/>
    <s v="OH"/>
    <s v="Valid"/>
    <s v="Heatherbury"/>
  </r>
  <r>
    <s v="#2156"/>
    <n v="1"/>
    <d v="2026-08-04T14:03:35"/>
    <d v="2026-08-04T14:03:35"/>
    <s v="Alan Davis"/>
    <x v="0"/>
    <s v="alan.davis483@icloud.com"/>
    <s v="Throw Blanket - Fleece"/>
    <x v="18"/>
    <s v="Home &amp; Kitchen"/>
    <x v="19"/>
    <n v="1"/>
    <n v="17.989999999999998"/>
    <n v="17.989999999999998"/>
    <s v="FREESHIP"/>
    <x v="5"/>
    <n v="0"/>
    <n v="0"/>
    <s v="Number"/>
    <n v="0"/>
    <n v="0"/>
    <n v="17.989999999999998"/>
    <n v="17.989999999999998"/>
    <n v="17.989999999999998"/>
    <s v="True"/>
    <s v="Normal"/>
    <s v="Credit Card"/>
    <x v="3"/>
    <s v="pending"/>
    <s v="Canada"/>
    <m/>
    <s v="Not Required"/>
    <s v="East Melissastad"/>
  </r>
  <r>
    <s v="#2173"/>
    <n v="1"/>
    <d v="2026-08-04T13:54:21"/>
    <d v="2026-08-04T13:54:21"/>
    <s v="Courtney Bullock"/>
    <x v="0"/>
    <s v="courtney.bullock860@outlook.com"/>
    <s v="Throw Blanket - Fleece"/>
    <x v="18"/>
    <s v="Home &amp; Kitchen"/>
    <x v="19"/>
    <n v="1"/>
    <n v="17.989999999999998"/>
    <n v="17.989999999999998"/>
    <s v="VIP15"/>
    <x v="4"/>
    <n v="2.7"/>
    <n v="2.7"/>
    <s v="Number"/>
    <n v="4.99"/>
    <n v="4.99"/>
    <n v="20.28"/>
    <n v="20.28"/>
    <n v="20.28"/>
    <s v="True"/>
    <s v="Normal"/>
    <s v="Google Pay"/>
    <x v="2"/>
    <s v="fulfilled"/>
    <s v="United Kingdom"/>
    <m/>
    <s v="Not Required"/>
    <s v="Tracyshire"/>
  </r>
  <r>
    <s v="#2282"/>
    <n v="1"/>
    <d v="2026-08-04T13:54:08"/>
    <d v="2026-08-04T13:54:08"/>
    <s v="Amanda Rodriguez"/>
    <x v="0"/>
    <s v="amanda.rodriguez770@yahoo.com"/>
    <s v="Throw Blanket - Fleece"/>
    <x v="18"/>
    <s v="Home &amp; Kitchen"/>
    <x v="19"/>
    <n v="1"/>
    <n v="17.989999999999998"/>
    <n v="17.989999999999998"/>
    <s v="WELCOME10"/>
    <x v="1"/>
    <s v="$1.80"/>
    <n v="1.8"/>
    <s v="Number"/>
    <n v="4.99"/>
    <n v="4.99"/>
    <n v="21.18"/>
    <n v="21.18"/>
    <n v="21.18"/>
    <s v="True"/>
    <s v="Normal"/>
    <s v="Credit Card"/>
    <x v="1"/>
    <s v="refunded"/>
    <s v="United States"/>
    <s v="Ohio"/>
    <s v="Valid"/>
    <s v="East Wesleyberg"/>
  </r>
  <r>
    <s v="#2300"/>
    <n v="1"/>
    <d v="2026-08-04T13:55:16"/>
    <d v="2026-08-04T13:55:16"/>
    <s v="Christopher Martin"/>
    <x v="0"/>
    <s v="christopher.martin10@gmail.com"/>
    <s v="Throw Blanket - Fleece"/>
    <x v="18"/>
    <s v="Home &amp; Kitchen"/>
    <x v="19"/>
    <n v="2"/>
    <n v="17.989999999999998"/>
    <n v="17.989999999999998"/>
    <m/>
    <x v="0"/>
    <n v="0"/>
    <n v="0"/>
    <s v="Number"/>
    <n v="5.99"/>
    <n v="5.99"/>
    <n v="41.97"/>
    <n v="41.97"/>
    <n v="41.97"/>
    <s v="True"/>
    <s v="Normal"/>
    <s v="PayPal"/>
    <x v="0"/>
    <s v="refunded"/>
    <s v="United States"/>
    <s v="Ohio"/>
    <s v="Valid"/>
    <s v="Bestview"/>
  </r>
  <r>
    <s v="#2321"/>
    <n v="1"/>
    <d v="2026-08-04T14:01:41"/>
    <d v="2026-08-04T14:01:41"/>
    <s v="William Houston"/>
    <x v="0"/>
    <s v="william.houston340@outlook.com"/>
    <s v="Throw Blanket - Fleece"/>
    <x v="18"/>
    <s v="Home &amp; Kitchen"/>
    <x v="19"/>
    <n v="2"/>
    <n v="17.989999999999998"/>
    <n v="17.989999999999998"/>
    <s v="BFCM25"/>
    <x v="3"/>
    <n v="8.99"/>
    <n v="8.99"/>
    <s v="Number"/>
    <n v="7.99"/>
    <n v="7.99"/>
    <n v="34.979999999999997"/>
    <n v="34.979999999999997"/>
    <n v="34.979999999999997"/>
    <s v="True"/>
    <s v="Normal"/>
    <s v="Shopify Payments"/>
    <x v="0"/>
    <s v="fulfilled"/>
    <s v="United States"/>
    <s v="Ohio"/>
    <s v="Valid"/>
    <s v="New Keith"/>
  </r>
  <r>
    <s v="#2325"/>
    <n v="1"/>
    <d v="2026-08-04T13:57:27"/>
    <d v="2026-08-04T13:57:27"/>
    <s v="Anthony Mullen"/>
    <x v="0"/>
    <s v="anthony.mullen523@yahoo.com"/>
    <s v="Throw Blanket - Fleece"/>
    <x v="18"/>
    <s v="Home &amp; Kitchen"/>
    <x v="19"/>
    <n v="1"/>
    <n v="17.989999999999998"/>
    <n v="17.989999999999998"/>
    <m/>
    <x v="0"/>
    <n v="0"/>
    <n v="0"/>
    <s v="Number"/>
    <n v="5.99"/>
    <n v="5.99"/>
    <n v="23.98"/>
    <n v="23.98"/>
    <n v="23.979999999999997"/>
    <s v="True"/>
    <s v="Normal"/>
    <s v="PayPal"/>
    <x v="0"/>
    <s v="fulfilled"/>
    <s v="United States"/>
    <s v="Georgia"/>
    <s v="Valid"/>
    <s v="West Cole"/>
  </r>
  <r>
    <s v="#2334"/>
    <n v="1"/>
    <d v="2026-08-04T14:01:26"/>
    <d v="2026-08-04T14:01:26"/>
    <s v="Melissa James"/>
    <x v="0"/>
    <s v="melissa.james674@outlook.com"/>
    <s v="Throw Blanket - Fleece"/>
    <x v="18"/>
    <s v="Home &amp; Kitchen"/>
    <x v="19"/>
    <n v="1"/>
    <n v="17.989999999999998"/>
    <n v="17.989999999999998"/>
    <m/>
    <x v="0"/>
    <n v="0"/>
    <n v="0"/>
    <s v="Number"/>
    <n v="5.99"/>
    <n v="5.99"/>
    <n v="23.98"/>
    <n v="23.98"/>
    <n v="23.979999999999997"/>
    <s v="True"/>
    <s v="Normal"/>
    <s v="Shopify Payments"/>
    <x v="0"/>
    <s v="cancelled"/>
    <s v="United States"/>
    <s v="Illinois"/>
    <s v="Valid"/>
    <s v="Lake Claudiastad"/>
  </r>
  <r>
    <s v="#2341"/>
    <n v="1"/>
    <d v="2026-08-04T14:07:30"/>
    <d v="2026-08-04T14:07:30"/>
    <s v="Kayla Cruz"/>
    <x v="0"/>
    <s v="kayla.cruz151@outlook.com"/>
    <s v="Throw Blanket - Fleece"/>
    <x v="18"/>
    <s v="Home &amp; Kitchen"/>
    <x v="19"/>
    <n v="1"/>
    <n v="17.989999999999998"/>
    <n v="17.989999999999998"/>
    <s v="BFCM25"/>
    <x v="3"/>
    <n v="4.5"/>
    <n v="4.5"/>
    <s v="Number"/>
    <n v="5.99"/>
    <n v="5.99"/>
    <n v="19.48"/>
    <n v="19.48"/>
    <n v="19.479999999999997"/>
    <s v="True"/>
    <s v="Normal"/>
    <s v="Apple Pay"/>
    <x v="2"/>
    <s v="fulfilled"/>
    <s v="Pakistan"/>
    <m/>
    <s v="Not Required"/>
    <s v="North Kimberly"/>
  </r>
  <r>
    <s v="#2355"/>
    <n v="1"/>
    <d v="2026-08-04T13:56:12"/>
    <d v="2026-08-04T13:56:12"/>
    <s v="Thomas Hall"/>
    <x v="0"/>
    <s v="thomas.hall134@gmail.com"/>
    <s v="Throw Blanket - Fleece"/>
    <x v="18"/>
    <s v="Home &amp; Kitchen"/>
    <x v="19"/>
    <n v="1"/>
    <n v="17.989999999999998"/>
    <n v="17.989999999999998"/>
    <s v="VIP15"/>
    <x v="4"/>
    <n v="2.7"/>
    <n v="2.7"/>
    <s v="Number"/>
    <n v="4.99"/>
    <n v="4.99"/>
    <s v="$20.28"/>
    <n v="20.28"/>
    <n v="20.28"/>
    <s v="True"/>
    <s v="Normal"/>
    <s v="Google Pay"/>
    <x v="0"/>
    <s v="cancelled"/>
    <s v="Canada"/>
    <m/>
    <s v="Not Required"/>
    <s v="Wilsonborough"/>
  </r>
  <r>
    <s v="#2387"/>
    <n v="1"/>
    <d v="2026-08-04T00:00:00"/>
    <s v="04-08-2026 13:58"/>
    <s v="Kimberly Williams"/>
    <x v="1"/>
    <m/>
    <s v="Throw Blanket - Fleece"/>
    <x v="18"/>
    <s v="Home &amp; Kitchen"/>
    <x v="19"/>
    <n v="1"/>
    <n v="17.989999999999998"/>
    <n v="17.989999999999998"/>
    <s v="VIP15"/>
    <x v="4"/>
    <n v="2.7"/>
    <n v="2.7"/>
    <s v="Number"/>
    <n v="5.99"/>
    <n v="5.99"/>
    <n v="21.28"/>
    <n v="21.28"/>
    <n v="21.28"/>
    <s v="True"/>
    <s v="Normal"/>
    <s v="Google Pay"/>
    <x v="0"/>
    <s v="fulfilled"/>
    <s v="United Kingdom"/>
    <m/>
    <s v="Not Required"/>
    <s v="Guzmanfort"/>
  </r>
  <r>
    <s v="#2398"/>
    <n v="1"/>
    <d v="2026-08-04T00:00:00"/>
    <s v="2026-08-04"/>
    <s v="Eric Golden"/>
    <x v="0"/>
    <s v="eric.golden379@outlook.com"/>
    <s v="Throw Blanket - Fleece"/>
    <x v="18"/>
    <s v="Home &amp; Kitchen"/>
    <x v="19"/>
    <n v="1"/>
    <n v="17.989999999999998"/>
    <n v="17.989999999999998"/>
    <s v="FREESHIP"/>
    <x v="5"/>
    <n v="0"/>
    <n v="0"/>
    <s v="Number"/>
    <n v="0"/>
    <n v="0"/>
    <n v="17.989999999999998"/>
    <n v="17.989999999999998"/>
    <n v="17.989999999999998"/>
    <s v="True"/>
    <s v="Normal"/>
    <s v="Google Pay"/>
    <x v="1"/>
    <s v="pending"/>
    <s v="United States"/>
    <s v="Ohio"/>
    <s v="Valid"/>
    <s v="Lake Devinstad"/>
  </r>
  <r>
    <s v="#2400"/>
    <n v="1"/>
    <d v="2026-08-04T00:00:00"/>
    <s v="2026-08-04"/>
    <s v="Kiara Burke"/>
    <x v="0"/>
    <s v="kiara.burke246@yahoo.com"/>
    <s v="Throw Blanket - Fleece"/>
    <x v="18"/>
    <s v="Home &amp; Kitchen"/>
    <x v="19"/>
    <n v="2"/>
    <n v="17.989999999999998"/>
    <n v="17.989999999999998"/>
    <m/>
    <x v="0"/>
    <n v="0"/>
    <n v="0"/>
    <s v="Number"/>
    <n v="4.99"/>
    <n v="4.99"/>
    <n v="40.97"/>
    <n v="40.97"/>
    <n v="40.97"/>
    <s v="True"/>
    <s v="Normal"/>
    <s v="Apple Pay"/>
    <x v="1"/>
    <s v="cancelled"/>
    <s v="Germany"/>
    <m/>
    <s v="Not Required"/>
    <s v="Port Amy"/>
  </r>
  <r>
    <s v="#2429"/>
    <n v="1"/>
    <d v="2026-08-04T13:54:12"/>
    <d v="2026-08-04T13:54:12"/>
    <s v="Sandra Potter"/>
    <x v="0"/>
    <s v="sandra.potter166@yahoo.com"/>
    <s v="Throw Blanket - Fleece"/>
    <x v="18"/>
    <s v="Home &amp; Kitchen"/>
    <x v="19"/>
    <n v="1"/>
    <n v="17.989999999999998"/>
    <n v="17.989999999999998"/>
    <s v="VIP15"/>
    <x v="4"/>
    <n v="2.7"/>
    <n v="2.7"/>
    <s v="Number"/>
    <n v="5.99"/>
    <n v="5.99"/>
    <n v="21.28"/>
    <n v="21.28"/>
    <n v="21.28"/>
    <s v="True"/>
    <s v="Normal"/>
    <s v="Credit Card"/>
    <x v="1"/>
    <s v="cancelled"/>
    <s v="United States"/>
    <s v="Georgia"/>
    <s v="Valid"/>
    <s v="Elizabethborough"/>
  </r>
  <r>
    <s v="#2444"/>
    <n v="1"/>
    <d v="2026-08-04T14:00:54"/>
    <d v="2026-08-04T14:00:54"/>
    <s v="Mark Woods"/>
    <x v="0"/>
    <s v="mark.woods108@yahoo.com"/>
    <s v="Throw Blanket - Fleece"/>
    <x v="18"/>
    <s v="Home &amp; Kitchen"/>
    <x v="19"/>
    <n v="1"/>
    <n v="17.989999999999998"/>
    <n v="17.989999999999998"/>
    <m/>
    <x v="0"/>
    <n v="0"/>
    <n v="0"/>
    <s v="Number"/>
    <n v="5.99"/>
    <n v="5.99"/>
    <n v="23.98"/>
    <n v="23.98"/>
    <n v="23.979999999999997"/>
    <s v="True"/>
    <s v="Normal"/>
    <s v="Shopify Payments"/>
    <x v="0"/>
    <s v="fulfilled"/>
    <s v="United States"/>
    <s v="Illinois"/>
    <s v="Valid"/>
    <s v="South Justinland"/>
  </r>
  <r>
    <s v="#2451"/>
    <n v="1"/>
    <d v="2026-08-04T14:05:00"/>
    <d v="2026-08-04T14:05:00"/>
    <s v="Vincent Rosales"/>
    <x v="0"/>
    <s v="vincent.rosales30@icloud.com"/>
    <s v="Throw Blanket - Fleece"/>
    <x v="18"/>
    <s v="Home &amp; Kitchen"/>
    <x v="19"/>
    <n v="2"/>
    <n v="17.989999999999998"/>
    <n v="17.989999999999998"/>
    <s v="SAVE20"/>
    <x v="2"/>
    <n v="7.2"/>
    <n v="7.2"/>
    <s v="Number"/>
    <n v="4.99"/>
    <n v="4.99"/>
    <s v="$33.77"/>
    <n v="33.770000000000003"/>
    <n v="33.769999999999996"/>
    <s v="True"/>
    <s v="Normal"/>
    <s v="PayPal"/>
    <x v="0"/>
    <s v="fulfilled"/>
    <s v="United States"/>
    <s v="Washington"/>
    <s v="Valid"/>
    <s v="South Nathanville"/>
  </r>
  <r>
    <s v="#2460"/>
    <n v="1"/>
    <d v="2026-08-04T14:04:58"/>
    <d v="2026-08-04T14:04:58"/>
    <s v="Dawn Randolph"/>
    <x v="0"/>
    <s v="dawn.randolph179@icloud.com"/>
    <s v="Throw Blanket - Fleece"/>
    <x v="18"/>
    <s v="Home &amp; Kitchen"/>
    <x v="19"/>
    <n v="2"/>
    <n v="17.989999999999998"/>
    <n v="17.989999999999998"/>
    <s v="WELCOME10"/>
    <x v="1"/>
    <n v="3.6"/>
    <n v="3.6"/>
    <s v="Number"/>
    <n v="5.99"/>
    <n v="5.99"/>
    <n v="38.369999999999997"/>
    <n v="38.369999999999997"/>
    <n v="38.369999999999997"/>
    <s v="True"/>
    <s v="Normal"/>
    <s v="Apple Pay"/>
    <x v="3"/>
    <s v="fulfilled"/>
    <s v="Pakistan"/>
    <m/>
    <s v="Not Required"/>
    <s v="East Darryl"/>
  </r>
  <r>
    <s v="#2468"/>
    <n v="1"/>
    <d v="2026-08-04T13:57:04"/>
    <d v="2026-08-04T13:57:04"/>
    <s v="Brooke Crawford"/>
    <x v="0"/>
    <s v="brooke.crawford896@outlook.com"/>
    <s v="Throw Blanket - Fleece"/>
    <x v="18"/>
    <s v="Home &amp; Kitchen"/>
    <x v="19"/>
    <n v="4"/>
    <n v="17.989999999999998"/>
    <n v="17.989999999999998"/>
    <m/>
    <x v="0"/>
    <n v="0"/>
    <n v="0"/>
    <s v="Number"/>
    <n v="5.99"/>
    <n v="5.99"/>
    <n v="77.95"/>
    <n v="77.95"/>
    <n v="77.949999999999989"/>
    <s v="True"/>
    <s v="Normal"/>
    <s v="Credit Card"/>
    <x v="3"/>
    <s v="fulfilled"/>
    <s v="Pakistan"/>
    <m/>
    <s v="Not Required"/>
    <s v="East Anthony"/>
  </r>
  <r>
    <s v="#2526"/>
    <n v="1"/>
    <d v="2026-04-08T00:00:00"/>
    <s v="08/04/2026"/>
    <s v="Stacey Johnson"/>
    <x v="0"/>
    <s v="stacey.johnson95@gmail.com"/>
    <s v="Throw Blanket - Fleece"/>
    <x v="18"/>
    <s v="Home &amp; Kitchen"/>
    <x v="19"/>
    <n v="1"/>
    <n v="17.989999999999998"/>
    <n v="17.989999999999998"/>
    <s v=" WELCOME10 "/>
    <x v="1"/>
    <n v="1.8"/>
    <n v="1.8"/>
    <s v="Number"/>
    <n v="4.99"/>
    <n v="4.99"/>
    <n v="21.18"/>
    <n v="21.18"/>
    <n v="21.18"/>
    <s v="True"/>
    <s v="Normal"/>
    <s v="Google Pay"/>
    <x v="0"/>
    <s v="fulfilled"/>
    <s v="Germany"/>
    <m/>
    <s v="Not Required"/>
    <s v="West Shaunberg"/>
  </r>
  <r>
    <s v="#2551"/>
    <n v="1"/>
    <d v="2026-08-04T14:00:12"/>
    <d v="2026-08-04T14:00:12"/>
    <s v="Amanda Rodriguez"/>
    <x v="0"/>
    <s v="amanda.rodriguez770@yahoo.com"/>
    <s v="Throw Blanket - Fleece"/>
    <x v="18"/>
    <s v="Home &amp; Kitchen"/>
    <x v="19"/>
    <n v="2"/>
    <n v="17.989999999999998"/>
    <n v="17.989999999999998"/>
    <s v="BFCM25"/>
    <x v="3"/>
    <n v="8.99"/>
    <n v="8.99"/>
    <s v="Number"/>
    <n v="5.99"/>
    <n v="5.99"/>
    <n v="32.979999999999997"/>
    <n v="32.979999999999997"/>
    <n v="32.979999999999997"/>
    <s v="True"/>
    <s v="Normal"/>
    <s v="PayPal"/>
    <x v="0"/>
    <s v="fulfilled"/>
    <s v="United States"/>
    <s v="IL"/>
    <s v="Valid"/>
    <s v="Karentown"/>
  </r>
  <r>
    <s v="#2565"/>
    <n v="1"/>
    <d v="2026-08-04T13:53:39"/>
    <d v="2026-08-04T13:53:39"/>
    <s v="Amanda Robinson"/>
    <x v="0"/>
    <s v="amanda.robinson263@icloud.com"/>
    <s v="Throw Blanket - Fleece"/>
    <x v="18"/>
    <s v="Home &amp; Kitchen"/>
    <x v="19"/>
    <n v="1"/>
    <n v="17.989999999999998"/>
    <n v="17.989999999999998"/>
    <s v="FREESHIP"/>
    <x v="5"/>
    <n v="0"/>
    <n v="0"/>
    <s v="Number"/>
    <n v="0"/>
    <n v="0"/>
    <n v="17.989999999999998"/>
    <n v="17.989999999999998"/>
    <n v="17.989999999999998"/>
    <s v="True"/>
    <s v="Normal"/>
    <s v="Google Pay"/>
    <x v="0"/>
    <s v="refunded"/>
    <s v="United States"/>
    <s v="Illinois"/>
    <s v="Valid"/>
    <s v="Lukehaven"/>
  </r>
  <r>
    <s v="#2579"/>
    <n v="1"/>
    <d v="2026-08-04T00:00:00"/>
    <s v="2026-08-04"/>
    <s v="Andrew Cross"/>
    <x v="0"/>
    <s v="andrew.cross512@yahoo.com"/>
    <s v="Throw Blanket - Fleece"/>
    <x v="18"/>
    <s v="Home &amp; Kitchen"/>
    <x v="19"/>
    <n v="2"/>
    <n v="17.989999999999998"/>
    <n v="17.989999999999998"/>
    <s v="VIP15"/>
    <x v="4"/>
    <n v="5.4"/>
    <n v="5.4"/>
    <s v="Number"/>
    <n v="7.99"/>
    <n v="7.99"/>
    <n v="38.57"/>
    <n v="38.57"/>
    <n v="38.57"/>
    <s v="True"/>
    <s v="Normal"/>
    <s v="Shopify Payments"/>
    <x v="0"/>
    <s v="fulfilled"/>
    <s v="United States"/>
    <s v="Illinois"/>
    <s v="Valid"/>
    <s v="Lake Jason"/>
  </r>
  <r>
    <s v="#2590"/>
    <n v="1"/>
    <d v="2026-08-04T14:08:05"/>
    <d v="2026-08-04T14:08:05"/>
    <s v="Vincent Rosales"/>
    <x v="0"/>
    <s v="vincent.rosales30@icloud.com"/>
    <s v="Throw Blanket - Fleece"/>
    <x v="18"/>
    <s v="Home &amp; Kitchen"/>
    <x v="19"/>
    <n v="1"/>
    <n v="17.989999999999998"/>
    <n v="17.989999999999998"/>
    <m/>
    <x v="0"/>
    <n v="0"/>
    <n v="0"/>
    <s v="Number"/>
    <n v="4.99"/>
    <n v="4.99"/>
    <n v="22.98"/>
    <n v="22.98"/>
    <n v="22.979999999999997"/>
    <s v="True"/>
    <s v="Normal"/>
    <s v="Google Pay"/>
    <x v="3"/>
    <s v="fulfilled"/>
    <s v="United States"/>
    <s v="Texas"/>
    <s v="Valid"/>
    <s v="West Howardland"/>
  </r>
  <r>
    <s v="#2619"/>
    <n v="1"/>
    <d v="2026-08-04T14:00:11"/>
    <d v="2026-08-04T14:00:11"/>
    <s v="Carly Johnson"/>
    <x v="0"/>
    <s v="carly.johnson664@gmail.com"/>
    <s v="Throw Blanket - Fleece"/>
    <x v="18"/>
    <s v="Home &amp; Kitchen"/>
    <x v="19"/>
    <n v="1"/>
    <n v="17.989999999999998"/>
    <n v="17.989999999999998"/>
    <m/>
    <x v="0"/>
    <s v="$0.00"/>
    <n v="0"/>
    <s v="Number"/>
    <n v="7.99"/>
    <n v="7.99"/>
    <n v="25.98"/>
    <n v="25.98"/>
    <n v="25.979999999999997"/>
    <s v="True"/>
    <s v="Normal"/>
    <s v="Credit Card"/>
    <x v="0"/>
    <s v="refunded"/>
    <s v="Germany"/>
    <m/>
    <s v="Not Required"/>
    <s v="Reedtown"/>
  </r>
  <r>
    <s v="#2620"/>
    <n v="1"/>
    <d v="2026-08-04T00:00:00"/>
    <s v="04-08-2026 13:59"/>
    <s v="Amanda Robinson"/>
    <x v="0"/>
    <s v="amanda.robinson263@icloud.com"/>
    <s v="Throw Blanket - Fleece"/>
    <x v="18"/>
    <s v="Home &amp; Kitchen"/>
    <x v="19"/>
    <n v="1"/>
    <n v="17.989999999999998"/>
    <n v="17.989999999999998"/>
    <s v="SAVE20"/>
    <x v="2"/>
    <n v="3.6"/>
    <n v="3.6"/>
    <s v="Number"/>
    <n v="4.99"/>
    <n v="4.99"/>
    <n v="19.38"/>
    <n v="19.38"/>
    <n v="19.38"/>
    <s v="True"/>
    <s v="Normal"/>
    <s v="PayPal"/>
    <x v="0"/>
    <s v="fulfilled"/>
    <s v="United States"/>
    <s v="California"/>
    <s v="Valid"/>
    <s v="Lake Lori"/>
  </r>
  <r>
    <s v="#2639"/>
    <n v="1"/>
    <d v="2026-08-04T13:57:42"/>
    <d v="2026-08-04T13:57:42"/>
    <s v="Lauren Nguyen"/>
    <x v="0"/>
    <s v="lauren.nguyen819@outlook.com"/>
    <s v="Throw Blanket - Fleece"/>
    <x v="18"/>
    <s v="Home &amp; Kitchen"/>
    <x v="19"/>
    <n v="2"/>
    <n v="17.989999999999998"/>
    <n v="17.989999999999998"/>
    <m/>
    <x v="0"/>
    <n v="0"/>
    <n v="0"/>
    <s v="Number"/>
    <n v="4.99"/>
    <n v="4.99"/>
    <n v="40.97"/>
    <n v="40.97"/>
    <n v="40.97"/>
    <s v="True"/>
    <s v="Normal"/>
    <s v="Credit Card"/>
    <x v="0"/>
    <s v="cancelled"/>
    <s v="United Kingdom"/>
    <m/>
    <s v="Not Required"/>
    <s v="Port Natalieport"/>
  </r>
  <r>
    <s v="#2652"/>
    <n v="1"/>
    <d v="2026-08-04T14:01:11"/>
    <d v="2026-08-04T14:01:11"/>
    <s v="Tiffany Jones"/>
    <x v="0"/>
    <s v="tiffany.jones564@outlook.com"/>
    <s v="Throw Blanket - Fleece"/>
    <x v="18"/>
    <s v="Home &amp; Kitchen"/>
    <x v="19"/>
    <n v="1"/>
    <n v="17.989999999999998"/>
    <n v="17.989999999999998"/>
    <m/>
    <x v="0"/>
    <n v="0"/>
    <n v="0"/>
    <s v="Number"/>
    <n v="7.99"/>
    <n v="7.99"/>
    <n v="25.98"/>
    <n v="25.98"/>
    <n v="25.979999999999997"/>
    <s v="True"/>
    <s v="Normal"/>
    <s v="PayPal"/>
    <x v="0"/>
    <s v="refunded"/>
    <s v="Germany"/>
    <m/>
    <s v="Not Required"/>
    <s v="South Juliafort"/>
  </r>
  <r>
    <s v="#2685"/>
    <n v="1"/>
    <d v="2026-08-04T13:54:00"/>
    <d v="2026-08-04T13:54:00"/>
    <s v="Kiara Burke"/>
    <x v="0"/>
    <s v="kiara.burke246@yahoo.com"/>
    <s v="Throw Blanket - Fleece"/>
    <x v="18"/>
    <s v="Home &amp; Kitchen"/>
    <x v="19"/>
    <n v="1"/>
    <n v="17.989999999999998"/>
    <n v="17.989999999999998"/>
    <m/>
    <x v="0"/>
    <n v="0"/>
    <n v="0"/>
    <s v="Number"/>
    <n v="5.99"/>
    <n v="5.99"/>
    <n v="23.98"/>
    <n v="23.98"/>
    <n v="23.979999999999997"/>
    <s v="True"/>
    <s v="Normal"/>
    <s v="Apple Pay"/>
    <x v="1"/>
    <s v="fulfilled"/>
    <s v="Germany"/>
    <m/>
    <s v="Not Required"/>
    <s v="Lake Patriciaview"/>
  </r>
  <r>
    <s v="#2828"/>
    <n v="1"/>
    <d v="2026-08-04T13:58:51"/>
    <d v="2026-08-04T13:58:51"/>
    <s v="Michael Wilson"/>
    <x v="0"/>
    <s v="michael.wilson464@icloud.com"/>
    <s v="Throw Blanket - Fleece"/>
    <x v="18"/>
    <s v="Home &amp; Kitchen"/>
    <x v="19"/>
    <n v="1"/>
    <s v="$17.99"/>
    <n v="17.989999999999998"/>
    <m/>
    <x v="0"/>
    <n v="0"/>
    <n v="0"/>
    <s v="Number"/>
    <n v="7.99"/>
    <n v="7.99"/>
    <s v="$25.98"/>
    <n v="25.98"/>
    <n v="25.979999999999997"/>
    <s v="True"/>
    <s v="Normal"/>
    <s v="PayPal"/>
    <x v="2"/>
    <s v="refunded"/>
    <s v="Australia"/>
    <m/>
    <s v="Not Required"/>
    <s v="East Nicoleburgh"/>
  </r>
  <r>
    <s v="#2933"/>
    <n v="1"/>
    <d v="2026-08-04T14:06:28"/>
    <d v="2026-08-04T14:06:28"/>
    <s v="Joseph Martin"/>
    <x v="0"/>
    <s v="joseph.martin348@icloud.com"/>
    <s v="Throw Blanket - Fleece"/>
    <x v="18"/>
    <s v="Home &amp; Kitchen"/>
    <x v="19"/>
    <n v="2"/>
    <n v="17.989999999999998"/>
    <n v="17.989999999999998"/>
    <s v="SAVE20"/>
    <x v="2"/>
    <n v="7.2"/>
    <n v="7.2"/>
    <s v="Number"/>
    <n v="5.99"/>
    <n v="5.99"/>
    <n v="34.770000000000003"/>
    <n v="34.770000000000003"/>
    <n v="34.769999999999996"/>
    <s v="True"/>
    <s v="Normal"/>
    <s v="PayPal"/>
    <x v="0"/>
    <s v="pending"/>
    <s v="United States"/>
    <s v="Ohio"/>
    <s v="Valid"/>
    <s v="East Kimberly"/>
  </r>
  <r>
    <s v="#2944"/>
    <n v="1"/>
    <d v="2026-08-04T00:00:00"/>
    <s v="Aug 04, 2026"/>
    <s v="Sean Frank"/>
    <x v="0"/>
    <s v="sean.frank587@icloud.com"/>
    <s v="Throw Blanket - Fleece"/>
    <x v="18"/>
    <s v="Home &amp; Kitchen"/>
    <x v="19"/>
    <n v="2"/>
    <n v="17.989999999999998"/>
    <n v="17.989999999999998"/>
    <s v="VIP15"/>
    <x v="4"/>
    <n v="5.4"/>
    <n v="5.4"/>
    <s v="Number"/>
    <n v="5.99"/>
    <n v="5.99"/>
    <n v="36.57"/>
    <n v="36.57"/>
    <n v="36.57"/>
    <s v="True"/>
    <s v="Normal"/>
    <s v="Apple Pay"/>
    <x v="0"/>
    <s v="fulfilled"/>
    <s v="Australia"/>
    <m/>
    <s v="Not Required"/>
    <s v="North Melanie"/>
  </r>
  <r>
    <s v="#2150"/>
    <n v="1"/>
    <d v="2026-08-04T14:00:43"/>
    <d v="2026-08-04T14:00:43"/>
    <s v="Timothy Hodges"/>
    <x v="0"/>
    <s v="timothy.hodges687@icloud.com"/>
    <s v="USB-C Fast Charger 20W"/>
    <x v="19"/>
    <s v="Electronics"/>
    <x v="20"/>
    <n v="2"/>
    <n v="15.49"/>
    <n v="15.49"/>
    <m/>
    <x v="0"/>
    <n v="0"/>
    <n v="0"/>
    <s v="Number"/>
    <n v="7.99"/>
    <n v="7.99"/>
    <n v="38.97"/>
    <n v="38.97"/>
    <n v="38.97"/>
    <s v="True"/>
    <s v="Normal"/>
    <s v="Apple Pay"/>
    <x v="1"/>
    <s v="cancelled"/>
    <s v="Australia"/>
    <m/>
    <s v="Not Required"/>
    <s v="East Kimberlyborough"/>
  </r>
  <r>
    <s v="#2576"/>
    <n v="1"/>
    <d v="2026-08-04T13:58:27"/>
    <d v="2026-08-04T13:58:27"/>
    <s v="Test Order"/>
    <x v="0"/>
    <s v="test@test.com"/>
    <s v="USB-C Fast Charger 20W"/>
    <x v="19"/>
    <s v="Electronics"/>
    <x v="20"/>
    <n v="1"/>
    <n v="15.49"/>
    <n v="15.49"/>
    <s v="FREESHIP"/>
    <x v="5"/>
    <s v="$0.00"/>
    <n v="0"/>
    <s v="Number"/>
    <n v="0"/>
    <n v="0"/>
    <n v="0"/>
    <n v="0"/>
    <n v="15.49"/>
    <s v="False"/>
    <s v="Normal"/>
    <s v="Shopify Payments"/>
    <x v="3"/>
    <s v="refunded"/>
    <s v="United States"/>
    <s v="Illinois"/>
    <s v="Valid"/>
    <s v="New Courtney"/>
  </r>
  <r>
    <s v="#2690"/>
    <n v="1"/>
    <d v="2026-08-04T14:01:01"/>
    <d v="2026-08-04T14:01:01"/>
    <s v="Stacy Webb"/>
    <x v="0"/>
    <s v="stacy.webb586@yahoo.com"/>
    <s v="USB-C Fast Charger 20W"/>
    <x v="19"/>
    <s v="Electronics"/>
    <x v="20"/>
    <n v="1"/>
    <s v="$15.49"/>
    <n v="15.49"/>
    <s v="VIP15"/>
    <x v="4"/>
    <n v="2.3199999999999998"/>
    <n v="2.3199999999999998"/>
    <s v="Number"/>
    <n v="7.99"/>
    <n v="7.99"/>
    <n v="21.16"/>
    <n v="21.16"/>
    <n v="21.16"/>
    <s v="True"/>
    <s v="Normal"/>
    <s v="PayPal"/>
    <x v="2"/>
    <s v="fulfilled"/>
    <s v="United States"/>
    <s v="NC"/>
    <s v="Valid"/>
    <s v="Andrewton"/>
  </r>
  <r>
    <s v="#1040"/>
    <n v="1"/>
    <d v="2026-08-04T14:03:43"/>
    <d v="2026-08-04T14:03:43"/>
    <s v="  Monica Hicks"/>
    <x v="0"/>
    <s v="monica.hicks473@yahoo.com"/>
    <s v="USB-C Fast Charger 20W"/>
    <x v="19"/>
    <s v="Electronics"/>
    <x v="20"/>
    <n v="1"/>
    <n v="15.49"/>
    <n v="15.49"/>
    <m/>
    <x v="0"/>
    <n v="0"/>
    <n v="0"/>
    <s v="Number"/>
    <n v="7.99"/>
    <n v="7.99"/>
    <n v="23.48"/>
    <n v="23.48"/>
    <n v="23.48"/>
    <s v="True"/>
    <s v="Normal"/>
    <s v="Google Pay"/>
    <x v="2"/>
    <s v="fulfilled"/>
    <s v="United States"/>
    <s v="Georgia"/>
    <s v="Valid"/>
    <s v="West Lanceview"/>
  </r>
  <r>
    <s v="#1045"/>
    <n v="1"/>
    <d v="2026-08-04T14:08:13"/>
    <d v="2026-08-04T14:08:13"/>
    <s v="Jose Ingram"/>
    <x v="0"/>
    <s v="jose.ingram37@gmail.com"/>
    <s v="USB-C Fast Charger 20W"/>
    <x v="19"/>
    <s v="Electronics"/>
    <x v="20"/>
    <n v="1"/>
    <n v="15.49"/>
    <n v="15.49"/>
    <m/>
    <x v="0"/>
    <n v="0"/>
    <n v="0"/>
    <s v="Number"/>
    <n v="5.99"/>
    <n v="5.99"/>
    <n v="21.48"/>
    <n v="21.48"/>
    <n v="21.48"/>
    <s v="True"/>
    <s v="Normal"/>
    <s v="Credit Card"/>
    <x v="1"/>
    <s v="fulfilled"/>
    <s v="United States"/>
    <s v="Canada"/>
    <s v="Valid"/>
    <s v="Port Rosebury"/>
  </r>
  <r>
    <s v="#1053"/>
    <n v="1"/>
    <d v="2026-08-04T14:08:09"/>
    <d v="2026-08-04T14:08:09"/>
    <s v="Anthony Parsons"/>
    <x v="1"/>
    <m/>
    <s v="USB-C Fast Charger 20W"/>
    <x v="19"/>
    <s v="Electronics"/>
    <x v="20"/>
    <n v="2"/>
    <s v="$15.49"/>
    <n v="15.49"/>
    <m/>
    <x v="0"/>
    <n v="0"/>
    <n v="0"/>
    <s v="Number"/>
    <n v="4.99"/>
    <n v="4.99"/>
    <n v="35.97"/>
    <n v="35.97"/>
    <n v="35.97"/>
    <s v="True"/>
    <s v="Normal"/>
    <s v="Google Pay"/>
    <x v="3"/>
    <s v="cancelled"/>
    <s v="United States"/>
    <s v="North Carolina"/>
    <s v="Valid"/>
    <s v="Alexanderland"/>
  </r>
  <r>
    <s v="#1057"/>
    <n v="1"/>
    <d v="2026-08-04T13:58:48"/>
    <d v="2026-08-04T13:58:48"/>
    <s v="Melissa Smith"/>
    <x v="0"/>
    <s v="melissa.smith711@gmail.com"/>
    <s v="USB-C Fast Charger 20W"/>
    <x v="19"/>
    <s v="Electronics"/>
    <x v="20"/>
    <n v="1"/>
    <n v="15.49"/>
    <n v="15.49"/>
    <s v="WELCOME10"/>
    <x v="1"/>
    <n v="1.55"/>
    <n v="1.55"/>
    <s v="Number"/>
    <n v="5.99"/>
    <n v="5.99"/>
    <n v="19.93"/>
    <n v="19.93"/>
    <n v="19.93"/>
    <s v="True"/>
    <s v="Normal"/>
    <s v="Shopify Payments"/>
    <x v="0"/>
    <s v="fulfilled"/>
    <s v="Pakistan"/>
    <m/>
    <s v="Not Required"/>
    <s v="Nancymouth"/>
  </r>
  <r>
    <s v="#1110"/>
    <n v="1"/>
    <d v="2026-08-04T14:02:51"/>
    <d v="2026-08-04T14:02:51"/>
    <s v="Ryan Jones"/>
    <x v="0"/>
    <s v="ryan.jones314@gmail.com"/>
    <s v="USB-C Fast Charger 20W"/>
    <x v="19"/>
    <s v="Electronics"/>
    <x v="20"/>
    <n v="1"/>
    <n v="15.49"/>
    <n v="15.49"/>
    <s v="FREESHIP"/>
    <x v="5"/>
    <n v="0"/>
    <n v="0"/>
    <s v="Number"/>
    <n v="0"/>
    <n v="0"/>
    <n v="15.49"/>
    <n v="15.49"/>
    <n v="15.49"/>
    <s v="True"/>
    <s v="Normal"/>
    <s v="PayPal"/>
    <x v="1"/>
    <s v="fulfilled"/>
    <s v="Australia"/>
    <m/>
    <s v="Not Required"/>
    <s v="West Jimmy"/>
  </r>
  <r>
    <s v="#1131"/>
    <n v="1"/>
    <d v="2026-08-04T13:53:57"/>
    <d v="2026-08-04T13:53:57"/>
    <s v="Janet Martinez"/>
    <x v="0"/>
    <s v="janet.martinez20@yahoo.com"/>
    <s v="USB-C Fast Charger 20W"/>
    <x v="19"/>
    <s v="Electronics"/>
    <x v="20"/>
    <n v="1"/>
    <n v="15.49"/>
    <n v="15.49"/>
    <m/>
    <x v="0"/>
    <n v="0"/>
    <n v="0"/>
    <s v="Number"/>
    <n v="4.99"/>
    <n v="4.99"/>
    <n v="20.48"/>
    <n v="20.48"/>
    <n v="20.48"/>
    <s v="True"/>
    <s v="Normal"/>
    <s v="Shopify Payments"/>
    <x v="3"/>
    <s v="fulfilled"/>
    <s v="United States"/>
    <s v="Illinois"/>
    <s v="Valid"/>
    <s v="West Brian"/>
  </r>
  <r>
    <s v="#1133"/>
    <n v="1"/>
    <d v="2026-08-04T14:02:55"/>
    <d v="2026-08-04T14:02:55"/>
    <s v="Christopher Hayes"/>
    <x v="0"/>
    <s v="christopher.hayes809@icloud.com"/>
    <s v="USB-C Fast Charger 20W"/>
    <x v="19"/>
    <s v="Electronics"/>
    <x v="20"/>
    <n v="3"/>
    <n v="15.49"/>
    <n v="15.49"/>
    <m/>
    <x v="0"/>
    <s v="$0.00"/>
    <n v="0"/>
    <s v="Number"/>
    <n v="5.99"/>
    <n v="5.99"/>
    <n v="52.46"/>
    <n v="52.46"/>
    <n v="52.46"/>
    <s v="True"/>
    <s v="Normal"/>
    <s v="PayPal"/>
    <x v="0"/>
    <s v="fulfilled"/>
    <s v="United States"/>
    <s v="Ohio"/>
    <s v="Valid"/>
    <s v="Seanport"/>
  </r>
  <r>
    <s v="#1134"/>
    <n v="1"/>
    <d v="2026-08-04T14:02:35"/>
    <d v="2026-08-04T14:02:35"/>
    <s v="Frank Diaz"/>
    <x v="0"/>
    <s v="frank.diaz795@gmail.com"/>
    <s v="USB-C Fast Charger 20W"/>
    <x v="19"/>
    <s v="Electronics"/>
    <x v="20"/>
    <n v="1"/>
    <n v="15.49"/>
    <n v="15.49"/>
    <s v="SAVE20"/>
    <x v="2"/>
    <n v="3.1"/>
    <n v="3.1"/>
    <s v="Number"/>
    <n v="5.99"/>
    <n v="5.99"/>
    <n v="18.38"/>
    <n v="18.38"/>
    <n v="18.380000000000003"/>
    <s v="True"/>
    <s v="Normal"/>
    <s v="Shopify Payments"/>
    <x v="0"/>
    <s v="fulfilled"/>
    <s v="United States"/>
    <s v="Georgia"/>
    <s v="Valid"/>
    <s v="Tannerbury"/>
  </r>
  <r>
    <s v="#1162"/>
    <n v="1"/>
    <d v="2026-04-08T00:00:00"/>
    <s v="08/04/2026"/>
    <s v="Cynthia Williams"/>
    <x v="0"/>
    <s v="cynthia.williams720@yahoo.com"/>
    <s v="USB-C Fast Charger 20W"/>
    <x v="19"/>
    <s v="Electronics"/>
    <x v="20"/>
    <n v="1"/>
    <n v="15.49"/>
    <n v="15.49"/>
    <m/>
    <x v="0"/>
    <n v="0"/>
    <n v="0"/>
    <s v="Number"/>
    <n v="7.99"/>
    <n v="7.99"/>
    <n v="23.48"/>
    <n v="23.48"/>
    <n v="23.48"/>
    <s v="True"/>
    <s v="Normal"/>
    <s v="Google Pay"/>
    <x v="0"/>
    <s v="cancelled"/>
    <s v="Australia"/>
    <m/>
    <s v="Not Required"/>
    <s v="Jordanmouth"/>
  </r>
  <r>
    <s v="#1255"/>
    <n v="1"/>
    <d v="2026-08-04T13:56:37"/>
    <d v="2026-08-04T13:56:37"/>
    <s v="Katelyn Johnson"/>
    <x v="0"/>
    <s v="katelyn.johnson502@outlook.com"/>
    <s v="USB-C Fast Charger 20W"/>
    <x v="19"/>
    <s v="Electronics"/>
    <x v="20"/>
    <n v="2"/>
    <n v="15.49"/>
    <n v="15.49"/>
    <s v="VIP15"/>
    <x v="4"/>
    <n v="4.6500000000000004"/>
    <n v="4.6500000000000004"/>
    <s v="Number"/>
    <n v="7.99"/>
    <n v="7.99"/>
    <n v="34.32"/>
    <n v="34.32"/>
    <n v="34.32"/>
    <s v="True"/>
    <s v="Normal"/>
    <s v="Shopify Payments"/>
    <x v="0"/>
    <s v="fulfilled"/>
    <s v="United States"/>
    <s v="California"/>
    <s v="Valid"/>
    <s v="East Danielle"/>
  </r>
  <r>
    <s v="#1289"/>
    <n v="1"/>
    <d v="2026-08-04T00:00:00"/>
    <s v="04-08-2026 14:02"/>
    <s v="Richard Sosa"/>
    <x v="0"/>
    <s v="richard.sosa486@yahoo.com"/>
    <s v="USB-C Fast Charger 20W"/>
    <x v="19"/>
    <s v="Electronics"/>
    <x v="20"/>
    <n v="1"/>
    <s v="$15.49"/>
    <n v="15.49"/>
    <s v="WELCOME10"/>
    <x v="1"/>
    <n v="1.55"/>
    <n v="1.55"/>
    <s v="Number"/>
    <n v="4.99"/>
    <n v="4.99"/>
    <n v="18.93"/>
    <n v="18.93"/>
    <n v="18.93"/>
    <s v="True"/>
    <s v="Normal"/>
    <s v="Credit Card"/>
    <x v="0"/>
    <s v="pending"/>
    <s v="United States"/>
    <s v="Georgia"/>
    <s v="Valid"/>
    <s v="Port Allen"/>
  </r>
  <r>
    <s v="#1309"/>
    <n v="1"/>
    <d v="2026-08-04T00:00:00"/>
    <s v="04-08-2026 13:56"/>
    <s v="Heather Davis"/>
    <x v="0"/>
    <s v="heather.davis117@icloud.com"/>
    <s v="USB-C Fast Charger 20W"/>
    <x v="19"/>
    <s v="Electronics"/>
    <x v="20"/>
    <n v="1"/>
    <n v="15.49"/>
    <n v="15.49"/>
    <m/>
    <x v="0"/>
    <n v="0"/>
    <n v="0"/>
    <s v="Number"/>
    <n v="7.99"/>
    <n v="7.99"/>
    <n v="23.48"/>
    <n v="23.48"/>
    <n v="23.48"/>
    <s v="True"/>
    <s v="Normal"/>
    <s v="PayPal"/>
    <x v="0"/>
    <s v="fulfilled"/>
    <s v="Germany"/>
    <m/>
    <s v="Not Required"/>
    <s v="Lake Danielfurt"/>
  </r>
  <r>
    <s v="#1314"/>
    <n v="1"/>
    <d v="2026-08-04T13:54:02"/>
    <d v="2026-08-04T13:54:02"/>
    <s v="Darin Alvarez"/>
    <x v="0"/>
    <s v="darin.alvarez843@gmail.com"/>
    <s v="USB-C Fast Charger 20W"/>
    <x v="19"/>
    <s v="Electronics"/>
    <x v="20"/>
    <n v="1"/>
    <n v="15.49"/>
    <n v="15.49"/>
    <m/>
    <x v="0"/>
    <n v="0"/>
    <n v="0"/>
    <s v="Number"/>
    <n v="5.99"/>
    <n v="5.99"/>
    <n v="21.48"/>
    <n v="21.48"/>
    <n v="21.48"/>
    <s v="True"/>
    <s v="Normal"/>
    <s v="Google Pay"/>
    <x v="0"/>
    <s v="fulfilled"/>
    <s v="Canada"/>
    <m/>
    <s v="Not Required"/>
    <s v="Santiagohaven"/>
  </r>
  <r>
    <s v="#1336"/>
    <n v="1"/>
    <d v="2026-08-04T14:04:18"/>
    <d v="2026-08-04T14:04:18"/>
    <s v="Tracy Adams"/>
    <x v="0"/>
    <s v="tracy.adams712@icloud.com"/>
    <s v="USB-C Fast Charger 20W"/>
    <x v="19"/>
    <s v="Electronics"/>
    <x v="20"/>
    <n v="2"/>
    <n v="15.49"/>
    <n v="15.49"/>
    <m/>
    <x v="0"/>
    <n v="0"/>
    <n v="0"/>
    <s v="Number"/>
    <n v="5.99"/>
    <n v="5.99"/>
    <n v="36.97"/>
    <n v="36.97"/>
    <n v="36.97"/>
    <s v="True"/>
    <s v="Normal"/>
    <s v="Credit Card"/>
    <x v="2"/>
    <s v="pending"/>
    <s v="United States"/>
    <s v="California"/>
    <s v="Valid"/>
    <s v="New Ashley"/>
  </r>
  <r>
    <s v="#1351"/>
    <n v="1"/>
    <d v="2026-08-04T14:01:45"/>
    <d v="2026-08-04T14:01:45"/>
    <s v="John Carson"/>
    <x v="0"/>
    <s v="john.carson203@yahoo.com"/>
    <s v="USB-C Fast Charger 20W"/>
    <x v="19"/>
    <s v="Electronics"/>
    <x v="20"/>
    <n v="1"/>
    <n v="15.49"/>
    <n v="15.49"/>
    <s v="FREESHIP"/>
    <x v="5"/>
    <n v="0"/>
    <n v="0"/>
    <s v="Number"/>
    <n v="0"/>
    <n v="0"/>
    <n v="15.49"/>
    <n v="15.49"/>
    <n v="15.49"/>
    <s v="True"/>
    <s v="Normal"/>
    <s v="PayPal"/>
    <x v="0"/>
    <s v="fulfilled"/>
    <s v="United States"/>
    <s v="Georgia"/>
    <s v="Valid"/>
    <s v="East Emily"/>
  </r>
  <r>
    <s v="#1353"/>
    <n v="1"/>
    <d v="2026-08-04T14:04:46"/>
    <d v="2026-08-04T14:04:46"/>
    <s v="Dawn Randolph"/>
    <x v="0"/>
    <s v="dawn.randolph179@icloud.com"/>
    <s v="USB-C Fast Charger 20W"/>
    <x v="19"/>
    <s v="Electronics"/>
    <x v="20"/>
    <n v="2"/>
    <n v="15.49"/>
    <n v="15.49"/>
    <m/>
    <x v="0"/>
    <n v="0"/>
    <n v="0"/>
    <s v="Number"/>
    <n v="7.99"/>
    <n v="7.99"/>
    <n v="38.97"/>
    <n v="38.97"/>
    <n v="38.97"/>
    <s v="True"/>
    <s v="Normal"/>
    <s v="Apple Pay"/>
    <x v="0"/>
    <s v="fulfilled"/>
    <s v="Pakistan"/>
    <m/>
    <s v="Not Required"/>
    <s v="West Noah"/>
  </r>
  <r>
    <s v="#1354"/>
    <n v="1"/>
    <d v="2026-08-04T14:04:39"/>
    <d v="2026-08-04T14:04:39"/>
    <s v="Michael Jacobson"/>
    <x v="0"/>
    <s v="michael.jacobson69@outlook.com"/>
    <s v="USB-C Fast Charger 20W"/>
    <x v="19"/>
    <s v="Electronics"/>
    <x v="20"/>
    <n v="1"/>
    <n v="15.49"/>
    <n v="15.49"/>
    <s v="WELCOME10"/>
    <x v="1"/>
    <n v="1.55"/>
    <n v="1.55"/>
    <s v="Number"/>
    <n v="7.99"/>
    <n v="7.99"/>
    <n v="21.93"/>
    <n v="21.93"/>
    <n v="21.93"/>
    <s v="True"/>
    <s v="Normal"/>
    <s v="Credit Card"/>
    <x v="2"/>
    <s v="fulfilled"/>
    <s v="Germany"/>
    <m/>
    <s v="Not Required"/>
    <s v="Scottchester"/>
  </r>
  <r>
    <s v="#1356"/>
    <n v="1"/>
    <d v="2026-08-04T13:54:30"/>
    <d v="2026-08-04T13:54:30"/>
    <m/>
    <x v="0"/>
    <s v="james.miller866@yahoo.com"/>
    <s v="USB-C Fast Charger 20W"/>
    <x v="19"/>
    <s v="Electronics"/>
    <x v="20"/>
    <n v="1"/>
    <n v="15.49"/>
    <n v="15.49"/>
    <s v="FREESHIP"/>
    <x v="5"/>
    <n v="0"/>
    <n v="0"/>
    <s v="Number"/>
    <n v="0"/>
    <n v="0"/>
    <n v="15.49"/>
    <n v="15.49"/>
    <n v="15.49"/>
    <s v="True"/>
    <s v="Normal"/>
    <s v="PayPal"/>
    <x v="0"/>
    <s v="refunded"/>
    <s v="Pakistan"/>
    <m/>
    <s v="Not Required"/>
    <s v="Martinmouth"/>
  </r>
  <r>
    <s v="#1380"/>
    <n v="1"/>
    <d v="2026-08-04T13:57:41"/>
    <d v="2026-08-04T13:57:41"/>
    <s v="Tyler Williams"/>
    <x v="0"/>
    <s v="tyler.williams938@outlook.com"/>
    <s v="USB-C Fast Charger 20W"/>
    <x v="19"/>
    <s v="Electronics"/>
    <x v="20"/>
    <n v="1"/>
    <n v="15.49"/>
    <n v="15.49"/>
    <m/>
    <x v="0"/>
    <n v="0"/>
    <n v="0"/>
    <s v="Number"/>
    <n v="5.99"/>
    <n v="5.99"/>
    <n v="21.48"/>
    <n v="21.48"/>
    <n v="21.48"/>
    <s v="True"/>
    <s v="Normal"/>
    <s v="Credit Card"/>
    <x v="0"/>
    <s v="pending"/>
    <s v="Australia"/>
    <m/>
    <s v="Not Required"/>
    <s v="Daltonstad"/>
  </r>
  <r>
    <s v="#1385"/>
    <n v="1"/>
    <d v="2026-08-04T13:57:24"/>
    <d v="2026-08-04T13:57:24"/>
    <s v="Mary Garcia"/>
    <x v="0"/>
    <s v="mary.garcia899@icloud.com"/>
    <s v="USB-C Fast Charger 20W"/>
    <x v="19"/>
    <s v="Electronics"/>
    <x v="20"/>
    <n v="3"/>
    <n v="15.49"/>
    <n v="15.49"/>
    <s v="VIP15"/>
    <x v="4"/>
    <n v="6.97"/>
    <n v="6.97"/>
    <s v="Number"/>
    <n v="4.99"/>
    <n v="4.99"/>
    <n v="44.49"/>
    <n v="44.49"/>
    <n v="44.49"/>
    <s v="True"/>
    <s v="Normal"/>
    <s v="Google Pay"/>
    <x v="3"/>
    <s v="cancelled"/>
    <s v="Canada"/>
    <m/>
    <s v="Not Required"/>
    <s v="New Kevintown"/>
  </r>
  <r>
    <s v="#1392"/>
    <n v="1"/>
    <d v="2026-08-04T13:53:26"/>
    <d v="2026-08-04T13:53:26"/>
    <s v="Donald Davis"/>
    <x v="0"/>
    <s v="donald.davis404@icloud.com"/>
    <s v="USB-C Fast Charger 20W"/>
    <x v="19"/>
    <s v="Electronics"/>
    <x v="20"/>
    <n v="1"/>
    <n v="15.49"/>
    <n v="15.49"/>
    <m/>
    <x v="0"/>
    <n v="0"/>
    <n v="0"/>
    <s v="Number"/>
    <n v="5.99"/>
    <n v="5.99"/>
    <n v="21.48"/>
    <n v="21.48"/>
    <n v="21.48"/>
    <s v="True"/>
    <s v="Normal"/>
    <s v="PayPal"/>
    <x v="0"/>
    <s v="pending"/>
    <s v="Canada"/>
    <m/>
    <s v="Not Required"/>
    <s v="North Karina"/>
  </r>
  <r>
    <s v="#1427"/>
    <n v="1"/>
    <d v="2026-08-04T00:00:00"/>
    <s v="2026-08-04"/>
    <s v="Suzanne White"/>
    <x v="0"/>
    <s v="suzanne.white877@gmail.com"/>
    <s v="USB-C Fast Charger 20W"/>
    <x v="19"/>
    <s v="Electronics"/>
    <x v="20"/>
    <n v="1"/>
    <n v="15.49"/>
    <n v="15.49"/>
    <s v="VIP15"/>
    <x v="4"/>
    <n v="2.3199999999999998"/>
    <n v="2.3199999999999998"/>
    <s v="Number"/>
    <n v="4.99"/>
    <n v="4.99"/>
    <n v="18.16"/>
    <n v="18.16"/>
    <n v="18.16"/>
    <s v="True"/>
    <s v="Normal"/>
    <s v="Apple Pay"/>
    <x v="0"/>
    <s v="fulfilled"/>
    <s v="United States"/>
    <s v="Ohio"/>
    <s v="Valid"/>
    <s v="South Nancy"/>
  </r>
  <r>
    <s v="#1444"/>
    <n v="1"/>
    <d v="2026-04-08T00:00:00"/>
    <s v="08/04/2026"/>
    <s v="William Houston"/>
    <x v="0"/>
    <s v="william.houston340@outlook.com"/>
    <s v="USB-C Fast Charger 20W"/>
    <x v="19"/>
    <s v="Electronics"/>
    <x v="20"/>
    <n v="1"/>
    <s v="$15.49"/>
    <n v="15.49"/>
    <s v="FREESHIP"/>
    <x v="5"/>
    <n v="0"/>
    <n v="0"/>
    <s v="Number"/>
    <n v="0"/>
    <n v="0"/>
    <n v="15.49"/>
    <n v="15.49"/>
    <n v="15.49"/>
    <s v="True"/>
    <s v="Normal"/>
    <s v="Credit Card"/>
    <x v="3"/>
    <s v="fulfilled"/>
    <s v="United States"/>
    <s v="WA"/>
    <s v="Valid"/>
    <s v="Lake Allisonport"/>
  </r>
  <r>
    <s v="#1473"/>
    <n v="1"/>
    <d v="2026-08-04T14:01:32"/>
    <d v="2026-08-04T14:01:32"/>
    <s v="Kayla Cruz"/>
    <x v="0"/>
    <s v="kayla.cruz151@outlook.com"/>
    <s v="USB-C Fast Charger 20W"/>
    <x v="19"/>
    <s v="Electronics"/>
    <x v="20"/>
    <n v="2"/>
    <n v="15.49"/>
    <n v="15.49"/>
    <s v="SAVE20"/>
    <x v="2"/>
    <n v="6.2"/>
    <n v="6.2"/>
    <s v="Number"/>
    <n v="5.99"/>
    <n v="5.99"/>
    <n v="30.77"/>
    <n v="30.77"/>
    <n v="30.770000000000003"/>
    <s v="True"/>
    <s v="Normal"/>
    <s v="PayPal"/>
    <x v="2"/>
    <s v="pending"/>
    <s v="Pakistan"/>
    <m/>
    <s v="Not Required"/>
    <s v="New Blake"/>
  </r>
  <r>
    <s v="#1477"/>
    <n v="1"/>
    <d v="2026-08-04T14:06:59"/>
    <d v="2026-08-04T14:06:59"/>
    <s v="Natalie Roberts"/>
    <x v="0"/>
    <s v="natalie.roberts628@yahoo.com"/>
    <s v="USB-C Fast Charger 20W"/>
    <x v="19"/>
    <s v="Electronics"/>
    <x v="20"/>
    <n v="1"/>
    <n v="15.49"/>
    <n v="15.49"/>
    <m/>
    <x v="0"/>
    <s v="$0.00"/>
    <n v="0"/>
    <s v="Number"/>
    <n v="7.99"/>
    <n v="7.99"/>
    <n v="23.48"/>
    <n v="23.48"/>
    <n v="23.48"/>
    <s v="True"/>
    <s v="Normal"/>
    <s v="Google Pay"/>
    <x v="1"/>
    <s v="cancelled"/>
    <s v="United States"/>
    <s v="Illinois"/>
    <s v="Valid"/>
    <s v="West Coryhaven"/>
  </r>
  <r>
    <s v="#1534"/>
    <n v="1"/>
    <d v="2026-08-04T14:07:18"/>
    <d v="2026-08-04T14:07:18"/>
    <s v="Brian Shaffer"/>
    <x v="0"/>
    <s v="brian.shaffer90@yahoo.com"/>
    <s v="USB-C Fast Charger 20W"/>
    <x v="19"/>
    <s v="Electronics"/>
    <x v="20"/>
    <n v="2"/>
    <n v="15.49"/>
    <n v="15.49"/>
    <m/>
    <x v="0"/>
    <n v="0"/>
    <n v="0"/>
    <s v="Number"/>
    <n v="4.99"/>
    <n v="4.99"/>
    <n v="35.97"/>
    <n v="35.97"/>
    <n v="35.97"/>
    <s v="True"/>
    <s v="Normal"/>
    <s v="PayPal"/>
    <x v="2"/>
    <s v="pending"/>
    <s v="United States"/>
    <s v="New York"/>
    <s v="Valid"/>
    <s v="North Robert"/>
  </r>
  <r>
    <s v="#1535"/>
    <n v="1"/>
    <d v="2026-08-04T13:59:20"/>
    <d v="2026-08-04T13:59:20"/>
    <s v="Joshua Thompson"/>
    <x v="0"/>
    <s v="joshua.thompson522@outlook.com"/>
    <s v="USB-C Fast Charger 20W"/>
    <x v="19"/>
    <s v="Electronics"/>
    <x v="20"/>
    <n v="1"/>
    <n v="15.49"/>
    <n v="15.49"/>
    <m/>
    <x v="0"/>
    <n v="0"/>
    <n v="0"/>
    <s v="Number"/>
    <n v="7.99"/>
    <n v="7.99"/>
    <n v="23.48"/>
    <n v="23.48"/>
    <n v="23.48"/>
    <s v="True"/>
    <s v="Normal"/>
    <s v="Shopify Payments"/>
    <x v="0"/>
    <s v="fulfilled"/>
    <s v="Pakistan"/>
    <m/>
    <s v="Not Required"/>
    <s v="West Sean"/>
  </r>
  <r>
    <s v="#1539"/>
    <n v="1"/>
    <d v="2026-08-04T13:59:23"/>
    <d v="2026-08-04T13:59:23"/>
    <s v="Gerald Li"/>
    <x v="0"/>
    <s v="gerald.li856@icloud.com"/>
    <s v="USB-C Fast Charger 20W"/>
    <x v="19"/>
    <s v="Electronics"/>
    <x v="20"/>
    <n v="1"/>
    <n v="15.49"/>
    <n v="15.49"/>
    <m/>
    <x v="0"/>
    <n v="0"/>
    <n v="0"/>
    <s v="Number"/>
    <n v="4.99"/>
    <n v="4.99"/>
    <n v="20.48"/>
    <n v="20.48"/>
    <n v="20.48"/>
    <s v="True"/>
    <s v="Normal"/>
    <s v="PayPal"/>
    <x v="3"/>
    <s v="pending"/>
    <s v="United States"/>
    <s v="Florida"/>
    <s v="Valid"/>
    <s v="North Randymouth"/>
  </r>
  <r>
    <s v="#1578"/>
    <n v="1"/>
    <d v="2026-08-04T00:00:00"/>
    <s v="Aug 04, 2026"/>
    <s v="Kimberly Johnson"/>
    <x v="0"/>
    <s v="kimberly.johnson443@icloud.com"/>
    <s v="USB-C Fast Charger 20W"/>
    <x v="19"/>
    <s v="Electronics"/>
    <x v="20"/>
    <n v="1"/>
    <n v="15.49"/>
    <n v="15.49"/>
    <m/>
    <x v="0"/>
    <n v="0"/>
    <n v="0"/>
    <s v="Number"/>
    <n v="5.99"/>
    <n v="5.99"/>
    <n v="21.48"/>
    <n v="21.48"/>
    <n v="21.48"/>
    <s v="True"/>
    <s v="Normal"/>
    <s v="Google Pay"/>
    <x v="3"/>
    <s v="fulfilled"/>
    <s v="Australia"/>
    <m/>
    <s v="Not Required"/>
    <s v="Maryburgh"/>
  </r>
  <r>
    <s v="#1595"/>
    <n v="1"/>
    <d v="2026-04-08T00:00:00"/>
    <s v="08/04/2026"/>
    <s v="Angela Carr"/>
    <x v="0"/>
    <s v="angela.carr488@yahoo.com"/>
    <s v="USB-C Fast Charger 20W"/>
    <x v="19"/>
    <s v="Electronics"/>
    <x v="20"/>
    <n v="1"/>
    <n v="15.49"/>
    <n v="15.49"/>
    <m/>
    <x v="0"/>
    <n v="0"/>
    <n v="0"/>
    <s v="Number"/>
    <n v="4.99"/>
    <n v="4.99"/>
    <n v="20.48"/>
    <n v="20.48"/>
    <n v="20.48"/>
    <s v="True"/>
    <s v="Normal"/>
    <s v="Google Pay"/>
    <x v="0"/>
    <s v="fulfilled"/>
    <s v="United States"/>
    <s v="WA"/>
    <s v="Valid"/>
    <s v="South Melissa"/>
  </r>
  <r>
    <s v="#1620"/>
    <n v="1"/>
    <d v="2026-08-04T13:55:24"/>
    <d v="2026-08-04T13:55:24"/>
    <s v="Darin Alvarez"/>
    <x v="0"/>
    <s v="darin.alvarez843@gmail.com"/>
    <s v="USB-C Fast Charger 20W"/>
    <x v="19"/>
    <s v="Electronics"/>
    <x v="20"/>
    <n v="2"/>
    <n v="15.49"/>
    <n v="15.49"/>
    <s v="WELCOME10"/>
    <x v="1"/>
    <n v="3.1"/>
    <n v="3.1"/>
    <s v="Number"/>
    <n v="7.99"/>
    <n v="7.99"/>
    <n v="35.869999999999997"/>
    <n v="35.869999999999997"/>
    <n v="35.869999999999997"/>
    <s v="True"/>
    <s v="Normal"/>
    <s v="Credit Card"/>
    <x v="3"/>
    <s v="fulfilled"/>
    <s v="Canada"/>
    <m/>
    <s v="Not Required"/>
    <s v="South Justin"/>
  </r>
  <r>
    <s v="#1817"/>
    <n v="1"/>
    <d v="2026-08-04T13:57:47"/>
    <d v="2026-08-04T13:57:47"/>
    <s v="Randall Rhodes"/>
    <x v="0"/>
    <s v="randall.rhodes730@outlook.com"/>
    <s v="USB-C Fast Charger 20W"/>
    <x v="19"/>
    <s v="Electronics"/>
    <x v="20"/>
    <n v="1"/>
    <n v="15.49"/>
    <n v="15.49"/>
    <s v="FREESHIP"/>
    <x v="5"/>
    <n v="0"/>
    <n v="0"/>
    <s v="Number"/>
    <n v="0"/>
    <n v="0"/>
    <n v="15.49"/>
    <n v="15.49"/>
    <n v="15.49"/>
    <s v="True"/>
    <s v="Normal"/>
    <s v="Google Pay"/>
    <x v="1"/>
    <s v="refunded"/>
    <s v="United Kingdom"/>
    <m/>
    <s v="Not Required"/>
    <s v="North Joseph"/>
  </r>
  <r>
    <s v="#1818"/>
    <n v="1"/>
    <d v="2026-08-04T13:59:54"/>
    <d v="2026-08-04T13:59:54"/>
    <s v="Amanda Harris"/>
    <x v="0"/>
    <s v="amanda.harris197@gmail.com"/>
    <s v="USB-C Fast Charger 20W"/>
    <x v="19"/>
    <s v="Electronics"/>
    <x v="20"/>
    <n v="1"/>
    <n v="15.49"/>
    <n v="15.49"/>
    <m/>
    <x v="0"/>
    <n v="0"/>
    <n v="0"/>
    <s v="Number"/>
    <n v="5.99"/>
    <n v="5.99"/>
    <s v="$21.48"/>
    <n v="21.48"/>
    <n v="21.48"/>
    <s v="True"/>
    <s v="Normal"/>
    <s v="Google Pay"/>
    <x v="2"/>
    <s v="pending"/>
    <s v="United States"/>
    <s v="Washington"/>
    <s v="Valid"/>
    <s v="Richardsonburgh"/>
  </r>
  <r>
    <s v="#1833"/>
    <n v="1"/>
    <d v="2026-08-04T13:54:07"/>
    <d v="2026-08-04T13:54:07"/>
    <s v="Rhonda Chapman"/>
    <x v="0"/>
    <s v="rhonda.chapman481@yahoo.com"/>
    <s v="USB-C Fast Charger 20W"/>
    <x v="19"/>
    <s v="Electronics"/>
    <x v="20"/>
    <n v="1"/>
    <n v="15.49"/>
    <n v="15.49"/>
    <s v="FREESHIP"/>
    <x v="5"/>
    <n v="0"/>
    <n v="0"/>
    <s v="Number"/>
    <n v="0"/>
    <n v="0"/>
    <n v="15.49"/>
    <n v="15.49"/>
    <n v="15.49"/>
    <s v="True"/>
    <s v="Normal"/>
    <s v="Credit Card"/>
    <x v="1"/>
    <s v="fulfilled"/>
    <s v="United States"/>
    <s v="NY"/>
    <s v="Valid"/>
    <s v="Jacksontown"/>
  </r>
  <r>
    <s v="#1865"/>
    <n v="1"/>
    <d v="2026-08-04T13:57:52"/>
    <d v="2026-08-04T13:57:52"/>
    <s v="Matthew Perez"/>
    <x v="0"/>
    <s v="matthew.perez875@gmail.com"/>
    <s v="USB-C Fast Charger 20W"/>
    <x v="19"/>
    <s v="Electronics"/>
    <x v="20"/>
    <n v="2"/>
    <n v="15.49"/>
    <n v="15.49"/>
    <s v="BFCM25"/>
    <x v="3"/>
    <n v="7.75"/>
    <n v="7.75"/>
    <s v="Number"/>
    <n v="4.99"/>
    <n v="4.99"/>
    <n v="28.22"/>
    <n v="28.22"/>
    <n v="28.22"/>
    <s v="True"/>
    <s v="Normal"/>
    <s v="Apple Pay"/>
    <x v="0"/>
    <s v="fulfilled"/>
    <s v="Pakistan"/>
    <m/>
    <s v="Not Required"/>
    <s v="Port Traciburgh"/>
  </r>
  <r>
    <s v="#1880"/>
    <n v="1"/>
    <d v="2026-08-04T13:57:21"/>
    <d v="2026-08-04T13:57:21"/>
    <s v="Tina Crane"/>
    <x v="0"/>
    <s v="tina.crane554@gmail.com"/>
    <s v="USB-C Fast Charger 20W"/>
    <x v="19"/>
    <s v="Electronics"/>
    <x v="20"/>
    <n v="1"/>
    <n v="15.49"/>
    <n v="15.49"/>
    <s v="FREESHIP"/>
    <x v="5"/>
    <n v="0"/>
    <n v="0"/>
    <s v="Number"/>
    <n v="0"/>
    <n v="0"/>
    <n v="15.49"/>
    <n v="15.49"/>
    <n v="15.49"/>
    <s v="True"/>
    <s v="Normal"/>
    <s v="Google Pay"/>
    <x v="3"/>
    <s v="fulfilled"/>
    <s v="United Kingdom"/>
    <m/>
    <s v="Not Required"/>
    <s v="West Susanchester"/>
  </r>
  <r>
    <s v="#1900"/>
    <n v="1"/>
    <d v="2026-08-04T00:00:00"/>
    <s v="04-08-2026 14:05"/>
    <s v="Jesus Mason"/>
    <x v="0"/>
    <s v="jesus.mason798@icloud.com"/>
    <s v="USB-C Fast Charger 20W"/>
    <x v="19"/>
    <s v="Electronics"/>
    <x v="20"/>
    <n v="2"/>
    <n v="15.49"/>
    <n v="15.49"/>
    <m/>
    <x v="0"/>
    <n v="0"/>
    <n v="0"/>
    <s v="Number"/>
    <n v="4.99"/>
    <n v="4.99"/>
    <n v="35.97"/>
    <n v="35.97"/>
    <n v="35.97"/>
    <s v="True"/>
    <s v="Normal"/>
    <s v="Shopify Payments"/>
    <x v="0"/>
    <s v="fulfilled"/>
    <s v="United States"/>
    <s v="Texas"/>
    <s v="Valid"/>
    <s v="Lake Seanton"/>
  </r>
  <r>
    <s v="#1916"/>
    <n v="1"/>
    <d v="2026-08-04T14:03:18"/>
    <d v="2026-08-04T14:03:18"/>
    <s v="Sandra Potter"/>
    <x v="0"/>
    <s v="sandra.potter166@yahoo.com"/>
    <s v="USB-C Fast Charger 20W"/>
    <x v="19"/>
    <s v="Electronics"/>
    <x v="20"/>
    <n v="1"/>
    <n v="15.49"/>
    <n v="15.49"/>
    <m/>
    <x v="0"/>
    <n v="0"/>
    <n v="0"/>
    <s v="Number"/>
    <n v="7.99"/>
    <n v="7.99"/>
    <n v="23.48"/>
    <n v="23.48"/>
    <n v="23.48"/>
    <s v="True"/>
    <s v="Normal"/>
    <s v="Apple Pay"/>
    <x v="1"/>
    <s v="fulfilled"/>
    <s v="United States"/>
    <s v="Illinois"/>
    <s v="Valid"/>
    <s v="Greenbury"/>
  </r>
  <r>
    <s v="#1937"/>
    <n v="1"/>
    <d v="2026-08-04T14:07:56"/>
    <d v="2026-08-04T14:07:56"/>
    <s v="Richard Zavala"/>
    <x v="0"/>
    <s v="richard.zavala602@gmail.com"/>
    <s v="USB-C Fast Charger 20W"/>
    <x v="19"/>
    <s v="Electronics"/>
    <x v="20"/>
    <n v="1"/>
    <n v="15.49"/>
    <n v="15.49"/>
    <s v="VIP15"/>
    <x v="4"/>
    <n v="2.3199999999999998"/>
    <n v="2.3199999999999998"/>
    <s v="Number"/>
    <n v="7.99"/>
    <n v="7.99"/>
    <n v="21.16"/>
    <n v="21.16"/>
    <n v="21.16"/>
    <s v="True"/>
    <s v="Normal"/>
    <s v="PayPal"/>
    <x v="2"/>
    <s v="fulfilled"/>
    <s v="Canada"/>
    <m/>
    <s v="Not Required"/>
    <s v="Lake Blake"/>
  </r>
  <r>
    <s v="#1961"/>
    <n v="1"/>
    <d v="2026-08-04T14:07:42"/>
    <d v="2026-08-04T14:07:42"/>
    <s v="John Dunlap"/>
    <x v="0"/>
    <s v="john.dunlap479@outlook.com"/>
    <s v="USB-C Fast Charger 20W"/>
    <x v="19"/>
    <s v="Electronics"/>
    <x v="20"/>
    <n v="1"/>
    <s v="$15.49"/>
    <n v="15.49"/>
    <s v="SAVE20"/>
    <x v="2"/>
    <n v="3.1"/>
    <n v="3.1"/>
    <s v="Number"/>
    <n v="5.99"/>
    <n v="5.99"/>
    <n v="18.38"/>
    <n v="18.38"/>
    <n v="18.380000000000003"/>
    <s v="True"/>
    <s v="Normal"/>
    <s v="Credit Card"/>
    <x v="0"/>
    <s v="cancelled"/>
    <s v="Australia"/>
    <m/>
    <s v="Not Required"/>
    <s v="Brentport"/>
  </r>
  <r>
    <s v="#1962"/>
    <n v="1"/>
    <d v="2026-08-04T14:02:09"/>
    <d v="2026-08-04T14:02:09"/>
    <s v="Anthony Marshall"/>
    <x v="0"/>
    <s v="anthony.marshall823@yahoo.com"/>
    <s v="USB-C Fast Charger 20W"/>
    <x v="19"/>
    <s v="Electronics"/>
    <x v="20"/>
    <n v="1"/>
    <n v="15.49"/>
    <n v="15.49"/>
    <s v="BFCM25"/>
    <x v="3"/>
    <n v="3.87"/>
    <n v="3.87"/>
    <s v="Number"/>
    <n v="5.99"/>
    <n v="5.99"/>
    <n v="17.61"/>
    <n v="17.61"/>
    <n v="17.61"/>
    <s v="True"/>
    <s v="Normal"/>
    <s v="PayPal"/>
    <x v="2"/>
    <s v="fulfilled"/>
    <s v="United States"/>
    <s v="Washington"/>
    <s v="Valid"/>
    <s v="Rangelborough"/>
  </r>
  <r>
    <s v="#2014"/>
    <n v="1"/>
    <d v="2026-08-04T13:59:49"/>
    <d v="2026-08-04T13:59:49"/>
    <s v="Juan Martin"/>
    <x v="0"/>
    <s v="juan.martin929@gmail.com"/>
    <s v="USB-C Fast Charger 20W"/>
    <x v="19"/>
    <s v="Electronics"/>
    <x v="20"/>
    <n v="1"/>
    <n v="15.49"/>
    <n v="15.49"/>
    <s v="SAVE20"/>
    <x v="2"/>
    <n v="3.1"/>
    <n v="3.1"/>
    <s v="Number"/>
    <n v="5.99"/>
    <n v="5.99"/>
    <n v="18.38"/>
    <n v="18.38"/>
    <n v="18.380000000000003"/>
    <s v="True"/>
    <s v="Normal"/>
    <s v="Google Pay"/>
    <x v="2"/>
    <s v="pending"/>
    <s v="United States"/>
    <s v="TX"/>
    <s v="Valid"/>
    <s v="Brownmouth"/>
  </r>
  <r>
    <s v="#2015"/>
    <n v="1"/>
    <d v="2026-08-04T13:55:43"/>
    <d v="2026-08-04T13:55:43"/>
    <s v="Sean Frank"/>
    <x v="0"/>
    <s v="sean.frank587@icloud.com"/>
    <s v="USB-C Fast Charger 20W"/>
    <x v="19"/>
    <s v="Electronics"/>
    <x v="20"/>
    <n v="1"/>
    <n v="15.49"/>
    <n v="15.49"/>
    <s v="FREESHIP"/>
    <x v="5"/>
    <n v="0"/>
    <n v="0"/>
    <s v="Number"/>
    <n v="0"/>
    <n v="0"/>
    <n v="15.49"/>
    <n v="15.49"/>
    <n v="15.49"/>
    <s v="True"/>
    <s v="Normal"/>
    <s v="Google Pay"/>
    <x v="1"/>
    <s v="refunded"/>
    <s v="Australia"/>
    <m/>
    <s v="Not Required"/>
    <s v="Davisbury"/>
  </r>
  <r>
    <s v="#2017"/>
    <n v="1"/>
    <d v="2026-08-04T00:00:00"/>
    <s v="2026-08-04"/>
    <s v="Karen Bautista"/>
    <x v="0"/>
    <s v="karen.bautista779@icloud.com"/>
    <s v="USB-C Fast Charger 20W"/>
    <x v="19"/>
    <s v="Electronics"/>
    <x v="20"/>
    <n v="1"/>
    <n v="15.49"/>
    <n v="15.49"/>
    <s v="SAVE20"/>
    <x v="2"/>
    <n v="3.1"/>
    <n v="3.1"/>
    <s v="Number"/>
    <n v="7.99"/>
    <n v="7.99"/>
    <n v="20.38"/>
    <n v="20.38"/>
    <n v="20.380000000000003"/>
    <s v="True"/>
    <s v="Normal"/>
    <s v="Google Pay"/>
    <x v="3"/>
    <s v="cancelled"/>
    <s v="United States"/>
    <s v="Washington"/>
    <s v="Valid"/>
    <s v="North Edwardside"/>
  </r>
  <r>
    <s v="#2054"/>
    <n v="1"/>
    <d v="2026-08-04T14:03:22"/>
    <d v="2026-08-04T14:03:22"/>
    <s v="Monica Hodge"/>
    <x v="0"/>
    <s v="monica.hodge369@icloud.com"/>
    <s v="USB-C Fast Charger 20W"/>
    <x v="19"/>
    <s v="Electronics"/>
    <x v="20"/>
    <n v="2"/>
    <n v="15.49"/>
    <n v="15.49"/>
    <s v="SAVE20"/>
    <x v="2"/>
    <n v="6.2"/>
    <n v="6.2"/>
    <s v="Number"/>
    <n v="7.99"/>
    <n v="7.99"/>
    <n v="32.770000000000003"/>
    <n v="32.770000000000003"/>
    <n v="32.770000000000003"/>
    <s v="True"/>
    <s v="Normal"/>
    <s v="Shopify Payments"/>
    <x v="3"/>
    <s v="fulfilled"/>
    <s v="United States"/>
    <s v="WA"/>
    <s v="Valid"/>
    <s v="Lauraberg"/>
  </r>
  <r>
    <s v="#2059"/>
    <n v="1"/>
    <d v="2026-08-04T14:00:42"/>
    <d v="2026-08-04T14:00:42"/>
    <s v="Gerald Li"/>
    <x v="0"/>
    <s v="gerald.li856@icloud.com"/>
    <s v="USB-C Fast Charger 20W"/>
    <x v="19"/>
    <s v="Electronics"/>
    <x v="20"/>
    <n v="2"/>
    <n v="15.49"/>
    <n v="15.49"/>
    <s v="FREESHIP"/>
    <x v="5"/>
    <n v="0"/>
    <n v="0"/>
    <s v="Number"/>
    <n v="0"/>
    <n v="0"/>
    <n v="30.98"/>
    <n v="30.98"/>
    <n v="30.98"/>
    <s v="True"/>
    <s v="Normal"/>
    <s v="PayPal"/>
    <x v="2"/>
    <s v="cancelled"/>
    <s v="United States"/>
    <s v="Texas"/>
    <s v="Valid"/>
    <s v="Maryburgh"/>
  </r>
  <r>
    <s v="#2066"/>
    <n v="1"/>
    <d v="2026-08-04T13:59:44"/>
    <d v="2026-08-04T13:59:44"/>
    <s v="Laura Pruitt"/>
    <x v="0"/>
    <s v="laura.pruitt212@yahoo.com"/>
    <s v="USB-C Fast Charger 20W"/>
    <x v="19"/>
    <s v="Electronics"/>
    <x v="20"/>
    <n v="2"/>
    <n v="15.49"/>
    <n v="15.49"/>
    <s v="SAVE20"/>
    <x v="2"/>
    <n v="6.2"/>
    <n v="6.2"/>
    <s v="Number"/>
    <n v="4.99"/>
    <n v="4.99"/>
    <n v="29.77"/>
    <n v="29.77"/>
    <n v="29.770000000000003"/>
    <s v="True"/>
    <s v="Normal"/>
    <s v="PayPal"/>
    <x v="3"/>
    <s v="cancelled"/>
    <s v="United States"/>
    <s v="Georgia"/>
    <s v="Valid"/>
    <s v="Washingtonland"/>
  </r>
  <r>
    <s v="#2068"/>
    <n v="1"/>
    <d v="2026-08-04T14:08:23"/>
    <d v="2026-08-04T14:08:23"/>
    <s v="Sharon Brown"/>
    <x v="0"/>
    <s v="sharon.brown14@gmail.com"/>
    <s v="USB-C Fast Charger 20W"/>
    <x v="19"/>
    <s v="Electronics"/>
    <x v="20"/>
    <n v="1"/>
    <n v="15.49"/>
    <n v="15.49"/>
    <m/>
    <x v="0"/>
    <n v="0"/>
    <n v="0"/>
    <s v="Number"/>
    <n v="7.99"/>
    <n v="7.99"/>
    <n v="23.48"/>
    <n v="23.48"/>
    <n v="23.48"/>
    <s v="True"/>
    <s v="Normal"/>
    <s v="Apple Pay"/>
    <x v="0"/>
    <s v="refunded"/>
    <s v="United States"/>
    <s v="Florida"/>
    <s v="Valid"/>
    <s v="Wilsonshire"/>
  </r>
  <r>
    <s v="#2087"/>
    <n v="1"/>
    <d v="2026-08-04T14:06:27"/>
    <d v="2026-08-04T14:06:27"/>
    <s v="Amanda Robinson"/>
    <x v="0"/>
    <s v="amanda.robinson263@icloud.com"/>
    <s v="USB-C Fast Charger 20W  "/>
    <x v="19"/>
    <s v="Electronics"/>
    <x v="20"/>
    <n v="2"/>
    <n v="15.49"/>
    <n v="15.49"/>
    <s v="FREESHIP"/>
    <x v="5"/>
    <n v="0"/>
    <n v="0"/>
    <s v="Number"/>
    <n v="0"/>
    <n v="0"/>
    <n v="30.98"/>
    <n v="30.98"/>
    <n v="30.98"/>
    <s v="True"/>
    <s v="Normal"/>
    <s v="Apple Pay"/>
    <x v="3"/>
    <s v="refunded"/>
    <s v="United States"/>
    <s v="Canada"/>
    <s v="Valid"/>
    <s v="East Brittany"/>
  </r>
  <r>
    <s v="#2114"/>
    <n v="1"/>
    <d v="2026-08-04T14:01:08"/>
    <d v="2026-08-04T14:01:08"/>
    <s v="Erika Maxwell"/>
    <x v="0"/>
    <s v="erika.maxwell281@gmail.com"/>
    <s v="USB-C Fast Charger 20W"/>
    <x v="19"/>
    <s v="Electronics"/>
    <x v="20"/>
    <n v="2"/>
    <n v="15.49"/>
    <n v="15.49"/>
    <s v="BFCM25"/>
    <x v="3"/>
    <n v="7.75"/>
    <n v="7.75"/>
    <s v="Number"/>
    <n v="5.99"/>
    <n v="5.99"/>
    <n v="29.22"/>
    <n v="29.22"/>
    <n v="29.22"/>
    <s v="True"/>
    <s v="Normal"/>
    <s v="Shopify Payments"/>
    <x v="0"/>
    <s v="fulfilled"/>
    <s v="United States"/>
    <s v="California"/>
    <s v="Valid"/>
    <s v="Pittshaven"/>
  </r>
  <r>
    <s v="#2164"/>
    <n v="1"/>
    <d v="2026-08-04T13:53:37"/>
    <d v="2026-08-04T13:53:37"/>
    <s v="Philip Stevens"/>
    <x v="0"/>
    <s v="philip.stevens908@outlook.com"/>
    <s v="USB-C Fast Charger 20W"/>
    <x v="19"/>
    <s v="Electronics"/>
    <x v="20"/>
    <n v="2"/>
    <n v="15.49"/>
    <n v="15.49"/>
    <s v="SAVE20"/>
    <x v="2"/>
    <n v="6.2"/>
    <n v="6.2"/>
    <s v="Number"/>
    <n v="4.99"/>
    <n v="4.99"/>
    <n v="29.77"/>
    <n v="29.77"/>
    <n v="29.770000000000003"/>
    <s v="True"/>
    <s v="Normal"/>
    <s v="Credit Card"/>
    <x v="1"/>
    <s v="fulfilled"/>
    <s v="United States"/>
    <s v="North Carolina"/>
    <s v="Valid"/>
    <s v="Smithmouth"/>
  </r>
  <r>
    <s v="#2175"/>
    <n v="1"/>
    <d v="2026-08-04T14:02:10"/>
    <d v="2026-08-04T14:02:10"/>
    <s v="Samuel Lee"/>
    <x v="1"/>
    <m/>
    <s v="USB-C Fast Charger 20W"/>
    <x v="19"/>
    <s v="Electronics"/>
    <x v="20"/>
    <n v="2"/>
    <n v="15.49"/>
    <n v="15.49"/>
    <s v="FREESHIP"/>
    <x v="5"/>
    <n v="0"/>
    <n v="0"/>
    <s v="Number"/>
    <n v="0"/>
    <n v="0"/>
    <n v="30.98"/>
    <n v="30.98"/>
    <n v="30.98"/>
    <s v="True"/>
    <s v="Normal"/>
    <s v="Shopify Payments"/>
    <x v="1"/>
    <s v="cancelled"/>
    <s v="Australia"/>
    <m/>
    <s v="Not Required"/>
    <s v="Welchberg"/>
  </r>
  <r>
    <s v="#2187"/>
    <n v="1"/>
    <d v="2026-08-04T14:01:11"/>
    <d v="2026-08-04T14:01:11"/>
    <s v="Tiffany Jones"/>
    <x v="0"/>
    <s v="tiffany.jones564@outlook.com"/>
    <s v="USB-C Fast Charger 20W"/>
    <x v="19"/>
    <s v="Electronics"/>
    <x v="20"/>
    <n v="1"/>
    <n v="15.49"/>
    <n v="15.49"/>
    <m/>
    <x v="0"/>
    <n v="0"/>
    <n v="0"/>
    <s v="Number"/>
    <n v="4.99"/>
    <n v="4.99"/>
    <n v="20.48"/>
    <n v="20.48"/>
    <n v="20.48"/>
    <s v="True"/>
    <s v="Normal"/>
    <s v="Credit Card"/>
    <x v="3"/>
    <s v="refunded"/>
    <s v="Germany"/>
    <m/>
    <s v="Not Required"/>
    <s v="Oliviatown"/>
  </r>
  <r>
    <s v="#2236"/>
    <n v="1"/>
    <d v="2026-08-04T14:07:33"/>
    <d v="2026-08-04T14:07:33"/>
    <s v="Gregory Vega"/>
    <x v="0"/>
    <s v="gregory.vega882@outlook.com"/>
    <s v="USB-C Fast Charger 20W"/>
    <x v="19"/>
    <s v="Electronics"/>
    <x v="20"/>
    <n v="1"/>
    <n v="15.49"/>
    <n v="15.49"/>
    <m/>
    <x v="0"/>
    <n v="0"/>
    <n v="0"/>
    <s v="Number"/>
    <n v="7.99"/>
    <n v="7.99"/>
    <n v="23.48"/>
    <n v="23.48"/>
    <n v="23.48"/>
    <s v="True"/>
    <s v="Normal"/>
    <s v="Shopify Payments"/>
    <x v="0"/>
    <s v="pending"/>
    <s v="Pakistan"/>
    <m/>
    <s v="Not Required"/>
    <s v="Katrinastad"/>
  </r>
  <r>
    <s v="#2244"/>
    <n v="1"/>
    <d v="2026-08-04T14:02:57"/>
    <d v="2026-08-04T14:02:57"/>
    <s v="Carrie White"/>
    <x v="0"/>
    <s v="carrie.white846@gmail.com"/>
    <s v="USB-C Fast Charger 20W"/>
    <x v="19"/>
    <s v="Electronics"/>
    <x v="20"/>
    <n v="1"/>
    <n v="15.49"/>
    <n v="15.49"/>
    <s v="BFCM25"/>
    <x v="3"/>
    <n v="3.87"/>
    <n v="3.87"/>
    <s v="Number"/>
    <n v="5.99"/>
    <n v="5.99"/>
    <n v="17.61"/>
    <n v="17.61"/>
    <n v="17.61"/>
    <s v="True"/>
    <s v="Normal"/>
    <s v="Google Pay"/>
    <x v="2"/>
    <s v="fulfilled"/>
    <s v="United Kingdom"/>
    <m/>
    <s v="Not Required"/>
    <s v="Nicholsberg"/>
  </r>
  <r>
    <s v="#2258"/>
    <n v="1"/>
    <d v="2026-08-04T14:01:57"/>
    <d v="2026-08-04T14:01:57"/>
    <s v="Sarah Hart"/>
    <x v="0"/>
    <s v="sarah.hart267@yahoo.com"/>
    <s v="USB-C Fast Charger 20W"/>
    <x v="19"/>
    <s v="Electronics"/>
    <x v="20"/>
    <n v="1"/>
    <n v="15.49"/>
    <n v="15.49"/>
    <s v="VIP15"/>
    <x v="4"/>
    <n v="2.3199999999999998"/>
    <n v="2.3199999999999998"/>
    <s v="Number"/>
    <n v="4.99"/>
    <n v="4.99"/>
    <s v="$18.16"/>
    <n v="18.16"/>
    <n v="18.16"/>
    <s v="True"/>
    <s v="Normal"/>
    <s v="PayPal"/>
    <x v="0"/>
    <s v="fulfilled"/>
    <s v="United Kingdom"/>
    <m/>
    <s v="Not Required"/>
    <s v="West Shawna"/>
  </r>
  <r>
    <s v="#2281"/>
    <n v="1"/>
    <d v="2026-08-04T00:00:00"/>
    <s v="2026-08-04"/>
    <s v="Joshua Owens"/>
    <x v="0"/>
    <s v="joshua.owens56@icloud.com"/>
    <s v="USB-C Fast Charger 20W"/>
    <x v="19"/>
    <s v="Electronics"/>
    <x v="20"/>
    <n v="1"/>
    <n v="15.49"/>
    <n v="15.49"/>
    <m/>
    <x v="0"/>
    <n v="0"/>
    <n v="0"/>
    <s v="Number"/>
    <n v="5.99"/>
    <n v="5.99"/>
    <n v="21.48"/>
    <n v="21.48"/>
    <n v="21.48"/>
    <s v="True"/>
    <s v="Normal"/>
    <s v="Apple Pay"/>
    <x v="0"/>
    <s v="fulfilled"/>
    <s v="United States"/>
    <s v="Canada"/>
    <s v="Valid"/>
    <s v="New Charlesport"/>
  </r>
  <r>
    <s v="#2297"/>
    <n v="1"/>
    <d v="2026-08-04T13:53:39"/>
    <d v="2026-08-04T13:53:39"/>
    <s v="DEBBIE JOSEPH"/>
    <x v="0"/>
    <s v="debbie.joseph531@outlook.com"/>
    <s v="USB-C Fast Charger 20W"/>
    <x v="19"/>
    <s v="Electronics"/>
    <x v="20"/>
    <n v="1"/>
    <n v="15.49"/>
    <n v="15.49"/>
    <m/>
    <x v="0"/>
    <n v="0"/>
    <n v="0"/>
    <s v="Number"/>
    <n v="7.99"/>
    <n v="7.99"/>
    <n v="23.48"/>
    <n v="23.48"/>
    <n v="23.48"/>
    <s v="True"/>
    <s v="Normal"/>
    <s v="Google Pay"/>
    <x v="0"/>
    <s v="fulfilled"/>
    <s v="United States"/>
    <s v="Canada"/>
    <s v="Valid"/>
    <s v="East Sandra"/>
  </r>
  <r>
    <s v="#2305"/>
    <n v="1"/>
    <d v="2026-08-04T14:07:06"/>
    <d v="2026-08-04T14:07:06"/>
    <s v="James Miller"/>
    <x v="0"/>
    <s v="james.miller866@yahoo.com"/>
    <s v="USB-C Fast Charger 20W"/>
    <x v="19"/>
    <s v="Electronics"/>
    <x v="20"/>
    <n v="1"/>
    <n v="15.49"/>
    <n v="15.49"/>
    <m/>
    <x v="0"/>
    <n v="0"/>
    <n v="0"/>
    <s v="Number"/>
    <n v="7.99"/>
    <n v="7.99"/>
    <n v="23.48"/>
    <n v="23.48"/>
    <n v="23.48"/>
    <s v="True"/>
    <s v="Normal"/>
    <s v="Google Pay"/>
    <x v="0"/>
    <s v="fulfilled"/>
    <s v="Pakistan"/>
    <m/>
    <s v="Not Required"/>
    <s v="Johnsonmouth"/>
  </r>
  <r>
    <s v="#2374"/>
    <n v="1"/>
    <d v="2026-08-04T14:03:20"/>
    <d v="2026-08-04T14:03:20"/>
    <s v="Vincent Rosales"/>
    <x v="0"/>
    <s v="vincent.rosales30@icloud.com"/>
    <s v="USB-C Fast Charger 20W"/>
    <x v="19"/>
    <s v="Electronics"/>
    <x v="20"/>
    <n v="2"/>
    <n v="15.49"/>
    <n v="15.49"/>
    <s v="VIP15"/>
    <x v="4"/>
    <n v="4.6500000000000004"/>
    <n v="4.6500000000000004"/>
    <s v="Number"/>
    <n v="7.99"/>
    <n v="7.99"/>
    <s v="$34.32"/>
    <n v="34.32"/>
    <n v="34.32"/>
    <s v="True"/>
    <s v="Normal"/>
    <s v="Shopify Payments"/>
    <x v="0"/>
    <s v="fulfilled"/>
    <s v="United States"/>
    <s v="Illinois"/>
    <s v="Valid"/>
    <s v="New Jacqueline"/>
  </r>
  <r>
    <s v="#2397"/>
    <n v="1"/>
    <d v="2026-08-04T14:02:41"/>
    <d v="2026-08-04T14:02:41"/>
    <s v="Christopher Osborne"/>
    <x v="0"/>
    <s v="christopher.osborne481@yahoo.com"/>
    <s v="USB-C Fast Charger 20W"/>
    <x v="19"/>
    <s v="Electronics"/>
    <x v="20"/>
    <n v="1"/>
    <n v="15.49"/>
    <n v="15.49"/>
    <m/>
    <x v="0"/>
    <n v="0"/>
    <n v="0"/>
    <s v="Number"/>
    <n v="5.99"/>
    <n v="5.99"/>
    <n v="21.48"/>
    <n v="21.48"/>
    <n v="21.48"/>
    <s v="True"/>
    <s v="Normal"/>
    <s v="PayPal"/>
    <x v="1"/>
    <s v="pending"/>
    <s v="United States"/>
    <s v="OH"/>
    <s v="Valid"/>
    <s v="Alexandraport"/>
  </r>
  <r>
    <s v="#2421"/>
    <n v="1"/>
    <d v="2026-08-04T14:02:24"/>
    <d v="2026-08-04T14:02:24"/>
    <s v="Anthony Mullen"/>
    <x v="0"/>
    <s v="anthony.mullen523@yahoo.com"/>
    <s v="USB-C Fast Charger 20W"/>
    <x v="19"/>
    <s v="Electronics"/>
    <x v="20"/>
    <n v="2"/>
    <n v="15.49"/>
    <n v="15.49"/>
    <s v="BFCM25"/>
    <x v="3"/>
    <n v="7.75"/>
    <n v="7.75"/>
    <s v="Number"/>
    <n v="4.99"/>
    <n v="4.99"/>
    <n v="28.22"/>
    <n v="28.22"/>
    <n v="28.22"/>
    <s v="True"/>
    <s v="Normal"/>
    <s v="Apple Pay"/>
    <x v="0"/>
    <s v="cancelled"/>
    <s v="United States"/>
    <s v="Illinois"/>
    <s v="Valid"/>
    <s v="Bradleyview"/>
  </r>
  <r>
    <s v="#2436"/>
    <n v="1"/>
    <d v="2026-08-04T13:59:22"/>
    <d v="2026-08-04T13:59:22"/>
    <s v="David Fleming"/>
    <x v="0"/>
    <s v="david.fleming778@gmail.com"/>
    <s v="USB-C Fast Charger 20W"/>
    <x v="19"/>
    <s v="Electronics"/>
    <x v="20"/>
    <n v="1"/>
    <n v="15.49"/>
    <n v="15.49"/>
    <m/>
    <x v="0"/>
    <n v="0"/>
    <n v="0"/>
    <s v="Number"/>
    <n v="4.99"/>
    <n v="4.99"/>
    <n v="20.48"/>
    <n v="20.48"/>
    <n v="20.48"/>
    <s v="True"/>
    <s v="Normal"/>
    <s v="PayPal"/>
    <x v="2"/>
    <s v="fulfilled"/>
    <s v="Australia"/>
    <m/>
    <s v="Not Required"/>
    <s v="Port Dustin"/>
  </r>
  <r>
    <s v="#2467"/>
    <n v="1"/>
    <d v="2026-08-04T14:06:25"/>
    <d v="2026-08-04T14:06:25"/>
    <s v="Rose Campos"/>
    <x v="0"/>
    <s v="rose.campos542@gmail.com"/>
    <s v="USB-C Fast Charger 20W"/>
    <x v="19"/>
    <s v="Electronics"/>
    <x v="20"/>
    <n v="1"/>
    <n v="15.49"/>
    <n v="15.49"/>
    <s v="WELCOME10"/>
    <x v="1"/>
    <n v="1.55"/>
    <n v="1.55"/>
    <s v="Number"/>
    <n v="7.99"/>
    <n v="7.99"/>
    <n v="21.93"/>
    <n v="21.93"/>
    <n v="21.93"/>
    <s v="True"/>
    <s v="Normal"/>
    <s v="Apple Pay"/>
    <x v="2"/>
    <s v="fulfilled"/>
    <s v="Canada"/>
    <m/>
    <s v="Not Required"/>
    <s v="Port Peter"/>
  </r>
  <r>
    <s v="#2516"/>
    <n v="1"/>
    <d v="2026-08-04T14:00:21"/>
    <d v="2026-08-04T14:00:21"/>
    <s v="Kenneth Morgan"/>
    <x v="0"/>
    <s v="kenneth.morgan181@outlook.com"/>
    <s v="USB-C Fast Charger 20W"/>
    <x v="19"/>
    <s v="Electronics"/>
    <x v="20"/>
    <n v="1"/>
    <n v="15.49"/>
    <n v="15.49"/>
    <s v="SAVE20 "/>
    <x v="2"/>
    <n v="3.1"/>
    <n v="3.1"/>
    <s v="Number"/>
    <n v="5.99"/>
    <n v="5.99"/>
    <n v="18.38"/>
    <n v="18.38"/>
    <n v="18.380000000000003"/>
    <s v="True"/>
    <s v="Normal"/>
    <s v="Credit Card"/>
    <x v="3"/>
    <s v="cancelled"/>
    <s v="United States"/>
    <s v="Arizona"/>
    <s v="Valid"/>
    <s v="Lake Danielbury"/>
  </r>
  <r>
    <s v="#2557"/>
    <n v="1"/>
    <d v="2026-08-04T00:00:00"/>
    <s v="04-08-2026 14:04"/>
    <s v="Jennifer Burke"/>
    <x v="1"/>
    <m/>
    <s v="USB-C Fast Charger 20W"/>
    <x v="19"/>
    <s v="Electronics"/>
    <x v="20"/>
    <n v="1"/>
    <n v="15.49"/>
    <n v="15.49"/>
    <m/>
    <x v="0"/>
    <n v="0"/>
    <n v="0"/>
    <s v="Number"/>
    <n v="4.99"/>
    <n v="4.99"/>
    <n v="20.48"/>
    <n v="20.48"/>
    <n v="20.48"/>
    <s v="True"/>
    <s v="Normal"/>
    <s v="Credit Card"/>
    <x v="0"/>
    <s v="fulfilled"/>
    <s v="Pakistan"/>
    <m/>
    <s v="Not Required"/>
    <s v="Caldwellstad"/>
  </r>
  <r>
    <s v="#2573"/>
    <n v="1"/>
    <d v="2026-08-04T13:58:41"/>
    <d v="2026-08-04T13:58:41"/>
    <s v="Andrea Martinez"/>
    <x v="0"/>
    <s v="andrea.martinez756@yahoo.com"/>
    <s v="USB-C Fast Charger 20W"/>
    <x v="19"/>
    <s v="Electronics"/>
    <x v="20"/>
    <n v="1"/>
    <n v="15.49"/>
    <n v="15.49"/>
    <m/>
    <x v="0"/>
    <n v="0"/>
    <n v="0"/>
    <s v="Number"/>
    <n v="4.99"/>
    <n v="4.99"/>
    <n v="20.48"/>
    <n v="20.48"/>
    <n v="20.48"/>
    <s v="True"/>
    <s v="Normal"/>
    <s v="Apple Pay"/>
    <x v="3"/>
    <s v="fulfilled"/>
    <s v="Australia"/>
    <m/>
    <s v="Not Required"/>
    <s v="Lake Dillon"/>
  </r>
  <r>
    <s v="#2617"/>
    <n v="1"/>
    <d v="2026-08-04T14:03:47"/>
    <d v="2026-08-04T14:03:47"/>
    <s v="Jesus Mason"/>
    <x v="0"/>
    <s v="jesus.mason798@icloud.com"/>
    <s v="USB-C Fast Charger 20W"/>
    <x v="19"/>
    <s v="Electronics"/>
    <x v="20"/>
    <n v="1"/>
    <n v="15.49"/>
    <n v="15.49"/>
    <m/>
    <x v="0"/>
    <n v="0"/>
    <n v="0"/>
    <s v="Number"/>
    <n v="5.99"/>
    <n v="5.99"/>
    <n v="21.48"/>
    <n v="21.48"/>
    <n v="21.48"/>
    <s v="True"/>
    <s v="Normal"/>
    <s v="PayPal"/>
    <x v="0"/>
    <s v="cancelled"/>
    <s v="United States"/>
    <s v="NC"/>
    <s v="Valid"/>
    <s v="Blevinsborough"/>
  </r>
  <r>
    <s v="#2696"/>
    <n v="1"/>
    <d v="2026-08-04T14:04:42"/>
    <d v="2026-08-04T14:04:42"/>
    <s v="Joshua Ayers"/>
    <x v="0"/>
    <s v="joshua.ayers935@yahoo.com"/>
    <s v="USB-C Fast Charger 20W"/>
    <x v="19"/>
    <s v="Electronics"/>
    <x v="20"/>
    <n v="2"/>
    <n v="15.49"/>
    <n v="15.49"/>
    <s v="VIP15"/>
    <x v="4"/>
    <n v="4.6500000000000004"/>
    <n v="4.6500000000000004"/>
    <s v="Number"/>
    <n v="5.99"/>
    <n v="5.99"/>
    <n v="32.32"/>
    <n v="32.32"/>
    <n v="32.32"/>
    <s v="True"/>
    <s v="Normal"/>
    <s v="Apple Pay"/>
    <x v="0"/>
    <s v="fulfilled"/>
    <s v="Germany"/>
    <m/>
    <s v="Not Required"/>
    <s v="New Brandon"/>
  </r>
  <r>
    <s v="#2716"/>
    <n v="1"/>
    <d v="2026-08-04T13:54:07"/>
    <d v="2026-08-04T13:54:07"/>
    <s v="Natalie Dixon"/>
    <x v="0"/>
    <s v="natalie.dixon388@outlook.com"/>
    <s v="USB-C Fast Charger 20W"/>
    <x v="19"/>
    <s v="Electronics"/>
    <x v="20"/>
    <n v="1"/>
    <n v="15.49"/>
    <n v="15.49"/>
    <m/>
    <x v="0"/>
    <n v="0"/>
    <n v="0"/>
    <s v="Number"/>
    <n v="7.99"/>
    <n v="7.99"/>
    <n v="23.48"/>
    <n v="23.48"/>
    <n v="23.48"/>
    <s v="True"/>
    <s v="Normal"/>
    <s v="Google Pay"/>
    <x v="1"/>
    <s v="fulfilled"/>
    <s v="United States"/>
    <s v="NY"/>
    <s v="Valid"/>
    <s v="North Kari"/>
  </r>
  <r>
    <s v="#2767"/>
    <n v="1"/>
    <d v="2026-04-08T00:00:00"/>
    <s v="08/04/2026"/>
    <s v="Vincent Rosales"/>
    <x v="0"/>
    <s v="vincent.rosales30@icloud.com"/>
    <s v="USB-C Fast Charger 20W"/>
    <x v="19"/>
    <s v="Electronics"/>
    <x v="20"/>
    <n v="2"/>
    <n v="15.49"/>
    <n v="15.49"/>
    <m/>
    <x v="0"/>
    <n v="0"/>
    <n v="0"/>
    <s v="Number"/>
    <n v="7.99"/>
    <n v="7.99"/>
    <n v="38.97"/>
    <n v="38.97"/>
    <n v="38.97"/>
    <s v="True"/>
    <s v="Normal"/>
    <s v="PayPal"/>
    <x v="0"/>
    <s v="fulfilled"/>
    <s v="United States"/>
    <s v="OH"/>
    <s v="Valid"/>
    <s v="East Beth"/>
  </r>
  <r>
    <s v="#2781"/>
    <n v="1"/>
    <d v="2026-08-04T14:06:58"/>
    <d v="2026-08-04T14:06:58"/>
    <m/>
    <x v="0"/>
    <s v="sean.frank587@icloud.com"/>
    <s v="USB-C Fast Charger 20W"/>
    <x v="19"/>
    <s v="Electronics"/>
    <x v="20"/>
    <n v="1"/>
    <n v="15.49"/>
    <n v="15.49"/>
    <m/>
    <x v="0"/>
    <n v="0"/>
    <n v="0"/>
    <s v="Number"/>
    <n v="5.99"/>
    <n v="5.99"/>
    <n v="21.48"/>
    <n v="21.48"/>
    <n v="21.48"/>
    <s v="True"/>
    <s v="Normal"/>
    <s v="Shopify Payments"/>
    <x v="0"/>
    <s v="fulfilled"/>
    <s v="Australia"/>
    <m/>
    <s v="Not Required"/>
    <s v="Terryport"/>
  </r>
  <r>
    <s v="#2811"/>
    <n v="1"/>
    <d v="2026-08-04T14:01:42"/>
    <d v="2026-08-04T14:01:42"/>
    <s v="Anthony Mullen"/>
    <x v="0"/>
    <s v="anthony.mullen523@yahoo.com"/>
    <s v="USB-C Fast Charger 20W"/>
    <x v="19"/>
    <s v="Electronics"/>
    <x v="20"/>
    <n v="2"/>
    <n v="15.49"/>
    <n v="15.49"/>
    <s v="BFCM25"/>
    <x v="3"/>
    <n v="7.75"/>
    <n v="7.75"/>
    <s v="Number"/>
    <n v="7.99"/>
    <n v="7.99"/>
    <n v="31.22"/>
    <n v="31.22"/>
    <n v="31.22"/>
    <s v="True"/>
    <s v="Normal"/>
    <s v="PayPal"/>
    <x v="1"/>
    <s v="refunded"/>
    <s v="United States"/>
    <s v="Ohio"/>
    <s v="Valid"/>
    <s v="West Katherine"/>
  </r>
  <r>
    <s v="#2904"/>
    <n v="1"/>
    <d v="2026-04-08T00:00:00"/>
    <s v="08/04/2026"/>
    <s v="Rose Campos"/>
    <x v="0"/>
    <s v="rose.campos542@gmail.com"/>
    <s v="USB-C Fast Charger 20W"/>
    <x v="19"/>
    <s v="Electronics"/>
    <x v="20"/>
    <n v="1"/>
    <n v="15.49"/>
    <n v="15.49"/>
    <s v="VIP15"/>
    <x v="4"/>
    <n v="2.3199999999999998"/>
    <n v="2.3199999999999998"/>
    <s v="Number"/>
    <n v="4.99"/>
    <n v="4.99"/>
    <s v="$18.16"/>
    <n v="18.16"/>
    <n v="18.16"/>
    <s v="True"/>
    <s v="Normal"/>
    <s v="PayPal"/>
    <x v="3"/>
    <s v="pending"/>
    <s v="Canada"/>
    <m/>
    <s v="Not Required"/>
    <s v="Grantchester"/>
  </r>
  <r>
    <s v="#2921"/>
    <n v="1"/>
    <d v="2026-08-04T13:57:35"/>
    <d v="2026-08-04T13:57:35"/>
    <s v="Lori Davis"/>
    <x v="0"/>
    <s v="lori.davis757@yahoo.com"/>
    <s v="USB-C Fast Charger 20W"/>
    <x v="19"/>
    <s v="Electronics"/>
    <x v="20"/>
    <n v="1"/>
    <n v="15.49"/>
    <n v="15.49"/>
    <m/>
    <x v="0"/>
    <n v="0"/>
    <n v="0"/>
    <s v="Number"/>
    <n v="7.99"/>
    <n v="7.99"/>
    <s v="$23.48"/>
    <n v="23.48"/>
    <n v="23.48"/>
    <s v="True"/>
    <s v="Normal"/>
    <s v="Apple Pay"/>
    <x v="0"/>
    <s v="fulfilled"/>
    <s v="Germany"/>
    <m/>
    <s v="Not Required"/>
    <s v="Port Ashley"/>
  </r>
  <r>
    <s v="#2964"/>
    <n v="1"/>
    <d v="2026-08-04T13:58:24"/>
    <d v="2026-08-04T13:58:24"/>
    <s v="Joshua Chavez"/>
    <x v="0"/>
    <s v="joshua.chavez332@outlook.com"/>
    <s v="USB-C Fast Charger 20W"/>
    <x v="19"/>
    <s v="Electronics"/>
    <x v="20"/>
    <n v="1"/>
    <n v="15.49"/>
    <n v="15.49"/>
    <s v="BFCM25"/>
    <x v="3"/>
    <n v="3.87"/>
    <n v="3.87"/>
    <s v="Number"/>
    <n v="7.99"/>
    <n v="7.99"/>
    <n v="19.61"/>
    <n v="19.61"/>
    <n v="19.61"/>
    <s v="True"/>
    <s v="Normal"/>
    <s v="Google Pay"/>
    <x v="0"/>
    <s v="fulfilled"/>
    <s v="United States"/>
    <s v="Texas"/>
    <s v="Valid"/>
    <s v="Ashleyberg"/>
  </r>
  <r>
    <s v="#2998"/>
    <n v="1"/>
    <d v="2026-08-04T14:02:19"/>
    <d v="2026-08-04T14:02:19"/>
    <s v="stephanie mcdonald"/>
    <x v="0"/>
    <s v="stephanie.mcdonald873@icloud.com"/>
    <s v="USB-C Fast Charger 20W"/>
    <x v="19"/>
    <s v="Electronics"/>
    <x v="20"/>
    <n v="1"/>
    <s v="$15.49"/>
    <n v="15.49"/>
    <s v="WELCOME10"/>
    <x v="1"/>
    <n v="1.55"/>
    <n v="1.55"/>
    <s v="Number"/>
    <n v="4.99"/>
    <n v="4.99"/>
    <n v="18.93"/>
    <n v="18.93"/>
    <n v="18.93"/>
    <s v="True"/>
    <s v="Normal"/>
    <s v="Credit Card"/>
    <x v="2"/>
    <s v="fulfilled"/>
    <s v="Australia"/>
    <m/>
    <s v="Not Required"/>
    <s v="Estradafort"/>
  </r>
  <r>
    <s v="#1027"/>
    <n v="1"/>
    <d v="2026-08-04T13:58:50"/>
    <d v="2026-08-04T13:58:50"/>
    <s v="Sandra Wilson"/>
    <x v="0"/>
    <s v="sandra.wilson554@outlook.com"/>
    <s v="Vitamin C Serum 30ml"/>
    <x v="20"/>
    <s v="Beauty"/>
    <x v="21"/>
    <n v="1"/>
    <n v="24.99"/>
    <n v="24.99"/>
    <s v="VIP15"/>
    <x v="4"/>
    <n v="3.75"/>
    <n v="3.75"/>
    <s v="Number"/>
    <n v="7.99"/>
    <n v="7.99"/>
    <n v="29.23"/>
    <n v="29.23"/>
    <n v="29.229999999999997"/>
    <s v="True"/>
    <s v="Normal"/>
    <s v="Apple Pay"/>
    <x v="0"/>
    <s v="pending"/>
    <s v="Canada"/>
    <m/>
    <s v="Not Required"/>
    <s v="Hollyport"/>
  </r>
  <r>
    <s v="#1033"/>
    <n v="1"/>
    <d v="2026-08-04T14:02:34"/>
    <d v="2026-08-04T14:02:34"/>
    <s v="Anthony Marshall"/>
    <x v="0"/>
    <s v="anthony.marshall823@yahoo.com"/>
    <s v="Vitamin C Serum 30ml"/>
    <x v="20"/>
    <s v="Beauty"/>
    <x v="21"/>
    <n v="1"/>
    <n v="24.99"/>
    <n v="24.99"/>
    <s v="VIP15"/>
    <x v="4"/>
    <n v="3.75"/>
    <n v="3.75"/>
    <s v="Number"/>
    <n v="5.99"/>
    <n v="5.99"/>
    <n v="27.23"/>
    <n v="27.23"/>
    <n v="27.229999999999997"/>
    <s v="True"/>
    <s v="Normal"/>
    <s v="Google Pay"/>
    <x v="0"/>
    <s v="fulfilled"/>
    <s v="United States"/>
    <s v="Ohio"/>
    <s v="Valid"/>
    <s v="Timothyton"/>
  </r>
  <r>
    <s v="#1048"/>
    <n v="1"/>
    <d v="2026-08-04T14:07:11"/>
    <d v="2026-08-04T14:07:11"/>
    <s v="Andrew Johnson"/>
    <x v="0"/>
    <s v="andrew.johnson94@outlook.com"/>
    <s v="Vitamin C Serum 30ml"/>
    <x v="20"/>
    <s v="Beauty"/>
    <x v="21"/>
    <n v="1"/>
    <n v="24.99"/>
    <n v="24.99"/>
    <s v="WELCOME10"/>
    <x v="1"/>
    <n v="2.5"/>
    <n v="2.5"/>
    <s v="Number"/>
    <n v="5.99"/>
    <n v="5.99"/>
    <n v="28.48"/>
    <n v="28.48"/>
    <n v="28.479999999999997"/>
    <s v="True"/>
    <s v="Normal"/>
    <s v="PayPal"/>
    <x v="3"/>
    <s v="fulfilled"/>
    <s v="Australia"/>
    <m/>
    <s v="Not Required"/>
    <s v="Briannahaven"/>
  </r>
  <r>
    <s v="#1070"/>
    <n v="1"/>
    <d v="2026-08-04T14:01:09"/>
    <d v="2026-08-04T14:01:09"/>
    <s v="Shelly Griffith"/>
    <x v="0"/>
    <s v="shelly.griffith342@icloud.com"/>
    <s v="Vitamin C Serum 30ml"/>
    <x v="20"/>
    <s v="Beauty"/>
    <x v="21"/>
    <n v="1"/>
    <n v="24.99"/>
    <n v="24.99"/>
    <s v="VIP15"/>
    <x v="4"/>
    <n v="3.75"/>
    <n v="3.75"/>
    <s v="Number"/>
    <n v="4.99"/>
    <n v="4.99"/>
    <n v="26.23"/>
    <n v="26.23"/>
    <n v="26.229999999999997"/>
    <s v="True"/>
    <s v="Normal"/>
    <s v="PayPal"/>
    <x v="0"/>
    <s v="fulfilled"/>
    <s v="Australia"/>
    <m/>
    <s v="Not Required"/>
    <s v="Lake Michele"/>
  </r>
  <r>
    <s v="#1079"/>
    <n v="1"/>
    <d v="2026-08-04T14:00:06"/>
    <d v="2026-08-04T14:00:06"/>
    <s v="Nicole Taylor"/>
    <x v="0"/>
    <s v="nicole.taylor607@icloud.com"/>
    <s v="Vitamin C Serum 30ml"/>
    <x v="20"/>
    <s v="Beauty"/>
    <x v="21"/>
    <n v="1"/>
    <n v="24.99"/>
    <n v="24.99"/>
    <m/>
    <x v="0"/>
    <n v="0"/>
    <n v="0"/>
    <s v="Number"/>
    <n v="5.99"/>
    <n v="5.99"/>
    <n v="30.98"/>
    <n v="30.98"/>
    <n v="30.979999999999997"/>
    <s v="True"/>
    <s v="Normal"/>
    <s v="Credit Card"/>
    <x v="0"/>
    <s v="fulfilled"/>
    <s v="United States"/>
    <s v="New York"/>
    <s v="Valid"/>
    <s v="Port Traviston"/>
  </r>
  <r>
    <s v="#1088"/>
    <n v="1"/>
    <d v="2026-08-04T14:06:57"/>
    <d v="2026-08-04T14:06:57"/>
    <s v="Brian Ruiz"/>
    <x v="0"/>
    <s v="brian.ruiz246@gmail.com"/>
    <s v="Vitamin C Serum 30ml"/>
    <x v="20"/>
    <s v="Beauty"/>
    <x v="21"/>
    <n v="2"/>
    <n v="24.99"/>
    <n v="24.99"/>
    <s v="FREESHIP"/>
    <x v="5"/>
    <n v="0"/>
    <n v="0"/>
    <s v="Number"/>
    <n v="0"/>
    <n v="0"/>
    <n v="49.98"/>
    <n v="49.98"/>
    <n v="49.98"/>
    <s v="True"/>
    <s v="Normal"/>
    <s v="Credit Card"/>
    <x v="0"/>
    <s v="fulfilled"/>
    <s v="Germany"/>
    <m/>
    <s v="Not Required"/>
    <s v="South Melissaborough"/>
  </r>
  <r>
    <s v="#1097"/>
    <n v="1"/>
    <d v="2026-08-04T14:07:14"/>
    <d v="2026-08-04T14:07:14"/>
    <s v="Christopher Harrington"/>
    <x v="0"/>
    <s v="christopher.harrington960@gmail.com"/>
    <s v="Vitamin C Serum 30ml"/>
    <x v="20"/>
    <s v="Beauty"/>
    <x v="21"/>
    <n v="3"/>
    <n v="24.99"/>
    <n v="24.99"/>
    <m/>
    <x v="0"/>
    <n v="0"/>
    <n v="0"/>
    <s v="Number"/>
    <n v="4.99"/>
    <n v="4.99"/>
    <s v="$79.96"/>
    <n v="79.959999999999994"/>
    <n v="79.959999999999994"/>
    <s v="True"/>
    <s v="Normal"/>
    <s v="Credit Card"/>
    <x v="3"/>
    <s v="fulfilled"/>
    <s v="Australia"/>
    <m/>
    <s v="Not Required"/>
    <s v="Smithton"/>
  </r>
  <r>
    <s v="#1176"/>
    <n v="1"/>
    <d v="2026-08-04T14:02:46"/>
    <d v="2026-08-04T14:02:46"/>
    <s v="Julia Atkinson"/>
    <x v="0"/>
    <s v="julia.atkinson939@gmail.com"/>
    <s v="Vitamin C Serum 30ml"/>
    <x v="20"/>
    <s v="Beauty"/>
    <x v="21"/>
    <n v="2"/>
    <n v="24.99"/>
    <n v="24.99"/>
    <m/>
    <x v="0"/>
    <n v="0"/>
    <n v="0"/>
    <s v="Number"/>
    <n v="5.99"/>
    <n v="5.99"/>
    <n v="55.97"/>
    <n v="55.97"/>
    <n v="55.97"/>
    <s v="True"/>
    <s v="Normal"/>
    <s v="PayPal"/>
    <x v="0"/>
    <s v="fulfilled"/>
    <s v="Canada"/>
    <m/>
    <s v="Not Required"/>
    <s v="Kristiburgh"/>
  </r>
  <r>
    <s v="#1222"/>
    <n v="1"/>
    <d v="2026-08-04T14:04:24"/>
    <d v="2026-08-04T14:04:24"/>
    <s v="John Jacobs"/>
    <x v="0"/>
    <s v="john.jacobs137@yahoo.com"/>
    <s v="Vitamin C Serum 30ml"/>
    <x v="20"/>
    <s v="Beauty"/>
    <x v="21"/>
    <n v="1"/>
    <n v="24.99"/>
    <n v="24.99"/>
    <s v="SAVE20"/>
    <x v="2"/>
    <s v="$5.00"/>
    <n v="5"/>
    <s v="Number"/>
    <n v="5.99"/>
    <n v="5.99"/>
    <n v="25.98"/>
    <n v="25.98"/>
    <n v="25.979999999999997"/>
    <s v="True"/>
    <s v="Normal"/>
    <s v="PayPal"/>
    <x v="1"/>
    <s v="fulfilled"/>
    <s v="Australia"/>
    <m/>
    <s v="Not Required"/>
    <s v="Cookton"/>
  </r>
  <r>
    <s v="#1238"/>
    <n v="1"/>
    <d v="2026-08-04T14:03:23"/>
    <d v="2026-08-04T14:03:23"/>
    <s v="Ann Byrd"/>
    <x v="1"/>
    <m/>
    <s v="Vitamin C Serum 30ml"/>
    <x v="20"/>
    <s v="Beauty"/>
    <x v="21"/>
    <n v="1"/>
    <n v="24.99"/>
    <n v="24.99"/>
    <m/>
    <x v="0"/>
    <n v="0"/>
    <n v="0"/>
    <s v="Number"/>
    <n v="7.99"/>
    <n v="7.99"/>
    <n v="32.979999999999997"/>
    <n v="32.979999999999997"/>
    <n v="32.979999999999997"/>
    <s v="True"/>
    <s v="Normal"/>
    <s v="Google Pay"/>
    <x v="0"/>
    <s v="fulfilled"/>
    <s v="Australia"/>
    <m/>
    <s v="Not Required"/>
    <s v="Ewingchester"/>
  </r>
  <r>
    <s v="#1241"/>
    <n v="1"/>
    <d v="2026-08-04T00:00:00"/>
    <s v="04-08-2026 14:00"/>
    <s v="Karen Bautista"/>
    <x v="0"/>
    <s v="karen.bautista779@icloud.com"/>
    <s v="Vitamin C Serum 30ml"/>
    <x v="20"/>
    <s v="Beauty"/>
    <x v="21"/>
    <n v="3"/>
    <n v="24.99"/>
    <n v="24.99"/>
    <m/>
    <x v="0"/>
    <n v="0"/>
    <n v="0"/>
    <s v="Number"/>
    <n v="5.99"/>
    <n v="5.99"/>
    <n v="80.959999999999994"/>
    <n v="80.959999999999994"/>
    <n v="80.959999999999994"/>
    <s v="True"/>
    <s v="Normal"/>
    <s v="Google Pay"/>
    <x v="0"/>
    <s v="pending"/>
    <s v="United States"/>
    <s v="North Carolina"/>
    <s v="Valid"/>
    <s v="Callahanside"/>
  </r>
  <r>
    <s v="#1247"/>
    <n v="1"/>
    <d v="2026-08-04T13:59:54"/>
    <d v="2026-08-04T13:59:54"/>
    <s v="Stacey Morales"/>
    <x v="0"/>
    <s v="stacey.morales538@yahoo.com"/>
    <s v="Vitamin C Serum 30ml"/>
    <x v="20"/>
    <s v="Beauty"/>
    <x v="21"/>
    <n v="1"/>
    <n v="24.99"/>
    <n v="24.99"/>
    <s v="WELCOME10"/>
    <x v="1"/>
    <s v="$2.50"/>
    <n v="2.5"/>
    <s v="Number"/>
    <n v="4.99"/>
    <n v="4.99"/>
    <n v="27.48"/>
    <n v="27.48"/>
    <n v="27.479999999999997"/>
    <s v="True"/>
    <s v="Normal"/>
    <s v="PayPal"/>
    <x v="3"/>
    <s v="cancelled"/>
    <s v="Australia"/>
    <m/>
    <s v="Not Required"/>
    <s v="North Christopherport"/>
  </r>
  <r>
    <s v="#1287"/>
    <n v="1"/>
    <d v="2026-08-04T14:04:35"/>
    <d v="2026-08-04T14:04:35"/>
    <s v="Autumn Stewart"/>
    <x v="0"/>
    <s v="autumn.stewart565@outlook.com"/>
    <s v="Vitamin C Serum 30ml"/>
    <x v="20"/>
    <s v="Beauty"/>
    <x v="21"/>
    <n v="2"/>
    <n v="24.99"/>
    <n v="24.99"/>
    <s v="WELCOME10"/>
    <x v="1"/>
    <n v="5"/>
    <n v="5"/>
    <s v="Number"/>
    <n v="7.99"/>
    <n v="7.99"/>
    <n v="52.97"/>
    <n v="52.97"/>
    <n v="52.97"/>
    <s v="True"/>
    <s v="Normal"/>
    <s v="Shopify Payments"/>
    <x v="0"/>
    <s v="fulfilled"/>
    <s v="United Kingdom"/>
    <m/>
    <s v="Not Required"/>
    <s v="South Timothy"/>
  </r>
  <r>
    <s v="#1294"/>
    <n v="1"/>
    <d v="2026-08-04T13:56:10"/>
    <d v="2026-08-04T13:56:10"/>
    <s v="Jaime Vargas"/>
    <x v="0"/>
    <s v="jaime.vargas795@outlook.com"/>
    <s v="Vitamin C Serum 30ml"/>
    <x v="20"/>
    <s v="Beauty"/>
    <x v="21"/>
    <n v="2"/>
    <n v="24.99"/>
    <n v="24.99"/>
    <s v="WELCOME10"/>
    <x v="1"/>
    <s v="$5.00"/>
    <n v="5"/>
    <s v="Number"/>
    <n v="4.99"/>
    <n v="4.99"/>
    <n v="49.97"/>
    <n v="49.97"/>
    <n v="49.97"/>
    <s v="True"/>
    <s v="Normal"/>
    <s v="Apple Pay"/>
    <x v="0"/>
    <s v="cancelled"/>
    <s v="United Kingdom"/>
    <m/>
    <s v="Not Required"/>
    <s v="Theodoreport"/>
  </r>
  <r>
    <s v="#1304"/>
    <n v="1"/>
    <d v="2026-08-04T13:54:31"/>
    <d v="2026-08-04T13:54:31"/>
    <s v="Donald Davis"/>
    <x v="0"/>
    <s v="donald.davis404@icloud.com"/>
    <s v="Vitamin C Serum 30ml"/>
    <x v="20"/>
    <s v="Beauty"/>
    <x v="21"/>
    <n v="1"/>
    <n v="24.99"/>
    <n v="24.99"/>
    <s v="SAVE20"/>
    <x v="2"/>
    <n v="5"/>
    <n v="5"/>
    <s v="Number"/>
    <n v="4.99"/>
    <n v="4.99"/>
    <n v="24.98"/>
    <n v="24.98"/>
    <n v="24.979999999999997"/>
    <s v="True"/>
    <s v="Normal"/>
    <s v="Google Pay"/>
    <x v="0"/>
    <s v="fulfilled"/>
    <s v="Canada"/>
    <m/>
    <s v="Not Required"/>
    <s v="Alfredchester"/>
  </r>
  <r>
    <s v="#1311"/>
    <n v="1"/>
    <d v="2026-08-04T14:00:30"/>
    <d v="2026-08-04T14:00:30"/>
    <s v="Benjamin Collins"/>
    <x v="0"/>
    <s v="benjamin.collins953@icloud.com"/>
    <s v="Vitamin C Serum 30ml"/>
    <x v="20"/>
    <s v="Beauty"/>
    <x v="21"/>
    <n v="1"/>
    <n v="24.99"/>
    <n v="24.99"/>
    <s v="SAVE20"/>
    <x v="2"/>
    <n v="5"/>
    <n v="5"/>
    <s v="Number"/>
    <n v="4.99"/>
    <n v="4.99"/>
    <n v="24.98"/>
    <n v="24.98"/>
    <n v="24.979999999999997"/>
    <s v="True"/>
    <s v="Normal"/>
    <s v="PayPal"/>
    <x v="0"/>
    <s v="refunded"/>
    <s v="Pakistan"/>
    <m/>
    <s v="Not Required"/>
    <s v="Michaelhaven"/>
  </r>
  <r>
    <s v="#1343"/>
    <n v="1"/>
    <d v="2026-08-04T13:53:54"/>
    <d v="2026-08-04T13:53:54"/>
    <s v="Albert Salazar"/>
    <x v="0"/>
    <s v="albert.salazar398@outlook.com"/>
    <s v="Vitamin C Serum 30ml"/>
    <x v="20"/>
    <s v="Beauty"/>
    <x v="21"/>
    <n v="1"/>
    <n v="24.99"/>
    <n v="24.99"/>
    <m/>
    <x v="0"/>
    <s v="$0.00"/>
    <n v="0"/>
    <s v="Number"/>
    <n v="7.99"/>
    <n v="7.99"/>
    <n v="32.979999999999997"/>
    <n v="32.979999999999997"/>
    <n v="32.979999999999997"/>
    <s v="True"/>
    <s v="Normal"/>
    <s v="Shopify Payments"/>
    <x v="0"/>
    <s v="refunded"/>
    <s v="United States"/>
    <s v="Georgia"/>
    <s v="Valid"/>
    <s v="Angelaport"/>
  </r>
  <r>
    <s v="#1344"/>
    <n v="1"/>
    <d v="2026-08-04T14:06:34"/>
    <d v="2026-08-04T14:06:34"/>
    <s v="Maria Leon"/>
    <x v="0"/>
    <s v="maria.leon163@outlook.com"/>
    <s v="Vitamin C Serum 30ml"/>
    <x v="20"/>
    <s v="Beauty"/>
    <x v="21"/>
    <n v="1"/>
    <n v="24.99"/>
    <n v="24.99"/>
    <s v="FREESHIP"/>
    <x v="5"/>
    <n v="0"/>
    <n v="0"/>
    <s v="Number"/>
    <n v="0"/>
    <n v="0"/>
    <s v="$24.99"/>
    <n v="24.99"/>
    <n v="24.99"/>
    <s v="True"/>
    <s v="Normal"/>
    <s v="Shopify Payments"/>
    <x v="2"/>
    <s v="refunded"/>
    <s v="Canada"/>
    <m/>
    <s v="Not Required"/>
    <s v="Leahchester"/>
  </r>
  <r>
    <s v="#1345"/>
    <n v="1"/>
    <d v="2026-08-04T13:59:52"/>
    <d v="2026-08-04T13:59:52"/>
    <s v="Lauren Nguyen"/>
    <x v="1"/>
    <m/>
    <s v="Vitamin C Serum 30ml"/>
    <x v="20"/>
    <s v="Beauty"/>
    <x v="21"/>
    <n v="1"/>
    <n v="24.99"/>
    <n v="24.99"/>
    <m/>
    <x v="0"/>
    <n v="0"/>
    <n v="0"/>
    <s v="Number"/>
    <n v="4.99"/>
    <n v="4.99"/>
    <n v="29.98"/>
    <n v="29.98"/>
    <n v="29.979999999999997"/>
    <s v="True"/>
    <s v="Normal"/>
    <s v="PayPal"/>
    <x v="2"/>
    <s v="pending"/>
    <s v="United Kingdom"/>
    <m/>
    <s v="Not Required"/>
    <s v="New Jason"/>
  </r>
  <r>
    <s v="#1376"/>
    <n v="1"/>
    <d v="2026-08-04T00:00:00"/>
    <s v="Aug 04, 2026"/>
    <s v="Julia Atkinson"/>
    <x v="0"/>
    <s v="julia.atkinson939@gmail.com"/>
    <s v="Vitamin C Serum 30ml"/>
    <x v="20"/>
    <s v="Beauty"/>
    <x v="21"/>
    <n v="1"/>
    <n v="24.99"/>
    <n v="24.99"/>
    <s v="VIP15"/>
    <x v="4"/>
    <n v="3.75"/>
    <n v="3.75"/>
    <s v="Number"/>
    <n v="5.99"/>
    <n v="5.99"/>
    <n v="27.23"/>
    <n v="27.23"/>
    <n v="27.229999999999997"/>
    <s v="True"/>
    <s v="Normal"/>
    <s v="Credit Card"/>
    <x v="2"/>
    <s v="fulfilled"/>
    <s v="Canada"/>
    <m/>
    <s v="Not Required"/>
    <s v="Piercehaven"/>
  </r>
  <r>
    <s v="#1478"/>
    <n v="1"/>
    <d v="2026-08-04T00:00:00"/>
    <s v="04-08-2026 13:54"/>
    <s v="Christopher Harris"/>
    <x v="0"/>
    <s v="christopher.harris618@yahoo.com"/>
    <s v="Vitamin C Serum 30ml"/>
    <x v="20"/>
    <s v="Beauty"/>
    <x v="21"/>
    <n v="2"/>
    <s v="$24.99"/>
    <n v="24.99"/>
    <m/>
    <x v="0"/>
    <n v="0"/>
    <n v="0"/>
    <s v="Number"/>
    <n v="5.99"/>
    <n v="5.99"/>
    <n v="55.97"/>
    <n v="55.97"/>
    <n v="55.97"/>
    <s v="True"/>
    <s v="Normal"/>
    <s v="Apple Pay"/>
    <x v="3"/>
    <s v="pending"/>
    <s v="Australia"/>
    <m/>
    <s v="Not Required"/>
    <s v="Wayneburgh"/>
  </r>
  <r>
    <s v="#1570"/>
    <n v="1"/>
    <d v="2026-08-04T13:59:53"/>
    <d v="2026-08-04T13:59:53"/>
    <s v="Rodriguez, Devon"/>
    <x v="0"/>
    <s v="devon.rodriguez635@outlook.com"/>
    <s v="Vitamin C Serum 30ml"/>
    <x v="20"/>
    <s v="Beauty"/>
    <x v="21"/>
    <n v="1"/>
    <n v="24.99"/>
    <n v="24.99"/>
    <m/>
    <x v="0"/>
    <n v="0"/>
    <n v="0"/>
    <s v="Number"/>
    <n v="7.99"/>
    <n v="7.99"/>
    <n v="32.979999999999997"/>
    <n v="32.979999999999997"/>
    <n v="32.979999999999997"/>
    <s v="True"/>
    <s v="Normal"/>
    <s v="Apple Pay"/>
    <x v="0"/>
    <s v="fulfilled"/>
    <s v="United States"/>
    <s v="North Carolina"/>
    <s v="Valid"/>
    <s v="New Joseph"/>
  </r>
  <r>
    <s v="#1573"/>
    <n v="1"/>
    <d v="2026-08-04T00:00:00"/>
    <s v="04-08-2026 14:00"/>
    <s v="Samuel Padilla"/>
    <x v="0"/>
    <s v="samuel.padilla79@gmail.com"/>
    <s v="Vitamin C Serum 30ml"/>
    <x v="20"/>
    <s v="Beauty"/>
    <x v="21"/>
    <n v="1"/>
    <n v="24.99"/>
    <n v="24.99"/>
    <m/>
    <x v="0"/>
    <n v="0"/>
    <n v="0"/>
    <s v="Number"/>
    <n v="7.99"/>
    <n v="7.99"/>
    <n v="32.979999999999997"/>
    <n v="32.979999999999997"/>
    <n v="32.979999999999997"/>
    <s v="True"/>
    <s v="Normal"/>
    <s v="Apple Pay"/>
    <x v="0"/>
    <s v="cancelled"/>
    <s v="United States"/>
    <s v="NC"/>
    <s v="Valid"/>
    <s v="Cameronport"/>
  </r>
  <r>
    <s v="#1574"/>
    <n v="1"/>
    <d v="2026-08-04T14:05:31"/>
    <d v="2026-08-04T14:05:31"/>
    <s v="Brian Ruiz"/>
    <x v="0"/>
    <s v="brian.ruiz246@gmail.com"/>
    <s v="Vitamin C Serum 30ml"/>
    <x v="20"/>
    <s v="Beauty"/>
    <x v="21"/>
    <n v="1"/>
    <n v="24.99"/>
    <n v="24.99"/>
    <m/>
    <x v="0"/>
    <n v="0"/>
    <n v="0"/>
    <s v="Number"/>
    <n v="7.99"/>
    <n v="7.99"/>
    <n v="32.979999999999997"/>
    <n v="32.979999999999997"/>
    <n v="32.979999999999997"/>
    <s v="True"/>
    <s v="Normal"/>
    <s v="Google Pay"/>
    <x v="0"/>
    <s v="refunded"/>
    <s v="Germany"/>
    <m/>
    <s v="Not Required"/>
    <s v="Ericchester"/>
  </r>
  <r>
    <s v="#1576"/>
    <n v="1"/>
    <d v="2026-08-04T13:57:25"/>
    <d v="2026-08-04T13:57:25"/>
    <s v="Kayla Lee"/>
    <x v="0"/>
    <s v="kayla.lee278@yahoo.com"/>
    <s v="Vitamin C Serum 30ml"/>
    <x v="20"/>
    <s v="Beauty"/>
    <x v="21"/>
    <n v="2"/>
    <n v="24.99"/>
    <n v="24.99"/>
    <s v="WELCOME10"/>
    <x v="1"/>
    <n v="5"/>
    <n v="5"/>
    <s v="Number"/>
    <n v="5.99"/>
    <n v="5.99"/>
    <n v="50.97"/>
    <n v="50.97"/>
    <n v="50.97"/>
    <s v="True"/>
    <s v="Normal"/>
    <s v="Shopify Payments"/>
    <x v="0"/>
    <s v="fulfilled"/>
    <s v="United Kingdom"/>
    <m/>
    <s v="Not Required"/>
    <s v="Edwardsmouth"/>
  </r>
  <r>
    <s v="#1605"/>
    <n v="1"/>
    <d v="2026-08-04T13:58:58"/>
    <d v="2026-08-04T13:58:58"/>
    <s v="Brady Garcia"/>
    <x v="0"/>
    <s v="brady.garcia57@yahoo.com"/>
    <s v="Vitamin C Serum 30ml"/>
    <x v="20"/>
    <s v="Beauty"/>
    <x v="21"/>
    <n v="1"/>
    <n v="24.99"/>
    <n v="24.99"/>
    <s v="WELCOME10"/>
    <x v="1"/>
    <n v="2.5"/>
    <n v="2.5"/>
    <s v="Number"/>
    <n v="7.99"/>
    <n v="7.99"/>
    <n v="30.48"/>
    <n v="30.48"/>
    <n v="30.479999999999997"/>
    <s v="True"/>
    <s v="Normal"/>
    <s v="Credit Card"/>
    <x v="1"/>
    <s v="pending"/>
    <s v="Australia"/>
    <m/>
    <s v="Not Required"/>
    <s v="Elliottchester"/>
  </r>
  <r>
    <s v="#1634"/>
    <n v="1"/>
    <d v="2026-08-04T14:00:41"/>
    <d v="2026-08-04T14:00:41"/>
    <s v="Thomas Rojas"/>
    <x v="0"/>
    <s v="thomas.rojas667@icloud.com"/>
    <s v="Vitamin C Serum 30ml"/>
    <x v="20"/>
    <s v="Beauty"/>
    <x v="21"/>
    <n v="1"/>
    <n v="24.99"/>
    <n v="24.99"/>
    <m/>
    <x v="0"/>
    <n v="0"/>
    <n v="0"/>
    <s v="Number"/>
    <n v="5.99"/>
    <n v="5.99"/>
    <n v="30.98"/>
    <n v="30.98"/>
    <n v="30.979999999999997"/>
    <s v="True"/>
    <s v="Normal"/>
    <s v="Shopify Payments"/>
    <x v="1"/>
    <s v="fulfilled"/>
    <s v="United States"/>
    <s v="California"/>
    <s v="Valid"/>
    <s v="Williamsborough"/>
  </r>
  <r>
    <s v="#1665"/>
    <n v="1"/>
    <d v="2026-08-04T14:03:42"/>
    <d v="2026-08-04T14:03:42"/>
    <s v="Megan Dickson"/>
    <x v="0"/>
    <s v="megan.dickson508@gmail.com"/>
    <s v="Vitamin C Serum 30ml"/>
    <x v="20"/>
    <s v="Beauty"/>
    <x v="21"/>
    <n v="1"/>
    <s v="$24.99"/>
    <n v="24.99"/>
    <m/>
    <x v="0"/>
    <n v="0"/>
    <n v="0"/>
    <s v="Number"/>
    <n v="7.99"/>
    <n v="7.99"/>
    <n v="32.979999999999997"/>
    <n v="32.979999999999997"/>
    <n v="32.979999999999997"/>
    <s v="True"/>
    <s v="Normal"/>
    <s v="Google Pay"/>
    <x v="2"/>
    <s v="fulfilled"/>
    <s v="United Kingdom"/>
    <m/>
    <s v="Not Required"/>
    <s v="Cindytown"/>
  </r>
  <r>
    <s v="#1671"/>
    <n v="1"/>
    <d v="2026-08-04T13:59:13"/>
    <d v="2026-08-04T13:59:13"/>
    <s v="Samuel Smith"/>
    <x v="1"/>
    <m/>
    <s v="Vitamin C Serum 30ml"/>
    <x v="20"/>
    <s v="Beauty"/>
    <x v="21"/>
    <n v="3"/>
    <n v="24.99"/>
    <n v="24.99"/>
    <s v="SAVE20"/>
    <x v="2"/>
    <n v="14.99"/>
    <n v="14.99"/>
    <s v="Number"/>
    <n v="4.99"/>
    <n v="4.99"/>
    <n v="64.97"/>
    <n v="64.97"/>
    <n v="64.97"/>
    <s v="True"/>
    <s v="Normal"/>
    <s v="Shopify Payments"/>
    <x v="0"/>
    <s v="refunded"/>
    <s v="United Kingdom"/>
    <m/>
    <s v="Not Required"/>
    <s v="Grayview"/>
  </r>
  <r>
    <s v="#1682"/>
    <n v="1"/>
    <d v="2026-08-04T13:55:27"/>
    <d v="2026-08-04T13:55:27"/>
    <s v="KIMBERLY TORRES"/>
    <x v="0"/>
    <s v="kimberly.torres39@yahoo.com"/>
    <s v="Vitamin C Serum 30ml"/>
    <x v="20"/>
    <s v="Beauty"/>
    <x v="21"/>
    <n v="1"/>
    <n v="24.99"/>
    <n v="24.99"/>
    <m/>
    <x v="0"/>
    <n v="0"/>
    <n v="0"/>
    <s v="Number"/>
    <n v="4.99"/>
    <n v="4.99"/>
    <s v="$29.98"/>
    <n v="29.98"/>
    <n v="29.979999999999997"/>
    <s v="True"/>
    <s v="Normal"/>
    <s v="Credit Card"/>
    <x v="0"/>
    <s v="fulfilled"/>
    <s v="Australia"/>
    <m/>
    <s v="Not Required"/>
    <s v="Cassandraville"/>
  </r>
  <r>
    <s v="#1724"/>
    <n v="1"/>
    <d v="2026-08-04T13:59:30"/>
    <d v="2026-08-04T13:59:30"/>
    <s v="Chad Smith"/>
    <x v="0"/>
    <s v="chad.smith773@icloud.com"/>
    <s v="Vitamin C Serum 30ml"/>
    <x v="20"/>
    <s v="Beauty"/>
    <x v="21"/>
    <n v="2"/>
    <n v="24.99"/>
    <n v="24.99"/>
    <s v="SAVE20"/>
    <x v="2"/>
    <n v="10"/>
    <n v="10"/>
    <s v="Number"/>
    <n v="7.99"/>
    <n v="7.99"/>
    <n v="47.97"/>
    <n v="47.97"/>
    <n v="47.97"/>
    <s v="True"/>
    <s v="Normal"/>
    <s v="Google Pay"/>
    <x v="1"/>
    <s v="cancelled"/>
    <s v="Pakistan"/>
    <m/>
    <s v="Not Required"/>
    <s v="Trevorside"/>
  </r>
  <r>
    <s v="#1728"/>
    <n v="1"/>
    <d v="2026-08-04T13:55:00"/>
    <d v="2026-08-04T13:55:00"/>
    <s v="James Mason"/>
    <x v="0"/>
    <s v="james.mason603@gmail.com"/>
    <s v="Vitamin C Serum 30ml"/>
    <x v="20"/>
    <s v="Beauty"/>
    <x v="21"/>
    <n v="1"/>
    <n v="24.99"/>
    <n v="24.99"/>
    <s v="VIP15"/>
    <x v="4"/>
    <n v="3.75"/>
    <n v="3.75"/>
    <s v="Number"/>
    <n v="7.99"/>
    <n v="7.99"/>
    <n v="29.23"/>
    <n v="29.23"/>
    <n v="29.229999999999997"/>
    <s v="True"/>
    <s v="Normal"/>
    <s v="PayPal"/>
    <x v="0"/>
    <s v="refunded"/>
    <s v="Pakistan"/>
    <m/>
    <s v="Not Required"/>
    <s v="Hernandezshire"/>
  </r>
  <r>
    <s v="#1730"/>
    <n v="1"/>
    <d v="2026-08-04T00:00:00"/>
    <s v="Aug 04, 2026"/>
    <s v="Mary Bradley"/>
    <x v="0"/>
    <s v="mary.bradley289@gmail.com"/>
    <s v="Vitamin C Serum 30ml"/>
    <x v="20"/>
    <s v="Beauty"/>
    <x v="21"/>
    <n v="2"/>
    <s v="$24.99"/>
    <n v="24.99"/>
    <m/>
    <x v="0"/>
    <n v="0"/>
    <n v="0"/>
    <s v="Number"/>
    <n v="4.99"/>
    <n v="4.99"/>
    <n v="54.97"/>
    <n v="54.97"/>
    <n v="54.97"/>
    <s v="True"/>
    <s v="Normal"/>
    <s v="Apple Pay"/>
    <x v="0"/>
    <s v="pending"/>
    <s v="United Kingdom"/>
    <m/>
    <s v="Not Required"/>
    <s v="Port Robin"/>
  </r>
  <r>
    <s v="#1733"/>
    <n v="1"/>
    <d v="2026-08-04T13:55:58"/>
    <d v="2026-08-04T13:55:58"/>
    <s v="John Carson"/>
    <x v="0"/>
    <s v="john.carson203@yahoo.com"/>
    <s v="Vitamin C Serum 30ml"/>
    <x v="20"/>
    <s v="Beauty"/>
    <x v="21"/>
    <n v="4"/>
    <n v="24.99"/>
    <n v="24.99"/>
    <s v="VIP15"/>
    <x v="4"/>
    <n v="14.99"/>
    <n v="14.99"/>
    <s v="Number"/>
    <n v="0"/>
    <n v="0"/>
    <n v="84.97"/>
    <n v="84.97"/>
    <n v="84.97"/>
    <s v="True"/>
    <s v="Outlier"/>
    <s v="Shopify Payments"/>
    <x v="2"/>
    <s v="fulfilled"/>
    <s v="United States"/>
    <s v="New York"/>
    <s v="Valid"/>
    <s v="Justinfurt"/>
  </r>
  <r>
    <s v="#1734"/>
    <n v="1"/>
    <d v="2026-08-04T14:06:44"/>
    <d v="2026-08-04T14:06:44"/>
    <s v="Danielle Johnson"/>
    <x v="0"/>
    <s v="danielle.johnson52@yahoo.com"/>
    <s v="Vitamin C Serum 30ml"/>
    <x v="20"/>
    <s v="Beauty"/>
    <x v="21"/>
    <n v="1"/>
    <n v="24.99"/>
    <n v="24.99"/>
    <m/>
    <x v="0"/>
    <n v="0"/>
    <n v="0"/>
    <s v="Number"/>
    <n v="4.99"/>
    <n v="4.99"/>
    <n v="29.98"/>
    <n v="29.98"/>
    <n v="29.979999999999997"/>
    <s v="True"/>
    <s v="Normal"/>
    <s v="Google Pay"/>
    <x v="0"/>
    <s v="cancelled"/>
    <s v="United States"/>
    <s v="Arizona"/>
    <s v="Valid"/>
    <s v="Mauriceland"/>
  </r>
  <r>
    <s v="#1748"/>
    <n v="1"/>
    <d v="2026-08-04T14:07:23"/>
    <d v="2026-08-04T14:07:23"/>
    <s v="Anthony Mullen"/>
    <x v="0"/>
    <s v="anthony.mullen523@yahoo.com"/>
    <s v="Vitamin C Serum 30ml"/>
    <x v="20"/>
    <s v="Beauty"/>
    <x v="21"/>
    <n v="1"/>
    <n v="24.99"/>
    <n v="24.99"/>
    <s v="BFCM25"/>
    <x v="3"/>
    <n v="6.25"/>
    <n v="6.25"/>
    <s v="Number"/>
    <n v="5.99"/>
    <n v="5.99"/>
    <n v="24.73"/>
    <n v="24.73"/>
    <n v="24.729999999999997"/>
    <s v="True"/>
    <s v="Normal"/>
    <s v="Shopify Payments"/>
    <x v="0"/>
    <s v="cancelled"/>
    <s v="United States"/>
    <s v="Ohio"/>
    <s v="Valid"/>
    <s v="Cameronberg"/>
  </r>
  <r>
    <s v="#1763"/>
    <n v="1"/>
    <d v="2026-08-04T13:56:13"/>
    <d v="2026-08-04T13:56:13"/>
    <m/>
    <x v="0"/>
    <s v="kimberly.cordova508@icloud.com"/>
    <s v="Vitamin C Serum 30ml"/>
    <x v="20"/>
    <s v="Beauty"/>
    <x v="21"/>
    <n v="2"/>
    <n v="24.99"/>
    <n v="24.99"/>
    <s v="WELCOME10"/>
    <x v="1"/>
    <n v="5"/>
    <n v="5"/>
    <s v="Number"/>
    <n v="7.99"/>
    <n v="7.99"/>
    <n v="52.97"/>
    <n v="52.97"/>
    <n v="52.97"/>
    <s v="True"/>
    <s v="Normal"/>
    <s v="Credit Card"/>
    <x v="0"/>
    <s v="pending"/>
    <s v="Pakistan"/>
    <m/>
    <s v="Not Required"/>
    <s v="Tamaraside"/>
  </r>
  <r>
    <s v="#1774"/>
    <n v="1"/>
    <d v="2026-08-04T13:55:01"/>
    <d v="2026-08-04T13:55:01"/>
    <s v="Anthony Krueger"/>
    <x v="0"/>
    <s v="anthony.krueger812@yahoo.com"/>
    <s v="Vitamin C Serum 30ml"/>
    <x v="20"/>
    <s v="Beauty"/>
    <x v="21"/>
    <n v="1"/>
    <n v="24.99"/>
    <n v="24.99"/>
    <s v="BFCM25"/>
    <x v="3"/>
    <n v="6.25"/>
    <n v="6.25"/>
    <s v="Number"/>
    <n v="5.99"/>
    <n v="5.99"/>
    <n v="24.73"/>
    <n v="24.73"/>
    <n v="24.729999999999997"/>
    <s v="True"/>
    <s v="Normal"/>
    <s v="PayPal"/>
    <x v="3"/>
    <s v="cancelled"/>
    <s v="Pakistan"/>
    <m/>
    <s v="Not Required"/>
    <s v="Mooremouth"/>
  </r>
  <r>
    <s v="#1799"/>
    <n v="1"/>
    <d v="2026-04-08T00:00:00"/>
    <s v="08/04/2026"/>
    <s v="Kiara Burke"/>
    <x v="1"/>
    <m/>
    <s v="Vitamin C Serum 30ml"/>
    <x v="20"/>
    <s v="Beauty"/>
    <x v="21"/>
    <n v="1"/>
    <n v="24.99"/>
    <n v="24.99"/>
    <s v="FREESHIP"/>
    <x v="5"/>
    <s v="$0.00"/>
    <n v="0"/>
    <s v="Number"/>
    <n v="0"/>
    <n v="0"/>
    <n v="24.99"/>
    <n v="24.99"/>
    <n v="24.99"/>
    <s v="True"/>
    <s v="Normal"/>
    <s v="Shopify Payments"/>
    <x v="0"/>
    <s v="fulfilled"/>
    <s v="Germany"/>
    <m/>
    <s v="Not Required"/>
    <s v="Taylorbury"/>
  </r>
  <r>
    <s v="#1825"/>
    <n v="1"/>
    <d v="2026-08-04T14:00:51"/>
    <d v="2026-08-04T14:00:51"/>
    <s v="Brian Ruiz"/>
    <x v="0"/>
    <s v="brian.ruiz246@gmail.com"/>
    <s v="Vitamin C Serum 30ml"/>
    <x v="20"/>
    <s v="Beauty"/>
    <x v="21"/>
    <n v="2"/>
    <n v="24.99"/>
    <n v="24.99"/>
    <s v="FREESHIP"/>
    <x v="5"/>
    <n v="0"/>
    <n v="0"/>
    <s v="Number"/>
    <n v="0"/>
    <n v="0"/>
    <n v="49.98"/>
    <n v="49.98"/>
    <n v="49.98"/>
    <s v="True"/>
    <s v="Normal"/>
    <s v="Apple Pay"/>
    <x v="0"/>
    <s v="fulfilled"/>
    <s v="Germany"/>
    <m/>
    <s v="Not Required"/>
    <s v="Port Peter"/>
  </r>
  <r>
    <s v="#1867"/>
    <n v="1"/>
    <d v="2026-08-04T14:06:11"/>
    <d v="2026-08-04T14:06:11"/>
    <s v="Nicholas Jarvis"/>
    <x v="1"/>
    <m/>
    <s v="Vitamin C Serum 30ml"/>
    <x v="20"/>
    <s v="Beauty"/>
    <x v="21"/>
    <n v="3"/>
    <n v="24.99"/>
    <n v="24.99"/>
    <m/>
    <x v="0"/>
    <n v="0"/>
    <n v="0"/>
    <s v="Number"/>
    <n v="7.99"/>
    <n v="7.99"/>
    <n v="82.96"/>
    <n v="82.96"/>
    <n v="82.96"/>
    <s v="True"/>
    <s v="Outlier"/>
    <s v="Apple Pay"/>
    <x v="0"/>
    <s v="fulfilled"/>
    <s v="Canada"/>
    <m/>
    <s v="Not Required"/>
    <s v="South Michaelmouth"/>
  </r>
  <r>
    <s v="#1893"/>
    <n v="1"/>
    <d v="2026-08-04T14:07:44"/>
    <d v="2026-08-04T14:07:44"/>
    <s v="Rodney Lamb"/>
    <x v="0"/>
    <s v="rodney.lamb872@icloud.com"/>
    <s v="Vitamin C Serum 30ml"/>
    <x v="20"/>
    <s v="Beauty"/>
    <x v="21"/>
    <n v="1"/>
    <n v="24.99"/>
    <n v="24.99"/>
    <m/>
    <x v="0"/>
    <n v="0"/>
    <n v="0"/>
    <s v="Number"/>
    <n v="7.99"/>
    <n v="7.99"/>
    <n v="32.979999999999997"/>
    <n v="32.979999999999997"/>
    <n v="32.979999999999997"/>
    <s v="True"/>
    <s v="Normal"/>
    <s v="Credit Card"/>
    <x v="0"/>
    <s v="pending"/>
    <s v="Australia"/>
    <m/>
    <s v="Not Required"/>
    <s v="Martinezland"/>
  </r>
  <r>
    <s v="#1905"/>
    <n v="1"/>
    <d v="2026-08-04T14:01:13"/>
    <d v="2026-08-04T14:01:13"/>
    <s v="Justin Smith"/>
    <x v="0"/>
    <s v="justin.smith204@yahoo.com"/>
    <s v="Vitamin C Serum 30ml"/>
    <x v="20"/>
    <s v="Beauty"/>
    <x v="21"/>
    <n v="1"/>
    <n v="24.99"/>
    <n v="24.99"/>
    <s v="FREESHIP"/>
    <x v="5"/>
    <n v="0"/>
    <n v="0"/>
    <s v="Number"/>
    <n v="0"/>
    <n v="0"/>
    <n v="24.99"/>
    <n v="24.99"/>
    <n v="24.99"/>
    <s v="True"/>
    <s v="Normal"/>
    <s v="Shopify Payments"/>
    <x v="0"/>
    <s v="pending"/>
    <s v="United Kingdom"/>
    <m/>
    <s v="Not Required"/>
    <s v="Richardfort"/>
  </r>
  <r>
    <s v="#1907"/>
    <n v="1"/>
    <d v="2026-08-04T00:00:00"/>
    <s v="04-08-2026 13:57"/>
    <s v="Angela Carr"/>
    <x v="0"/>
    <s v="angela.carr488@yahoo.com"/>
    <s v="Vitamin C Serum 30ml"/>
    <x v="20"/>
    <s v="Beauty"/>
    <x v="21"/>
    <n v="1"/>
    <n v="24.99"/>
    <n v="24.99"/>
    <s v="BFCM25"/>
    <x v="3"/>
    <n v="6.25"/>
    <n v="6.25"/>
    <s v="Number"/>
    <n v="4.99"/>
    <n v="4.99"/>
    <n v="23.73"/>
    <n v="23.73"/>
    <n v="23.729999999999997"/>
    <s v="True"/>
    <s v="Normal"/>
    <s v="Google Pay"/>
    <x v="2"/>
    <s v="fulfilled"/>
    <s v="United States"/>
    <s v="NC"/>
    <s v="Valid"/>
    <s v="Batesstad"/>
  </r>
  <r>
    <s v="#1920"/>
    <n v="1"/>
    <d v="2026-08-04T00:00:00"/>
    <s v="Aug 04, 2026"/>
    <s v="Heather Rivers"/>
    <x v="0"/>
    <s v="heather.rivers451@icloud.com"/>
    <s v="Vitamin C Serum 30ml"/>
    <x v="20"/>
    <s v="Beauty"/>
    <x v="21"/>
    <n v="3"/>
    <n v="24.99"/>
    <n v="24.99"/>
    <s v="SAVE20"/>
    <x v="2"/>
    <n v="14.99"/>
    <n v="14.99"/>
    <s v="Number"/>
    <n v="5.99"/>
    <n v="5.99"/>
    <n v="65.97"/>
    <n v="65.97"/>
    <n v="65.97"/>
    <s v="True"/>
    <s v="Normal"/>
    <s v="Credit Card"/>
    <x v="1"/>
    <s v="refunded"/>
    <s v="United States"/>
    <s v="TX"/>
    <s v="Valid"/>
    <s v="Juanland"/>
  </r>
  <r>
    <s v="#1928"/>
    <n v="1"/>
    <d v="2026-08-04T13:58:02"/>
    <d v="2026-08-04T13:58:02"/>
    <s v="Justin Smith"/>
    <x v="0"/>
    <s v="justin.smith204@yahoo.com"/>
    <s v="Vitamin C Serum 30ml"/>
    <x v="20"/>
    <s v="Beauty"/>
    <x v="21"/>
    <n v="1"/>
    <n v="24.99"/>
    <n v="24.99"/>
    <m/>
    <x v="0"/>
    <n v="0"/>
    <n v="0"/>
    <s v="Number"/>
    <n v="7.99"/>
    <n v="7.99"/>
    <n v="32.979999999999997"/>
    <n v="32.979999999999997"/>
    <n v="32.979999999999997"/>
    <s v="True"/>
    <s v="Normal"/>
    <s v="Google Pay"/>
    <x v="3"/>
    <s v="cancelled"/>
    <s v="United Kingdom"/>
    <m/>
    <s v="Not Required"/>
    <s v="North Jeremyside"/>
  </r>
  <r>
    <s v="#1951"/>
    <n v="1"/>
    <d v="2026-08-04T14:01:30"/>
    <d v="2026-08-04T14:01:30"/>
    <s v="Amanda Harris"/>
    <x v="0"/>
    <s v="amanda.harris197@gmail.com"/>
    <s v="Vitamin C Serum 30ml"/>
    <x v="20"/>
    <s v="Beauty"/>
    <x v="21"/>
    <n v="1"/>
    <n v="24.99"/>
    <n v="24.99"/>
    <s v="FREESHIP"/>
    <x v="5"/>
    <n v="0"/>
    <n v="0"/>
    <s v="Number"/>
    <n v="0"/>
    <n v="0"/>
    <n v="24.99"/>
    <n v="24.99"/>
    <n v="24.99"/>
    <s v="True"/>
    <s v="Normal"/>
    <s v="Credit Card"/>
    <x v="0"/>
    <s v="fulfilled"/>
    <s v="United States"/>
    <s v="Georgia"/>
    <s v="Valid"/>
    <s v="Port Kathrynstad"/>
  </r>
  <r>
    <s v="#1967"/>
    <n v="1"/>
    <d v="2026-08-04T13:59:25"/>
    <d v="2026-08-04T13:59:25"/>
    <s v="Lauren Howard"/>
    <x v="0"/>
    <s v="lauren.howard163@icloud.com"/>
    <s v="Vitamin C Serum 30ml"/>
    <x v="20"/>
    <s v="Beauty"/>
    <x v="21"/>
    <n v="2"/>
    <s v="$24.99"/>
    <n v="24.99"/>
    <s v="WELCOME10"/>
    <x v="1"/>
    <n v="5"/>
    <n v="5"/>
    <s v="Number"/>
    <n v="4.99"/>
    <n v="4.99"/>
    <n v="49.97"/>
    <n v="49.97"/>
    <n v="49.97"/>
    <s v="True"/>
    <s v="Normal"/>
    <s v="Apple Pay"/>
    <x v="1"/>
    <s v="cancelled"/>
    <s v="United States"/>
    <s v="Georgia"/>
    <s v="Valid"/>
    <s v="Port Triciaburgh"/>
  </r>
  <r>
    <s v="#1983"/>
    <n v="1"/>
    <d v="2026-08-04T14:04:23"/>
    <d v="2026-08-04T14:04:23"/>
    <s v="Tracy Adams"/>
    <x v="1"/>
    <m/>
    <s v="Vitamin C Serum 30ml"/>
    <x v="20"/>
    <s v="Beauty"/>
    <x v="21"/>
    <n v="1"/>
    <n v="24.99"/>
    <n v="24.99"/>
    <s v="BFCM25"/>
    <x v="3"/>
    <n v="6.25"/>
    <n v="6.25"/>
    <s v="Number"/>
    <n v="5.99"/>
    <n v="5.99"/>
    <n v="24.73"/>
    <n v="24.73"/>
    <n v="24.729999999999997"/>
    <s v="True"/>
    <s v="Normal"/>
    <s v="Shopify Payments"/>
    <x v="0"/>
    <s v="fulfilled"/>
    <s v="United States"/>
    <s v="Ohio"/>
    <s v="Valid"/>
    <s v="West Melissaport"/>
  </r>
  <r>
    <s v="#2005"/>
    <n v="1"/>
    <d v="2026-08-04T00:00:00"/>
    <s v="2026-08-04"/>
    <s v="Brian Johnson"/>
    <x v="0"/>
    <s v="brian.johnson756@yahoo.com"/>
    <s v="Vitamin C Serum 30ml"/>
    <x v="20"/>
    <s v="Beauty"/>
    <x v="21"/>
    <n v="1"/>
    <n v="24.99"/>
    <n v="24.99"/>
    <s v="VIP15"/>
    <x v="4"/>
    <n v="3.75"/>
    <n v="3.75"/>
    <s v="Number"/>
    <n v="7.99"/>
    <n v="7.99"/>
    <n v="29.23"/>
    <n v="29.23"/>
    <n v="29.229999999999997"/>
    <s v="True"/>
    <s v="Normal"/>
    <s v="Apple Pay"/>
    <x v="0"/>
    <s v="cancelled"/>
    <s v="Australia"/>
    <m/>
    <s v="Not Required"/>
    <s v="Russellshire"/>
  </r>
  <r>
    <s v="#2061"/>
    <n v="1"/>
    <d v="2026-08-04T13:58:41"/>
    <d v="2026-08-04T13:58:41"/>
    <s v="Frank Diaz"/>
    <x v="0"/>
    <s v="frank.diaz795@gmail.com"/>
    <s v="Vitamin C Serum 30ml"/>
    <x v="20"/>
    <s v="Beauty"/>
    <x v="21"/>
    <n v="2"/>
    <n v="24.99"/>
    <n v="24.99"/>
    <s v="SAVE20"/>
    <x v="2"/>
    <n v="10"/>
    <n v="10"/>
    <s v="Number"/>
    <n v="4.99"/>
    <n v="4.99"/>
    <n v="44.97"/>
    <n v="44.97"/>
    <n v="44.97"/>
    <s v="True"/>
    <s v="Normal"/>
    <s v="PayPal"/>
    <x v="2"/>
    <s v="fulfilled"/>
    <s v="United States"/>
    <s v="Georgia"/>
    <s v="Valid"/>
    <s v="Quinnfurt"/>
  </r>
  <r>
    <s v="#2071"/>
    <n v="1"/>
    <d v="2026-08-04T14:01:52"/>
    <d v="2026-08-04T14:01:52"/>
    <s v="George Green"/>
    <x v="0"/>
    <s v="george.green694@icloud.com"/>
    <s v="Vitamin C Serum 30ml"/>
    <x v="20"/>
    <s v="Beauty"/>
    <x v="21"/>
    <n v="1"/>
    <n v="24.99"/>
    <n v="24.99"/>
    <s v="BFCM25"/>
    <x v="3"/>
    <n v="6.25"/>
    <n v="6.25"/>
    <s v="Number"/>
    <n v="5.99"/>
    <n v="5.99"/>
    <n v="24.73"/>
    <n v="24.73"/>
    <n v="24.729999999999997"/>
    <s v="True"/>
    <s v="Normal"/>
    <s v="Google Pay"/>
    <x v="0"/>
    <s v="cancelled"/>
    <s v="United States"/>
    <s v="Texas"/>
    <s v="Valid"/>
    <s v="Harrisonbury"/>
  </r>
  <r>
    <s v="#2083"/>
    <n v="1"/>
    <d v="2026-08-04T14:05:39"/>
    <d v="2026-08-04T14:05:39"/>
    <s v="Thomas Smith"/>
    <x v="0"/>
    <s v="thomas.smith633@gmail.com"/>
    <s v="Vitamin C Serum 30ml"/>
    <x v="20"/>
    <s v="Beauty"/>
    <x v="21"/>
    <n v="1"/>
    <n v="24.99"/>
    <n v="24.99"/>
    <m/>
    <x v="0"/>
    <n v="0"/>
    <n v="0"/>
    <s v="Number"/>
    <n v="4.99"/>
    <n v="4.99"/>
    <n v="29.98"/>
    <n v="29.98"/>
    <n v="29.979999999999997"/>
    <s v="True"/>
    <s v="Normal"/>
    <s v="Credit Card"/>
    <x v="0"/>
    <s v="fulfilled"/>
    <s v="Germany"/>
    <m/>
    <s v="Not Required"/>
    <s v="Montgomeryberg"/>
  </r>
  <r>
    <s v="#2119"/>
    <n v="1"/>
    <d v="2026-08-04T00:00:00"/>
    <s v="Aug 04, 2026"/>
    <s v="Timothy Hodges"/>
    <x v="0"/>
    <s v="timothy.hodges687@icloud.com"/>
    <s v="Vitamin C Serum 30ml"/>
    <x v="20"/>
    <s v="Beauty"/>
    <x v="21"/>
    <n v="1"/>
    <n v="24.99"/>
    <n v="24.99"/>
    <s v="SAVE20"/>
    <x v="2"/>
    <n v="5"/>
    <n v="5"/>
    <s v="Number"/>
    <n v="7.99"/>
    <n v="7.99"/>
    <n v="27.98"/>
    <n v="27.98"/>
    <n v="27.979999999999997"/>
    <s v="True"/>
    <s v="Normal"/>
    <s v="Shopify Payments"/>
    <x v="0"/>
    <s v="cancelled"/>
    <s v="Australia"/>
    <m/>
    <s v="Not Required"/>
    <s v="Savagefurt"/>
  </r>
  <r>
    <s v="#2185"/>
    <n v="1"/>
    <d v="2026-08-04T14:06:10"/>
    <d v="2026-08-04T14:06:10"/>
    <s v="David Hernandez"/>
    <x v="0"/>
    <s v="david.hernandez260@yahoo.com"/>
    <s v="Vitamin C Serum 30ml"/>
    <x v="20"/>
    <s v="Beauty"/>
    <x v="21"/>
    <n v="1"/>
    <n v="24.99"/>
    <n v="24.99"/>
    <m/>
    <x v="0"/>
    <n v="0"/>
    <n v="0"/>
    <s v="Number"/>
    <n v="7.99"/>
    <n v="7.99"/>
    <n v="32.979999999999997"/>
    <n v="32.979999999999997"/>
    <n v="32.979999999999997"/>
    <s v="True"/>
    <s v="Normal"/>
    <s v="Apple Pay"/>
    <x v="1"/>
    <s v="cancelled"/>
    <s v="Australia"/>
    <m/>
    <s v="Not Required"/>
    <s v="Johnmouth"/>
  </r>
  <r>
    <s v="#2207"/>
    <n v="1"/>
    <d v="2026-08-04T13:56:12"/>
    <d v="2026-08-04T13:56:12"/>
    <s v="Sergio Turner"/>
    <x v="0"/>
    <s v="sergio.turner744@outlook.com"/>
    <s v="Vitamin C Serum 30ml"/>
    <x v="20"/>
    <s v="Beauty"/>
    <x v="21"/>
    <n v="1"/>
    <n v="24.99"/>
    <n v="24.99"/>
    <s v="VIP15"/>
    <x v="4"/>
    <n v="3.75"/>
    <n v="3.75"/>
    <s v="Number"/>
    <n v="4.99"/>
    <n v="4.99"/>
    <n v="26.23"/>
    <n v="26.23"/>
    <n v="26.229999999999997"/>
    <s v="True"/>
    <s v="Normal"/>
    <s v="Shopify Payments"/>
    <x v="3"/>
    <s v="fulfilled"/>
    <s v="Germany"/>
    <m/>
    <s v="Not Required"/>
    <s v="Jefferyberg"/>
  </r>
  <r>
    <s v="#2232"/>
    <n v="1"/>
    <d v="2026-08-04T13:58:03"/>
    <d v="2026-08-04T13:58:03"/>
    <s v="Joel Williams"/>
    <x v="0"/>
    <s v="joel.williams850@gmail.com"/>
    <s v="Vitamin C Serum 30ml"/>
    <x v="20"/>
    <s v="Beauty"/>
    <x v="21"/>
    <n v="2"/>
    <s v="$24.99"/>
    <n v="24.99"/>
    <s v="BFCM25"/>
    <x v="3"/>
    <s v="$12.49"/>
    <n v="12.49"/>
    <s v="Number"/>
    <n v="7.99"/>
    <n v="7.99"/>
    <n v="45.48"/>
    <n v="45.48"/>
    <n v="45.48"/>
    <s v="True"/>
    <s v="Normal"/>
    <s v="Apple Pay"/>
    <x v="3"/>
    <s v="pending"/>
    <s v="United States"/>
    <s v="New York"/>
    <s v="Valid"/>
    <s v="Port Michele"/>
  </r>
  <r>
    <s v="#2249"/>
    <n v="1"/>
    <d v="2026-08-04T14:07:03"/>
    <d v="2026-08-04T14:07:03"/>
    <s v="Karen Bautista"/>
    <x v="0"/>
    <s v="karen.bautista779@icloud.com"/>
    <s v="Vitamin C Serum 30ml"/>
    <x v="20"/>
    <s v="Beauty"/>
    <x v="21"/>
    <n v="1"/>
    <n v="24.99"/>
    <n v="24.99"/>
    <s v="VIP15"/>
    <x v="4"/>
    <n v="3.75"/>
    <n v="3.75"/>
    <s v="Number"/>
    <n v="4.99"/>
    <n v="4.99"/>
    <n v="26.23"/>
    <n v="26.23"/>
    <n v="26.229999999999997"/>
    <s v="True"/>
    <s v="Normal"/>
    <s v="Shopify Payments"/>
    <x v="0"/>
    <s v="fulfilled"/>
    <s v="United States"/>
    <s v="Washington"/>
    <s v="Valid"/>
    <s v="Port Alexander"/>
  </r>
  <r>
    <s v="#2265"/>
    <n v="1"/>
    <d v="2026-08-04T14:01:28"/>
    <d v="2026-08-04T14:01:28"/>
    <s v="Heather Rivers"/>
    <x v="0"/>
    <s v="heather.rivers451@icloud.com"/>
    <s v="Vitamin C Serum 30ml"/>
    <x v="20"/>
    <s v="Beauty"/>
    <x v="21"/>
    <n v="1"/>
    <n v="24.99"/>
    <n v="24.99"/>
    <s v="WELCOME10"/>
    <x v="1"/>
    <n v="2.5"/>
    <n v="2.5"/>
    <s v="Number"/>
    <n v="4.99"/>
    <n v="4.99"/>
    <n v="27.48"/>
    <n v="27.48"/>
    <n v="27.479999999999997"/>
    <s v="True"/>
    <s v="Normal"/>
    <s v="Shopify Payments"/>
    <x v="3"/>
    <s v="fulfilled"/>
    <s v="United States"/>
    <s v="Arizona"/>
    <s v="Valid"/>
    <s v="North Allisonville"/>
  </r>
  <r>
    <s v="#2296"/>
    <n v="1"/>
    <d v="2026-08-04T00:00:00"/>
    <s v="Aug 04, 2026"/>
    <s v="Taylor Lee"/>
    <x v="0"/>
    <s v="taylor.lee613@gmail.com"/>
    <s v="Vitamin C Serum 30ml"/>
    <x v="20"/>
    <s v="Beauty"/>
    <x v="21"/>
    <n v="1"/>
    <n v="24.99"/>
    <n v="24.99"/>
    <s v="VIP15"/>
    <x v="4"/>
    <n v="3.75"/>
    <n v="3.75"/>
    <s v="Number"/>
    <n v="4.99"/>
    <n v="4.99"/>
    <n v="26.23"/>
    <n v="26.23"/>
    <n v="26.229999999999997"/>
    <s v="True"/>
    <s v="Normal"/>
    <s v="Shopify Payments"/>
    <x v="0"/>
    <s v="cancelled"/>
    <s v="United Kingdom"/>
    <m/>
    <s v="Not Required"/>
    <s v="Ashleyborough"/>
  </r>
  <r>
    <s v="#2304"/>
    <n v="1"/>
    <d v="2026-08-04T13:56:47"/>
    <d v="2026-08-04T13:56:47"/>
    <s v="Victoria Wilson"/>
    <x v="0"/>
    <s v="victoria.wilson114@gmail.com"/>
    <s v="Vitamin C Serum 30ml"/>
    <x v="20"/>
    <s v="Beauty"/>
    <x v="21"/>
    <n v="1"/>
    <n v="24.99"/>
    <n v="24.99"/>
    <s v="FREESHIP"/>
    <x v="5"/>
    <n v="0"/>
    <n v="0"/>
    <s v="Number"/>
    <n v="0"/>
    <n v="0"/>
    <n v="24.99"/>
    <n v="24.99"/>
    <n v="24.99"/>
    <s v="True"/>
    <s v="Normal"/>
    <s v="Shopify Payments"/>
    <x v="1"/>
    <s v="fulfilled"/>
    <s v="Canada"/>
    <m/>
    <s v="Not Required"/>
    <s v="Michealtown"/>
  </r>
  <r>
    <s v="#2332"/>
    <n v="1"/>
    <d v="2026-08-04T14:07:08"/>
    <d v="2026-08-04T14:07:08"/>
    <s v="Robert Clark"/>
    <x v="0"/>
    <s v="robert.clark185@icloud.com"/>
    <s v="Vitamin C Serum 30ml"/>
    <x v="20"/>
    <s v="Beauty"/>
    <x v="21"/>
    <n v="1"/>
    <n v="24.99"/>
    <n v="24.99"/>
    <s v="WELCOME10"/>
    <x v="1"/>
    <n v="2.5"/>
    <n v="2.5"/>
    <s v="Number"/>
    <n v="5.99"/>
    <n v="5.99"/>
    <n v="28.48"/>
    <n v="28.48"/>
    <n v="28.479999999999997"/>
    <s v="True"/>
    <s v="Normal"/>
    <s v="Credit Card"/>
    <x v="0"/>
    <s v="pending"/>
    <s v="Pakistan"/>
    <m/>
    <s v="Not Required"/>
    <s v="Garciaborough"/>
  </r>
  <r>
    <s v="#2344"/>
    <n v="1"/>
    <d v="2026-08-04T13:54:47"/>
    <d v="2026-08-04T13:54:47"/>
    <s v="Gloria Ballard"/>
    <x v="0"/>
    <s v="gloria.ballard194@outlook.com"/>
    <s v="Vitamin C Serum 30ml"/>
    <x v="20"/>
    <s v="Beauty"/>
    <x v="21"/>
    <n v="1"/>
    <n v="24.99"/>
    <n v="24.99"/>
    <m/>
    <x v="0"/>
    <s v="$0.00"/>
    <n v="0"/>
    <s v="Number"/>
    <n v="5.99"/>
    <n v="5.99"/>
    <n v="30.98"/>
    <n v="30.98"/>
    <n v="30.979999999999997"/>
    <s v="True"/>
    <s v="Normal"/>
    <s v="Google Pay"/>
    <x v="0"/>
    <s v="fulfilled"/>
    <s v="Germany"/>
    <m/>
    <s v="Not Required"/>
    <s v="Lake John"/>
  </r>
  <r>
    <s v="#2359"/>
    <n v="1"/>
    <d v="2026-08-04T14:08:23"/>
    <d v="2026-08-04T14:08:23"/>
    <s v="Paul Hopkins"/>
    <x v="0"/>
    <s v="paul.hopkins457@yahoo.com"/>
    <s v="Vitamin C Serum 30ml"/>
    <x v="20"/>
    <s v="Beauty"/>
    <x v="21"/>
    <n v="2"/>
    <n v="24.99"/>
    <n v="24.99"/>
    <s v="SAVE20"/>
    <x v="2"/>
    <n v="10"/>
    <n v="10"/>
    <s v="Number"/>
    <n v="4.99"/>
    <n v="4.99"/>
    <n v="44.97"/>
    <n v="44.97"/>
    <n v="44.97"/>
    <s v="True"/>
    <s v="Normal"/>
    <s v="Apple Pay"/>
    <x v="1"/>
    <s v="fulfilled"/>
    <s v="United States"/>
    <s v="Washington"/>
    <s v="Valid"/>
    <s v="Michaelborough"/>
  </r>
  <r>
    <s v="#2407"/>
    <n v="1"/>
    <d v="2026-08-04T13:54:48"/>
    <d v="2026-08-04T13:54:48"/>
    <s v="Timothy Hodges"/>
    <x v="0"/>
    <s v="timothy.hodges687@icloud.com"/>
    <s v="Vitamin C Serum 30ml"/>
    <x v="20"/>
    <s v="Beauty"/>
    <x v="21"/>
    <n v="1"/>
    <n v="24.99"/>
    <n v="24.99"/>
    <s v="SAVE20"/>
    <x v="2"/>
    <n v="5"/>
    <n v="5"/>
    <s v="Number"/>
    <n v="7.99"/>
    <n v="7.99"/>
    <n v="27.98"/>
    <n v="27.98"/>
    <n v="27.979999999999997"/>
    <s v="True"/>
    <s v="Normal"/>
    <s v="Google Pay"/>
    <x v="0"/>
    <s v="refunded"/>
    <s v="Australia"/>
    <m/>
    <s v="Not Required"/>
    <s v="West Richardland"/>
  </r>
  <r>
    <s v="#2408"/>
    <n v="1"/>
    <d v="2026-08-04T13:54:01"/>
    <d v="2026-08-04T13:54:01"/>
    <s v="Joshua Thompson"/>
    <x v="0"/>
    <s v="joshua.thompson522@outlook.com"/>
    <s v="Vitamin C Serum 30ml"/>
    <x v="20"/>
    <s v="Beauty"/>
    <x v="21"/>
    <n v="2"/>
    <n v="24.99"/>
    <n v="24.99"/>
    <m/>
    <x v="0"/>
    <n v="0"/>
    <n v="0"/>
    <s v="Number"/>
    <n v="7.99"/>
    <n v="7.99"/>
    <n v="57.97"/>
    <n v="57.97"/>
    <n v="57.97"/>
    <s v="True"/>
    <s v="Normal"/>
    <s v="Credit Card"/>
    <x v="0"/>
    <s v="fulfilled"/>
    <s v="Pakistan"/>
    <m/>
    <s v="Not Required"/>
    <s v="Grantshire"/>
  </r>
  <r>
    <s v="#2453"/>
    <n v="1"/>
    <d v="2026-08-04T14:05:06"/>
    <d v="2026-08-04T14:05:06"/>
    <s v="Williams, Cynthia"/>
    <x v="0"/>
    <s v="cynthia.williams720@yahoo.com"/>
    <s v="Vitamin C Serum 30ml"/>
    <x v="20"/>
    <s v="Beauty"/>
    <x v="21"/>
    <n v="2"/>
    <n v="24.99"/>
    <n v="24.99"/>
    <s v="VIP15"/>
    <x v="4"/>
    <n v="7.5"/>
    <n v="7.5"/>
    <s v="Number"/>
    <n v="7.99"/>
    <n v="7.99"/>
    <s v="$50.47"/>
    <n v="50.47"/>
    <n v="50.47"/>
    <s v="True"/>
    <s v="Normal"/>
    <s v="Apple Pay"/>
    <x v="0"/>
    <s v="pending"/>
    <s v="Australia"/>
    <m/>
    <s v="Not Required"/>
    <s v="Hectorville"/>
  </r>
  <r>
    <s v="#2482"/>
    <n v="1"/>
    <d v="2026-04-08T00:00:00"/>
    <s v="08/04/2026"/>
    <s v="Julia Atkinson"/>
    <x v="0"/>
    <s v="julia.atkinson939@gmail.com"/>
    <s v="Vitamin C Serum 30ml"/>
    <x v="20"/>
    <s v="Beauty"/>
    <x v="21"/>
    <n v="1"/>
    <n v="24.99"/>
    <n v="24.99"/>
    <s v="SAVE20"/>
    <x v="2"/>
    <s v="$5.00"/>
    <n v="5"/>
    <s v="Number"/>
    <n v="5.99"/>
    <n v="5.99"/>
    <n v="25.98"/>
    <n v="25.98"/>
    <n v="25.979999999999997"/>
    <s v="True"/>
    <s v="Normal"/>
    <s v="Google Pay"/>
    <x v="0"/>
    <s v="fulfilled"/>
    <s v="Canada"/>
    <m/>
    <s v="Not Required"/>
    <s v="Mclaughlinmouth"/>
  </r>
  <r>
    <s v="#2522"/>
    <n v="1"/>
    <d v="2026-08-04T14:04:48"/>
    <d v="2026-08-04T14:04:48"/>
    <s v="Paul Dillon"/>
    <x v="0"/>
    <s v="paul.dillon750@icloud.com"/>
    <s v="Vitamin C Serum 30ml"/>
    <x v="20"/>
    <s v="Beauty"/>
    <x v="21"/>
    <n v="2"/>
    <n v="24.99"/>
    <n v="24.99"/>
    <m/>
    <x v="0"/>
    <n v="0"/>
    <n v="0"/>
    <s v="Number"/>
    <n v="5.99"/>
    <n v="5.99"/>
    <n v="55.97"/>
    <n v="55.97"/>
    <n v="55.97"/>
    <s v="True"/>
    <s v="Normal"/>
    <s v="PayPal"/>
    <x v="3"/>
    <s v="fulfilled"/>
    <s v="Australia"/>
    <m/>
    <s v="Not Required"/>
    <s v="West Rebecca"/>
  </r>
  <r>
    <s v="#2550"/>
    <n v="1"/>
    <d v="2026-04-08T00:00:00"/>
    <s v="08/04/2026"/>
    <s v="Nancy Nichols"/>
    <x v="0"/>
    <s v="nancy.nichols189@yahoo.com"/>
    <s v="Vitamin C Serum 30ml"/>
    <x v="20"/>
    <s v="Beauty"/>
    <x v="21"/>
    <n v="1"/>
    <s v="$24.99"/>
    <n v="24.99"/>
    <s v="BFCM25"/>
    <x v="3"/>
    <n v="6.25"/>
    <n v="6.25"/>
    <s v="Number"/>
    <n v="5.99"/>
    <n v="5.99"/>
    <n v="24.73"/>
    <n v="24.73"/>
    <n v="24.729999999999997"/>
    <s v="True"/>
    <s v="Normal"/>
    <s v="Google Pay"/>
    <x v="0"/>
    <s v="fulfilled"/>
    <s v="United States"/>
    <s v="Texas"/>
    <s v="Valid"/>
    <s v="East Stephen"/>
  </r>
  <r>
    <s v="#2561"/>
    <n v="1"/>
    <d v="2026-08-04T13:59:51"/>
    <d v="2026-08-04T13:59:51"/>
    <s v="Brenda Perez"/>
    <x v="0"/>
    <s v="brenda.perez884@outlook.com"/>
    <s v="Vitamin C Serum 30ml"/>
    <x v="20"/>
    <s v="Beauty"/>
    <x v="21"/>
    <n v="1"/>
    <n v="24.99"/>
    <n v="24.99"/>
    <m/>
    <x v="0"/>
    <n v="0"/>
    <n v="0"/>
    <s v="Number"/>
    <n v="7.99"/>
    <n v="7.99"/>
    <n v="32.979999999999997"/>
    <n v="32.979999999999997"/>
    <n v="32.979999999999997"/>
    <s v="True"/>
    <s v="Normal"/>
    <s v="Google Pay"/>
    <x v="1"/>
    <s v="pending"/>
    <s v="United States"/>
    <s v="North Carolina"/>
    <s v="Valid"/>
    <s v="South David"/>
  </r>
  <r>
    <s v="#2566"/>
    <n v="1"/>
    <d v="2026-08-04T14:01:01"/>
    <d v="2026-08-04T14:01:01"/>
    <s v="Diane Nunez"/>
    <x v="0"/>
    <s v="diane.nunez756@outlook.com"/>
    <s v="Vitamin C Serum 30ml"/>
    <x v="20"/>
    <s v="Beauty"/>
    <x v="21"/>
    <n v="1"/>
    <s v="$24.99"/>
    <n v="24.99"/>
    <m/>
    <x v="0"/>
    <n v="0"/>
    <n v="0"/>
    <s v="Number"/>
    <n v="4.99"/>
    <n v="4.99"/>
    <n v="29.98"/>
    <n v="29.98"/>
    <n v="29.979999999999997"/>
    <s v="True"/>
    <s v="Normal"/>
    <s v="PayPal"/>
    <x v="3"/>
    <s v="fulfilled"/>
    <s v="Canada"/>
    <m/>
    <s v="Not Required"/>
    <s v="Lake Oscarmouth"/>
  </r>
  <r>
    <s v="#2609"/>
    <n v="1"/>
    <d v="2026-08-04T00:00:00"/>
    <s v="04-08-2026 14:03"/>
    <s v="Robert Boyd"/>
    <x v="0"/>
    <s v="robert.boyd184@yahoo.com"/>
    <s v="Vitamin C Serum 30ml"/>
    <x v="20"/>
    <s v="Beauty"/>
    <x v="21"/>
    <n v="2"/>
    <n v="24.99"/>
    <n v="24.99"/>
    <s v="VIP15"/>
    <x v="4"/>
    <n v="7.5"/>
    <n v="7.5"/>
    <s v="Number"/>
    <n v="7.99"/>
    <n v="7.99"/>
    <n v="50.47"/>
    <n v="50.47"/>
    <n v="50.47"/>
    <s v="True"/>
    <s v="Normal"/>
    <s v="Credit Card"/>
    <x v="3"/>
    <s v="fulfilled"/>
    <s v="Canada"/>
    <m/>
    <s v="Not Required"/>
    <s v="West Carly"/>
  </r>
  <r>
    <s v="#2615"/>
    <n v="1"/>
    <d v="2026-08-04T13:54:16"/>
    <d v="2026-08-04T13:54:16"/>
    <s v="Peter Alvarez"/>
    <x v="0"/>
    <s v="peter.alvarez465@yahoo.com"/>
    <s v="Vitamin C Serum 30ml"/>
    <x v="20"/>
    <s v="Beauty"/>
    <x v="21"/>
    <n v="1"/>
    <s v="$24.99"/>
    <n v="24.99"/>
    <m/>
    <x v="0"/>
    <n v="0"/>
    <n v="0"/>
    <s v="Number"/>
    <n v="4.99"/>
    <n v="4.99"/>
    <n v="29.98"/>
    <n v="29.98"/>
    <n v="29.979999999999997"/>
    <s v="True"/>
    <s v="Normal"/>
    <s v="Apple Pay"/>
    <x v="2"/>
    <s v="fulfilled"/>
    <s v="United States"/>
    <s v="California"/>
    <s v="Valid"/>
    <s v="Lake Jeremiah"/>
  </r>
  <r>
    <s v="#2687"/>
    <n v="1"/>
    <d v="2026-08-04T13:59:31"/>
    <d v="2026-08-04T13:59:31"/>
    <s v="Karen Bautista"/>
    <x v="0"/>
    <s v="karen.bautista779@icloud.com"/>
    <s v="Vitamin C Serum 30ml"/>
    <x v="20"/>
    <s v="Beauty"/>
    <x v="21"/>
    <n v="1"/>
    <n v="24.99"/>
    <n v="24.99"/>
    <m/>
    <x v="0"/>
    <n v="0"/>
    <n v="0"/>
    <s v="Number"/>
    <n v="5.99"/>
    <n v="5.99"/>
    <n v="30.98"/>
    <n v="30.98"/>
    <n v="30.979999999999997"/>
    <s v="True"/>
    <s v="Normal"/>
    <s v="Apple Pay"/>
    <x v="0"/>
    <s v="fulfilled"/>
    <s v="United States"/>
    <s v="Washington"/>
    <s v="Valid"/>
    <s v="Patrickmouth"/>
  </r>
  <r>
    <s v="#2692"/>
    <n v="1"/>
    <d v="2026-08-04T13:56:51"/>
    <d v="2026-08-04T13:56:51"/>
    <s v="Natalie Dixon"/>
    <x v="0"/>
    <s v="natalie.dixon388@outlook.com"/>
    <s v="Vitamin C Serum 30ml"/>
    <x v="20"/>
    <s v="Beauty"/>
    <x v="21"/>
    <n v="1"/>
    <n v="24.99"/>
    <n v="24.99"/>
    <m/>
    <x v="0"/>
    <n v="0"/>
    <n v="0"/>
    <s v="Number"/>
    <n v="7.99"/>
    <n v="7.99"/>
    <n v="32.979999999999997"/>
    <n v="32.979999999999997"/>
    <n v="32.979999999999997"/>
    <s v="True"/>
    <s v="Normal"/>
    <s v="Google Pay"/>
    <x v="3"/>
    <s v="pending"/>
    <s v="United States"/>
    <s v="Canada"/>
    <s v="Valid"/>
    <s v="New Sarahfurt"/>
  </r>
  <r>
    <s v="#2694"/>
    <n v="1"/>
    <d v="2026-08-04T13:57:55"/>
    <d v="2026-08-04T13:57:55"/>
    <s v="Megan Herman"/>
    <x v="0"/>
    <s v="megan.herman268@yahoo.com"/>
    <s v="Vitamin C Serum 30ml"/>
    <x v="20"/>
    <s v="Beauty"/>
    <x v="21"/>
    <n v="1"/>
    <n v="24.99"/>
    <n v="24.99"/>
    <s v="VIP15"/>
    <x v="4"/>
    <n v="3.75"/>
    <n v="3.75"/>
    <s v="Number"/>
    <n v="7.99"/>
    <n v="7.99"/>
    <n v="29.23"/>
    <n v="29.23"/>
    <n v="29.229999999999997"/>
    <s v="True"/>
    <s v="Normal"/>
    <s v="Shopify Payments"/>
    <x v="2"/>
    <s v="cancelled"/>
    <s v="United States"/>
    <s v="North Carolina"/>
    <s v="Valid"/>
    <s v="North Rogerberg"/>
  </r>
  <r>
    <s v="#2747"/>
    <n v="1"/>
    <d v="2026-04-08T00:00:00"/>
    <s v="08/04/2026"/>
    <s v="MICHELLE BELL"/>
    <x v="0"/>
    <s v="michelle.bell28@yahoo.com"/>
    <s v="Vitamin C Serum 30ml"/>
    <x v="20"/>
    <s v="Beauty"/>
    <x v="21"/>
    <n v="1"/>
    <n v="24.99"/>
    <n v="24.99"/>
    <s v="BFCM25"/>
    <x v="3"/>
    <n v="6.25"/>
    <n v="6.25"/>
    <s v="Number"/>
    <n v="4.99"/>
    <n v="4.99"/>
    <n v="23.73"/>
    <n v="23.73"/>
    <n v="23.729999999999997"/>
    <s v="True"/>
    <s v="Normal"/>
    <s v="Credit Card"/>
    <x v="3"/>
    <s v="refunded"/>
    <s v="United States"/>
    <s v="Georgia"/>
    <s v="Valid"/>
    <s v="Krystaltown"/>
  </r>
  <r>
    <s v="#2751"/>
    <n v="1"/>
    <d v="2026-08-04T14:00:28"/>
    <d v="2026-08-04T14:00:28"/>
    <s v="Amanda Harris"/>
    <x v="0"/>
    <s v="amanda.harris197@gmail.com"/>
    <s v="Vitamin C Serum 30ml"/>
    <x v="20"/>
    <s v="Beauty"/>
    <x v="21"/>
    <n v="1"/>
    <n v="24.99"/>
    <n v="24.99"/>
    <m/>
    <x v="0"/>
    <n v="0"/>
    <n v="0"/>
    <s v="Number"/>
    <n v="4.99"/>
    <n v="4.99"/>
    <n v="29.98"/>
    <n v="29.98"/>
    <n v="29.979999999999997"/>
    <s v="True"/>
    <s v="Normal"/>
    <s v="Credit Card"/>
    <x v="3"/>
    <s v="fulfilled"/>
    <s v="United States"/>
    <s v="Arizona"/>
    <s v="Valid"/>
    <s v="West Melissafurt"/>
  </r>
  <r>
    <s v="#2753"/>
    <n v="1"/>
    <d v="2026-08-04T14:06:13"/>
    <d v="2026-08-04T14:06:13"/>
    <s v="Sean Frank"/>
    <x v="0"/>
    <s v="sean.frank587@icloud.com"/>
    <s v="Vitamin C Serum 30ml"/>
    <x v="20"/>
    <s v="Beauty"/>
    <x v="21"/>
    <n v="2"/>
    <n v="24.99"/>
    <n v="24.99"/>
    <s v="SAVE20"/>
    <x v="2"/>
    <s v="$10.00"/>
    <n v="10"/>
    <s v="Number"/>
    <n v="4.99"/>
    <n v="4.99"/>
    <n v="44.97"/>
    <n v="44.97"/>
    <n v="44.97"/>
    <s v="True"/>
    <s v="Normal"/>
    <s v="Apple Pay"/>
    <x v="3"/>
    <s v="refunded"/>
    <s v="Australia"/>
    <m/>
    <s v="Not Required"/>
    <s v="East Deniseburgh"/>
  </r>
  <r>
    <s v="#2776"/>
    <n v="1"/>
    <d v="2026-08-04T00:00:00"/>
    <s v="2026-08-04"/>
    <s v="Jacob Gibbs"/>
    <x v="0"/>
    <s v="jacob.gibbs527@gmail.com"/>
    <s v="Vitamin C Serum 30ml"/>
    <x v="20"/>
    <s v="Beauty"/>
    <x v="21"/>
    <n v="1"/>
    <n v="24.99"/>
    <n v="24.99"/>
    <m/>
    <x v="0"/>
    <n v="0"/>
    <n v="0"/>
    <s v="Number"/>
    <n v="7.99"/>
    <n v="7.99"/>
    <n v="32.979999999999997"/>
    <n v="32.979999999999997"/>
    <n v="32.979999999999997"/>
    <s v="True"/>
    <s v="Normal"/>
    <s v="Credit Card"/>
    <x v="2"/>
    <s v="fulfilled"/>
    <s v="United States"/>
    <s v="AZ"/>
    <s v="Valid"/>
    <s v="Lake Frankton"/>
  </r>
  <r>
    <s v="#2784"/>
    <n v="1"/>
    <d v="2026-08-04T13:56:49"/>
    <d v="2026-08-04T13:56:49"/>
    <s v="James Miller"/>
    <x v="0"/>
    <s v="james.miller866@yahoo.com"/>
    <s v="Vitamin C Serum 30ml"/>
    <x v="20"/>
    <s v="Beauty"/>
    <x v="21"/>
    <n v="1"/>
    <n v="24.99"/>
    <n v="24.99"/>
    <m/>
    <x v="0"/>
    <n v="0"/>
    <n v="0"/>
    <s v="Number"/>
    <n v="5.99"/>
    <n v="5.99"/>
    <n v="30.98"/>
    <n v="30.98"/>
    <n v="30.979999999999997"/>
    <s v="True"/>
    <s v="Normal"/>
    <s v="Apple Pay"/>
    <x v="2"/>
    <s v="cancelled"/>
    <s v="Pakistan"/>
    <m/>
    <s v="Not Required"/>
    <s v="West Anthonymouth"/>
  </r>
  <r>
    <s v="#2837"/>
    <n v="1"/>
    <d v="2026-08-04T14:06:00"/>
    <d v="2026-08-04T14:06:00"/>
    <s v="Anthony Mullen"/>
    <x v="0"/>
    <s v="anthony.mullen523@yahoo.com"/>
    <s v="Vitamin C Serum 30ml"/>
    <x v="20"/>
    <s v="Beauty"/>
    <x v="21"/>
    <n v="4"/>
    <n v="24.99"/>
    <n v="24.99"/>
    <s v="FREESHIP"/>
    <x v="5"/>
    <n v="0"/>
    <n v="0"/>
    <s v="Number"/>
    <n v="0"/>
    <n v="0"/>
    <n v="99.96"/>
    <n v="99.96"/>
    <n v="99.96"/>
    <s v="True"/>
    <s v="Outlier"/>
    <s v="PayPal"/>
    <x v="1"/>
    <s v="refunded"/>
    <s v="United States"/>
    <s v="NC"/>
    <s v="Valid"/>
    <s v="East Jamesfurt"/>
  </r>
  <r>
    <s v="#2844"/>
    <n v="1"/>
    <d v="2026-04-08T00:00:00"/>
    <s v="08/04/2026"/>
    <s v="Heather Davis"/>
    <x v="0"/>
    <s v="heather.davis117@icloud.com"/>
    <s v="Vitamin C Serum 30ml  "/>
    <x v="20"/>
    <s v="Beauty"/>
    <x v="21"/>
    <n v="1"/>
    <n v="24.99"/>
    <n v="24.99"/>
    <m/>
    <x v="0"/>
    <n v="0"/>
    <n v="0"/>
    <s v="Number"/>
    <n v="5.99"/>
    <n v="5.99"/>
    <n v="30.98"/>
    <n v="30.98"/>
    <n v="30.979999999999997"/>
    <s v="True"/>
    <s v="Normal"/>
    <s v="Apple Pay"/>
    <x v="1"/>
    <s v="fulfilled"/>
    <s v="Germany"/>
    <m/>
    <s v="Not Required"/>
    <s v="Lake Rickystad"/>
  </r>
  <r>
    <s v="#2862"/>
    <n v="1"/>
    <d v="2026-08-04T00:00:00"/>
    <s v="2026-08-04"/>
    <s v="Linda Scott"/>
    <x v="0"/>
    <s v="linda.scott2@icloud.com"/>
    <s v="Vitamin C Serum 30ml"/>
    <x v="20"/>
    <s v="Beauty"/>
    <x v="21"/>
    <n v="1"/>
    <n v="24.99"/>
    <n v="24.99"/>
    <m/>
    <x v="0"/>
    <n v="0"/>
    <n v="0"/>
    <s v="Number"/>
    <n v="4.99"/>
    <n v="4.99"/>
    <n v="29.98"/>
    <n v="29.98"/>
    <n v="29.979999999999997"/>
    <s v="True"/>
    <s v="Normal"/>
    <s v="Google Pay"/>
    <x v="3"/>
    <s v="fulfilled"/>
    <s v="Canada"/>
    <m/>
    <s v="Not Required"/>
    <s v="South Lisaton"/>
  </r>
  <r>
    <s v="#2874"/>
    <n v="1"/>
    <d v="2026-08-04T13:59:11"/>
    <d v="2026-08-04T13:59:11"/>
    <s v="Philip Stevens"/>
    <x v="0"/>
    <s v="philip.stevens908@outlook.com"/>
    <s v="Vitamin C Serum 30ml"/>
    <x v="20"/>
    <s v="Beauty"/>
    <x v="21"/>
    <n v="1"/>
    <n v="24.99"/>
    <n v="24.99"/>
    <s v="VIP15"/>
    <x v="4"/>
    <n v="3.75"/>
    <n v="3.75"/>
    <s v="Number"/>
    <n v="7.99"/>
    <n v="7.99"/>
    <n v="29.23"/>
    <n v="29.23"/>
    <n v="29.229999999999997"/>
    <s v="True"/>
    <s v="Normal"/>
    <s v="PayPal"/>
    <x v="0"/>
    <s v="cancelled"/>
    <s v="United States"/>
    <s v="Georgia"/>
    <s v="Valid"/>
    <s v="Taylorborough"/>
  </r>
  <r>
    <s v="#2879"/>
    <n v="1"/>
    <d v="2026-08-04T14:02:39"/>
    <d v="2026-08-04T14:02:39"/>
    <s v="Robin Ruiz"/>
    <x v="0"/>
    <s v="robin.ruiz407@yahoo.com"/>
    <s v="Vitamin C Serum 30ml"/>
    <x v="20"/>
    <s v="Beauty"/>
    <x v="21"/>
    <n v="1"/>
    <n v="24.99"/>
    <n v="24.99"/>
    <s v="VIP15"/>
    <x v="4"/>
    <n v="3.75"/>
    <n v="3.75"/>
    <s v="Number"/>
    <n v="7.99"/>
    <n v="7.99"/>
    <n v="29.23"/>
    <n v="29.23"/>
    <n v="29.229999999999997"/>
    <s v="True"/>
    <s v="Normal"/>
    <s v="Google Pay"/>
    <x v="2"/>
    <s v="refunded"/>
    <s v="United States"/>
    <s v="California"/>
    <s v="Valid"/>
    <s v="Roberttown"/>
  </r>
  <r>
    <s v="#2900"/>
    <n v="1"/>
    <d v="2026-04-08T00:00:00"/>
    <s v="08/04/2026"/>
    <s v="Christy Phillips"/>
    <x v="0"/>
    <s v="christy.phillips291@gmail.com"/>
    <s v="Vitamin C Serum 30ml"/>
    <x v="20"/>
    <s v="Beauty"/>
    <x v="21"/>
    <n v="1"/>
    <n v="24.99"/>
    <n v="24.99"/>
    <s v="SAVE20"/>
    <x v="2"/>
    <n v="5"/>
    <n v="5"/>
    <s v="Number"/>
    <n v="5.99"/>
    <n v="5.99"/>
    <n v="25.98"/>
    <n v="25.98"/>
    <n v="25.979999999999997"/>
    <s v="True"/>
    <s v="Normal"/>
    <s v="Shopify Payments"/>
    <x v="2"/>
    <s v="refunded"/>
    <s v="Pakistan"/>
    <m/>
    <s v="Not Required"/>
    <s v="West Shelleyside"/>
  </r>
  <r>
    <s v="#2908"/>
    <n v="1"/>
    <d v="2026-08-04T14:03:45"/>
    <d v="2026-08-04T14:03:45"/>
    <s v="Alexandria Miller"/>
    <x v="0"/>
    <s v="alexandria.miller414@outlook.com"/>
    <s v="Vitamin C Serum 30ml"/>
    <x v="20"/>
    <s v="Beauty"/>
    <x v="21"/>
    <n v="1"/>
    <n v="24.99"/>
    <n v="24.99"/>
    <s v="VIP15"/>
    <x v="4"/>
    <s v="$3.75"/>
    <n v="3.75"/>
    <s v="Number"/>
    <n v="4.99"/>
    <n v="4.99"/>
    <s v="$26.23"/>
    <n v="26.23"/>
    <n v="26.229999999999997"/>
    <s v="True"/>
    <s v="Normal"/>
    <s v="Google Pay"/>
    <x v="3"/>
    <s v="fulfilled"/>
    <s v="Australia"/>
    <m/>
    <s v="Not Required"/>
    <s v="Johnmouth"/>
  </r>
  <r>
    <s v="#2941"/>
    <n v="1"/>
    <d v="2026-08-04T14:04:00"/>
    <d v="2026-08-04T14:04:00"/>
    <s v="JOHN CARSON"/>
    <x v="0"/>
    <s v="john.carson203@yahoo.com"/>
    <s v="Vitamin C Serum 30ml"/>
    <x v="20"/>
    <s v="Beauty"/>
    <x v="21"/>
    <n v="1"/>
    <n v="24.99"/>
    <n v="24.99"/>
    <m/>
    <x v="0"/>
    <n v="0"/>
    <n v="0"/>
    <s v="Number"/>
    <n v="5.99"/>
    <n v="5.99"/>
    <n v="30.98"/>
    <n v="30.98"/>
    <n v="30.979999999999997"/>
    <s v="True"/>
    <s v="Normal"/>
    <s v="PayPal"/>
    <x v="0"/>
    <s v="fulfilled"/>
    <s v="United States"/>
    <s v="Illinois"/>
    <s v="Valid"/>
    <s v="Martinezville"/>
  </r>
  <r>
    <s v="#2970"/>
    <n v="1"/>
    <d v="2026-04-08T00:00:00"/>
    <s v="08/04/2026"/>
    <s v="Matthew Newman"/>
    <x v="0"/>
    <s v="matthew.newman714@gmail.com"/>
    <s v="Vitamin C Serum 30ml"/>
    <x v="20"/>
    <s v="Beauty"/>
    <x v="21"/>
    <n v="1"/>
    <n v="24.99"/>
    <n v="24.99"/>
    <s v="SAVE20"/>
    <x v="2"/>
    <n v="5"/>
    <n v="5"/>
    <s v="Number"/>
    <n v="4.99"/>
    <n v="4.99"/>
    <n v="24.98"/>
    <n v="24.98"/>
    <n v="24.979999999999997"/>
    <s v="True"/>
    <s v="Normal"/>
    <s v="PayPal"/>
    <x v="0"/>
    <s v="fulfilled"/>
    <s v="Germany"/>
    <m/>
    <s v="Not Required"/>
    <s v="Carlsonhaven"/>
  </r>
  <r>
    <s v="#2995"/>
    <n v="1"/>
    <d v="2026-08-04T13:57:41"/>
    <d v="2026-08-04T13:57:41"/>
    <s v="Jane Gregory"/>
    <x v="0"/>
    <s v="jane.gregory935@icloud.com"/>
    <s v="Vitamin C Serum 30ml"/>
    <x v="20"/>
    <s v="Beauty"/>
    <x v="21"/>
    <n v="1"/>
    <n v="24.99"/>
    <n v="24.99"/>
    <m/>
    <x v="0"/>
    <n v="0"/>
    <n v="0"/>
    <s v="Number"/>
    <n v="5.99"/>
    <n v="5.99"/>
    <n v="30.98"/>
    <n v="30.98"/>
    <n v="30.979999999999997"/>
    <s v="True"/>
    <s v="Normal"/>
    <s v="Google Pay"/>
    <x v="3"/>
    <s v="fulfilled"/>
    <s v="Germany"/>
    <m/>
    <s v="Not Required"/>
    <s v="Delgadofurt"/>
  </r>
  <r>
    <s v="#1018"/>
    <n v="1"/>
    <d v="2026-08-04T00:00:00"/>
    <s v="2026-08-04"/>
    <s v="Mary Phillips"/>
    <x v="0"/>
    <s v="mary.phillips944@yahoo.com"/>
    <s v="Wireless Bluetooth Earbuds"/>
    <x v="21"/>
    <s v="Electronics"/>
    <x v="22"/>
    <n v="1"/>
    <n v="29.99"/>
    <n v="29.99"/>
    <m/>
    <x v="0"/>
    <n v="0"/>
    <n v="0"/>
    <s v="Number"/>
    <n v="7.99"/>
    <n v="7.99"/>
    <n v="37.979999999999997"/>
    <n v="37.979999999999997"/>
    <n v="37.979999999999997"/>
    <s v="True"/>
    <s v="Normal"/>
    <s v="PayPal"/>
    <x v="1"/>
    <s v="fulfilled"/>
    <s v="United States"/>
    <s v="AZ"/>
    <s v="Valid"/>
    <s v="Guerraton"/>
  </r>
  <r>
    <s v="#1019"/>
    <n v="1"/>
    <d v="2026-08-04T13:53:36"/>
    <d v="2026-08-04T13:53:36"/>
    <s v="Alison Schroeder"/>
    <x v="0"/>
    <s v="alison.schroeder943@icloud.com"/>
    <s v="Wireless Bluetooth Earbuds"/>
    <x v="21"/>
    <s v="Electronics"/>
    <x v="22"/>
    <n v="1"/>
    <n v="29.99"/>
    <n v="29.99"/>
    <s v="FREESHIP"/>
    <x v="5"/>
    <n v="0"/>
    <n v="0"/>
    <s v="Number"/>
    <n v="0"/>
    <n v="0"/>
    <n v="29.99"/>
    <n v="29.99"/>
    <n v="29.99"/>
    <s v="True"/>
    <s v="Normal"/>
    <s v="PayPal"/>
    <x v="0"/>
    <s v="fulfilled"/>
    <s v="Australia"/>
    <m/>
    <s v="Not Required"/>
    <s v="West Jonathanview"/>
  </r>
  <r>
    <s v="#1020"/>
    <n v="1"/>
    <d v="2026-08-04T14:06:02"/>
    <d v="2026-08-04T14:06:02"/>
    <s v="John Carson"/>
    <x v="0"/>
    <s v="john.carson203@yahoo.com"/>
    <s v="Wireless Bluetooth Earbuds"/>
    <x v="21"/>
    <s v="Electronics"/>
    <x v="22"/>
    <n v="1"/>
    <n v="29.99"/>
    <n v="29.99"/>
    <s v="SAVE20"/>
    <x v="2"/>
    <n v="6"/>
    <n v="6"/>
    <s v="Number"/>
    <n v="5.99"/>
    <n v="5.99"/>
    <n v="29.98"/>
    <n v="29.98"/>
    <n v="29.979999999999997"/>
    <s v="True"/>
    <s v="Normal"/>
    <s v="Shopify Payments"/>
    <x v="1"/>
    <s v="fulfilled"/>
    <s v="United States"/>
    <s v="Ohio"/>
    <s v="Valid"/>
    <s v="Nathanieltown"/>
  </r>
  <r>
    <s v="#1047"/>
    <n v="1"/>
    <d v="2026-08-04T14:04:42"/>
    <d v="2026-08-04T14:04:42"/>
    <s v="Michael Jacobson"/>
    <x v="0"/>
    <s v="michael.jacobson69@outlook.com"/>
    <s v="Wireless Bluetooth Earbuds"/>
    <x v="21"/>
    <s v="Electronics"/>
    <x v="22"/>
    <n v="1"/>
    <n v="29.99"/>
    <n v="29.99"/>
    <s v="VIP15"/>
    <x v="4"/>
    <n v="4.5"/>
    <n v="4.5"/>
    <s v="Number"/>
    <n v="7.99"/>
    <n v="7.99"/>
    <s v="$33.48"/>
    <n v="33.479999999999997"/>
    <n v="33.479999999999997"/>
    <s v="True"/>
    <s v="Normal"/>
    <s v="Google Pay"/>
    <x v="0"/>
    <s v="fulfilled"/>
    <s v="Germany"/>
    <m/>
    <s v="Not Required"/>
    <s v="Craigmouth"/>
  </r>
  <r>
    <s v="#1093"/>
    <n v="1"/>
    <d v="2026-08-04T14:02:10"/>
    <d v="2026-08-04T14:02:10"/>
    <s v="gerald li"/>
    <x v="0"/>
    <s v="gerald.li856@icloud.com"/>
    <s v="Wireless Bluetooth Earbuds"/>
    <x v="21"/>
    <s v="Electronics"/>
    <x v="22"/>
    <n v="1"/>
    <n v="29.99"/>
    <n v="29.99"/>
    <m/>
    <x v="0"/>
    <n v="0"/>
    <n v="0"/>
    <s v="Number"/>
    <n v="7.99"/>
    <n v="7.99"/>
    <n v="37.979999999999997"/>
    <n v="37.979999999999997"/>
    <n v="37.979999999999997"/>
    <s v="True"/>
    <s v="Normal"/>
    <s v="Credit Card"/>
    <x v="3"/>
    <s v="fulfilled"/>
    <s v="United States"/>
    <s v="Ohio"/>
    <s v="Valid"/>
    <s v="Melissafurt"/>
  </r>
  <r>
    <s v="#1127"/>
    <n v="1"/>
    <d v="2026-08-04T14:03:53"/>
    <d v="2026-08-04T14:03:53"/>
    <s v="John Carson"/>
    <x v="0"/>
    <s v="john.carson203@yahoo.com"/>
    <s v="Wireless Bluetooth Earbuds"/>
    <x v="21"/>
    <s v="Electronics"/>
    <x v="22"/>
    <n v="1"/>
    <s v="$29.99"/>
    <n v="29.99"/>
    <m/>
    <x v="0"/>
    <n v="0"/>
    <n v="0"/>
    <s v="Number"/>
    <n v="4.99"/>
    <n v="4.99"/>
    <n v="34.979999999999997"/>
    <n v="34.979999999999997"/>
    <n v="34.979999999999997"/>
    <s v="True"/>
    <s v="Normal"/>
    <s v="Shopify Payments"/>
    <x v="1"/>
    <s v="cancelled"/>
    <s v="United States"/>
    <s v="Ohio"/>
    <s v="Valid"/>
    <s v="Johnsonborough"/>
  </r>
  <r>
    <s v="#1135"/>
    <n v="1"/>
    <d v="2026-08-04T14:03:53"/>
    <d v="2026-08-04T14:03:53"/>
    <s v="Christopher Martin"/>
    <x v="0"/>
    <s v="christopher.martin10@gmail.com"/>
    <s v="Wireless Bluetooth Earbuds"/>
    <x v="21"/>
    <s v="Electronics"/>
    <x v="22"/>
    <n v="1"/>
    <n v="29.99"/>
    <n v="29.99"/>
    <m/>
    <x v="0"/>
    <n v="0"/>
    <n v="0"/>
    <s v="Number"/>
    <n v="5.99"/>
    <n v="5.99"/>
    <n v="35.979999999999997"/>
    <n v="35.979999999999997"/>
    <n v="35.979999999999997"/>
    <s v="True"/>
    <s v="Normal"/>
    <s v="PayPal"/>
    <x v="1"/>
    <s v="fulfilled"/>
    <s v="United States"/>
    <s v="New York"/>
    <s v="Valid"/>
    <s v="Lake Teresa"/>
  </r>
  <r>
    <s v="#1194"/>
    <n v="1"/>
    <d v="2026-04-08T00:00:00"/>
    <s v="08/04/2026"/>
    <s v="James Castro"/>
    <x v="0"/>
    <s v="james.castro923@icloud.com"/>
    <s v="Wireless Bluetooth Earbuds"/>
    <x v="21"/>
    <s v="Electronics"/>
    <x v="22"/>
    <n v="2"/>
    <n v="29.99"/>
    <n v="29.99"/>
    <s v="BFCM25"/>
    <x v="3"/>
    <n v="14.99"/>
    <n v="14.99"/>
    <s v="Number"/>
    <n v="5.99"/>
    <n v="5.99"/>
    <n v="50.98"/>
    <n v="50.98"/>
    <n v="50.98"/>
    <s v="True"/>
    <s v="Normal"/>
    <s v="Google Pay"/>
    <x v="3"/>
    <s v="fulfilled"/>
    <s v="Pakistan"/>
    <m/>
    <s v="Not Required"/>
    <s v="West Deanna"/>
  </r>
  <r>
    <s v="#1203"/>
    <n v="1"/>
    <d v="2026-04-08T00:00:00"/>
    <s v="08/04/2026"/>
    <s v="Michael Hays"/>
    <x v="0"/>
    <s v="michael.hays590@gmail.com"/>
    <s v="Wireless Bluetooth Earbuds"/>
    <x v="21"/>
    <s v="Electronics"/>
    <x v="22"/>
    <n v="1"/>
    <n v="29.99"/>
    <n v="29.99"/>
    <s v="BFCM25"/>
    <x v="3"/>
    <n v="7.5"/>
    <n v="7.5"/>
    <s v="Number"/>
    <n v="4.99"/>
    <n v="4.99"/>
    <n v="27.48"/>
    <n v="27.48"/>
    <n v="27.479999999999997"/>
    <s v="True"/>
    <s v="Normal"/>
    <s v="PayPal"/>
    <x v="3"/>
    <s v="fulfilled"/>
    <s v="United States"/>
    <s v="Washington"/>
    <s v="Valid"/>
    <s v="Gallegosmouth"/>
  </r>
  <r>
    <s v="#1211"/>
    <n v="1"/>
    <d v="2026-08-04T14:01:55"/>
    <d v="2026-08-04T14:01:55"/>
    <s v="  Angela Gonzalez"/>
    <x v="0"/>
    <s v="angela.gonzalez50@icloud.com"/>
    <s v="Wireless Bluetooth Earbuds"/>
    <x v="21"/>
    <s v="Electronics"/>
    <x v="22"/>
    <n v="1"/>
    <n v="29.99"/>
    <n v="29.99"/>
    <s v="VIP15"/>
    <x v="4"/>
    <n v="4.5"/>
    <n v="4.5"/>
    <s v="Number"/>
    <n v="7.99"/>
    <n v="7.99"/>
    <n v="33.479999999999997"/>
    <n v="33.479999999999997"/>
    <n v="33.479999999999997"/>
    <s v="True"/>
    <s v="Normal"/>
    <s v="Shopify Payments"/>
    <x v="0"/>
    <s v="pending"/>
    <s v="Canada"/>
    <m/>
    <s v="Not Required"/>
    <s v="West Miranda"/>
  </r>
  <r>
    <s v="#1251"/>
    <n v="1"/>
    <d v="2026-08-04T14:07:06"/>
    <d v="2026-08-04T14:07:06"/>
    <s v="Sandra Potter"/>
    <x v="0"/>
    <s v="sandra.potter166@yahoo.com"/>
    <s v="Wireless Bluetooth Earbuds"/>
    <x v="21"/>
    <s v="Electronics"/>
    <x v="22"/>
    <n v="1"/>
    <n v="29.99"/>
    <n v="29.99"/>
    <s v="VIP15"/>
    <x v="4"/>
    <n v="4.5"/>
    <n v="4.5"/>
    <s v="Number"/>
    <n v="7.99"/>
    <n v="7.99"/>
    <n v="33.479999999999997"/>
    <n v="33.479999999999997"/>
    <n v="33.479999999999997"/>
    <s v="True"/>
    <s v="Normal"/>
    <s v="Google Pay"/>
    <x v="0"/>
    <s v="fulfilled"/>
    <s v="United States"/>
    <s v="Washington"/>
    <s v="Valid"/>
    <s v="New Crystal"/>
  </r>
  <r>
    <s v="#1260"/>
    <n v="1"/>
    <d v="2026-08-04T14:03:58"/>
    <d v="2026-08-04T14:03:58"/>
    <s v="Morgan Brown"/>
    <x v="0"/>
    <s v="morgan.brown933@gmail.com"/>
    <s v="Wireless Bluetooth Earbuds"/>
    <x v="21"/>
    <s v="Electronics"/>
    <x v="22"/>
    <n v="1"/>
    <n v="29.99"/>
    <n v="29.99"/>
    <s v="FREESHIP"/>
    <x v="5"/>
    <n v="0"/>
    <n v="0"/>
    <s v="Number"/>
    <n v="0"/>
    <n v="0"/>
    <n v="29.99"/>
    <n v="29.99"/>
    <n v="29.99"/>
    <s v="True"/>
    <s v="Normal"/>
    <s v="Apple Pay"/>
    <x v="0"/>
    <s v="pending"/>
    <s v="United States"/>
    <s v="Florida"/>
    <s v="Valid"/>
    <s v="Austinbury"/>
  </r>
  <r>
    <s v="#1272"/>
    <n v="1"/>
    <d v="2026-08-04T13:57:29"/>
    <d v="2026-08-04T13:57:29"/>
    <s v="Kristen Lewis"/>
    <x v="0"/>
    <s v="kristen.lewis649@icloud.com"/>
    <s v="Wireless Bluetooth Earbuds"/>
    <x v="21"/>
    <s v="Electronics"/>
    <x v="22"/>
    <n v="1"/>
    <n v="29.99"/>
    <n v="29.99"/>
    <s v="FREESHIP"/>
    <x v="5"/>
    <n v="0"/>
    <n v="0"/>
    <s v="Number"/>
    <n v="0"/>
    <n v="0"/>
    <n v="29.99"/>
    <n v="29.99"/>
    <n v="29.99"/>
    <s v="True"/>
    <s v="Normal"/>
    <s v="PayPal"/>
    <x v="0"/>
    <s v="fulfilled"/>
    <s v="United States"/>
    <s v="Arizona"/>
    <s v="Valid"/>
    <s v="Owenfort"/>
  </r>
  <r>
    <s v="#1310"/>
    <n v="1"/>
    <d v="2026-08-04T14:03:57"/>
    <d v="2026-08-04T14:03:57"/>
    <s v="Sharon Brown"/>
    <x v="0"/>
    <s v="sharon.brown14@gmail.com"/>
    <s v="Wireless Bluetooth Earbuds"/>
    <x v="21"/>
    <s v="Electronics"/>
    <x v="22"/>
    <n v="1"/>
    <n v="29.99"/>
    <n v="29.99"/>
    <s v="SAVE20"/>
    <x v="2"/>
    <n v="6"/>
    <n v="6"/>
    <s v="Number"/>
    <n v="5.99"/>
    <n v="5.99"/>
    <n v="29.98"/>
    <n v="29.98"/>
    <n v="29.979999999999997"/>
    <s v="True"/>
    <s v="Normal"/>
    <s v="Shopify Payments"/>
    <x v="0"/>
    <s v="fulfilled"/>
    <s v="United States"/>
    <s v="North Carolina"/>
    <s v="Valid"/>
    <s v="Johnsonview"/>
  </r>
  <r>
    <s v="#1423"/>
    <n v="1"/>
    <d v="2026-08-04T13:53:43"/>
    <d v="2026-08-04T13:53:43"/>
    <s v="Joseph Martin"/>
    <x v="0"/>
    <s v="joseph.martin348@icloud.com"/>
    <s v="Wireless Bluetooth Earbuds"/>
    <x v="21"/>
    <s v="Electronics"/>
    <x v="22"/>
    <n v="1"/>
    <n v="29.99"/>
    <n v="29.99"/>
    <s v="BFCM25"/>
    <x v="3"/>
    <n v="7.5"/>
    <n v="7.5"/>
    <s v="Number"/>
    <n v="5.99"/>
    <n v="5.99"/>
    <n v="28.48"/>
    <n v="28.48"/>
    <n v="28.479999999999997"/>
    <s v="True"/>
    <s v="Normal"/>
    <s v="Google Pay"/>
    <x v="1"/>
    <s v="cancelled"/>
    <s v="United States"/>
    <s v="TX"/>
    <s v="Valid"/>
    <s v="Walkerchester"/>
  </r>
  <r>
    <s v="#1441"/>
    <n v="1"/>
    <d v="2026-08-04T13:57:28"/>
    <d v="2026-08-04T13:57:28"/>
    <s v="Carr, Angela"/>
    <x v="0"/>
    <s v="angela.carr488@yahoo.com"/>
    <s v="Wireless Bluetooth Earbuds"/>
    <x v="21"/>
    <s v="Electronics"/>
    <x v="22"/>
    <n v="1"/>
    <n v="29.99"/>
    <n v="29.99"/>
    <s v="BFCM25"/>
    <x v="3"/>
    <s v="$7.50"/>
    <n v="7.5"/>
    <s v="Number"/>
    <n v="5.99"/>
    <n v="5.99"/>
    <n v="28.48"/>
    <n v="28.48"/>
    <n v="28.479999999999997"/>
    <s v="True"/>
    <s v="Normal"/>
    <s v="PayPal"/>
    <x v="3"/>
    <s v="refunded"/>
    <s v="United States"/>
    <s v="NC"/>
    <s v="Valid"/>
    <s v="Johnsonhaven"/>
  </r>
  <r>
    <s v="#1468"/>
    <n v="1"/>
    <d v="2026-08-04T14:03:23"/>
    <d v="2026-08-04T14:03:23"/>
    <s v="Donald Davis"/>
    <x v="0"/>
    <s v="donald.davis404@icloud.com"/>
    <s v="Wireless Bluetooth Earbuds"/>
    <x v="21"/>
    <s v="Electronics"/>
    <x v="22"/>
    <n v="1"/>
    <n v="29.99"/>
    <n v="29.99"/>
    <m/>
    <x v="0"/>
    <n v="0"/>
    <n v="0"/>
    <s v="Number"/>
    <n v="5.99"/>
    <n v="5.99"/>
    <n v="35.979999999999997"/>
    <n v="35.979999999999997"/>
    <n v="35.979999999999997"/>
    <s v="True"/>
    <s v="Normal"/>
    <s v="PayPal"/>
    <x v="0"/>
    <s v="cancelled"/>
    <s v="Canada"/>
    <m/>
    <s v="Not Required"/>
    <s v="Lawrenceton"/>
  </r>
  <r>
    <s v="#1481"/>
    <n v="1"/>
    <d v="2026-08-04T13:55:05"/>
    <d v="2026-08-04T13:55:05"/>
    <s v="Corey Hudson"/>
    <x v="0"/>
    <s v="corey.hudson168@gmail.com"/>
    <s v="Wireless Bluetooth Earbuds"/>
    <x v="21"/>
    <s v="Electronics"/>
    <x v="22"/>
    <n v="1"/>
    <n v="29.99"/>
    <n v="29.99"/>
    <s v=" WELCOME10 "/>
    <x v="1"/>
    <n v="3"/>
    <n v="3"/>
    <s v="Number"/>
    <n v="4.99"/>
    <n v="4.99"/>
    <n v="31.98"/>
    <n v="31.98"/>
    <n v="31.979999999999997"/>
    <s v="True"/>
    <s v="Normal"/>
    <s v="Google Pay"/>
    <x v="1"/>
    <s v="fulfilled"/>
    <s v="United States"/>
    <s v="California"/>
    <s v="Valid"/>
    <s v="Margaretchester"/>
  </r>
  <r>
    <s v="#1496"/>
    <n v="1"/>
    <d v="2026-08-04T14:07:23"/>
    <d v="2026-08-04T14:07:23"/>
    <s v="Chad Smith"/>
    <x v="0"/>
    <s v="chad.smith773@icloud.com"/>
    <s v="Wireless Bluetooth Earbuds"/>
    <x v="21"/>
    <s v="Electronics"/>
    <x v="22"/>
    <n v="2"/>
    <n v="29.99"/>
    <n v="29.99"/>
    <m/>
    <x v="0"/>
    <n v="0"/>
    <n v="0"/>
    <s v="Number"/>
    <n v="7.99"/>
    <n v="7.99"/>
    <n v="67.97"/>
    <n v="67.97"/>
    <n v="67.97"/>
    <s v="True"/>
    <s v="Normal"/>
    <s v="Credit Card"/>
    <x v="0"/>
    <s v="fulfilled"/>
    <s v="Pakistan"/>
    <m/>
    <s v="Not Required"/>
    <s v="East Jasonshire"/>
  </r>
  <r>
    <s v="#1557"/>
    <n v="1"/>
    <d v="2026-08-04T14:08:24"/>
    <d v="2026-08-04T14:08:24"/>
    <s v="Randy Wheeler"/>
    <x v="0"/>
    <s v="randy.wheeler304@icloud.com"/>
    <s v="Wireless Bluetooth Earbuds"/>
    <x v="21"/>
    <s v="Electronics"/>
    <x v="22"/>
    <n v="1"/>
    <n v="29.99"/>
    <n v="29.99"/>
    <s v="SAVE20"/>
    <x v="2"/>
    <n v="6"/>
    <n v="6"/>
    <s v="Number"/>
    <n v="5.99"/>
    <n v="5.99"/>
    <n v="29.98"/>
    <n v="29.98"/>
    <n v="29.979999999999997"/>
    <s v="True"/>
    <s v="Normal"/>
    <s v="Credit Card"/>
    <x v="0"/>
    <s v="fulfilled"/>
    <s v="United States"/>
    <s v="North Carolina"/>
    <s v="Valid"/>
    <s v="East Nicole"/>
  </r>
  <r>
    <s v="#1579"/>
    <n v="1"/>
    <d v="2026-08-04T13:54:41"/>
    <d v="2026-08-04T13:54:41"/>
    <s v="Nicole Taylor"/>
    <x v="1"/>
    <m/>
    <s v="Wireless Bluetooth Earbuds"/>
    <x v="21"/>
    <s v="Electronics"/>
    <x v="22"/>
    <n v="1"/>
    <n v="29.99"/>
    <n v="29.99"/>
    <m/>
    <x v="0"/>
    <n v="0"/>
    <n v="0"/>
    <s v="Number"/>
    <n v="7.99"/>
    <n v="7.99"/>
    <n v="37.979999999999997"/>
    <n v="37.979999999999997"/>
    <n v="37.979999999999997"/>
    <s v="True"/>
    <s v="Normal"/>
    <s v="Apple Pay"/>
    <x v="3"/>
    <s v="fulfilled"/>
    <s v="United States"/>
    <s v="North Carolina"/>
    <s v="Valid"/>
    <s v="East Andrew"/>
  </r>
  <r>
    <s v="#1583"/>
    <n v="1"/>
    <d v="2026-08-04T14:02:34"/>
    <d v="2026-08-04T14:02:34"/>
    <s v="Joel Williams"/>
    <x v="0"/>
    <s v="joel.williams850@gmail.com"/>
    <s v="Wireless Bluetooth Earbuds"/>
    <x v="21"/>
    <s v="Electronics"/>
    <x v="22"/>
    <n v="1"/>
    <s v="$29.99"/>
    <n v="29.99"/>
    <m/>
    <x v="0"/>
    <n v="0"/>
    <n v="0"/>
    <s v="Number"/>
    <n v="4.99"/>
    <n v="4.99"/>
    <n v="34.979999999999997"/>
    <n v="34.979999999999997"/>
    <n v="34.979999999999997"/>
    <s v="True"/>
    <s v="Normal"/>
    <s v="Shopify Payments"/>
    <x v="0"/>
    <s v="fulfilled"/>
    <s v="United States"/>
    <s v="Florida"/>
    <s v="Valid"/>
    <s v="Lake Marilyn"/>
  </r>
  <r>
    <s v="#1590"/>
    <n v="1"/>
    <d v="2026-08-04T00:00:00"/>
    <s v="04-08-2026 13:54"/>
    <s v="kaitlyn hernandez"/>
    <x v="0"/>
    <s v="kaitlyn.hernandez192@gmail.com"/>
    <s v="Wireless Bluetooth Earbuds"/>
    <x v="21"/>
    <s v="Electronics"/>
    <x v="22"/>
    <n v="1"/>
    <n v="29.99"/>
    <n v="29.99"/>
    <s v="WELCOME10"/>
    <x v="1"/>
    <n v="3"/>
    <n v="3"/>
    <s v="Number"/>
    <n v="5.99"/>
    <n v="5.99"/>
    <n v="32.979999999999997"/>
    <n v="32.979999999999997"/>
    <n v="32.979999999999997"/>
    <s v="True"/>
    <s v="Normal"/>
    <s v="Credit Card"/>
    <x v="0"/>
    <s v="pending"/>
    <s v="Pakistan"/>
    <m/>
    <s v="Not Required"/>
    <s v="Ianside"/>
  </r>
  <r>
    <s v="#1644"/>
    <n v="1"/>
    <d v="2026-08-04T13:56:38"/>
    <d v="2026-08-04T13:56:38"/>
    <s v="Pam Hudson"/>
    <x v="0"/>
    <s v="pam.hudson109@gmail.com"/>
    <s v="Wireless Bluetooth Earbuds"/>
    <x v="21"/>
    <s v="Electronics"/>
    <x v="22"/>
    <n v="2"/>
    <n v="29.99"/>
    <n v="29.99"/>
    <s v="WELCOME10"/>
    <x v="1"/>
    <s v="$6.00"/>
    <n v="6"/>
    <s v="Number"/>
    <n v="7.99"/>
    <n v="7.99"/>
    <s v="$61.97"/>
    <n v="61.97"/>
    <n v="61.97"/>
    <s v="True"/>
    <s v="Normal"/>
    <s v="Apple Pay"/>
    <x v="0"/>
    <s v="fulfilled"/>
    <s v="United States"/>
    <s v="Ohio"/>
    <s v="Valid"/>
    <s v="Heidifurt"/>
  </r>
  <r>
    <s v="#1699"/>
    <n v="1"/>
    <d v="2026-08-04T14:06:08"/>
    <d v="2026-08-04T14:06:08"/>
    <s v="Joel Davidson"/>
    <x v="0"/>
    <s v="joel.davidson94@icloud.com"/>
    <s v="Wireless Bluetooth Earbuds"/>
    <x v="21"/>
    <s v="Electronics"/>
    <x v="22"/>
    <n v="1"/>
    <n v="29.99"/>
    <n v="29.99"/>
    <s v="VIP15"/>
    <x v="4"/>
    <n v="4.5"/>
    <n v="4.5"/>
    <s v="Number"/>
    <n v="4.99"/>
    <n v="4.99"/>
    <n v="30.48"/>
    <n v="30.48"/>
    <n v="30.479999999999997"/>
    <s v="True"/>
    <s v="Normal"/>
    <s v="Apple Pay"/>
    <x v="3"/>
    <s v="fulfilled"/>
    <s v="United States"/>
    <s v="WA"/>
    <s v="Valid"/>
    <s v="South Francisco"/>
  </r>
  <r>
    <s v="#1752"/>
    <n v="1"/>
    <d v="2026-08-04T14:08:15"/>
    <d v="2026-08-04T14:08:15"/>
    <s v="Christy Phillips"/>
    <x v="0"/>
    <s v="christy.phillips291@gmail.com"/>
    <s v="Wireless Bluetooth Earbuds"/>
    <x v="21"/>
    <s v="Electronics"/>
    <x v="22"/>
    <n v="2"/>
    <s v="$29.99"/>
    <n v="29.99"/>
    <s v="VIP15"/>
    <x v="4"/>
    <n v="9"/>
    <n v="9"/>
    <s v="Number"/>
    <n v="4.99"/>
    <n v="4.99"/>
    <n v="55.97"/>
    <n v="55.97"/>
    <n v="55.97"/>
    <s v="True"/>
    <s v="Normal"/>
    <s v="Shopify Payments"/>
    <x v="2"/>
    <s v="fulfilled"/>
    <s v="Pakistan"/>
    <m/>
    <s v="Not Required"/>
    <s v="East Lindseyside"/>
  </r>
  <r>
    <s v="#1753"/>
    <n v="1"/>
    <d v="2026-08-04T14:08:22"/>
    <d v="2026-08-04T14:08:22"/>
    <s v="Kelly Wyatt"/>
    <x v="0"/>
    <s v="kelly.wyatt277@yahoo.com"/>
    <s v="Wireless Bluetooth Earbuds"/>
    <x v="21"/>
    <s v="Electronics"/>
    <x v="22"/>
    <n v="2"/>
    <s v="$29.99"/>
    <n v="29.99"/>
    <s v="SAVE20"/>
    <x v="2"/>
    <n v="12"/>
    <n v="12"/>
    <s v="Number"/>
    <n v="4.99"/>
    <n v="4.99"/>
    <n v="52.97"/>
    <n v="52.97"/>
    <n v="52.97"/>
    <s v="True"/>
    <s v="Normal"/>
    <s v="Shopify Payments"/>
    <x v="0"/>
    <s v="cancelled"/>
    <s v="Germany"/>
    <m/>
    <s v="Not Required"/>
    <s v="Lake Beverlyside"/>
  </r>
  <r>
    <s v="#1772"/>
    <n v="1"/>
    <d v="2026-08-04T13:58:15"/>
    <d v="2026-08-04T13:58:15"/>
    <s v="John Jacobs"/>
    <x v="0"/>
    <s v="john.jacobs137@yahoo.com"/>
    <s v="Wireless Bluetooth Earbuds"/>
    <x v="21"/>
    <s v="Electronics"/>
    <x v="22"/>
    <n v="1"/>
    <n v="29.99"/>
    <n v="29.99"/>
    <s v="SAVE20"/>
    <x v="2"/>
    <n v="6"/>
    <n v="6"/>
    <s v="Number"/>
    <n v="7.99"/>
    <n v="7.99"/>
    <n v="31.98"/>
    <n v="31.98"/>
    <n v="31.979999999999997"/>
    <s v="True"/>
    <s v="Normal"/>
    <s v="PayPal"/>
    <x v="0"/>
    <s v="fulfilled"/>
    <s v="Australia"/>
    <m/>
    <s v="Not Required"/>
    <s v="Haneyhaven"/>
  </r>
  <r>
    <s v="#1776"/>
    <n v="1"/>
    <d v="2026-08-04T13:55:46"/>
    <d v="2026-08-04T13:55:46"/>
    <s v="Michael Wilson"/>
    <x v="0"/>
    <s v="michael.wilson464@icloud.com"/>
    <s v="Wireless Bluetooth Earbuds"/>
    <x v="21"/>
    <s v="Electronics"/>
    <x v="22"/>
    <n v="1"/>
    <n v="29.99"/>
    <n v="29.99"/>
    <m/>
    <x v="0"/>
    <n v="0"/>
    <n v="0"/>
    <s v="Number"/>
    <n v="7.99"/>
    <n v="7.99"/>
    <n v="37.979999999999997"/>
    <n v="37.979999999999997"/>
    <n v="37.979999999999997"/>
    <s v="True"/>
    <s v="Normal"/>
    <s v="Google Pay"/>
    <x v="0"/>
    <s v="fulfilled"/>
    <s v="Australia"/>
    <m/>
    <s v="Not Required"/>
    <s v="Cookeport"/>
  </r>
  <r>
    <s v="#1785"/>
    <n v="1"/>
    <d v="2026-08-04T13:54:11"/>
    <d v="2026-08-04T13:54:11"/>
    <s v="Wilkins, Jordan"/>
    <x v="0"/>
    <s v="jordan.wilkins318@outlook.com"/>
    <s v="Wireless Bluetooth Earbuds"/>
    <x v="21"/>
    <s v="Electronics"/>
    <x v="22"/>
    <n v="1"/>
    <n v="29.99"/>
    <n v="29.99"/>
    <s v="VIP15"/>
    <x v="4"/>
    <n v="4.5"/>
    <n v="4.5"/>
    <s v="Number"/>
    <n v="4.99"/>
    <n v="4.99"/>
    <n v="1524"/>
    <n v="1524"/>
    <n v="30.479999999999997"/>
    <s v="False"/>
    <s v="Normal"/>
    <s v="Shopify Payments"/>
    <x v="3"/>
    <s v="fulfilled"/>
    <s v="Pakistan"/>
    <m/>
    <s v="Not Required"/>
    <s v="South Courtney"/>
  </r>
  <r>
    <s v="#1804"/>
    <n v="1"/>
    <d v="2026-08-04T14:04:58"/>
    <d v="2026-08-04T14:04:58"/>
    <s v="Rhonda Chapman"/>
    <x v="0"/>
    <s v="rhonda.chapman481@yahoo.com"/>
    <s v="Wireless Bluetooth Earbuds"/>
    <x v="21"/>
    <s v="Electronics"/>
    <x v="22"/>
    <n v="1"/>
    <n v="29.99"/>
    <n v="29.99"/>
    <m/>
    <x v="0"/>
    <n v="0"/>
    <n v="0"/>
    <s v="Number"/>
    <n v="7.99"/>
    <n v="7.99"/>
    <n v="37.979999999999997"/>
    <n v="37.979999999999997"/>
    <n v="37.979999999999997"/>
    <s v="True"/>
    <s v="Normal"/>
    <s v="Apple Pay"/>
    <x v="3"/>
    <s v="refunded"/>
    <s v="United States"/>
    <s v="Texas"/>
    <s v="Valid"/>
    <s v="South Johntown"/>
  </r>
  <r>
    <s v="#1913"/>
    <n v="1"/>
    <d v="2026-08-04T14:01:07"/>
    <d v="2026-08-04T14:01:07"/>
    <s v="Thomas Rojas"/>
    <x v="0"/>
    <s v="thomas.rojas667@icloud.com"/>
    <s v="Wireless Bluetooth Earbuds"/>
    <x v="21"/>
    <s v="Electronics"/>
    <x v="22"/>
    <n v="3"/>
    <n v="29.99"/>
    <n v="29.99"/>
    <m/>
    <x v="0"/>
    <n v="0"/>
    <n v="0"/>
    <s v="Number"/>
    <n v="0"/>
    <n v="0"/>
    <n v="89.97"/>
    <n v="89.97"/>
    <n v="89.97"/>
    <s v="True"/>
    <s v="Outlier"/>
    <s v="Credit Card"/>
    <x v="1"/>
    <s v="fulfilled"/>
    <s v="United States"/>
    <s v="WA"/>
    <s v="Valid"/>
    <s v="North Johnview"/>
  </r>
  <r>
    <s v="#1965"/>
    <n v="1"/>
    <d v="2026-08-04T13:59:25"/>
    <d v="2026-08-04T13:59:25"/>
    <s v="Tasha Morales"/>
    <x v="0"/>
    <s v="tasha.morales378@outlook.com"/>
    <s v="Wireless Bluetooth Earbuds"/>
    <x v="21"/>
    <s v="Electronics"/>
    <x v="22"/>
    <n v="2"/>
    <n v="29.99"/>
    <n v="29.99"/>
    <m/>
    <x v="0"/>
    <n v="0"/>
    <n v="0"/>
    <s v="Number"/>
    <n v="7.99"/>
    <n v="7.99"/>
    <n v="67.97"/>
    <n v="67.97"/>
    <n v="67.97"/>
    <s v="True"/>
    <s v="Normal"/>
    <s v="PayPal"/>
    <x v="0"/>
    <s v="refunded"/>
    <s v="United States"/>
    <s v="Illinois"/>
    <s v="Valid"/>
    <s v="Smithton"/>
  </r>
  <r>
    <s v="#1968"/>
    <n v="1"/>
    <d v="2026-08-04T14:02:17"/>
    <d v="2026-08-04T14:02:17"/>
    <s v="Tyler Williams"/>
    <x v="0"/>
    <s v="tyler.williams938@outlook.com"/>
    <s v="Wireless Bluetooth Earbuds"/>
    <x v="21"/>
    <s v="Electronics"/>
    <x v="22"/>
    <n v="1"/>
    <n v="29.99"/>
    <n v="29.99"/>
    <s v="FREESHIP"/>
    <x v="5"/>
    <n v="0"/>
    <n v="0"/>
    <s v="Number"/>
    <n v="0"/>
    <n v="0"/>
    <n v="29.99"/>
    <n v="29.99"/>
    <n v="29.99"/>
    <s v="True"/>
    <s v="Normal"/>
    <s v="Shopify Payments"/>
    <x v="1"/>
    <s v="fulfilled"/>
    <s v="Australia"/>
    <m/>
    <s v="Not Required"/>
    <s v="West Christyview"/>
  </r>
  <r>
    <s v="#1987"/>
    <n v="1"/>
    <d v="2026-08-04T14:01:33"/>
    <d v="2026-08-04T14:01:33"/>
    <s v="Matthew Perez"/>
    <x v="0"/>
    <s v="matthew.perez875@gmail.com"/>
    <s v="Wireless Bluetooth Earbuds"/>
    <x v="21"/>
    <s v="Electronics"/>
    <x v="22"/>
    <n v="1"/>
    <n v="29.99"/>
    <n v="29.99"/>
    <s v="WELCOME10"/>
    <x v="1"/>
    <n v="3"/>
    <n v="3"/>
    <s v="Number"/>
    <n v="7.99"/>
    <n v="7.99"/>
    <n v="34.979999999999997"/>
    <n v="34.979999999999997"/>
    <n v="34.979999999999997"/>
    <s v="True"/>
    <s v="Normal"/>
    <s v="Shopify Payments"/>
    <x v="0"/>
    <s v="fulfilled"/>
    <s v="Pakistan"/>
    <m/>
    <s v="Not Required"/>
    <s v="West Timothy"/>
  </r>
  <r>
    <s v="#2002"/>
    <n v="1"/>
    <d v="2026-08-04T14:02:27"/>
    <d v="2026-08-04T14:02:27"/>
    <s v="Richard Weber"/>
    <x v="0"/>
    <s v="richard.weber156@yahoo.com"/>
    <s v="Wireless Bluetooth Earbuds"/>
    <x v="21"/>
    <s v="Electronics"/>
    <x v="22"/>
    <n v="1"/>
    <n v="29.99"/>
    <n v="29.99"/>
    <s v="VIP15"/>
    <x v="4"/>
    <n v="4.5"/>
    <n v="4.5"/>
    <s v="Number"/>
    <n v="5.99"/>
    <n v="5.99"/>
    <n v="31.48"/>
    <n v="31.48"/>
    <n v="31.479999999999997"/>
    <s v="True"/>
    <s v="Normal"/>
    <s v="Credit Card"/>
    <x v="3"/>
    <s v="fulfilled"/>
    <s v="United States"/>
    <s v="Florida"/>
    <s v="Valid"/>
    <s v="Port Lance"/>
  </r>
  <r>
    <s v="#2022"/>
    <n v="1"/>
    <d v="2026-08-04T13:54:12"/>
    <d v="2026-08-04T13:54:12"/>
    <s v="Allison Byrd"/>
    <x v="0"/>
    <s v="allison.byrd266@yahoo.com"/>
    <s v="Wireless Bluetooth Earbuds"/>
    <x v="21"/>
    <s v="Electronics"/>
    <x v="22"/>
    <n v="2"/>
    <n v="29.99"/>
    <n v="29.99"/>
    <m/>
    <x v="0"/>
    <n v="0"/>
    <n v="0"/>
    <s v="Number"/>
    <n v="7.99"/>
    <n v="7.99"/>
    <n v="67.97"/>
    <n v="67.97"/>
    <n v="67.97"/>
    <s v="True"/>
    <s v="Normal"/>
    <s v="PayPal"/>
    <x v="0"/>
    <s v="fulfilled"/>
    <s v="United States"/>
    <s v="North Carolina"/>
    <s v="Valid"/>
    <s v="Lewisland"/>
  </r>
  <r>
    <s v="#2024"/>
    <n v="1"/>
    <d v="2026-04-08T00:00:00"/>
    <s v="08/04/2026"/>
    <s v="Karen Jones"/>
    <x v="0"/>
    <s v="karen.jones287@icloud.com"/>
    <s v="Wireless Bluetooth Earbuds"/>
    <x v="21"/>
    <s v="Electronics"/>
    <x v="22"/>
    <n v="1"/>
    <n v="29.99"/>
    <n v="29.99"/>
    <s v="SAVE20"/>
    <x v="2"/>
    <n v="6"/>
    <n v="6"/>
    <s v="Number"/>
    <n v="5.99"/>
    <n v="5.99"/>
    <n v="29.98"/>
    <n v="29.98"/>
    <n v="29.979999999999997"/>
    <s v="True"/>
    <s v="Normal"/>
    <s v="Google Pay"/>
    <x v="0"/>
    <s v="refunded"/>
    <s v="Australia"/>
    <m/>
    <s v="Not Required"/>
    <s v="Robertside"/>
  </r>
  <r>
    <s v="#2050"/>
    <n v="1"/>
    <d v="2026-08-04T13:58:17"/>
    <d v="2026-08-04T13:58:17"/>
    <s v="Tina Singh"/>
    <x v="0"/>
    <s v="tina.singh98@icloud.com"/>
    <s v="Wireless Bluetooth Earbuds"/>
    <x v="21"/>
    <s v="Electronics"/>
    <x v="22"/>
    <n v="1"/>
    <n v="29.99"/>
    <n v="29.99"/>
    <m/>
    <x v="0"/>
    <n v="0"/>
    <n v="0"/>
    <s v="Number"/>
    <n v="5.99"/>
    <n v="5.99"/>
    <n v="35.979999999999997"/>
    <n v="35.979999999999997"/>
    <n v="35.979999999999997"/>
    <s v="True"/>
    <s v="Normal"/>
    <s v="Apple Pay"/>
    <x v="2"/>
    <s v="refunded"/>
    <s v="United States"/>
    <s v="TX"/>
    <s v="Valid"/>
    <s v="Kylieport"/>
  </r>
  <r>
    <s v="#2107"/>
    <n v="1"/>
    <d v="2026-08-04T14:06:55"/>
    <d v="2026-08-04T14:06:55"/>
    <s v="Peter Alvarez"/>
    <x v="0"/>
    <s v="peter.alvarez465@yahoo.com"/>
    <s v="Wireless Bluetooth Earbuds"/>
    <x v="21"/>
    <s v="Electronics"/>
    <x v="22"/>
    <n v="1"/>
    <n v="29.99"/>
    <n v="29.99"/>
    <s v="FREESHIP"/>
    <x v="5"/>
    <n v="0"/>
    <n v="0"/>
    <s v="Number"/>
    <n v="0"/>
    <n v="0"/>
    <s v="$29.99"/>
    <n v="29.99"/>
    <n v="29.99"/>
    <s v="True"/>
    <s v="Normal"/>
    <s v="Shopify Payments"/>
    <x v="3"/>
    <s v="fulfilled"/>
    <s v="United States"/>
    <s v="FL"/>
    <s v="Valid"/>
    <s v="West Lauren"/>
  </r>
  <r>
    <s v="#2116"/>
    <n v="1"/>
    <d v="2026-08-04T13:56:26"/>
    <d v="2026-08-04T13:56:26"/>
    <s v="Kenneth Davis"/>
    <x v="0"/>
    <s v="kenneth.davis106@yahoo.com"/>
    <s v="Wireless Bluetooth Earbuds"/>
    <x v="21"/>
    <s v="Electronics"/>
    <x v="22"/>
    <n v="1"/>
    <n v="29.99"/>
    <n v="29.99"/>
    <s v="BFCM25"/>
    <x v="3"/>
    <n v="7.5"/>
    <n v="7.5"/>
    <s v="Number"/>
    <n v="7.99"/>
    <n v="7.99"/>
    <n v="30.48"/>
    <n v="30.48"/>
    <n v="30.479999999999997"/>
    <s v="True"/>
    <s v="Normal"/>
    <s v="Shopify Payments"/>
    <x v="0"/>
    <s v="fulfilled"/>
    <s v="United States"/>
    <s v="Georgia"/>
    <s v="Valid"/>
    <s v="South Megantown"/>
  </r>
  <r>
    <s v="#2125"/>
    <n v="1"/>
    <d v="2026-08-04T13:53:27"/>
    <d v="2026-08-04T13:53:27"/>
    <s v="Rebecca Watts"/>
    <x v="0"/>
    <s v="rebecca.watts779@gmail.com"/>
    <s v="Wireless Bluetooth Earbuds"/>
    <x v="21"/>
    <s v="Electronics"/>
    <x v="22"/>
    <n v="2"/>
    <n v="29.99"/>
    <n v="29.99"/>
    <m/>
    <x v="0"/>
    <s v="$0.00"/>
    <n v="0"/>
    <s v="Number"/>
    <n v="4.99"/>
    <n v="4.99"/>
    <n v="64.97"/>
    <n v="64.97"/>
    <n v="64.97"/>
    <s v="True"/>
    <s v="Normal"/>
    <s v="Credit Card"/>
    <x v="3"/>
    <s v="refunded"/>
    <s v="United States"/>
    <s v="Ohio"/>
    <s v="Valid"/>
    <s v="Cummingsburgh"/>
  </r>
  <r>
    <s v="#2163"/>
    <n v="1"/>
    <d v="2026-08-04T14:04:35"/>
    <d v="2026-08-04T14:04:35"/>
    <s v="Jaime Vargas"/>
    <x v="0"/>
    <s v="jaime.vargas795@outlook.com"/>
    <s v="Wireless Bluetooth Earbuds"/>
    <x v="21"/>
    <s v="Electronics"/>
    <x v="22"/>
    <n v="2"/>
    <n v="29.99"/>
    <n v="29.99"/>
    <m/>
    <x v="0"/>
    <n v="0"/>
    <n v="0"/>
    <s v="Number"/>
    <n v="5.99"/>
    <n v="5.99"/>
    <n v="65.97"/>
    <n v="65.97"/>
    <n v="65.97"/>
    <s v="True"/>
    <s v="Normal"/>
    <s v="Apple Pay"/>
    <x v="0"/>
    <s v="fulfilled"/>
    <s v="United Kingdom"/>
    <m/>
    <s v="Not Required"/>
    <s v="Kimhaven"/>
  </r>
  <r>
    <s v="#2177"/>
    <n v="1"/>
    <d v="2026-08-04T14:05:25"/>
    <d v="2026-08-04T14:05:25"/>
    <s v="James Miller"/>
    <x v="0"/>
    <s v="james.miller866@yahoo.com"/>
    <s v="Wireless Bluetooth Earbuds"/>
    <x v="21"/>
    <s v="Electronics"/>
    <x v="22"/>
    <n v="1"/>
    <s v="$29.99"/>
    <n v="29.99"/>
    <m/>
    <x v="0"/>
    <n v="0"/>
    <n v="0"/>
    <s v="Number"/>
    <n v="4.99"/>
    <n v="4.99"/>
    <n v="34.979999999999997"/>
    <n v="34.979999999999997"/>
    <n v="34.979999999999997"/>
    <s v="True"/>
    <s v="Normal"/>
    <s v="Apple Pay"/>
    <x v="0"/>
    <s v="fulfilled"/>
    <s v="Pakistan"/>
    <m/>
    <s v="Not Required"/>
    <s v="Clarkeland"/>
  </r>
  <r>
    <s v="#2292"/>
    <n v="1"/>
    <d v="2026-08-04T14:00:09"/>
    <d v="2026-08-04T14:00:09"/>
    <s v="DANIELLE THORNTON"/>
    <x v="0"/>
    <s v="danielle.thornton674@icloud.com"/>
    <s v="Wireless Bluetooth Earbuds"/>
    <x v="21"/>
    <s v="Electronics"/>
    <x v="22"/>
    <n v="2"/>
    <n v="29.99"/>
    <n v="29.99"/>
    <m/>
    <x v="0"/>
    <n v="0"/>
    <n v="0"/>
    <s v="Number"/>
    <n v="5.99"/>
    <n v="5.99"/>
    <n v="65.97"/>
    <n v="65.97"/>
    <n v="65.97"/>
    <s v="True"/>
    <s v="Normal"/>
    <s v="Apple Pay"/>
    <x v="0"/>
    <s v="cancelled"/>
    <s v="United States"/>
    <s v="New York"/>
    <s v="Valid"/>
    <s v="Christophershire"/>
  </r>
  <r>
    <s v="#2310"/>
    <n v="1"/>
    <d v="2026-04-08T00:00:00"/>
    <s v="08/04/2026"/>
    <s v="Thomas Rojas"/>
    <x v="0"/>
    <s v="thomas.rojas667@icloud.com"/>
    <s v="Wireless Bluetooth Earbuds"/>
    <x v="21"/>
    <s v="Electronics"/>
    <x v="22"/>
    <n v="1"/>
    <n v="29.99"/>
    <n v="29.99"/>
    <s v="SAVE20"/>
    <x v="2"/>
    <n v="6"/>
    <n v="6"/>
    <s v="Number"/>
    <n v="5.99"/>
    <n v="5.99"/>
    <n v="29.98"/>
    <n v="29.98"/>
    <n v="29.979999999999997"/>
    <s v="True"/>
    <s v="Normal"/>
    <s v="Credit Card"/>
    <x v="2"/>
    <s v="cancelled"/>
    <s v="United States"/>
    <s v="Arizona"/>
    <s v="Valid"/>
    <s v="Harrischester"/>
  </r>
  <r>
    <s v="#2337"/>
    <n v="1"/>
    <d v="2026-04-08T00:00:00"/>
    <s v="08/04/2026"/>
    <s v="Jennifer Willis"/>
    <x v="0"/>
    <s v="jennifer.willis714@gmail.com"/>
    <s v="Wireless Bluetooth Earbuds"/>
    <x v="21"/>
    <s v="Electronics"/>
    <x v="22"/>
    <n v="1"/>
    <n v="29.99"/>
    <n v="29.99"/>
    <m/>
    <x v="0"/>
    <n v="0"/>
    <n v="0"/>
    <s v="Number"/>
    <n v="5.99"/>
    <n v="5.99"/>
    <s v="$35.98"/>
    <n v="35.979999999999997"/>
    <n v="35.979999999999997"/>
    <s v="True"/>
    <s v="Normal"/>
    <s v="PayPal"/>
    <x v="0"/>
    <s v="fulfilled"/>
    <s v="United States"/>
    <s v="Illinois"/>
    <s v="Valid"/>
    <s v="North Nicolefurt"/>
  </r>
  <r>
    <s v="#2376"/>
    <n v="1"/>
    <d v="2026-08-04T13:57:23"/>
    <d v="2026-08-04T13:57:23"/>
    <s v="Teresa Campbell"/>
    <x v="0"/>
    <s v="teresa.campbell610@icloud.com"/>
    <s v="Wireless Bluetooth Earbuds"/>
    <x v="21"/>
    <s v="Electronics"/>
    <x v="22"/>
    <n v="1"/>
    <n v="29.99"/>
    <n v="29.99"/>
    <m/>
    <x v="0"/>
    <n v="0"/>
    <n v="0"/>
    <s v="Number"/>
    <n v="4.99"/>
    <n v="4.99"/>
    <n v="34.979999999999997"/>
    <n v="34.979999999999997"/>
    <n v="34.979999999999997"/>
    <s v="True"/>
    <s v="Normal"/>
    <s v="Credit Card"/>
    <x v="2"/>
    <s v="pending"/>
    <s v="United Kingdom"/>
    <m/>
    <s v="Not Required"/>
    <s v="Burkemouth"/>
  </r>
  <r>
    <s v="#2447"/>
    <n v="1"/>
    <d v="2026-08-04T14:03:53"/>
    <d v="2026-08-04T14:03:53"/>
    <s v="Devin Jones"/>
    <x v="0"/>
    <s v="devin.jones807@yahoo.com"/>
    <s v="Wireless Bluetooth Earbuds"/>
    <x v="21"/>
    <s v="Electronics"/>
    <x v="22"/>
    <n v="1"/>
    <n v="29.99"/>
    <n v="29.99"/>
    <s v="SAVE20"/>
    <x v="2"/>
    <n v="6"/>
    <n v="6"/>
    <s v="Number"/>
    <n v="5.99"/>
    <n v="5.99"/>
    <n v="29.98"/>
    <n v="29.98"/>
    <n v="29.979999999999997"/>
    <s v="True"/>
    <s v="Normal"/>
    <s v="Apple Pay"/>
    <x v="3"/>
    <s v="fulfilled"/>
    <s v="Pakistan"/>
    <m/>
    <s v="Not Required"/>
    <s v="Lake Tamarahaven"/>
  </r>
  <r>
    <s v="#2481"/>
    <n v="1"/>
    <d v="2026-08-04T14:06:47"/>
    <d v="2026-08-04T14:06:47"/>
    <s v="Veronica Price"/>
    <x v="0"/>
    <s v="veronica.price991@outlook.com"/>
    <s v="Wireless Bluetooth Earbuds"/>
    <x v="21"/>
    <s v="Electronics"/>
    <x v="22"/>
    <n v="1"/>
    <n v="29.99"/>
    <n v="29.99"/>
    <s v="WELCOME10"/>
    <x v="1"/>
    <n v="3"/>
    <n v="3"/>
    <s v="Number"/>
    <n v="7.99"/>
    <n v="7.99"/>
    <n v="34.979999999999997"/>
    <n v="34.979999999999997"/>
    <n v="34.979999999999997"/>
    <s v="True"/>
    <s v="Normal"/>
    <s v="Google Pay"/>
    <x v="2"/>
    <s v="fulfilled"/>
    <s v="Canada"/>
    <m/>
    <s v="Not Required"/>
    <s v="Armstrongborough"/>
  </r>
  <r>
    <s v="#2486"/>
    <n v="1"/>
    <d v="2026-08-04T00:00:00"/>
    <s v="04-08-2026 13:55"/>
    <s v="Carly Johnson"/>
    <x v="0"/>
    <s v="carly.johnson664@gmail.com"/>
    <s v="Wireless Bluetooth Earbuds"/>
    <x v="21"/>
    <s v="Electronics"/>
    <x v="22"/>
    <n v="1"/>
    <n v="29.99"/>
    <n v="29.99"/>
    <s v="VIP15"/>
    <x v="4"/>
    <n v="4.5"/>
    <n v="4.5"/>
    <s v="Number"/>
    <n v="7.99"/>
    <n v="7.99"/>
    <n v="33.479999999999997"/>
    <n v="33.479999999999997"/>
    <n v="33.479999999999997"/>
    <s v="True"/>
    <s v="Normal"/>
    <s v="Google Pay"/>
    <x v="1"/>
    <s v="fulfilled"/>
    <s v="Germany"/>
    <m/>
    <s v="Not Required"/>
    <s v="New Jessicachester"/>
  </r>
  <r>
    <s v="#2499"/>
    <n v="1"/>
    <d v="2026-08-04T14:06:55"/>
    <d v="2026-08-04T14:06:55"/>
    <s v="Paul Dillon"/>
    <x v="0"/>
    <s v="paul.dillon750@icloud.com"/>
    <s v="Wireless Bluetooth Earbuds"/>
    <x v="21"/>
    <s v="Electronics"/>
    <x v="22"/>
    <n v="2"/>
    <n v="29.99"/>
    <n v="29.99"/>
    <s v="FREESHIP"/>
    <x v="5"/>
    <n v="0"/>
    <n v="0"/>
    <s v="Number"/>
    <n v="0"/>
    <n v="0"/>
    <n v="59.98"/>
    <n v="59.98"/>
    <n v="59.98"/>
    <s v="True"/>
    <s v="Normal"/>
    <s v="Apple Pay"/>
    <x v="0"/>
    <s v="fulfilled"/>
    <s v="Australia"/>
    <m/>
    <s v="Not Required"/>
    <s v="East Linda"/>
  </r>
  <r>
    <s v="#2520"/>
    <n v="1"/>
    <d v="2026-08-04T14:05:27"/>
    <d v="2026-08-04T14:05:27"/>
    <s v="Sean Frank"/>
    <x v="0"/>
    <s v="sean.frank587@icloud.com"/>
    <s v="Wireless Bluetooth Earbuds"/>
    <x v="21"/>
    <s v="Electronics"/>
    <x v="22"/>
    <n v="1"/>
    <n v="29.99"/>
    <n v="29.99"/>
    <s v="BFCM25"/>
    <x v="3"/>
    <n v="7.5"/>
    <n v="7.5"/>
    <s v="Number"/>
    <n v="5.99"/>
    <n v="5.99"/>
    <n v="28.48"/>
    <n v="28.48"/>
    <n v="28.479999999999997"/>
    <s v="True"/>
    <s v="Normal"/>
    <s v="Credit Card"/>
    <x v="1"/>
    <s v="fulfilled"/>
    <s v="Australia"/>
    <m/>
    <s v="Not Required"/>
    <s v="South Johnhaven"/>
  </r>
  <r>
    <s v="#2599"/>
    <n v="1"/>
    <d v="2026-08-04T13:58:38"/>
    <d v="2026-08-04T13:58:38"/>
    <s v="Katie Coleman"/>
    <x v="0"/>
    <s v="katie.coleman262@outlook.com"/>
    <s v="Wireless Bluetooth Earbuds"/>
    <x v="21"/>
    <s v="Electronics"/>
    <x v="22"/>
    <n v="1"/>
    <n v="29.99"/>
    <n v="29.99"/>
    <s v="WELCOME10"/>
    <x v="1"/>
    <n v="3"/>
    <n v="3"/>
    <s v="Number"/>
    <n v="4.99"/>
    <n v="4.99"/>
    <n v="31.98"/>
    <n v="31.98"/>
    <n v="31.979999999999997"/>
    <s v="True"/>
    <s v="Normal"/>
    <s v="Google Pay"/>
    <x v="3"/>
    <s v="refunded"/>
    <s v="Canada"/>
    <m/>
    <s v="Not Required"/>
    <s v="Lake John"/>
  </r>
  <r>
    <s v="#2604"/>
    <n v="1"/>
    <d v="2026-08-04T14:04:31"/>
    <d v="2026-08-04T14:04:31"/>
    <s v="Ryan Jones"/>
    <x v="0"/>
    <s v="ryan.jones314@gmail.com"/>
    <s v="Wireless Bluetooth Earbuds"/>
    <x v="21"/>
    <s v="Electronics"/>
    <x v="22"/>
    <n v="1"/>
    <n v="29.99"/>
    <n v="29.99"/>
    <m/>
    <x v="0"/>
    <n v="0"/>
    <n v="0"/>
    <s v="Number"/>
    <n v="5.99"/>
    <n v="5.99"/>
    <n v="35.979999999999997"/>
    <n v="35.979999999999997"/>
    <n v="35.979999999999997"/>
    <s v="True"/>
    <s v="Normal"/>
    <s v="Credit Card"/>
    <x v="1"/>
    <s v="fulfilled"/>
    <s v="Australia"/>
    <m/>
    <s v="Not Required"/>
    <s v="Parkerstad"/>
  </r>
  <r>
    <s v="#2633"/>
    <n v="1"/>
    <d v="2026-08-04T13:54:28"/>
    <d v="2026-08-04T13:54:28"/>
    <s v="Brady Garcia"/>
    <x v="0"/>
    <s v="brady.garcia57@yahoo.com"/>
    <s v="Wireless Bluetooth Earbuds"/>
    <x v="21"/>
    <s v="Electronics"/>
    <x v="22"/>
    <n v="2"/>
    <n v="29.99"/>
    <n v="29.99"/>
    <m/>
    <x v="0"/>
    <n v="0"/>
    <n v="0"/>
    <s v="Number"/>
    <n v="5.99"/>
    <n v="5.99"/>
    <n v="65.97"/>
    <n v="65.97"/>
    <n v="65.97"/>
    <s v="True"/>
    <s v="Normal"/>
    <s v="PayPal"/>
    <x v="0"/>
    <s v="fulfilled"/>
    <s v="Australia"/>
    <m/>
    <s v="Not Required"/>
    <s v="New Meghanhaven"/>
  </r>
  <r>
    <s v="#2642"/>
    <n v="1"/>
    <d v="2026-08-04T13:53:53"/>
    <d v="2026-08-04T13:53:53"/>
    <s v="Susan Stark"/>
    <x v="0"/>
    <s v="susan.stark500@yahoo.com"/>
    <s v="Wireless Bluetooth Earbuds"/>
    <x v="21"/>
    <s v="Electronics"/>
    <x v="22"/>
    <n v="1"/>
    <n v="29.99"/>
    <n v="29.99"/>
    <m/>
    <x v="0"/>
    <n v="0"/>
    <n v="0"/>
    <s v="Number"/>
    <n v="4.99"/>
    <n v="4.99"/>
    <n v="34.979999999999997"/>
    <n v="34.979999999999997"/>
    <n v="34.979999999999997"/>
    <s v="True"/>
    <s v="Normal"/>
    <s v="Google Pay"/>
    <x v="2"/>
    <s v="fulfilled"/>
    <s v="Australia"/>
    <m/>
    <s v="Not Required"/>
    <s v="Marshberg"/>
  </r>
  <r>
    <s v="#2653"/>
    <n v="1"/>
    <d v="2026-08-04T13:56:33"/>
    <d v="2026-08-04T13:56:33"/>
    <s v="Jacqueline Graham"/>
    <x v="0"/>
    <s v="jacqueline.graham958@gmail.com"/>
    <s v="Wireless Bluetooth Earbuds"/>
    <x v="21"/>
    <s v="Electronics"/>
    <x v="22"/>
    <n v="1"/>
    <n v="29.99"/>
    <n v="29.99"/>
    <s v="SAVE20"/>
    <x v="2"/>
    <n v="6"/>
    <n v="6"/>
    <s v="Number"/>
    <n v="5.99"/>
    <n v="5.99"/>
    <n v="29.98"/>
    <n v="29.98"/>
    <n v="29.979999999999997"/>
    <s v="True"/>
    <s v="Normal"/>
    <s v="PayPal"/>
    <x v="3"/>
    <s v="refunded"/>
    <s v="Australia"/>
    <m/>
    <s v="Not Required"/>
    <s v="Georgemouth"/>
  </r>
  <r>
    <s v="#2658"/>
    <n v="1"/>
    <d v="2026-08-04T14:06:26"/>
    <d v="2026-08-04T14:06:26"/>
    <s v="Stacey Johnson"/>
    <x v="1"/>
    <m/>
    <s v="Wireless Bluetooth Earbuds"/>
    <x v="21"/>
    <s v="Electronics"/>
    <x v="22"/>
    <n v="4"/>
    <n v="29.99"/>
    <n v="29.99"/>
    <m/>
    <x v="0"/>
    <n v="0"/>
    <n v="0"/>
    <s v="Number"/>
    <n v="0"/>
    <n v="0"/>
    <n v="119.96"/>
    <n v="119.96"/>
    <n v="119.96"/>
    <s v="True"/>
    <s v="Outlier"/>
    <s v="PayPal"/>
    <x v="0"/>
    <s v="refunded"/>
    <s v="United States"/>
    <s v="Florida"/>
    <s v="Valid"/>
    <s v="North Daniel"/>
  </r>
  <r>
    <s v="#2667"/>
    <n v="1"/>
    <d v="2026-08-04T14:00:08"/>
    <d v="2026-08-04T14:00:08"/>
    <s v="John Carson"/>
    <x v="0"/>
    <s v="john.carson203@yahoo.com"/>
    <s v="Wireless Bluetooth Earbuds"/>
    <x v="21"/>
    <s v="Electronics"/>
    <x v="22"/>
    <n v="1"/>
    <n v="29.99"/>
    <n v="29.99"/>
    <s v="BFCM25"/>
    <x v="3"/>
    <n v="7.5"/>
    <n v="7.5"/>
    <s v="Number"/>
    <n v="7.99"/>
    <n v="7.99"/>
    <n v="30.48"/>
    <n v="30.48"/>
    <n v="30.479999999999997"/>
    <s v="True"/>
    <s v="Normal"/>
    <s v="Shopify Payments"/>
    <x v="0"/>
    <s v="fulfilled"/>
    <s v="United States"/>
    <s v="TX"/>
    <s v="Valid"/>
    <s v="Gibbsbury"/>
  </r>
  <r>
    <s v="#2670"/>
    <n v="1"/>
    <d v="2026-08-04T14:02:42"/>
    <d v="2026-08-04T14:02:42"/>
    <s v="Donald Davis"/>
    <x v="0"/>
    <s v="donald.davis404@icloud.com"/>
    <s v="Wireless Bluetooth Earbuds"/>
    <x v="21"/>
    <s v="Electronics"/>
    <x v="22"/>
    <n v="1"/>
    <n v="29.99"/>
    <n v="29.99"/>
    <s v="FREESHIP"/>
    <x v="5"/>
    <n v="0"/>
    <n v="0"/>
    <s v="Number"/>
    <n v="0"/>
    <n v="0"/>
    <n v="29.99"/>
    <n v="29.99"/>
    <n v="29.99"/>
    <s v="True"/>
    <s v="Normal"/>
    <s v="PayPal"/>
    <x v="1"/>
    <s v="fulfilled"/>
    <s v="Canada"/>
    <m/>
    <s v="Not Required"/>
    <s v="New Franciscoshire"/>
  </r>
  <r>
    <s v="#2682"/>
    <n v="1"/>
    <d v="2026-08-04T00:00:00"/>
    <s v="2026-08-04"/>
    <s v="Donald Davis"/>
    <x v="0"/>
    <s v="donald.davis404@icloud.com"/>
    <s v="Wireless Bluetooth Earbuds"/>
    <x v="21"/>
    <s v="Electronics"/>
    <x v="22"/>
    <n v="1"/>
    <n v="29.99"/>
    <n v="29.99"/>
    <s v="FREESHIP"/>
    <x v="5"/>
    <n v="0"/>
    <n v="0"/>
    <s v="Number"/>
    <n v="0"/>
    <n v="0"/>
    <n v="29.99"/>
    <n v="29.99"/>
    <n v="29.99"/>
    <s v="True"/>
    <s v="Normal"/>
    <s v="Credit Card"/>
    <x v="1"/>
    <s v="fulfilled"/>
    <s v="Canada"/>
    <m/>
    <s v="Not Required"/>
    <s v="Port Deborahchester"/>
  </r>
  <r>
    <s v="#2737"/>
    <n v="1"/>
    <d v="2026-08-04T14:06:48"/>
    <d v="2026-08-04T14:06:48"/>
    <s v="Rose English"/>
    <x v="0"/>
    <s v="rose.english118@icloud.com"/>
    <s v="Wireless Bluetooth Earbuds"/>
    <x v="21"/>
    <s v="Electronics"/>
    <x v="22"/>
    <n v="1"/>
    <n v="29.99"/>
    <n v="29.99"/>
    <m/>
    <x v="0"/>
    <n v="0"/>
    <n v="0"/>
    <s v="Number"/>
    <n v="5.99"/>
    <n v="5.99"/>
    <s v="$35.98"/>
    <n v="35.979999999999997"/>
    <n v="35.979999999999997"/>
    <s v="True"/>
    <s v="Normal"/>
    <s v="Apple Pay"/>
    <x v="1"/>
    <s v="fulfilled"/>
    <s v="Germany"/>
    <m/>
    <s v="Not Required"/>
    <s v="East Courtneystad"/>
  </r>
  <r>
    <s v="#2791"/>
    <n v="1"/>
    <d v="2026-08-04T14:01:29"/>
    <d v="2026-08-04T14:01:29"/>
    <s v="Robert Ramsey"/>
    <x v="0"/>
    <s v="robert.ramsey440@outlook.com"/>
    <s v="Wireless Bluetooth Earbuds"/>
    <x v="21"/>
    <s v="Electronics"/>
    <x v="22"/>
    <n v="1"/>
    <n v="29.99"/>
    <n v="29.99"/>
    <m/>
    <x v="0"/>
    <n v="0"/>
    <n v="0"/>
    <s v="Number"/>
    <n v="4.99"/>
    <n v="4.99"/>
    <n v="34.979999999999997"/>
    <n v="34.979999999999997"/>
    <n v="34.979999999999997"/>
    <s v="True"/>
    <s v="Normal"/>
    <s v="Apple Pay"/>
    <x v="2"/>
    <s v="fulfilled"/>
    <s v="Canada"/>
    <m/>
    <s v="Not Required"/>
    <s v="Rosemouth"/>
  </r>
  <r>
    <s v="#2794"/>
    <n v="1"/>
    <d v="2026-08-04T14:07:11"/>
    <d v="2026-08-04T14:07:11"/>
    <s v="Sandra Potter"/>
    <x v="0"/>
    <s v="sandra.potter166@yahoo.com"/>
    <s v="Wireless Bluetooth Earbuds"/>
    <x v="21"/>
    <s v="Electronics"/>
    <x v="22"/>
    <n v="2"/>
    <n v="29.99"/>
    <n v="29.99"/>
    <s v="FREESHIP"/>
    <x v="5"/>
    <n v="0"/>
    <n v="0"/>
    <s v="Number"/>
    <n v="0"/>
    <n v="0"/>
    <n v="59.98"/>
    <n v="59.98"/>
    <n v="59.98"/>
    <s v="True"/>
    <s v="Normal"/>
    <s v="Apple Pay"/>
    <x v="0"/>
    <s v="pending"/>
    <s v="United States"/>
    <s v="California"/>
    <s v="Valid"/>
    <s v="Andradeburgh"/>
  </r>
  <r>
    <s v="#2804"/>
    <n v="1"/>
    <d v="2026-08-04T00:00:00"/>
    <s v="2026-08-04"/>
    <s v="Jamie Brown"/>
    <x v="0"/>
    <s v="jamie.brown582@icloud.com"/>
    <s v="Wireless Bluetooth Earbuds"/>
    <x v="21"/>
    <s v="Electronics"/>
    <x v="22"/>
    <n v="2"/>
    <n v="29.99"/>
    <n v="29.99"/>
    <s v="SAVE20"/>
    <x v="2"/>
    <n v="12"/>
    <n v="12"/>
    <s v="Number"/>
    <n v="5.99"/>
    <n v="5.99"/>
    <n v="53.97"/>
    <n v="53.97"/>
    <n v="53.97"/>
    <s v="True"/>
    <s v="Normal"/>
    <s v="PayPal"/>
    <x v="3"/>
    <s v="fulfilled"/>
    <s v="United States"/>
    <s v="Canada"/>
    <s v="Valid"/>
    <s v="Rileystad"/>
  </r>
  <r>
    <s v="#2818"/>
    <n v="1"/>
    <d v="2026-08-04T14:05:24"/>
    <d v="2026-08-04T14:05:24"/>
    <s v="COURTNEY BULLOCK"/>
    <x v="0"/>
    <s v="courtney.bullock860@outlook.com"/>
    <s v="Wireless Bluetooth Earbuds"/>
    <x v="21"/>
    <s v="Electronics"/>
    <x v="22"/>
    <n v="1"/>
    <n v="29.99"/>
    <n v="29.99"/>
    <m/>
    <x v="0"/>
    <n v="0"/>
    <n v="0"/>
    <s v="Number"/>
    <n v="4.99"/>
    <n v="4.99"/>
    <n v="34.979999999999997"/>
    <n v="34.979999999999997"/>
    <n v="34.979999999999997"/>
    <s v="True"/>
    <s v="Normal"/>
    <s v="Apple Pay"/>
    <x v="0"/>
    <s v="fulfilled"/>
    <s v="United Kingdom"/>
    <m/>
    <s v="Not Required"/>
    <s v="North Christopher"/>
  </r>
  <r>
    <s v="#2838"/>
    <n v="1"/>
    <d v="2026-08-04T13:56:08"/>
    <d v="2026-08-04T13:56:08"/>
    <s v="TEST TEST"/>
    <x v="0"/>
    <s v="test@test.com"/>
    <s v="Wireless Bluetooth Earbuds"/>
    <x v="21"/>
    <s v="Electronics"/>
    <x v="22"/>
    <n v="1"/>
    <n v="29.99"/>
    <n v="29.99"/>
    <s v="VIP15"/>
    <x v="4"/>
    <n v="4.5"/>
    <n v="4.5"/>
    <s v="Number"/>
    <n v="7.99"/>
    <n v="7.99"/>
    <n v="0"/>
    <n v="0"/>
    <n v="33.479999999999997"/>
    <s v="False"/>
    <s v="Normal"/>
    <s v="Credit Card"/>
    <x v="2"/>
    <s v="fulfilled"/>
    <s v="Australia"/>
    <m/>
    <s v="Not Required"/>
    <s v="Lake Troy"/>
  </r>
  <r>
    <s v="#2842"/>
    <n v="1"/>
    <d v="2026-08-04T14:04:39"/>
    <d v="2026-08-04T14:04:39"/>
    <s v="Samuel Padilla"/>
    <x v="0"/>
    <s v="samuel.padilla79@gmail.com"/>
    <s v="Wireless Bluetooth Earbuds"/>
    <x v="21"/>
    <s v="Electronics"/>
    <x v="22"/>
    <n v="1"/>
    <n v="29.99"/>
    <n v="29.99"/>
    <m/>
    <x v="0"/>
    <n v="0"/>
    <n v="0"/>
    <s v="Number"/>
    <n v="5.99"/>
    <n v="5.99"/>
    <n v="35.979999999999997"/>
    <n v="35.979999999999997"/>
    <n v="35.979999999999997"/>
    <s v="True"/>
    <s v="Normal"/>
    <s v="Credit Card"/>
    <x v="0"/>
    <s v="fulfilled"/>
    <s v="United States"/>
    <s v="California"/>
    <s v="Valid"/>
    <s v="East Melissa"/>
  </r>
  <r>
    <s v="#2845"/>
    <n v="1"/>
    <d v="2026-08-04T13:58:32"/>
    <d v="2026-08-04T13:58:32"/>
    <s v="Haley Glover"/>
    <x v="0"/>
    <s v="haley.glover361@yahoo.com"/>
    <s v="Wireless Bluetooth Earbuds"/>
    <x v="21"/>
    <s v="Electronics"/>
    <x v="22"/>
    <n v="1"/>
    <n v="29.99"/>
    <n v="29.99"/>
    <m/>
    <x v="0"/>
    <s v="$0.00"/>
    <n v="0"/>
    <s v="Number"/>
    <n v="4.99"/>
    <n v="4.99"/>
    <n v="34.979999999999997"/>
    <n v="34.979999999999997"/>
    <n v="34.979999999999997"/>
    <s v="True"/>
    <s v="Normal"/>
    <s v="Google Pay"/>
    <x v="0"/>
    <s v="fulfilled"/>
    <s v="Germany"/>
    <m/>
    <s v="Not Required"/>
    <s v="Shepherdshire"/>
  </r>
  <r>
    <s v="#2847"/>
    <n v="1"/>
    <d v="2026-08-04T14:06:37"/>
    <d v="2026-08-04T14:06:37"/>
    <s v="William Fry"/>
    <x v="0"/>
    <s v="william.fry209@gmail.com"/>
    <s v="Wireless Bluetooth Earbuds"/>
    <x v="21"/>
    <s v="Electronics"/>
    <x v="22"/>
    <n v="1"/>
    <n v="29.99"/>
    <n v="29.99"/>
    <s v="BFCM25"/>
    <x v="3"/>
    <n v="7.5"/>
    <n v="7.5"/>
    <s v="Number"/>
    <n v="4.99"/>
    <n v="4.99"/>
    <n v="27.48"/>
    <n v="27.48"/>
    <n v="27.479999999999997"/>
    <s v="True"/>
    <s v="Normal"/>
    <s v="PayPal"/>
    <x v="0"/>
    <s v="cancelled"/>
    <s v="United States"/>
    <s v="Texas"/>
    <s v="Valid"/>
    <s v="Murrayburgh"/>
  </r>
  <r>
    <s v="#2851"/>
    <n v="1"/>
    <d v="2026-08-04T13:55:05"/>
    <d v="2026-08-04T13:55:05"/>
    <s v="Joshua Anderson"/>
    <x v="0"/>
    <s v="joshua.anderson662@gmail.com"/>
    <s v="Wireless Bluetooth Earbuds"/>
    <x v="21"/>
    <s v="Electronics"/>
    <x v="22"/>
    <n v="1"/>
    <n v="29.99"/>
    <n v="29.99"/>
    <s v="FREESHIP"/>
    <x v="5"/>
    <n v="0"/>
    <n v="0"/>
    <s v="Number"/>
    <n v="0"/>
    <n v="0"/>
    <n v="29.99"/>
    <n v="29.99"/>
    <n v="29.99"/>
    <s v="True"/>
    <s v="Normal"/>
    <s v="PayPal"/>
    <x v="0"/>
    <s v="pending"/>
    <s v="Canada"/>
    <m/>
    <s v="Not Required"/>
    <s v="Lawrencebury"/>
  </r>
  <r>
    <s v="#2855"/>
    <n v="1"/>
    <d v="2026-08-04T14:02:32"/>
    <d v="2026-08-04T14:02:32"/>
    <s v="Kayla Morris"/>
    <x v="0"/>
    <s v="kayla.morris339@outlook.com"/>
    <s v="Wireless Bluetooth Earbuds"/>
    <x v="21"/>
    <s v="Electronics"/>
    <x v="22"/>
    <n v="2"/>
    <n v="29.99"/>
    <n v="29.99"/>
    <m/>
    <x v="0"/>
    <n v="0"/>
    <n v="0"/>
    <s v="Number"/>
    <n v="5.99"/>
    <n v="5.99"/>
    <n v="65.97"/>
    <n v="65.97"/>
    <n v="65.97"/>
    <s v="True"/>
    <s v="Normal"/>
    <s v="Credit Card"/>
    <x v="0"/>
    <s v="pending"/>
    <s v="Canada"/>
    <m/>
    <s v="Not Required"/>
    <s v="North Richard"/>
  </r>
  <r>
    <s v="#1024"/>
    <n v="1"/>
    <d v="2026-08-04T14:04:07"/>
    <d v="2026-08-04T14:04:07"/>
    <s v="Michelle Bell"/>
    <x v="0"/>
    <s v="michelle.bell28@yahoo.com"/>
    <s v="Wireless Mouse"/>
    <x v="22"/>
    <s v="Electronics"/>
    <x v="23"/>
    <n v="1"/>
    <n v="11.99"/>
    <n v="11.99"/>
    <m/>
    <x v="0"/>
    <s v="$0.00"/>
    <n v="0"/>
    <s v="Number"/>
    <n v="4.99"/>
    <n v="4.99"/>
    <s v="$16.98"/>
    <n v="16.98"/>
    <n v="16.98"/>
    <s v="True"/>
    <s v="Normal"/>
    <s v="Google Pay"/>
    <x v="0"/>
    <s v="refunded"/>
    <s v="United States"/>
    <s v="New York"/>
    <s v="Valid"/>
    <s v="Michaelmouth"/>
  </r>
  <r>
    <s v="#1031"/>
    <n v="1"/>
    <d v="2026-08-04T00:00:00"/>
    <s v="Aug 04, 2026"/>
    <s v="Tyler Williams"/>
    <x v="0"/>
    <s v="tyler.williams938@outlook.com"/>
    <s v="Wireless Mouse"/>
    <x v="22"/>
    <s v="Electronics"/>
    <x v="23"/>
    <n v="1"/>
    <n v="11.99"/>
    <n v="11.99"/>
    <s v="SAVE20"/>
    <x v="2"/>
    <n v="2.4"/>
    <n v="2.4"/>
    <s v="Number"/>
    <n v="7.99"/>
    <n v="7.99"/>
    <n v="17.579999999999998"/>
    <n v="17.579999999999998"/>
    <n v="17.579999999999998"/>
    <s v="True"/>
    <s v="Normal"/>
    <s v="Credit Card"/>
    <x v="3"/>
    <s v="pending"/>
    <s v="Australia"/>
    <m/>
    <s v="Not Required"/>
    <s v="Donaldshire"/>
  </r>
  <r>
    <s v="#1049"/>
    <n v="1"/>
    <d v="2026-08-04T14:02:52"/>
    <d v="2026-08-04T14:02:52"/>
    <s v="Byrd, Linda"/>
    <x v="0"/>
    <s v="linda.byrd87@outlook.com"/>
    <s v="Wireless Mouse"/>
    <x v="22"/>
    <s v="Electronics"/>
    <x v="23"/>
    <n v="2"/>
    <n v="11.99"/>
    <n v="11.99"/>
    <s v="WELCOME10"/>
    <x v="1"/>
    <n v="2.4"/>
    <n v="2.4"/>
    <s v="Number"/>
    <n v="5.99"/>
    <n v="5.99"/>
    <n v="27.57"/>
    <n v="27.57"/>
    <n v="27.57"/>
    <s v="True"/>
    <s v="Normal"/>
    <s v="Google Pay"/>
    <x v="2"/>
    <s v="refunded"/>
    <s v="United States"/>
    <s v="Georgia"/>
    <s v="Valid"/>
    <s v="Robertfurt"/>
  </r>
  <r>
    <s v="#1074"/>
    <n v="1"/>
    <d v="2026-08-04T13:57:49"/>
    <d v="2026-08-04T13:57:49"/>
    <s v="Jennifer Burke"/>
    <x v="0"/>
    <s v="jennifer.burke472@icloud.com"/>
    <s v="Wireless Mouse"/>
    <x v="22"/>
    <s v="Electronics"/>
    <x v="23"/>
    <n v="1"/>
    <s v="$11.99"/>
    <n v="11.99"/>
    <s v="SAVE20"/>
    <x v="2"/>
    <n v="2.4"/>
    <n v="2.4"/>
    <s v="Number"/>
    <n v="7.99"/>
    <n v="7.99"/>
    <n v="17.579999999999998"/>
    <n v="17.579999999999998"/>
    <n v="17.579999999999998"/>
    <s v="True"/>
    <s v="Normal"/>
    <s v="Apple Pay"/>
    <x v="3"/>
    <s v="refunded"/>
    <s v="Pakistan"/>
    <m/>
    <s v="Not Required"/>
    <s v="West Loganbury"/>
  </r>
  <r>
    <s v="#1091"/>
    <n v="1"/>
    <d v="2026-08-04T13:57:30"/>
    <d v="2026-08-04T13:57:30"/>
    <s v="Sara Sims"/>
    <x v="0"/>
    <s v="sara.sims992@icloud.com"/>
    <s v="Wireless Mouse"/>
    <x v="22"/>
    <s v="Electronics"/>
    <x v="23"/>
    <n v="1"/>
    <n v="11.99"/>
    <n v="11.99"/>
    <s v="BFCM25"/>
    <x v="3"/>
    <n v="3"/>
    <n v="3"/>
    <s v="Number"/>
    <n v="7.99"/>
    <n v="7.99"/>
    <n v="16.98"/>
    <n v="16.98"/>
    <n v="16.98"/>
    <s v="True"/>
    <s v="Normal"/>
    <s v="Apple Pay"/>
    <x v="3"/>
    <s v="fulfilled"/>
    <s v="Germany"/>
    <m/>
    <s v="Not Required"/>
    <s v="Powellland"/>
  </r>
  <r>
    <s v="#1122"/>
    <n v="1"/>
    <d v="2026-08-04T13:57:34"/>
    <d v="2026-08-04T13:57:34"/>
    <s v="Amanda Harris"/>
    <x v="0"/>
    <s v="amanda.harris197@gmail.com"/>
    <s v="Wireless Mouse"/>
    <x v="22"/>
    <s v="Electronics"/>
    <x v="23"/>
    <n v="1"/>
    <n v="11.99"/>
    <n v="11.99"/>
    <m/>
    <x v="0"/>
    <n v="0"/>
    <n v="0"/>
    <s v="Number"/>
    <n v="7.99"/>
    <n v="7.99"/>
    <n v="19.98"/>
    <n v="19.98"/>
    <n v="19.98"/>
    <s v="True"/>
    <s v="Normal"/>
    <s v="Credit Card"/>
    <x v="0"/>
    <s v="fulfilled"/>
    <s v="United States"/>
    <s v="New York"/>
    <s v="Valid"/>
    <s v="Knightfort"/>
  </r>
  <r>
    <s v="#1126"/>
    <n v="1"/>
    <d v="2026-08-04T13:58:13"/>
    <d v="2026-08-04T13:58:13"/>
    <s v="James Miller"/>
    <x v="0"/>
    <s v="james.miller866@yahoo.com"/>
    <s v="Wireless Mouse"/>
    <x v="22"/>
    <s v="Electronics"/>
    <x v="23"/>
    <n v="1"/>
    <n v="11.99"/>
    <n v="11.99"/>
    <s v="VIP15"/>
    <x v="4"/>
    <n v="1.8"/>
    <n v="1.8"/>
    <s v="Number"/>
    <n v="5.99"/>
    <n v="5.99"/>
    <n v="16.18"/>
    <n v="16.18"/>
    <n v="16.18"/>
    <s v="True"/>
    <s v="Normal"/>
    <s v="PayPal"/>
    <x v="3"/>
    <s v="refunded"/>
    <s v="Pakistan"/>
    <m/>
    <s v="Not Required"/>
    <s v="Adrianview"/>
  </r>
  <r>
    <s v="#1156"/>
    <n v="1"/>
    <d v="2026-08-04T00:00:00"/>
    <s v="04-08-2026 14:00"/>
    <s v="  Barbara Case"/>
    <x v="0"/>
    <s v="barbara.case365@yahoo.com"/>
    <s v="Wireless Mouse"/>
    <x v="22"/>
    <s v="Electronics"/>
    <x v="23"/>
    <n v="1"/>
    <n v="11.99"/>
    <n v="11.99"/>
    <m/>
    <x v="0"/>
    <n v="0"/>
    <n v="0"/>
    <s v="Number"/>
    <n v="5.99"/>
    <n v="5.99"/>
    <n v="17.98"/>
    <n v="17.98"/>
    <n v="17.98"/>
    <s v="True"/>
    <s v="Normal"/>
    <s v="Google Pay"/>
    <x v="1"/>
    <s v="fulfilled"/>
    <s v="United States"/>
    <s v="Arizona"/>
    <s v="Valid"/>
    <s v="Port Matthewfurt"/>
  </r>
  <r>
    <s v="#1157"/>
    <n v="1"/>
    <d v="2026-08-04T14:07:34"/>
    <d v="2026-08-04T14:07:34"/>
    <s v="Christopher Martin"/>
    <x v="0"/>
    <s v="christopher.martin10@gmail.com"/>
    <s v="Wireless Mouse"/>
    <x v="22"/>
    <s v="Electronics"/>
    <x v="23"/>
    <n v="1"/>
    <s v="$11.99"/>
    <n v="11.99"/>
    <m/>
    <x v="0"/>
    <n v="0"/>
    <n v="0"/>
    <s v="Number"/>
    <n v="5.99"/>
    <n v="5.99"/>
    <n v="17.98"/>
    <n v="17.98"/>
    <n v="17.98"/>
    <s v="True"/>
    <s v="Normal"/>
    <s v="Apple Pay"/>
    <x v="0"/>
    <s v="cancelled"/>
    <s v="United States"/>
    <s v="New York"/>
    <s v="Valid"/>
    <s v="West Danny"/>
  </r>
  <r>
    <s v="#1217"/>
    <n v="1"/>
    <d v="2026-08-04T14:03:17"/>
    <d v="2026-08-04T14:03:17"/>
    <s v="Brown, Barbara"/>
    <x v="0"/>
    <s v="barbara.brown26@gmail.com"/>
    <s v="Wireless Mouse"/>
    <x v="22"/>
    <s v="Electronics"/>
    <x v="23"/>
    <n v="2"/>
    <n v="11.99"/>
    <n v="11.99"/>
    <s v="BFCM25"/>
    <x v="3"/>
    <n v="6"/>
    <n v="6"/>
    <s v="Number"/>
    <n v="4.99"/>
    <n v="4.99"/>
    <n v="22.97"/>
    <n v="22.97"/>
    <n v="22.97"/>
    <s v="True"/>
    <s v="Normal"/>
    <s v="Google Pay"/>
    <x v="3"/>
    <s v="cancelled"/>
    <s v="United States"/>
    <s v="Ohio"/>
    <s v="Valid"/>
    <s v="East Patricialand"/>
  </r>
  <r>
    <s v="#1235"/>
    <n v="1"/>
    <d v="2026-08-04T00:00:00"/>
    <s v="2026-08-04"/>
    <s v="Melinda Henderson"/>
    <x v="0"/>
    <s v="melinda.henderson831@gmail.com"/>
    <s v="Wireless Mouse"/>
    <x v="22"/>
    <s v="Electronics"/>
    <x v="23"/>
    <n v="2"/>
    <n v="11.99"/>
    <n v="11.99"/>
    <s v="VIP15"/>
    <x v="4"/>
    <n v="3.6"/>
    <n v="3.6"/>
    <s v="Number"/>
    <n v="7.99"/>
    <n v="7.99"/>
    <n v="28.37"/>
    <n v="28.37"/>
    <n v="28.369999999999997"/>
    <s v="True"/>
    <s v="Normal"/>
    <s v="Credit Card"/>
    <x v="0"/>
    <s v="cancelled"/>
    <s v="United Kingdom"/>
    <m/>
    <s v="Not Required"/>
    <s v="Port Patrick"/>
  </r>
  <r>
    <s v="#1269"/>
    <n v="1"/>
    <d v="2026-08-04T00:00:00"/>
    <s v="Aug 04, 2026"/>
    <s v="Jaime Vargas"/>
    <x v="0"/>
    <s v="jaime.vargas795@outlook.com"/>
    <s v="Wireless Mouse"/>
    <x v="22"/>
    <s v="Electronics"/>
    <x v="23"/>
    <n v="2"/>
    <n v="11.99"/>
    <n v="11.99"/>
    <s v="SAVE20"/>
    <x v="2"/>
    <n v="4.8"/>
    <n v="4.8"/>
    <s v="Number"/>
    <n v="5.99"/>
    <n v="5.99"/>
    <n v="25.17"/>
    <n v="25.17"/>
    <n v="25.17"/>
    <s v="True"/>
    <s v="Normal"/>
    <s v="Credit Card"/>
    <x v="0"/>
    <s v="pending"/>
    <s v="United Kingdom"/>
    <m/>
    <s v="Not Required"/>
    <s v="Lake Todd"/>
  </r>
  <r>
    <s v="#1308"/>
    <n v="1"/>
    <d v="2026-08-04T13:59:29"/>
    <d v="2026-08-04T13:59:29"/>
    <s v="Karen Jones"/>
    <x v="0"/>
    <s v="karen.jones794@outlook.com"/>
    <s v="Wireless Mouse"/>
    <x v="22"/>
    <s v="Electronics"/>
    <x v="23"/>
    <n v="1"/>
    <s v="$11.99"/>
    <n v="11.99"/>
    <s v="WELCOME10"/>
    <x v="1"/>
    <n v="1.2"/>
    <n v="1.2"/>
    <s v="Number"/>
    <n v="7.99"/>
    <n v="7.99"/>
    <n v="18.78"/>
    <n v="18.78"/>
    <n v="18.78"/>
    <s v="True"/>
    <s v="Normal"/>
    <s v="Shopify Payments"/>
    <x v="0"/>
    <s v="refunded"/>
    <s v="Australia"/>
    <m/>
    <s v="Not Required"/>
    <s v="Wrightchester"/>
  </r>
  <r>
    <s v="#1332"/>
    <n v="1"/>
    <d v="2026-08-04T00:00:00"/>
    <s v="04-08-2026 13:54"/>
    <s v="CHRISTOPHER HARRIS"/>
    <x v="0"/>
    <s v="christopher.harris618@yahoo.com"/>
    <s v="Wireless Mouse"/>
    <x v="22"/>
    <s v="Electronics"/>
    <x v="23"/>
    <n v="1"/>
    <n v="11.99"/>
    <n v="11.99"/>
    <s v="FREESHIP"/>
    <x v="5"/>
    <n v="0"/>
    <n v="0"/>
    <s v="Number"/>
    <n v="0"/>
    <n v="0"/>
    <n v="11.99"/>
    <n v="11.99"/>
    <n v="11.99"/>
    <s v="True"/>
    <s v="Normal"/>
    <s v="Credit Card"/>
    <x v="0"/>
    <s v="fulfilled"/>
    <s v="Australia"/>
    <m/>
    <s v="Not Required"/>
    <s v="Corychester"/>
  </r>
  <r>
    <s v="#1346"/>
    <n v="1"/>
    <d v="2026-08-04T14:03:55"/>
    <d v="2026-08-04T14:03:55"/>
    <s v="Rhonda Chapman"/>
    <x v="0"/>
    <s v="rhonda.chapman481@yahoo.com"/>
    <s v="Wireless Mouse"/>
    <x v="22"/>
    <s v="Electronics"/>
    <x v="23"/>
    <n v="1"/>
    <n v="11.99"/>
    <n v="11.99"/>
    <s v="WELCOME10"/>
    <x v="1"/>
    <n v="1.2"/>
    <n v="1.2"/>
    <s v="Number"/>
    <n v="5.99"/>
    <n v="5.99"/>
    <n v="16.78"/>
    <n v="16.78"/>
    <n v="16.78"/>
    <s v="True"/>
    <s v="Normal"/>
    <s v="Credit Card"/>
    <x v="2"/>
    <s v="refunded"/>
    <s v="United States"/>
    <s v="New York"/>
    <s v="Valid"/>
    <s v="East Williamstad"/>
  </r>
  <r>
    <s v="#1358"/>
    <n v="1"/>
    <d v="2026-08-04T13:56:02"/>
    <d v="2026-08-04T13:56:02"/>
    <s v="Kathryn Robinson"/>
    <x v="0"/>
    <s v="kathryn.robinson965@gmail.com"/>
    <s v="Wireless Mouse"/>
    <x v="22"/>
    <s v="Electronics"/>
    <x v="23"/>
    <n v="1"/>
    <n v="11.99"/>
    <n v="11.99"/>
    <m/>
    <x v="0"/>
    <n v="0"/>
    <n v="0"/>
    <s v="Number"/>
    <n v="5.99"/>
    <n v="5.99"/>
    <n v="17.98"/>
    <n v="17.98"/>
    <n v="17.98"/>
    <s v="True"/>
    <s v="Normal"/>
    <s v="Credit Card"/>
    <x v="2"/>
    <s v="fulfilled"/>
    <s v="United Kingdom"/>
    <m/>
    <s v="Not Required"/>
    <s v="Lake Jeffreyshire"/>
  </r>
  <r>
    <s v="#1366"/>
    <n v="1"/>
    <d v="2026-08-04T13:59:18"/>
    <d v="2026-08-04T13:59:18"/>
    <s v="Heather Davis"/>
    <x v="0"/>
    <s v="heather.davis117@icloud.com"/>
    <s v="Wireless Mouse"/>
    <x v="22"/>
    <s v="Electronics"/>
    <x v="23"/>
    <n v="1"/>
    <n v="11.99"/>
    <n v="11.99"/>
    <s v="FREESHIP"/>
    <x v="5"/>
    <n v="0"/>
    <n v="0"/>
    <s v="Number"/>
    <n v="0"/>
    <n v="0"/>
    <s v="$11.99"/>
    <n v="11.99"/>
    <n v="11.99"/>
    <s v="True"/>
    <s v="Normal"/>
    <s v="Shopify Payments"/>
    <x v="0"/>
    <s v="fulfilled"/>
    <s v="Germany"/>
    <m/>
    <s v="Not Required"/>
    <s v="Arnoldberg"/>
  </r>
  <r>
    <s v="#1368"/>
    <n v="1"/>
    <d v="2026-08-04T13:59:42"/>
    <d v="2026-08-04T13:59:42"/>
    <s v="Mary Bradley"/>
    <x v="0"/>
    <s v="mary.bradley289@gmail.com"/>
    <s v="Wireless Mouse"/>
    <x v="22"/>
    <s v="Electronics"/>
    <x v="23"/>
    <n v="1"/>
    <n v="11.99"/>
    <n v="11.99"/>
    <s v="SAVE20"/>
    <x v="2"/>
    <n v="2.4"/>
    <n v="2.4"/>
    <s v="Number"/>
    <n v="5.99"/>
    <n v="5.99"/>
    <n v="15.58"/>
    <n v="15.58"/>
    <n v="15.58"/>
    <s v="True"/>
    <s v="Normal"/>
    <s v="PayPal"/>
    <x v="0"/>
    <s v="fulfilled"/>
    <s v="United Kingdom"/>
    <m/>
    <s v="Not Required"/>
    <s v="Andersonburgh"/>
  </r>
  <r>
    <s v="#1395"/>
    <n v="1"/>
    <d v="2026-08-04T14:06:25"/>
    <d v="2026-08-04T14:06:25"/>
    <s v="Andrea Martinez"/>
    <x v="0"/>
    <s v="andrea.martinez756@yahoo.com"/>
    <s v="Wireless Mouse"/>
    <x v="22"/>
    <s v="Electronics"/>
    <x v="23"/>
    <n v="2"/>
    <n v="11.99"/>
    <n v="11.99"/>
    <s v="BFCM25"/>
    <x v="3"/>
    <n v="6"/>
    <n v="6"/>
    <s v="Number"/>
    <n v="7.99"/>
    <n v="7.99"/>
    <n v="25.97"/>
    <n v="25.97"/>
    <n v="25.97"/>
    <s v="True"/>
    <s v="Normal"/>
    <s v="Credit Card"/>
    <x v="1"/>
    <s v="pending"/>
    <s v="Australia"/>
    <m/>
    <s v="Not Required"/>
    <s v="West Danielhaven"/>
  </r>
  <r>
    <s v="#1407"/>
    <n v="1"/>
    <d v="2026-08-04T13:59:42"/>
    <d v="2026-08-04T13:59:42"/>
    <s v="Elizabeth Johnston"/>
    <x v="0"/>
    <s v="elizabeth.johnston946@gmail.com"/>
    <s v="Wireless Mouse"/>
    <x v="22"/>
    <s v="Electronics"/>
    <x v="23"/>
    <n v="2"/>
    <n v="11.99"/>
    <n v="11.99"/>
    <s v="SAVE20"/>
    <x v="2"/>
    <n v="4.8"/>
    <n v="4.8"/>
    <s v="Number"/>
    <n v="5.99"/>
    <n v="5.99"/>
    <n v="25.17"/>
    <n v="25.17"/>
    <n v="25.17"/>
    <s v="True"/>
    <s v="Normal"/>
    <s v="Google Pay"/>
    <x v="3"/>
    <s v="fulfilled"/>
    <s v="United Kingdom"/>
    <m/>
    <s v="Not Required"/>
    <s v="Meganborough"/>
  </r>
  <r>
    <s v="#1448"/>
    <n v="1"/>
    <d v="2026-08-04T13:57:22"/>
    <d v="2026-08-04T13:57:22"/>
    <s v="Barbara Case"/>
    <x v="0"/>
    <s v="barbara.case365@yahoo.com"/>
    <s v="Wireless Mouse"/>
    <x v="22"/>
    <s v="Electronics"/>
    <x v="23"/>
    <n v="1"/>
    <n v="11.99"/>
    <n v="11.99"/>
    <s v="SAVE20"/>
    <x v="2"/>
    <n v="2.4"/>
    <n v="2.4"/>
    <s v="Number"/>
    <n v="5.99"/>
    <n v="5.99"/>
    <n v="779"/>
    <n v="779"/>
    <n v="15.58"/>
    <s v="False"/>
    <s v="Normal"/>
    <s v="Apple Pay"/>
    <x v="1"/>
    <s v="fulfilled"/>
    <s v="United States"/>
    <s v="IL"/>
    <s v="Valid"/>
    <s v="East Charles"/>
  </r>
  <r>
    <s v="#1599"/>
    <n v="1"/>
    <d v="2026-08-04T14:01:23"/>
    <d v="2026-08-04T14:01:23"/>
    <s v="Lauren Nguyen"/>
    <x v="0"/>
    <s v="lauren.nguyen819@outlook.com"/>
    <s v="Wireless Mouse"/>
    <x v="22"/>
    <s v="Electronics"/>
    <x v="23"/>
    <n v="2"/>
    <n v="11.99"/>
    <n v="11.99"/>
    <s v="FREESHIP"/>
    <x v="5"/>
    <n v="0"/>
    <n v="0"/>
    <s v="Number"/>
    <n v="0"/>
    <n v="0"/>
    <n v="23.98"/>
    <n v="23.98"/>
    <n v="23.98"/>
    <s v="True"/>
    <s v="Normal"/>
    <s v="PayPal"/>
    <x v="0"/>
    <s v="refunded"/>
    <s v="United Kingdom"/>
    <m/>
    <s v="Not Required"/>
    <s v="East Aprilshire"/>
  </r>
  <r>
    <s v="#1609"/>
    <n v="1"/>
    <d v="2026-08-04T14:05:24"/>
    <d v="2026-08-04T14:05:24"/>
    <s v="Taylor Davis"/>
    <x v="1"/>
    <m/>
    <s v="Wireless Mouse"/>
    <x v="22"/>
    <s v="Electronics"/>
    <x v="23"/>
    <n v="1"/>
    <n v="11.99"/>
    <n v="11.99"/>
    <m/>
    <x v="0"/>
    <n v="0"/>
    <n v="0"/>
    <s v="Number"/>
    <n v="5.99"/>
    <n v="5.99"/>
    <n v="17.98"/>
    <n v="17.98"/>
    <n v="17.98"/>
    <s v="True"/>
    <s v="Normal"/>
    <s v="PayPal"/>
    <x v="2"/>
    <s v="refunded"/>
    <s v="United States"/>
    <s v="FL"/>
    <s v="Valid"/>
    <s v="Baileyfort"/>
  </r>
  <r>
    <s v="#1625"/>
    <n v="1"/>
    <d v="2026-08-04T14:02:34"/>
    <d v="2026-08-04T14:02:34"/>
    <s v="thomas vazquez"/>
    <x v="0"/>
    <s v="thomas.vazquez673@icloud.com"/>
    <s v="Wireless Mouse"/>
    <x v="22"/>
    <s v="Electronics"/>
    <x v="23"/>
    <n v="1"/>
    <n v="11.99"/>
    <n v="11.99"/>
    <m/>
    <x v="0"/>
    <n v="0"/>
    <n v="0"/>
    <s v="Number"/>
    <n v="4.99"/>
    <n v="4.99"/>
    <n v="16.98"/>
    <n v="16.98"/>
    <n v="16.98"/>
    <s v="True"/>
    <s v="Normal"/>
    <s v="PayPal"/>
    <x v="0"/>
    <s v="fulfilled"/>
    <s v="Germany"/>
    <m/>
    <s v="Not Required"/>
    <s v="New Oliviaborough"/>
  </r>
  <r>
    <s v="#1655"/>
    <n v="1"/>
    <d v="2026-08-04T00:00:00"/>
    <s v="04-08-2026 13:58"/>
    <s v="Taylor Davis"/>
    <x v="0"/>
    <s v="taylor.davis403@outlook.com"/>
    <s v="Wireless Mouse"/>
    <x v="22"/>
    <s v="Electronics"/>
    <x v="23"/>
    <n v="2"/>
    <n v="11.99"/>
    <n v="11.99"/>
    <m/>
    <x v="0"/>
    <n v="0"/>
    <n v="0"/>
    <s v="Number"/>
    <n v="4.99"/>
    <n v="4.99"/>
    <n v="28.97"/>
    <n v="28.97"/>
    <n v="28.97"/>
    <s v="True"/>
    <s v="Normal"/>
    <s v="PayPal"/>
    <x v="0"/>
    <s v="refunded"/>
    <s v="United States"/>
    <s v="North Carolina"/>
    <s v="Valid"/>
    <s v="Lake Evan"/>
  </r>
  <r>
    <s v="#1681"/>
    <n v="1"/>
    <d v="2026-08-04T00:00:00"/>
    <s v="04-08-2026 14:06"/>
    <s v="Amanda Harris"/>
    <x v="0"/>
    <s v="amanda.harris197@gmail.com"/>
    <s v="Wireless Mouse"/>
    <x v="22"/>
    <s v="Electronics"/>
    <x v="23"/>
    <n v="1"/>
    <n v="11.99"/>
    <n v="11.99"/>
    <s v="VIP15"/>
    <x v="4"/>
    <n v="1.8"/>
    <n v="1.8"/>
    <s v="Number"/>
    <n v="5.99"/>
    <n v="5.99"/>
    <n v="16.18"/>
    <n v="16.18"/>
    <n v="16.18"/>
    <s v="True"/>
    <s v="Normal"/>
    <s v="PayPal"/>
    <x v="0"/>
    <s v="cancelled"/>
    <s v="United States"/>
    <s v="Georgia"/>
    <s v="Valid"/>
    <s v="Mirandaside"/>
  </r>
  <r>
    <s v="#1704"/>
    <n v="1"/>
    <d v="2026-08-04T00:00:00"/>
    <s v="Aug 04, 2026"/>
    <s v="Allen Diaz"/>
    <x v="0"/>
    <s v="allen.diaz546@gmail.com"/>
    <s v="Wireless Mouse"/>
    <x v="22"/>
    <s v="Electronics"/>
    <x v="23"/>
    <n v="2"/>
    <n v="11.99"/>
    <n v="11.99"/>
    <s v="SAVE20"/>
    <x v="2"/>
    <n v="4.8"/>
    <n v="4.8"/>
    <s v="Number"/>
    <n v="5.99"/>
    <n v="5.99"/>
    <n v="25.17"/>
    <n v="25.17"/>
    <n v="25.17"/>
    <s v="True"/>
    <s v="Normal"/>
    <s v="Shopify Payments"/>
    <x v="0"/>
    <s v="refunded"/>
    <s v="United States"/>
    <s v="Florida"/>
    <s v="Valid"/>
    <s v="East Sharon"/>
  </r>
  <r>
    <s v="#1716"/>
    <n v="1"/>
    <d v="2026-08-04T13:57:39"/>
    <d v="2026-08-04T13:57:39"/>
    <s v="Rita Hall"/>
    <x v="0"/>
    <s v="rita.hall18@outlook.com"/>
    <s v="Wireless Mouse"/>
    <x v="22"/>
    <s v="Electronics"/>
    <x v="23"/>
    <n v="1"/>
    <n v="11.99"/>
    <n v="11.99"/>
    <s v="SAVE20"/>
    <x v="2"/>
    <n v="2.4"/>
    <n v="2.4"/>
    <s v="Number"/>
    <n v="4.99"/>
    <n v="4.99"/>
    <n v="14.58"/>
    <n v="14.58"/>
    <n v="14.58"/>
    <s v="True"/>
    <s v="Normal"/>
    <s v="Shopify Payments"/>
    <x v="0"/>
    <s v="fulfilled"/>
    <s v="United States"/>
    <s v="North Carolina"/>
    <s v="Valid"/>
    <s v="North Markhaven"/>
  </r>
  <r>
    <s v="#1718"/>
    <n v="1"/>
    <d v="2026-08-04T14:05:21"/>
    <d v="2026-08-04T14:05:21"/>
    <s v="Stacey Gonzales"/>
    <x v="0"/>
    <s v="stacey.gonzales655@icloud.com"/>
    <s v="Wireless Mouse"/>
    <x v="22"/>
    <s v="Electronics"/>
    <x v="23"/>
    <n v="1"/>
    <n v="11.99"/>
    <n v="11.99"/>
    <m/>
    <x v="0"/>
    <n v="0"/>
    <n v="0"/>
    <s v="Number"/>
    <n v="5.99"/>
    <n v="5.99"/>
    <n v="17.98"/>
    <n v="17.98"/>
    <n v="17.98"/>
    <s v="True"/>
    <s v="Normal"/>
    <s v="PayPal"/>
    <x v="3"/>
    <s v="fulfilled"/>
    <s v="United States"/>
    <s v="North Carolina"/>
    <s v="Valid"/>
    <s v="North Jamesfort"/>
  </r>
  <r>
    <s v="#1719"/>
    <n v="1"/>
    <d v="2026-08-04T14:08:07"/>
    <d v="2026-08-04T14:08:07"/>
    <s v="GRACE RAY"/>
    <x v="0"/>
    <s v="grace.ray807@yahoo.com"/>
    <s v="Wireless Mouse"/>
    <x v="22"/>
    <s v="Electronics"/>
    <x v="23"/>
    <n v="2"/>
    <n v="11.99"/>
    <n v="11.99"/>
    <m/>
    <x v="0"/>
    <n v="0"/>
    <n v="0"/>
    <s v="Number"/>
    <n v="7.99"/>
    <n v="7.99"/>
    <n v="31.97"/>
    <n v="31.97"/>
    <n v="31.97"/>
    <s v="True"/>
    <s v="Normal"/>
    <s v="Apple Pay"/>
    <x v="3"/>
    <s v="cancelled"/>
    <s v="United Kingdom"/>
    <m/>
    <s v="Not Required"/>
    <s v="Lutzton"/>
  </r>
  <r>
    <s v="#1767"/>
    <n v="1"/>
    <d v="2026-08-04T13:55:51"/>
    <d v="2026-08-04T13:55:51"/>
    <s v="Sandra Potter"/>
    <x v="0"/>
    <s v="sandra.potter166@yahoo.com"/>
    <s v="WIRELESS MOUSE"/>
    <x v="22"/>
    <s v="Electronics"/>
    <x v="23"/>
    <n v="1"/>
    <n v="11.99"/>
    <n v="11.99"/>
    <m/>
    <x v="0"/>
    <n v="0"/>
    <n v="0"/>
    <s v="Number"/>
    <n v="5.99"/>
    <n v="5.99"/>
    <n v="17.98"/>
    <n v="17.98"/>
    <n v="17.98"/>
    <s v="True"/>
    <s v="Normal"/>
    <s v="Shopify Payments"/>
    <x v="0"/>
    <s v="fulfilled"/>
    <s v="United States"/>
    <s v="Arizona"/>
    <s v="Valid"/>
    <s v="East Robert"/>
  </r>
  <r>
    <s v="#1801"/>
    <n v="1"/>
    <d v="2026-08-04T14:04:12"/>
    <d v="2026-08-04T14:04:12"/>
    <s v="Jacqueline Richmond"/>
    <x v="0"/>
    <s v="jacqueline.richmond595@outlook.com"/>
    <s v="Wireless Mouse"/>
    <x v="22"/>
    <s v="Electronics"/>
    <x v="23"/>
    <n v="1"/>
    <n v="11.99"/>
    <n v="11.99"/>
    <m/>
    <x v="0"/>
    <n v="0"/>
    <n v="0"/>
    <s v="Number"/>
    <n v="4.99"/>
    <n v="4.99"/>
    <n v="16.98"/>
    <n v="16.98"/>
    <n v="16.98"/>
    <s v="True"/>
    <s v="Normal"/>
    <s v="Apple Pay"/>
    <x v="3"/>
    <s v="fulfilled"/>
    <s v="United States"/>
    <s v="Washington"/>
    <s v="Valid"/>
    <s v="Nicholasview"/>
  </r>
  <r>
    <s v="#1805"/>
    <n v="1"/>
    <d v="2026-08-04T13:54:50"/>
    <d v="2026-08-04T13:54:50"/>
    <s v="Joshua Vaughan"/>
    <x v="0"/>
    <s v="joshua.vaughan453@yahoo.com"/>
    <s v="Wireless Mouse"/>
    <x v="22"/>
    <s v="Electronics"/>
    <x v="23"/>
    <n v="2"/>
    <n v="11.99"/>
    <n v="11.99"/>
    <m/>
    <x v="0"/>
    <n v="0"/>
    <n v="0"/>
    <s v="Number"/>
    <n v="7.99"/>
    <n v="7.99"/>
    <s v="$31.97"/>
    <n v="31.97"/>
    <n v="31.97"/>
    <s v="True"/>
    <s v="Normal"/>
    <s v="Credit Card"/>
    <x v="2"/>
    <s v="pending"/>
    <s v="Australia"/>
    <m/>
    <s v="Not Required"/>
    <s v="New Brianfurt"/>
  </r>
  <r>
    <s v="#1819"/>
    <n v="1"/>
    <d v="2026-08-04T14:07:58"/>
    <d v="2026-08-04T14:07:58"/>
    <s v="Joseph Phillips"/>
    <x v="0"/>
    <s v="joseph.phillips672@yahoo.com"/>
    <s v="Wireless Mouse"/>
    <x v="22"/>
    <s v="Electronics"/>
    <x v="23"/>
    <n v="1"/>
    <n v="11.99"/>
    <n v="11.99"/>
    <s v="SAVE20"/>
    <x v="2"/>
    <n v="2.4"/>
    <n v="2.4"/>
    <s v="Number"/>
    <n v="4.99"/>
    <n v="4.99"/>
    <n v="14.58"/>
    <n v="14.58"/>
    <n v="14.58"/>
    <s v="True"/>
    <s v="Normal"/>
    <s v="Shopify Payments"/>
    <x v="0"/>
    <s v="fulfilled"/>
    <s v="Pakistan"/>
    <m/>
    <s v="Not Required"/>
    <s v="Diazfort"/>
  </r>
  <r>
    <s v="#1836"/>
    <n v="1"/>
    <d v="2026-08-04T14:03:31"/>
    <d v="2026-08-04T14:03:31"/>
    <s v="Sergio Turner"/>
    <x v="0"/>
    <s v="sergio.turner744@outlook.com"/>
    <s v="Wireless Mouse"/>
    <x v="22"/>
    <s v="Electronics"/>
    <x v="23"/>
    <n v="2"/>
    <n v="11.99"/>
    <n v="11.99"/>
    <m/>
    <x v="0"/>
    <n v="0"/>
    <n v="0"/>
    <s v="Number"/>
    <n v="4.99"/>
    <n v="4.99"/>
    <n v="28.97"/>
    <n v="28.97"/>
    <n v="28.97"/>
    <s v="True"/>
    <s v="Normal"/>
    <s v="Credit Card"/>
    <x v="3"/>
    <s v="fulfilled"/>
    <s v="Germany"/>
    <m/>
    <s v="Not Required"/>
    <s v="Fordburgh"/>
  </r>
  <r>
    <s v="#1855"/>
    <n v="1"/>
    <d v="2026-08-04T14:06:17"/>
    <d v="2026-08-04T14:06:17"/>
    <s v="Denise Chen"/>
    <x v="0"/>
    <s v="denise.chen782@outlook.com"/>
    <s v="Wireless Mouse"/>
    <x v="22"/>
    <s v="Electronics"/>
    <x v="23"/>
    <n v="1"/>
    <n v="11.99"/>
    <n v="11.99"/>
    <s v="FREESHIP"/>
    <x v="5"/>
    <s v="$0.00"/>
    <n v="0"/>
    <s v="Number"/>
    <n v="0"/>
    <n v="0"/>
    <n v="11.99"/>
    <n v="11.99"/>
    <n v="11.99"/>
    <s v="True"/>
    <s v="Normal"/>
    <s v="Google Pay"/>
    <x v="2"/>
    <s v="fulfilled"/>
    <s v="Australia"/>
    <m/>
    <s v="Not Required"/>
    <s v="Jamesfort"/>
  </r>
  <r>
    <s v="#1872"/>
    <n v="1"/>
    <d v="2026-08-04T13:54:25"/>
    <d v="2026-08-04T13:54:25"/>
    <s v="Melissa James"/>
    <x v="0"/>
    <s v="melissa.james674@outlook.com"/>
    <s v="Wireless Mouse"/>
    <x v="22"/>
    <s v="Electronics"/>
    <x v="23"/>
    <n v="2"/>
    <n v="11.99"/>
    <n v="11.99"/>
    <m/>
    <x v="0"/>
    <n v="0"/>
    <n v="0"/>
    <s v="Number"/>
    <n v="5.99"/>
    <n v="5.99"/>
    <n v="29.97"/>
    <n v="29.97"/>
    <n v="29.97"/>
    <s v="True"/>
    <s v="Normal"/>
    <s v="PayPal"/>
    <x v="2"/>
    <s v="cancelled"/>
    <s v="United States"/>
    <s v="Texas"/>
    <s v="Valid"/>
    <s v="Lake Kennethport"/>
  </r>
  <r>
    <s v="#1873"/>
    <n v="1"/>
    <d v="2026-08-04T14:01:54"/>
    <d v="2026-08-04T14:01:54"/>
    <s v="Thomas Rojas"/>
    <x v="0"/>
    <s v="thomas.rojas667@icloud.com"/>
    <s v="Wireless Mouse"/>
    <x v="22"/>
    <s v="Electronics"/>
    <x v="23"/>
    <n v="1"/>
    <n v="11.99"/>
    <n v="11.99"/>
    <m/>
    <x v="0"/>
    <n v="0"/>
    <n v="0"/>
    <s v="Number"/>
    <n v="7.99"/>
    <n v="7.99"/>
    <n v="19.98"/>
    <n v="19.98"/>
    <n v="19.98"/>
    <s v="True"/>
    <s v="Normal"/>
    <s v="Apple Pay"/>
    <x v="0"/>
    <s v="fulfilled"/>
    <s v="United States"/>
    <s v="Georgia"/>
    <s v="Valid"/>
    <s v="Johnsonton"/>
  </r>
  <r>
    <s v="#1882"/>
    <n v="1"/>
    <d v="2026-08-04T14:05:03"/>
    <d v="2026-08-04T14:05:03"/>
    <s v="Joshua Thompson"/>
    <x v="0"/>
    <s v="joshua.thompson522@outlook.com"/>
    <s v="Wireless Mouse"/>
    <x v="22"/>
    <s v="Electronics"/>
    <x v="23"/>
    <n v="1"/>
    <n v="11.99"/>
    <n v="11.99"/>
    <m/>
    <x v="0"/>
    <n v="0"/>
    <n v="0"/>
    <s v="Number"/>
    <n v="5.99"/>
    <n v="5.99"/>
    <n v="17.98"/>
    <n v="17.98"/>
    <n v="17.98"/>
    <s v="True"/>
    <s v="Normal"/>
    <s v="Shopify Payments"/>
    <x v="2"/>
    <s v="fulfilled"/>
    <s v="Pakistan"/>
    <m/>
    <s v="Not Required"/>
    <s v="North Travis"/>
  </r>
  <r>
    <s v="#1909"/>
    <n v="1"/>
    <d v="2026-08-04T14:03:29"/>
    <d v="2026-08-04T14:03:29"/>
    <s v="Suzanne Robertson"/>
    <x v="0"/>
    <s v="suzanne.robertson435@gmail.com"/>
    <s v="Wireless Mouse"/>
    <x v="22"/>
    <s v="Electronics"/>
    <x v="23"/>
    <n v="2"/>
    <n v="11.99"/>
    <n v="11.99"/>
    <s v="BFCM25"/>
    <x v="3"/>
    <n v="6"/>
    <n v="6"/>
    <s v="Number"/>
    <n v="7.99"/>
    <n v="7.99"/>
    <n v="25.97"/>
    <n v="25.97"/>
    <n v="25.97"/>
    <s v="True"/>
    <s v="Normal"/>
    <s v="Credit Card"/>
    <x v="0"/>
    <s v="fulfilled"/>
    <s v="Australia"/>
    <m/>
    <s v="Not Required"/>
    <s v="South Monica"/>
  </r>
  <r>
    <s v="#1935"/>
    <n v="1"/>
    <d v="2026-08-04T13:58:55"/>
    <d v="2026-08-04T13:58:55"/>
    <s v="John Dunlap"/>
    <x v="0"/>
    <s v="john.dunlap479@outlook.com"/>
    <s v="Wireless Mouse"/>
    <x v="22"/>
    <s v="Electronics"/>
    <x v="23"/>
    <n v="3"/>
    <n v="11.99"/>
    <n v="11.99"/>
    <m/>
    <x v="0"/>
    <n v="0"/>
    <n v="0"/>
    <s v="Number"/>
    <n v="5.99"/>
    <n v="5.99"/>
    <n v="41.96"/>
    <n v="41.96"/>
    <n v="41.96"/>
    <s v="True"/>
    <s v="Normal"/>
    <s v="Apple Pay"/>
    <x v="0"/>
    <s v="fulfilled"/>
    <s v="Australia"/>
    <m/>
    <s v="Not Required"/>
    <s v="Lake Sean"/>
  </r>
  <r>
    <s v="#1941"/>
    <n v="1"/>
    <d v="2026-08-04T14:00:49"/>
    <d v="2026-08-04T14:00:49"/>
    <s v="Timothy Sanchez"/>
    <x v="0"/>
    <s v="timothy.sanchez728@gmail.com"/>
    <s v="Wireless Mouse"/>
    <x v="22"/>
    <s v="Electronics"/>
    <x v="23"/>
    <n v="2"/>
    <n v="11.99"/>
    <n v="11.99"/>
    <s v="VIP15"/>
    <x v="4"/>
    <n v="3.6"/>
    <n v="3.6"/>
    <s v="Number"/>
    <n v="7.99"/>
    <n v="7.99"/>
    <n v="28.37"/>
    <n v="28.37"/>
    <n v="28.369999999999997"/>
    <s v="True"/>
    <s v="Normal"/>
    <s v="Google Pay"/>
    <x v="3"/>
    <s v="fulfilled"/>
    <s v="United States"/>
    <s v="Florida"/>
    <s v="Valid"/>
    <s v="West Corystad"/>
  </r>
  <r>
    <s v="#1942"/>
    <n v="1"/>
    <d v="2026-08-04T14:05:10"/>
    <d v="2026-08-04T14:05:10"/>
    <s v="Jamie Brown"/>
    <x v="0"/>
    <s v="jamie.brown582@icloud.com"/>
    <s v="Wireless Mouse"/>
    <x v="22"/>
    <s v="Electronics"/>
    <x v="23"/>
    <n v="1"/>
    <n v="11.99"/>
    <n v="11.99"/>
    <m/>
    <x v="0"/>
    <n v="0"/>
    <n v="0"/>
    <s v="Number"/>
    <n v="5.99"/>
    <n v="5.99"/>
    <n v="17.98"/>
    <n v="17.98"/>
    <n v="17.98"/>
    <s v="True"/>
    <s v="Normal"/>
    <s v="Credit Card"/>
    <x v="1"/>
    <s v="fulfilled"/>
    <s v="United States"/>
    <s v="Illinois"/>
    <s v="Valid"/>
    <s v="Port Lorishire"/>
  </r>
  <r>
    <s v="#1948"/>
    <n v="1"/>
    <d v="2026-08-04T13:57:22"/>
    <d v="2026-08-04T13:57:22"/>
    <s v="Peter Alvarez"/>
    <x v="0"/>
    <s v="peter.alvarez465@yahoo.com"/>
    <s v="Wireless Mouse"/>
    <x v="22"/>
    <s v="Electronics"/>
    <x v="23"/>
    <n v="1"/>
    <n v="11.99"/>
    <n v="11.99"/>
    <s v="VIP15"/>
    <x v="4"/>
    <n v="1.8"/>
    <n v="1.8"/>
    <s v="Number"/>
    <n v="5.99"/>
    <n v="5.99"/>
    <n v="16.18"/>
    <n v="16.18"/>
    <n v="16.18"/>
    <s v="True"/>
    <s v="Normal"/>
    <s v="PayPal"/>
    <x v="0"/>
    <s v="fulfilled"/>
    <s v="United States"/>
    <s v="Illinois"/>
    <s v="Valid"/>
    <s v="New Jeffreystad"/>
  </r>
  <r>
    <s v="#1950"/>
    <n v="1"/>
    <d v="2026-08-04T13:56:02"/>
    <d v="2026-08-04T13:56:02"/>
    <s v="Seth Price"/>
    <x v="0"/>
    <s v="seth.price179@gmail.com"/>
    <s v="Wireless Mouse"/>
    <x v="22"/>
    <s v="Electronics"/>
    <x v="23"/>
    <n v="1"/>
    <n v="11.99"/>
    <n v="11.99"/>
    <m/>
    <x v="0"/>
    <n v="0"/>
    <n v="0"/>
    <s v="Number"/>
    <n v="4.99"/>
    <n v="4.99"/>
    <n v="16.98"/>
    <n v="16.98"/>
    <n v="16.98"/>
    <s v="True"/>
    <s v="Normal"/>
    <s v="Apple Pay"/>
    <x v="3"/>
    <s v="pending"/>
    <s v="United States"/>
    <s v="Florida"/>
    <s v="Valid"/>
    <s v="Lake Brianbury"/>
  </r>
  <r>
    <s v="#1952"/>
    <n v="1"/>
    <d v="2026-08-04T14:03:45"/>
    <d v="2026-08-04T14:03:45"/>
    <s v="DEBBIE JOSEPH"/>
    <x v="0"/>
    <s v="debbie.joseph531@outlook.com"/>
    <s v="Wireless Mouse"/>
    <x v="22"/>
    <s v="Electronics"/>
    <x v="23"/>
    <n v="1"/>
    <n v="11.99"/>
    <n v="11.99"/>
    <s v="WELCOME10"/>
    <x v="1"/>
    <n v="1.2"/>
    <n v="1.2"/>
    <s v="Number"/>
    <n v="7.99"/>
    <n v="7.99"/>
    <n v="18.78"/>
    <n v="18.78"/>
    <n v="18.78"/>
    <s v="True"/>
    <s v="Normal"/>
    <s v="Credit Card"/>
    <x v="0"/>
    <s v="fulfilled"/>
    <s v="United States"/>
    <s v="Illinois"/>
    <s v="Valid"/>
    <s v="Riosside"/>
  </r>
  <r>
    <s v="#1990"/>
    <n v="1"/>
    <d v="2026-08-04T13:58:57"/>
    <d v="2026-08-04T13:58:57"/>
    <s v="Mary Garcia"/>
    <x v="0"/>
    <s v="mary.garcia899@icloud.com"/>
    <s v="Wireless Mouse"/>
    <x v="22"/>
    <s v="Electronics"/>
    <x v="23"/>
    <n v="1"/>
    <s v="$11.99"/>
    <n v="11.99"/>
    <m/>
    <x v="0"/>
    <n v="0"/>
    <n v="0"/>
    <s v="Number"/>
    <n v="7.99"/>
    <n v="7.99"/>
    <n v="19.98"/>
    <n v="19.98"/>
    <n v="19.98"/>
    <s v="True"/>
    <s v="Normal"/>
    <s v="Apple Pay"/>
    <x v="0"/>
    <s v="cancelled"/>
    <s v="Canada"/>
    <m/>
    <s v="Not Required"/>
    <s v="Shaffermouth"/>
  </r>
  <r>
    <s v="#1992"/>
    <n v="1"/>
    <d v="2026-08-04T00:00:00"/>
    <s v="2026-08-04"/>
    <s v="Megan Holmes"/>
    <x v="0"/>
    <s v="megan.holmes105@yahoo.com"/>
    <s v="Wireless Mouse"/>
    <x v="22"/>
    <s v="Electronics"/>
    <x v="23"/>
    <n v="2"/>
    <n v="11.99"/>
    <n v="11.99"/>
    <s v="WELCOME10"/>
    <x v="1"/>
    <n v="2.4"/>
    <n v="2.4"/>
    <s v="Number"/>
    <n v="5.99"/>
    <n v="5.99"/>
    <n v="27.57"/>
    <n v="27.57"/>
    <n v="27.57"/>
    <s v="True"/>
    <s v="Normal"/>
    <s v="Shopify Payments"/>
    <x v="0"/>
    <s v="fulfilled"/>
    <s v="United States"/>
    <s v="North Carolina"/>
    <s v="Valid"/>
    <s v="Lake Brandon"/>
  </r>
  <r>
    <s v="#1995"/>
    <n v="1"/>
    <d v="2026-08-04T14:03:56"/>
    <d v="2026-08-04T14:03:56"/>
    <s v="Lisa Flowers"/>
    <x v="0"/>
    <s v="lisa.flowers14@icloud.com"/>
    <s v="Wireless Mouse"/>
    <x v="22"/>
    <s v="Electronics"/>
    <x v="23"/>
    <n v="2"/>
    <n v="11.99"/>
    <n v="11.99"/>
    <s v="WELCOME10"/>
    <x v="1"/>
    <n v="2.4"/>
    <n v="2.4"/>
    <s v="Number"/>
    <n v="5.99"/>
    <n v="5.99"/>
    <n v="27.57"/>
    <n v="27.57"/>
    <n v="27.57"/>
    <s v="True"/>
    <s v="Normal"/>
    <s v="Credit Card"/>
    <x v="2"/>
    <s v="fulfilled"/>
    <s v="Germany"/>
    <m/>
    <s v="Not Required"/>
    <s v="Bryantview"/>
  </r>
  <r>
    <s v="#2011"/>
    <n v="1"/>
    <d v="2026-08-04T13:56:26"/>
    <d v="2026-08-04T13:56:26"/>
    <s v="Angela Carr"/>
    <x v="0"/>
    <s v="angela.carr488@yahoo.com"/>
    <s v="Wireless Mouse"/>
    <x v="22"/>
    <s v="Electronics"/>
    <x v="23"/>
    <n v="1"/>
    <n v="11.99"/>
    <n v="11.99"/>
    <s v="WELCOME10"/>
    <x v="1"/>
    <n v="1.2"/>
    <n v="1.2"/>
    <s v="Number"/>
    <n v="5.99"/>
    <n v="5.99"/>
    <n v="16.78"/>
    <n v="16.78"/>
    <n v="16.78"/>
    <s v="True"/>
    <s v="Normal"/>
    <s v="Google Pay"/>
    <x v="0"/>
    <s v="refunded"/>
    <s v="United States"/>
    <s v="Texas"/>
    <s v="Valid"/>
    <s v="North Kimberly"/>
  </r>
  <r>
    <s v="#2016"/>
    <n v="1"/>
    <d v="2026-04-08T00:00:00"/>
    <s v="08/04/2026"/>
    <s v="Arthur Kelley"/>
    <x v="0"/>
    <s v="arthur.kelley558@gmail.com"/>
    <s v="Wireless Mouse"/>
    <x v="22"/>
    <s v="Electronics"/>
    <x v="23"/>
    <n v="2"/>
    <n v="11.99"/>
    <n v="11.99"/>
    <s v="WELCOME10"/>
    <x v="1"/>
    <n v="2.4"/>
    <n v="2.4"/>
    <s v="Number"/>
    <n v="5.99"/>
    <n v="5.99"/>
    <n v="27.57"/>
    <n v="27.57"/>
    <n v="27.57"/>
    <s v="True"/>
    <s v="Normal"/>
    <s v="Apple Pay"/>
    <x v="2"/>
    <s v="fulfilled"/>
    <s v="Australia"/>
    <m/>
    <s v="Not Required"/>
    <s v="Port Ryanmouth"/>
  </r>
  <r>
    <s v="#2051"/>
    <n v="1"/>
    <d v="2026-08-04T13:58:34"/>
    <d v="2026-08-04T13:58:34"/>
    <s v="Michelle Owens"/>
    <x v="0"/>
    <s v="michelle.owens269@yahoo.com"/>
    <s v="Wireless Mouse"/>
    <x v="22"/>
    <s v="Electronics"/>
    <x v="23"/>
    <n v="1"/>
    <s v="$11.99"/>
    <n v="11.99"/>
    <m/>
    <x v="0"/>
    <n v="0"/>
    <n v="0"/>
    <s v="Number"/>
    <n v="5.99"/>
    <n v="5.99"/>
    <n v="17.98"/>
    <n v="17.98"/>
    <n v="17.98"/>
    <s v="True"/>
    <s v="Normal"/>
    <s v="Google Pay"/>
    <x v="3"/>
    <s v="fulfilled"/>
    <s v="United States"/>
    <s v="California"/>
    <s v="Valid"/>
    <s v="West Melissachester"/>
  </r>
  <r>
    <s v="#2075"/>
    <n v="1"/>
    <d v="2026-08-04T14:04:45"/>
    <d v="2026-08-04T14:04:45"/>
    <s v="Tracy Adams"/>
    <x v="0"/>
    <s v="tracy.adams712@icloud.com"/>
    <s v="Wireless Mouse"/>
    <x v="22"/>
    <s v="Electronics"/>
    <x v="23"/>
    <n v="1"/>
    <n v="11.99"/>
    <n v="11.99"/>
    <m/>
    <x v="0"/>
    <n v="0"/>
    <n v="0"/>
    <s v="Number"/>
    <n v="5.99"/>
    <n v="5.99"/>
    <n v="17.98"/>
    <n v="17.98"/>
    <n v="17.98"/>
    <s v="True"/>
    <s v="Normal"/>
    <s v="Shopify Payments"/>
    <x v="0"/>
    <s v="fulfilled"/>
    <s v="United States"/>
    <s v="Arizona"/>
    <s v="Valid"/>
    <s v="North Theresaport"/>
  </r>
  <r>
    <s v="#2101"/>
    <n v="1"/>
    <d v="2026-08-04T13:55:44"/>
    <d v="2026-08-04T13:55:44"/>
    <s v="Catherine Mcgee"/>
    <x v="0"/>
    <s v="catherine.mcgee63@icloud.com"/>
    <s v="Wireless Mouse"/>
    <x v="22"/>
    <s v="Electronics"/>
    <x v="23"/>
    <n v="1"/>
    <n v="11.99"/>
    <n v="11.99"/>
    <s v="FREESHIP"/>
    <x v="5"/>
    <n v="0"/>
    <n v="0"/>
    <s v="Number"/>
    <n v="0"/>
    <n v="0"/>
    <n v="11.99"/>
    <n v="11.99"/>
    <n v="11.99"/>
    <s v="True"/>
    <s v="Normal"/>
    <s v="Google Pay"/>
    <x v="3"/>
    <s v="refunded"/>
    <s v="Australia"/>
    <m/>
    <s v="Not Required"/>
    <s v="Port Jeremyland"/>
  </r>
  <r>
    <s v="#2120"/>
    <n v="1"/>
    <d v="2026-04-08T00:00:00"/>
    <s v="08/04/2026"/>
    <s v="Christopher Martin"/>
    <x v="0"/>
    <s v="christopher.martin10@gmail.com"/>
    <s v="Wireless Mouse"/>
    <x v="22"/>
    <s v="Electronics"/>
    <x v="23"/>
    <n v="1"/>
    <s v="$11.99"/>
    <n v="11.99"/>
    <s v="FREESHIP"/>
    <x v="5"/>
    <n v="0"/>
    <n v="0"/>
    <s v="Number"/>
    <n v="0"/>
    <n v="0"/>
    <n v="11.99"/>
    <n v="11.99"/>
    <n v="11.99"/>
    <s v="True"/>
    <s v="Normal"/>
    <s v="Apple Pay"/>
    <x v="0"/>
    <s v="refunded"/>
    <s v="United States"/>
    <s v="Florida"/>
    <s v="Valid"/>
    <s v="Mitchellshire"/>
  </r>
  <r>
    <s v="#2121"/>
    <n v="1"/>
    <d v="2026-08-04T13:59:52"/>
    <d v="2026-08-04T13:59:52"/>
    <s v="Jasmine Parker"/>
    <x v="0"/>
    <s v="jasmine.parker47@icloud.com"/>
    <s v="Wireless Mouse"/>
    <x v="22"/>
    <s v="Electronics"/>
    <x v="23"/>
    <n v="1"/>
    <n v="11.99"/>
    <n v="11.99"/>
    <s v="VIP15"/>
    <x v="4"/>
    <n v="1.8"/>
    <n v="1.8"/>
    <s v="Number"/>
    <n v="7.99"/>
    <n v="7.99"/>
    <n v="18.18"/>
    <n v="18.18"/>
    <n v="18.18"/>
    <s v="True"/>
    <s v="Normal"/>
    <s v="Shopify Payments"/>
    <x v="0"/>
    <s v="cancelled"/>
    <s v="Pakistan"/>
    <m/>
    <s v="Not Required"/>
    <s v="Mcculloughfurt"/>
  </r>
  <r>
    <s v="#2129"/>
    <n v="1"/>
    <d v="2026-08-04T14:03:46"/>
    <d v="2026-08-04T14:03:46"/>
    <s v="Sarah Williams"/>
    <x v="0"/>
    <s v="sarah.williams329@icloud.com"/>
    <s v="Wireless Mouse"/>
    <x v="22"/>
    <s v="Electronics"/>
    <x v="23"/>
    <n v="1"/>
    <n v="11.99"/>
    <n v="11.99"/>
    <s v="SAVE20"/>
    <x v="2"/>
    <n v="2.4"/>
    <n v="2.4"/>
    <s v="Number"/>
    <n v="5.99"/>
    <n v="5.99"/>
    <n v="15.58"/>
    <n v="15.58"/>
    <n v="15.58"/>
    <s v="True"/>
    <s v="Normal"/>
    <s v="Google Pay"/>
    <x v="0"/>
    <s v="fulfilled"/>
    <s v="Canada"/>
    <m/>
    <s v="Not Required"/>
    <s v="East Regina"/>
  </r>
  <r>
    <s v="#2167"/>
    <n v="1"/>
    <d v="2026-08-04T13:58:27"/>
    <d v="2026-08-04T13:58:27"/>
    <s v="Donald Davis"/>
    <x v="0"/>
    <s v="donald.davis404@icloud.com"/>
    <s v="Wireless Mouse"/>
    <x v="22"/>
    <s v="Electronics"/>
    <x v="23"/>
    <n v="1"/>
    <n v="11.99"/>
    <n v="11.99"/>
    <m/>
    <x v="0"/>
    <n v="0"/>
    <n v="0"/>
    <s v="Number"/>
    <n v="5.99"/>
    <n v="5.99"/>
    <n v="17.98"/>
    <n v="17.98"/>
    <n v="17.98"/>
    <s v="True"/>
    <s v="Normal"/>
    <s v="PayPal"/>
    <x v="0"/>
    <s v="cancelled"/>
    <s v="Canada"/>
    <m/>
    <s v="Not Required"/>
    <s v="Salasfurt"/>
  </r>
  <r>
    <s v="#2210"/>
    <n v="1"/>
    <d v="2026-08-04T14:00:19"/>
    <d v="2026-08-04T14:00:19"/>
    <s v="Bryan Smith"/>
    <x v="0"/>
    <s v="bryan.smith876@yahoo.com"/>
    <s v="Wireless Mouse"/>
    <x v="22"/>
    <s v="Electronics"/>
    <x v="23"/>
    <n v="2"/>
    <s v="$11.99"/>
    <n v="11.99"/>
    <m/>
    <x v="0"/>
    <n v="0"/>
    <n v="0"/>
    <s v="Number"/>
    <n v="5.99"/>
    <n v="5.99"/>
    <n v="29.97"/>
    <n v="29.97"/>
    <n v="29.97"/>
    <s v="True"/>
    <s v="Normal"/>
    <s v="Shopify Payments"/>
    <x v="0"/>
    <s v="fulfilled"/>
    <s v="United States"/>
    <s v="Texas"/>
    <s v="Valid"/>
    <s v="Port Thomasville"/>
  </r>
  <r>
    <s v="#2214"/>
    <n v="1"/>
    <d v="2026-08-04T13:57:25"/>
    <d v="2026-08-04T13:57:25"/>
    <s v="Kimberly Williams"/>
    <x v="0"/>
    <s v="kimberly.williams555@outlook.com"/>
    <s v="Wireless Mouse"/>
    <x v="22"/>
    <s v="Electronics"/>
    <x v="23"/>
    <n v="2"/>
    <n v="11.99"/>
    <n v="11.99"/>
    <m/>
    <x v="0"/>
    <n v="0"/>
    <n v="0"/>
    <s v="Number"/>
    <n v="7.99"/>
    <n v="7.99"/>
    <n v="31.97"/>
    <n v="31.97"/>
    <n v="31.97"/>
    <s v="True"/>
    <s v="Normal"/>
    <s v="PayPal"/>
    <x v="0"/>
    <s v="fulfilled"/>
    <s v="United Kingdom"/>
    <m/>
    <s v="Not Required"/>
    <s v="New Erin"/>
  </r>
  <r>
    <s v="#2216"/>
    <n v="1"/>
    <d v="2026-04-08T00:00:00"/>
    <s v="08/04/2026"/>
    <s v="Kenneth Coleman"/>
    <x v="0"/>
    <s v="kenneth.coleman447@icloud.com"/>
    <s v="Wireless Mouse"/>
    <x v="22"/>
    <s v="Electronics"/>
    <x v="23"/>
    <n v="2"/>
    <n v="11.99"/>
    <n v="11.99"/>
    <m/>
    <x v="0"/>
    <n v="0"/>
    <n v="0"/>
    <s v="Number"/>
    <n v="7.99"/>
    <n v="7.99"/>
    <n v="31.97"/>
    <n v="31.97"/>
    <n v="31.97"/>
    <s v="True"/>
    <s v="Normal"/>
    <s v="Shopify Payments"/>
    <x v="3"/>
    <s v="cancelled"/>
    <s v="United States"/>
    <s v="North Carolina"/>
    <s v="Valid"/>
    <s v="Laurenchester"/>
  </r>
  <r>
    <s v="#2285"/>
    <n v="1"/>
    <d v="2026-08-04T14:05:56"/>
    <d v="2026-08-04T14:05:56"/>
    <s v="Amanda Robinson"/>
    <x v="0"/>
    <s v="amanda.robinson263@icloud.com"/>
    <s v="Wireless Mouse"/>
    <x v="22"/>
    <s v="Electronics"/>
    <x v="23"/>
    <n v="1"/>
    <n v="11.99"/>
    <n v="11.99"/>
    <s v="SAVE20"/>
    <x v="2"/>
    <s v="$2.40"/>
    <n v="2.4"/>
    <s v="Number"/>
    <n v="7.99"/>
    <n v="7.99"/>
    <n v="17.579999999999998"/>
    <n v="17.579999999999998"/>
    <n v="17.579999999999998"/>
    <s v="True"/>
    <s v="Normal"/>
    <s v="Apple Pay"/>
    <x v="0"/>
    <s v="fulfilled"/>
    <s v="United States"/>
    <s v="New York"/>
    <s v="Valid"/>
    <s v="Hodgechester"/>
  </r>
  <r>
    <s v="#2409"/>
    <n v="1"/>
    <d v="2026-08-04T14:04:34"/>
    <d v="2026-08-04T14:04:34"/>
    <s v="  Charles Franco"/>
    <x v="0"/>
    <s v="charles.franco761@outlook.com"/>
    <s v="Wireless Mouse"/>
    <x v="22"/>
    <s v="Electronics"/>
    <x v="23"/>
    <n v="1"/>
    <n v="11.99"/>
    <n v="11.99"/>
    <s v="VIP15"/>
    <x v="4"/>
    <n v="1.8"/>
    <n v="1.8"/>
    <s v="Number"/>
    <n v="5.99"/>
    <n v="5.99"/>
    <n v="16.18"/>
    <n v="16.18"/>
    <n v="16.18"/>
    <s v="True"/>
    <s v="Normal"/>
    <s v="PayPal"/>
    <x v="2"/>
    <s v="fulfilled"/>
    <s v="United States"/>
    <s v="New York"/>
    <s v="Valid"/>
    <s v="East James"/>
  </r>
  <r>
    <s v="#2417"/>
    <n v="1"/>
    <d v="2026-08-04T14:02:42"/>
    <d v="2026-08-04T14:02:42"/>
    <s v="Timothy Becker"/>
    <x v="0"/>
    <s v="timothy.becker88@yahoo.com"/>
    <s v="Wireless Mouse"/>
    <x v="22"/>
    <s v="Electronics"/>
    <x v="23"/>
    <n v="3"/>
    <n v="11.99"/>
    <n v="11.99"/>
    <m/>
    <x v="0"/>
    <n v="0"/>
    <n v="0"/>
    <s v="Number"/>
    <n v="5.99"/>
    <n v="5.99"/>
    <n v="41.96"/>
    <n v="41.96"/>
    <n v="41.96"/>
    <s v="True"/>
    <s v="Normal"/>
    <s v="Credit Card"/>
    <x v="3"/>
    <s v="fulfilled"/>
    <s v="United States"/>
    <s v="Texas"/>
    <s v="Valid"/>
    <s v="Jeremyfort"/>
  </r>
  <r>
    <s v="#2438"/>
    <n v="1"/>
    <d v="2026-08-04T00:00:00"/>
    <s v="Aug 04, 2026"/>
    <m/>
    <x v="0"/>
    <s v="jesus.mason798@icloud.com"/>
    <s v="Wireless Mouse"/>
    <x v="22"/>
    <s v="Electronics"/>
    <x v="23"/>
    <n v="1"/>
    <n v="11.99"/>
    <n v="11.99"/>
    <m/>
    <x v="0"/>
    <n v="0"/>
    <n v="0"/>
    <s v="Number"/>
    <n v="7.99"/>
    <n v="7.99"/>
    <n v="19.98"/>
    <n v="19.98"/>
    <n v="19.98"/>
    <s v="True"/>
    <s v="Normal"/>
    <s v="Shopify Payments"/>
    <x v="2"/>
    <s v="pending"/>
    <s v="United States"/>
    <s v="Georgia"/>
    <s v="Valid"/>
    <s v="North Ashley"/>
  </r>
  <r>
    <s v="#2439"/>
    <n v="1"/>
    <d v="2026-08-04T14:08:09"/>
    <d v="2026-08-04T14:08:09"/>
    <s v="Russell Walton"/>
    <x v="1"/>
    <m/>
    <s v="Wireless Mouse"/>
    <x v="22"/>
    <s v="Electronics"/>
    <x v="23"/>
    <n v="2"/>
    <n v="11.99"/>
    <n v="11.99"/>
    <m/>
    <x v="0"/>
    <n v="0"/>
    <n v="0"/>
    <s v="Number"/>
    <n v="5.99"/>
    <n v="5.99"/>
    <n v="29.97"/>
    <n v="29.97"/>
    <n v="29.97"/>
    <s v="True"/>
    <s v="Normal"/>
    <s v="Shopify Payments"/>
    <x v="2"/>
    <s v="fulfilled"/>
    <s v="United States"/>
    <s v="North Carolina"/>
    <s v="Valid"/>
    <s v="Lake Lisa"/>
  </r>
  <r>
    <s v="#2471"/>
    <n v="1"/>
    <d v="2026-08-04T13:58:05"/>
    <d v="2026-08-04T13:58:05"/>
    <s v="John Hoffman"/>
    <x v="1"/>
    <m/>
    <s v="Wireless Mouse"/>
    <x v="22"/>
    <s v="Electronics"/>
    <x v="23"/>
    <n v="1"/>
    <n v="11.99"/>
    <n v="11.99"/>
    <m/>
    <x v="0"/>
    <n v="0"/>
    <n v="0"/>
    <s v="Number"/>
    <n v="7.99"/>
    <n v="7.99"/>
    <n v="19.98"/>
    <n v="19.98"/>
    <n v="19.98"/>
    <s v="True"/>
    <s v="Normal"/>
    <s v="Apple Pay"/>
    <x v="0"/>
    <s v="fulfilled"/>
    <s v="United States"/>
    <s v="Arizona"/>
    <s v="Valid"/>
    <s v="Michelleborough"/>
  </r>
  <r>
    <s v="#2527"/>
    <n v="1"/>
    <d v="2026-04-08T00:00:00"/>
    <s v="08/04/2026"/>
    <s v="Samuel Snyder"/>
    <x v="0"/>
    <s v="samuel.snyder328@icloud.com"/>
    <s v="Wireless Mouse"/>
    <x v="22"/>
    <s v="Electronics"/>
    <x v="23"/>
    <n v="2"/>
    <n v="11.99"/>
    <n v="11.99"/>
    <s v="FREESHIP"/>
    <x v="5"/>
    <n v="0"/>
    <n v="0"/>
    <s v="Number"/>
    <n v="0"/>
    <n v="0"/>
    <n v="23.98"/>
    <n v="23.98"/>
    <n v="23.98"/>
    <s v="True"/>
    <s v="Normal"/>
    <s v="Apple Pay"/>
    <x v="2"/>
    <s v="fulfilled"/>
    <s v="United Kingdom"/>
    <m/>
    <s v="Not Required"/>
    <s v="Myersburgh"/>
  </r>
  <r>
    <s v="#2554"/>
    <n v="1"/>
    <d v="2026-08-04T14:07:01"/>
    <d v="2026-08-04T14:07:01"/>
    <s v="Rita Hall"/>
    <x v="0"/>
    <s v="rita.hall18@outlook.com"/>
    <s v="Wireless Mouse"/>
    <x v="22"/>
    <s v="Electronics"/>
    <x v="23"/>
    <n v="1"/>
    <n v="11.99"/>
    <n v="11.99"/>
    <s v="WELCOME10"/>
    <x v="1"/>
    <n v="1.2"/>
    <n v="1.2"/>
    <s v="Number"/>
    <n v="5.99"/>
    <n v="5.99"/>
    <n v="16.78"/>
    <n v="16.78"/>
    <n v="16.78"/>
    <s v="True"/>
    <s v="Normal"/>
    <s v="Credit Card"/>
    <x v="1"/>
    <s v="pending"/>
    <s v="United States"/>
    <s v="Florida"/>
    <s v="Valid"/>
    <s v="Port Davidmouth"/>
  </r>
  <r>
    <s v="#2622"/>
    <n v="1"/>
    <d v="2026-08-04T14:00:06"/>
    <d v="2026-08-04T14:00:06"/>
    <s v="Anthony Mullen"/>
    <x v="0"/>
    <s v="anthony.mullen523@yahoo.com"/>
    <s v="Wireless Mouse"/>
    <x v="22"/>
    <s v="Electronics"/>
    <x v="23"/>
    <n v="2"/>
    <n v="11.99"/>
    <n v="11.99"/>
    <s v="SAVE20"/>
    <x v="2"/>
    <n v="4.8"/>
    <n v="4.8"/>
    <s v="Number"/>
    <n v="5.99"/>
    <n v="5.99"/>
    <n v="25.17"/>
    <n v="25.17"/>
    <n v="25.17"/>
    <s v="True"/>
    <s v="Normal"/>
    <s v="Apple Pay"/>
    <x v="0"/>
    <s v="fulfilled"/>
    <s v="United States"/>
    <s v="Florida"/>
    <s v="Valid"/>
    <s v="Lake Nancyberg"/>
  </r>
  <r>
    <s v="#2632"/>
    <n v="1"/>
    <d v="2026-08-04T14:03:11"/>
    <d v="2026-08-04T14:03:11"/>
    <s v="Mary Phillips"/>
    <x v="0"/>
    <s v="mary.phillips944@yahoo.com"/>
    <s v="Wireless Mouse"/>
    <x v="22"/>
    <s v="Electronics"/>
    <x v="23"/>
    <n v="1"/>
    <n v="11.99"/>
    <n v="11.99"/>
    <s v="SAVE20"/>
    <x v="2"/>
    <n v="2.4"/>
    <n v="2.4"/>
    <s v="Number"/>
    <n v="4.99"/>
    <n v="4.99"/>
    <n v="14.58"/>
    <n v="14.58"/>
    <n v="14.58"/>
    <s v="True"/>
    <s v="Normal"/>
    <s v="Apple Pay"/>
    <x v="0"/>
    <s v="fulfilled"/>
    <s v="United States"/>
    <s v="FL"/>
    <s v="Valid"/>
    <s v="New Melinda"/>
  </r>
  <r>
    <s v="#2648"/>
    <n v="1"/>
    <d v="2026-08-04T13:53:34"/>
    <d v="2026-08-04T13:53:34"/>
    <s v="Jesse Hammond"/>
    <x v="0"/>
    <s v="jesse.hammond987@gmail.com"/>
    <s v="Wireless Mouse"/>
    <x v="22"/>
    <s v="Electronics"/>
    <x v="23"/>
    <n v="1"/>
    <n v="11.99"/>
    <n v="11.99"/>
    <m/>
    <x v="0"/>
    <n v="0"/>
    <n v="0"/>
    <s v="Number"/>
    <n v="4.99"/>
    <n v="4.99"/>
    <n v="16.98"/>
    <n v="16.98"/>
    <n v="16.98"/>
    <s v="True"/>
    <s v="Normal"/>
    <s v="PayPal"/>
    <x v="0"/>
    <s v="refunded"/>
    <s v="United States"/>
    <s v="Washington"/>
    <s v="Valid"/>
    <s v="Eugenefurt"/>
  </r>
  <r>
    <s v="#2708"/>
    <n v="1"/>
    <d v="2026-08-04T14:01:17"/>
    <d v="2026-08-04T14:01:17"/>
    <s v="Donald Davis"/>
    <x v="0"/>
    <s v="donald.davis404@icloud.com"/>
    <s v="Wireless Mouse"/>
    <x v="22"/>
    <s v="Electronics"/>
    <x v="23"/>
    <n v="1"/>
    <n v="11.99"/>
    <n v="11.99"/>
    <m/>
    <x v="0"/>
    <n v="0"/>
    <n v="0"/>
    <s v="Number"/>
    <n v="4.99"/>
    <n v="4.99"/>
    <n v="16.98"/>
    <n v="16.98"/>
    <n v="16.98"/>
    <s v="True"/>
    <s v="Normal"/>
    <s v="Google Pay"/>
    <x v="0"/>
    <s v="cancelled"/>
    <s v="Canada"/>
    <m/>
    <s v="Not Required"/>
    <s v="Watershaven"/>
  </r>
  <r>
    <s v="#2736"/>
    <n v="1"/>
    <d v="2026-08-04T14:05:03"/>
    <d v="2026-08-04T14:05:03"/>
    <s v="Alan Davis"/>
    <x v="0"/>
    <s v="alan.davis483@icloud.com"/>
    <s v="Wireless Mouse"/>
    <x v="22"/>
    <s v="Electronics"/>
    <x v="23"/>
    <n v="4"/>
    <n v="11.99"/>
    <n v="11.99"/>
    <m/>
    <x v="0"/>
    <n v="0"/>
    <n v="0"/>
    <s v="Number"/>
    <n v="5.99"/>
    <n v="5.99"/>
    <n v="53.95"/>
    <n v="53.95"/>
    <n v="53.95"/>
    <s v="True"/>
    <s v="Normal"/>
    <s v="Shopify Payments"/>
    <x v="2"/>
    <s v="cancelled"/>
    <s v="Canada"/>
    <m/>
    <s v="Not Required"/>
    <s v="Henryside"/>
  </r>
  <r>
    <s v="#2752"/>
    <n v="1"/>
    <d v="2026-08-04T14:04:56"/>
    <d v="2026-08-04T14:04:56"/>
    <s v="Christopher Hayes"/>
    <x v="0"/>
    <s v="christopher.hayes809@icloud.com"/>
    <s v="Wireless Mouse"/>
    <x v="22"/>
    <s v="Electronics"/>
    <x v="23"/>
    <n v="2"/>
    <n v="11.99"/>
    <n v="11.99"/>
    <m/>
    <x v="0"/>
    <n v="0"/>
    <n v="0"/>
    <s v="Number"/>
    <n v="5.99"/>
    <n v="5.99"/>
    <s v="$29.97"/>
    <n v="29.97"/>
    <n v="29.97"/>
    <s v="True"/>
    <s v="Normal"/>
    <s v="Credit Card"/>
    <x v="0"/>
    <s v="fulfilled"/>
    <s v="United States"/>
    <s v="Texas"/>
    <s v="Valid"/>
    <s v="Williamfort"/>
  </r>
  <r>
    <s v="#2759"/>
    <n v="1"/>
    <d v="2026-08-04T13:55:09"/>
    <d v="2026-08-04T13:55:09"/>
    <s v="Frank Diaz"/>
    <x v="0"/>
    <s v="frank.diaz795@gmail.com"/>
    <s v="Wireless Mouse"/>
    <x v="22"/>
    <s v="Electronics"/>
    <x v="23"/>
    <n v="1"/>
    <n v="11.99"/>
    <n v="11.99"/>
    <s v="FREESHIP"/>
    <x v="5"/>
    <n v="0"/>
    <n v="0"/>
    <s v="Number"/>
    <n v="0"/>
    <n v="0"/>
    <n v="11.99"/>
    <n v="11.99"/>
    <n v="11.99"/>
    <s v="True"/>
    <s v="Normal"/>
    <s v="Apple Pay"/>
    <x v="3"/>
    <s v="cancelled"/>
    <s v="United States"/>
    <s v="Illinois"/>
    <s v="Valid"/>
    <s v="Davidville"/>
  </r>
  <r>
    <s v="#2777"/>
    <n v="1"/>
    <d v="2026-04-08T00:00:00"/>
    <s v="08/04/2026"/>
    <s v="Darin Alvarez"/>
    <x v="0"/>
    <s v="darin.alvarez843@gmail.com"/>
    <s v="Wireless Mouse"/>
    <x v="22"/>
    <s v="Electronics"/>
    <x v="23"/>
    <n v="1"/>
    <n v="11.99"/>
    <n v="11.99"/>
    <m/>
    <x v="0"/>
    <n v="0"/>
    <n v="0"/>
    <s v="Number"/>
    <n v="7.99"/>
    <n v="7.99"/>
    <s v="$19.98"/>
    <n v="19.98"/>
    <n v="19.98"/>
    <s v="True"/>
    <s v="Normal"/>
    <s v="Credit Card"/>
    <x v="1"/>
    <s v="fulfilled"/>
    <s v="Canada"/>
    <m/>
    <s v="Not Required"/>
    <s v="West Jamesfort"/>
  </r>
  <r>
    <s v="#2789"/>
    <n v="1"/>
    <d v="2026-08-04T14:07:53"/>
    <d v="2026-08-04T14:07:53"/>
    <s v="Jesus Mason"/>
    <x v="0"/>
    <s v="jesus.mason798@icloud.com"/>
    <s v="Wireless Mouse"/>
    <x v="22"/>
    <s v="Electronics"/>
    <x v="23"/>
    <n v="1"/>
    <n v="11.99"/>
    <n v="11.99"/>
    <s v="BFCM25"/>
    <x v="3"/>
    <s v="$3.00"/>
    <n v="3"/>
    <s v="Number"/>
    <n v="5.99"/>
    <n v="5.99"/>
    <n v="14.98"/>
    <n v="14.98"/>
    <n v="14.98"/>
    <s v="True"/>
    <s v="Normal"/>
    <s v="PayPal"/>
    <x v="3"/>
    <s v="fulfilled"/>
    <s v="United States"/>
    <s v="Ohio"/>
    <s v="Valid"/>
    <s v="Olsonberg"/>
  </r>
  <r>
    <s v="#2836"/>
    <n v="1"/>
    <d v="2026-08-04T00:00:00"/>
    <s v="Aug 04, 2026"/>
    <s v="Nicholas Jarvis"/>
    <x v="0"/>
    <s v="nicholas.jarvis112@icloud.com"/>
    <s v="Wireless Mouse"/>
    <x v="22"/>
    <s v="Electronics"/>
    <x v="23"/>
    <n v="1"/>
    <n v="11.99"/>
    <n v="11.99"/>
    <s v="WELCOME10"/>
    <x v="1"/>
    <n v="1.2"/>
    <n v="1.2"/>
    <s v="Number"/>
    <n v="7.99"/>
    <n v="7.99"/>
    <n v="18.78"/>
    <n v="18.78"/>
    <n v="18.78"/>
    <s v="True"/>
    <s v="Normal"/>
    <s v="PayPal"/>
    <x v="0"/>
    <s v="fulfilled"/>
    <s v="Canada"/>
    <m/>
    <s v="Not Required"/>
    <s v="South Catherineland"/>
  </r>
  <r>
    <s v="#2866"/>
    <n v="1"/>
    <d v="2026-08-04T14:05:28"/>
    <d v="2026-08-04T14:05:28"/>
    <s v="Hunt, Anthony"/>
    <x v="0"/>
    <s v="anthony.hunt521@outlook.com"/>
    <s v="Wireless Mouse"/>
    <x v="22"/>
    <s v="Electronics"/>
    <x v="23"/>
    <n v="3"/>
    <n v="11.99"/>
    <n v="11.99"/>
    <m/>
    <x v="0"/>
    <n v="0"/>
    <n v="0"/>
    <s v="Number"/>
    <n v="7.99"/>
    <n v="7.99"/>
    <s v="$43.96"/>
    <n v="43.96"/>
    <n v="43.96"/>
    <s v="True"/>
    <s v="Normal"/>
    <s v="Google Pay"/>
    <x v="0"/>
    <s v="fulfilled"/>
    <s v="United States"/>
    <s v="Ohio"/>
    <s v="Valid"/>
    <s v="East Catherine"/>
  </r>
  <r>
    <s v="#2896"/>
    <n v="1"/>
    <d v="2026-08-04T14:05:10"/>
    <d v="2026-08-04T14:05:10"/>
    <s v="Tina Singh"/>
    <x v="0"/>
    <s v="tina.singh98@icloud.com"/>
    <s v="Wireless Mouse"/>
    <x v="22"/>
    <s v="Electronics"/>
    <x v="23"/>
    <n v="1"/>
    <n v="11.99"/>
    <n v="11.99"/>
    <m/>
    <x v="0"/>
    <n v="0"/>
    <n v="0"/>
    <s v="Number"/>
    <n v="7.99"/>
    <n v="7.99"/>
    <n v="19.98"/>
    <n v="19.98"/>
    <n v="19.98"/>
    <s v="True"/>
    <s v="Normal"/>
    <s v="PayPal"/>
    <x v="2"/>
    <s v="fulfilled"/>
    <s v="United States"/>
    <s v="Illinois"/>
    <s v="Valid"/>
    <s v="Huffmanmouth"/>
  </r>
  <r>
    <s v="#2897"/>
    <n v="1"/>
    <d v="2026-08-04T14:05:57"/>
    <d v="2026-08-04T14:05:57"/>
    <s v="Mary Meza"/>
    <x v="0"/>
    <s v="mary.meza759@gmail.com"/>
    <s v="Wireless Mouse"/>
    <x v="22"/>
    <s v="Electronics"/>
    <x v="23"/>
    <n v="2"/>
    <n v="11.99"/>
    <n v="11.99"/>
    <s v="SAVE20"/>
    <x v="2"/>
    <n v="4.8"/>
    <n v="4.8"/>
    <s v="Number"/>
    <n v="4.99"/>
    <n v="4.99"/>
    <n v="24.17"/>
    <n v="24.17"/>
    <n v="24.17"/>
    <s v="True"/>
    <s v="Normal"/>
    <s v="Shopify Payments"/>
    <x v="0"/>
    <s v="fulfilled"/>
    <s v="Canada"/>
    <m/>
    <s v="Not Required"/>
    <s v="Lake Mitchelltown"/>
  </r>
  <r>
    <s v="#2903"/>
    <n v="1"/>
    <d v="2026-08-04T13:55:59"/>
    <d v="2026-08-04T13:55:59"/>
    <s v="Tyler Williams"/>
    <x v="0"/>
    <s v="tyler.williams938@outlook.com"/>
    <s v="Wireless Mouse"/>
    <x v="22"/>
    <s v="Electronics"/>
    <x v="23"/>
    <n v="1"/>
    <n v="11.99"/>
    <n v="11.99"/>
    <s v="BFCM25"/>
    <x v="3"/>
    <n v="3"/>
    <n v="3"/>
    <s v="Number"/>
    <n v="4.99"/>
    <n v="4.99"/>
    <n v="13.98"/>
    <n v="13.98"/>
    <n v="13.98"/>
    <s v="True"/>
    <s v="Normal"/>
    <s v="Google Pay"/>
    <x v="0"/>
    <s v="pending"/>
    <s v="Australia"/>
    <m/>
    <s v="Not Required"/>
    <s v="Jeffreyport"/>
  </r>
  <r>
    <s v="#2911"/>
    <n v="1"/>
    <d v="2026-08-04T00:00:00"/>
    <s v="2026-08-04"/>
    <s v="Tracy Kennedy"/>
    <x v="0"/>
    <s v="tracy.kennedy796@outlook.com"/>
    <s v="Wireless Mouse"/>
    <x v="22"/>
    <s v="Electronics"/>
    <x v="23"/>
    <n v="2"/>
    <n v="11.99"/>
    <n v="11.99"/>
    <m/>
    <x v="0"/>
    <n v="0"/>
    <n v="0"/>
    <s v="Number"/>
    <n v="4.99"/>
    <n v="4.99"/>
    <n v="28.97"/>
    <n v="28.97"/>
    <n v="28.97"/>
    <s v="True"/>
    <s v="Normal"/>
    <s v="Credit Card"/>
    <x v="2"/>
    <s v="refunded"/>
    <s v="Pakistan"/>
    <m/>
    <s v="Not Required"/>
    <s v="Grantbury"/>
  </r>
  <r>
    <s v="#2929"/>
    <n v="1"/>
    <d v="2026-08-04T14:00:30"/>
    <d v="2026-08-04T14:00:30"/>
    <s v="Sandra Potter"/>
    <x v="0"/>
    <s v="sandra.potter166@yahoo.com"/>
    <s v="Wireless Mouse"/>
    <x v="22"/>
    <s v="Electronics"/>
    <x v="23"/>
    <n v="1"/>
    <n v="11.99"/>
    <n v="11.99"/>
    <s v="SAVE20"/>
    <x v="2"/>
    <s v="$2.40"/>
    <n v="2.4"/>
    <s v="Number"/>
    <n v="4.99"/>
    <n v="4.99"/>
    <n v="14.58"/>
    <n v="14.58"/>
    <n v="14.58"/>
    <s v="True"/>
    <s v="Normal"/>
    <s v="Shopify Payments"/>
    <x v="0"/>
    <s v="fulfilled"/>
    <s v="United States"/>
    <s v="Washington"/>
    <s v="Valid"/>
    <s v="Bakerburgh"/>
  </r>
  <r>
    <s v="#1011"/>
    <n v="1"/>
    <d v="2026-08-04T14:02:04"/>
    <d v="2026-08-04T14:02:04"/>
    <s v="Patricia Townsend"/>
    <x v="1"/>
    <m/>
    <s v="Yoga Mat - Extra Thick"/>
    <x v="23"/>
    <s v="Sports &amp; Outdoors"/>
    <x v="24"/>
    <n v="1"/>
    <n v="22.99"/>
    <n v="22.99"/>
    <m/>
    <x v="0"/>
    <n v="0"/>
    <n v="0"/>
    <s v="Number"/>
    <n v="7.99"/>
    <n v="7.99"/>
    <n v="30.98"/>
    <n v="30.98"/>
    <n v="30.979999999999997"/>
    <s v="True"/>
    <s v="Normal"/>
    <s v="Shopify Payments"/>
    <x v="1"/>
    <s v="fulfilled"/>
    <s v="United States"/>
    <s v="Ohio"/>
    <s v="Valid"/>
    <s v="West Stephentown"/>
  </r>
  <r>
    <s v="#1015"/>
    <n v="1"/>
    <d v="2026-08-04T14:08:21"/>
    <d v="2026-08-04T14:08:21"/>
    <s v="Linda Byrd"/>
    <x v="0"/>
    <s v="linda.byrd87@outlook.com"/>
    <s v="Yoga Mat - Extra Thick"/>
    <x v="23"/>
    <s v="Sports &amp; Outdoors"/>
    <x v="24"/>
    <n v="1"/>
    <n v="22.99"/>
    <n v="22.99"/>
    <s v="SAVE20"/>
    <x v="2"/>
    <n v="4.5999999999999996"/>
    <n v="4.5999999999999996"/>
    <s v="Number"/>
    <n v="4.99"/>
    <n v="4.99"/>
    <n v="23.38"/>
    <n v="23.38"/>
    <n v="23.380000000000003"/>
    <s v="True"/>
    <s v="Normal"/>
    <s v="Google Pay"/>
    <x v="1"/>
    <s v="fulfilled"/>
    <s v="United States"/>
    <s v="AZ"/>
    <s v="Valid"/>
    <s v="Deanstad"/>
  </r>
  <r>
    <s v="#1063"/>
    <n v="1"/>
    <d v="2026-08-04T14:06:16"/>
    <d v="2026-08-04T14:06:16"/>
    <s v="Robert Boyd"/>
    <x v="0"/>
    <s v="robert.boyd184@yahoo.com"/>
    <s v="Yoga Mat - Extra Thick"/>
    <x v="23"/>
    <s v="Sports &amp; Outdoors"/>
    <x v="24"/>
    <n v="2"/>
    <n v="22.99"/>
    <n v="22.99"/>
    <s v="FREESHIP"/>
    <x v="5"/>
    <n v="0"/>
    <n v="0"/>
    <s v="Number"/>
    <n v="0"/>
    <n v="0"/>
    <n v="45.98"/>
    <n v="45.98"/>
    <n v="45.98"/>
    <s v="True"/>
    <s v="Normal"/>
    <s v="Apple Pay"/>
    <x v="0"/>
    <s v="fulfilled"/>
    <s v="Canada"/>
    <m/>
    <s v="Not Required"/>
    <s v="North Ariel"/>
  </r>
  <r>
    <s v="#1169"/>
    <n v="1"/>
    <d v="2026-08-04T14:07:06"/>
    <d v="2026-08-04T14:07:06"/>
    <s v="Jesus Mason"/>
    <x v="0"/>
    <s v="jesus.mason798@icloud.com"/>
    <s v="Yoga Mat - Extra Thick"/>
    <x v="23"/>
    <s v="Sports &amp; Outdoors"/>
    <x v="24"/>
    <n v="1"/>
    <n v="22.99"/>
    <n v="22.99"/>
    <s v="BFCM25"/>
    <x v="3"/>
    <n v="5.75"/>
    <n v="5.75"/>
    <s v="Number"/>
    <n v="5.99"/>
    <n v="5.99"/>
    <n v="23.23"/>
    <n v="23.23"/>
    <n v="23.229999999999997"/>
    <s v="True"/>
    <s v="Normal"/>
    <s v="Google Pay"/>
    <x v="3"/>
    <s v="fulfilled"/>
    <s v="United States"/>
    <s v="NY"/>
    <s v="Valid"/>
    <s v="Williamschester"/>
  </r>
  <r>
    <s v="#1182"/>
    <n v="1"/>
    <d v="2026-08-04T13:58:34"/>
    <d v="2026-08-04T13:58:34"/>
    <s v="Joshua Chavez"/>
    <x v="0"/>
    <s v="joshua.chavez332@outlook.com"/>
    <s v="Yoga Mat - Extra Thick"/>
    <x v="23"/>
    <s v="Sports &amp; Outdoors"/>
    <x v="24"/>
    <n v="1"/>
    <n v="22.99"/>
    <n v="22.99"/>
    <s v="BFCM25"/>
    <x v="3"/>
    <n v="5.75"/>
    <n v="5.75"/>
    <s v="Number"/>
    <n v="7.99"/>
    <n v="7.99"/>
    <n v="25.23"/>
    <n v="25.23"/>
    <n v="25.229999999999997"/>
    <s v="True"/>
    <s v="Normal"/>
    <s v="Credit Card"/>
    <x v="0"/>
    <s v="cancelled"/>
    <s v="United States"/>
    <s v="Georgia"/>
    <s v="Valid"/>
    <s v="Lake Rebeccaberg"/>
  </r>
  <r>
    <s v="#1244"/>
    <n v="1"/>
    <d v="2026-08-04T13:58:27"/>
    <d v="2026-08-04T13:58:27"/>
    <s v="Robert Lopez"/>
    <x v="0"/>
    <s v="robert.lopez980@outlook.com"/>
    <s v="Yoga Mat - Extra Thick"/>
    <x v="23"/>
    <s v="Sports &amp; Outdoors"/>
    <x v="24"/>
    <n v="1"/>
    <s v="$22.99"/>
    <n v="22.99"/>
    <m/>
    <x v="0"/>
    <n v="0"/>
    <n v="0"/>
    <s v="Number"/>
    <n v="4.99"/>
    <n v="4.99"/>
    <n v="27.98"/>
    <n v="27.98"/>
    <n v="27.979999999999997"/>
    <s v="True"/>
    <s v="Normal"/>
    <s v="PayPal"/>
    <x v="3"/>
    <s v="fulfilled"/>
    <s v="Germany"/>
    <m/>
    <s v="Not Required"/>
    <s v="Collinsborough"/>
  </r>
  <r>
    <s v="#1252"/>
    <n v="1"/>
    <d v="2026-08-04T13:56:19"/>
    <d v="2026-08-04T13:56:19"/>
    <s v="Amy Barnett"/>
    <x v="0"/>
    <s v="amy.barnett396@icloud.com"/>
    <s v="Yoga Mat - Extra Thick"/>
    <x v="23"/>
    <s v="Sports &amp; Outdoors"/>
    <x v="24"/>
    <n v="1"/>
    <n v="22.99"/>
    <n v="22.99"/>
    <m/>
    <x v="0"/>
    <n v="0"/>
    <n v="0"/>
    <s v="Number"/>
    <n v="4.99"/>
    <n v="4.99"/>
    <n v="27.98"/>
    <n v="27.98"/>
    <n v="27.979999999999997"/>
    <s v="True"/>
    <s v="Normal"/>
    <s v="PayPal"/>
    <x v="0"/>
    <s v="fulfilled"/>
    <s v="Pakistan"/>
    <m/>
    <s v="Not Required"/>
    <s v="Port Ethanshire"/>
  </r>
  <r>
    <s v="#1271"/>
    <n v="1"/>
    <d v="2026-08-04T13:53:51"/>
    <d v="2026-08-04T13:53:51"/>
    <s v="Mary Garcia"/>
    <x v="0"/>
    <s v="mary.garcia899@icloud.com"/>
    <s v="Yoga Mat - Extra Thick"/>
    <x v="23"/>
    <s v="Sports &amp; Outdoors"/>
    <x v="24"/>
    <n v="1"/>
    <n v="22.99"/>
    <n v="22.99"/>
    <m/>
    <x v="0"/>
    <n v="0"/>
    <n v="0"/>
    <s v="Number"/>
    <n v="4.99"/>
    <n v="4.99"/>
    <n v="27.98"/>
    <n v="27.98"/>
    <n v="27.979999999999997"/>
    <s v="True"/>
    <s v="Normal"/>
    <s v="Shopify Payments"/>
    <x v="0"/>
    <s v="refunded"/>
    <s v="Canada"/>
    <m/>
    <s v="Not Required"/>
    <s v="North Cindy"/>
  </r>
  <r>
    <s v="#1324"/>
    <n v="1"/>
    <d v="2026-08-04T13:58:00"/>
    <d v="2026-08-04T13:58:00"/>
    <s v="Stephanie Mcgee"/>
    <x v="0"/>
    <s v="stephanie.mcgee557@outlook.com"/>
    <s v="Yoga Mat - Extra Thick"/>
    <x v="23"/>
    <s v="Sports &amp; Outdoors"/>
    <x v="24"/>
    <n v="1"/>
    <n v="22.99"/>
    <n v="22.99"/>
    <m/>
    <x v="0"/>
    <n v="0"/>
    <n v="0"/>
    <s v="Number"/>
    <n v="5.99"/>
    <n v="5.99"/>
    <n v="28.98"/>
    <n v="28.98"/>
    <n v="28.979999999999997"/>
    <s v="True"/>
    <s v="Normal"/>
    <s v="Credit Card"/>
    <x v="0"/>
    <s v="fulfilled"/>
    <s v="Australia"/>
    <m/>
    <s v="Not Required"/>
    <s v="Lake Kimberly"/>
  </r>
  <r>
    <s v="#1333"/>
    <n v="1"/>
    <d v="2026-08-04T14:02:08"/>
    <d v="2026-08-04T14:02:08"/>
    <s v="Jaime Vargas"/>
    <x v="0"/>
    <s v="jaime.vargas795@outlook.com"/>
    <s v="Yoga Mat - Extra Thick"/>
    <x v="23"/>
    <s v="Sports &amp; Outdoors"/>
    <x v="24"/>
    <n v="2"/>
    <n v="22.99"/>
    <n v="22.99"/>
    <s v="SAVE20"/>
    <x v="2"/>
    <n v="9.1999999999999993"/>
    <n v="9.1999999999999993"/>
    <s v="Number"/>
    <n v="7.99"/>
    <n v="7.99"/>
    <n v="44.77"/>
    <n v="44.77"/>
    <n v="44.77"/>
    <s v="True"/>
    <s v="Normal"/>
    <s v="Google Pay"/>
    <x v="3"/>
    <s v="pending"/>
    <s v="United Kingdom"/>
    <m/>
    <s v="Not Required"/>
    <s v="Middletonshire"/>
  </r>
  <r>
    <s v="#1337"/>
    <n v="1"/>
    <d v="2026-04-08T00:00:00"/>
    <s v="08/04/2026"/>
    <s v="Sarah Williams"/>
    <x v="0"/>
    <s v="sarah.williams329@icloud.com"/>
    <s v="Yoga Mat - Extra Thick"/>
    <x v="23"/>
    <s v="Sports &amp; Outdoors"/>
    <x v="24"/>
    <n v="1"/>
    <n v="22.99"/>
    <n v="22.99"/>
    <m/>
    <x v="0"/>
    <n v="0"/>
    <n v="0"/>
    <s v="Number"/>
    <n v="4.99"/>
    <n v="4.99"/>
    <n v="27.98"/>
    <n v="27.98"/>
    <n v="27.979999999999997"/>
    <s v="True"/>
    <s v="Normal"/>
    <s v="Credit Card"/>
    <x v="1"/>
    <s v="fulfilled"/>
    <s v="Canada"/>
    <m/>
    <s v="Not Required"/>
    <s v="Lake Michaelstad"/>
  </r>
  <r>
    <s v="#1340"/>
    <n v="1"/>
    <d v="2026-08-04T14:07:14"/>
    <d v="2026-08-04T14:07:14"/>
    <s v="Matthew Perez"/>
    <x v="0"/>
    <s v="matthew.perez875@gmail.com"/>
    <s v="Yoga Mat - Extra Thick"/>
    <x v="23"/>
    <s v="Sports &amp; Outdoors"/>
    <x v="24"/>
    <n v="1"/>
    <n v="22.99"/>
    <n v="22.99"/>
    <s v="WELCOME10"/>
    <x v="1"/>
    <n v="2.2999999999999998"/>
    <n v="2.2999999999999998"/>
    <s v="Number"/>
    <n v="4.99"/>
    <n v="4.99"/>
    <n v="25.68"/>
    <n v="25.68"/>
    <n v="25.68"/>
    <s v="True"/>
    <s v="Normal"/>
    <s v="Apple Pay"/>
    <x v="2"/>
    <s v="refunded"/>
    <s v="Pakistan"/>
    <m/>
    <s v="Not Required"/>
    <s v="North Steven"/>
  </r>
  <r>
    <s v="#1393"/>
    <n v="1"/>
    <d v="2026-08-04T14:01:07"/>
    <d v="2026-08-04T14:01:07"/>
    <s v="Jon Lambert"/>
    <x v="0"/>
    <s v="jon.lambert231@icloud.com"/>
    <s v="Yoga Mat - Extra Thick"/>
    <x v="23"/>
    <s v="Sports &amp; Outdoors"/>
    <x v="24"/>
    <n v="1"/>
    <n v="22.99"/>
    <n v="22.99"/>
    <s v="SAVE20"/>
    <x v="2"/>
    <n v="4.5999999999999996"/>
    <n v="4.5999999999999996"/>
    <s v="Number"/>
    <n v="7.99"/>
    <n v="7.99"/>
    <n v="26.38"/>
    <n v="26.38"/>
    <n v="26.380000000000003"/>
    <s v="True"/>
    <s v="Normal"/>
    <s v="Shopify Payments"/>
    <x v="0"/>
    <s v="pending"/>
    <s v="United States"/>
    <s v="Georgia"/>
    <s v="Valid"/>
    <s v="Cheyennefurt"/>
  </r>
  <r>
    <s v="#1398"/>
    <n v="1"/>
    <d v="2026-08-04T14:03:36"/>
    <d v="2026-08-04T14:03:36"/>
    <s v="Cheryl Coleman"/>
    <x v="0"/>
    <s v="cheryl.coleman261@icloud.com"/>
    <s v="Yoga Mat - Extra Thick"/>
    <x v="23"/>
    <s v="Sports &amp; Outdoors"/>
    <x v="24"/>
    <n v="1"/>
    <n v="22.99"/>
    <n v="22.99"/>
    <s v="VIP15"/>
    <x v="4"/>
    <n v="3.45"/>
    <n v="3.45"/>
    <s v="Number"/>
    <n v="4.99"/>
    <n v="4.99"/>
    <n v="24.53"/>
    <n v="24.53"/>
    <n v="24.53"/>
    <s v="True"/>
    <s v="Normal"/>
    <s v="Credit Card"/>
    <x v="3"/>
    <s v="fulfilled"/>
    <s v="Pakistan"/>
    <m/>
    <s v="Not Required"/>
    <s v="Port Danielleview"/>
  </r>
  <r>
    <s v="#1411"/>
    <n v="1"/>
    <d v="2026-08-04T14:06:38"/>
    <d v="2026-08-04T14:06:38"/>
    <s v="Lucas Lyons"/>
    <x v="0"/>
    <s v="lucas.lyons594@icloud.com"/>
    <s v="Yoga Mat - Extra Thick"/>
    <x v="23"/>
    <s v="Sports &amp; Outdoors"/>
    <x v="24"/>
    <n v="2"/>
    <n v="22.99"/>
    <n v="22.99"/>
    <m/>
    <x v="0"/>
    <n v="0"/>
    <n v="0"/>
    <s v="Number"/>
    <n v="4.99"/>
    <n v="4.99"/>
    <n v="50.97"/>
    <n v="50.97"/>
    <n v="50.97"/>
    <s v="True"/>
    <s v="Normal"/>
    <s v="PayPal"/>
    <x v="1"/>
    <s v="fulfilled"/>
    <s v="Pakistan"/>
    <m/>
    <s v="Not Required"/>
    <s v="Ethanville"/>
  </r>
  <r>
    <s v="#1431"/>
    <n v="1"/>
    <d v="2026-08-04T14:00:48"/>
    <d v="2026-08-04T14:00:48"/>
    <s v="Nicole Taylor"/>
    <x v="0"/>
    <s v="nicole.taylor607@icloud.com"/>
    <s v="Yoga Mat - Extra Thick"/>
    <x v="23"/>
    <s v="Sports &amp; Outdoors"/>
    <x v="24"/>
    <n v="1"/>
    <n v="22.99"/>
    <n v="22.99"/>
    <s v="BFCM25"/>
    <x v="3"/>
    <n v="5.75"/>
    <n v="5.75"/>
    <s v="Number"/>
    <n v="4.99"/>
    <n v="4.99"/>
    <n v="22.23"/>
    <n v="22.23"/>
    <n v="22.229999999999997"/>
    <s v="True"/>
    <s v="Normal"/>
    <s v="Shopify Payments"/>
    <x v="0"/>
    <s v="fulfilled"/>
    <s v="United States"/>
    <s v="New York"/>
    <s v="Valid"/>
    <s v="Michaeltown"/>
  </r>
  <r>
    <s v="#1438"/>
    <n v="1"/>
    <d v="2026-08-04T00:00:00"/>
    <s v="04-08-2026 13:55"/>
    <s v="Adam Krause"/>
    <x v="0"/>
    <s v="adam.krause31@yahoo.com"/>
    <s v="Yoga Mat - Extra Thick"/>
    <x v="23"/>
    <s v="Sports &amp; Outdoors"/>
    <x v="24"/>
    <n v="1"/>
    <n v="22.99"/>
    <n v="22.99"/>
    <s v="BFCM25"/>
    <x v="3"/>
    <n v="5.75"/>
    <n v="5.75"/>
    <s v="Number"/>
    <n v="4.99"/>
    <n v="4.99"/>
    <s v="$22.23"/>
    <n v="22.23"/>
    <n v="22.229999999999997"/>
    <s v="True"/>
    <s v="Normal"/>
    <s v="Credit Card"/>
    <x v="3"/>
    <s v="pending"/>
    <s v="United States"/>
    <s v="Illinois"/>
    <s v="Valid"/>
    <s v="Riddlebury"/>
  </r>
  <r>
    <s v="#1449"/>
    <n v="1"/>
    <d v="2026-08-04T13:58:30"/>
    <d v="2026-08-04T13:58:30"/>
    <s v="Michael Hays"/>
    <x v="0"/>
    <s v="michael.hays590@gmail.com"/>
    <s v="Yoga Mat - Extra Thick"/>
    <x v="23"/>
    <s v="Sports &amp; Outdoors"/>
    <x v="24"/>
    <n v="1"/>
    <n v="22.99"/>
    <n v="22.99"/>
    <s v="VIP15"/>
    <x v="4"/>
    <n v="3.45"/>
    <n v="3.45"/>
    <s v="Number"/>
    <n v="4.99"/>
    <n v="4.99"/>
    <n v="24.53"/>
    <n v="24.53"/>
    <n v="24.53"/>
    <s v="True"/>
    <s v="Normal"/>
    <s v="Apple Pay"/>
    <x v="0"/>
    <s v="pending"/>
    <s v="United States"/>
    <s v="Florida"/>
    <s v="Valid"/>
    <s v="West Larry"/>
  </r>
  <r>
    <s v="#1456"/>
    <n v="1"/>
    <d v="2026-08-04T13:59:47"/>
    <d v="2026-08-04T13:59:47"/>
    <s v="Kristopher Barnett"/>
    <x v="0"/>
    <s v="kristopher.barnett178@outlook.com"/>
    <s v="Yoga Mat - Extra Thick"/>
    <x v="23"/>
    <s v="Sports &amp; Outdoors"/>
    <x v="24"/>
    <n v="1"/>
    <n v="22.99"/>
    <n v="22.99"/>
    <s v="SAVE20"/>
    <x v="2"/>
    <n v="4.5999999999999996"/>
    <n v="4.5999999999999996"/>
    <s v="Number"/>
    <n v="4.99"/>
    <n v="4.99"/>
    <n v="23.38"/>
    <n v="23.38"/>
    <n v="23.380000000000003"/>
    <s v="True"/>
    <s v="Normal"/>
    <s v="Apple Pay"/>
    <x v="0"/>
    <s v="refunded"/>
    <s v="Australia"/>
    <m/>
    <s v="Not Required"/>
    <s v="South Lisaberg"/>
  </r>
  <r>
    <s v="#1463"/>
    <n v="1"/>
    <d v="2026-08-04T13:56:52"/>
    <d v="2026-08-04T13:56:52"/>
    <s v="Conway, Brittney"/>
    <x v="0"/>
    <s v="brittney.conway383@outlook.com"/>
    <s v="Yoga Mat - Extra Thick"/>
    <x v="23"/>
    <s v="Sports &amp; Outdoors"/>
    <x v="24"/>
    <n v="2"/>
    <n v="22.99"/>
    <n v="22.99"/>
    <m/>
    <x v="0"/>
    <s v="$0.00"/>
    <n v="0"/>
    <s v="Number"/>
    <n v="7.99"/>
    <n v="7.99"/>
    <n v="53.97"/>
    <n v="53.97"/>
    <n v="53.97"/>
    <s v="True"/>
    <s v="Normal"/>
    <s v="Apple Pay"/>
    <x v="0"/>
    <s v="fulfilled"/>
    <s v="United States"/>
    <s v="Texas"/>
    <s v="Valid"/>
    <s v="North Nathan"/>
  </r>
  <r>
    <s v="#1474"/>
    <n v="1"/>
    <d v="2026-08-04T13:56:55"/>
    <d v="2026-08-04T13:56:55"/>
    <s v="Sarah Williams"/>
    <x v="1"/>
    <m/>
    <s v="Yoga Mat - Extra Thick"/>
    <x v="23"/>
    <s v="Sports &amp; Outdoors"/>
    <x v="24"/>
    <n v="1"/>
    <n v="22.99"/>
    <n v="22.99"/>
    <s v="SAVE20"/>
    <x v="2"/>
    <n v="4.5999999999999996"/>
    <n v="4.5999999999999996"/>
    <s v="Number"/>
    <n v="5.99"/>
    <n v="5.99"/>
    <n v="24.38"/>
    <n v="24.38"/>
    <n v="24.380000000000003"/>
    <s v="True"/>
    <s v="Normal"/>
    <s v="Google Pay"/>
    <x v="0"/>
    <s v="cancelled"/>
    <s v="Canada"/>
    <m/>
    <s v="Not Required"/>
    <s v="Port Amy"/>
  </r>
  <r>
    <s v="#1488"/>
    <n v="1"/>
    <d v="2026-04-08T00:00:00"/>
    <s v="08/04/2026"/>
    <s v="John Carson"/>
    <x v="0"/>
    <s v="john.carson203@yahoo.com"/>
    <s v="Yoga Mat - Extra Thick"/>
    <x v="23"/>
    <s v="Sports &amp; Outdoors"/>
    <x v="24"/>
    <n v="1"/>
    <n v="22.99"/>
    <n v="22.99"/>
    <m/>
    <x v="0"/>
    <n v="0"/>
    <n v="0"/>
    <s v="Number"/>
    <n v="5.99"/>
    <n v="5.99"/>
    <n v="28.98"/>
    <n v="28.98"/>
    <n v="28.979999999999997"/>
    <s v="True"/>
    <s v="Normal"/>
    <s v="Credit Card"/>
    <x v="0"/>
    <s v="fulfilled"/>
    <s v="United States"/>
    <s v="California"/>
    <s v="Valid"/>
    <s v="New Colleenberg"/>
  </r>
  <r>
    <s v="#1515"/>
    <n v="1"/>
    <d v="2026-08-04T14:05:33"/>
    <d v="2026-08-04T14:05:33"/>
    <s v="Joshua Chavez"/>
    <x v="0"/>
    <s v="joshua.chavez332@outlook.com"/>
    <s v="Yoga Mat - Extra Thick"/>
    <x v="23"/>
    <s v="Sports &amp; Outdoors"/>
    <x v="24"/>
    <n v="1"/>
    <n v="22.99"/>
    <n v="22.99"/>
    <s v="VIP15"/>
    <x v="4"/>
    <n v="3.45"/>
    <n v="3.45"/>
    <s v="Number"/>
    <n v="5.99"/>
    <n v="5.99"/>
    <n v="25.53"/>
    <n v="25.53"/>
    <n v="25.53"/>
    <s v="True"/>
    <s v="Normal"/>
    <s v="Shopify Payments"/>
    <x v="0"/>
    <s v="fulfilled"/>
    <s v="United States"/>
    <s v="Washington"/>
    <s v="Valid"/>
    <s v="Lake Rebecca"/>
  </r>
  <r>
    <s v="#1537"/>
    <n v="1"/>
    <d v="2026-08-04T14:02:48"/>
    <d v="2026-08-04T14:02:48"/>
    <s v="Dustin Mccoy"/>
    <x v="0"/>
    <s v="dustin.mccoy570@gmail.com"/>
    <s v="Yoga Mat - Extra Thick"/>
    <x v="23"/>
    <s v="Sports &amp; Outdoors"/>
    <x v="24"/>
    <n v="2"/>
    <n v="22.99"/>
    <n v="22.99"/>
    <m/>
    <x v="0"/>
    <n v="0"/>
    <n v="0"/>
    <s v="Number"/>
    <n v="5.99"/>
    <n v="5.99"/>
    <n v="51.97"/>
    <n v="51.97"/>
    <n v="51.97"/>
    <s v="True"/>
    <s v="Normal"/>
    <s v="Credit Card"/>
    <x v="1"/>
    <s v="fulfilled"/>
    <s v="Canada"/>
    <m/>
    <s v="Not Required"/>
    <s v="Morrisfurt"/>
  </r>
  <r>
    <s v="#1549"/>
    <n v="1"/>
    <d v="2026-08-04T13:59:16"/>
    <d v="2026-08-04T13:59:16"/>
    <s v="Aaron Thompson"/>
    <x v="0"/>
    <s v="aaron.thompson601@yahoo.com"/>
    <s v="Yoga Mat - Extra Thick"/>
    <x v="23"/>
    <s v="Sports &amp; Outdoors"/>
    <x v="24"/>
    <n v="1"/>
    <n v="22.99"/>
    <n v="22.99"/>
    <s v="FREESHIP"/>
    <x v="5"/>
    <n v="0"/>
    <n v="0"/>
    <s v="Number"/>
    <n v="0"/>
    <n v="0"/>
    <n v="22.99"/>
    <n v="22.99"/>
    <n v="22.99"/>
    <s v="True"/>
    <s v="Normal"/>
    <s v="PayPal"/>
    <x v="0"/>
    <s v="pending"/>
    <s v="Canada"/>
    <m/>
    <s v="Not Required"/>
    <s v="West Kevin"/>
  </r>
  <r>
    <s v="#1551"/>
    <n v="1"/>
    <d v="2026-08-04T13:59:05"/>
    <d v="2026-08-04T13:59:05"/>
    <s v="Gerald Li"/>
    <x v="0"/>
    <s v="gerald.li856@icloud.com"/>
    <s v="Yoga Mat - Extra Thick"/>
    <x v="23"/>
    <s v="Sports &amp; Outdoors"/>
    <x v="24"/>
    <n v="1"/>
    <n v="22.99"/>
    <n v="22.99"/>
    <s v="SAVE20"/>
    <x v="2"/>
    <n v="4.5999999999999996"/>
    <n v="4.5999999999999996"/>
    <s v="Number"/>
    <n v="4.99"/>
    <n v="4.99"/>
    <s v="$23.38"/>
    <n v="23.38"/>
    <n v="23.380000000000003"/>
    <s v="True"/>
    <s v="Normal"/>
    <s v="Apple Pay"/>
    <x v="0"/>
    <s v="fulfilled"/>
    <s v="United States"/>
    <s v="Arizona"/>
    <s v="Valid"/>
    <s v="Lake Brittanymouth"/>
  </r>
  <r>
    <s v="#1566"/>
    <n v="1"/>
    <d v="2026-08-04T14:07:45"/>
    <d v="2026-08-04T14:07:45"/>
    <s v="Daniel Contreras"/>
    <x v="0"/>
    <s v="daniel.contreras749@yahoo.com"/>
    <s v="Yoga Mat - Extra Thick"/>
    <x v="23"/>
    <s v="Sports &amp; Outdoors"/>
    <x v="24"/>
    <n v="1"/>
    <n v="22.99"/>
    <n v="22.99"/>
    <s v="VIP15"/>
    <x v="4"/>
    <n v="3.45"/>
    <n v="3.45"/>
    <s v="Number"/>
    <n v="4.99"/>
    <n v="4.99"/>
    <n v="24.53"/>
    <n v="24.53"/>
    <n v="24.53"/>
    <s v="True"/>
    <s v="Normal"/>
    <s v="PayPal"/>
    <x v="0"/>
    <s v="fulfilled"/>
    <s v="Australia"/>
    <m/>
    <s v="Not Required"/>
    <s v="West Philip"/>
  </r>
  <r>
    <s v="#1672"/>
    <n v="1"/>
    <d v="2026-08-04T13:58:34"/>
    <d v="2026-08-04T13:58:34"/>
    <s v="Jesus Mason"/>
    <x v="1"/>
    <m/>
    <s v="Yoga Mat - Extra Thick"/>
    <x v="23"/>
    <s v="Sports &amp; Outdoors"/>
    <x v="24"/>
    <n v="1"/>
    <n v="22.99"/>
    <n v="22.99"/>
    <s v="FREESHIP"/>
    <x v="5"/>
    <s v="$0.00"/>
    <n v="0"/>
    <s v="Number"/>
    <n v="0"/>
    <n v="0"/>
    <n v="22.99"/>
    <n v="22.99"/>
    <n v="22.99"/>
    <s v="True"/>
    <s v="Normal"/>
    <s v="Apple Pay"/>
    <x v="3"/>
    <s v="fulfilled"/>
    <s v="United States"/>
    <s v="Ohio"/>
    <s v="Valid"/>
    <s v="New Andrew"/>
  </r>
  <r>
    <s v="#1700"/>
    <n v="1"/>
    <d v="2026-08-04T13:55:17"/>
    <d v="2026-08-04T13:55:17"/>
    <s v="Debra Thomas"/>
    <x v="0"/>
    <s v="debra.thomas509@icloud.com"/>
    <s v="Yoga Mat - Extra Thick"/>
    <x v="23"/>
    <s v="Sports &amp; Outdoors"/>
    <x v="24"/>
    <n v="1"/>
    <n v="22.99"/>
    <n v="22.99"/>
    <m/>
    <x v="0"/>
    <n v="0"/>
    <n v="0"/>
    <s v="Number"/>
    <n v="4.99"/>
    <n v="4.99"/>
    <n v="27.98"/>
    <n v="27.98"/>
    <n v="27.979999999999997"/>
    <s v="True"/>
    <s v="Normal"/>
    <s v="Credit Card"/>
    <x v="0"/>
    <s v="cancelled"/>
    <s v="United States"/>
    <s v="California"/>
    <s v="Valid"/>
    <s v="Port Nancymouth"/>
  </r>
  <r>
    <s v="#1746"/>
    <n v="1"/>
    <d v="2026-08-04T14:01:16"/>
    <d v="2026-08-04T14:01:16"/>
    <s v="Tina Singh"/>
    <x v="0"/>
    <s v="tina.singh98@icloud.com"/>
    <s v="Yoga Mat - Extra Thick"/>
    <x v="23"/>
    <s v="Sports &amp; Outdoors"/>
    <x v="24"/>
    <n v="4"/>
    <n v="22.99"/>
    <n v="22.99"/>
    <s v="WELCOME10"/>
    <x v="1"/>
    <n v="9.1999999999999993"/>
    <n v="9.1999999999999993"/>
    <s v="Number"/>
    <n v="0"/>
    <n v="0"/>
    <s v="$82.76"/>
    <n v="82.76"/>
    <n v="82.759999999999991"/>
    <s v="True"/>
    <s v="Outlier"/>
    <s v="Credit Card"/>
    <x v="0"/>
    <s v="fulfilled"/>
    <s v="United States"/>
    <s v="Texas"/>
    <s v="Valid"/>
    <s v="North Amandafurt"/>
  </r>
  <r>
    <s v="#1751"/>
    <n v="1"/>
    <d v="2026-08-04T13:54:02"/>
    <d v="2026-08-04T13:54:02"/>
    <s v="Amanda Harris"/>
    <x v="0"/>
    <s v="amanda.harris197@gmail.com"/>
    <s v="Yoga Mat - Extra Thick"/>
    <x v="23"/>
    <s v="Sports &amp; Outdoors"/>
    <x v="24"/>
    <n v="1"/>
    <n v="22.99"/>
    <n v="22.99"/>
    <m/>
    <x v="0"/>
    <n v="0"/>
    <n v="0"/>
    <s v="Number"/>
    <n v="4.99"/>
    <n v="4.99"/>
    <n v="27.98"/>
    <n v="27.98"/>
    <n v="27.979999999999997"/>
    <s v="True"/>
    <s v="Normal"/>
    <s v="Credit Card"/>
    <x v="2"/>
    <s v="fulfilled"/>
    <s v="United States"/>
    <s v="California"/>
    <s v="Valid"/>
    <s v="Zacharyfurt"/>
  </r>
  <r>
    <s v="#1910"/>
    <n v="1"/>
    <d v="2026-08-04T14:04:50"/>
    <d v="2026-08-04T14:04:50"/>
    <s v="Maria Leon"/>
    <x v="0"/>
    <s v="maria.leon163@outlook.com"/>
    <s v="Yoga Mat - Extra Thick"/>
    <x v="23"/>
    <s v="Sports &amp; Outdoors"/>
    <x v="24"/>
    <n v="3"/>
    <n v="22.99"/>
    <n v="22.99"/>
    <m/>
    <x v="0"/>
    <n v="0"/>
    <n v="0"/>
    <s v="Number"/>
    <n v="5.99"/>
    <n v="5.99"/>
    <s v="$74.96"/>
    <n v="74.959999999999994"/>
    <n v="74.959999999999994"/>
    <s v="True"/>
    <s v="Normal"/>
    <s v="PayPal"/>
    <x v="1"/>
    <s v="cancelled"/>
    <s v="Canada"/>
    <m/>
    <s v="Not Required"/>
    <s v="Olsenshire"/>
  </r>
  <r>
    <s v="#1921"/>
    <n v="1"/>
    <d v="2026-08-04T13:53:45"/>
    <d v="2026-08-04T13:53:45"/>
    <s v="Lauren Howard"/>
    <x v="0"/>
    <s v="lauren.howard163@icloud.com"/>
    <s v="Yoga Mat - Extra Thick"/>
    <x v="23"/>
    <s v="Sports &amp; Outdoors"/>
    <x v="24"/>
    <n v="1"/>
    <n v="22.99"/>
    <n v="22.99"/>
    <m/>
    <x v="0"/>
    <n v="0"/>
    <n v="0"/>
    <s v="Number"/>
    <n v="5.99"/>
    <n v="5.99"/>
    <n v="28.98"/>
    <n v="28.98"/>
    <n v="28.979999999999997"/>
    <s v="True"/>
    <s v="Normal"/>
    <s v="PayPal"/>
    <x v="2"/>
    <s v="pending"/>
    <s v="United States"/>
    <s v="New York"/>
    <s v="Valid"/>
    <s v="New Philip"/>
  </r>
  <r>
    <s v="#1963"/>
    <n v="1"/>
    <d v="2026-08-04T13:58:20"/>
    <d v="2026-08-04T13:58:20"/>
    <s v="Sean Frank"/>
    <x v="0"/>
    <s v="sean.frank587@icloud.com"/>
    <s v="Yoga Mat - Extra Thick"/>
    <x v="23"/>
    <s v="Sports &amp; Outdoors"/>
    <x v="24"/>
    <n v="1"/>
    <n v="22.99"/>
    <n v="22.99"/>
    <s v="VIP15"/>
    <x v="4"/>
    <n v="3.45"/>
    <n v="3.45"/>
    <s v="Number"/>
    <n v="7.99"/>
    <n v="7.99"/>
    <n v="27.53"/>
    <n v="27.53"/>
    <n v="27.53"/>
    <s v="True"/>
    <s v="Normal"/>
    <s v="Credit Card"/>
    <x v="0"/>
    <s v="fulfilled"/>
    <s v="Australia"/>
    <m/>
    <s v="Not Required"/>
    <s v="New Bruce"/>
  </r>
  <r>
    <s v="#1973"/>
    <n v="1"/>
    <d v="2026-08-04T13:55:40"/>
    <d v="2026-08-04T13:55:40"/>
    <s v="Austin Norris"/>
    <x v="0"/>
    <s v="austin.norris15@gmail.com"/>
    <s v="Yoga Mat - Extra Thick"/>
    <x v="23"/>
    <s v="Sports &amp; Outdoors"/>
    <x v="24"/>
    <n v="3"/>
    <n v="22.99"/>
    <n v="22.99"/>
    <s v="FREESHIP"/>
    <x v="5"/>
    <n v="0"/>
    <n v="0"/>
    <s v="Number"/>
    <n v="0"/>
    <n v="0"/>
    <n v="68.97"/>
    <n v="68.97"/>
    <n v="68.97"/>
    <s v="True"/>
    <s v="Normal"/>
    <s v="PayPal"/>
    <x v="0"/>
    <s v="fulfilled"/>
    <s v="United States"/>
    <s v="WA"/>
    <s v="Valid"/>
    <s v="Jasonfurt"/>
  </r>
  <r>
    <s v="#1993"/>
    <n v="1"/>
    <d v="2026-08-04T00:00:00"/>
    <s v="04-08-2026 13:54"/>
    <s v="Timothy Maldonado"/>
    <x v="0"/>
    <s v="timothy.maldonado551@gmail.com"/>
    <s v="Yoga Mat - Extra Thick"/>
    <x v="23"/>
    <s v="Sports &amp; Outdoors"/>
    <x v="24"/>
    <n v="3"/>
    <n v="22.99"/>
    <n v="22.99"/>
    <s v="BFCM25"/>
    <x v="3"/>
    <n v="17.239999999999998"/>
    <n v="17.239999999999998"/>
    <s v="Number"/>
    <n v="4.99"/>
    <n v="4.99"/>
    <n v="56.72"/>
    <n v="56.72"/>
    <n v="56.720000000000006"/>
    <s v="True"/>
    <s v="Normal"/>
    <s v="Shopify Payments"/>
    <x v="0"/>
    <s v="fulfilled"/>
    <s v="United States"/>
    <s v="GA"/>
    <s v="Valid"/>
    <s v="Nelsonhaven"/>
  </r>
  <r>
    <s v="#1998"/>
    <n v="1"/>
    <d v="2026-08-04T14:03:47"/>
    <d v="2026-08-04T14:03:47"/>
    <s v="Vincent Rosales"/>
    <x v="0"/>
    <s v="vincent.rosales30@icloud.com"/>
    <s v="Yoga Mat - Extra Thick"/>
    <x v="23"/>
    <s v="Sports &amp; Outdoors"/>
    <x v="24"/>
    <n v="1"/>
    <n v="22.99"/>
    <n v="22.99"/>
    <m/>
    <x v="0"/>
    <n v="0"/>
    <n v="0"/>
    <s v="Number"/>
    <n v="5.99"/>
    <n v="5.99"/>
    <n v="28.98"/>
    <n v="28.98"/>
    <n v="28.979999999999997"/>
    <s v="True"/>
    <s v="Normal"/>
    <s v="Credit Card"/>
    <x v="0"/>
    <s v="cancelled"/>
    <s v="United States"/>
    <s v="TX"/>
    <s v="Valid"/>
    <s v="North Cynthiahaven"/>
  </r>
  <r>
    <s v="#2045"/>
    <n v="1"/>
    <d v="2026-08-04T13:58:21"/>
    <d v="2026-08-04T13:58:21"/>
    <s v="Dustin Mccoy"/>
    <x v="0"/>
    <s v="dustin.mccoy570@gmail.com"/>
    <s v="Yoga Mat - Extra Thick"/>
    <x v="23"/>
    <s v="Sports &amp; Outdoors"/>
    <x v="24"/>
    <n v="1"/>
    <n v="22.99"/>
    <n v="22.99"/>
    <m/>
    <x v="0"/>
    <n v="0"/>
    <n v="0"/>
    <s v="Number"/>
    <n v="7.99"/>
    <n v="7.99"/>
    <n v="30.98"/>
    <n v="30.98"/>
    <n v="30.979999999999997"/>
    <s v="True"/>
    <s v="Normal"/>
    <s v="Apple Pay"/>
    <x v="2"/>
    <s v="fulfilled"/>
    <s v="Canada"/>
    <m/>
    <s v="Not Required"/>
    <s v="Tinahaven"/>
  </r>
  <r>
    <s v="#2077"/>
    <n v="1"/>
    <d v="2026-08-04T14:01:48"/>
    <d v="2026-08-04T14:01:48"/>
    <s v="Gerald Li"/>
    <x v="0"/>
    <s v="gerald.li856@icloud.com"/>
    <s v="Yoga Mat - Extra Thick"/>
    <x v="23"/>
    <s v="Sports &amp; Outdoors"/>
    <x v="24"/>
    <n v="1"/>
    <n v="22.99"/>
    <n v="22.99"/>
    <s v="SAVE20"/>
    <x v="2"/>
    <n v="4.5999999999999996"/>
    <n v="4.5999999999999996"/>
    <s v="Number"/>
    <n v="5.99"/>
    <n v="5.99"/>
    <n v="24.38"/>
    <n v="24.38"/>
    <n v="24.380000000000003"/>
    <s v="True"/>
    <s v="Normal"/>
    <s v="Credit Card"/>
    <x v="1"/>
    <s v="pending"/>
    <s v="United States"/>
    <s v="Florida"/>
    <s v="Valid"/>
    <s v="Mcguireburgh"/>
  </r>
  <r>
    <s v="#2127"/>
    <n v="1"/>
    <d v="2026-08-04T13:56:27"/>
    <d v="2026-08-04T13:56:27"/>
    <s v="Brittney Thomas"/>
    <x v="0"/>
    <s v="brittney.thomas484@gmail.com"/>
    <s v="Yoga Mat - Extra Thick"/>
    <x v="23"/>
    <s v="Sports &amp; Outdoors"/>
    <x v="24"/>
    <n v="1"/>
    <n v="22.99"/>
    <n v="22.99"/>
    <m/>
    <x v="0"/>
    <n v="0"/>
    <n v="0"/>
    <s v="Number"/>
    <n v="4.99"/>
    <n v="4.99"/>
    <n v="27.98"/>
    <n v="27.98"/>
    <n v="27.979999999999997"/>
    <s v="True"/>
    <s v="Normal"/>
    <s v="Shopify Payments"/>
    <x v="0"/>
    <s v="fulfilled"/>
    <s v="United States"/>
    <s v="Ohio"/>
    <s v="Valid"/>
    <s v="West Stephanieberg"/>
  </r>
  <r>
    <s v="#2128"/>
    <n v="1"/>
    <d v="2026-08-04T14:01:22"/>
    <d v="2026-08-04T14:01:22"/>
    <s v="David Duke"/>
    <x v="0"/>
    <s v="david.duke814@icloud.com"/>
    <s v="YOGA MAT - EXTRA THICK"/>
    <x v="23"/>
    <s v="Sports &amp; Outdoors"/>
    <x v="24"/>
    <n v="1"/>
    <n v="22.99"/>
    <n v="22.99"/>
    <m/>
    <x v="0"/>
    <n v="0"/>
    <n v="0"/>
    <s v="Number"/>
    <n v="7.99"/>
    <n v="7.99"/>
    <n v="30.98"/>
    <n v="30.98"/>
    <n v="30.979999999999997"/>
    <s v="True"/>
    <s v="Normal"/>
    <s v="Shopify Payments"/>
    <x v="2"/>
    <s v="cancelled"/>
    <s v="United States"/>
    <s v="Georgia"/>
    <s v="Valid"/>
    <s v="Adamsshire"/>
  </r>
  <r>
    <s v="#2204"/>
    <n v="1"/>
    <d v="2026-08-04T00:00:00"/>
    <s v="Aug 04, 2026"/>
    <s v="Maria Patterson"/>
    <x v="0"/>
    <s v="maria.patterson62@icloud.com"/>
    <s v="Yoga Mat - Extra Thick"/>
    <x v="23"/>
    <s v="Sports &amp; Outdoors"/>
    <x v="24"/>
    <n v="1"/>
    <n v="22.99"/>
    <n v="22.99"/>
    <s v="VIP15"/>
    <x v="4"/>
    <n v="3.45"/>
    <n v="3.45"/>
    <s v="Number"/>
    <n v="5.99"/>
    <n v="5.99"/>
    <n v="25.53"/>
    <n v="25.53"/>
    <n v="25.53"/>
    <s v="True"/>
    <s v="Normal"/>
    <s v="Credit Card"/>
    <x v="2"/>
    <s v="cancelled"/>
    <s v="United States"/>
    <s v="Texas"/>
    <s v="Valid"/>
    <s v="West Ericport"/>
  </r>
  <r>
    <s v="#2218"/>
    <n v="1"/>
    <d v="2026-04-08T00:00:00"/>
    <s v="08/04/2026"/>
    <s v="Melissa Jones"/>
    <x v="0"/>
    <s v="melissa.jones297@yahoo.com"/>
    <s v="Yoga Mat - Extra Thick"/>
    <x v="23"/>
    <s v="Sports &amp; Outdoors"/>
    <x v="24"/>
    <n v="1"/>
    <n v="22.99"/>
    <n v="22.99"/>
    <m/>
    <x v="0"/>
    <n v="0"/>
    <n v="0"/>
    <s v="Number"/>
    <n v="7.99"/>
    <n v="7.99"/>
    <n v="30.98"/>
    <n v="30.98"/>
    <n v="30.979999999999997"/>
    <s v="True"/>
    <s v="Normal"/>
    <s v="Google Pay"/>
    <x v="0"/>
    <s v="fulfilled"/>
    <s v="United States"/>
    <s v="Texas"/>
    <s v="Valid"/>
    <s v="Haydenton"/>
  </r>
  <r>
    <s v="#2225"/>
    <n v="1"/>
    <d v="2026-08-04T14:05:07"/>
    <d v="2026-08-04T14:05:07"/>
    <s v="Richard Ward"/>
    <x v="0"/>
    <s v="richard.ward894@icloud.com"/>
    <s v="Yoga Mat - Extra Thick"/>
    <x v="23"/>
    <s v="Sports &amp; Outdoors"/>
    <x v="24"/>
    <n v="1"/>
    <n v="22.99"/>
    <n v="22.99"/>
    <s v="BFCM25"/>
    <x v="3"/>
    <n v="5.75"/>
    <n v="5.75"/>
    <s v="Number"/>
    <n v="5.99"/>
    <n v="5.99"/>
    <n v="23.23"/>
    <n v="23.23"/>
    <n v="23.229999999999997"/>
    <s v="True"/>
    <s v="Normal"/>
    <s v="Shopify Payments"/>
    <x v="1"/>
    <s v="fulfilled"/>
    <s v="Pakistan"/>
    <m/>
    <s v="Not Required"/>
    <s v="Jessicaberg"/>
  </r>
  <r>
    <s v="#2319"/>
    <n v="1"/>
    <d v="2026-08-04T13:57:35"/>
    <d v="2026-08-04T13:57:35"/>
    <s v="Andrea Martinez"/>
    <x v="0"/>
    <s v="andrea.martinez756@yahoo.com"/>
    <s v="Yoga Mat - Extra Thick"/>
    <x v="23"/>
    <s v="Sports &amp; Outdoors"/>
    <x v="24"/>
    <n v="1"/>
    <n v="22.99"/>
    <n v="22.99"/>
    <m/>
    <x v="0"/>
    <n v="0"/>
    <n v="0"/>
    <s v="Number"/>
    <n v="4.99"/>
    <n v="4.99"/>
    <s v="$27.98"/>
    <n v="27.98"/>
    <n v="27.979999999999997"/>
    <s v="True"/>
    <s v="Normal"/>
    <s v="PayPal"/>
    <x v="1"/>
    <s v="pending"/>
    <s v="Australia"/>
    <m/>
    <s v="Not Required"/>
    <s v="Andreastad"/>
  </r>
  <r>
    <s v="#2336"/>
    <n v="1"/>
    <d v="2026-08-04T14:00:09"/>
    <d v="2026-08-04T14:00:09"/>
    <s v="Morgan Brown"/>
    <x v="0"/>
    <s v="morgan.brown933@gmail.com"/>
    <s v="Yoga Mat - Extra Thick"/>
    <x v="23"/>
    <s v="Sports &amp; Outdoors"/>
    <x v="24"/>
    <n v="1"/>
    <s v="$22.99"/>
    <n v="22.99"/>
    <m/>
    <x v="0"/>
    <n v="0"/>
    <n v="0"/>
    <s v="Number"/>
    <n v="4.99"/>
    <n v="4.99"/>
    <n v="27.98"/>
    <n v="27.98"/>
    <n v="27.979999999999997"/>
    <s v="True"/>
    <s v="Normal"/>
    <s v="Credit Card"/>
    <x v="1"/>
    <s v="fulfilled"/>
    <s v="United States"/>
    <s v="California"/>
    <s v="Valid"/>
    <s v="Lake Josephborough"/>
  </r>
  <r>
    <s v="#2339"/>
    <n v="1"/>
    <d v="2026-08-04T14:04:20"/>
    <d v="2026-08-04T14:04:20"/>
    <s v="Alan Davis"/>
    <x v="0"/>
    <s v="alan.davis483@icloud.com"/>
    <s v="Yoga Mat - Extra Thick"/>
    <x v="23"/>
    <s v="Sports &amp; Outdoors"/>
    <x v="24"/>
    <n v="2"/>
    <n v="22.99"/>
    <n v="22.99"/>
    <s v="VIP15"/>
    <x v="4"/>
    <n v="6.9"/>
    <n v="6.9"/>
    <s v="Number"/>
    <n v="4.99"/>
    <n v="4.99"/>
    <n v="44.07"/>
    <n v="44.07"/>
    <n v="44.07"/>
    <s v="True"/>
    <s v="Normal"/>
    <s v="Google Pay"/>
    <x v="0"/>
    <s v="fulfilled"/>
    <s v="Canada"/>
    <m/>
    <s v="Not Required"/>
    <s v="Elizabethville"/>
  </r>
  <r>
    <s v="#2425"/>
    <n v="1"/>
    <d v="2026-08-04T13:55:17"/>
    <d v="2026-08-04T13:55:17"/>
    <s v="Joshua Miller"/>
    <x v="0"/>
    <s v="joshua.miller362@gmail.com"/>
    <s v="Yoga Mat - Extra Thick"/>
    <x v="23"/>
    <s v="Sports &amp; Outdoors"/>
    <x v="24"/>
    <n v="1"/>
    <s v="$22.99"/>
    <n v="22.99"/>
    <m/>
    <x v="0"/>
    <n v="0"/>
    <n v="0"/>
    <s v="Number"/>
    <n v="5.99"/>
    <n v="5.99"/>
    <n v="28.98"/>
    <n v="28.98"/>
    <n v="28.979999999999997"/>
    <s v="True"/>
    <s v="Normal"/>
    <s v="PayPal"/>
    <x v="0"/>
    <s v="pending"/>
    <s v="Canada"/>
    <m/>
    <s v="Not Required"/>
    <s v="Floresfort"/>
  </r>
  <r>
    <s v="#2433"/>
    <n v="1"/>
    <d v="2026-08-04T14:01:24"/>
    <d v="2026-08-04T14:01:24"/>
    <s v="Amanda Robinson"/>
    <x v="0"/>
    <s v="amanda.robinson263@icloud.com"/>
    <s v="Yoga Mat - Extra Thick"/>
    <x v="23"/>
    <s v="Sports &amp; Outdoors"/>
    <x v="24"/>
    <n v="4"/>
    <n v="22.99"/>
    <n v="22.99"/>
    <m/>
    <x v="0"/>
    <n v="0"/>
    <n v="0"/>
    <s v="Number"/>
    <n v="0"/>
    <n v="0"/>
    <n v="91.96"/>
    <n v="91.96"/>
    <n v="91.96"/>
    <s v="True"/>
    <s v="Outlier"/>
    <s v="Google Pay"/>
    <x v="2"/>
    <s v="fulfilled"/>
    <s v="United States"/>
    <s v="NY"/>
    <s v="Valid"/>
    <s v="Luisville"/>
  </r>
  <r>
    <s v="#2463"/>
    <n v="1"/>
    <d v="2026-08-04T14:00:11"/>
    <d v="2026-08-04T14:00:11"/>
    <s v="Joseph Martin"/>
    <x v="0"/>
    <s v="joseph.martin348@icloud.com"/>
    <s v="Yoga Mat - Extra Thick"/>
    <x v="23"/>
    <s v="Sports &amp; Outdoors"/>
    <x v="24"/>
    <n v="1"/>
    <n v="22.99"/>
    <n v="22.99"/>
    <m/>
    <x v="0"/>
    <n v="0"/>
    <n v="0"/>
    <s v="Number"/>
    <n v="4.99"/>
    <n v="4.99"/>
    <n v="27.98"/>
    <n v="27.98"/>
    <n v="27.979999999999997"/>
    <s v="True"/>
    <s v="Normal"/>
    <s v="Credit Card"/>
    <x v="1"/>
    <s v="refunded"/>
    <s v="United States"/>
    <s v="Texas"/>
    <s v="Valid"/>
    <s v="New Anne"/>
  </r>
  <r>
    <s v="#2491"/>
    <n v="1"/>
    <d v="2026-08-04T00:00:00"/>
    <s v="2026-08-04"/>
    <s v="Charles Franco"/>
    <x v="0"/>
    <s v="charles.franco761@outlook.com"/>
    <s v="Yoga Mat - Extra Thick"/>
    <x v="23"/>
    <s v="Sports &amp; Outdoors"/>
    <x v="24"/>
    <n v="1"/>
    <n v="22.99"/>
    <n v="22.99"/>
    <s v="BFCM25"/>
    <x v="3"/>
    <n v="5.75"/>
    <n v="5.75"/>
    <s v="Number"/>
    <n v="7.99"/>
    <n v="7.99"/>
    <n v="25.23"/>
    <n v="25.23"/>
    <n v="25.229999999999997"/>
    <s v="True"/>
    <s v="Normal"/>
    <s v="PayPal"/>
    <x v="3"/>
    <s v="fulfilled"/>
    <s v="United States"/>
    <s v="Arizona"/>
    <s v="Valid"/>
    <s v="Whitefort"/>
  </r>
  <r>
    <s v="#2562"/>
    <n v="1"/>
    <d v="2026-08-04T14:04:22"/>
    <d v="2026-08-04T14:04:22"/>
    <s v="Tammy Hawkins"/>
    <x v="0"/>
    <s v="tammy.hawkins461@outlook.com"/>
    <s v="Yoga Mat - Extra Thick"/>
    <x v="23"/>
    <s v="Sports &amp; Outdoors"/>
    <x v="24"/>
    <n v="1"/>
    <n v="22.99"/>
    <n v="22.99"/>
    <s v="SAVE20"/>
    <x v="2"/>
    <n v="4.5999999999999996"/>
    <n v="4.5999999999999996"/>
    <s v="Number"/>
    <n v="7.99"/>
    <n v="7.99"/>
    <n v="26.38"/>
    <n v="26.38"/>
    <n v="26.380000000000003"/>
    <s v="True"/>
    <s v="Normal"/>
    <s v="PayPal"/>
    <x v="0"/>
    <s v="fulfilled"/>
    <s v="United States"/>
    <s v="Texas"/>
    <s v="Valid"/>
    <s v="Lake Angela"/>
  </r>
  <r>
    <s v="#2594"/>
    <n v="1"/>
    <d v="2026-08-04T13:59:23"/>
    <d v="2026-08-04T13:59:23"/>
    <s v="Deborah Wilson"/>
    <x v="0"/>
    <s v="deborah.wilson691@icloud.com"/>
    <s v="Yoga Mat - Extra Thick"/>
    <x v="23"/>
    <s v="Sports &amp; Outdoors"/>
    <x v="24"/>
    <n v="1"/>
    <n v="22.99"/>
    <n v="22.99"/>
    <m/>
    <x v="0"/>
    <n v="0"/>
    <n v="0"/>
    <s v="Number"/>
    <n v="5.99"/>
    <n v="5.99"/>
    <n v="28.98"/>
    <n v="28.98"/>
    <n v="28.979999999999997"/>
    <s v="True"/>
    <s v="Normal"/>
    <s v="Shopify Payments"/>
    <x v="0"/>
    <s v="pending"/>
    <s v="United Kingdom"/>
    <m/>
    <s v="Not Required"/>
    <s v="Lake Daniellechester"/>
  </r>
  <r>
    <s v="#2611"/>
    <n v="1"/>
    <d v="2026-08-04T13:54:27"/>
    <d v="2026-08-04T13:54:27"/>
    <s v="Dustin Griffin"/>
    <x v="0"/>
    <s v="dustin.griffin434@gmail.com"/>
    <s v="Yoga Mat - Extra Thick"/>
    <x v="23"/>
    <s v="Sports &amp; Outdoors"/>
    <x v="24"/>
    <n v="2"/>
    <n v="22.99"/>
    <n v="22.99"/>
    <m/>
    <x v="0"/>
    <n v="0"/>
    <n v="0"/>
    <s v="Number"/>
    <n v="5.99"/>
    <n v="5.99"/>
    <n v="51.97"/>
    <n v="51.97"/>
    <n v="51.97"/>
    <s v="True"/>
    <s v="Normal"/>
    <s v="Shopify Payments"/>
    <x v="2"/>
    <s v="refunded"/>
    <s v="United States"/>
    <s v="Illinois"/>
    <s v="Valid"/>
    <s v="New Michaelmouth"/>
  </r>
  <r>
    <s v="#2655"/>
    <n v="1"/>
    <d v="2026-08-04T13:53:56"/>
    <d v="2026-08-04T13:53:56"/>
    <s v="Seth Price"/>
    <x v="0"/>
    <s v="seth.price179@gmail.com"/>
    <s v="Yoga Mat - Extra Thick"/>
    <x v="23"/>
    <s v="Sports &amp; Outdoors"/>
    <x v="24"/>
    <n v="2"/>
    <n v="22.99"/>
    <n v="22.99"/>
    <s v="VIP15"/>
    <x v="4"/>
    <n v="6.9"/>
    <n v="6.9"/>
    <s v="Number"/>
    <n v="4.99"/>
    <n v="4.99"/>
    <n v="44.07"/>
    <n v="44.07"/>
    <n v="44.07"/>
    <s v="True"/>
    <s v="Normal"/>
    <s v="PayPal"/>
    <x v="1"/>
    <s v="fulfilled"/>
    <s v="United States"/>
    <s v="Canada"/>
    <s v="Valid"/>
    <s v="West Anthony"/>
  </r>
  <r>
    <s v="#2678"/>
    <n v="1"/>
    <d v="2026-08-04T13:56:55"/>
    <d v="2026-08-04T13:56:55"/>
    <s v="Christy Phillips"/>
    <x v="0"/>
    <s v="christy.phillips291@gmail.com"/>
    <s v="Yoga Mat - Extra Thick"/>
    <x v="23"/>
    <s v="Sports &amp; Outdoors"/>
    <x v="24"/>
    <n v="3"/>
    <s v="$22.99"/>
    <n v="22.99"/>
    <s v="FREESHIP"/>
    <x v="5"/>
    <n v="0"/>
    <n v="0"/>
    <s v="Number"/>
    <n v="0"/>
    <n v="0"/>
    <n v="68.97"/>
    <n v="68.97"/>
    <n v="68.97"/>
    <s v="True"/>
    <s v="Normal"/>
    <s v="Shopify Payments"/>
    <x v="2"/>
    <s v="fulfilled"/>
    <s v="Pakistan"/>
    <m/>
    <s v="Not Required"/>
    <s v="New Gordon"/>
  </r>
  <r>
    <s v="#2688"/>
    <n v="1"/>
    <d v="2026-08-04T14:05:24"/>
    <d v="2026-08-04T14:05:24"/>
    <s v="Chad Smith"/>
    <x v="0"/>
    <s v="chad.smith773@icloud.com"/>
    <s v="Yoga Mat - Extra Thick"/>
    <x v="23"/>
    <s v="Sports &amp; Outdoors"/>
    <x v="24"/>
    <n v="1"/>
    <n v="22.99"/>
    <n v="22.99"/>
    <m/>
    <x v="0"/>
    <s v="$0.00"/>
    <n v="0"/>
    <s v="Number"/>
    <n v="5.99"/>
    <n v="5.99"/>
    <n v="28.98"/>
    <n v="28.98"/>
    <n v="28.979999999999997"/>
    <s v="True"/>
    <s v="Normal"/>
    <s v="Apple Pay"/>
    <x v="0"/>
    <s v="fulfilled"/>
    <s v="Pakistan"/>
    <m/>
    <s v="Not Required"/>
    <s v="Smithview"/>
  </r>
  <r>
    <s v="#2700"/>
    <n v="1"/>
    <d v="2026-08-04T13:59:07"/>
    <d v="2026-08-04T13:59:07"/>
    <s v="Richard Zavala"/>
    <x v="1"/>
    <m/>
    <s v="Yoga Mat - Extra Thick"/>
    <x v="23"/>
    <s v="Sports &amp; Outdoors"/>
    <x v="24"/>
    <n v="1"/>
    <n v="22.99"/>
    <n v="22.99"/>
    <m/>
    <x v="0"/>
    <n v="0"/>
    <n v="0"/>
    <s v="Number"/>
    <n v="5.99"/>
    <n v="5.99"/>
    <n v="28.98"/>
    <n v="28.98"/>
    <n v="28.979999999999997"/>
    <s v="True"/>
    <s v="Normal"/>
    <s v="Shopify Payments"/>
    <x v="0"/>
    <s v="fulfilled"/>
    <s v="Canada"/>
    <m/>
    <s v="Not Required"/>
    <s v="Markbury"/>
  </r>
  <r>
    <s v="#2703"/>
    <n v="1"/>
    <d v="2026-08-04T13:58:16"/>
    <d v="2026-08-04T13:58:16"/>
    <s v="Thomas Rojas"/>
    <x v="0"/>
    <s v="thomas.rojas667@icloud.com"/>
    <s v="YOGA MAT - EXTRA THICK"/>
    <x v="23"/>
    <s v="Sports &amp; Outdoors"/>
    <x v="24"/>
    <n v="2"/>
    <n v="22.99"/>
    <n v="22.99"/>
    <m/>
    <x v="0"/>
    <n v="0"/>
    <n v="0"/>
    <s v="Number"/>
    <n v="5.99"/>
    <n v="5.99"/>
    <n v="51.97"/>
    <n v="51.97"/>
    <n v="51.97"/>
    <s v="True"/>
    <s v="Normal"/>
    <s v="Credit Card"/>
    <x v="0"/>
    <s v="fulfilled"/>
    <s v="United States"/>
    <s v="Texas"/>
    <s v="Valid"/>
    <s v="East Catherinechester"/>
  </r>
  <r>
    <s v="#2732"/>
    <n v="1"/>
    <d v="2026-08-04T14:05:35"/>
    <d v="2026-08-04T14:05:35"/>
    <s v="Jack Bryant"/>
    <x v="0"/>
    <s v="jack.bryant173@gmail.com"/>
    <s v="Yoga Mat - Extra Thick"/>
    <x v="23"/>
    <s v="Sports &amp; Outdoors"/>
    <x v="24"/>
    <n v="1"/>
    <n v="22.99"/>
    <n v="22.99"/>
    <s v="WELCOME10"/>
    <x v="1"/>
    <n v="2.2999999999999998"/>
    <n v="2.2999999999999998"/>
    <s v="Number"/>
    <n v="7.99"/>
    <n v="7.99"/>
    <n v="28.68"/>
    <n v="28.68"/>
    <n v="28.68"/>
    <s v="True"/>
    <s v="Normal"/>
    <s v="Google Pay"/>
    <x v="1"/>
    <s v="refunded"/>
    <s v="Germany"/>
    <m/>
    <s v="Not Required"/>
    <s v="Jacksonfurt"/>
  </r>
  <r>
    <s v="#2755"/>
    <n v="1"/>
    <d v="2026-04-08T00:00:00"/>
    <s v="08/04/2026"/>
    <s v="Rojas, Thomas"/>
    <x v="0"/>
    <s v="thomas.rojas667@icloud.com"/>
    <s v="Yoga Mat - Extra Thick"/>
    <x v="23"/>
    <s v="Sports &amp; Outdoors"/>
    <x v="24"/>
    <n v="2"/>
    <n v="22.99"/>
    <n v="22.99"/>
    <s v="BFCM25"/>
    <x v="3"/>
    <n v="11.49"/>
    <n v="11.49"/>
    <s v="Number"/>
    <n v="7.99"/>
    <n v="7.99"/>
    <n v="42.48"/>
    <n v="42.48"/>
    <n v="42.48"/>
    <s v="True"/>
    <s v="Normal"/>
    <s v="Apple Pay"/>
    <x v="2"/>
    <s v="fulfilled"/>
    <s v="United States"/>
    <s v="Texas"/>
    <s v="Valid"/>
    <s v="Rodriguezport"/>
  </r>
  <r>
    <s v="#2801"/>
    <n v="1"/>
    <d v="2026-08-04T00:00:00"/>
    <s v="Aug 04, 2026"/>
    <s v="Joshua Ayers"/>
    <x v="0"/>
    <s v="joshua.ayers935@yahoo.com"/>
    <s v="Yoga Mat - Extra Thick"/>
    <x v="23"/>
    <s v="Sports &amp; Outdoors"/>
    <x v="24"/>
    <n v="2"/>
    <n v="22.99"/>
    <n v="22.99"/>
    <m/>
    <x v="0"/>
    <n v="0"/>
    <n v="0"/>
    <s v="Number"/>
    <n v="7.99"/>
    <n v="7.99"/>
    <n v="53.97"/>
    <n v="53.97"/>
    <n v="53.97"/>
    <s v="True"/>
    <s v="Normal"/>
    <s v="Shopify Payments"/>
    <x v="0"/>
    <s v="refunded"/>
    <s v="Germany"/>
    <m/>
    <s v="Not Required"/>
    <s v="Lake Scottmouth"/>
  </r>
  <r>
    <s v="#2803"/>
    <n v="1"/>
    <d v="2026-04-08T00:00:00"/>
    <s v="08/04/2026"/>
    <s v="Christopher Osborne"/>
    <x v="0"/>
    <s v="christopher.osborne481@yahoo.com"/>
    <s v="Yoga Mat - Extra Thick"/>
    <x v="23"/>
    <s v="Sports &amp; Outdoors"/>
    <x v="24"/>
    <n v="1"/>
    <n v="22.99"/>
    <n v="22.99"/>
    <s v="FREESHIP"/>
    <x v="5"/>
    <n v="0"/>
    <n v="0"/>
    <s v="Number"/>
    <n v="0"/>
    <n v="0"/>
    <n v="22.99"/>
    <n v="22.99"/>
    <n v="22.99"/>
    <s v="True"/>
    <s v="Normal"/>
    <s v="Apple Pay"/>
    <x v="3"/>
    <s v="fulfilled"/>
    <s v="United States"/>
    <s v="Georgia"/>
    <s v="Valid"/>
    <s v="West Keith"/>
  </r>
  <r>
    <s v="#2805"/>
    <n v="1"/>
    <d v="2026-08-04T14:07:40"/>
    <d v="2026-08-04T14:07:40"/>
    <s v="Erika Maxwell"/>
    <x v="0"/>
    <s v="erika.maxwell281@gmail.com"/>
    <s v="Yoga Mat - Extra Thick"/>
    <x v="23"/>
    <s v="Sports &amp; Outdoors"/>
    <x v="24"/>
    <n v="1"/>
    <n v="22.99"/>
    <n v="22.99"/>
    <m/>
    <x v="0"/>
    <n v="0"/>
    <n v="0"/>
    <s v="Number"/>
    <n v="4.99"/>
    <n v="4.99"/>
    <n v="27.98"/>
    <n v="27.98"/>
    <n v="27.979999999999997"/>
    <s v="True"/>
    <s v="Normal"/>
    <s v="PayPal"/>
    <x v="1"/>
    <s v="refunded"/>
    <s v="United States"/>
    <s v="Texas"/>
    <s v="Valid"/>
    <s v="North Mark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00">
  <r>
    <s v="#1007"/>
    <n v="1"/>
    <d v="2026-08-04T14:05:52"/>
    <d v="2026-08-04T14:05:52"/>
    <s v="Maria Leon"/>
    <s v="Email Available"/>
    <s v="maria.leon163@outlook.com"/>
    <x v="0"/>
    <s v="Sports &amp; Outdoors"/>
    <x v="0"/>
    <n v="1"/>
    <n v="89.99"/>
    <n v="89.99"/>
    <m/>
    <s v=""/>
    <n v="0"/>
    <n v="0"/>
    <s v="Number"/>
    <n v="0"/>
    <n v="0"/>
    <n v="89.99"/>
    <n v="89.99"/>
    <n v="89.99"/>
    <s v="True"/>
    <s v="Outlier"/>
    <s v="Apple Pay"/>
    <s v="Online Store"/>
    <s v="refunded"/>
    <s v="Canada"/>
    <m/>
    <s v="Not Required"/>
    <s v="North Rebeccaland"/>
  </r>
  <r>
    <s v="#1016"/>
    <n v="1"/>
    <d v="2026-04-08T00:00:00"/>
    <s v="08/04/2026"/>
    <s v="Rachel Jimenez"/>
    <s v="Email Available"/>
    <s v="rachel.jimenez326@outlook.com"/>
    <x v="0"/>
    <s v="Sports &amp; Outdoors"/>
    <x v="0"/>
    <n v="1"/>
    <n v="89.99"/>
    <n v="89.99"/>
    <m/>
    <s v=""/>
    <n v="0"/>
    <n v="0"/>
    <s v="Number"/>
    <n v="0"/>
    <n v="0"/>
    <n v="89.99"/>
    <n v="89.99"/>
    <n v="89.99"/>
    <s v="True"/>
    <s v="Outlier"/>
    <s v="Google Pay"/>
    <s v="POS"/>
    <s v="fulfilled"/>
    <s v="United States"/>
    <s v="Texas"/>
    <s v="Valid"/>
    <s v="Larsonchester"/>
  </r>
  <r>
    <s v="#1026"/>
    <n v="1"/>
    <d v="2026-08-04T14:04:49"/>
    <d v="2026-08-04T14:04:49"/>
    <s v="Amanda Rodriguez"/>
    <s v="Email Available"/>
    <s v="amanda.rodriguez770@yahoo.com"/>
    <x v="0"/>
    <s v="Sports &amp; Outdoors"/>
    <x v="0"/>
    <n v="1"/>
    <n v="89.99"/>
    <n v="89.99"/>
    <m/>
    <s v=""/>
    <n v="0"/>
    <n v="0"/>
    <s v="Number"/>
    <n v="0"/>
    <n v="0"/>
    <n v="89.99"/>
    <n v="89.99"/>
    <n v="89.99"/>
    <s v="True"/>
    <s v="Outlier"/>
    <s v="PayPal"/>
    <s v="POS"/>
    <s v="fulfilled"/>
    <s v="United States"/>
    <s v="North Carolina"/>
    <s v="Valid"/>
    <s v="Port Brittneyview"/>
  </r>
  <r>
    <s v="#1065"/>
    <n v="1"/>
    <d v="2026-08-04T14:02:18"/>
    <d v="2026-08-04T14:02:18"/>
    <s v="Jaime Vargas"/>
    <s v="Email Available"/>
    <s v="jaime.vargas795@outlook.com"/>
    <x v="0"/>
    <s v="Sports &amp; Outdoors"/>
    <x v="0"/>
    <n v="4"/>
    <n v="89.99"/>
    <n v="89.99"/>
    <m/>
    <s v=""/>
    <n v="0"/>
    <n v="0"/>
    <s v="Number"/>
    <n v="0"/>
    <n v="0"/>
    <n v="359.96"/>
    <n v="359.96"/>
    <n v="359.96"/>
    <s v="True"/>
    <s v="Outlier"/>
    <s v="Apple Pay"/>
    <s v="Instagram"/>
    <s v="fulfilled"/>
    <s v="United Kingdom"/>
    <m/>
    <s v="Not Required"/>
    <s v="North Victoriamouth"/>
  </r>
  <r>
    <s v="#1090"/>
    <n v="1"/>
    <d v="2026-08-04T13:54:11"/>
    <d v="2026-08-04T13:54:11"/>
    <s v="Glenn Mcmahon"/>
    <s v="Email Available"/>
    <s v="glenn.mcmahon733@yahoo.com"/>
    <x v="0"/>
    <s v="Sports &amp; Outdoors"/>
    <x v="0"/>
    <n v="1"/>
    <n v="89.99"/>
    <n v="89.99"/>
    <s v="WELCOME10"/>
    <s v="WELCOME10"/>
    <n v="9"/>
    <n v="9"/>
    <s v="Number"/>
    <n v="0"/>
    <n v="0"/>
    <n v="80.989999999999995"/>
    <n v="80.989999999999995"/>
    <n v="80.989999999999995"/>
    <s v="True"/>
    <s v="Normal"/>
    <s v="PayPal"/>
    <s v="Online Store"/>
    <s v="fulfilled"/>
    <s v="United States"/>
    <s v="Illinois"/>
    <s v="Valid"/>
    <s v="West Thomaschester"/>
  </r>
  <r>
    <s v="#1117"/>
    <n v="1"/>
    <d v="2026-08-04T00:00:00"/>
    <s v="04-08-2026 14:06"/>
    <s v="Stacey Morales"/>
    <s v="Email Available"/>
    <s v="stacey.morales538@yahoo.com"/>
    <x v="0"/>
    <s v="Sports &amp; Outdoors"/>
    <x v="0"/>
    <n v="1"/>
    <s v="$89.99"/>
    <n v="89.99"/>
    <m/>
    <s v=""/>
    <n v="0"/>
    <n v="0"/>
    <s v="Number"/>
    <n v="0"/>
    <n v="0"/>
    <n v="89.99"/>
    <n v="89.99"/>
    <n v="89.99"/>
    <s v="True"/>
    <s v="Outlier"/>
    <s v="PayPal"/>
    <s v="Instagram"/>
    <s v="fulfilled"/>
    <s v="Australia"/>
    <m/>
    <s v="Not Required"/>
    <s v="Morganmouth"/>
  </r>
  <r>
    <s v="#1146"/>
    <n v="1"/>
    <d v="2026-08-04T13:56:01"/>
    <d v="2026-08-04T13:56:01"/>
    <s v="Jaime Vargas"/>
    <s v="Email Available"/>
    <s v="jaime.vargas795@outlook.com"/>
    <x v="0"/>
    <s v="Sports &amp; Outdoors"/>
    <x v="0"/>
    <n v="1"/>
    <n v="89.99"/>
    <n v="89.99"/>
    <s v="WELCOME10"/>
    <s v="WELCOME10"/>
    <n v="9"/>
    <n v="9"/>
    <s v="Number"/>
    <n v="0"/>
    <n v="0"/>
    <n v="80.989999999999995"/>
    <n v="80.989999999999995"/>
    <n v="80.989999999999995"/>
    <s v="True"/>
    <s v="Normal"/>
    <s v="Credit Card"/>
    <s v="POS"/>
    <s v="fulfilled"/>
    <s v="United Kingdom"/>
    <m/>
    <s v="Not Required"/>
    <s v="Lake Rickyland"/>
  </r>
  <r>
    <s v="#1159"/>
    <n v="1"/>
    <d v="2026-08-04T13:55:10"/>
    <d v="2026-08-04T13:55:10"/>
    <s v="Christopher Martin"/>
    <s v="Email Available"/>
    <s v="christopher.martin10@gmail.com"/>
    <x v="0"/>
    <s v="Sports &amp; Outdoors"/>
    <x v="0"/>
    <n v="1"/>
    <n v="89.99"/>
    <n v="89.99"/>
    <m/>
    <s v=""/>
    <n v="0"/>
    <n v="0"/>
    <s v="Number"/>
    <n v="0"/>
    <n v="0"/>
    <n v="89.99"/>
    <n v="89.99"/>
    <n v="89.99"/>
    <s v="True"/>
    <s v="Outlier"/>
    <s v="PayPal"/>
    <s v="POS"/>
    <s v="fulfilled"/>
    <s v="United States"/>
    <s v="Ohio"/>
    <s v="Valid"/>
    <s v="Sarahfort"/>
  </r>
  <r>
    <s v="#1183"/>
    <n v="1"/>
    <d v="2026-08-04T00:00:00"/>
    <s v="Aug 04, 2026"/>
    <s v="Benjamin Collins"/>
    <s v="Email Available"/>
    <s v="benjamin.collins953@icloud.com"/>
    <x v="0"/>
    <s v="Sports &amp; Outdoors"/>
    <x v="0"/>
    <n v="1"/>
    <n v="89.99"/>
    <n v="89.99"/>
    <s v="SAVE20"/>
    <s v="SAVE20"/>
    <n v="18"/>
    <n v="18"/>
    <s v="Number"/>
    <n v="0"/>
    <n v="0"/>
    <n v="71.989999999999995"/>
    <n v="71.989999999999995"/>
    <n v="71.989999999999995"/>
    <s v="True"/>
    <s v="Normal"/>
    <s v="Google Pay"/>
    <s v="Instagram"/>
    <s v="fulfilled"/>
    <s v="Pakistan"/>
    <m/>
    <s v="Not Required"/>
    <s v="Lake Patriciaview"/>
  </r>
  <r>
    <s v="#1197"/>
    <n v="1"/>
    <d v="2026-08-04T14:00:50"/>
    <d v="2026-08-04T14:00:50"/>
    <s v="Carly Johnson"/>
    <s v="Email Available"/>
    <s v="carly.johnson664@gmail.com"/>
    <x v="0"/>
    <s v="Sports &amp; Outdoors"/>
    <x v="0"/>
    <n v="1"/>
    <n v="89.99"/>
    <n v="89.99"/>
    <s v="SAVE20"/>
    <s v="SAVE20"/>
    <n v="18"/>
    <n v="18"/>
    <s v="Number"/>
    <n v="0"/>
    <n v="0"/>
    <n v="71.989999999999995"/>
    <n v="71.989999999999995"/>
    <n v="71.989999999999995"/>
    <s v="True"/>
    <s v="Normal"/>
    <s v="Google Pay"/>
    <s v="Online Store"/>
    <s v="pending"/>
    <s v="Germany"/>
    <m/>
    <s v="Not Required"/>
    <s v="Thomasfurt"/>
  </r>
  <r>
    <s v="#1223"/>
    <n v="1"/>
    <d v="2026-08-04T14:03:00"/>
    <d v="2026-08-04T14:03:00"/>
    <s v="Michelle Owens"/>
    <s v="Email Available"/>
    <s v="michelle.owens269@yahoo.com"/>
    <x v="0"/>
    <s v="Sports &amp; Outdoors"/>
    <x v="0"/>
    <n v="1"/>
    <n v="89.99"/>
    <n v="89.99"/>
    <s v="BFCM25"/>
    <s v="BFCM25"/>
    <n v="22.5"/>
    <n v="22.5"/>
    <s v="Number"/>
    <n v="0"/>
    <n v="0"/>
    <n v="67.489999999999995"/>
    <n v="67.489999999999995"/>
    <n v="67.489999999999995"/>
    <s v="True"/>
    <s v="Normal"/>
    <s v="Shopify Payments"/>
    <s v="Instagram"/>
    <s v="fulfilled"/>
    <s v="United States"/>
    <s v="Arizona"/>
    <s v="Valid"/>
    <s v="Owenschester"/>
  </r>
  <r>
    <s v="#1267"/>
    <n v="1"/>
    <d v="2026-08-04T14:02:56"/>
    <d v="2026-08-04T14:02:56"/>
    <s v="Danielle Morrow"/>
    <s v="Email Available"/>
    <s v="danielle.morrow805@outlook.com"/>
    <x v="0"/>
    <s v="Sports &amp; Outdoors"/>
    <x v="0"/>
    <n v="1"/>
    <s v="$89.99"/>
    <n v="89.99"/>
    <m/>
    <s v=""/>
    <n v="0"/>
    <n v="0"/>
    <s v="Number"/>
    <n v="0"/>
    <n v="0"/>
    <s v="$89.99"/>
    <n v="89.99"/>
    <n v="89.99"/>
    <s v="True"/>
    <s v="Outlier"/>
    <s v="Credit Card"/>
    <s v="Online Store"/>
    <s v="cancelled"/>
    <s v="United Kingdom"/>
    <m/>
    <s v="Not Required"/>
    <s v="New Jasonville"/>
  </r>
  <r>
    <s v="#1270"/>
    <n v="1"/>
    <d v="2026-08-04T14:00:09"/>
    <d v="2026-08-04T14:00:09"/>
    <s v="Michael Hays"/>
    <s v="Email Available"/>
    <s v="michael.hays590@gmail.com"/>
    <x v="0"/>
    <s v="Sports &amp; Outdoors"/>
    <x v="0"/>
    <n v="1"/>
    <n v="89.99"/>
    <n v="89.99"/>
    <m/>
    <s v=""/>
    <n v="0"/>
    <n v="0"/>
    <s v="Number"/>
    <n v="0"/>
    <n v="0"/>
    <n v="89.99"/>
    <n v="89.99"/>
    <n v="89.99"/>
    <s v="True"/>
    <s v="Outlier"/>
    <s v="Credit Card"/>
    <s v="Instagram"/>
    <s v="pending"/>
    <s v="United States"/>
    <s v="Ohio"/>
    <s v="Valid"/>
    <s v="Lake John"/>
  </r>
  <r>
    <s v="#1323"/>
    <n v="1"/>
    <d v="2026-08-04T14:05:33"/>
    <d v="2026-08-04T14:05:33"/>
    <s v="Suzanne White"/>
    <s v="Email Available"/>
    <s v="suzanne.white877@gmail.com"/>
    <x v="0"/>
    <s v="Sports &amp; Outdoors"/>
    <x v="0"/>
    <n v="1"/>
    <n v="89.99"/>
    <n v="89.99"/>
    <s v="VIP15"/>
    <s v="VIP15"/>
    <n v="13.5"/>
    <n v="13.5"/>
    <s v="Number"/>
    <n v="0"/>
    <n v="0"/>
    <n v="76.489999999999995"/>
    <n v="76.489999999999995"/>
    <n v="76.489999999999995"/>
    <s v="True"/>
    <s v="Normal"/>
    <s v="Shopify Payments"/>
    <s v="Instagram"/>
    <s v="fulfilled"/>
    <s v="United States"/>
    <s v="Ohio"/>
    <s v="Valid"/>
    <s v="Lake Leahtown"/>
  </r>
  <r>
    <s v="#1326"/>
    <n v="1"/>
    <d v="2026-04-08T00:00:00"/>
    <s v="08/04/2026"/>
    <s v="James Castro"/>
    <s v="Email Available"/>
    <s v="james.castro923@icloud.com"/>
    <x v="0"/>
    <s v="Sports &amp; Outdoors"/>
    <x v="0"/>
    <n v="1"/>
    <n v="89.99"/>
    <n v="89.99"/>
    <m/>
    <s v=""/>
    <n v="0"/>
    <n v="0"/>
    <s v="Number"/>
    <n v="0"/>
    <n v="0"/>
    <n v="89.99"/>
    <n v="89.99"/>
    <n v="89.99"/>
    <s v="True"/>
    <s v="Outlier"/>
    <s v="Shopify Payments"/>
    <s v="Online Store"/>
    <s v="cancelled"/>
    <s v="Pakistan"/>
    <m/>
    <s v="Not Required"/>
    <s v="Nguyentown"/>
  </r>
  <r>
    <s v="#1384"/>
    <n v="1"/>
    <d v="2026-08-04T13:53:35"/>
    <d v="2026-08-04T13:53:35"/>
    <s v="Mary Garcia"/>
    <s v="Email Available"/>
    <s v="mary.garcia899@icloud.com"/>
    <x v="0"/>
    <s v="Sports &amp; Outdoors"/>
    <x v="0"/>
    <n v="2"/>
    <n v="89.99"/>
    <n v="89.99"/>
    <s v="FREESHIP"/>
    <s v="FREESHIP"/>
    <n v="0"/>
    <n v="0"/>
    <s v="Number"/>
    <n v="0"/>
    <n v="0"/>
    <n v="179.98"/>
    <n v="179.98"/>
    <n v="179.98"/>
    <s v="True"/>
    <s v="Outlier"/>
    <s v="Google Pay"/>
    <s v="Online Store"/>
    <s v="refunded"/>
    <s v="Canada"/>
    <m/>
    <s v="Not Required"/>
    <s v="Evantown"/>
  </r>
  <r>
    <s v="#1390"/>
    <n v="1"/>
    <d v="2026-08-04T14:06:01"/>
    <d v="2026-08-04T14:06:01"/>
    <s v="Chad Smith"/>
    <s v="Email Available"/>
    <s v="chad.smith773@icloud.com"/>
    <x v="0"/>
    <s v="Sports &amp; Outdoors"/>
    <x v="0"/>
    <n v="1"/>
    <n v="89.99"/>
    <n v="89.99"/>
    <s v="BFCM25"/>
    <s v="BFCM25"/>
    <n v="22.5"/>
    <n v="22.5"/>
    <s v="Number"/>
    <n v="0"/>
    <n v="0"/>
    <n v="67.489999999999995"/>
    <n v="67.489999999999995"/>
    <n v="67.489999999999995"/>
    <s v="True"/>
    <s v="Normal"/>
    <s v="Credit Card"/>
    <s v="Online Store"/>
    <s v="fulfilled"/>
    <s v="Pakistan"/>
    <m/>
    <s v="Not Required"/>
    <s v="Reynoldsshire"/>
  </r>
  <r>
    <s v="#1425"/>
    <n v="1"/>
    <d v="2026-08-04T13:59:16"/>
    <d v="2026-08-04T13:59:16"/>
    <s v="David Duke"/>
    <s v="Missing Email"/>
    <m/>
    <x v="0"/>
    <s v="Sports &amp; Outdoors"/>
    <x v="0"/>
    <n v="1"/>
    <n v="89.99"/>
    <n v="89.99"/>
    <m/>
    <s v=""/>
    <n v="0"/>
    <n v="0"/>
    <s v="Number"/>
    <n v="0"/>
    <n v="0"/>
    <n v="89.99"/>
    <n v="89.99"/>
    <n v="89.99"/>
    <s v="True"/>
    <s v="Outlier"/>
    <s v="Apple Pay"/>
    <s v="Online Store"/>
    <s v="fulfilled"/>
    <s v="United States"/>
    <s v="Florida"/>
    <s v="Valid"/>
    <s v="North Ashley"/>
  </r>
  <r>
    <s v="#1450"/>
    <n v="1"/>
    <d v="2026-08-04T13:56:23"/>
    <d v="2026-08-04T13:56:23"/>
    <s v="DEBBIE JOSEPH"/>
    <s v="Email Available"/>
    <s v="debbie.joseph531@outlook.com"/>
    <x v="0"/>
    <s v="Sports &amp; Outdoors"/>
    <x v="0"/>
    <n v="3"/>
    <s v="$89.99"/>
    <n v="89.99"/>
    <m/>
    <s v=""/>
    <s v="$0.00"/>
    <n v="0"/>
    <s v="Number"/>
    <n v="0"/>
    <n v="0"/>
    <n v="269.97000000000003"/>
    <n v="269.97000000000003"/>
    <n v="269.96999999999997"/>
    <s v="True"/>
    <s v="Outlier"/>
    <s v="PayPal"/>
    <s v="Online Store"/>
    <s v="fulfilled"/>
    <s v="United States"/>
    <s v="North Carolina"/>
    <s v="Valid"/>
    <s v="South Yvonnehaven"/>
  </r>
  <r>
    <s v="#1454"/>
    <n v="1"/>
    <d v="2026-08-04T13:55:00"/>
    <d v="2026-08-04T13:55:00"/>
    <s v="Angela Carr"/>
    <s v="Email Available"/>
    <s v="angela.carr488@yahoo.com"/>
    <x v="0"/>
    <s v="Sports &amp; Outdoors"/>
    <x v="0"/>
    <n v="2"/>
    <n v="89.99"/>
    <n v="89.99"/>
    <m/>
    <s v=""/>
    <s v="$0.00"/>
    <n v="0"/>
    <s v="Number"/>
    <n v="0"/>
    <n v="0"/>
    <n v="179.98"/>
    <n v="179.98"/>
    <n v="179.98"/>
    <s v="True"/>
    <s v="Outlier"/>
    <s v="Credit Card"/>
    <s v="POS"/>
    <s v="pending"/>
    <s v="United States"/>
    <s v="New York"/>
    <s v="Valid"/>
    <s v="Maddoxborough"/>
  </r>
  <r>
    <s v="#1458"/>
    <n v="1"/>
    <d v="2026-08-04T14:08:04"/>
    <d v="2026-08-04T14:08:04"/>
    <s v="Alan Davis"/>
    <s v="Email Available"/>
    <s v="alan.davis483@icloud.com"/>
    <x v="0"/>
    <s v="Sports &amp; Outdoors"/>
    <x v="0"/>
    <n v="1"/>
    <n v="89.99"/>
    <n v="89.99"/>
    <s v="SAVE20"/>
    <s v="SAVE20"/>
    <s v="$18.00"/>
    <n v="18"/>
    <s v="Number"/>
    <n v="0"/>
    <n v="0"/>
    <n v="71.989999999999995"/>
    <n v="71.989999999999995"/>
    <n v="71.989999999999995"/>
    <s v="True"/>
    <s v="Normal"/>
    <s v="Apple Pay"/>
    <s v="Online Store"/>
    <s v="refunded"/>
    <s v="Canada"/>
    <m/>
    <s v="Not Required"/>
    <s v="West Debraland"/>
  </r>
  <r>
    <s v="#1480"/>
    <n v="1"/>
    <d v="2026-08-04T14:04:15"/>
    <d v="2026-08-04T14:04:15"/>
    <s v="Monique Bowman"/>
    <s v="Email Available"/>
    <s v="monique.bowman430@gmail.com"/>
    <x v="0"/>
    <s v="Sports &amp; Outdoors"/>
    <x v="0"/>
    <n v="4"/>
    <n v="89.99"/>
    <n v="89.99"/>
    <s v="VIP15"/>
    <s v="VIP15"/>
    <n v="53.99"/>
    <n v="53.99"/>
    <s v="Number"/>
    <n v="0"/>
    <n v="0"/>
    <n v="305.97000000000003"/>
    <n v="305.97000000000003"/>
    <n v="305.96999999999997"/>
    <s v="True"/>
    <s v="Outlier"/>
    <s v="Apple Pay"/>
    <s v="Online Store"/>
    <s v="fulfilled"/>
    <s v="United States"/>
    <s v="WA"/>
    <s v="Valid"/>
    <s v="Julieburgh"/>
  </r>
  <r>
    <s v="#1495"/>
    <n v="1"/>
    <d v="2026-08-04T14:06:59"/>
    <d v="2026-08-04T14:06:59"/>
    <s v="Dustin Mccoy"/>
    <s v="Email Available"/>
    <s v="dustin.mccoy570@gmail.com"/>
    <x v="0"/>
    <s v="Sports &amp; Outdoors"/>
    <x v="0"/>
    <n v="1"/>
    <s v="$89.99"/>
    <n v="89.99"/>
    <m/>
    <s v=""/>
    <s v="$0.00"/>
    <n v="0"/>
    <s v="Number"/>
    <n v="0"/>
    <n v="0"/>
    <n v="89.99"/>
    <n v="89.99"/>
    <n v="89.99"/>
    <s v="True"/>
    <s v="Outlier"/>
    <s v="Credit Card"/>
    <s v="Online Store"/>
    <s v="fulfilled"/>
    <s v="Canada"/>
    <m/>
    <s v="Not Required"/>
    <s v="Port David"/>
  </r>
  <r>
    <s v="#1522"/>
    <n v="1"/>
    <d v="2026-08-04T13:56:41"/>
    <d v="2026-08-04T13:56:41"/>
    <s v="Jose Ingram"/>
    <s v="Email Available"/>
    <s v="jose.ingram37@gmail.com"/>
    <x v="0"/>
    <s v="Sports &amp; Outdoors"/>
    <x v="0"/>
    <n v="1"/>
    <n v="89.99"/>
    <n v="89.99"/>
    <s v="SAVE20"/>
    <s v="SAVE20"/>
    <n v="18"/>
    <n v="18"/>
    <s v="Number"/>
    <n v="0"/>
    <n v="0"/>
    <n v="71.989999999999995"/>
    <n v="71.989999999999995"/>
    <n v="71.989999999999995"/>
    <s v="True"/>
    <s v="Normal"/>
    <s v="Credit Card"/>
    <s v="Online Store"/>
    <s v="cancelled"/>
    <s v="United States"/>
    <s v="Texas"/>
    <s v="Valid"/>
    <s v="Lake Corey"/>
  </r>
  <r>
    <s v="#1543"/>
    <n v="1"/>
    <d v="2026-08-04T14:02:45"/>
    <d v="2026-08-04T14:02:45"/>
    <m/>
    <s v="Email Available"/>
    <s v="samuel.smith76@outlook.com"/>
    <x v="0"/>
    <s v="Sports &amp; Outdoors"/>
    <x v="0"/>
    <n v="3"/>
    <n v="89.99"/>
    <n v="89.99"/>
    <m/>
    <s v=""/>
    <n v="0"/>
    <n v="0"/>
    <s v="Number"/>
    <n v="0"/>
    <n v="0"/>
    <n v="269.97000000000003"/>
    <n v="269.97000000000003"/>
    <n v="269.96999999999997"/>
    <s v="True"/>
    <s v="Outlier"/>
    <s v="Credit Card"/>
    <s v="Online Store"/>
    <s v="fulfilled"/>
    <s v="United Kingdom"/>
    <m/>
    <s v="Not Required"/>
    <s v="South Andrewmouth"/>
  </r>
  <r>
    <s v="#1604"/>
    <n v="1"/>
    <d v="2026-08-04T14:06:19"/>
    <d v="2026-08-04T14:06:19"/>
    <m/>
    <s v="Email Available"/>
    <s v="samuel.padilla79@gmail.com"/>
    <x v="0"/>
    <s v="Sports &amp; Outdoors"/>
    <x v="0"/>
    <n v="1"/>
    <n v="89.99"/>
    <n v="89.99"/>
    <m/>
    <s v=""/>
    <n v="0"/>
    <n v="0"/>
    <s v="Number"/>
    <n v="0"/>
    <n v="0"/>
    <n v="89.99"/>
    <n v="89.99"/>
    <n v="89.99"/>
    <s v="True"/>
    <s v="Outlier"/>
    <s v="Apple Pay"/>
    <s v="Online Store"/>
    <s v="fulfilled"/>
    <s v="United States"/>
    <s v="Washington"/>
    <s v="Valid"/>
    <s v="West Douglas"/>
  </r>
  <r>
    <s v="#1630"/>
    <n v="1"/>
    <d v="2026-04-08T00:00:00"/>
    <s v="08/04/2026"/>
    <s v="Miller, Alexandria"/>
    <s v="Email Available"/>
    <s v="alexandria.miller414@outlook.com"/>
    <x v="0"/>
    <s v="Sports &amp; Outdoors"/>
    <x v="0"/>
    <n v="1"/>
    <n v="89.99"/>
    <n v="89.99"/>
    <s v="VIP15"/>
    <s v="VIP15"/>
    <n v="13.5"/>
    <n v="13.5"/>
    <s v="Number"/>
    <n v="0"/>
    <n v="0"/>
    <n v="76.489999999999995"/>
    <n v="76.489999999999995"/>
    <n v="76.489999999999995"/>
    <s v="True"/>
    <s v="Normal"/>
    <s v="Google Pay"/>
    <s v="Online Store"/>
    <s v="fulfilled"/>
    <s v="Australia"/>
    <m/>
    <s v="Not Required"/>
    <s v="Evansfort"/>
  </r>
  <r>
    <s v="#1645"/>
    <n v="1"/>
    <d v="2026-08-04T13:53:52"/>
    <d v="2026-08-04T13:53:52"/>
    <s v="Jaime Vargas"/>
    <s v="Email Available"/>
    <s v="jaime.vargas795@outlook.com"/>
    <x v="0"/>
    <s v="Sports &amp; Outdoors"/>
    <x v="0"/>
    <n v="2"/>
    <n v="89.99"/>
    <n v="89.99"/>
    <m/>
    <s v=""/>
    <n v="0"/>
    <n v="0"/>
    <s v="Number"/>
    <n v="0"/>
    <n v="0"/>
    <s v="$179.98"/>
    <n v="179.98"/>
    <n v="179.98"/>
    <s v="True"/>
    <s v="Outlier"/>
    <s v="Apple Pay"/>
    <s v="Instagram"/>
    <s v="cancelled"/>
    <s v="United Kingdom"/>
    <m/>
    <s v="Not Required"/>
    <s v="Alexview"/>
  </r>
  <r>
    <s v="#1687"/>
    <n v="1"/>
    <d v="2026-08-04T13:53:45"/>
    <d v="2026-08-04T13:53:45"/>
    <s v="Glenn Mcmahon"/>
    <s v="Email Available"/>
    <s v="glenn.mcmahon733@yahoo.com"/>
    <x v="0"/>
    <s v="Sports &amp; Outdoors"/>
    <x v="0"/>
    <n v="3"/>
    <n v="89.99"/>
    <n v="89.99"/>
    <m/>
    <s v=""/>
    <n v="0"/>
    <n v="0"/>
    <s v="Number"/>
    <n v="0"/>
    <n v="0"/>
    <n v="269.97000000000003"/>
    <n v="269.97000000000003"/>
    <n v="269.96999999999997"/>
    <s v="True"/>
    <s v="Outlier"/>
    <s v="Google Pay"/>
    <s v="Instagram"/>
    <s v="cancelled"/>
    <s v="United States"/>
    <s v="Illinois"/>
    <s v="Valid"/>
    <s v="New Gregory"/>
  </r>
  <r>
    <s v="#1690"/>
    <n v="1"/>
    <d v="2026-08-04T14:03:19"/>
    <d v="2026-08-04T14:03:19"/>
    <s v="Tara Jackson"/>
    <s v="Email Available"/>
    <s v="tara.jackson708@outlook.com"/>
    <x v="0"/>
    <s v="Sports &amp; Outdoors"/>
    <x v="0"/>
    <n v="1"/>
    <n v="89.99"/>
    <n v="89.99"/>
    <s v="FREESHIP"/>
    <s v="FREESHIP"/>
    <s v="$0.00"/>
    <n v="0"/>
    <s v="Number"/>
    <n v="0"/>
    <n v="0"/>
    <n v="89.99"/>
    <n v="89.99"/>
    <n v="89.99"/>
    <s v="True"/>
    <s v="Outlier"/>
    <s v="Apple Pay"/>
    <s v="Instagram"/>
    <s v="fulfilled"/>
    <s v="Canada"/>
    <m/>
    <s v="Not Required"/>
    <s v="Georgeside"/>
  </r>
  <r>
    <s v="#1691"/>
    <n v="1"/>
    <d v="2026-08-04T13:59:30"/>
    <d v="2026-08-04T13:59:30"/>
    <s v="Sheryl Nguyen"/>
    <s v="Email Available"/>
    <s v="sheryl.nguyen272@outlook.com"/>
    <x v="0"/>
    <s v="Sports &amp; Outdoors"/>
    <x v="0"/>
    <n v="2"/>
    <n v="89.99"/>
    <n v="89.99"/>
    <s v="BFCM25"/>
    <s v="BFCM25"/>
    <n v="44.99"/>
    <n v="44.99"/>
    <s v="Number"/>
    <n v="0"/>
    <n v="0"/>
    <n v="134.99"/>
    <n v="134.99"/>
    <n v="134.98999999999998"/>
    <s v="True"/>
    <s v="Outlier"/>
    <s v="Shopify Payments"/>
    <s v="Instagram"/>
    <s v="refunded"/>
    <s v="United States"/>
    <s v="North Carolina"/>
    <s v="Valid"/>
    <s v="New David"/>
  </r>
  <r>
    <s v="#1732"/>
    <n v="1"/>
    <d v="2026-08-04T14:06:25"/>
    <d v="2026-08-04T14:06:25"/>
    <s v="Angela Carr"/>
    <s v="Email Available"/>
    <s v="angela.carr488@yahoo.com"/>
    <x v="0"/>
    <s v="Sports &amp; Outdoors"/>
    <x v="0"/>
    <n v="1"/>
    <n v="89.99"/>
    <n v="89.99"/>
    <m/>
    <s v=""/>
    <n v="0"/>
    <n v="0"/>
    <s v="Number"/>
    <n v="0"/>
    <n v="0"/>
    <n v="89.99"/>
    <n v="89.99"/>
    <n v="89.99"/>
    <s v="True"/>
    <s v="Outlier"/>
    <s v="Shopify Payments"/>
    <s v="Instagram"/>
    <s v="pending"/>
    <s v="United States"/>
    <s v="Washington"/>
    <s v="Valid"/>
    <s v="South Jasonside"/>
  </r>
  <r>
    <s v="#1754"/>
    <n v="1"/>
    <d v="2026-04-08T00:00:00"/>
    <s v="08/04/2026"/>
    <s v="Randy Wheeler"/>
    <s v="Email Available"/>
    <s v="randy.wheeler304@icloud.com"/>
    <x v="0"/>
    <s v="Sports &amp; Outdoors"/>
    <x v="0"/>
    <n v="1"/>
    <n v="89.99"/>
    <n v="89.99"/>
    <m/>
    <s v=""/>
    <n v="0"/>
    <n v="0"/>
    <s v="Number"/>
    <n v="0"/>
    <n v="0"/>
    <n v="89.99"/>
    <n v="89.99"/>
    <n v="89.99"/>
    <s v="True"/>
    <s v="Outlier"/>
    <s v="Google Pay"/>
    <s v="Facebook"/>
    <s v="refunded"/>
    <s v="United States"/>
    <s v="New York"/>
    <s v="Valid"/>
    <s v="Lake Michael"/>
  </r>
  <r>
    <s v="#1795"/>
    <n v="1"/>
    <d v="2026-08-04T14:05:08"/>
    <d v="2026-08-04T14:05:08"/>
    <s v="Anthony Krueger"/>
    <s v="Email Available"/>
    <s v="anthony.krueger812@yahoo.com"/>
    <x v="0"/>
    <s v="Sports &amp; Outdoors"/>
    <x v="0"/>
    <n v="1"/>
    <n v="89.99"/>
    <n v="89.99"/>
    <s v="SAVE20"/>
    <s v="SAVE20"/>
    <n v="18"/>
    <n v="18"/>
    <s v="Number"/>
    <n v="0"/>
    <n v="0"/>
    <n v="71.989999999999995"/>
    <n v="71.989999999999995"/>
    <n v="71.989999999999995"/>
    <s v="True"/>
    <s v="Normal"/>
    <s v="Shopify Payments"/>
    <s v="Online Store"/>
    <s v="pending"/>
    <s v="Pakistan"/>
    <m/>
    <s v="Not Required"/>
    <s v="South Joside"/>
  </r>
  <r>
    <s v="#1798"/>
    <n v="1"/>
    <d v="2026-08-04T13:57:37"/>
    <d v="2026-08-04T13:57:37"/>
    <s v="Tina Singh"/>
    <s v="Email Available"/>
    <s v="tina.singh98@icloud.com"/>
    <x v="0"/>
    <s v="Sports &amp; Outdoors"/>
    <x v="0"/>
    <n v="2"/>
    <n v="89.99"/>
    <n v="89.99"/>
    <m/>
    <s v=""/>
    <n v="0"/>
    <n v="0"/>
    <s v="Number"/>
    <n v="0"/>
    <n v="0"/>
    <n v="179.98"/>
    <n v="179.98"/>
    <n v="179.98"/>
    <s v="True"/>
    <s v="Outlier"/>
    <s v="Google Pay"/>
    <s v="POS"/>
    <s v="pending"/>
    <s v="United States"/>
    <s v="Georgia"/>
    <s v="Valid"/>
    <s v="North Shannon"/>
  </r>
  <r>
    <s v="#1831"/>
    <n v="1"/>
    <d v="2026-08-04T14:01:50"/>
    <d v="2026-08-04T14:01:50"/>
    <s v="Joseph Martin"/>
    <s v="Email Available"/>
    <s v="joseph.martin348@icloud.com"/>
    <x v="0"/>
    <s v="Sports &amp; Outdoors"/>
    <x v="0"/>
    <n v="2"/>
    <n v="89.99"/>
    <n v="89.99"/>
    <m/>
    <s v=""/>
    <n v="0"/>
    <n v="0"/>
    <s v="Number"/>
    <n v="0"/>
    <n v="0"/>
    <n v="179.98"/>
    <n v="179.98"/>
    <n v="179.98"/>
    <s v="True"/>
    <s v="Outlier"/>
    <s v="PayPal"/>
    <s v="Online Store"/>
    <s v="fulfilled"/>
    <s v="United States"/>
    <s v="NY"/>
    <s v="Valid"/>
    <s v="Port Danielstad"/>
  </r>
  <r>
    <s v="#1859"/>
    <n v="1"/>
    <d v="2026-08-04T13:55:24"/>
    <d v="2026-08-04T13:55:24"/>
    <s v="Sarah Webb"/>
    <s v="Email Available"/>
    <s v="sarah.webb997@outlook.com"/>
    <x v="0"/>
    <s v="Sports &amp; Outdoors"/>
    <x v="0"/>
    <n v="3"/>
    <n v="89.99"/>
    <n v="89.99"/>
    <s v="VIP15"/>
    <s v="VIP15"/>
    <n v="40.5"/>
    <n v="40.5"/>
    <s v="Number"/>
    <n v="0"/>
    <n v="0"/>
    <n v="229.47"/>
    <n v="229.47"/>
    <n v="229.46999999999997"/>
    <s v="True"/>
    <s v="Outlier"/>
    <s v="PayPal"/>
    <s v="Facebook"/>
    <s v="fulfilled"/>
    <s v="Germany"/>
    <m/>
    <s v="Not Required"/>
    <s v="North Ronald"/>
  </r>
  <r>
    <s v="#1912"/>
    <n v="1"/>
    <d v="2026-08-04T14:08:23"/>
    <d v="2026-08-04T14:08:23"/>
    <s v="Sergio Turner"/>
    <s v="Email Available"/>
    <s v="sergio.turner744@outlook.com"/>
    <x v="0"/>
    <s v="Sports &amp; Outdoors"/>
    <x v="0"/>
    <n v="1"/>
    <n v="89.99"/>
    <n v="89.99"/>
    <m/>
    <s v=""/>
    <n v="0"/>
    <n v="0"/>
    <s v="Number"/>
    <n v="0"/>
    <n v="0"/>
    <s v="$89.99"/>
    <n v="89.99"/>
    <n v="89.99"/>
    <s v="True"/>
    <s v="Outlier"/>
    <s v="Apple Pay"/>
    <s v="Facebook"/>
    <s v="cancelled"/>
    <s v="Germany"/>
    <m/>
    <s v="Not Required"/>
    <s v="Seanshire"/>
  </r>
  <r>
    <s v="#1923"/>
    <n v="1"/>
    <d v="2026-04-08T00:00:00"/>
    <s v="08/04/2026"/>
    <s v="Zachary Hanson"/>
    <s v="Email Available"/>
    <s v="zachary.hanson261@outlook.com"/>
    <x v="0"/>
    <s v="Sports &amp; Outdoors"/>
    <x v="0"/>
    <n v="1"/>
    <n v="89.99"/>
    <n v="89.99"/>
    <m/>
    <s v=""/>
    <n v="0"/>
    <n v="0"/>
    <s v="Number"/>
    <n v="0"/>
    <n v="0"/>
    <n v="89.99"/>
    <n v="89.99"/>
    <n v="89.99"/>
    <s v="True"/>
    <s v="Outlier"/>
    <s v="Apple Pay"/>
    <s v="Online Store"/>
    <s v="cancelled"/>
    <s v="United States"/>
    <s v="North Carolina"/>
    <s v="Valid"/>
    <s v="Sherryfurt"/>
  </r>
  <r>
    <s v="#1938"/>
    <n v="1"/>
    <d v="2026-08-04T14:02:34"/>
    <d v="2026-08-04T14:02:34"/>
    <s v="Amanda Harris"/>
    <s v="Email Available"/>
    <s v="amanda.harris197@gmail.com"/>
    <x v="0"/>
    <s v="Sports &amp; Outdoors"/>
    <x v="0"/>
    <n v="1"/>
    <n v="89.99"/>
    <n v="89.99"/>
    <s v="BFCM25"/>
    <s v="BFCM25"/>
    <n v="22.5"/>
    <n v="22.5"/>
    <s v="Number"/>
    <n v="0"/>
    <n v="0"/>
    <n v="67.489999999999995"/>
    <n v="67.489999999999995"/>
    <n v="67.489999999999995"/>
    <s v="True"/>
    <s v="Normal"/>
    <s v="Shopify Payments"/>
    <s v="Online Store"/>
    <s v="fulfilled"/>
    <s v="United States"/>
    <s v="TX"/>
    <s v="Valid"/>
    <s v="Rangelborough"/>
  </r>
  <r>
    <s v="#1957"/>
    <n v="1"/>
    <d v="2026-08-04T13:54:21"/>
    <d v="2026-08-04T13:54:21"/>
    <s v="Jacqueline Wiley"/>
    <s v="Email Available"/>
    <s v="jacqueline.wiley718@icloud.com"/>
    <x v="0"/>
    <s v="Sports &amp; Outdoors"/>
    <x v="0"/>
    <n v="1"/>
    <n v="89.99"/>
    <n v="89.99"/>
    <m/>
    <s v=""/>
    <n v="0"/>
    <n v="0"/>
    <s v="Number"/>
    <n v="0"/>
    <n v="0"/>
    <n v="89.99"/>
    <n v="89.99"/>
    <n v="89.99"/>
    <s v="True"/>
    <s v="Outlier"/>
    <s v="Shopify Payments"/>
    <s v="POS"/>
    <s v="fulfilled"/>
    <s v="United States"/>
    <s v="WA"/>
    <s v="Valid"/>
    <s v="Dawnmouth"/>
  </r>
  <r>
    <s v="#1960"/>
    <n v="1"/>
    <d v="2026-08-04T14:06:49"/>
    <d v="2026-08-04T14:06:49"/>
    <s v="Natalie Dixon"/>
    <s v="Email Available"/>
    <s v="natalie.dixon388@outlook.com"/>
    <x v="0"/>
    <s v="Sports &amp; Outdoors"/>
    <x v="0"/>
    <n v="2"/>
    <n v="89.99"/>
    <n v="89.99"/>
    <m/>
    <s v=""/>
    <n v="0"/>
    <n v="0"/>
    <s v="Number"/>
    <n v="0"/>
    <n v="0"/>
    <n v="179.98"/>
    <n v="179.98"/>
    <n v="179.98"/>
    <s v="True"/>
    <s v="Outlier"/>
    <s v="Google Pay"/>
    <s v="Facebook"/>
    <s v="fulfilled"/>
    <s v="United States"/>
    <s v="New York"/>
    <s v="Valid"/>
    <s v="Debramouth"/>
  </r>
  <r>
    <s v="#2019"/>
    <n v="1"/>
    <d v="2026-08-04T14:08:26"/>
    <d v="2026-08-04T14:08:26"/>
    <s v="Heather Davis"/>
    <s v="Email Available"/>
    <s v="heather.davis117@icloud.com"/>
    <x v="0"/>
    <s v="Sports &amp; Outdoors"/>
    <x v="0"/>
    <n v="2"/>
    <n v="89.99"/>
    <n v="89.99"/>
    <m/>
    <s v=""/>
    <n v="0"/>
    <n v="0"/>
    <s v="Number"/>
    <n v="0"/>
    <n v="0"/>
    <n v="179.98"/>
    <n v="179.98"/>
    <n v="179.98"/>
    <s v="True"/>
    <s v="Outlier"/>
    <s v="Credit Card"/>
    <s v="POS"/>
    <s v="refunded"/>
    <s v="Germany"/>
    <m/>
    <s v="Not Required"/>
    <s v="Angelafort"/>
  </r>
  <r>
    <s v="#2021"/>
    <n v="1"/>
    <d v="2026-08-04T13:54:52"/>
    <d v="2026-08-04T13:54:52"/>
    <s v="JOHN CARSON"/>
    <s v="Email Available"/>
    <s v="john.carson203@yahoo.com"/>
    <x v="0"/>
    <s v="Sports &amp; Outdoors"/>
    <x v="0"/>
    <n v="1"/>
    <n v="89.99"/>
    <n v="89.99"/>
    <m/>
    <s v=""/>
    <n v="0"/>
    <n v="0"/>
    <s v="Number"/>
    <n v="0"/>
    <n v="0"/>
    <n v="89.99"/>
    <n v="89.99"/>
    <n v="89.99"/>
    <s v="True"/>
    <s v="Outlier"/>
    <s v="PayPal"/>
    <s v="Online Store"/>
    <s v="cancelled"/>
    <s v="United States"/>
    <s v="Texas"/>
    <s v="Valid"/>
    <s v="Delgadoside"/>
  </r>
  <r>
    <s v="#2072"/>
    <n v="1"/>
    <d v="2026-08-04T14:01:28"/>
    <d v="2026-08-04T14:01:28"/>
    <s v="Jose Ingram"/>
    <s v="Email Available"/>
    <s v="jose.ingram37@gmail.com"/>
    <x v="0"/>
    <s v="Sports &amp; Outdoors"/>
    <x v="0"/>
    <n v="2"/>
    <n v="89.99"/>
    <n v="89.99"/>
    <s v="VIP15"/>
    <s v="VIP15"/>
    <n v="27"/>
    <n v="27"/>
    <s v="Number"/>
    <n v="0"/>
    <n v="0"/>
    <n v="152.97999999999999"/>
    <n v="152.97999999999999"/>
    <n v="152.97999999999999"/>
    <s v="True"/>
    <s v="Outlier"/>
    <s v="Shopify Payments"/>
    <s v="Instagram"/>
    <s v="cancelled"/>
    <s v="United States"/>
    <s v="Arizona"/>
    <s v="Valid"/>
    <s v="Lauraport"/>
  </r>
  <r>
    <s v="#2080"/>
    <n v="1"/>
    <d v="2026-08-04T14:01:26"/>
    <d v="2026-08-04T14:01:26"/>
    <s v="Tracy Adams"/>
    <s v="Email Available"/>
    <s v="tracy.adams712@icloud.com"/>
    <x v="0"/>
    <s v="Sports &amp; Outdoors"/>
    <x v="0"/>
    <n v="1"/>
    <s v="$89.99"/>
    <n v="89.99"/>
    <s v="VIP15"/>
    <s v="VIP15"/>
    <n v="13.5"/>
    <n v="13.5"/>
    <s v="Number"/>
    <n v="0"/>
    <n v="0"/>
    <n v="76.489999999999995"/>
    <n v="76.489999999999995"/>
    <n v="76.489999999999995"/>
    <s v="True"/>
    <s v="Normal"/>
    <s v="Apple Pay"/>
    <s v="Online Store"/>
    <s v="cancelled"/>
    <s v="United States"/>
    <s v="Illinois"/>
    <s v="Valid"/>
    <s v="New Kimberly"/>
  </r>
  <r>
    <s v="#2088"/>
    <n v="1"/>
    <d v="2026-08-04T14:08:02"/>
    <d v="2026-08-04T14:08:02"/>
    <s v="Matthew Perez"/>
    <s v="Email Available"/>
    <s v="matthew.perez875@gmail.com"/>
    <x v="0"/>
    <s v="Sports &amp; Outdoors"/>
    <x v="0"/>
    <n v="1"/>
    <n v="89.99"/>
    <n v="89.99"/>
    <s v="WELCOME10"/>
    <s v="WELCOME10"/>
    <n v="9"/>
    <n v="9"/>
    <s v="Number"/>
    <n v="0"/>
    <n v="0"/>
    <n v="80.989999999999995"/>
    <n v="80.989999999999995"/>
    <n v="80.989999999999995"/>
    <s v="True"/>
    <s v="Normal"/>
    <s v="PayPal"/>
    <s v="Instagram"/>
    <s v="cancelled"/>
    <s v="Pakistan"/>
    <m/>
    <s v="Not Required"/>
    <s v="Taylorborough"/>
  </r>
  <r>
    <s v="#2100"/>
    <n v="1"/>
    <d v="2026-08-04T14:02:49"/>
    <d v="2026-08-04T14:02:49"/>
    <s v="Leon Oliver"/>
    <s v="Email Available"/>
    <s v="leon.oliver578@gmail.com"/>
    <x v="0"/>
    <s v="Sports &amp; Outdoors"/>
    <x v="0"/>
    <n v="1"/>
    <n v="89.99"/>
    <n v="89.99"/>
    <s v="FREESHIP"/>
    <s v="FREESHIP"/>
    <n v="0"/>
    <n v="0"/>
    <s v="Number"/>
    <n v="0"/>
    <n v="0"/>
    <n v="89.99"/>
    <n v="89.99"/>
    <n v="89.99"/>
    <s v="True"/>
    <s v="Outlier"/>
    <s v="Shopify Payments"/>
    <s v="Online Store"/>
    <s v="refunded"/>
    <s v="Canada"/>
    <m/>
    <s v="Not Required"/>
    <s v="Benjaminstad"/>
  </r>
  <r>
    <s v="#2124"/>
    <n v="1"/>
    <d v="2026-04-08T00:00:00"/>
    <s v="08/04/2026"/>
    <s v="Thomas Vazquez"/>
    <s v="Email Available"/>
    <s v="thomas.vazquez673@icloud.com"/>
    <x v="0"/>
    <s v="Sports &amp; Outdoors"/>
    <x v="0"/>
    <n v="3"/>
    <s v="$89.99"/>
    <n v="89.99"/>
    <m/>
    <s v=""/>
    <n v="0"/>
    <n v="0"/>
    <s v="Number"/>
    <n v="0"/>
    <n v="0"/>
    <n v="269.97000000000003"/>
    <n v="269.97000000000003"/>
    <n v="269.96999999999997"/>
    <s v="True"/>
    <s v="Outlier"/>
    <s v="Google Pay"/>
    <s v="Online Store"/>
    <s v="fulfilled"/>
    <s v="Germany"/>
    <m/>
    <s v="Not Required"/>
    <s v="Andreahaven"/>
  </r>
  <r>
    <s v="#2165"/>
    <n v="1"/>
    <d v="2026-08-04T13:56:35"/>
    <d v="2026-08-04T13:56:35"/>
    <s v="DEBBIE JOSEPH"/>
    <s v="Email Available"/>
    <s v="debbie.joseph531@outlook.com"/>
    <x v="0"/>
    <s v="Sports &amp; Outdoors"/>
    <x v="0"/>
    <n v="1"/>
    <n v="89.99"/>
    <n v="89.99"/>
    <m/>
    <s v=""/>
    <n v="0"/>
    <n v="0"/>
    <s v="Number"/>
    <n v="0"/>
    <n v="0"/>
    <n v="89.99"/>
    <n v="89.99"/>
    <n v="89.99"/>
    <s v="True"/>
    <s v="Outlier"/>
    <s v="Google Pay"/>
    <s v="POS"/>
    <s v="fulfilled"/>
    <s v="United States"/>
    <s v="California"/>
    <s v="Valid"/>
    <s v="Johnsonborough"/>
  </r>
  <r>
    <s v="#2179"/>
    <n v="1"/>
    <d v="2026-08-04T13:58:31"/>
    <d v="2026-08-04T13:58:31"/>
    <s v="Andrea Martinez"/>
    <s v="Email Available"/>
    <s v="andrea.martinez756@yahoo.com"/>
    <x v="0"/>
    <s v="Sports &amp; Outdoors"/>
    <x v="0"/>
    <n v="1"/>
    <n v="89.99"/>
    <n v="89.99"/>
    <s v="SAVE20"/>
    <s v="SAVE20"/>
    <n v="18"/>
    <n v="18"/>
    <s v="Number"/>
    <n v="0"/>
    <n v="0"/>
    <n v="71.989999999999995"/>
    <n v="71.989999999999995"/>
    <n v="71.989999999999995"/>
    <s v="True"/>
    <s v="Normal"/>
    <s v="PayPal"/>
    <s v="POS"/>
    <s v="fulfilled"/>
    <s v="Australia"/>
    <m/>
    <s v="Not Required"/>
    <s v="Danielsview"/>
  </r>
  <r>
    <s v="#2189"/>
    <n v="1"/>
    <d v="2026-08-04T13:54:32"/>
    <d v="2026-08-04T13:54:32"/>
    <s v="Adam Johnson"/>
    <s v="Email Available"/>
    <s v="adam.johnson932@outlook.com"/>
    <x v="0"/>
    <s v="Sports &amp; Outdoors"/>
    <x v="0"/>
    <n v="1"/>
    <n v="89.99"/>
    <n v="89.99"/>
    <m/>
    <s v=""/>
    <n v="0"/>
    <n v="0"/>
    <s v="Number"/>
    <n v="0"/>
    <n v="0"/>
    <n v="89.99"/>
    <n v="89.99"/>
    <n v="89.99"/>
    <s v="True"/>
    <s v="Outlier"/>
    <s v="Apple Pay"/>
    <s v="Online Store"/>
    <s v="fulfilled"/>
    <s v="Australia"/>
    <m/>
    <s v="Not Required"/>
    <s v="East Justinstad"/>
  </r>
  <r>
    <s v="#2217"/>
    <n v="1"/>
    <d v="2026-08-04T13:57:16"/>
    <d v="2026-08-04T13:57:16"/>
    <s v="Kelly Wyatt"/>
    <s v="Email Available"/>
    <s v="kelly.wyatt277@yahoo.com"/>
    <x v="0"/>
    <s v="Sports &amp; Outdoors"/>
    <x v="0"/>
    <n v="1"/>
    <n v="89.99"/>
    <n v="89.99"/>
    <s v="WELCOME10"/>
    <s v="WELCOME10"/>
    <n v="9"/>
    <n v="9"/>
    <s v="Number"/>
    <n v="0"/>
    <n v="0"/>
    <n v="80.989999999999995"/>
    <n v="80.989999999999995"/>
    <n v="80.989999999999995"/>
    <s v="True"/>
    <s v="Normal"/>
    <s v="Google Pay"/>
    <s v="Facebook"/>
    <s v="fulfilled"/>
    <s v="Germany"/>
    <m/>
    <s v="Not Required"/>
    <s v="Lake Tiffany"/>
  </r>
  <r>
    <s v="#2222"/>
    <n v="1"/>
    <d v="2026-08-04T14:01:11"/>
    <d v="2026-08-04T14:01:11"/>
    <s v="Christopher Martin"/>
    <s v="Email Available"/>
    <s v="christopher.martin10@gmail.com"/>
    <x v="0"/>
    <s v="Sports &amp; Outdoors"/>
    <x v="0"/>
    <n v="1"/>
    <n v="89.99"/>
    <n v="89.99"/>
    <s v="FREESHIP"/>
    <s v="FREESHIP"/>
    <n v="0"/>
    <n v="0"/>
    <s v="Number"/>
    <n v="0"/>
    <n v="0"/>
    <n v="89.99"/>
    <n v="89.99"/>
    <n v="89.99"/>
    <s v="True"/>
    <s v="Outlier"/>
    <s v="Google Pay"/>
    <s v="Online Store"/>
    <s v="fulfilled"/>
    <s v="United States"/>
    <s v="New York"/>
    <s v="Valid"/>
    <s v="Tiffanyborough"/>
  </r>
  <r>
    <s v="#2231"/>
    <n v="1"/>
    <d v="2026-08-04T13:53:45"/>
    <d v="2026-08-04T13:53:45"/>
    <s v="Ingram, Jose"/>
    <s v="Email Available"/>
    <s v="jose.ingram37@gmail.com"/>
    <x v="0"/>
    <s v="Sports &amp; Outdoors"/>
    <x v="0"/>
    <n v="2"/>
    <n v="89.99"/>
    <n v="89.99"/>
    <s v="SAVE20"/>
    <s v="SAVE20"/>
    <n v="36"/>
    <n v="36"/>
    <s v="Number"/>
    <n v="0"/>
    <n v="0"/>
    <n v="143.97999999999999"/>
    <n v="143.97999999999999"/>
    <n v="143.97999999999999"/>
    <s v="True"/>
    <s v="Outlier"/>
    <s v="Shopify Payments"/>
    <s v="Online Store"/>
    <s v="fulfilled"/>
    <s v="United States"/>
    <s v="Georgia"/>
    <s v="Valid"/>
    <s v="Daniellefort"/>
  </r>
  <r>
    <s v="#2270"/>
    <n v="1"/>
    <d v="2026-08-04T13:56:04"/>
    <d v="2026-08-04T13:56:04"/>
    <s v="Lauren Howard"/>
    <s v="Email Available"/>
    <s v="lauren.howard163@icloud.com"/>
    <x v="0"/>
    <s v="Sports &amp; Outdoors"/>
    <x v="0"/>
    <n v="3"/>
    <n v="89.99"/>
    <n v="89.99"/>
    <m/>
    <s v=""/>
    <n v="0"/>
    <n v="0"/>
    <s v="Number"/>
    <n v="0"/>
    <n v="0"/>
    <n v="269.97000000000003"/>
    <n v="269.97000000000003"/>
    <n v="269.96999999999997"/>
    <s v="True"/>
    <s v="Outlier"/>
    <s v="PayPal"/>
    <s v="Facebook"/>
    <s v="pending"/>
    <s v="United States"/>
    <s v="Washington"/>
    <s v="Valid"/>
    <s v="Mcdonaldfurt"/>
  </r>
  <r>
    <s v="#2278"/>
    <n v="1"/>
    <d v="2026-08-04T13:58:15"/>
    <d v="2026-08-04T13:58:15"/>
    <s v="Darin Alvarez"/>
    <s v="Email Available"/>
    <s v="darin.alvarez843@gmail.com"/>
    <x v="0"/>
    <s v="Sports &amp; Outdoors"/>
    <x v="0"/>
    <n v="1"/>
    <s v="$89.99"/>
    <n v="89.99"/>
    <m/>
    <s v=""/>
    <n v="0"/>
    <n v="0"/>
    <s v="Number"/>
    <n v="0"/>
    <n v="0"/>
    <n v="89.99"/>
    <n v="89.99"/>
    <n v="89.99"/>
    <s v="True"/>
    <s v="Outlier"/>
    <s v="Google Pay"/>
    <s v="POS"/>
    <s v="fulfilled"/>
    <s v="Canada"/>
    <m/>
    <s v="Not Required"/>
    <s v="Howardmouth"/>
  </r>
  <r>
    <s v="#2290"/>
    <n v="1"/>
    <d v="2026-08-04T13:53:53"/>
    <d v="2026-08-04T13:53:53"/>
    <s v="Kayla Cruz"/>
    <s v="Email Available"/>
    <s v="kayla.cruz151@outlook.com"/>
    <x v="0"/>
    <s v="Sports &amp; Outdoors"/>
    <x v="0"/>
    <n v="2"/>
    <n v="89.99"/>
    <n v="89.99"/>
    <m/>
    <s v=""/>
    <s v="$0.00"/>
    <n v="0"/>
    <s v="Number"/>
    <n v="0"/>
    <n v="0"/>
    <n v="179.98"/>
    <n v="179.98"/>
    <n v="179.98"/>
    <s v="True"/>
    <s v="Outlier"/>
    <s v="Credit Card"/>
    <s v="Online Store"/>
    <s v="fulfilled"/>
    <s v="Pakistan"/>
    <m/>
    <s v="Not Required"/>
    <s v="Mariatown"/>
  </r>
  <r>
    <s v="#2313"/>
    <n v="1"/>
    <d v="2026-08-04T14:01:15"/>
    <d v="2026-08-04T14:01:15"/>
    <s v="Christopher Osborne"/>
    <s v="Email Available"/>
    <s v="christopher.osborne481@yahoo.com"/>
    <x v="0"/>
    <s v="Sports &amp; Outdoors"/>
    <x v="0"/>
    <n v="2"/>
    <n v="89.99"/>
    <n v="89.99"/>
    <s v="SAVE20"/>
    <s v="SAVE20"/>
    <n v="36"/>
    <n v="36"/>
    <s v="Number"/>
    <n v="0"/>
    <n v="0"/>
    <n v="143.97999999999999"/>
    <n v="143.97999999999999"/>
    <n v="143.97999999999999"/>
    <s v="True"/>
    <s v="Outlier"/>
    <s v="Shopify Payments"/>
    <s v="Online Store"/>
    <s v="fulfilled"/>
    <s v="United States"/>
    <s v="California"/>
    <s v="Valid"/>
    <s v="South Anthony"/>
  </r>
  <r>
    <s v="#2317"/>
    <n v="1"/>
    <d v="2026-08-04T14:07:08"/>
    <d v="2026-08-04T14:07:08"/>
    <s v="Anthony Vaughn"/>
    <s v="Email Available"/>
    <s v="anthony.vaughn72@gmail.com"/>
    <x v="0"/>
    <s v="Sports &amp; Outdoors"/>
    <x v="0"/>
    <n v="1"/>
    <n v="89.99"/>
    <n v="89.99"/>
    <m/>
    <s v=""/>
    <s v="$0.00"/>
    <n v="0"/>
    <s v="Number"/>
    <n v="0"/>
    <n v="0"/>
    <n v="89.99"/>
    <n v="89.99"/>
    <n v="89.99"/>
    <s v="True"/>
    <s v="Outlier"/>
    <s v="Google Pay"/>
    <s v="Facebook"/>
    <s v="fulfilled"/>
    <s v="Germany"/>
    <m/>
    <s v="Not Required"/>
    <s v="Katherineborough"/>
  </r>
  <r>
    <s v="#2348"/>
    <n v="1"/>
    <d v="2026-08-04T14:07:50"/>
    <d v="2026-08-04T14:07:50"/>
    <s v="Rebecca Watts"/>
    <s v="Email Available"/>
    <s v="rebecca.watts779@gmail.com"/>
    <x v="0"/>
    <s v="Sports &amp; Outdoors"/>
    <x v="0"/>
    <n v="2"/>
    <n v="89.99"/>
    <n v="89.99"/>
    <m/>
    <s v=""/>
    <n v="0"/>
    <n v="0"/>
    <s v="Number"/>
    <n v="0"/>
    <n v="0"/>
    <n v="179.98"/>
    <n v="179.98"/>
    <n v="179.98"/>
    <s v="True"/>
    <s v="Outlier"/>
    <s v="Google Pay"/>
    <s v="Online Store"/>
    <s v="fulfilled"/>
    <s v="United States"/>
    <s v="California"/>
    <s v="Valid"/>
    <s v="Susanbury"/>
  </r>
  <r>
    <s v="#2350"/>
    <n v="1"/>
    <d v="2026-08-04T13:56:47"/>
    <d v="2026-08-04T13:56:47"/>
    <s v="David Duke"/>
    <s v="Email Available"/>
    <s v="david.duke814@icloud.com"/>
    <x v="0"/>
    <s v="Sports &amp; Outdoors"/>
    <x v="0"/>
    <n v="1"/>
    <s v="$89.99"/>
    <n v="89.99"/>
    <m/>
    <s v=""/>
    <n v="0"/>
    <n v="0"/>
    <s v="Number"/>
    <n v="0"/>
    <n v="0"/>
    <n v="89.99"/>
    <n v="89.99"/>
    <n v="89.99"/>
    <s v="True"/>
    <s v="Outlier"/>
    <s v="Shopify Payments"/>
    <s v="Online Store"/>
    <s v="fulfilled"/>
    <s v="United States"/>
    <s v="Florida"/>
    <s v="Valid"/>
    <s v="Silvaside"/>
  </r>
  <r>
    <s v="#2370"/>
    <n v="1"/>
    <d v="2026-08-04T13:59:10"/>
    <d v="2026-08-04T13:59:10"/>
    <s v="David Mcknight"/>
    <s v="Email Available"/>
    <s v="david.mcknight827@gmail.com"/>
    <x v="0"/>
    <s v="Sports &amp; Outdoors"/>
    <x v="0"/>
    <n v="2"/>
    <n v="89.99"/>
    <n v="89.99"/>
    <m/>
    <s v=""/>
    <n v="0"/>
    <n v="0"/>
    <s v="Number"/>
    <n v="0"/>
    <n v="0"/>
    <n v="179.98"/>
    <n v="179.98"/>
    <n v="179.98"/>
    <s v="True"/>
    <s v="Outlier"/>
    <s v="Credit Card"/>
    <s v="Facebook"/>
    <s v="fulfilled"/>
    <s v="United States"/>
    <s v="NC"/>
    <s v="Valid"/>
    <s v="East Jamesshire"/>
  </r>
  <r>
    <s v="#2434"/>
    <n v="1"/>
    <d v="2026-08-04T14:02:26"/>
    <d v="2026-08-04T14:02:26"/>
    <s v="Megan Dickson"/>
    <s v="Email Available"/>
    <s v="megan.dickson508@gmail.com"/>
    <x v="0"/>
    <s v="Sports &amp; Outdoors"/>
    <x v="0"/>
    <n v="1"/>
    <n v="89.99"/>
    <n v="89.99"/>
    <s v="BFCM25"/>
    <s v="BFCM25"/>
    <n v="22.5"/>
    <n v="22.5"/>
    <s v="Number"/>
    <n v="0"/>
    <n v="0"/>
    <n v="67.489999999999995"/>
    <n v="67.489999999999995"/>
    <n v="67.489999999999995"/>
    <s v="True"/>
    <s v="Normal"/>
    <s v="Apple Pay"/>
    <s v="Instagram"/>
    <s v="fulfilled"/>
    <s v="United Kingdom"/>
    <m/>
    <s v="Not Required"/>
    <s v="New Rogerside"/>
  </r>
  <r>
    <s v="#2440"/>
    <n v="1"/>
    <d v="2026-08-04T14:05:48"/>
    <d v="2026-08-04T14:05:48"/>
    <s v="Randall Rhodes"/>
    <s v="Email Available"/>
    <s v="randall.rhodes730@outlook.com"/>
    <x v="0"/>
    <s v="Sports &amp; Outdoors"/>
    <x v="0"/>
    <n v="1"/>
    <n v="89.99"/>
    <n v="89.99"/>
    <s v="WELCOME10"/>
    <s v="WELCOME10"/>
    <n v="9"/>
    <n v="9"/>
    <s v="Number"/>
    <n v="0"/>
    <n v="0"/>
    <n v="80.989999999999995"/>
    <n v="80.989999999999995"/>
    <n v="80.989999999999995"/>
    <s v="True"/>
    <s v="Normal"/>
    <s v="PayPal"/>
    <s v="POS"/>
    <s v="fulfilled"/>
    <s v="United Kingdom"/>
    <m/>
    <s v="Not Required"/>
    <s v="Michaelhaven"/>
  </r>
  <r>
    <s v="#2446"/>
    <n v="1"/>
    <d v="2026-08-04T13:59:56"/>
    <d v="2026-08-04T13:59:56"/>
    <s v="Michael Hays"/>
    <s v="Missing Email"/>
    <m/>
    <x v="0"/>
    <s v="Sports &amp; Outdoors"/>
    <x v="0"/>
    <n v="1"/>
    <n v="89.99"/>
    <n v="89.99"/>
    <s v="VIP15"/>
    <s v="VIP15"/>
    <s v="$13.50"/>
    <n v="13.5"/>
    <s v="Number"/>
    <n v="0"/>
    <n v="0"/>
    <n v="76.489999999999995"/>
    <n v="76.489999999999995"/>
    <n v="76.489999999999995"/>
    <s v="True"/>
    <s v="Normal"/>
    <s v="Apple Pay"/>
    <s v="Instagram"/>
    <s v="pending"/>
    <s v="United States"/>
    <s v="Texas"/>
    <s v="Valid"/>
    <s v="East Edwardburgh"/>
  </r>
  <r>
    <s v="#2492"/>
    <n v="1"/>
    <d v="2026-08-04T14:05:59"/>
    <d v="2026-08-04T14:05:59"/>
    <s v="Lisa Mckinney"/>
    <s v="Email Available"/>
    <s v="lisa.mckinney195@gmail.com"/>
    <x v="0"/>
    <s v="Sports &amp; Outdoors"/>
    <x v="0"/>
    <n v="1"/>
    <n v="89.99"/>
    <n v="89.99"/>
    <m/>
    <s v=""/>
    <n v="0"/>
    <n v="0"/>
    <s v="Number"/>
    <n v="0"/>
    <n v="0"/>
    <n v="89.99"/>
    <n v="89.99"/>
    <n v="89.99"/>
    <s v="True"/>
    <s v="Outlier"/>
    <s v="Google Pay"/>
    <s v="Online Store"/>
    <s v="cancelled"/>
    <s v="United States"/>
    <s v="GA"/>
    <s v="Valid"/>
    <s v="West Williamstad"/>
  </r>
  <r>
    <s v="#2504"/>
    <n v="1"/>
    <d v="2026-08-04T13:58:49"/>
    <d v="2026-08-04T13:58:49"/>
    <s v="Anthony Krueger"/>
    <s v="Email Available"/>
    <s v="anthony.krueger812@yahoo.com"/>
    <x v="0"/>
    <s v="Sports &amp; Outdoors"/>
    <x v="0"/>
    <n v="1"/>
    <n v="89.99"/>
    <n v="89.99"/>
    <m/>
    <s v=""/>
    <n v="0"/>
    <n v="0"/>
    <s v="Number"/>
    <n v="0"/>
    <n v="0"/>
    <n v="89.99"/>
    <n v="89.99"/>
    <n v="89.99"/>
    <s v="True"/>
    <s v="Outlier"/>
    <s v="PayPal"/>
    <s v="Online Store"/>
    <s v="refunded"/>
    <s v="Pakistan"/>
    <m/>
    <s v="Not Required"/>
    <s v="South Melissa"/>
  </r>
  <r>
    <s v="#2508"/>
    <n v="1"/>
    <d v="2026-08-04T14:03:01"/>
    <d v="2026-08-04T14:03:01"/>
    <s v="John Carson"/>
    <s v="Email Available"/>
    <s v="john.carson203@yahoo.com"/>
    <x v="0"/>
    <s v="Sports &amp; Outdoors"/>
    <x v="0"/>
    <n v="2"/>
    <n v="89.99"/>
    <n v="89.99"/>
    <m/>
    <s v=""/>
    <n v="0"/>
    <n v="0"/>
    <s v="Number"/>
    <n v="0"/>
    <n v="0"/>
    <n v="179.98"/>
    <n v="179.98"/>
    <n v="179.98"/>
    <s v="True"/>
    <s v="Outlier"/>
    <s v="Shopify Payments"/>
    <s v="Instagram"/>
    <s v="fulfilled"/>
    <s v="United States"/>
    <s v="NY"/>
    <s v="Valid"/>
    <s v="West Aaronside"/>
  </r>
  <r>
    <s v="#2559"/>
    <n v="1"/>
    <d v="2026-08-04T14:00:52"/>
    <d v="2026-08-04T14:00:52"/>
    <s v="Brian Johnson"/>
    <s v="Email Available"/>
    <s v="brian.johnson756@yahoo.com"/>
    <x v="0"/>
    <s v="Sports &amp; Outdoors"/>
    <x v="0"/>
    <n v="1"/>
    <n v="89.99"/>
    <n v="89.99"/>
    <m/>
    <s v=""/>
    <n v="0"/>
    <n v="0"/>
    <s v="Number"/>
    <n v="0"/>
    <n v="0"/>
    <n v="89.99"/>
    <n v="89.99"/>
    <n v="89.99"/>
    <s v="True"/>
    <s v="Outlier"/>
    <s v="Google Pay"/>
    <s v="Online Store"/>
    <s v="fulfilled"/>
    <s v="Australia"/>
    <m/>
    <s v="Not Required"/>
    <s v="East David"/>
  </r>
  <r>
    <s v="#2563"/>
    <n v="1"/>
    <d v="2026-08-04T14:05:08"/>
    <d v="2026-08-04T14:05:08"/>
    <s v="Carrie Boyd"/>
    <s v="Email Available"/>
    <s v="carrie.boyd968@gmail.com"/>
    <x v="0"/>
    <s v="Sports &amp; Outdoors"/>
    <x v="0"/>
    <n v="1"/>
    <n v="89.99"/>
    <n v="89.99"/>
    <s v="SAVE20"/>
    <s v="SAVE20"/>
    <s v="$18.00"/>
    <n v="18"/>
    <s v="Number"/>
    <n v="0"/>
    <n v="0"/>
    <n v="71.989999999999995"/>
    <n v="71.989999999999995"/>
    <n v="71.989999999999995"/>
    <s v="True"/>
    <s v="Normal"/>
    <s v="PayPal"/>
    <s v="Instagram"/>
    <s v="refunded"/>
    <s v="United States"/>
    <s v="Texas"/>
    <s v="Valid"/>
    <s v="East Robert"/>
  </r>
  <r>
    <s v="#2583"/>
    <n v="1"/>
    <d v="2026-08-04T13:56:10"/>
    <d v="2026-08-04T13:56:10"/>
    <s v="Nicole Taylor"/>
    <s v="Email Available"/>
    <s v="nicole.taylor607@icloud.com"/>
    <x v="0"/>
    <s v="Sports &amp; Outdoors"/>
    <x v="0"/>
    <n v="1"/>
    <n v="89.99"/>
    <n v="89.99"/>
    <m/>
    <s v=""/>
    <s v="$0.00"/>
    <n v="0"/>
    <s v="Number"/>
    <n v="0"/>
    <n v="0"/>
    <n v="89.99"/>
    <n v="89.99"/>
    <n v="89.99"/>
    <s v="True"/>
    <s v="Outlier"/>
    <s v="PayPal"/>
    <s v="Online Store"/>
    <s v="cancelled"/>
    <s v="United States"/>
    <s v="Arizona"/>
    <s v="Valid"/>
    <s v="Leeview"/>
  </r>
  <r>
    <s v="#2613"/>
    <n v="1"/>
    <d v="2026-08-04T13:58:19"/>
    <d v="2026-08-04T13:58:19"/>
    <s v="laura pruitt"/>
    <s v="Email Available"/>
    <s v="laura.pruitt212@yahoo.com"/>
    <x v="0"/>
    <s v="Sports &amp; Outdoors"/>
    <x v="0"/>
    <n v="2"/>
    <n v="89.99"/>
    <n v="89.99"/>
    <s v="WELCOME10"/>
    <s v="WELCOME10"/>
    <n v="18"/>
    <n v="18"/>
    <s v="Number"/>
    <n v="0"/>
    <n v="0"/>
    <n v="161.97999999999999"/>
    <n v="161.97999999999999"/>
    <n v="161.97999999999999"/>
    <s v="True"/>
    <s v="Outlier"/>
    <s v="Google Pay"/>
    <s v="Online Store"/>
    <s v="pending"/>
    <s v="United States"/>
    <s v="Canada"/>
    <s v="Valid"/>
    <s v="Gutierrezstad"/>
  </r>
  <r>
    <s v="#2647"/>
    <n v="1"/>
    <d v="2026-08-04T14:04:39"/>
    <d v="2026-08-04T14:04:39"/>
    <s v="Jon Lambert"/>
    <s v="Email Available"/>
    <s v="jon.lambert231@icloud.com"/>
    <x v="0"/>
    <s v="Sports &amp; Outdoors"/>
    <x v="0"/>
    <n v="1"/>
    <n v="89.99"/>
    <n v="89.99"/>
    <m/>
    <s v=""/>
    <n v="0"/>
    <n v="0"/>
    <s v="Number"/>
    <n v="0"/>
    <n v="0"/>
    <n v="89.99"/>
    <n v="89.99"/>
    <n v="89.99"/>
    <s v="True"/>
    <s v="Outlier"/>
    <s v="Apple Pay"/>
    <s v="Online Store"/>
    <s v="cancelled"/>
    <s v="United States"/>
    <s v="Ohio"/>
    <s v="Valid"/>
    <s v="West Ianmouth"/>
  </r>
  <r>
    <s v="#2665"/>
    <n v="1"/>
    <d v="2026-08-04T13:57:13"/>
    <d v="2026-08-04T13:57:13"/>
    <s v="James Castro"/>
    <s v="Email Available"/>
    <s v="james.castro923@icloud.com"/>
    <x v="0"/>
    <s v="Sports &amp; Outdoors"/>
    <x v="0"/>
    <n v="4"/>
    <n v="89.99"/>
    <n v="89.99"/>
    <m/>
    <s v=""/>
    <n v="0"/>
    <n v="0"/>
    <s v="Number"/>
    <n v="0"/>
    <n v="0"/>
    <n v="359.96"/>
    <n v="359.96"/>
    <n v="359.96"/>
    <s v="True"/>
    <s v="Outlier"/>
    <s v="Apple Pay"/>
    <s v="Instagram"/>
    <s v="refunded"/>
    <s v="Pakistan"/>
    <m/>
    <s v="Not Required"/>
    <s v="West Christopherberg"/>
  </r>
  <r>
    <s v="#2782"/>
    <n v="1"/>
    <d v="2026-08-04T13:57:08"/>
    <d v="2026-08-04T13:57:08"/>
    <s v="Alan Davis"/>
    <s v="Email Available"/>
    <s v="alan.davis483@icloud.com"/>
    <x v="0"/>
    <s v="Sports &amp; Outdoors"/>
    <x v="0"/>
    <n v="2"/>
    <n v="89.99"/>
    <n v="89.99"/>
    <m/>
    <s v=""/>
    <n v="0"/>
    <n v="0"/>
    <s v="Number"/>
    <n v="0"/>
    <n v="0"/>
    <s v="$179.98"/>
    <n v="179.98"/>
    <n v="179.98"/>
    <s v="True"/>
    <s v="Outlier"/>
    <s v="Credit Card"/>
    <s v="Online Store"/>
    <s v="refunded"/>
    <s v="Canada"/>
    <m/>
    <s v="Not Required"/>
    <s v="Bergton"/>
  </r>
  <r>
    <s v="#2797"/>
    <n v="1"/>
    <d v="2026-08-04T13:56:18"/>
    <d v="2026-08-04T13:56:18"/>
    <s v="Zachary Hanson"/>
    <s v="Email Available"/>
    <s v="zachary.hanson261@outlook.com"/>
    <x v="0"/>
    <s v="Sports &amp; Outdoors"/>
    <x v="0"/>
    <n v="1"/>
    <n v="89.99"/>
    <n v="89.99"/>
    <s v="WELCOME10"/>
    <s v="WELCOME10"/>
    <n v="9"/>
    <n v="9"/>
    <s v="Number"/>
    <n v="0"/>
    <n v="0"/>
    <n v="80.989999999999995"/>
    <n v="80.989999999999995"/>
    <n v="80.989999999999995"/>
    <s v="True"/>
    <s v="Normal"/>
    <s v="Credit Card"/>
    <s v="Instagram"/>
    <s v="refunded"/>
    <s v="United States"/>
    <s v="Georgia"/>
    <s v="Valid"/>
    <s v="Mcintoshbury"/>
  </r>
  <r>
    <s v="#2798"/>
    <n v="1"/>
    <d v="2026-08-04T13:55:45"/>
    <d v="2026-08-04T13:55:45"/>
    <s v="Daniel Hill"/>
    <s v="Email Available"/>
    <s v="daniel.hill472@outlook.com"/>
    <x v="0"/>
    <s v="Sports &amp; Outdoors"/>
    <x v="0"/>
    <n v="1"/>
    <n v="89.99"/>
    <n v="89.99"/>
    <m/>
    <s v=""/>
    <n v="0"/>
    <n v="0"/>
    <s v="Number"/>
    <n v="0"/>
    <n v="0"/>
    <n v="89.99"/>
    <n v="89.99"/>
    <n v="89.99"/>
    <s v="True"/>
    <s v="Outlier"/>
    <s v="Google Pay"/>
    <s v="Online Store"/>
    <s v="refunded"/>
    <s v="Australia"/>
    <m/>
    <s v="Not Required"/>
    <s v="West Daniel"/>
  </r>
  <r>
    <s v="#2799"/>
    <n v="1"/>
    <d v="2026-08-04T14:06:18"/>
    <d v="2026-08-04T14:06:18"/>
    <s v="Trevor Carter"/>
    <s v="Email Available"/>
    <s v="trevor.carter617@icloud.com"/>
    <x v="0"/>
    <s v="Sports &amp; Outdoors"/>
    <x v="0"/>
    <n v="1"/>
    <n v="89.99"/>
    <n v="89.99"/>
    <s v="BFCM25"/>
    <s v="BFCM25"/>
    <n v="22.5"/>
    <n v="22.5"/>
    <s v="Number"/>
    <n v="0"/>
    <n v="0"/>
    <n v="67.489999999999995"/>
    <n v="67.489999999999995"/>
    <n v="67.489999999999995"/>
    <s v="True"/>
    <s v="Normal"/>
    <s v="Google Pay"/>
    <s v="Online Store"/>
    <s v="pending"/>
    <s v="United States"/>
    <s v="Georgia"/>
    <s v="Valid"/>
    <s v="Port Jamie"/>
  </r>
  <r>
    <s v="#2831"/>
    <n v="1"/>
    <d v="2026-08-04T13:57:36"/>
    <d v="2026-08-04T13:57:36"/>
    <m/>
    <s v="Email Available"/>
    <s v="jennifer.burke472@icloud.com"/>
    <x v="0"/>
    <s v="Sports &amp; Outdoors"/>
    <x v="0"/>
    <n v="1"/>
    <n v="89.99"/>
    <n v="89.99"/>
    <m/>
    <s v=""/>
    <n v="0"/>
    <n v="0"/>
    <s v="Number"/>
    <n v="0"/>
    <n v="0"/>
    <n v="89.99"/>
    <n v="89.99"/>
    <n v="89.99"/>
    <s v="True"/>
    <s v="Outlier"/>
    <s v="Apple Pay"/>
    <s v="Online Store"/>
    <s v="fulfilled"/>
    <s v="Pakistan"/>
    <m/>
    <s v="Not Required"/>
    <s v="North Stefanie"/>
  </r>
  <r>
    <s v="#2843"/>
    <n v="1"/>
    <d v="2026-08-04T00:00:00"/>
    <s v="04-08-2026 14:01"/>
    <s v="Amy Maldonado"/>
    <s v="Email Available"/>
    <s v="amy.maldonado44@gmail.com"/>
    <x v="0"/>
    <s v="Sports &amp; Outdoors"/>
    <x v="0"/>
    <n v="1"/>
    <n v="89.99"/>
    <n v="89.99"/>
    <m/>
    <s v=""/>
    <s v="$0.00"/>
    <n v="0"/>
    <s v="Number"/>
    <n v="0"/>
    <n v="0"/>
    <n v="89.99"/>
    <n v="89.99"/>
    <n v="89.99"/>
    <s v="True"/>
    <s v="Outlier"/>
    <s v="Shopify Payments"/>
    <s v="Instagram"/>
    <s v="fulfilled"/>
    <s v="Pakistan"/>
    <m/>
    <s v="Not Required"/>
    <s v="Lynchport"/>
  </r>
  <r>
    <s v="#2870"/>
    <n v="1"/>
    <d v="2026-08-04T13:58:34"/>
    <d v="2026-08-04T13:58:34"/>
    <s v="Angela Carr"/>
    <s v="Missing Email"/>
    <m/>
    <x v="0"/>
    <s v="Sports &amp; Outdoors"/>
    <x v="0"/>
    <n v="1"/>
    <n v="89.99"/>
    <n v="89.99"/>
    <m/>
    <s v=""/>
    <n v="0"/>
    <n v="0"/>
    <s v="Number"/>
    <n v="0"/>
    <n v="0"/>
    <n v="89.99"/>
    <n v="89.99"/>
    <n v="89.99"/>
    <s v="True"/>
    <s v="Outlier"/>
    <s v="PayPal"/>
    <s v="Facebook"/>
    <s v="refunded"/>
    <s v="United States"/>
    <s v="Ohio"/>
    <s v="Valid"/>
    <s v="Deniseshire"/>
  </r>
  <r>
    <s v="#2871"/>
    <n v="1"/>
    <d v="2026-08-04T00:00:00"/>
    <s v="2026-08-04"/>
    <s v="Monica Hodge"/>
    <s v="Email Available"/>
    <s v="monica.hodge369@icloud.com"/>
    <x v="0"/>
    <s v="Sports &amp; Outdoors"/>
    <x v="0"/>
    <n v="1"/>
    <s v="$89.99"/>
    <n v="89.99"/>
    <m/>
    <s v=""/>
    <n v="0"/>
    <n v="0"/>
    <s v="Number"/>
    <n v="0"/>
    <n v="0"/>
    <n v="89.99"/>
    <n v="89.99"/>
    <n v="89.99"/>
    <s v="True"/>
    <s v="Outlier"/>
    <s v="Credit Card"/>
    <s v="Instagram"/>
    <s v="fulfilled"/>
    <s v="United States"/>
    <s v="Arizona"/>
    <s v="Valid"/>
    <s v="Michaelchester"/>
  </r>
  <r>
    <s v="#2892"/>
    <n v="1"/>
    <d v="2026-08-04T13:57:06"/>
    <d v="2026-08-04T13:57:06"/>
    <s v="Rose English"/>
    <s v="Email Available"/>
    <s v="rose.english118@icloud.com"/>
    <x v="0"/>
    <s v="Sports &amp; Outdoors"/>
    <x v="0"/>
    <n v="1"/>
    <n v="89.99"/>
    <n v="89.99"/>
    <s v="WELCOME10"/>
    <s v="WELCOME10"/>
    <n v="9"/>
    <n v="9"/>
    <s v="Number"/>
    <n v="0"/>
    <n v="0"/>
    <n v="80.989999999999995"/>
    <n v="80.989999999999995"/>
    <n v="80.989999999999995"/>
    <s v="True"/>
    <s v="Normal"/>
    <s v="Credit Card"/>
    <s v="Online Store"/>
    <s v="refunded"/>
    <s v="Germany"/>
    <m/>
    <s v="Not Required"/>
    <s v="Karenville"/>
  </r>
  <r>
    <s v="#2899"/>
    <n v="1"/>
    <d v="2026-08-04T13:54:08"/>
    <d v="2026-08-04T13:54:08"/>
    <s v="TINA CRANE"/>
    <s v="Email Available"/>
    <s v="tina.crane554@gmail.com"/>
    <x v="0"/>
    <s v="Sports &amp; Outdoors"/>
    <x v="0"/>
    <n v="1"/>
    <n v="89.99"/>
    <n v="89.99"/>
    <s v="FREESHIP"/>
    <s v="FREESHIP"/>
    <n v="0"/>
    <n v="0"/>
    <s v="Number"/>
    <n v="0"/>
    <n v="0"/>
    <n v="89.99"/>
    <n v="89.99"/>
    <n v="89.99"/>
    <s v="True"/>
    <s v="Outlier"/>
    <s v="Google Pay"/>
    <s v="Facebook"/>
    <s v="refunded"/>
    <s v="United Kingdom"/>
    <m/>
    <s v="Not Required"/>
    <s v="Samuelstad"/>
  </r>
  <r>
    <s v="#2962"/>
    <n v="1"/>
    <d v="2026-08-04T14:04:02"/>
    <d v="2026-08-04T14:04:02"/>
    <s v="Ronald Davis"/>
    <s v="Email Available"/>
    <s v="ronald.davis995@yahoo.com"/>
    <x v="0"/>
    <s v="Sports &amp; Outdoors"/>
    <x v="0"/>
    <n v="2"/>
    <n v="89.99"/>
    <n v="89.99"/>
    <s v="VIP15"/>
    <s v="VIP15"/>
    <n v="27"/>
    <n v="27"/>
    <s v="Number"/>
    <n v="0"/>
    <n v="0"/>
    <n v="152.97999999999999"/>
    <n v="152.97999999999999"/>
    <n v="152.97999999999999"/>
    <s v="True"/>
    <s v="Outlier"/>
    <s v="Credit Card"/>
    <s v="Instagram"/>
    <s v="cancelled"/>
    <s v="Pakistan"/>
    <m/>
    <s v="Not Required"/>
    <s v="West Margaretstad"/>
  </r>
  <r>
    <s v="#1021"/>
    <n v="1"/>
    <d v="2026-08-04T13:55:15"/>
    <d v="2026-08-04T13:55:15"/>
    <s v="Tyler Williams"/>
    <s v="Email Available"/>
    <s v="tyler.williams938@outlook.com"/>
    <x v="1"/>
    <s v="Accessories"/>
    <x v="1"/>
    <n v="1"/>
    <s v="$32.99"/>
    <n v="32.99"/>
    <s v="BFCM25"/>
    <s v="BFCM25"/>
    <n v="8.25"/>
    <n v="8.25"/>
    <s v="Number"/>
    <n v="4.99"/>
    <n v="4.99"/>
    <n v="29.73"/>
    <n v="29.73"/>
    <n v="29.730000000000004"/>
    <s v="True"/>
    <s v="Normal"/>
    <s v="PayPal"/>
    <s v="Instagram"/>
    <s v="refunded"/>
    <s v="Australia"/>
    <m/>
    <s v="Not Required"/>
    <s v="North Michellestad"/>
  </r>
  <r>
    <s v="#1030"/>
    <n v="1"/>
    <d v="2026-08-04T14:03:57"/>
    <d v="2026-08-04T14:03:57"/>
    <s v="Kenneth Davis"/>
    <s v="Email Available"/>
    <s v="kenneth.davis106@yahoo.com"/>
    <x v="1"/>
    <s v="Accessories"/>
    <x v="1"/>
    <n v="2"/>
    <n v="32.99"/>
    <n v="32.99"/>
    <m/>
    <s v=""/>
    <n v="0"/>
    <n v="0"/>
    <s v="Number"/>
    <n v="5.99"/>
    <n v="5.99"/>
    <n v="71.97"/>
    <n v="71.97"/>
    <n v="71.97"/>
    <s v="True"/>
    <s v="Normal"/>
    <s v="Shopify Payments"/>
    <s v="Online Store"/>
    <s v="fulfilled"/>
    <s v="United States"/>
    <s v="Florida"/>
    <s v="Valid"/>
    <s v="Millerside"/>
  </r>
  <r>
    <s v="#1037"/>
    <n v="1"/>
    <d v="2026-04-08T00:00:00"/>
    <s v="08/04/2026"/>
    <s v="Tamara Dodson"/>
    <s v="Email Available"/>
    <s v="tamara.dodson539@gmail.com"/>
    <x v="1"/>
    <s v="Accessories"/>
    <x v="1"/>
    <n v="2"/>
    <n v="32.99"/>
    <n v="32.99"/>
    <s v="SAVE20"/>
    <s v="SAVE20"/>
    <n v="13.2"/>
    <n v="13.2"/>
    <s v="Number"/>
    <n v="5.99"/>
    <n v="5.99"/>
    <n v="58.77"/>
    <n v="58.77"/>
    <n v="58.77"/>
    <s v="True"/>
    <s v="Normal"/>
    <s v="Credit Card"/>
    <s v="Online Store"/>
    <s v="cancelled"/>
    <s v="Pakistan"/>
    <m/>
    <s v="Not Required"/>
    <s v="Williamfort"/>
  </r>
  <r>
    <s v="#1081"/>
    <n v="1"/>
    <d v="2026-08-04T14:02:07"/>
    <d v="2026-08-04T14:02:07"/>
    <s v="Robert Boyd"/>
    <s v="Email Available"/>
    <s v="robert.boyd184@yahoo.com"/>
    <x v="1"/>
    <s v="Accessories"/>
    <x v="1"/>
    <n v="3"/>
    <n v="32.99"/>
    <n v="32.99"/>
    <s v="FREESHIP"/>
    <s v="FREESHIP"/>
    <s v="$0.00"/>
    <n v="0"/>
    <s v="Number"/>
    <n v="0"/>
    <n v="0"/>
    <n v="98.97"/>
    <n v="98.97"/>
    <n v="98.97"/>
    <s v="True"/>
    <s v="Outlier"/>
    <s v="Shopify Payments"/>
    <s v="Online Store"/>
    <s v="cancelled"/>
    <s v="Canada"/>
    <m/>
    <s v="Not Required"/>
    <s v="Lake Franciscoton"/>
  </r>
  <r>
    <s v="#1092"/>
    <n v="1"/>
    <d v="2026-08-04T14:03:38"/>
    <d v="2026-08-04T14:03:38"/>
    <s v="Julia Atkinson"/>
    <s v="Email Available"/>
    <s v="julia.atkinson939@gmail.com"/>
    <x v="1"/>
    <s v="Accessories"/>
    <x v="1"/>
    <n v="1"/>
    <n v="32.99"/>
    <n v="32.99"/>
    <s v="VIP15"/>
    <s v="VIP15"/>
    <n v="4.95"/>
    <n v="4.95"/>
    <s v="Number"/>
    <n v="4.99"/>
    <n v="4.99"/>
    <n v="33.03"/>
    <n v="33.03"/>
    <n v="33.03"/>
    <s v="True"/>
    <s v="Normal"/>
    <s v="Credit Card"/>
    <s v="Instagram"/>
    <s v="fulfilled"/>
    <s v="Canada"/>
    <m/>
    <s v="Not Required"/>
    <s v="New Christopher"/>
  </r>
  <r>
    <s v="#1105"/>
    <n v="1"/>
    <d v="2026-08-04T13:56:34"/>
    <d v="2026-08-04T13:56:34"/>
    <s v="Rebecca Watts"/>
    <s v="Email Available"/>
    <s v="rebecca.watts779@gmail.com"/>
    <x v="1"/>
    <s v="Accessories"/>
    <x v="1"/>
    <n v="1"/>
    <n v="32.99"/>
    <n v="32.99"/>
    <s v="FREESHIP"/>
    <s v="FREESHIP"/>
    <n v="0"/>
    <n v="0"/>
    <s v="Number"/>
    <n v="0"/>
    <n v="0"/>
    <n v="32.99"/>
    <n v="32.99"/>
    <n v="32.99"/>
    <s v="True"/>
    <s v="Normal"/>
    <s v="Shopify Payments"/>
    <s v="Facebook"/>
    <s v="fulfilled"/>
    <s v="United States"/>
    <s v="New York"/>
    <s v="Valid"/>
    <s v="North Jenniferhaven"/>
  </r>
  <r>
    <s v="#1137"/>
    <n v="1"/>
    <d v="2026-08-04T13:58:52"/>
    <d v="2026-08-04T13:58:52"/>
    <s v="Sheryl Nguyen"/>
    <s v="Email Available"/>
    <s v="sheryl.nguyen272@outlook.com"/>
    <x v="1"/>
    <s v="Accessories"/>
    <x v="1"/>
    <n v="1"/>
    <n v="32.99"/>
    <n v="32.99"/>
    <s v="FREESHIP"/>
    <s v="FREESHIP"/>
    <n v="0"/>
    <n v="0"/>
    <s v="Number"/>
    <n v="0"/>
    <n v="0"/>
    <n v="32.99"/>
    <n v="32.99"/>
    <n v="32.99"/>
    <s v="True"/>
    <s v="Normal"/>
    <s v="Credit Card"/>
    <s v="Instagram"/>
    <s v="refunded"/>
    <s v="United States"/>
    <s v="Arizona"/>
    <s v="Valid"/>
    <s v="Angelaton"/>
  </r>
  <r>
    <s v="#1209"/>
    <n v="1"/>
    <d v="2026-08-04T13:54:35"/>
    <d v="2026-08-04T13:54:35"/>
    <s v="Donald Davis"/>
    <s v="Email Available"/>
    <s v="donald.davis404@icloud.com"/>
    <x v="1"/>
    <s v="Accessories"/>
    <x v="1"/>
    <n v="1"/>
    <n v="32.99"/>
    <n v="32.99"/>
    <s v="WELCOME10"/>
    <s v="WELCOME10"/>
    <n v="3.3"/>
    <n v="3.3"/>
    <s v="Number"/>
    <n v="5.99"/>
    <n v="5.99"/>
    <n v="35.68"/>
    <n v="35.68"/>
    <n v="35.68"/>
    <s v="True"/>
    <s v="Normal"/>
    <s v="Google Pay"/>
    <s v="Online Store"/>
    <s v="pending"/>
    <s v="Canada"/>
    <m/>
    <s v="Not Required"/>
    <s v="West Amyport"/>
  </r>
  <r>
    <s v="#1212"/>
    <n v="1"/>
    <d v="2026-08-04T13:54:32"/>
    <d v="2026-08-04T13:54:32"/>
    <s v="Aimee Smith"/>
    <s v="Email Available"/>
    <s v="aimee.smith857@icloud.com"/>
    <x v="1"/>
    <s v="Accessories"/>
    <x v="1"/>
    <n v="1"/>
    <n v="32.99"/>
    <n v="32.99"/>
    <m/>
    <s v=""/>
    <n v="0"/>
    <n v="0"/>
    <s v="Number"/>
    <n v="5.99"/>
    <n v="5.99"/>
    <n v="38.979999999999997"/>
    <n v="38.979999999999997"/>
    <n v="38.980000000000004"/>
    <s v="True"/>
    <s v="Normal"/>
    <s v="Google Pay"/>
    <s v="Facebook"/>
    <s v="refunded"/>
    <s v="United Kingdom"/>
    <m/>
    <s v="Not Required"/>
    <s v="Hollyville"/>
  </r>
  <r>
    <s v="#1231"/>
    <n v="1"/>
    <d v="2026-08-04T13:59:49"/>
    <d v="2026-08-04T13:59:49"/>
    <s v="Leon Oliver"/>
    <s v="Email Available"/>
    <s v="leon.oliver578@gmail.com"/>
    <x v="1"/>
    <s v="Accessories"/>
    <x v="1"/>
    <n v="1"/>
    <n v="32.99"/>
    <n v="32.99"/>
    <s v="BFCM25"/>
    <s v="BFCM25"/>
    <n v="8.25"/>
    <n v="8.25"/>
    <s v="Number"/>
    <n v="5.99"/>
    <n v="5.99"/>
    <n v="30.73"/>
    <n v="30.73"/>
    <n v="30.730000000000004"/>
    <s v="True"/>
    <s v="Normal"/>
    <s v="PayPal"/>
    <s v="Online Store"/>
    <s v="fulfilled"/>
    <s v="Canada"/>
    <m/>
    <s v="Not Required"/>
    <s v="Lindamouth"/>
  </r>
  <r>
    <s v="#1330"/>
    <n v="1"/>
    <d v="2026-08-04T13:57:42"/>
    <d v="2026-08-04T13:57:42"/>
    <s v="Mary Phillips"/>
    <s v="Email Available"/>
    <s v="mary.phillips944@yahoo.com"/>
    <x v="1"/>
    <s v="Accessories"/>
    <x v="1"/>
    <n v="1"/>
    <n v="32.99"/>
    <n v="32.99"/>
    <m/>
    <s v=""/>
    <s v="$0.00"/>
    <n v="0"/>
    <s v="Number"/>
    <n v="5.99"/>
    <n v="5.99"/>
    <n v="38.979999999999997"/>
    <n v="38.979999999999997"/>
    <n v="38.980000000000004"/>
    <s v="True"/>
    <s v="Normal"/>
    <s v="Google Pay"/>
    <s v="Online Store"/>
    <s v="fulfilled"/>
    <s v="United States"/>
    <s v="California"/>
    <s v="Valid"/>
    <s v="Michaelburgh"/>
  </r>
  <r>
    <s v="#1391"/>
    <n v="1"/>
    <d v="2026-08-04T13:53:55"/>
    <d v="2026-08-04T13:53:55"/>
    <s v="DEBBIE JOSEPH"/>
    <s v="Email Available"/>
    <s v="debbie.joseph531@outlook.com"/>
    <x v="1"/>
    <s v="Accessories"/>
    <x v="1"/>
    <n v="1"/>
    <s v="$32.99"/>
    <n v="32.99"/>
    <s v="BFCM25"/>
    <s v="BFCM25"/>
    <n v="8.25"/>
    <n v="8.25"/>
    <s v="Number"/>
    <n v="5.99"/>
    <n v="5.99"/>
    <n v="30.73"/>
    <n v="30.73"/>
    <n v="30.730000000000004"/>
    <s v="True"/>
    <s v="Normal"/>
    <s v="Credit Card"/>
    <s v="POS"/>
    <s v="refunded"/>
    <s v="United States"/>
    <s v="Ohio"/>
    <s v="Valid"/>
    <s v="New Heidiland"/>
  </r>
  <r>
    <s v="#1443"/>
    <n v="1"/>
    <d v="2026-08-04T14:00:45"/>
    <d v="2026-08-04T14:00:45"/>
    <s v="tracy dominguez"/>
    <s v="Email Available"/>
    <s v="tracy.dominguez23@gmail.com"/>
    <x v="1"/>
    <s v="Accessories"/>
    <x v="1"/>
    <n v="1"/>
    <n v="32.99"/>
    <n v="32.99"/>
    <s v="VIP15"/>
    <s v="VIP15"/>
    <s v="$4.95"/>
    <n v="4.95"/>
    <s v="Number"/>
    <n v="5.99"/>
    <n v="5.99"/>
    <n v="34.03"/>
    <n v="34.03"/>
    <n v="34.03"/>
    <s v="True"/>
    <s v="Normal"/>
    <s v="Apple Pay"/>
    <s v="Online Store"/>
    <s v="fulfilled"/>
    <s v="United States"/>
    <s v="Texas"/>
    <s v="Valid"/>
    <s v="New Brittany"/>
  </r>
  <r>
    <s v="#1452"/>
    <n v="1"/>
    <d v="2026-08-04T14:03:36"/>
    <d v="2026-08-04T14:03:36"/>
    <s v="Christopher Hayes"/>
    <s v="Email Available"/>
    <s v="christopher.hayes809@icloud.com"/>
    <x v="1"/>
    <s v="Accessories"/>
    <x v="1"/>
    <n v="1"/>
    <n v="32.99"/>
    <n v="32.99"/>
    <s v="VIP15"/>
    <s v="VIP15"/>
    <n v="4.95"/>
    <n v="4.95"/>
    <s v="Number"/>
    <n v="7.99"/>
    <n v="7.99"/>
    <n v="36.03"/>
    <n v="36.03"/>
    <n v="36.03"/>
    <s v="True"/>
    <s v="Normal"/>
    <s v="Shopify Payments"/>
    <s v="Facebook"/>
    <s v="refunded"/>
    <s v="United States"/>
    <s v="TX"/>
    <s v="Valid"/>
    <s v="Lake Cynthiafort"/>
  </r>
  <r>
    <s v="#1465"/>
    <n v="1"/>
    <d v="2026-08-04T13:59:05"/>
    <d v="2026-08-04T13:59:05"/>
    <s v="Dustin Ward"/>
    <s v="Email Available"/>
    <s v="dustin.ward756@icloud.com"/>
    <x v="1"/>
    <s v="Accessories"/>
    <x v="1"/>
    <n v="1"/>
    <n v="32.99"/>
    <n v="32.99"/>
    <m/>
    <s v=""/>
    <n v="0"/>
    <n v="0"/>
    <s v="Number"/>
    <n v="4.99"/>
    <n v="4.99"/>
    <n v="37.979999999999997"/>
    <n v="37.979999999999997"/>
    <n v="37.980000000000004"/>
    <s v="True"/>
    <s v="Normal"/>
    <s v="Credit Card"/>
    <s v="Online Store"/>
    <s v="fulfilled"/>
    <s v="United States"/>
    <s v="IL"/>
    <s v="Valid"/>
    <s v="Lake Lindaborough"/>
  </r>
  <r>
    <s v="#1562"/>
    <n v="1"/>
    <d v="2026-08-04T13:55:14"/>
    <d v="2026-08-04T13:55:14"/>
    <s v="Michael Hays"/>
    <s v="Email Available"/>
    <s v="michael.hays590@gmail.com"/>
    <x v="1"/>
    <s v="Accessories"/>
    <x v="1"/>
    <n v="1"/>
    <n v="32.99"/>
    <n v="32.99"/>
    <m/>
    <s v=""/>
    <n v="0"/>
    <n v="0"/>
    <s v="Number"/>
    <n v="5.99"/>
    <n v="5.99"/>
    <n v="38.979999999999997"/>
    <n v="38.979999999999997"/>
    <n v="38.980000000000004"/>
    <s v="True"/>
    <s v="Normal"/>
    <s v="Shopify Payments"/>
    <s v="Online Store"/>
    <s v="fulfilled"/>
    <s v="United States"/>
    <s v="Ohio"/>
    <s v="Valid"/>
    <s v="Contrerasview"/>
  </r>
  <r>
    <s v="#1565"/>
    <n v="1"/>
    <d v="2026-08-04T13:53:49"/>
    <d v="2026-08-04T13:53:49"/>
    <s v="DEBBIE JOSEPH"/>
    <s v="Email Available"/>
    <s v="debbie.joseph531@outlook.com"/>
    <x v="1"/>
    <s v="Accessories"/>
    <x v="1"/>
    <n v="3"/>
    <n v="32.99"/>
    <n v="32.99"/>
    <s v="SAVE20"/>
    <s v="SAVE20"/>
    <n v="19.79"/>
    <n v="19.79"/>
    <s v="Number"/>
    <n v="0"/>
    <n v="0"/>
    <s v="$79.18"/>
    <n v="79.180000000000007"/>
    <n v="79.180000000000007"/>
    <s v="True"/>
    <s v="Normal"/>
    <s v="PayPal"/>
    <s v="Online Store"/>
    <s v="refunded"/>
    <s v="United States"/>
    <s v="Illinois"/>
    <s v="Valid"/>
    <s v="Hoodberg"/>
  </r>
  <r>
    <s v="#1577"/>
    <n v="1"/>
    <d v="2026-08-04T13:56:34"/>
    <d v="2026-08-04T13:56:34"/>
    <s v="Megan Dickson"/>
    <s v="Email Available"/>
    <s v="megan.dickson508@gmail.com"/>
    <x v="1"/>
    <s v="Accessories"/>
    <x v="1"/>
    <n v="1"/>
    <s v="$32.99"/>
    <n v="32.99"/>
    <m/>
    <s v=""/>
    <n v="0"/>
    <n v="0"/>
    <s v="Number"/>
    <n v="4.99"/>
    <n v="4.99"/>
    <n v="37.979999999999997"/>
    <n v="37.979999999999997"/>
    <n v="37.980000000000004"/>
    <s v="True"/>
    <s v="Normal"/>
    <s v="Google Pay"/>
    <s v="Online Store"/>
    <s v="pending"/>
    <s v="United Kingdom"/>
    <m/>
    <s v="Not Required"/>
    <s v="Deckerton"/>
  </r>
  <r>
    <s v="#1589"/>
    <n v="1"/>
    <d v="2026-08-04T13:54:18"/>
    <d v="2026-08-04T13:54:18"/>
    <s v="Matthew Riley"/>
    <s v="Email Available"/>
    <s v="matthew.riley309@yahoo.com"/>
    <x v="1"/>
    <s v="Accessories"/>
    <x v="1"/>
    <n v="1"/>
    <n v="32.99"/>
    <n v="32.99"/>
    <m/>
    <s v=""/>
    <n v="0"/>
    <n v="0"/>
    <s v="Number"/>
    <n v="7.99"/>
    <n v="7.99"/>
    <n v="40.98"/>
    <n v="40.98"/>
    <n v="40.980000000000004"/>
    <s v="True"/>
    <s v="Normal"/>
    <s v="Apple Pay"/>
    <s v="Online Store"/>
    <s v="refunded"/>
    <s v="Canada"/>
    <m/>
    <s v="Not Required"/>
    <s v="Josehaven"/>
  </r>
  <r>
    <s v="#1594"/>
    <n v="1"/>
    <d v="2026-08-04T14:06:20"/>
    <d v="2026-08-04T14:06:20"/>
    <s v="Anthony Parker"/>
    <s v="Email Available"/>
    <s v="anthony.parker256@icloud.com"/>
    <x v="1"/>
    <s v="Accessories"/>
    <x v="1"/>
    <n v="2"/>
    <n v="32.99"/>
    <n v="32.99"/>
    <s v="FREESHIP"/>
    <s v="FREESHIP"/>
    <n v="0"/>
    <n v="0"/>
    <s v="Number"/>
    <n v="0"/>
    <n v="0"/>
    <n v="65.98"/>
    <n v="65.98"/>
    <n v="65.98"/>
    <s v="True"/>
    <s v="Normal"/>
    <s v="Google Pay"/>
    <s v="Online Store"/>
    <s v="pending"/>
    <s v="United Kingdom"/>
    <m/>
    <s v="Not Required"/>
    <s v="Wallerland"/>
  </r>
  <r>
    <s v="#1616"/>
    <n v="1"/>
    <d v="2026-08-04T00:00:00"/>
    <s v="04-08-2026 14:05"/>
    <s v="Heather Davis"/>
    <s v="Email Available"/>
    <s v="heather.davis117@icloud.com"/>
    <x v="1"/>
    <s v="Accessories"/>
    <x v="1"/>
    <n v="2"/>
    <n v="32.99"/>
    <n v="32.99"/>
    <m/>
    <s v=""/>
    <n v="0"/>
    <n v="0"/>
    <s v="Number"/>
    <n v="5.99"/>
    <n v="5.99"/>
    <s v="$71.97"/>
    <n v="71.97"/>
    <n v="71.97"/>
    <s v="True"/>
    <s v="Normal"/>
    <s v="PayPal"/>
    <s v="Facebook"/>
    <s v="refunded"/>
    <s v="Germany"/>
    <m/>
    <s v="Not Required"/>
    <s v="Lake Jacob"/>
  </r>
  <r>
    <s v="#1624"/>
    <n v="1"/>
    <d v="2026-08-04T13:55:58"/>
    <d v="2026-08-04T13:55:58"/>
    <s v="Morgan Johnson"/>
    <s v="Missing Email"/>
    <m/>
    <x v="1"/>
    <s v="Accessories"/>
    <x v="1"/>
    <n v="3"/>
    <n v="32.99"/>
    <n v="32.99"/>
    <m/>
    <s v=""/>
    <n v="0"/>
    <n v="0"/>
    <s v="Number"/>
    <n v="0"/>
    <n v="0"/>
    <n v="98.97"/>
    <n v="98.97"/>
    <n v="98.97"/>
    <s v="True"/>
    <s v="Outlier"/>
    <s v="Shopify Payments"/>
    <s v="Facebook"/>
    <s v="fulfilled"/>
    <s v="Canada"/>
    <m/>
    <s v="Not Required"/>
    <s v="Thomaston"/>
  </r>
  <r>
    <s v="#1632"/>
    <n v="1"/>
    <d v="2026-04-08T00:00:00"/>
    <d v="2026-04-08T00:00:00"/>
    <s v="Kenneth Morgan"/>
    <s v="Email Available"/>
    <s v="kenneth.morgan181@outlook.com"/>
    <x v="1"/>
    <s v="Accessories"/>
    <x v="1"/>
    <n v="3"/>
    <n v="32.99"/>
    <n v="32.99"/>
    <s v="WELCOME10"/>
    <s v="WELCOME10"/>
    <n v="9.9"/>
    <n v="9.9"/>
    <s v="Number"/>
    <n v="0"/>
    <n v="0"/>
    <n v="89.07"/>
    <n v="89.07"/>
    <n v="89.07"/>
    <s v="True"/>
    <s v="Outlier"/>
    <s v="Apple Pay"/>
    <s v="Online Store"/>
    <s v="fulfilled"/>
    <s v="United States"/>
    <s v="Arizona"/>
    <s v="Valid"/>
    <s v="West David"/>
  </r>
  <r>
    <s v="#1642"/>
    <n v="1"/>
    <d v="2026-04-08T00:00:00"/>
    <s v="08/04/2026"/>
    <s v="Tracy Adams"/>
    <s v="Email Available"/>
    <s v="tracy.adams712@icloud.com"/>
    <x v="1"/>
    <s v="Accessories"/>
    <x v="1"/>
    <n v="3"/>
    <n v="32.99"/>
    <n v="32.99"/>
    <m/>
    <s v=""/>
    <n v="0"/>
    <n v="0"/>
    <s v="Number"/>
    <n v="0"/>
    <n v="0"/>
    <n v="98.97"/>
    <n v="98.97"/>
    <n v="98.97"/>
    <s v="True"/>
    <s v="Outlier"/>
    <s v="Shopify Payments"/>
    <s v="Online Store"/>
    <s v="fulfilled"/>
    <s v="United States"/>
    <s v="Florida"/>
    <s v="Valid"/>
    <s v="Lake Ian"/>
  </r>
  <r>
    <s v="#1651"/>
    <n v="1"/>
    <d v="2026-08-04T14:05:45"/>
    <d v="2026-08-04T14:05:45"/>
    <s v="Kevin Williams"/>
    <s v="Email Available"/>
    <s v="kevin.williams971@yahoo.com"/>
    <x v="1"/>
    <s v="Accessories"/>
    <x v="1"/>
    <n v="2"/>
    <n v="32.99"/>
    <n v="32.99"/>
    <m/>
    <s v=""/>
    <n v="0"/>
    <n v="0"/>
    <s v="Number"/>
    <n v="4.99"/>
    <n v="4.99"/>
    <n v="70.97"/>
    <n v="70.97"/>
    <n v="70.97"/>
    <s v="True"/>
    <s v="Normal"/>
    <s v="Credit Card"/>
    <s v="Online Store"/>
    <s v="refunded"/>
    <s v="Pakistan"/>
    <m/>
    <s v="Not Required"/>
    <s v="South Laurenland"/>
  </r>
  <r>
    <s v="#1701"/>
    <n v="1"/>
    <d v="2026-08-04T13:54:28"/>
    <d v="2026-08-04T13:54:28"/>
    <s v="James Miller"/>
    <s v="Email Available"/>
    <s v="james.miller866@yahoo.com"/>
    <x v="1"/>
    <s v="Accessories"/>
    <x v="1"/>
    <n v="2"/>
    <s v="$32.99"/>
    <n v="32.99"/>
    <m/>
    <s v=""/>
    <n v="0"/>
    <n v="0"/>
    <s v="Number"/>
    <n v="4.99"/>
    <n v="4.99"/>
    <n v="70.97"/>
    <n v="70.97"/>
    <n v="70.97"/>
    <s v="True"/>
    <s v="Normal"/>
    <s v="Google Pay"/>
    <s v="Facebook"/>
    <s v="fulfilled"/>
    <s v="Pakistan"/>
    <m/>
    <s v="Not Required"/>
    <s v="Port Karenshire"/>
  </r>
  <r>
    <s v="#1749"/>
    <n v="1"/>
    <d v="2026-08-04T13:57:03"/>
    <d v="2026-08-04T13:57:03"/>
    <s v="Ronald Stanley"/>
    <s v="Email Available"/>
    <s v="ronald.stanley7@yahoo.com"/>
    <x v="1"/>
    <s v="Accessories"/>
    <x v="1"/>
    <n v="1"/>
    <n v="32.99"/>
    <n v="32.99"/>
    <s v="BFCM25"/>
    <s v="BFCM25"/>
    <n v="8.25"/>
    <n v="8.25"/>
    <s v="Number"/>
    <n v="4.99"/>
    <n v="4.99"/>
    <n v="29.73"/>
    <n v="29.73"/>
    <n v="29.730000000000004"/>
    <s v="True"/>
    <s v="Normal"/>
    <s v="Shopify Payments"/>
    <s v="Online Store"/>
    <s v="fulfilled"/>
    <s v="United States"/>
    <s v="Texas"/>
    <s v="Valid"/>
    <s v="South Maria"/>
  </r>
  <r>
    <s v="#1821"/>
    <n v="1"/>
    <d v="2026-08-04T13:56:32"/>
    <d v="2026-08-04T13:56:32"/>
    <s v="Joseph Phillips"/>
    <s v="Email Available"/>
    <s v="joseph.phillips672@yahoo.com"/>
    <x v="1"/>
    <s v="Accessories"/>
    <x v="1"/>
    <n v="1"/>
    <n v="32.99"/>
    <n v="32.99"/>
    <m/>
    <s v=""/>
    <n v="0"/>
    <n v="0"/>
    <s v="Number"/>
    <n v="7.99"/>
    <n v="7.99"/>
    <n v="40.98"/>
    <n v="40.98"/>
    <n v="40.980000000000004"/>
    <s v="True"/>
    <s v="Normal"/>
    <s v="Credit Card"/>
    <s v="Instagram"/>
    <s v="fulfilled"/>
    <s v="Pakistan"/>
    <m/>
    <s v="Not Required"/>
    <s v="Austinview"/>
  </r>
  <r>
    <s v="#1832"/>
    <n v="1"/>
    <d v="2026-08-04T13:55:00"/>
    <d v="2026-08-04T13:55:00"/>
    <s v="David Knapp"/>
    <s v="Email Available"/>
    <s v="david.knapp687@yahoo.com"/>
    <x v="1"/>
    <s v="Accessories"/>
    <x v="1"/>
    <n v="2"/>
    <n v="32.99"/>
    <n v="32.99"/>
    <m/>
    <s v=""/>
    <n v="0"/>
    <n v="0"/>
    <s v="Number"/>
    <n v="7.99"/>
    <n v="7.99"/>
    <n v="73.97"/>
    <n v="73.97"/>
    <n v="73.97"/>
    <s v="True"/>
    <s v="Normal"/>
    <s v="PayPal"/>
    <s v="Online Store"/>
    <s v="fulfilled"/>
    <s v="United States"/>
    <s v="Florida"/>
    <s v="Valid"/>
    <s v="Rayhaven"/>
  </r>
  <r>
    <s v="#1892"/>
    <n v="1"/>
    <d v="2026-08-04T14:01:29"/>
    <d v="2026-08-04T14:01:29"/>
    <s v="Thomas Vazquez"/>
    <s v="Email Available"/>
    <s v="thomas.vazquez673@icloud.com"/>
    <x v="1"/>
    <s v="Accessories"/>
    <x v="1"/>
    <n v="1"/>
    <n v="32.99"/>
    <n v="32.99"/>
    <m/>
    <s v=""/>
    <n v="0"/>
    <n v="0"/>
    <s v="Number"/>
    <n v="7.99"/>
    <n v="7.99"/>
    <n v="40.98"/>
    <n v="40.98"/>
    <n v="40.980000000000004"/>
    <s v="True"/>
    <s v="Normal"/>
    <s v="Google Pay"/>
    <s v="Online Store"/>
    <s v="refunded"/>
    <s v="Germany"/>
    <m/>
    <s v="Not Required"/>
    <s v="West Amy"/>
  </r>
  <r>
    <s v="#1899"/>
    <n v="1"/>
    <d v="2026-08-04T13:55:01"/>
    <d v="2026-08-04T13:55:01"/>
    <s v="Deborah Wilson"/>
    <s v="Email Available"/>
    <s v="deborah.wilson691@icloud.com"/>
    <x v="1"/>
    <s v="Accessories"/>
    <x v="1"/>
    <n v="2"/>
    <n v="32.99"/>
    <n v="32.99"/>
    <s v="FREESHIP"/>
    <s v="FREESHIP"/>
    <n v="0"/>
    <n v="0"/>
    <s v="Number"/>
    <n v="0"/>
    <n v="0"/>
    <n v="65.98"/>
    <n v="65.98"/>
    <n v="65.98"/>
    <s v="True"/>
    <s v="Normal"/>
    <s v="PayPal"/>
    <s v="Online Store"/>
    <s v="fulfilled"/>
    <s v="United Kingdom"/>
    <m/>
    <s v="Not Required"/>
    <s v="South Amandachester"/>
  </r>
  <r>
    <s v="#1945"/>
    <n v="1"/>
    <d v="2026-08-04T13:59:31"/>
    <d v="2026-08-04T13:59:31"/>
    <s v="Singh, Tina"/>
    <s v="Missing Email"/>
    <m/>
    <x v="1"/>
    <s v="Accessories"/>
    <x v="1"/>
    <n v="2"/>
    <s v="$32.99"/>
    <n v="32.99"/>
    <m/>
    <s v=""/>
    <s v="$0.00"/>
    <n v="0"/>
    <s v="Number"/>
    <n v="4.99"/>
    <n v="4.99"/>
    <n v="70.97"/>
    <n v="70.97"/>
    <n v="70.97"/>
    <s v="True"/>
    <s v="Normal"/>
    <s v="Credit Card"/>
    <s v="Facebook"/>
    <s v="fulfilled"/>
    <s v="United States"/>
    <s v="Texas"/>
    <s v="Valid"/>
    <s v="Erichaven"/>
  </r>
  <r>
    <s v="#1997"/>
    <n v="1"/>
    <d v="2026-08-04T00:00:00"/>
    <s v="04-08-2026 13:59"/>
    <s v="Devon Rodriguez"/>
    <s v="Email Available"/>
    <s v="devon.rodriguez635@outlook.com"/>
    <x v="1"/>
    <s v="Accessories"/>
    <x v="1"/>
    <n v="1"/>
    <n v="32.99"/>
    <n v="32.99"/>
    <s v="SAVE20"/>
    <s v="SAVE20"/>
    <n v="6.6"/>
    <n v="6.6"/>
    <s v="Number"/>
    <n v="7.99"/>
    <n v="7.99"/>
    <n v="34.380000000000003"/>
    <n v="34.380000000000003"/>
    <n v="34.380000000000003"/>
    <s v="True"/>
    <s v="Normal"/>
    <s v="PayPal"/>
    <s v="POS"/>
    <s v="fulfilled"/>
    <s v="United States"/>
    <s v="California"/>
    <s v="Valid"/>
    <s v="Donnachester"/>
  </r>
  <r>
    <s v="#2003"/>
    <n v="1"/>
    <d v="2026-08-04T14:02:36"/>
    <d v="2026-08-04T14:02:36"/>
    <s v="Brittney Thomas"/>
    <s v="Email Available"/>
    <s v="brittney.thomas484@gmail.com"/>
    <x v="1"/>
    <s v="Accessories"/>
    <x v="1"/>
    <n v="1"/>
    <n v="32.99"/>
    <n v="32.99"/>
    <m/>
    <s v=""/>
    <s v="$0.00"/>
    <n v="0"/>
    <s v="Number"/>
    <n v="5.99"/>
    <n v="5.99"/>
    <n v="38.979999999999997"/>
    <n v="38.979999999999997"/>
    <n v="38.980000000000004"/>
    <s v="True"/>
    <s v="Normal"/>
    <s v="Google Pay"/>
    <s v="Instagram"/>
    <s v="pending"/>
    <s v="United States"/>
    <s v="Washington"/>
    <s v="Valid"/>
    <s v="Boltonberg"/>
  </r>
  <r>
    <s v="#2006"/>
    <n v="1"/>
    <d v="2026-04-08T00:00:00"/>
    <s v="08/04/2026"/>
    <s v="Hannah Lee"/>
    <s v="Email Available"/>
    <s v="hannah.lee589@icloud.com"/>
    <x v="1"/>
    <s v="Accessories"/>
    <x v="1"/>
    <n v="1"/>
    <n v="32.99"/>
    <n v="32.99"/>
    <m/>
    <s v=""/>
    <n v="0"/>
    <n v="0"/>
    <s v="Number"/>
    <n v="5.99"/>
    <n v="5.99"/>
    <s v="$38.98"/>
    <n v="38.979999999999997"/>
    <n v="38.980000000000004"/>
    <s v="True"/>
    <s v="Normal"/>
    <s v="Credit Card"/>
    <s v="Online Store"/>
    <s v="fulfilled"/>
    <s v="United Kingdom"/>
    <m/>
    <s v="Not Required"/>
    <s v="Coleport"/>
  </r>
  <r>
    <s v="#2067"/>
    <n v="1"/>
    <d v="2026-08-04T14:07:01"/>
    <d v="2026-08-04T14:07:01"/>
    <s v="Jeremy Tucker"/>
    <s v="Email Available"/>
    <s v="jeremy.tucker26@yahoo.com"/>
    <x v="1"/>
    <s v="Accessories"/>
    <x v="1"/>
    <n v="1"/>
    <n v="32.99"/>
    <n v="32.99"/>
    <s v="SAVE20"/>
    <s v="SAVE20"/>
    <n v="6.6"/>
    <n v="6.6"/>
    <s v="Number"/>
    <n v="5.99"/>
    <n v="5.99"/>
    <s v="$32.38"/>
    <n v="32.380000000000003"/>
    <n v="32.380000000000003"/>
    <s v="True"/>
    <s v="Normal"/>
    <s v="Shopify Payments"/>
    <s v="Facebook"/>
    <s v="fulfilled"/>
    <s v="United States"/>
    <s v="Ohio"/>
    <s v="Valid"/>
    <s v="East Douglas"/>
  </r>
  <r>
    <s v="#2085"/>
    <n v="1"/>
    <d v="2026-08-04T13:57:52"/>
    <d v="2026-08-04T13:57:52"/>
    <s v="Julia Atkinson"/>
    <s v="Email Available"/>
    <s v="julia.atkinson939@gmail.com"/>
    <x v="1"/>
    <s v="Accessories"/>
    <x v="1"/>
    <n v="1"/>
    <n v="32.99"/>
    <n v="32.99"/>
    <m/>
    <s v=""/>
    <n v="0"/>
    <n v="0"/>
    <s v="Number"/>
    <n v="7.99"/>
    <n v="7.99"/>
    <n v="40.98"/>
    <n v="40.98"/>
    <n v="40.980000000000004"/>
    <s v="True"/>
    <s v="Normal"/>
    <s v="Credit Card"/>
    <s v="Facebook"/>
    <s v="fulfilled"/>
    <s v="Canada"/>
    <m/>
    <s v="Not Required"/>
    <s v="Nixonmouth"/>
  </r>
  <r>
    <s v="#2089"/>
    <n v="1"/>
    <d v="2026-08-04T13:54:17"/>
    <d v="2026-08-04T13:54:17"/>
    <s v="Mary Garcia"/>
    <s v="Email Available"/>
    <s v="mary.garcia899@icloud.com"/>
    <x v="1"/>
    <s v="Accessories"/>
    <x v="1"/>
    <n v="2"/>
    <n v="32.99"/>
    <n v="32.99"/>
    <s v="FREESHIP"/>
    <s v="FREESHIP"/>
    <n v="0"/>
    <n v="0"/>
    <s v="Number"/>
    <n v="0"/>
    <n v="0"/>
    <n v="65.98"/>
    <n v="65.98"/>
    <n v="65.98"/>
    <s v="True"/>
    <s v="Normal"/>
    <s v="PayPal"/>
    <s v="Online Store"/>
    <s v="refunded"/>
    <s v="Canada"/>
    <m/>
    <s v="Not Required"/>
    <s v="North Justinberg"/>
  </r>
  <r>
    <s v="#2178"/>
    <n v="1"/>
    <d v="2026-08-04T13:56:42"/>
    <d v="2026-08-04T13:56:42"/>
    <s v="Rebecca Watts"/>
    <s v="Email Available"/>
    <s v="rebecca.watts779@gmail.com"/>
    <x v="1"/>
    <s v="Accessories"/>
    <x v="1"/>
    <n v="1"/>
    <n v="32.99"/>
    <n v="32.99"/>
    <s v="WELCOME10"/>
    <s v="WELCOME10"/>
    <n v="3.3"/>
    <n v="3.3"/>
    <s v="Number"/>
    <n v="5.99"/>
    <n v="5.99"/>
    <n v="35.68"/>
    <n v="35.68"/>
    <n v="35.68"/>
    <s v="True"/>
    <s v="Normal"/>
    <s v="Apple Pay"/>
    <s v="Online Store"/>
    <s v="fulfilled"/>
    <s v="United States"/>
    <s v="Washington"/>
    <s v="Valid"/>
    <s v="Jasmineland"/>
  </r>
  <r>
    <s v="#2181"/>
    <n v="1"/>
    <d v="2026-08-04T13:54:11"/>
    <d v="2026-08-04T13:54:11"/>
    <s v="VICKI JOHNSON"/>
    <s v="Missing Email"/>
    <m/>
    <x v="1"/>
    <s v="Accessories"/>
    <x v="1"/>
    <n v="2"/>
    <n v="32.99"/>
    <n v="32.99"/>
    <s v="VIP15"/>
    <s v="VIP15"/>
    <n v="9.9"/>
    <n v="9.9"/>
    <s v="Number"/>
    <n v="7.99"/>
    <n v="7.99"/>
    <n v="64.069999999999993"/>
    <n v="64.069999999999993"/>
    <n v="64.070000000000007"/>
    <s v="True"/>
    <s v="Normal"/>
    <s v="Google Pay"/>
    <s v="Online Store"/>
    <s v="cancelled"/>
    <s v="Canada"/>
    <m/>
    <s v="Not Required"/>
    <s v="Calvinfurt"/>
  </r>
  <r>
    <s v="#2201"/>
    <n v="1"/>
    <d v="2026-08-04T00:00:00"/>
    <s v="2026-08-04"/>
    <s v="Rachel Colon"/>
    <s v="Missing Email"/>
    <m/>
    <x v="1"/>
    <s v="Accessories"/>
    <x v="1"/>
    <n v="1"/>
    <n v="32.99"/>
    <n v="32.99"/>
    <s v="WELCOME10"/>
    <s v="WELCOME10"/>
    <n v="3.3"/>
    <n v="3.3"/>
    <s v="Number"/>
    <n v="4.99"/>
    <n v="4.99"/>
    <s v="$34.68"/>
    <n v="34.68"/>
    <n v="34.68"/>
    <s v="True"/>
    <s v="Normal"/>
    <s v="Google Pay"/>
    <s v="Online Store"/>
    <s v="pending"/>
    <s v="Australia"/>
    <m/>
    <s v="Not Required"/>
    <s v="Port Lisa"/>
  </r>
  <r>
    <s v="#2215"/>
    <n v="1"/>
    <d v="2026-04-08T00:00:00"/>
    <s v="08/04/2026"/>
    <s v="Margaret Conley"/>
    <s v="Email Available"/>
    <s v="margaret.conley327@icloud.com"/>
    <x v="1"/>
    <s v="Accessories"/>
    <x v="1"/>
    <n v="1"/>
    <n v="32.99"/>
    <n v="32.99"/>
    <s v="SAVE20"/>
    <s v="SAVE20"/>
    <n v="6.6"/>
    <n v="6.6"/>
    <s v="Number"/>
    <n v="4.99"/>
    <n v="4.99"/>
    <n v="31.38"/>
    <n v="31.38"/>
    <n v="31.380000000000003"/>
    <s v="True"/>
    <s v="Normal"/>
    <s v="Apple Pay"/>
    <s v="Facebook"/>
    <s v="cancelled"/>
    <s v="Australia"/>
    <m/>
    <s v="Not Required"/>
    <s v="Lake Andrewstad"/>
  </r>
  <r>
    <s v="#2288"/>
    <n v="1"/>
    <d v="2026-08-04T14:02:51"/>
    <d v="2026-08-04T14:02:51"/>
    <s v="Timothy Becker"/>
    <s v="Email Available"/>
    <s v="timothy.becker88@yahoo.com"/>
    <x v="1"/>
    <s v="Accessories"/>
    <x v="1"/>
    <n v="2"/>
    <n v="32.99"/>
    <n v="32.99"/>
    <s v="VIP15"/>
    <s v="VIP15"/>
    <n v="9.9"/>
    <n v="9.9"/>
    <s v="Number"/>
    <n v="7.99"/>
    <n v="7.99"/>
    <n v="64.069999999999993"/>
    <n v="64.069999999999993"/>
    <n v="64.070000000000007"/>
    <s v="True"/>
    <s v="Normal"/>
    <s v="Apple Pay"/>
    <s v="Online Store"/>
    <s v="cancelled"/>
    <s v="United States"/>
    <s v="Ohio"/>
    <s v="Valid"/>
    <s v="Stevensberg"/>
  </r>
  <r>
    <s v="#2298"/>
    <n v="1"/>
    <d v="2026-08-04T14:01:25"/>
    <d v="2026-08-04T14:01:25"/>
    <s v="Kayla Lee"/>
    <s v="Email Available"/>
    <s v="kayla.lee278@yahoo.com"/>
    <x v="1"/>
    <s v="Accessories"/>
    <x v="1"/>
    <n v="1"/>
    <n v="32.99"/>
    <n v="32.99"/>
    <s v="VIP15"/>
    <s v="VIP15"/>
    <n v="4.95"/>
    <n v="4.95"/>
    <s v="Number"/>
    <n v="5.99"/>
    <n v="5.99"/>
    <n v="34.03"/>
    <n v="34.03"/>
    <n v="34.03"/>
    <s v="True"/>
    <s v="Normal"/>
    <s v="PayPal"/>
    <s v="Online Store"/>
    <s v="refunded"/>
    <s v="United Kingdom"/>
    <m/>
    <s v="Not Required"/>
    <s v="New Bradley"/>
  </r>
  <r>
    <s v="#2320"/>
    <n v="1"/>
    <d v="2026-08-04T14:06:22"/>
    <d v="2026-08-04T14:06:22"/>
    <s v="Brittney Conway"/>
    <s v="Email Available"/>
    <s v="brittney.conway383@outlook.com"/>
    <x v="1"/>
    <s v="Accessories"/>
    <x v="1"/>
    <n v="1"/>
    <n v="32.99"/>
    <n v="32.99"/>
    <m/>
    <s v=""/>
    <n v="0"/>
    <n v="0"/>
    <s v="Number"/>
    <n v="4.99"/>
    <n v="4.99"/>
    <n v="37.979999999999997"/>
    <n v="37.979999999999997"/>
    <n v="37.980000000000004"/>
    <s v="True"/>
    <s v="Normal"/>
    <s v="Credit Card"/>
    <s v="Instagram"/>
    <s v="fulfilled"/>
    <s v="United States"/>
    <s v="Arizona"/>
    <s v="Valid"/>
    <s v="Yangburgh"/>
  </r>
  <r>
    <s v="#2343"/>
    <n v="1"/>
    <d v="2026-08-04T13:58:12"/>
    <d v="2026-08-04T13:58:12"/>
    <s v="Benjamin Collins"/>
    <s v="Email Available"/>
    <s v="benjamin.collins953@icloud.com"/>
    <x v="1"/>
    <s v="Accessories"/>
    <x v="1"/>
    <n v="1"/>
    <n v="32.99"/>
    <n v="32.99"/>
    <m/>
    <s v=""/>
    <n v="0"/>
    <n v="0"/>
    <s v="Number"/>
    <n v="4.99"/>
    <n v="4.99"/>
    <n v="37.979999999999997"/>
    <n v="37.979999999999997"/>
    <n v="37.980000000000004"/>
    <s v="True"/>
    <s v="Normal"/>
    <s v="PayPal"/>
    <s v="Instagram"/>
    <s v="fulfilled"/>
    <s v="Pakistan"/>
    <m/>
    <s v="Not Required"/>
    <s v="Rasmussenbury"/>
  </r>
  <r>
    <s v="#2358"/>
    <n v="1"/>
    <d v="2026-08-04T14:05:29"/>
    <d v="2026-08-04T14:05:29"/>
    <s v="Robert Ramsey"/>
    <s v="Email Available"/>
    <s v="robert.ramsey440@outlook.com"/>
    <x v="1"/>
    <s v="Accessories"/>
    <x v="1"/>
    <n v="1"/>
    <n v="32.99"/>
    <n v="32.99"/>
    <s v="SAVE20"/>
    <s v="SAVE20"/>
    <n v="6.6"/>
    <n v="6.6"/>
    <s v="Number"/>
    <n v="5.99"/>
    <n v="5.99"/>
    <n v="32.380000000000003"/>
    <n v="32.380000000000003"/>
    <n v="32.380000000000003"/>
    <s v="True"/>
    <s v="Normal"/>
    <s v="Google Pay"/>
    <s v="Instagram"/>
    <s v="fulfilled"/>
    <s v="Canada"/>
    <m/>
    <s v="Not Required"/>
    <s v="Robinsonton"/>
  </r>
  <r>
    <s v="#2366"/>
    <n v="1"/>
    <d v="2026-08-04T14:00:18"/>
    <d v="2026-08-04T14:00:18"/>
    <s v="Gerald Li"/>
    <s v="Email Available"/>
    <s v="gerald.li856@icloud.com"/>
    <x v="1"/>
    <s v="Accessories"/>
    <x v="1"/>
    <n v="1"/>
    <n v="32.99"/>
    <n v="32.99"/>
    <s v="FREESHIP"/>
    <s v="FREESHIP"/>
    <n v="0"/>
    <n v="0"/>
    <s v="Number"/>
    <n v="0"/>
    <n v="0"/>
    <n v="32.99"/>
    <n v="32.99"/>
    <n v="32.99"/>
    <s v="True"/>
    <s v="Normal"/>
    <s v="Credit Card"/>
    <s v="Instagram"/>
    <s v="refunded"/>
    <s v="United States"/>
    <s v="Florida"/>
    <s v="Valid"/>
    <s v="Lake Amanda"/>
  </r>
  <r>
    <s v="#2389"/>
    <n v="1"/>
    <d v="2026-08-04T00:00:00"/>
    <s v="04-08-2026 14:07"/>
    <s v="Darin Alvarez"/>
    <s v="Email Available"/>
    <s v="darin.alvarez843@gmail.com"/>
    <x v="1"/>
    <s v="Accessories"/>
    <x v="1"/>
    <n v="4"/>
    <n v="32.99"/>
    <n v="32.99"/>
    <s v="WELCOME10"/>
    <s v="WELCOME10"/>
    <n v="13.2"/>
    <n v="13.2"/>
    <s v="Number"/>
    <n v="0"/>
    <n v="0"/>
    <n v="118.76"/>
    <n v="118.76"/>
    <n v="118.76"/>
    <s v="True"/>
    <s v="Outlier"/>
    <s v="Shopify Payments"/>
    <s v="POS"/>
    <s v="cancelled"/>
    <s v="Canada"/>
    <m/>
    <s v="Not Required"/>
    <s v="Danielborough"/>
  </r>
  <r>
    <s v="#2449"/>
    <n v="1"/>
    <d v="2026-08-04T14:05:27"/>
    <d v="2026-08-04T14:05:27"/>
    <s v="Jesse Hammond"/>
    <s v="Email Available"/>
    <s v="jesse.hammond987@gmail.com"/>
    <x v="1"/>
    <s v="Accessories"/>
    <x v="1"/>
    <n v="1"/>
    <s v="$32.99"/>
    <n v="32.99"/>
    <s v="BFCM25"/>
    <s v="BFCM25"/>
    <n v="8.25"/>
    <n v="8.25"/>
    <s v="Number"/>
    <n v="7.99"/>
    <n v="7.99"/>
    <n v="32.729999999999997"/>
    <n v="32.729999999999997"/>
    <n v="32.730000000000004"/>
    <s v="True"/>
    <s v="Normal"/>
    <s v="Credit Card"/>
    <s v="Online Store"/>
    <s v="fulfilled"/>
    <s v="United States"/>
    <s v="Washington"/>
    <s v="Valid"/>
    <s v="Jennyburgh"/>
  </r>
  <r>
    <s v="#2456"/>
    <n v="1"/>
    <d v="2026-08-04T00:00:00"/>
    <s v="04-08-2026 13:57"/>
    <s v="Alexandria Miller"/>
    <s v="Email Available"/>
    <s v="alexandria.miller414@outlook.com"/>
    <x v="1"/>
    <s v="Accessories"/>
    <x v="1"/>
    <n v="3"/>
    <s v="$32.99"/>
    <n v="32.99"/>
    <s v="FREESHIP"/>
    <s v="FREESHIP"/>
    <n v="0"/>
    <n v="0"/>
    <s v="Number"/>
    <n v="0"/>
    <n v="0"/>
    <n v="98.97"/>
    <n v="98.97"/>
    <n v="98.97"/>
    <s v="True"/>
    <s v="Outlier"/>
    <s v="PayPal"/>
    <s v="Online Store"/>
    <s v="fulfilled"/>
    <s v="Australia"/>
    <m/>
    <s v="Not Required"/>
    <s v="East Miranda"/>
  </r>
  <r>
    <s v="#2494"/>
    <n v="1"/>
    <d v="2026-08-04T14:07:40"/>
    <d v="2026-08-04T14:07:40"/>
    <s v="Mary Garcia"/>
    <s v="Email Available"/>
    <s v="mary.garcia899@icloud.com"/>
    <x v="1"/>
    <s v="Accessories"/>
    <x v="1"/>
    <n v="2"/>
    <n v="32.99"/>
    <n v="32.99"/>
    <s v="VIP15"/>
    <s v="VIP15"/>
    <n v="9.9"/>
    <n v="9.9"/>
    <s v="Number"/>
    <n v="5.99"/>
    <n v="5.99"/>
    <n v="62.07"/>
    <n v="62.07"/>
    <n v="62.070000000000007"/>
    <s v="True"/>
    <s v="Normal"/>
    <s v="PayPal"/>
    <s v="POS"/>
    <s v="fulfilled"/>
    <s v="Canada"/>
    <m/>
    <s v="Not Required"/>
    <s v="Tateville"/>
  </r>
  <r>
    <s v="#2517"/>
    <n v="1"/>
    <d v="2026-08-04T13:53:55"/>
    <d v="2026-08-04T13:53:55"/>
    <s v="Darin Alvarez"/>
    <s v="Missing Email"/>
    <m/>
    <x v="1"/>
    <s v="Accessories"/>
    <x v="1"/>
    <n v="2"/>
    <s v="$32.99"/>
    <n v="32.99"/>
    <m/>
    <s v=""/>
    <n v="0"/>
    <n v="0"/>
    <s v="Number"/>
    <n v="4.99"/>
    <n v="4.99"/>
    <n v="70.97"/>
    <n v="70.97"/>
    <n v="70.97"/>
    <s v="True"/>
    <s v="Normal"/>
    <s v="Apple Pay"/>
    <s v="Facebook"/>
    <s v="fulfilled"/>
    <s v="Canada"/>
    <m/>
    <s v="Not Required"/>
    <s v="Andrewmouth"/>
  </r>
  <r>
    <s v="#2535"/>
    <n v="1"/>
    <d v="2026-04-08T00:00:00"/>
    <s v="08/04/2026"/>
    <s v="Kenneth Davis"/>
    <s v="Email Available"/>
    <s v="kenneth.davis106@yahoo.com"/>
    <x v="1"/>
    <s v="Accessories"/>
    <x v="1"/>
    <n v="1"/>
    <s v="$32.99"/>
    <n v="32.99"/>
    <m/>
    <s v=""/>
    <n v="0"/>
    <n v="0"/>
    <s v="Number"/>
    <n v="5.99"/>
    <n v="5.99"/>
    <n v="38.979999999999997"/>
    <n v="38.979999999999997"/>
    <n v="38.980000000000004"/>
    <s v="True"/>
    <s v="Normal"/>
    <s v="Shopify Payments"/>
    <s v="Instagram"/>
    <s v="fulfilled"/>
    <s v="United States"/>
    <s v="California"/>
    <s v="Valid"/>
    <s v="Stephaniechester"/>
  </r>
  <r>
    <s v="#2567"/>
    <n v="1"/>
    <d v="2026-08-04T13:59:17"/>
    <d v="2026-08-04T13:59:17"/>
    <s v="Test Order"/>
    <s v="Email Available"/>
    <s v="test@test.com"/>
    <x v="1"/>
    <s v="Accessories"/>
    <x v="1"/>
    <n v="1"/>
    <s v="$32.99"/>
    <n v="32.99"/>
    <m/>
    <s v=""/>
    <n v="0"/>
    <n v="0"/>
    <s v="Number"/>
    <n v="4.99"/>
    <n v="4.99"/>
    <n v="0"/>
    <n v="0"/>
    <n v="37.980000000000004"/>
    <s v="False"/>
    <s v="Normal"/>
    <s v="Shopify Payments"/>
    <s v="Instagram"/>
    <s v="cancelled"/>
    <s v="United Kingdom"/>
    <m/>
    <s v="Not Required"/>
    <s v="Elizabethchester"/>
  </r>
  <r>
    <s v="#2601"/>
    <n v="1"/>
    <d v="2026-08-04T13:57:32"/>
    <d v="2026-08-04T13:57:32"/>
    <s v="Debra Thomas"/>
    <s v="Email Available"/>
    <s v="debra.thomas509@icloud.com"/>
    <x v="1"/>
    <s v="Accessories"/>
    <x v="1"/>
    <n v="1"/>
    <n v="32.99"/>
    <n v="32.99"/>
    <s v="VIP15"/>
    <s v="VIP15"/>
    <n v="4.95"/>
    <n v="4.95"/>
    <s v="Number"/>
    <n v="4.99"/>
    <n v="4.99"/>
    <n v="33.03"/>
    <n v="33.03"/>
    <n v="33.03"/>
    <s v="True"/>
    <s v="Normal"/>
    <s v="Apple Pay"/>
    <s v="Online Store"/>
    <s v="fulfilled"/>
    <s v="United States"/>
    <s v="New York"/>
    <s v="Valid"/>
    <s v="Austinborough"/>
  </r>
  <r>
    <s v="#2616"/>
    <n v="1"/>
    <d v="2026-08-04T14:01:47"/>
    <d v="2026-08-04T14:01:47"/>
    <s v="Frank Diaz"/>
    <s v="Missing Email"/>
    <m/>
    <x v="1"/>
    <s v="Accessories"/>
    <x v="1"/>
    <n v="2"/>
    <n v="32.99"/>
    <n v="32.99"/>
    <m/>
    <s v=""/>
    <n v="0"/>
    <n v="0"/>
    <s v="Number"/>
    <n v="5.99"/>
    <n v="5.99"/>
    <n v="71.97"/>
    <n v="71.97"/>
    <n v="71.97"/>
    <s v="True"/>
    <s v="Normal"/>
    <s v="Shopify Payments"/>
    <s v="Online Store"/>
    <s v="refunded"/>
    <s v="United States"/>
    <s v="New York"/>
    <s v="Valid"/>
    <s v="North Andrewshire"/>
  </r>
  <r>
    <s v="#2640"/>
    <n v="1"/>
    <d v="2026-08-04T14:03:15"/>
    <d v="2026-08-04T14:03:15"/>
    <s v="Lori Davis"/>
    <s v="Email Available"/>
    <s v="lori.davis757@yahoo.com"/>
    <x v="1"/>
    <s v="Accessories"/>
    <x v="1"/>
    <n v="1"/>
    <n v="32.99"/>
    <n v="32.99"/>
    <s v="FREESHIP"/>
    <s v="FREESHIP"/>
    <n v="0"/>
    <n v="0"/>
    <s v="Number"/>
    <n v="0"/>
    <n v="0"/>
    <n v="32.99"/>
    <n v="32.99"/>
    <n v="32.99"/>
    <s v="True"/>
    <s v="Normal"/>
    <s v="Google Pay"/>
    <s v="Online Store"/>
    <s v="fulfilled"/>
    <s v="Germany"/>
    <m/>
    <s v="Not Required"/>
    <s v="East Faith"/>
  </r>
  <r>
    <s v="#2660"/>
    <n v="1"/>
    <d v="2026-08-04T14:00:53"/>
    <d v="2026-08-04T14:00:53"/>
    <s v="Autumn Stewart"/>
    <s v="Email Available"/>
    <s v="autumn.stewart565@outlook.com"/>
    <x v="1"/>
    <s v="Accessories"/>
    <x v="1"/>
    <n v="2"/>
    <s v="$32.99"/>
    <n v="32.99"/>
    <m/>
    <s v=""/>
    <n v="0"/>
    <n v="0"/>
    <s v="Number"/>
    <n v="5.99"/>
    <n v="5.99"/>
    <n v="71.97"/>
    <n v="71.97"/>
    <n v="71.97"/>
    <s v="True"/>
    <s v="Normal"/>
    <s v="Apple Pay"/>
    <s v="POS"/>
    <s v="pending"/>
    <s v="United Kingdom"/>
    <m/>
    <s v="Not Required"/>
    <s v="Patriciaside"/>
  </r>
  <r>
    <s v="#2684"/>
    <n v="1"/>
    <d v="2026-08-04T13:54:04"/>
    <d v="2026-08-04T13:54:04"/>
    <s v="  Linda Byrd"/>
    <s v="Email Available"/>
    <s v="linda.byrd87@outlook.com"/>
    <x v="1"/>
    <s v="Accessories"/>
    <x v="1"/>
    <n v="1"/>
    <n v="32.99"/>
    <n v="32.99"/>
    <s v="WELCOME10"/>
    <s v="WELCOME10"/>
    <n v="3.3"/>
    <n v="3.3"/>
    <s v="Number"/>
    <n v="4.99"/>
    <n v="4.99"/>
    <n v="34.68"/>
    <n v="34.68"/>
    <n v="34.68"/>
    <s v="True"/>
    <s v="Normal"/>
    <s v="Apple Pay"/>
    <s v="Facebook"/>
    <s v="fulfilled"/>
    <s v="United States"/>
    <s v="Illinois"/>
    <s v="Valid"/>
    <s v="Lake Christopherberg"/>
  </r>
  <r>
    <s v="#2715"/>
    <n v="1"/>
    <d v="2026-08-04T13:59:50"/>
    <d v="2026-08-04T13:59:50"/>
    <s v="Sara Sims"/>
    <s v="Email Available"/>
    <s v="sara.sims992@icloud.com"/>
    <x v="1"/>
    <s v="Accessories"/>
    <x v="1"/>
    <n v="1"/>
    <n v="32.99"/>
    <n v="32.99"/>
    <s v="VIP15"/>
    <s v="VIP15"/>
    <n v="4.95"/>
    <n v="4.95"/>
    <s v="Number"/>
    <n v="7.99"/>
    <n v="7.99"/>
    <n v="36.03"/>
    <n v="36.03"/>
    <n v="36.03"/>
    <s v="True"/>
    <s v="Normal"/>
    <s v="Credit Card"/>
    <s v="Online Store"/>
    <s v="fulfilled"/>
    <s v="Germany"/>
    <m/>
    <s v="Not Required"/>
    <s v="Adamston"/>
  </r>
  <r>
    <s v="#2720"/>
    <n v="1"/>
    <d v="2026-08-04T13:56:29"/>
    <d v="2026-08-04T13:56:29"/>
    <s v="Johnathan Sloan"/>
    <s v="Email Available"/>
    <s v="johnathan.sloan721@outlook.com"/>
    <x v="1"/>
    <s v="Accessories"/>
    <x v="1"/>
    <n v="3"/>
    <n v="32.99"/>
    <n v="32.99"/>
    <m/>
    <s v=""/>
    <n v="0"/>
    <n v="0"/>
    <s v="Number"/>
    <n v="0"/>
    <n v="0"/>
    <n v="98.97"/>
    <n v="98.97"/>
    <n v="98.97"/>
    <s v="True"/>
    <s v="Outlier"/>
    <s v="Google Pay"/>
    <s v="Online Store"/>
    <s v="fulfilled"/>
    <s v="Pakistan"/>
    <m/>
    <s v="Not Required"/>
    <s v="Christopherburgh"/>
  </r>
  <r>
    <s v="#2725"/>
    <n v="1"/>
    <d v="2026-08-04T14:01:40"/>
    <d v="2026-08-04T14:01:40"/>
    <s v="Jennifer Lee"/>
    <s v="Email Available"/>
    <s v="jennifer.lee321@icloud.com"/>
    <x v="1"/>
    <s v="Accessories"/>
    <x v="1"/>
    <n v="1"/>
    <n v="32.99"/>
    <n v="32.99"/>
    <m/>
    <s v=""/>
    <n v="0"/>
    <n v="0"/>
    <s v="Number"/>
    <n v="5.99"/>
    <n v="5.99"/>
    <n v="38.979999999999997"/>
    <n v="38.979999999999997"/>
    <n v="38.980000000000004"/>
    <s v="True"/>
    <s v="Normal"/>
    <s v="Apple Pay"/>
    <s v="Online Store"/>
    <s v="pending"/>
    <s v="United Kingdom"/>
    <m/>
    <s v="Not Required"/>
    <s v="Garciamouth"/>
  </r>
  <r>
    <s v="#2800"/>
    <n v="1"/>
    <d v="2026-08-04T14:00:44"/>
    <d v="2026-08-04T14:00:44"/>
    <s v="Janet Martinez"/>
    <s v="Email Available"/>
    <s v="janet.martinez20@yahoo.com"/>
    <x v="1"/>
    <s v="Accessories"/>
    <x v="1"/>
    <n v="1"/>
    <n v="32.99"/>
    <n v="32.99"/>
    <m/>
    <s v=""/>
    <n v="0"/>
    <n v="0"/>
    <s v="Number"/>
    <n v="5.99"/>
    <n v="5.99"/>
    <n v="38.979999999999997"/>
    <n v="38.979999999999997"/>
    <n v="38.980000000000004"/>
    <s v="True"/>
    <s v="Normal"/>
    <s v="Credit Card"/>
    <s v="Instagram"/>
    <s v="refunded"/>
    <s v="United States"/>
    <s v="North Carolina"/>
    <s v="Valid"/>
    <s v="Martinezmouth"/>
  </r>
  <r>
    <s v="#2829"/>
    <n v="1"/>
    <d v="2026-08-04T00:00:00"/>
    <s v="2026-08-04"/>
    <s v="Autumn Stewart"/>
    <s v="Email Available"/>
    <s v="autumn.stewart565@outlook.com"/>
    <x v="1"/>
    <s v="Accessories"/>
    <x v="1"/>
    <n v="1"/>
    <n v="32.99"/>
    <n v="32.99"/>
    <s v="FREESHIP"/>
    <s v="FREESHIP"/>
    <n v="0"/>
    <n v="0"/>
    <s v="Number"/>
    <n v="0"/>
    <n v="0"/>
    <n v="32.99"/>
    <n v="32.99"/>
    <n v="32.99"/>
    <s v="True"/>
    <s v="Normal"/>
    <s v="Credit Card"/>
    <s v="Online Store"/>
    <s v="fulfilled"/>
    <s v="United Kingdom"/>
    <m/>
    <s v="Not Required"/>
    <s v="West Jessica"/>
  </r>
  <r>
    <s v="#2832"/>
    <n v="1"/>
    <d v="2026-04-08T00:00:00"/>
    <s v="08/04/2026"/>
    <s v="Julie Hoffman"/>
    <s v="Email Available"/>
    <s v="julie.hoffman913@gmail.com"/>
    <x v="1"/>
    <s v="Accessories"/>
    <x v="1"/>
    <n v="1"/>
    <n v="32.99"/>
    <n v="32.99"/>
    <m/>
    <s v=""/>
    <n v="0"/>
    <n v="0"/>
    <s v="Number"/>
    <n v="5.99"/>
    <n v="5.99"/>
    <n v="38.979999999999997"/>
    <n v="38.979999999999997"/>
    <n v="38.980000000000004"/>
    <s v="True"/>
    <s v="Normal"/>
    <s v="Apple Pay"/>
    <s v="Online Store"/>
    <s v="fulfilled"/>
    <s v="United States"/>
    <s v="New York"/>
    <s v="Valid"/>
    <s v="Nobletown"/>
  </r>
  <r>
    <s v="#2901"/>
    <n v="1"/>
    <d v="2026-08-04T13:57:09"/>
    <d v="2026-08-04T13:57:09"/>
    <s v="Alec Chambers"/>
    <s v="Email Available"/>
    <s v="alec.chambers767@outlook.com"/>
    <x v="1"/>
    <s v="Accessories"/>
    <x v="1"/>
    <n v="2"/>
    <n v="32.99"/>
    <n v="32.99"/>
    <s v="SAVE20"/>
    <s v="SAVE20"/>
    <n v="13.2"/>
    <n v="13.2"/>
    <s v="Number"/>
    <n v="5.99"/>
    <n v="5.99"/>
    <n v="58.77"/>
    <n v="58.77"/>
    <n v="58.77"/>
    <s v="True"/>
    <s v="Normal"/>
    <s v="Shopify Payments"/>
    <s v="POS"/>
    <s v="fulfilled"/>
    <s v="Canada"/>
    <m/>
    <s v="Not Required"/>
    <s v="Jacksonborough"/>
  </r>
  <r>
    <s v="#2907"/>
    <n v="1"/>
    <d v="2026-08-04T13:55:02"/>
    <d v="2026-08-04T13:55:02"/>
    <s v="Dawn Randolph"/>
    <s v="Missing Email"/>
    <m/>
    <x v="1"/>
    <s v="Accessories"/>
    <x v="1"/>
    <n v="2"/>
    <n v="32.99"/>
    <n v="32.99"/>
    <m/>
    <s v=""/>
    <s v="$0.00"/>
    <n v="0"/>
    <s v="Number"/>
    <n v="4.99"/>
    <n v="4.99"/>
    <n v="70.97"/>
    <n v="70.97"/>
    <n v="70.97"/>
    <s v="True"/>
    <s v="Normal"/>
    <s v="PayPal"/>
    <s v="Facebook"/>
    <s v="fulfilled"/>
    <s v="Pakistan"/>
    <m/>
    <s v="Not Required"/>
    <s v="Amyshire"/>
  </r>
  <r>
    <s v="#2914"/>
    <n v="1"/>
    <d v="2026-08-04T14:06:51"/>
    <d v="2026-08-04T14:06:51"/>
    <s v="Leon Oliver"/>
    <s v="Email Available"/>
    <s v="leon.oliver578@gmail.com"/>
    <x v="1"/>
    <s v="Accessories"/>
    <x v="1"/>
    <n v="2"/>
    <n v="32.99"/>
    <n v="32.99"/>
    <s v="FREESHIP"/>
    <s v="FREESHIP"/>
    <n v="0"/>
    <n v="0"/>
    <s v="Number"/>
    <n v="0"/>
    <n v="0"/>
    <n v="65.98"/>
    <n v="65.98"/>
    <n v="65.98"/>
    <s v="True"/>
    <s v="Normal"/>
    <s v="Credit Card"/>
    <s v="Instagram"/>
    <s v="fulfilled"/>
    <s v="Canada"/>
    <m/>
    <s v="Not Required"/>
    <s v="New Amanda"/>
  </r>
  <r>
    <s v="#2931"/>
    <n v="1"/>
    <d v="2026-08-04T13:58:47"/>
    <d v="2026-08-04T13:58:47"/>
    <s v="Lucas Lyons"/>
    <s v="Email Available"/>
    <s v="lucas.lyons594@icloud.com"/>
    <x v="1"/>
    <s v="Accessories"/>
    <x v="1"/>
    <n v="1"/>
    <n v="32.99"/>
    <n v="32.99"/>
    <m/>
    <s v=""/>
    <n v="0"/>
    <n v="0"/>
    <s v="Number"/>
    <n v="4.99"/>
    <n v="4.99"/>
    <n v="37.979999999999997"/>
    <n v="37.979999999999997"/>
    <n v="37.980000000000004"/>
    <s v="True"/>
    <s v="Normal"/>
    <s v="Shopify Payments"/>
    <s v="Instagram"/>
    <s v="fulfilled"/>
    <s v="Pakistan"/>
    <m/>
    <s v="Not Required"/>
    <s v="South Cassandraton"/>
  </r>
  <r>
    <s v="#2946"/>
    <n v="1"/>
    <d v="2026-08-04T14:01:53"/>
    <d v="2026-08-04T14:01:53"/>
    <s v="Nicole Taylor"/>
    <s v="Email Available"/>
    <s v="nicole.taylor607@icloud.com"/>
    <x v="1"/>
    <s v="Accessories"/>
    <x v="1"/>
    <n v="1"/>
    <n v="32.99"/>
    <n v="32.99"/>
    <s v="WELCOME10"/>
    <s v="WELCOME10"/>
    <n v="3.3"/>
    <n v="3.3"/>
    <s v="Number"/>
    <n v="7.99"/>
    <n v="7.99"/>
    <n v="37.68"/>
    <n v="37.68"/>
    <n v="37.68"/>
    <s v="True"/>
    <s v="Normal"/>
    <s v="Credit Card"/>
    <s v="Online Store"/>
    <s v="fulfilled"/>
    <s v="United States"/>
    <s v="Texas"/>
    <s v="Valid"/>
    <s v="Maystad"/>
  </r>
  <r>
    <s v="#2971"/>
    <n v="1"/>
    <d v="2026-08-04T13:54:43"/>
    <d v="2026-08-04T13:54:43"/>
    <s v="  Amy Thompson"/>
    <s v="Email Available"/>
    <s v="amy.thompson410@outlook.com"/>
    <x v="1"/>
    <s v="Accessories"/>
    <x v="1"/>
    <n v="1"/>
    <n v="32.99"/>
    <n v="32.99"/>
    <s v="BFCM25"/>
    <s v="BFCM25"/>
    <n v="8.25"/>
    <n v="8.25"/>
    <s v="Number"/>
    <n v="5.99"/>
    <n v="5.99"/>
    <n v="30.73"/>
    <n v="30.73"/>
    <n v="30.730000000000004"/>
    <s v="True"/>
    <s v="Normal"/>
    <s v="PayPal"/>
    <s v="POS"/>
    <s v="fulfilled"/>
    <s v="United States"/>
    <s v="North Carolina"/>
    <s v="Valid"/>
    <s v="Monicafort"/>
  </r>
  <r>
    <s v="#1946"/>
    <n v="1"/>
    <d v="2026-08-04T13:54:09"/>
    <d v="2026-08-04T13:54:09"/>
    <s v="Richard Zavala"/>
    <s v="Email Available"/>
    <s v="richard.zavala602@gmail.com"/>
    <x v="1"/>
    <s v="Accessories"/>
    <x v="1"/>
    <n v="1"/>
    <n v="32.99"/>
    <n v="32.99"/>
    <m/>
    <s v=""/>
    <n v="0"/>
    <n v="0"/>
    <s v="Number"/>
    <n v="4.99"/>
    <n v="4.99"/>
    <n v="37.979999999999997"/>
    <n v="37.979999999999997"/>
    <n v="37.980000000000004"/>
    <s v="True"/>
    <s v="Normal"/>
    <s v="Google Pay"/>
    <s v="Online Store"/>
    <s v="fulfilled"/>
    <s v="Canada"/>
    <m/>
    <s v="Not Required"/>
    <s v="North Angelamouth"/>
  </r>
  <r>
    <s v="#1966"/>
    <n v="1"/>
    <d v="2026-08-04T14:00:47"/>
    <d v="2026-08-04T14:00:47"/>
    <s v="GERALD LI"/>
    <s v="Missing Email"/>
    <m/>
    <x v="1"/>
    <s v="Accessories"/>
    <x v="1"/>
    <n v="1"/>
    <n v="32.99"/>
    <n v="32.99"/>
    <m/>
    <s v=""/>
    <n v="0"/>
    <n v="0"/>
    <s v="Number"/>
    <n v="4.99"/>
    <n v="4.99"/>
    <n v="37.979999999999997"/>
    <n v="37.979999999999997"/>
    <n v="37.980000000000004"/>
    <s v="True"/>
    <s v="Normal"/>
    <s v="Shopify Payments"/>
    <s v="Online Store"/>
    <s v="fulfilled"/>
    <s v="United States"/>
    <s v="Texas"/>
    <s v="Valid"/>
    <s v="Aaronview"/>
  </r>
  <r>
    <s v="#1041"/>
    <n v="1"/>
    <d v="2026-08-04T14:07:23"/>
    <d v="2026-08-04T14:07:23"/>
    <s v="Dustin Griffin"/>
    <s v="Email Available"/>
    <s v="dustin.griffin434@gmail.com"/>
    <x v="2"/>
    <s v="Home &amp; Kitchen"/>
    <x v="2"/>
    <n v="1"/>
    <n v="18.989999999999998"/>
    <n v="18.989999999999998"/>
    <s v="BFCM25"/>
    <s v="BFCM25"/>
    <n v="4.75"/>
    <n v="4.75"/>
    <s v="Number"/>
    <n v="7.99"/>
    <n v="7.99"/>
    <n v="22.23"/>
    <n v="22.23"/>
    <n v="22.229999999999997"/>
    <s v="True"/>
    <s v="Normal"/>
    <s v="Shopify Payments"/>
    <s v="Online Store"/>
    <s v="fulfilled"/>
    <s v="United States"/>
    <s v="Florida"/>
    <s v="Valid"/>
    <s v="Mooretown"/>
  </r>
  <r>
    <s v="#1054"/>
    <n v="1"/>
    <d v="2026-08-04T13:55:11"/>
    <d v="2026-08-04T13:55:11"/>
    <s v="Stacey Johnson"/>
    <s v="Email Available"/>
    <s v="stacey.johnson95@gmail.com"/>
    <x v="2"/>
    <s v="Home &amp; Kitchen"/>
    <x v="2"/>
    <n v="1"/>
    <n v="18.989999999999998"/>
    <n v="18.989999999999998"/>
    <m/>
    <s v=""/>
    <s v="$0.00"/>
    <n v="0"/>
    <s v="Number"/>
    <n v="4.99"/>
    <n v="4.99"/>
    <n v="23.98"/>
    <n v="23.98"/>
    <n v="23.979999999999997"/>
    <s v="True"/>
    <s v="Normal"/>
    <s v="Apple Pay"/>
    <s v="Online Store"/>
    <s v="refunded"/>
    <s v="Germany"/>
    <m/>
    <s v="Not Required"/>
    <s v="Lake Jeffrey"/>
  </r>
  <r>
    <s v="#1056"/>
    <n v="1"/>
    <d v="2026-08-04T14:04:40"/>
    <d v="2026-08-04T14:04:40"/>
    <s v="Lauren Nguyen"/>
    <s v="Email Available"/>
    <s v="lauren.nguyen819@outlook.com"/>
    <x v="2"/>
    <s v="Home &amp; Kitchen"/>
    <x v="2"/>
    <n v="1"/>
    <n v="18.989999999999998"/>
    <n v="18.989999999999998"/>
    <s v="SAVE20"/>
    <s v="SAVE20"/>
    <n v="3.8"/>
    <n v="3.8"/>
    <s v="Number"/>
    <n v="7.99"/>
    <n v="7.99"/>
    <n v="23.18"/>
    <n v="23.18"/>
    <n v="23.18"/>
    <s v="True"/>
    <s v="Normal"/>
    <s v="Apple Pay"/>
    <s v="POS"/>
    <s v="fulfilled"/>
    <s v="United Kingdom"/>
    <m/>
    <s v="Not Required"/>
    <s v="North Christopherview"/>
  </r>
  <r>
    <s v="#1076"/>
    <n v="1"/>
    <d v="2026-08-04T13:53:44"/>
    <d v="2026-08-04T13:53:44"/>
    <s v="Chad Smith"/>
    <s v="Email Available"/>
    <s v="chad.smith773@icloud.com"/>
    <x v="2"/>
    <s v="Home &amp; Kitchen"/>
    <x v="2"/>
    <n v="1"/>
    <n v="18.989999999999998"/>
    <n v="18.989999999999998"/>
    <s v="FREESHIP"/>
    <s v="FREESHIP"/>
    <n v="0"/>
    <n v="0"/>
    <s v="Number"/>
    <n v="0"/>
    <n v="0"/>
    <n v="18.989999999999998"/>
    <n v="18.989999999999998"/>
    <n v="18.989999999999998"/>
    <s v="True"/>
    <s v="Normal"/>
    <s v="PayPal"/>
    <s v="Online Store"/>
    <s v="refunded"/>
    <s v="Pakistan"/>
    <m/>
    <s v="Not Required"/>
    <s v="North Andreafort"/>
  </r>
  <r>
    <s v="#1080"/>
    <n v="1"/>
    <d v="2026-08-04T13:54:54"/>
    <d v="2026-08-04T13:54:54"/>
    <s v="Andrew Jones"/>
    <s v="Email Available"/>
    <s v="andrew.jones338@icloud.com"/>
    <x v="2"/>
    <s v="Home &amp; Kitchen"/>
    <x v="2"/>
    <n v="1"/>
    <n v="18.989999999999998"/>
    <n v="18.989999999999998"/>
    <m/>
    <s v=""/>
    <n v="0"/>
    <n v="0"/>
    <s v="Number"/>
    <n v="4.99"/>
    <n v="4.99"/>
    <n v="23.98"/>
    <n v="23.98"/>
    <n v="23.979999999999997"/>
    <s v="True"/>
    <s v="Normal"/>
    <s v="Apple Pay"/>
    <s v="Instagram"/>
    <s v="fulfilled"/>
    <s v="United Kingdom"/>
    <m/>
    <s v="Not Required"/>
    <s v="Fitzgeraldtown"/>
  </r>
  <r>
    <s v="#1084"/>
    <n v="1"/>
    <d v="2026-08-04T14:07:37"/>
    <d v="2026-08-04T14:07:37"/>
    <s v="Megan Herman"/>
    <s v="Email Available"/>
    <s v="megan.herman268@yahoo.com"/>
    <x v="2"/>
    <s v="Home &amp; Kitchen"/>
    <x v="2"/>
    <n v="1"/>
    <n v="18.989999999999998"/>
    <n v="18.989999999999998"/>
    <m/>
    <s v=""/>
    <n v="0"/>
    <n v="0"/>
    <s v="Number"/>
    <n v="4.99"/>
    <n v="4.99"/>
    <n v="23.98"/>
    <n v="23.98"/>
    <n v="23.979999999999997"/>
    <s v="True"/>
    <s v="Normal"/>
    <s v="Apple Pay"/>
    <s v="Online Store"/>
    <s v="refunded"/>
    <s v="United States"/>
    <s v="Florida"/>
    <s v="Valid"/>
    <s v="Yvetteville"/>
  </r>
  <r>
    <s v="#1094"/>
    <n v="1"/>
    <d v="2026-08-04T14:01:37"/>
    <d v="2026-08-04T14:01:37"/>
    <s v="Angela Rose"/>
    <s v="Email Available"/>
    <s v="angela.rose740@outlook.com"/>
    <x v="2"/>
    <s v="Home &amp; Kitchen"/>
    <x v="2"/>
    <n v="1"/>
    <n v="18.989999999999998"/>
    <n v="18.989999999999998"/>
    <m/>
    <s v=""/>
    <n v="0"/>
    <n v="0"/>
    <s v="Number"/>
    <n v="7.99"/>
    <n v="7.99"/>
    <n v="26.98"/>
    <n v="26.98"/>
    <n v="26.979999999999997"/>
    <s v="True"/>
    <s v="Normal"/>
    <s v="Shopify Payments"/>
    <s v="Facebook"/>
    <s v="cancelled"/>
    <s v="United States"/>
    <s v="Arizona"/>
    <s v="Valid"/>
    <s v="Williamsview"/>
  </r>
  <r>
    <s v="#1120"/>
    <n v="1"/>
    <d v="2026-08-04T14:03:06"/>
    <d v="2026-08-04T14:03:06"/>
    <s v="Jennifer Martin"/>
    <s v="Email Available"/>
    <s v="jennifer.martin986@outlook.com"/>
    <x v="2"/>
    <s v="Home &amp; Kitchen"/>
    <x v="2"/>
    <n v="1"/>
    <n v="18.989999999999998"/>
    <n v="18.989999999999998"/>
    <m/>
    <s v=""/>
    <n v="0"/>
    <n v="0"/>
    <s v="Number"/>
    <n v="7.99"/>
    <n v="7.99"/>
    <s v="$26.98"/>
    <n v="26.98"/>
    <n v="26.979999999999997"/>
    <s v="True"/>
    <s v="Normal"/>
    <s v="Credit Card"/>
    <s v="Facebook"/>
    <s v="fulfilled"/>
    <s v="United States"/>
    <s v="Ohio"/>
    <s v="Valid"/>
    <s v="Tamarastad"/>
  </r>
  <r>
    <s v="#1123"/>
    <n v="1"/>
    <d v="2026-08-04T13:55:33"/>
    <d v="2026-08-04T13:55:33"/>
    <s v="Ashley Allen"/>
    <s v="Email Available"/>
    <s v="ashley.allen918@yahoo.com"/>
    <x v="2"/>
    <s v="Home &amp; Kitchen"/>
    <x v="2"/>
    <n v="1"/>
    <n v="18.989999999999998"/>
    <n v="18.989999999999998"/>
    <s v="WELCOME10"/>
    <s v="WELCOME10"/>
    <s v="$1.90"/>
    <n v="1.9"/>
    <s v="Number"/>
    <n v="5.99"/>
    <n v="5.99"/>
    <n v="23.08"/>
    <n v="23.08"/>
    <n v="23.08"/>
    <s v="True"/>
    <s v="Normal"/>
    <s v="Credit Card"/>
    <s v="Online Store"/>
    <s v="fulfilled"/>
    <s v="United States"/>
    <s v="NC"/>
    <s v="Valid"/>
    <s v="Hernandezstad"/>
  </r>
  <r>
    <s v="#1132"/>
    <n v="1"/>
    <d v="2026-04-08T00:00:00"/>
    <s v="08/04/2026"/>
    <s v="Sheryl Nguyen"/>
    <s v="Email Available"/>
    <s v="sheryl.nguyen272@outlook.com"/>
    <x v="2"/>
    <s v="Home &amp; Kitchen"/>
    <x v="2"/>
    <n v="1"/>
    <s v="$18.99"/>
    <n v="18.989999999999998"/>
    <s v="WELCOME10"/>
    <s v="WELCOME10"/>
    <n v="1.9"/>
    <n v="1.9"/>
    <s v="Number"/>
    <n v="5.99"/>
    <n v="5.99"/>
    <s v="$23.08"/>
    <n v="23.08"/>
    <n v="23.08"/>
    <s v="True"/>
    <s v="Normal"/>
    <s v="Credit Card"/>
    <s v="Online Store"/>
    <s v="pending"/>
    <s v="United States"/>
    <s v="Ohio"/>
    <s v="Valid"/>
    <s v="North Zacharymouth"/>
  </r>
  <r>
    <s v="#1141"/>
    <n v="1"/>
    <d v="2026-08-04T14:07:54"/>
    <d v="2026-08-04T14:07:54"/>
    <s v="James Andrade"/>
    <s v="Email Available"/>
    <s v="james.andrade258@icloud.com"/>
    <x v="2"/>
    <s v="Home &amp; Kitchen"/>
    <x v="2"/>
    <n v="1"/>
    <n v="18.989999999999998"/>
    <n v="18.989999999999998"/>
    <m/>
    <s v=""/>
    <n v="0"/>
    <n v="0"/>
    <s v="Number"/>
    <n v="7.99"/>
    <n v="7.99"/>
    <n v="26.98"/>
    <n v="26.98"/>
    <n v="26.979999999999997"/>
    <s v="True"/>
    <s v="Normal"/>
    <s v="Apple Pay"/>
    <s v="Instagram"/>
    <s v="refunded"/>
    <s v="Germany"/>
    <m/>
    <s v="Not Required"/>
    <s v="New Dawn"/>
  </r>
  <r>
    <s v="#1144"/>
    <n v="1"/>
    <d v="2026-08-04T14:07:24"/>
    <d v="2026-08-04T14:07:24"/>
    <s v="Gerald Li"/>
    <s v="Email Available"/>
    <s v="gerald.li856@icloud.com"/>
    <x v="2"/>
    <s v="Home &amp; Kitchen"/>
    <x v="2"/>
    <n v="1"/>
    <n v="18.989999999999998"/>
    <n v="18.989999999999998"/>
    <m/>
    <s v=""/>
    <n v="0"/>
    <n v="0"/>
    <s v="Number"/>
    <n v="4.99"/>
    <n v="4.99"/>
    <n v="23.98"/>
    <n v="23.98"/>
    <n v="23.979999999999997"/>
    <s v="True"/>
    <s v="Normal"/>
    <s v="Shopify Payments"/>
    <s v="Online Store"/>
    <s v="pending"/>
    <s v="United States"/>
    <s v="TX"/>
    <s v="Valid"/>
    <s v="New Bonnie"/>
  </r>
  <r>
    <s v="#1175"/>
    <n v="1"/>
    <d v="2026-08-04T13:54:13"/>
    <d v="2026-08-04T13:54:13"/>
    <s v="Tyler Williams"/>
    <s v="Email Available"/>
    <s v="tyler.williams938@outlook.com"/>
    <x v="2"/>
    <s v="Home &amp; Kitchen"/>
    <x v="2"/>
    <n v="2"/>
    <n v="18.989999999999998"/>
    <n v="18.989999999999998"/>
    <s v="FREESHIP"/>
    <s v="FREESHIP"/>
    <n v="0"/>
    <n v="0"/>
    <s v="Number"/>
    <n v="0"/>
    <n v="0"/>
    <n v="37.979999999999997"/>
    <n v="37.979999999999997"/>
    <n v="37.979999999999997"/>
    <s v="True"/>
    <s v="Normal"/>
    <s v="PayPal"/>
    <s v="Online Store"/>
    <s v="fulfilled"/>
    <s v="Australia"/>
    <m/>
    <s v="Not Required"/>
    <s v="Lawrencestad"/>
  </r>
  <r>
    <s v="#1200"/>
    <n v="1"/>
    <d v="2026-08-04T13:59:51"/>
    <d v="2026-08-04T13:59:51"/>
    <s v="Victor Herrera"/>
    <s v="Email Available"/>
    <s v="victor.herrera394@outlook.com"/>
    <x v="2"/>
    <s v="Home &amp; Kitchen"/>
    <x v="2"/>
    <n v="4"/>
    <n v="18.989999999999998"/>
    <n v="18.989999999999998"/>
    <s v="BFCM25"/>
    <s v="BFCM25"/>
    <n v="18.989999999999998"/>
    <n v="18.989999999999998"/>
    <s v="Number"/>
    <n v="0"/>
    <n v="0"/>
    <n v="56.97"/>
    <n v="56.97"/>
    <n v="56.97"/>
    <s v="True"/>
    <s v="Normal"/>
    <s v="PayPal"/>
    <s v="Online Store"/>
    <s v="fulfilled"/>
    <s v="Pakistan"/>
    <m/>
    <s v="Not Required"/>
    <s v="Danielborough"/>
  </r>
  <r>
    <s v="#1254"/>
    <n v="1"/>
    <d v="2026-08-04T14:03:45"/>
    <d v="2026-08-04T14:03:45"/>
    <s v="Jaime Vargas"/>
    <s v="Missing Email"/>
    <m/>
    <x v="2"/>
    <s v="Home &amp; Kitchen"/>
    <x v="2"/>
    <n v="2"/>
    <n v="18.989999999999998"/>
    <n v="18.989999999999998"/>
    <s v="BFCM25"/>
    <s v="BFCM25"/>
    <n v="9.49"/>
    <n v="9.49"/>
    <s v="Number"/>
    <n v="5.99"/>
    <n v="5.99"/>
    <n v="34.479999999999997"/>
    <n v="34.479999999999997"/>
    <n v="34.479999999999997"/>
    <s v="True"/>
    <s v="Normal"/>
    <s v="Shopify Payments"/>
    <s v="Online Store"/>
    <s v="refunded"/>
    <s v="United Kingdom"/>
    <m/>
    <s v="Not Required"/>
    <s v="East Marcus"/>
  </r>
  <r>
    <s v="#1276"/>
    <n v="1"/>
    <d v="2026-08-04T14:01:55"/>
    <d v="2026-08-04T14:01:55"/>
    <s v="Richard Sosa"/>
    <s v="Email Available"/>
    <s v="richard.sosa486@yahoo.com"/>
    <x v="2"/>
    <s v="Home &amp; Kitchen"/>
    <x v="2"/>
    <n v="1"/>
    <n v="18.989999999999998"/>
    <n v="18.989999999999998"/>
    <m/>
    <s v=""/>
    <n v="0"/>
    <n v="0"/>
    <s v="Number"/>
    <n v="7.99"/>
    <n v="7.99"/>
    <n v="26.98"/>
    <n v="26.98"/>
    <n v="26.979999999999997"/>
    <s v="True"/>
    <s v="Normal"/>
    <s v="PayPal"/>
    <s v="Online Store"/>
    <s v="fulfilled"/>
    <s v="United States"/>
    <s v="Georgia"/>
    <s v="Valid"/>
    <s v="Stephenberg"/>
  </r>
  <r>
    <s v="#1291"/>
    <n v="1"/>
    <d v="2026-08-04T14:08:05"/>
    <d v="2026-08-04T14:08:05"/>
    <s v="  Julia Atkinson"/>
    <s v="Email Available"/>
    <s v="julia.atkinson939@gmail.com"/>
    <x v="2"/>
    <s v="Home &amp; Kitchen"/>
    <x v="2"/>
    <n v="2"/>
    <n v="18.989999999999998"/>
    <n v="18.989999999999998"/>
    <m/>
    <s v=""/>
    <n v="0"/>
    <n v="0"/>
    <s v="Number"/>
    <n v="5.99"/>
    <n v="5.99"/>
    <s v="$43.97"/>
    <n v="43.97"/>
    <n v="43.97"/>
    <s v="True"/>
    <s v="Normal"/>
    <s v="Credit Card"/>
    <s v="Online Store"/>
    <s v="fulfilled"/>
    <s v="Canada"/>
    <m/>
    <s v="Not Required"/>
    <s v="Anthonyburgh"/>
  </r>
  <r>
    <s v="#1321"/>
    <n v="1"/>
    <d v="2026-08-04T13:57:28"/>
    <d v="2026-08-04T13:57:28"/>
    <s v="Heather Davis"/>
    <s v="Email Available"/>
    <s v="heather.davis117@icloud.com"/>
    <x v="2"/>
    <s v="Home &amp; Kitchen"/>
    <x v="2"/>
    <n v="1"/>
    <n v="18.989999999999998"/>
    <n v="18.989999999999998"/>
    <s v="VIP15"/>
    <s v="VIP15"/>
    <n v="2.85"/>
    <n v="2.85"/>
    <s v="Number"/>
    <n v="5.99"/>
    <n v="5.99"/>
    <n v="22.13"/>
    <n v="22.13"/>
    <n v="22.129999999999995"/>
    <s v="True"/>
    <s v="Normal"/>
    <s v="Credit Card"/>
    <s v="Online Store"/>
    <s v="fulfilled"/>
    <s v="Germany"/>
    <m/>
    <s v="Not Required"/>
    <s v="Lake Paul"/>
  </r>
  <r>
    <s v="#1361"/>
    <n v="1"/>
    <d v="2026-08-04T13:58:08"/>
    <d v="2026-08-04T13:58:08"/>
    <s v="Darryl Cook"/>
    <s v="Email Available"/>
    <s v="darryl.cook98@yahoo.com"/>
    <x v="2"/>
    <s v="Home &amp; Kitchen"/>
    <x v="2"/>
    <n v="1"/>
    <n v="18.989999999999998"/>
    <n v="18.989999999999998"/>
    <m/>
    <s v=""/>
    <n v="0"/>
    <n v="0"/>
    <s v="Number"/>
    <n v="5.99"/>
    <n v="5.99"/>
    <n v="24.98"/>
    <n v="24.98"/>
    <n v="24.979999999999997"/>
    <s v="True"/>
    <s v="Normal"/>
    <s v="PayPal"/>
    <s v="Facebook"/>
    <s v="fulfilled"/>
    <s v="Pakistan"/>
    <m/>
    <s v="Not Required"/>
    <s v="Christineland"/>
  </r>
  <r>
    <s v="#1429"/>
    <n v="1"/>
    <d v="2026-08-04T14:06:09"/>
    <d v="2026-08-04T14:06:09"/>
    <s v="Tracy Barr"/>
    <s v="Email Available"/>
    <s v="tracy.barr550@icloud.com"/>
    <x v="2"/>
    <s v="Home &amp; Kitchen"/>
    <x v="2"/>
    <n v="1"/>
    <n v="18.989999999999998"/>
    <n v="18.989999999999998"/>
    <m/>
    <s v=""/>
    <n v="0"/>
    <n v="0"/>
    <s v="Number"/>
    <n v="5.99"/>
    <n v="5.99"/>
    <s v="$24.98"/>
    <n v="24.98"/>
    <n v="24.979999999999997"/>
    <s v="True"/>
    <s v="Normal"/>
    <s v="Shopify Payments"/>
    <s v="POS"/>
    <s v="refunded"/>
    <s v="United States"/>
    <s v="Georgia"/>
    <s v="Valid"/>
    <s v="Vazquezton"/>
  </r>
  <r>
    <s v="#1435"/>
    <n v="1"/>
    <d v="2026-08-04T14:07:17"/>
    <d v="2026-08-04T14:07:17"/>
    <s v="Tracy Adams"/>
    <s v="Email Available"/>
    <s v="tracy.adams712@icloud.com"/>
    <x v="2"/>
    <s v="Home &amp; Kitchen"/>
    <x v="2"/>
    <n v="1"/>
    <n v="18.989999999999998"/>
    <n v="18.989999999999998"/>
    <s v="SAVE20"/>
    <s v="SAVE20"/>
    <n v="3.8"/>
    <n v="3.8"/>
    <s v="Number"/>
    <n v="7.99"/>
    <n v="7.99"/>
    <n v="23.18"/>
    <n v="23.18"/>
    <n v="23.18"/>
    <s v="True"/>
    <s v="Normal"/>
    <s v="PayPal"/>
    <s v="Online Store"/>
    <s v="fulfilled"/>
    <s v="United States"/>
    <s v="North Carolina"/>
    <s v="Valid"/>
    <s v="Dianaville"/>
  </r>
  <r>
    <s v="#1489"/>
    <n v="1"/>
    <d v="2026-08-04T14:05:40"/>
    <d v="2026-08-04T14:05:40"/>
    <s v="Daniel Parsons"/>
    <s v="Email Available"/>
    <s v="daniel.parsons636@gmail.com"/>
    <x v="2"/>
    <s v="Home &amp; Kitchen"/>
    <x v="2"/>
    <n v="1"/>
    <n v="18.989999999999998"/>
    <n v="18.989999999999998"/>
    <s v="WELCOME10"/>
    <s v="WELCOME10"/>
    <n v="1.9"/>
    <n v="1.9"/>
    <s v="Number"/>
    <n v="7.99"/>
    <n v="7.99"/>
    <n v="25.08"/>
    <n v="25.08"/>
    <n v="25.08"/>
    <s v="True"/>
    <s v="Normal"/>
    <s v="Apple Pay"/>
    <s v="Instagram"/>
    <s v="fulfilled"/>
    <s v="United States"/>
    <s v="NY"/>
    <s v="Valid"/>
    <s v="Johnborough"/>
  </r>
  <r>
    <s v="#1512"/>
    <n v="1"/>
    <d v="2026-08-04T14:06:54"/>
    <d v="2026-08-04T14:06:54"/>
    <s v="Darin Alvarez"/>
    <s v="Email Available"/>
    <s v="darin.alvarez843@gmail.com"/>
    <x v="2"/>
    <s v="Home &amp; Kitchen"/>
    <x v="2"/>
    <n v="1"/>
    <s v="$18.99"/>
    <n v="18.989999999999998"/>
    <s v="BFCM25"/>
    <s v="BFCM25"/>
    <n v="4.75"/>
    <n v="4.75"/>
    <s v="Number"/>
    <n v="7.99"/>
    <n v="7.99"/>
    <n v="22.23"/>
    <n v="22.23"/>
    <n v="22.229999999999997"/>
    <s v="True"/>
    <s v="Normal"/>
    <s v="Shopify Payments"/>
    <s v="POS"/>
    <s v="pending"/>
    <s v="Canada"/>
    <m/>
    <s v="Not Required"/>
    <s v="North Alicia"/>
  </r>
  <r>
    <s v="#1514"/>
    <n v="1"/>
    <d v="2026-08-04T13:59:07"/>
    <d v="2026-08-04T13:59:07"/>
    <s v="Michael Perez"/>
    <s v="Email Available"/>
    <s v="michael.perez206@gmail.com"/>
    <x v="2"/>
    <s v="Home &amp; Kitchen"/>
    <x v="2"/>
    <n v="1"/>
    <n v="18.989999999999998"/>
    <n v="18.989999999999998"/>
    <s v="FREESHIP"/>
    <s v="FREESHIP"/>
    <n v="0"/>
    <n v="0"/>
    <s v="Number"/>
    <n v="0"/>
    <n v="0"/>
    <n v="18.989999999999998"/>
    <n v="18.989999999999998"/>
    <n v="18.989999999999998"/>
    <s v="True"/>
    <s v="Normal"/>
    <s v="PayPal"/>
    <s v="Online Store"/>
    <s v="fulfilled"/>
    <s v="Germany"/>
    <m/>
    <s v="Not Required"/>
    <s v="East Timothybury"/>
  </r>
  <r>
    <s v="#1591"/>
    <n v="1"/>
    <d v="2026-08-04T00:00:00"/>
    <s v="Aug 04, 2026"/>
    <s v="Jesus Mason"/>
    <s v="Email Available"/>
    <s v="jesus.mason798@icloud.com"/>
    <x v="2"/>
    <s v="Home &amp; Kitchen"/>
    <x v="2"/>
    <n v="1"/>
    <n v="18.989999999999998"/>
    <n v="18.989999999999998"/>
    <s v="VIP15"/>
    <s v="VIP15"/>
    <n v="2.85"/>
    <n v="2.85"/>
    <s v="Number"/>
    <n v="4.99"/>
    <n v="4.99"/>
    <s v="$21.13"/>
    <n v="21.13"/>
    <n v="21.129999999999995"/>
    <s v="True"/>
    <s v="Normal"/>
    <s v="Credit Card"/>
    <s v="Facebook"/>
    <s v="fulfilled"/>
    <s v="United States"/>
    <s v="Georgia"/>
    <s v="Valid"/>
    <s v="Ramirezfurt"/>
  </r>
  <r>
    <s v="#1593"/>
    <n v="1"/>
    <d v="2026-08-04T13:56:39"/>
    <d v="2026-08-04T13:56:39"/>
    <s v="Sergio Turner"/>
    <s v="Email Available"/>
    <s v="sergio.turner744@outlook.com"/>
    <x v="2"/>
    <s v="Home &amp; Kitchen"/>
    <x v="2"/>
    <n v="2"/>
    <n v="18.989999999999998"/>
    <n v="18.989999999999998"/>
    <s v="BFCM25"/>
    <s v="BFCM25"/>
    <n v="9.49"/>
    <n v="9.49"/>
    <s v="Number"/>
    <n v="4.99"/>
    <n v="4.99"/>
    <n v="33.479999999999997"/>
    <n v="33.479999999999997"/>
    <n v="33.479999999999997"/>
    <s v="True"/>
    <s v="Normal"/>
    <s v="Apple Pay"/>
    <s v="POS"/>
    <s v="fulfilled"/>
    <s v="Germany"/>
    <m/>
    <s v="Not Required"/>
    <s v="Angelaville"/>
  </r>
  <r>
    <s v="#1596"/>
    <n v="1"/>
    <d v="2026-08-04T13:58:43"/>
    <d v="2026-08-04T13:58:43"/>
    <s v="Stephanie Mcdonald"/>
    <s v="Email Available"/>
    <s v="stephanie.mcdonald873@icloud.com"/>
    <x v="2"/>
    <s v="Home &amp; Kitchen"/>
    <x v="2"/>
    <n v="1"/>
    <n v="18.989999999999998"/>
    <n v="18.989999999999998"/>
    <s v="FREESHIP"/>
    <s v="FREESHIP"/>
    <n v="0"/>
    <n v="0"/>
    <s v="Number"/>
    <n v="0"/>
    <n v="0"/>
    <n v="18.989999999999998"/>
    <n v="18.989999999999998"/>
    <n v="18.989999999999998"/>
    <s v="True"/>
    <s v="Normal"/>
    <s v="Google Pay"/>
    <s v="POS"/>
    <s v="fulfilled"/>
    <s v="Australia"/>
    <m/>
    <s v="Not Required"/>
    <s v="Wilsonstad"/>
  </r>
  <r>
    <s v="#1623"/>
    <n v="1"/>
    <d v="2026-08-04T13:58:20"/>
    <d v="2026-08-04T13:58:20"/>
    <s v="Mark Woods"/>
    <s v="Email Available"/>
    <s v="mark.woods108@yahoo.com"/>
    <x v="2"/>
    <s v="Home &amp; Kitchen"/>
    <x v="2"/>
    <n v="2"/>
    <n v="18.989999999999998"/>
    <n v="18.989999999999998"/>
    <s v="BFCM25"/>
    <s v="BFCM25"/>
    <n v="9.49"/>
    <n v="9.49"/>
    <s v="Number"/>
    <n v="5.99"/>
    <n v="5.99"/>
    <n v="34.479999999999997"/>
    <n v="34.479999999999997"/>
    <n v="34.479999999999997"/>
    <s v="True"/>
    <s v="Normal"/>
    <s v="Credit Card"/>
    <s v="Facebook"/>
    <s v="pending"/>
    <s v="United States"/>
    <s v="GA"/>
    <s v="Valid"/>
    <s v="New James"/>
  </r>
  <r>
    <s v="#1639"/>
    <n v="1"/>
    <d v="2026-08-04T00:00:00"/>
    <s v="2026-08-04"/>
    <s v="Kimberly Cordova"/>
    <s v="Email Available"/>
    <s v="kimberly.cordova508@icloud.com"/>
    <x v="2"/>
    <s v="Home &amp; Kitchen"/>
    <x v="2"/>
    <n v="2"/>
    <n v="18.989999999999998"/>
    <n v="18.989999999999998"/>
    <m/>
    <s v=""/>
    <n v="0"/>
    <n v="0"/>
    <s v="Number"/>
    <n v="7.99"/>
    <n v="7.99"/>
    <n v="45.97"/>
    <n v="45.97"/>
    <n v="45.97"/>
    <s v="True"/>
    <s v="Normal"/>
    <s v="Google Pay"/>
    <s v="POS"/>
    <s v="cancelled"/>
    <s v="Pakistan"/>
    <m/>
    <s v="Not Required"/>
    <s v="Shannonmouth"/>
  </r>
  <r>
    <s v="#1656"/>
    <n v="1"/>
    <d v="2026-08-04T13:55:52"/>
    <d v="2026-08-04T13:55:52"/>
    <s v="Anthony Vaughn"/>
    <s v="Missing Email"/>
    <m/>
    <x v="2"/>
    <s v="Home &amp; Kitchen"/>
    <x v="2"/>
    <n v="1"/>
    <n v="18.989999999999998"/>
    <n v="18.989999999999998"/>
    <m/>
    <s v=""/>
    <n v="0"/>
    <n v="0"/>
    <s v="Number"/>
    <n v="5.99"/>
    <n v="5.99"/>
    <n v="24.98"/>
    <n v="24.98"/>
    <n v="24.979999999999997"/>
    <s v="True"/>
    <s v="Normal"/>
    <s v="PayPal"/>
    <s v="Facebook"/>
    <s v="fulfilled"/>
    <s v="Germany"/>
    <m/>
    <s v="Not Required"/>
    <s v="West Karen"/>
  </r>
  <r>
    <s v="#1663"/>
    <n v="1"/>
    <d v="2026-08-04T14:02:20"/>
    <d v="2026-08-04T14:02:20"/>
    <s v="Kyle Rice"/>
    <s v="Email Available"/>
    <s v="kyle.rice164@icloud.com"/>
    <x v="2"/>
    <s v="Home &amp; Kitchen"/>
    <x v="2"/>
    <n v="1"/>
    <n v="18.989999999999998"/>
    <n v="18.989999999999998"/>
    <m/>
    <s v=""/>
    <n v="0"/>
    <n v="0"/>
    <s v="Number"/>
    <n v="5.99"/>
    <n v="5.99"/>
    <n v="24.98"/>
    <n v="24.98"/>
    <n v="24.979999999999997"/>
    <s v="True"/>
    <s v="Normal"/>
    <s v="PayPal"/>
    <s v="Instagram"/>
    <s v="pending"/>
    <s v="Canada"/>
    <m/>
    <s v="Not Required"/>
    <s v="East Jenniferchester"/>
  </r>
  <r>
    <s v="#1667"/>
    <n v="1"/>
    <d v="2026-08-04T14:02:02"/>
    <d v="2026-08-04T14:02:02"/>
    <m/>
    <s v="Email Available"/>
    <s v="amanda.rodriguez770@yahoo.com"/>
    <x v="2"/>
    <s v="Home &amp; Kitchen"/>
    <x v="2"/>
    <n v="1"/>
    <s v="$18.99"/>
    <n v="18.989999999999998"/>
    <s v="BFCM25"/>
    <s v="BFCM25"/>
    <n v="4.75"/>
    <n v="4.75"/>
    <s v="Number"/>
    <n v="5.99"/>
    <n v="5.99"/>
    <n v="20.23"/>
    <n v="20.23"/>
    <n v="20.229999999999997"/>
    <s v="True"/>
    <s v="Normal"/>
    <s v="Apple Pay"/>
    <s v="Online Store"/>
    <s v="fulfilled"/>
    <s v="United States"/>
    <s v="North Carolina"/>
    <s v="Valid"/>
    <s v="Savannahburgh"/>
  </r>
  <r>
    <s v="#1717"/>
    <n v="1"/>
    <d v="2026-08-04T13:59:45"/>
    <d v="2026-08-04T13:59:45"/>
    <s v="James Andrade"/>
    <s v="Email Available"/>
    <s v="james.andrade258@icloud.com"/>
    <x v="2"/>
    <s v="Home &amp; Kitchen"/>
    <x v="2"/>
    <n v="1"/>
    <n v="18.989999999999998"/>
    <n v="18.989999999999998"/>
    <m/>
    <s v=""/>
    <n v="0"/>
    <n v="0"/>
    <s v="Number"/>
    <n v="4.99"/>
    <n v="4.99"/>
    <n v="23.98"/>
    <n v="23.98"/>
    <n v="23.979999999999997"/>
    <s v="True"/>
    <s v="Normal"/>
    <s v="PayPal"/>
    <s v="Online Store"/>
    <s v="cancelled"/>
    <s v="Germany"/>
    <m/>
    <s v="Not Required"/>
    <s v="West Karen"/>
  </r>
  <r>
    <s v="#1737"/>
    <n v="1"/>
    <d v="2026-08-04T14:07:38"/>
    <d v="2026-08-04T14:07:38"/>
    <s v="Janet Martinez"/>
    <s v="Email Available"/>
    <s v="janet.martinez20@yahoo.com"/>
    <x v="2"/>
    <s v="Home &amp; Kitchen"/>
    <x v="2"/>
    <n v="1"/>
    <n v="18.989999999999998"/>
    <n v="18.989999999999998"/>
    <s v="FREESHIP"/>
    <s v="FREESHIP"/>
    <n v="0"/>
    <n v="0"/>
    <s v="Number"/>
    <n v="0"/>
    <n v="0"/>
    <n v="18.989999999999998"/>
    <n v="18.989999999999998"/>
    <n v="18.989999999999998"/>
    <s v="True"/>
    <s v="Normal"/>
    <s v="Google Pay"/>
    <s v="POS"/>
    <s v="fulfilled"/>
    <s v="United States"/>
    <s v="IL"/>
    <s v="Valid"/>
    <s v="Millerland"/>
  </r>
  <r>
    <s v="#1747"/>
    <n v="1"/>
    <d v="2026-08-04T14:00:08"/>
    <d v="2026-08-04T14:00:08"/>
    <s v="Joel Davidson"/>
    <s v="Email Available"/>
    <s v="joel.davidson94@icloud.com"/>
    <x v="2"/>
    <s v="Home &amp; Kitchen"/>
    <x v="2"/>
    <n v="1"/>
    <n v="18.989999999999998"/>
    <n v="18.989999999999998"/>
    <m/>
    <s v=""/>
    <n v="0"/>
    <n v="0"/>
    <s v="Number"/>
    <n v="7.99"/>
    <n v="7.99"/>
    <n v="26.98"/>
    <n v="26.98"/>
    <n v="26.979999999999997"/>
    <s v="True"/>
    <s v="Normal"/>
    <s v="Shopify Payments"/>
    <s v="Instagram"/>
    <s v="pending"/>
    <s v="United States"/>
    <s v="Arizona"/>
    <s v="Valid"/>
    <s v="Deborahton"/>
  </r>
  <r>
    <s v="#1750"/>
    <n v="1"/>
    <d v="2026-08-04T13:54:02"/>
    <d v="2026-08-04T13:54:02"/>
    <s v="Michael Davis"/>
    <s v="Email Available"/>
    <s v="michael.davis313@outlook.com"/>
    <x v="2"/>
    <s v="Home &amp; Kitchen"/>
    <x v="2"/>
    <n v="2"/>
    <s v="$18.99"/>
    <n v="18.989999999999998"/>
    <m/>
    <s v=""/>
    <n v="0"/>
    <n v="0"/>
    <s v="Number"/>
    <n v="5.99"/>
    <n v="5.99"/>
    <n v="43.97"/>
    <n v="43.97"/>
    <n v="43.97"/>
    <s v="True"/>
    <s v="Normal"/>
    <s v="Shopify Payments"/>
    <s v="Online Store"/>
    <s v="fulfilled"/>
    <s v="United States"/>
    <s v="Texas"/>
    <s v="Valid"/>
    <s v="Masseyton"/>
  </r>
  <r>
    <s v="#1810"/>
    <n v="1"/>
    <d v="2026-08-04T13:59:01"/>
    <d v="2026-08-04T13:59:01"/>
    <s v="James Miller"/>
    <s v="Email Available"/>
    <s v="james.miller866@yahoo.com"/>
    <x v="2"/>
    <s v="Home &amp; Kitchen"/>
    <x v="2"/>
    <n v="1"/>
    <n v="18.989999999999998"/>
    <n v="18.989999999999998"/>
    <s v="FREESHIP"/>
    <s v="FREESHIP"/>
    <n v="0"/>
    <n v="0"/>
    <s v="Number"/>
    <n v="0"/>
    <n v="0"/>
    <n v="18.989999999999998"/>
    <n v="18.989999999999998"/>
    <n v="18.989999999999998"/>
    <s v="True"/>
    <s v="Normal"/>
    <s v="Google Pay"/>
    <s v="Online Store"/>
    <s v="fulfilled"/>
    <s v="Pakistan"/>
    <m/>
    <s v="Not Required"/>
    <s v="North Williamstad"/>
  </r>
  <r>
    <s v="#1824"/>
    <n v="1"/>
    <d v="2026-08-04T14:05:07"/>
    <d v="2026-08-04T14:05:07"/>
    <s v="Peter Alvarez"/>
    <s v="Email Available"/>
    <s v="peter.alvarez465@yahoo.com"/>
    <x v="2"/>
    <s v="Home &amp; Kitchen"/>
    <x v="2"/>
    <n v="2"/>
    <n v="18.989999999999998"/>
    <n v="18.989999999999998"/>
    <m/>
    <s v=""/>
    <n v="0"/>
    <n v="0"/>
    <s v="Number"/>
    <n v="5.99"/>
    <n v="5.99"/>
    <n v="43.97"/>
    <n v="43.97"/>
    <n v="43.97"/>
    <s v="True"/>
    <s v="Normal"/>
    <s v="Credit Card"/>
    <s v="Facebook"/>
    <s v="fulfilled"/>
    <s v="United States"/>
    <s v="Washington"/>
    <s v="Valid"/>
    <s v="South Andrew"/>
  </r>
  <r>
    <s v="#1864"/>
    <n v="1"/>
    <d v="2026-08-04T00:00:00"/>
    <s v="04-08-2026 14:00"/>
    <s v="Allen Diaz"/>
    <s v="Email Available"/>
    <s v="allen.diaz546@gmail.com"/>
    <x v="2"/>
    <s v="Home &amp; Kitchen"/>
    <x v="2"/>
    <n v="1"/>
    <n v="18.989999999999998"/>
    <n v="18.989999999999998"/>
    <m/>
    <s v=""/>
    <n v="0"/>
    <n v="0"/>
    <s v="Number"/>
    <n v="4.99"/>
    <n v="4.99"/>
    <n v="23.98"/>
    <n v="23.98"/>
    <n v="23.979999999999997"/>
    <s v="True"/>
    <s v="Normal"/>
    <s v="PayPal"/>
    <s v="Online Store"/>
    <s v="refunded"/>
    <s v="United States"/>
    <s v="Georgia"/>
    <s v="Valid"/>
    <s v="Coreyton"/>
  </r>
  <r>
    <s v="#1866"/>
    <n v="1"/>
    <d v="2026-08-04T13:54:26"/>
    <d v="2026-08-04T13:54:26"/>
    <s v="Melissa Jones"/>
    <s v="Email Available"/>
    <s v="melissa.jones297@yahoo.com"/>
    <x v="2"/>
    <s v="Home &amp; Kitchen"/>
    <x v="2"/>
    <n v="1"/>
    <n v="18.989999999999998"/>
    <n v="18.989999999999998"/>
    <s v="FREESHIP"/>
    <s v="FREESHIP"/>
    <n v="0"/>
    <n v="0"/>
    <s v="Number"/>
    <n v="0"/>
    <n v="0"/>
    <n v="18.989999999999998"/>
    <n v="18.989999999999998"/>
    <n v="18.989999999999998"/>
    <s v="True"/>
    <s v="Normal"/>
    <s v="Credit Card"/>
    <s v="Online Store"/>
    <s v="pending"/>
    <s v="United States"/>
    <s v="Florida"/>
    <s v="Valid"/>
    <s v="Kelseybury"/>
  </r>
  <r>
    <s v="#1881"/>
    <n v="1"/>
    <d v="2026-08-04T13:54:29"/>
    <d v="2026-08-04T13:54:29"/>
    <s v="Gregory Tanner"/>
    <s v="Email Available"/>
    <s v="gregory.tanner968@outlook.com"/>
    <x v="2"/>
    <s v="Home &amp; Kitchen"/>
    <x v="2"/>
    <n v="1"/>
    <n v="18.989999999999998"/>
    <n v="18.989999999999998"/>
    <s v="FREESHIP"/>
    <s v="FREESHIP"/>
    <n v="0"/>
    <n v="0"/>
    <s v="Number"/>
    <n v="0"/>
    <n v="0"/>
    <n v="18.989999999999998"/>
    <n v="18.989999999999998"/>
    <n v="18.989999999999998"/>
    <s v="True"/>
    <s v="Normal"/>
    <s v="PayPal"/>
    <s v="Instagram"/>
    <s v="cancelled"/>
    <s v="United States"/>
    <s v="New York"/>
    <s v="Valid"/>
    <s v="South Josephborough"/>
  </r>
  <r>
    <s v="#1888"/>
    <n v="1"/>
    <d v="2026-08-04T14:05:43"/>
    <d v="2026-08-04T14:05:43"/>
    <s v="Julia Atkinson"/>
    <s v="Email Available"/>
    <s v="julia.atkinson939@gmail.com"/>
    <x v="2"/>
    <s v="Home &amp; Kitchen"/>
    <x v="2"/>
    <n v="1"/>
    <n v="18.989999999999998"/>
    <n v="18.989999999999998"/>
    <m/>
    <s v=""/>
    <n v="0"/>
    <n v="0"/>
    <s v="Number"/>
    <n v="5.99"/>
    <n v="5.99"/>
    <n v="24.98"/>
    <n v="24.98"/>
    <n v="24.979999999999997"/>
    <s v="True"/>
    <s v="Normal"/>
    <s v="Shopify Payments"/>
    <s v="Online Store"/>
    <s v="fulfilled"/>
    <s v="Canada"/>
    <m/>
    <s v="Not Required"/>
    <s v="Lisahaven"/>
  </r>
  <r>
    <s v="#1917"/>
    <n v="1"/>
    <d v="2026-08-04T13:55:05"/>
    <d v="2026-08-04T13:55:05"/>
    <s v="Tina Singh"/>
    <s v="Email Available"/>
    <s v="tina.singh98@icloud.com"/>
    <x v="2"/>
    <s v="Home &amp; Kitchen"/>
    <x v="2"/>
    <n v="1"/>
    <n v="18.989999999999998"/>
    <n v="18.989999999999998"/>
    <s v="SAVE20"/>
    <s v="SAVE20"/>
    <n v="3.8"/>
    <n v="3.8"/>
    <s v="Number"/>
    <n v="5.99"/>
    <n v="5.99"/>
    <s v="$21.18"/>
    <n v="21.18"/>
    <n v="21.18"/>
    <s v="True"/>
    <s v="Normal"/>
    <s v="PayPal"/>
    <s v="POS"/>
    <s v="pending"/>
    <s v="United States"/>
    <s v="Ohio"/>
    <s v="Valid"/>
    <s v="East Brianna"/>
  </r>
  <r>
    <s v="#1977"/>
    <n v="1"/>
    <d v="2026-08-04T13:57:38"/>
    <d v="2026-08-04T13:57:38"/>
    <s v="Christopher Lopez"/>
    <s v="Email Available"/>
    <s v="christopher.lopez666@gmail.com"/>
    <x v="2"/>
    <s v="Home &amp; Kitchen"/>
    <x v="2"/>
    <n v="2"/>
    <n v="18.989999999999998"/>
    <n v="18.989999999999998"/>
    <s v="SAVE20"/>
    <s v="SAVE20"/>
    <s v="$7.60"/>
    <n v="7.6"/>
    <s v="Number"/>
    <n v="4.99"/>
    <n v="4.99"/>
    <n v="35.369999999999997"/>
    <n v="35.369999999999997"/>
    <n v="35.369999999999997"/>
    <s v="True"/>
    <s v="Normal"/>
    <s v="Apple Pay"/>
    <s v="Online Store"/>
    <s v="fulfilled"/>
    <s v="Pakistan"/>
    <m/>
    <s v="Not Required"/>
    <s v="West Tammy"/>
  </r>
  <r>
    <s v="#1996"/>
    <n v="1"/>
    <d v="2026-08-04T13:55:42"/>
    <d v="2026-08-04T13:55:42"/>
    <s v="Dawn Randolph"/>
    <s v="Email Available"/>
    <s v="dawn.randolph179@icloud.com"/>
    <x v="2"/>
    <s v="Home &amp; Kitchen"/>
    <x v="2"/>
    <n v="2"/>
    <n v="18.989999999999998"/>
    <n v="18.989999999999998"/>
    <m/>
    <s v=""/>
    <n v="0"/>
    <n v="0"/>
    <s v="Number"/>
    <n v="5.99"/>
    <n v="5.99"/>
    <n v="43.97"/>
    <n v="43.97"/>
    <n v="43.97"/>
    <s v="True"/>
    <s v="Normal"/>
    <s v="Credit Card"/>
    <s v="Online Store"/>
    <s v="fulfilled"/>
    <s v="Pakistan"/>
    <m/>
    <s v="Not Required"/>
    <s v="Sancheztown"/>
  </r>
  <r>
    <s v="#1999"/>
    <n v="1"/>
    <d v="2026-08-04T13:55:09"/>
    <d v="2026-08-04T13:55:09"/>
    <s v="Stacey Johnson"/>
    <s v="Email Available"/>
    <s v="stacey.johnson95@gmail.com"/>
    <x v="2"/>
    <s v="Home &amp; Kitchen"/>
    <x v="2"/>
    <n v="1"/>
    <s v="$18.99"/>
    <n v="18.989999999999998"/>
    <m/>
    <s v=""/>
    <n v="0"/>
    <n v="0"/>
    <s v="Number"/>
    <n v="7.99"/>
    <n v="7.99"/>
    <n v="26.98"/>
    <n v="26.98"/>
    <n v="26.979999999999997"/>
    <s v="True"/>
    <s v="Normal"/>
    <s v="Shopify Payments"/>
    <s v="Online Store"/>
    <s v="fulfilled"/>
    <s v="Germany"/>
    <m/>
    <s v="Not Required"/>
    <s v="Barrettbury"/>
  </r>
  <r>
    <s v="#2013"/>
    <n v="1"/>
    <d v="2026-08-04T13:55:33"/>
    <d v="2026-08-04T13:55:33"/>
    <s v="Karen Bautista"/>
    <s v="Email Available"/>
    <s v="karen.bautista779@icloud.com"/>
    <x v="2"/>
    <s v="Home &amp; Kitchen"/>
    <x v="2"/>
    <n v="2"/>
    <n v="18.989999999999998"/>
    <n v="18.989999999999998"/>
    <m/>
    <s v=""/>
    <n v="0"/>
    <n v="0"/>
    <s v="Number"/>
    <n v="4.99"/>
    <n v="4.99"/>
    <n v="42.97"/>
    <n v="42.97"/>
    <n v="42.97"/>
    <s v="True"/>
    <s v="Normal"/>
    <s v="Apple Pay"/>
    <s v="Online Store"/>
    <s v="fulfilled"/>
    <s v="United States"/>
    <s v="Washington"/>
    <s v="Valid"/>
    <s v="Kellyport"/>
  </r>
  <r>
    <s v="#2041"/>
    <n v="1"/>
    <d v="2026-08-04T13:54:41"/>
    <d v="2026-08-04T13:54:41"/>
    <s v="Paul Pratt"/>
    <s v="Email Available"/>
    <s v="paul.pratt856@outlook.com"/>
    <x v="2"/>
    <s v="Home &amp; Kitchen"/>
    <x v="2"/>
    <n v="1"/>
    <n v="18.989999999999998"/>
    <n v="18.989999999999998"/>
    <s v="VIP15"/>
    <s v="VIP15"/>
    <n v="2.85"/>
    <n v="2.85"/>
    <s v="Number"/>
    <n v="7.99"/>
    <n v="7.99"/>
    <n v="24.13"/>
    <n v="24.13"/>
    <n v="24.129999999999995"/>
    <s v="True"/>
    <s v="Normal"/>
    <s v="Shopify Payments"/>
    <s v="Online Store"/>
    <s v="cancelled"/>
    <s v="United States"/>
    <s v="Georgia"/>
    <s v="Valid"/>
    <s v="Port Alexishaven"/>
  </r>
  <r>
    <s v="#2042"/>
    <n v="1"/>
    <d v="2026-08-04T13:57:20"/>
    <d v="2026-08-04T13:57:20"/>
    <s v="Brian Ruiz"/>
    <s v="Email Available"/>
    <s v="brian.ruiz246@gmail.com"/>
    <x v="2"/>
    <s v="Home &amp; Kitchen"/>
    <x v="2"/>
    <n v="1"/>
    <n v="18.989999999999998"/>
    <n v="18.989999999999998"/>
    <m/>
    <s v=""/>
    <s v="$0.00"/>
    <n v="0"/>
    <s v="Number"/>
    <n v="7.99"/>
    <n v="7.99"/>
    <n v="26.98"/>
    <n v="26.98"/>
    <n v="26.979999999999997"/>
    <s v="True"/>
    <s v="Normal"/>
    <s v="Apple Pay"/>
    <s v="Instagram"/>
    <s v="fulfilled"/>
    <s v="Germany"/>
    <m/>
    <s v="Not Required"/>
    <s v="North Jasmin"/>
  </r>
  <r>
    <s v="#2044"/>
    <n v="1"/>
    <d v="2026-08-04T13:54:17"/>
    <d v="2026-08-04T13:54:17"/>
    <s v="Amanda Rodriguez"/>
    <s v="Email Available"/>
    <s v="amanda.rodriguez770@yahoo.com"/>
    <x v="2"/>
    <s v="Home &amp; Kitchen"/>
    <x v="2"/>
    <n v="1"/>
    <n v="18.989999999999998"/>
    <n v="18.989999999999998"/>
    <m/>
    <s v=""/>
    <n v="0"/>
    <n v="0"/>
    <s v="Number"/>
    <n v="5.99"/>
    <n v="5.99"/>
    <s v="$24.98"/>
    <n v="24.98"/>
    <n v="24.979999999999997"/>
    <s v="True"/>
    <s v="Normal"/>
    <s v="Google Pay"/>
    <s v="Online Store"/>
    <s v="fulfilled"/>
    <s v="United States"/>
    <s v="Florida"/>
    <s v="Valid"/>
    <s v="Juliemouth"/>
  </r>
  <r>
    <s v="#2076"/>
    <n v="1"/>
    <d v="2026-08-04T14:04:14"/>
    <d v="2026-08-04T14:04:14"/>
    <s v="Herman, Megan"/>
    <s v="Missing Email"/>
    <m/>
    <x v="2"/>
    <s v="Home &amp; Kitchen"/>
    <x v="2"/>
    <n v="1"/>
    <n v="18.989999999999998"/>
    <n v="18.989999999999998"/>
    <s v="WELCOME10"/>
    <s v="WELCOME10"/>
    <n v="1.9"/>
    <n v="1.9"/>
    <s v="Number"/>
    <n v="4.99"/>
    <n v="4.99"/>
    <s v="$22.08"/>
    <n v="22.08"/>
    <n v="22.08"/>
    <s v="True"/>
    <s v="Normal"/>
    <s v="Apple Pay"/>
    <s v="Online Store"/>
    <s v="fulfilled"/>
    <s v="United States"/>
    <s v="Florida"/>
    <s v="Valid"/>
    <s v="Angelaville"/>
  </r>
  <r>
    <s v="#2079"/>
    <n v="1"/>
    <d v="2026-08-04T13:56:12"/>
    <d v="2026-08-04T13:56:12"/>
    <s v="Dustin Mccoy"/>
    <s v="Email Available"/>
    <s v="dustin.mccoy570@gmail.com"/>
    <x v="2"/>
    <s v="Home &amp; Kitchen"/>
    <x v="2"/>
    <n v="1"/>
    <n v="18.989999999999998"/>
    <n v="18.989999999999998"/>
    <s v="BFCM25"/>
    <s v="BFCM25"/>
    <n v="4.75"/>
    <n v="4.75"/>
    <s v="Number"/>
    <n v="7.99"/>
    <n v="7.99"/>
    <n v="22.23"/>
    <n v="22.23"/>
    <n v="22.229999999999997"/>
    <s v="True"/>
    <s v="Normal"/>
    <s v="Credit Card"/>
    <s v="Online Store"/>
    <s v="fulfilled"/>
    <s v="Canada"/>
    <m/>
    <s v="Not Required"/>
    <s v="Joneshaven"/>
  </r>
  <r>
    <s v="#2086"/>
    <n v="1"/>
    <d v="2026-08-04T14:05:34"/>
    <d v="2026-08-04T14:05:34"/>
    <s v="Richard Zavala"/>
    <s v="Email Available"/>
    <s v="richard.zavala602@gmail.com"/>
    <x v="2"/>
    <s v="Home &amp; Kitchen"/>
    <x v="2"/>
    <n v="1"/>
    <n v="18.989999999999998"/>
    <n v="18.989999999999998"/>
    <s v="BFCM25"/>
    <s v="BFCM25"/>
    <n v="4.75"/>
    <n v="4.75"/>
    <s v="Number"/>
    <n v="4.99"/>
    <n v="4.99"/>
    <n v="19.23"/>
    <n v="19.23"/>
    <n v="19.229999999999997"/>
    <s v="True"/>
    <s v="Normal"/>
    <s v="Credit Card"/>
    <s v="Online Store"/>
    <s v="cancelled"/>
    <s v="Canada"/>
    <m/>
    <s v="Not Required"/>
    <s v="Port Angela"/>
  </r>
  <r>
    <s v="#2103"/>
    <n v="1"/>
    <d v="2026-08-04T14:00:59"/>
    <d v="2026-08-04T14:00:59"/>
    <s v="Vincent Rosales"/>
    <s v="Missing Email"/>
    <m/>
    <x v="2"/>
    <s v="Home &amp; Kitchen"/>
    <x v="2"/>
    <n v="2"/>
    <n v="18.989999999999998"/>
    <n v="18.989999999999998"/>
    <s v="VIP15"/>
    <s v="VIP15"/>
    <n v="5.7"/>
    <n v="5.7"/>
    <s v="Number"/>
    <n v="5.99"/>
    <n v="5.99"/>
    <n v="38.270000000000003"/>
    <n v="38.270000000000003"/>
    <n v="38.269999999999996"/>
    <s v="True"/>
    <s v="Normal"/>
    <s v="Google Pay"/>
    <s v="Online Store"/>
    <s v="fulfilled"/>
    <s v="United States"/>
    <s v="Washington"/>
    <s v="Valid"/>
    <s v="Jonestown"/>
  </r>
  <r>
    <s v="#2104"/>
    <n v="1"/>
    <d v="2026-08-04T14:04:57"/>
    <d v="2026-08-04T14:04:57"/>
    <s v="Sandra Potter"/>
    <s v="Email Available"/>
    <s v="sandra.potter166@yahoo.com"/>
    <x v="2"/>
    <s v="Home &amp; Kitchen"/>
    <x v="2"/>
    <n v="1"/>
    <n v="18.989999999999998"/>
    <n v="18.989999999999998"/>
    <m/>
    <s v=""/>
    <n v="0"/>
    <n v="0"/>
    <s v="Number"/>
    <n v="5.99"/>
    <n v="5.99"/>
    <n v="24.98"/>
    <n v="24.98"/>
    <n v="24.979999999999997"/>
    <s v="True"/>
    <s v="Normal"/>
    <s v="Google Pay"/>
    <s v="Instagram"/>
    <s v="fulfilled"/>
    <s v="United States"/>
    <s v="Washington"/>
    <s v="Valid"/>
    <s v="East Jamesside"/>
  </r>
  <r>
    <s v="#2113"/>
    <n v="1"/>
    <d v="2026-08-04T13:55:32"/>
    <d v="2026-08-04T13:55:32"/>
    <s v="Daniel Contreras"/>
    <s v="Email Available"/>
    <s v="daniel.contreras749@yahoo.com"/>
    <x v="2"/>
    <s v="Home &amp; Kitchen"/>
    <x v="2"/>
    <n v="1"/>
    <n v="18.989999999999998"/>
    <n v="18.989999999999998"/>
    <s v="FREESHIP"/>
    <s v="FREESHIP"/>
    <n v="0"/>
    <n v="0"/>
    <s v="Number"/>
    <n v="0"/>
    <n v="0"/>
    <n v="18.989999999999998"/>
    <n v="18.989999999999998"/>
    <n v="18.989999999999998"/>
    <s v="True"/>
    <s v="Normal"/>
    <s v="Google Pay"/>
    <s v="POS"/>
    <s v="fulfilled"/>
    <s v="Australia"/>
    <m/>
    <s v="Not Required"/>
    <s v="Lisachester"/>
  </r>
  <r>
    <s v="#2123"/>
    <n v="1"/>
    <d v="2026-08-04T14:05:27"/>
    <d v="2026-08-04T14:05:27"/>
    <s v="Amanda Robinson"/>
    <s v="Email Available"/>
    <s v="amanda.robinson263@icloud.com"/>
    <x v="2"/>
    <s v="Home &amp; Kitchen"/>
    <x v="2"/>
    <n v="1"/>
    <n v="18.989999999999998"/>
    <n v="18.989999999999998"/>
    <s v="BFCM25"/>
    <s v="BFCM25"/>
    <s v="$4.75"/>
    <n v="4.75"/>
    <s v="Number"/>
    <n v="4.99"/>
    <n v="4.99"/>
    <n v="19.23"/>
    <n v="19.23"/>
    <n v="19.229999999999997"/>
    <s v="True"/>
    <s v="Normal"/>
    <s v="PayPal"/>
    <s v="POS"/>
    <s v="cancelled"/>
    <s v="United States"/>
    <s v="North Carolina"/>
    <s v="Valid"/>
    <s v="Santanaport"/>
  </r>
  <r>
    <s v="#2140"/>
    <n v="1"/>
    <d v="2026-08-04T14:02:00"/>
    <d v="2026-08-04T14:02:00"/>
    <s v="Brittney Conway"/>
    <s v="Email Available"/>
    <s v="brittney.conway383@outlook.com"/>
    <x v="2"/>
    <s v="Home &amp; Kitchen"/>
    <x v="2"/>
    <n v="1"/>
    <n v="18.989999999999998"/>
    <n v="18.989999999999998"/>
    <m/>
    <s v=""/>
    <n v="0"/>
    <n v="0"/>
    <s v="Number"/>
    <n v="7.99"/>
    <n v="7.99"/>
    <n v="26.98"/>
    <n v="26.98"/>
    <n v="26.979999999999997"/>
    <s v="True"/>
    <s v="Normal"/>
    <s v="PayPal"/>
    <s v="POS"/>
    <s v="cancelled"/>
    <s v="United States"/>
    <s v="Washington"/>
    <s v="Valid"/>
    <s v="Petersberg"/>
  </r>
  <r>
    <s v="#2158"/>
    <n v="1"/>
    <d v="2026-08-04T13:59:54"/>
    <d v="2026-08-04T13:59:54"/>
    <s v="Eric Bailey"/>
    <s v="Email Available"/>
    <s v="eric.bailey970@yahoo.com"/>
    <x v="2"/>
    <s v="Home &amp; Kitchen"/>
    <x v="2"/>
    <n v="2"/>
    <n v="18.989999999999998"/>
    <n v="18.989999999999998"/>
    <m/>
    <s v=""/>
    <n v="0"/>
    <n v="0"/>
    <s v="Number"/>
    <n v="7.99"/>
    <n v="7.99"/>
    <n v="45.97"/>
    <n v="45.97"/>
    <n v="45.97"/>
    <s v="True"/>
    <s v="Normal"/>
    <s v="Shopify Payments"/>
    <s v="POS"/>
    <s v="refunded"/>
    <s v="United Kingdom"/>
    <m/>
    <s v="Not Required"/>
    <s v="Lake Charles"/>
  </r>
  <r>
    <s v="#2170"/>
    <n v="1"/>
    <d v="2026-04-08T00:00:00"/>
    <s v="08/04/2026"/>
    <s v="Jaime Vargas"/>
    <s v="Missing Email"/>
    <m/>
    <x v="2"/>
    <s v="Home &amp; Kitchen"/>
    <x v="2"/>
    <n v="1"/>
    <n v="18.989999999999998"/>
    <n v="18.989999999999998"/>
    <s v="WELCOME10"/>
    <s v="WELCOME10"/>
    <n v="1.9"/>
    <n v="1.9"/>
    <s v="Number"/>
    <n v="7.99"/>
    <n v="7.99"/>
    <n v="25.08"/>
    <n v="25.08"/>
    <n v="25.08"/>
    <s v="True"/>
    <s v="Normal"/>
    <s v="Apple Pay"/>
    <s v="Online Store"/>
    <s v="cancelled"/>
    <s v="United Kingdom"/>
    <m/>
    <s v="Not Required"/>
    <s v="Thompsonbury"/>
  </r>
  <r>
    <s v="#2219"/>
    <n v="1"/>
    <d v="2026-08-04T14:03:31"/>
    <d v="2026-08-04T14:03:31"/>
    <s v="Alexandria Miller"/>
    <s v="Email Available"/>
    <s v="alexandria.miller414@outlook.com"/>
    <x v="2"/>
    <s v="Home &amp; Kitchen"/>
    <x v="2"/>
    <n v="2"/>
    <n v="18.989999999999998"/>
    <n v="18.989999999999998"/>
    <s v="SAVE20"/>
    <s v="SAVE20"/>
    <n v="7.6"/>
    <n v="7.6"/>
    <s v="Number"/>
    <n v="5.99"/>
    <n v="5.99"/>
    <n v="36.369999999999997"/>
    <n v="36.369999999999997"/>
    <n v="36.369999999999997"/>
    <s v="True"/>
    <s v="Normal"/>
    <s v="Credit Card"/>
    <s v="Online Store"/>
    <s v="cancelled"/>
    <s v="Australia"/>
    <m/>
    <s v="Not Required"/>
    <s v="North Nicholas"/>
  </r>
  <r>
    <s v="#2248"/>
    <n v="1"/>
    <d v="2026-08-04T00:00:00"/>
    <s v="2026-08-04"/>
    <s v="Jacqueline Miller"/>
    <s v="Email Available"/>
    <s v="jacqueline.miller687@yahoo.com"/>
    <x v="2"/>
    <s v="Home &amp; Kitchen"/>
    <x v="2"/>
    <n v="2"/>
    <n v="18.989999999999998"/>
    <n v="18.989999999999998"/>
    <s v="WELCOME10"/>
    <s v="WELCOME10"/>
    <n v="3.8"/>
    <n v="3.8"/>
    <s v="Number"/>
    <n v="4.99"/>
    <n v="4.99"/>
    <n v="39.17"/>
    <n v="39.17"/>
    <n v="39.17"/>
    <s v="True"/>
    <s v="Normal"/>
    <s v="Google Pay"/>
    <s v="Facebook"/>
    <s v="refunded"/>
    <s v="Canada"/>
    <m/>
    <s v="Not Required"/>
    <s v="Abbottchester"/>
  </r>
  <r>
    <s v="#2257"/>
    <n v="1"/>
    <d v="2026-08-04T14:02:54"/>
    <d v="2026-08-04T14:02:54"/>
    <s v="Daniel Parsons"/>
    <s v="Email Available"/>
    <s v="daniel.parsons636@gmail.com"/>
    <x v="2"/>
    <s v="Home &amp; Kitchen"/>
    <x v="2"/>
    <n v="1"/>
    <n v="18.989999999999998"/>
    <n v="18.989999999999998"/>
    <m/>
    <s v=""/>
    <n v="0"/>
    <n v="0"/>
    <s v="Number"/>
    <n v="4.99"/>
    <n v="4.99"/>
    <s v="$23.98"/>
    <n v="23.98"/>
    <n v="23.979999999999997"/>
    <s v="True"/>
    <s v="Normal"/>
    <s v="PayPal"/>
    <s v="Online Store"/>
    <s v="fulfilled"/>
    <s v="United States"/>
    <s v="Florida"/>
    <s v="Valid"/>
    <s v="Romeroview"/>
  </r>
  <r>
    <s v="#2293"/>
    <n v="1"/>
    <d v="2026-04-08T00:00:00"/>
    <s v="08/04/2026"/>
    <s v="Paul Dillon"/>
    <s v="Email Available"/>
    <s v="paul.dillon750@icloud.com"/>
    <x v="2"/>
    <s v="Home &amp; Kitchen"/>
    <x v="2"/>
    <n v="3"/>
    <n v="18.989999999999998"/>
    <n v="18.989999999999998"/>
    <s v="BFCM25"/>
    <s v="BFCM25"/>
    <n v="14.24"/>
    <n v="14.24"/>
    <s v="Number"/>
    <n v="4.99"/>
    <n v="4.99"/>
    <n v="47.72"/>
    <n v="47.72"/>
    <n v="47.72"/>
    <s v="True"/>
    <s v="Normal"/>
    <s v="PayPal"/>
    <s v="Online Store"/>
    <s v="fulfilled"/>
    <s v="Australia"/>
    <m/>
    <s v="Not Required"/>
    <s v="New Danielle"/>
  </r>
  <r>
    <s v="#2294"/>
    <n v="1"/>
    <d v="2026-08-04T13:58:10"/>
    <d v="2026-08-04T13:58:10"/>
    <s v="John Jacobs"/>
    <s v="Email Available"/>
    <s v="john.jacobs137@yahoo.com"/>
    <x v="2"/>
    <s v="Home &amp; Kitchen"/>
    <x v="2"/>
    <n v="2"/>
    <s v="$18.99"/>
    <n v="18.989999999999998"/>
    <m/>
    <s v=""/>
    <n v="0"/>
    <n v="0"/>
    <s v="Number"/>
    <n v="5.99"/>
    <n v="5.99"/>
    <n v="43.97"/>
    <n v="43.97"/>
    <n v="43.97"/>
    <s v="True"/>
    <s v="Normal"/>
    <s v="Google Pay"/>
    <s v="Online Store"/>
    <s v="fulfilled"/>
    <s v="Australia"/>
    <m/>
    <s v="Not Required"/>
    <s v="Port Brentton"/>
  </r>
  <r>
    <s v="#2302"/>
    <n v="1"/>
    <d v="2026-08-04T14:02:34"/>
    <d v="2026-08-04T14:02:34"/>
    <s v="Peter Alvarez"/>
    <s v="Email Available"/>
    <s v="peter.alvarez465@yahoo.com"/>
    <x v="2"/>
    <s v="Home &amp; Kitchen"/>
    <x v="2"/>
    <n v="1"/>
    <n v="18.989999999999998"/>
    <n v="18.989999999999998"/>
    <s v="BFCM25"/>
    <s v="BFCM25"/>
    <n v="4.75"/>
    <n v="4.75"/>
    <s v="Number"/>
    <n v="5.99"/>
    <n v="5.99"/>
    <n v="20.23"/>
    <n v="20.23"/>
    <n v="20.229999999999997"/>
    <s v="True"/>
    <s v="Normal"/>
    <s v="PayPal"/>
    <s v="Online Store"/>
    <s v="refunded"/>
    <s v="United States"/>
    <s v="North Carolina"/>
    <s v="Valid"/>
    <s v="North Angela"/>
  </r>
  <r>
    <s v="#2352"/>
    <n v="1"/>
    <d v="2026-08-04T14:01:29"/>
    <d v="2026-08-04T14:01:29"/>
    <s v="Rebecca Watts"/>
    <s v="Email Available"/>
    <s v="rebecca.watts779@gmail.com"/>
    <x v="2"/>
    <s v="Home &amp; Kitchen"/>
    <x v="2"/>
    <n v="1"/>
    <n v="18.989999999999998"/>
    <n v="18.989999999999998"/>
    <m/>
    <s v=""/>
    <n v="0"/>
    <n v="0"/>
    <s v="Number"/>
    <n v="7.99"/>
    <n v="7.99"/>
    <n v="26.98"/>
    <n v="26.98"/>
    <n v="26.979999999999997"/>
    <s v="True"/>
    <s v="Normal"/>
    <s v="Apple Pay"/>
    <s v="Online Store"/>
    <s v="fulfilled"/>
    <s v="United States"/>
    <s v="North Carolina"/>
    <s v="Valid"/>
    <s v="Ianberg"/>
  </r>
  <r>
    <s v="#2373"/>
    <n v="1"/>
    <d v="2026-08-04T13:57:51"/>
    <d v="2026-08-04T13:57:51"/>
    <s v="Jennifer Burke"/>
    <s v="Email Available"/>
    <s v="jennifer.burke472@icloud.com"/>
    <x v="2"/>
    <s v="Home &amp; Kitchen"/>
    <x v="2"/>
    <n v="2"/>
    <n v="18.989999999999998"/>
    <n v="18.989999999999998"/>
    <m/>
    <s v=""/>
    <n v="0"/>
    <n v="0"/>
    <s v="Number"/>
    <n v="5.99"/>
    <n v="5.99"/>
    <n v="43.97"/>
    <n v="43.97"/>
    <n v="43.97"/>
    <s v="True"/>
    <s v="Normal"/>
    <s v="PayPal"/>
    <s v="POS"/>
    <s v="fulfilled"/>
    <s v="Pakistan"/>
    <m/>
    <s v="Not Required"/>
    <s v="Davidfurt"/>
  </r>
  <r>
    <s v="#2380"/>
    <n v="1"/>
    <d v="2026-08-04T14:04:08"/>
    <d v="2026-08-04T14:04:08"/>
    <s v="Dustin Mccoy"/>
    <s v="Missing Email"/>
    <m/>
    <x v="2"/>
    <s v="Home &amp; Kitchen"/>
    <x v="2"/>
    <n v="1"/>
    <n v="18.989999999999998"/>
    <n v="18.989999999999998"/>
    <m/>
    <s v=""/>
    <n v="0"/>
    <n v="0"/>
    <s v="Number"/>
    <n v="7.99"/>
    <n v="7.99"/>
    <n v="26.98"/>
    <n v="26.98"/>
    <n v="26.979999999999997"/>
    <s v="True"/>
    <s v="Normal"/>
    <s v="Shopify Payments"/>
    <s v="Online Store"/>
    <s v="refunded"/>
    <s v="Canada"/>
    <m/>
    <s v="Not Required"/>
    <s v="Tinachester"/>
  </r>
  <r>
    <s v="#2406"/>
    <n v="1"/>
    <d v="2026-08-04T14:05:56"/>
    <d v="2026-08-04T14:05:56"/>
    <s v="Kayla Cruz"/>
    <s v="Email Available"/>
    <s v="kayla.cruz151@outlook.com"/>
    <x v="2"/>
    <s v="Home &amp; Kitchen"/>
    <x v="2"/>
    <n v="1"/>
    <n v="18.989999999999998"/>
    <n v="18.989999999999998"/>
    <s v="WELCOME10"/>
    <s v="WELCOME10"/>
    <s v="$1.90"/>
    <n v="1.9"/>
    <s v="Number"/>
    <n v="4.99"/>
    <n v="4.99"/>
    <n v="22.08"/>
    <n v="22.08"/>
    <n v="22.08"/>
    <s v="True"/>
    <s v="Normal"/>
    <s v="Apple Pay"/>
    <s v="Online Store"/>
    <s v="fulfilled"/>
    <s v="Pakistan"/>
    <m/>
    <s v="Not Required"/>
    <s v="Lake Alexanderfort"/>
  </r>
  <r>
    <s v="#2412"/>
    <n v="1"/>
    <d v="2026-04-08T00:00:00"/>
    <s v="08/04/2026"/>
    <s v="Kristopher Barnett"/>
    <s v="Email Available"/>
    <s v="kristopher.barnett178@outlook.com"/>
    <x v="2"/>
    <s v="Home &amp; Kitchen"/>
    <x v="2"/>
    <n v="1"/>
    <n v="18.989999999999998"/>
    <n v="18.989999999999998"/>
    <m/>
    <s v=""/>
    <s v="$0.00"/>
    <n v="0"/>
    <s v="Number"/>
    <n v="4.99"/>
    <n v="4.99"/>
    <n v="23.98"/>
    <n v="23.98"/>
    <n v="23.979999999999997"/>
    <s v="True"/>
    <s v="Normal"/>
    <s v="Shopify Payments"/>
    <s v="Facebook"/>
    <s v="fulfilled"/>
    <s v="Australia"/>
    <m/>
    <s v="Not Required"/>
    <s v="Veronicashire"/>
  </r>
  <r>
    <s v="#2431"/>
    <n v="1"/>
    <d v="2026-08-04T14:03:00"/>
    <d v="2026-08-04T14:03:00"/>
    <s v="Brittney Thomas"/>
    <s v="Email Available"/>
    <s v="brittney.thomas484@gmail.com"/>
    <x v="2"/>
    <s v="Home &amp; Kitchen"/>
    <x v="2"/>
    <n v="1"/>
    <n v="18.989999999999998"/>
    <n v="18.989999999999998"/>
    <s v="BFCM25"/>
    <s v="BFCM25"/>
    <s v="$4.75"/>
    <n v="4.75"/>
    <s v="Number"/>
    <n v="5.99"/>
    <n v="5.99"/>
    <s v="$20.23"/>
    <n v="20.23"/>
    <n v="20.229999999999997"/>
    <s v="True"/>
    <s v="Normal"/>
    <s v="PayPal"/>
    <s v="Facebook"/>
    <s v="fulfilled"/>
    <s v="United States"/>
    <s v="Arizona"/>
    <s v="Valid"/>
    <s v="West Jennifer"/>
  </r>
  <r>
    <s v="#2458"/>
    <n v="1"/>
    <d v="2026-08-04T13:54:16"/>
    <d v="2026-08-04T13:54:16"/>
    <s v="Sandra Wilson"/>
    <s v="Email Available"/>
    <s v="sandra.wilson554@outlook.com"/>
    <x v="2"/>
    <s v="Home &amp; Kitchen"/>
    <x v="2"/>
    <n v="1"/>
    <n v="18.989999999999998"/>
    <n v="18.989999999999998"/>
    <s v="BFCM25"/>
    <s v="BFCM25"/>
    <n v="4.75"/>
    <n v="4.75"/>
    <s v="Number"/>
    <n v="7.99"/>
    <n v="7.99"/>
    <n v="22.23"/>
    <n v="22.23"/>
    <n v="22.229999999999997"/>
    <s v="True"/>
    <s v="Normal"/>
    <s v="Apple Pay"/>
    <s v="Instagram"/>
    <s v="fulfilled"/>
    <s v="Canada"/>
    <m/>
    <s v="Not Required"/>
    <s v="New Kevinborough"/>
  </r>
  <r>
    <s v="#2462"/>
    <n v="1"/>
    <d v="2026-04-08T00:00:00"/>
    <s v="08/04/2026"/>
    <s v="Timothy Hodges"/>
    <s v="Email Available"/>
    <s v="timothy.hodges687@icloud.com"/>
    <x v="2"/>
    <s v="Home &amp; Kitchen"/>
    <x v="2"/>
    <n v="1"/>
    <n v="18.989999999999998"/>
    <n v="18.989999999999998"/>
    <m/>
    <s v=""/>
    <n v="0"/>
    <n v="0"/>
    <s v="Number"/>
    <n v="7.99"/>
    <n v="7.99"/>
    <s v="$26.98"/>
    <n v="26.98"/>
    <n v="26.979999999999997"/>
    <s v="True"/>
    <s v="Normal"/>
    <s v="Apple Pay"/>
    <s v="Online Store"/>
    <s v="pending"/>
    <s v="Australia"/>
    <m/>
    <s v="Not Required"/>
    <s v="Warrenfurt"/>
  </r>
  <r>
    <s v="#2470"/>
    <n v="1"/>
    <d v="2026-08-04T13:53:52"/>
    <d v="2026-08-04T13:53:52"/>
    <s v="Bryan Barnes"/>
    <s v="Email Available"/>
    <s v="bryan.barnes666@yahoo.com"/>
    <x v="2"/>
    <s v="Home &amp; Kitchen"/>
    <x v="2"/>
    <n v="1"/>
    <n v="18.989999999999998"/>
    <n v="18.989999999999998"/>
    <m/>
    <s v=""/>
    <n v="0"/>
    <n v="0"/>
    <s v="Number"/>
    <n v="5.99"/>
    <n v="5.99"/>
    <s v="$24.98"/>
    <n v="24.98"/>
    <n v="24.979999999999997"/>
    <s v="True"/>
    <s v="Normal"/>
    <s v="Google Pay"/>
    <s v="Online Store"/>
    <s v="cancelled"/>
    <s v="United States"/>
    <s v="North Carolina"/>
    <s v="Valid"/>
    <s v="East Daniel"/>
  </r>
  <r>
    <s v="#2488"/>
    <n v="1"/>
    <d v="2026-08-04T13:54:58"/>
    <d v="2026-08-04T13:54:58"/>
    <s v="  James Miller"/>
    <s v="Email Available"/>
    <s v="james.miller866@yahoo.com"/>
    <x v="2"/>
    <s v="Home &amp; Kitchen"/>
    <x v="2"/>
    <n v="1"/>
    <n v="18.989999999999998"/>
    <n v="18.989999999999998"/>
    <m/>
    <s v=""/>
    <n v="0"/>
    <n v="0"/>
    <s v="Number"/>
    <n v="4.99"/>
    <n v="4.99"/>
    <n v="23.98"/>
    <n v="23.98"/>
    <n v="23.979999999999997"/>
    <s v="True"/>
    <s v="Normal"/>
    <s v="Apple Pay"/>
    <s v="Instagram"/>
    <s v="cancelled"/>
    <s v="Pakistan"/>
    <m/>
    <s v="Not Required"/>
    <s v="New Michelleshire"/>
  </r>
  <r>
    <s v="#2490"/>
    <n v="1"/>
    <d v="2026-08-04T14:06:27"/>
    <d v="2026-08-04T14:06:27"/>
    <s v="Shawn Alexander"/>
    <s v="Email Available"/>
    <s v="shawn.alexander522@outlook.com"/>
    <x v="2"/>
    <s v="Home &amp; Kitchen"/>
    <x v="2"/>
    <n v="1"/>
    <n v="18.989999999999998"/>
    <n v="18.989999999999998"/>
    <m/>
    <s v=""/>
    <n v="0"/>
    <n v="0"/>
    <s v="Number"/>
    <n v="4.99"/>
    <n v="4.99"/>
    <n v="23.98"/>
    <n v="23.98"/>
    <n v="23.979999999999997"/>
    <s v="True"/>
    <s v="Normal"/>
    <s v="Shopify Payments"/>
    <s v="Online Store"/>
    <s v="cancelled"/>
    <s v="United States"/>
    <s v="NY"/>
    <s v="Valid"/>
    <s v="Luisfort"/>
  </r>
  <r>
    <s v="#2510"/>
    <n v="1"/>
    <d v="2026-08-04T13:59:44"/>
    <d v="2026-08-04T13:59:44"/>
    <s v="Kylie Riddle"/>
    <s v="Email Available"/>
    <s v="kylie.riddle17@gmail.com"/>
    <x v="2"/>
    <s v="Home &amp; Kitchen"/>
    <x v="2"/>
    <n v="1"/>
    <n v="18.989999999999998"/>
    <n v="18.989999999999998"/>
    <s v="WELCOME10"/>
    <s v="WELCOME10"/>
    <n v="1.9"/>
    <n v="1.9"/>
    <s v="Number"/>
    <n v="7.99"/>
    <n v="7.99"/>
    <n v="25.08"/>
    <n v="25.08"/>
    <n v="25.08"/>
    <s v="True"/>
    <s v="Normal"/>
    <s v="Apple Pay"/>
    <s v="Instagram"/>
    <s v="pending"/>
    <s v="United States"/>
    <s v="Texas"/>
    <s v="Valid"/>
    <s v="Johnsonburgh"/>
  </r>
  <r>
    <s v="#2524"/>
    <n v="1"/>
    <d v="2026-08-04T00:00:00"/>
    <s v="2026-08-04"/>
    <s v="Jacqueline Wiley"/>
    <s v="Email Available"/>
    <s v="jacqueline.wiley718@icloud.com"/>
    <x v="2"/>
    <s v="Home &amp; Kitchen"/>
    <x v="2"/>
    <n v="2"/>
    <n v="18.989999999999998"/>
    <n v="18.989999999999998"/>
    <m/>
    <s v=""/>
    <n v="0"/>
    <n v="0"/>
    <s v="Number"/>
    <n v="7.99"/>
    <n v="7.99"/>
    <n v="45.97"/>
    <n v="45.97"/>
    <n v="45.97"/>
    <s v="True"/>
    <s v="Normal"/>
    <s v="Apple Pay"/>
    <s v="Facebook"/>
    <s v="refunded"/>
    <s v="United States"/>
    <s v="North Carolina"/>
    <s v="Valid"/>
    <s v="Robertschester"/>
  </r>
  <r>
    <s v="#2530"/>
    <n v="1"/>
    <d v="2026-08-04T13:56:25"/>
    <d v="2026-08-04T13:56:25"/>
    <s v="Barbara Case"/>
    <s v="Email Available"/>
    <s v="barbara.case365@yahoo.com"/>
    <x v="2"/>
    <s v="Home &amp; Kitchen"/>
    <x v="2"/>
    <n v="1"/>
    <n v="18.989999999999998"/>
    <n v="18.989999999999998"/>
    <m/>
    <s v=""/>
    <n v="0"/>
    <n v="0"/>
    <s v="Number"/>
    <n v="7.99"/>
    <n v="7.99"/>
    <n v="26.98"/>
    <n v="26.98"/>
    <n v="26.979999999999997"/>
    <s v="True"/>
    <s v="Normal"/>
    <s v="Google Pay"/>
    <s v="Online Store"/>
    <s v="pending"/>
    <s v="United States"/>
    <s v="New York"/>
    <s v="Valid"/>
    <s v="West Dennis"/>
  </r>
  <r>
    <s v="#2545"/>
    <n v="1"/>
    <d v="2026-08-04T14:04:38"/>
    <d v="2026-08-04T14:04:38"/>
    <s v="Courtney Bullock"/>
    <s v="Email Available"/>
    <s v="courtney.bullock860@outlook.com"/>
    <x v="2"/>
    <s v="Home &amp; Kitchen"/>
    <x v="2"/>
    <n v="1"/>
    <n v="18.989999999999998"/>
    <n v="18.989999999999998"/>
    <s v="FREESHIP"/>
    <s v="FREESHIP"/>
    <n v="0"/>
    <n v="0"/>
    <s v="Number"/>
    <n v="0"/>
    <n v="0"/>
    <n v="18.989999999999998"/>
    <n v="18.989999999999998"/>
    <n v="18.989999999999998"/>
    <s v="True"/>
    <s v="Normal"/>
    <s v="Google Pay"/>
    <s v="Instagram"/>
    <s v="fulfilled"/>
    <s v="United Kingdom"/>
    <m/>
    <s v="Not Required"/>
    <s v="South Savannahton"/>
  </r>
  <r>
    <s v="#2584"/>
    <n v="1"/>
    <d v="2026-08-04T14:02:23"/>
    <d v="2026-08-04T14:02:23"/>
    <s v="Robin Ruiz"/>
    <s v="Email Available"/>
    <s v="robin.ruiz407@yahoo.com"/>
    <x v="2"/>
    <s v="Home &amp; Kitchen"/>
    <x v="2"/>
    <n v="1"/>
    <n v="18.989999999999998"/>
    <n v="18.989999999999998"/>
    <m/>
    <s v=""/>
    <n v="0"/>
    <n v="0"/>
    <s v="Number"/>
    <n v="5.99"/>
    <n v="5.99"/>
    <n v="24.98"/>
    <n v="24.98"/>
    <n v="24.979999999999997"/>
    <s v="True"/>
    <s v="Normal"/>
    <s v="Google Pay"/>
    <s v="POS"/>
    <s v="fulfilled"/>
    <s v="United States"/>
    <s v="Texas"/>
    <s v="Valid"/>
    <s v="Hernandezchester"/>
  </r>
  <r>
    <s v="#2710"/>
    <n v="1"/>
    <d v="2026-08-04T14:04:38"/>
    <d v="2026-08-04T14:04:38"/>
    <s v="Sharon Brown"/>
    <s v="Email Available"/>
    <s v="sharon.brown14@gmail.com"/>
    <x v="2"/>
    <s v="Home &amp; Kitchen"/>
    <x v="2"/>
    <n v="1"/>
    <n v="18.989999999999998"/>
    <n v="18.989999999999998"/>
    <m/>
    <s v=""/>
    <n v="0"/>
    <n v="0"/>
    <s v="Number"/>
    <n v="4.99"/>
    <n v="4.99"/>
    <s v="$23.98"/>
    <n v="23.98"/>
    <n v="23.979999999999997"/>
    <s v="True"/>
    <s v="Normal"/>
    <s v="Apple Pay"/>
    <s v="Online Store"/>
    <s v="fulfilled"/>
    <s v="United States"/>
    <s v="Georgia"/>
    <s v="Valid"/>
    <s v="West Nicholastown"/>
  </r>
  <r>
    <s v="#2711"/>
    <n v="1"/>
    <d v="2026-08-04T13:56:57"/>
    <d v="2026-08-04T13:56:57"/>
    <s v="Sean Frank"/>
    <s v="Email Available"/>
    <s v="sean.frank587@icloud.com"/>
    <x v="2"/>
    <s v="Home &amp; Kitchen"/>
    <x v="2"/>
    <n v="3"/>
    <n v="18.989999999999998"/>
    <n v="18.989999999999998"/>
    <m/>
    <s v=""/>
    <n v="0"/>
    <n v="0"/>
    <s v="Number"/>
    <n v="7.99"/>
    <n v="7.99"/>
    <n v="64.959999999999994"/>
    <n v="64.959999999999994"/>
    <n v="64.959999999999994"/>
    <s v="True"/>
    <s v="Normal"/>
    <s v="Google Pay"/>
    <s v="Instagram"/>
    <s v="pending"/>
    <s v="Australia"/>
    <m/>
    <s v="Not Required"/>
    <s v="North Andrewmouth"/>
  </r>
  <r>
    <s v="#2727"/>
    <n v="1"/>
    <d v="2026-08-04T14:00:56"/>
    <d v="2026-08-04T14:00:56"/>
    <s v="Laura Pruitt"/>
    <s v="Email Available"/>
    <s v="laura.pruitt212@yahoo.com"/>
    <x v="2"/>
    <s v="Home &amp; Kitchen"/>
    <x v="2"/>
    <n v="1"/>
    <n v="18.989999999999998"/>
    <n v="18.989999999999998"/>
    <s v="WELCOME10"/>
    <s v="WELCOME10"/>
    <n v="1.9"/>
    <n v="1.9"/>
    <s v="Number"/>
    <n v="5.99"/>
    <n v="5.99"/>
    <n v="23.08"/>
    <n v="23.08"/>
    <n v="23.08"/>
    <s v="True"/>
    <s v="Normal"/>
    <s v="Google Pay"/>
    <s v="Facebook"/>
    <s v="fulfilled"/>
    <s v="United States"/>
    <s v="Georgia"/>
    <s v="Valid"/>
    <s v="East Joseview"/>
  </r>
  <r>
    <s v="#2774"/>
    <n v="1"/>
    <d v="2026-08-04T13:56:32"/>
    <d v="2026-08-04T13:56:32"/>
    <s v="Nicholas Jarvis"/>
    <s v="Email Available"/>
    <s v="nicholas.jarvis112@icloud.com"/>
    <x v="2"/>
    <s v="Home &amp; Kitchen"/>
    <x v="2"/>
    <n v="1"/>
    <n v="18.989999999999998"/>
    <n v="18.989999999999998"/>
    <s v="BFCM25"/>
    <s v="BFCM25"/>
    <n v="4.75"/>
    <n v="4.75"/>
    <s v="Number"/>
    <n v="7.99"/>
    <n v="7.99"/>
    <n v="22.23"/>
    <n v="22.23"/>
    <n v="22.229999999999997"/>
    <s v="True"/>
    <s v="Normal"/>
    <s v="Credit Card"/>
    <s v="Online Store"/>
    <s v="refunded"/>
    <s v="Canada"/>
    <m/>
    <s v="Not Required"/>
    <s v="Lake Kyleborough"/>
  </r>
  <r>
    <s v="#2778"/>
    <n v="1"/>
    <d v="2026-08-04T14:07:25"/>
    <d v="2026-08-04T14:07:25"/>
    <s v="Stephanie Mcgee"/>
    <s v="Email Available"/>
    <s v="stephanie.mcgee557@outlook.com"/>
    <x v="2"/>
    <s v="Home &amp; Kitchen"/>
    <x v="2"/>
    <n v="1"/>
    <n v="18.989999999999998"/>
    <n v="18.989999999999998"/>
    <s v="WELCOME10"/>
    <s v="WELCOME10"/>
    <n v="1.9"/>
    <n v="1.9"/>
    <s v="Number"/>
    <n v="4.99"/>
    <n v="4.99"/>
    <n v="22.08"/>
    <n v="22.08"/>
    <n v="22.08"/>
    <s v="True"/>
    <s v="Normal"/>
    <s v="Shopify Payments"/>
    <s v="Online Store"/>
    <s v="refunded"/>
    <s v="Australia"/>
    <m/>
    <s v="Not Required"/>
    <s v="Flynnport"/>
  </r>
  <r>
    <s v="#2821"/>
    <n v="1"/>
    <d v="2026-08-04T14:00:08"/>
    <d v="2026-08-04T14:00:08"/>
    <s v="James Castro"/>
    <s v="Missing Email"/>
    <m/>
    <x v="2"/>
    <s v="Home &amp; Kitchen"/>
    <x v="2"/>
    <n v="1"/>
    <n v="18.989999999999998"/>
    <n v="18.989999999999998"/>
    <s v="WELCOME10"/>
    <s v="WELCOME10"/>
    <n v="1.9"/>
    <n v="1.9"/>
    <s v="Number"/>
    <n v="4.99"/>
    <n v="4.99"/>
    <n v="22.08"/>
    <n v="22.08"/>
    <n v="22.08"/>
    <s v="True"/>
    <s v="Normal"/>
    <s v="Credit Card"/>
    <s v="Online Store"/>
    <s v="fulfilled"/>
    <s v="Pakistan"/>
    <m/>
    <s v="Not Required"/>
    <s v="Lake Savannah"/>
  </r>
  <r>
    <s v="#2860"/>
    <n v="1"/>
    <d v="2026-08-04T00:00:00"/>
    <s v="04-08-2026 13:55"/>
    <s v="Stacey Johnson"/>
    <s v="Missing Email"/>
    <m/>
    <x v="2"/>
    <s v="Home &amp; Kitchen"/>
    <x v="2"/>
    <n v="2"/>
    <n v="18.989999999999998"/>
    <n v="18.989999999999998"/>
    <m/>
    <s v=""/>
    <n v="0"/>
    <n v="0"/>
    <s v="Number"/>
    <n v="5.99"/>
    <n v="5.99"/>
    <n v="43.97"/>
    <n v="43.97"/>
    <n v="43.97"/>
    <s v="True"/>
    <s v="Normal"/>
    <s v="Shopify Payments"/>
    <s v="POS"/>
    <s v="pending"/>
    <s v="Germany"/>
    <m/>
    <s v="Not Required"/>
    <s v="Port Patricia"/>
  </r>
  <r>
    <s v="#2895"/>
    <n v="1"/>
    <d v="2026-08-04T14:00:37"/>
    <d v="2026-08-04T14:00:37"/>
    <s v="Sheryl Nguyen"/>
    <s v="Email Available"/>
    <s v="sheryl.nguyen272@outlook.com"/>
    <x v="2"/>
    <s v="Home &amp; Kitchen"/>
    <x v="2"/>
    <n v="1"/>
    <n v="18.989999999999998"/>
    <n v="18.989999999999998"/>
    <m/>
    <s v=""/>
    <n v="0"/>
    <n v="0"/>
    <s v="Number"/>
    <n v="7.99"/>
    <n v="7.99"/>
    <n v="26.98"/>
    <n v="26.98"/>
    <n v="26.979999999999997"/>
    <s v="True"/>
    <s v="Normal"/>
    <s v="Shopify Payments"/>
    <s v="Instagram"/>
    <s v="refunded"/>
    <s v="United States"/>
    <s v="Texas"/>
    <s v="Valid"/>
    <s v="Kevinberg"/>
  </r>
  <r>
    <s v="#2910"/>
    <n v="1"/>
    <d v="2026-08-04T13:54:34"/>
    <d v="2026-08-04T13:54:34"/>
    <s v="Sandra Wilson"/>
    <s v="Email Available"/>
    <s v="sandra.wilson554@outlook.com"/>
    <x v="2"/>
    <s v="Home &amp; Kitchen"/>
    <x v="2"/>
    <n v="2"/>
    <n v="18.989999999999998"/>
    <n v="18.989999999999998"/>
    <m/>
    <s v=""/>
    <n v="0"/>
    <n v="0"/>
    <s v="Number"/>
    <n v="5.99"/>
    <n v="5.99"/>
    <n v="43.97"/>
    <n v="43.97"/>
    <n v="43.97"/>
    <s v="True"/>
    <s v="Normal"/>
    <s v="Apple Pay"/>
    <s v="Online Store"/>
    <s v="fulfilled"/>
    <s v="Canada"/>
    <m/>
    <s v="Not Required"/>
    <s v="Andresburgh"/>
  </r>
  <r>
    <s v="#2999"/>
    <n v="1"/>
    <d v="2026-04-08T00:00:00"/>
    <s v="08/04/2026"/>
    <s v="Christian Leonard"/>
    <s v="Missing Email"/>
    <m/>
    <x v="2"/>
    <s v="Home &amp; Kitchen"/>
    <x v="2"/>
    <n v="1"/>
    <n v="18.989999999999998"/>
    <n v="18.989999999999998"/>
    <m/>
    <s v=""/>
    <n v="0"/>
    <n v="0"/>
    <s v="Number"/>
    <n v="7.99"/>
    <n v="7.99"/>
    <n v="26.98"/>
    <n v="26.98"/>
    <n v="26.979999999999997"/>
    <s v="True"/>
    <s v="Normal"/>
    <s v="Shopify Payments"/>
    <s v="Facebook"/>
    <s v="refunded"/>
    <s v="United States"/>
    <s v="Ohio"/>
    <s v="Valid"/>
    <s v="Christianport"/>
  </r>
  <r>
    <s v="#1508"/>
    <n v="1"/>
    <d v="2026-08-04T13:58:45"/>
    <d v="2026-08-04T13:58:45"/>
    <s v="PETER ALVAREZ"/>
    <s v="Email Available"/>
    <s v="peter.alvarez465@yahoo.com"/>
    <x v="3"/>
    <s v="Apparel"/>
    <x v="3"/>
    <n v="2"/>
    <n v="14.99"/>
    <n v="14.99"/>
    <m/>
    <s v=""/>
    <n v="0"/>
    <n v="0"/>
    <s v="Number"/>
    <n v="4.99"/>
    <n v="4.99"/>
    <n v="34.97"/>
    <n v="34.97"/>
    <n v="34.97"/>
    <s v="True"/>
    <s v="Normal"/>
    <s v="Apple Pay"/>
    <s v="Online Store"/>
    <s v="fulfilled"/>
    <s v="United States"/>
    <s v="Florida"/>
    <s v="Valid"/>
    <s v="Port Rebecca"/>
  </r>
  <r>
    <s v="#2133"/>
    <n v="1"/>
    <d v="2026-08-04T14:04:08"/>
    <d v="2026-08-04T14:04:08"/>
    <s v="David Pierce"/>
    <s v="Email Available"/>
    <s v="david.pierce107@outlook.com"/>
    <x v="3"/>
    <s v="Apparel"/>
    <x v="3"/>
    <n v="1"/>
    <n v="14.99"/>
    <n v="14.99"/>
    <m/>
    <s v=""/>
    <n v="0"/>
    <n v="0"/>
    <s v="Number"/>
    <n v="5.99"/>
    <n v="5.99"/>
    <n v="20.98"/>
    <n v="20.98"/>
    <n v="20.98"/>
    <s v="True"/>
    <s v="Normal"/>
    <s v="PayPal"/>
    <s v="Online Store"/>
    <s v="fulfilled"/>
    <s v="Germany"/>
    <m/>
    <s v="Not Required"/>
    <s v="West Randy"/>
  </r>
  <r>
    <s v="#2277"/>
    <n v="1"/>
    <d v="2026-08-04T13:54:16"/>
    <d v="2026-08-04T13:54:16"/>
    <s v="Arthur Kelley"/>
    <s v="Email Available"/>
    <s v="arthur.kelley558@gmail.com"/>
    <x v="3"/>
    <s v="Apparel"/>
    <x v="3"/>
    <n v="1"/>
    <n v="14.99"/>
    <n v="14.99"/>
    <s v="VIP15"/>
    <s v="VIP15"/>
    <s v="$2.25"/>
    <n v="2.25"/>
    <s v="Number"/>
    <n v="4.99"/>
    <n v="4.99"/>
    <n v="17.73"/>
    <n v="17.73"/>
    <n v="17.73"/>
    <s v="True"/>
    <s v="Normal"/>
    <s v="Google Pay"/>
    <s v="Online Store"/>
    <s v="fulfilled"/>
    <s v="Australia"/>
    <m/>
    <s v="Not Required"/>
    <s v="Alextown"/>
  </r>
  <r>
    <s v="#2817"/>
    <n v="1"/>
    <d v="2026-08-04T13:54:11"/>
    <d v="2026-08-04T13:54:11"/>
    <s v="Aimee Smith"/>
    <s v="Email Available"/>
    <s v="aimee.smith857@icloud.com"/>
    <x v="3"/>
    <s v="Apparel"/>
    <x v="4"/>
    <n v="1"/>
    <n v="14.99"/>
    <n v="14.99"/>
    <m/>
    <s v=""/>
    <n v="0"/>
    <n v="0"/>
    <s v="Number"/>
    <n v="5.99"/>
    <n v="5.99"/>
    <n v="20.98"/>
    <n v="20.98"/>
    <n v="20.98"/>
    <s v="True"/>
    <s v="Normal"/>
    <s v="PayPal"/>
    <s v="Facebook"/>
    <s v="cancelled"/>
    <s v="United Kingdom"/>
    <m/>
    <s v="Not Required"/>
    <s v="Charlesland"/>
  </r>
  <r>
    <s v="#2945"/>
    <n v="1"/>
    <d v="2026-08-04T14:08:00"/>
    <d v="2026-08-04T14:08:00"/>
    <s v="Angela Carr"/>
    <s v="Email Available"/>
    <s v="angela.carr488@yahoo.com"/>
    <x v="3"/>
    <s v="Apparel"/>
    <x v="4"/>
    <n v="1"/>
    <n v="14.99"/>
    <n v="14.99"/>
    <m/>
    <s v=""/>
    <n v="0"/>
    <n v="0"/>
    <s v="Number"/>
    <n v="4.99"/>
    <n v="4.99"/>
    <n v="19.98"/>
    <n v="19.98"/>
    <n v="19.98"/>
    <s v="True"/>
    <s v="Normal"/>
    <s v="Shopify Payments"/>
    <s v="Facebook"/>
    <s v="refunded"/>
    <s v="United States"/>
    <s v="Ohio"/>
    <s v="Valid"/>
    <s v="Tracyton"/>
  </r>
  <r>
    <s v="#1005"/>
    <n v="1"/>
    <d v="2026-08-04T13:53:46"/>
    <d v="2026-08-04T13:53:46"/>
    <s v="Sharon Brown"/>
    <s v="Email Available"/>
    <s v="sharon.brown14@gmail.com"/>
    <x v="3"/>
    <s v="Apparel"/>
    <x v="3"/>
    <n v="1"/>
    <n v="14.99"/>
    <n v="14.99"/>
    <s v="WELCOME10"/>
    <s v="WELCOME10"/>
    <n v="1.5"/>
    <n v="1.5"/>
    <s v="Number"/>
    <n v="5.99"/>
    <n v="5.99"/>
    <n v="19.48"/>
    <n v="19.48"/>
    <n v="19.48"/>
    <s v="True"/>
    <s v="Normal"/>
    <s v="Apple Pay"/>
    <s v="Online Store"/>
    <s v="fulfilled"/>
    <s v="United States"/>
    <s v="Illinois"/>
    <s v="Valid"/>
    <s v="Lake Angel"/>
  </r>
  <r>
    <s v="#1036"/>
    <n v="1"/>
    <d v="2026-08-04T13:56:32"/>
    <d v="2026-08-04T13:56:32"/>
    <s v="Diane Campos"/>
    <s v="Email Available"/>
    <s v="diane.campos325@gmail.com"/>
    <x v="3"/>
    <s v="Apparel"/>
    <x v="3"/>
    <n v="2"/>
    <n v="14.99"/>
    <n v="14.99"/>
    <s v="WELCOME10"/>
    <s v="WELCOME10"/>
    <n v="3"/>
    <n v="3"/>
    <s v="Number"/>
    <n v="7.99"/>
    <n v="7.99"/>
    <n v="34.97"/>
    <n v="34.97"/>
    <n v="34.97"/>
    <s v="True"/>
    <s v="Normal"/>
    <s v="PayPal"/>
    <s v="Facebook"/>
    <s v="fulfilled"/>
    <s v="United States"/>
    <s v="Washington"/>
    <s v="Valid"/>
    <s v="West Patrickmouth"/>
  </r>
  <r>
    <s v="#1073"/>
    <n v="1"/>
    <d v="2026-08-04T14:07:13"/>
    <d v="2026-08-04T14:07:13"/>
    <s v="Brittney Thomas"/>
    <s v="Email Available"/>
    <s v="brittney.thomas484@gmail.com"/>
    <x v="3"/>
    <s v="Apparel"/>
    <x v="3"/>
    <n v="1"/>
    <n v="14.99"/>
    <n v="14.99"/>
    <s v="WELCOME10"/>
    <s v="WELCOME10"/>
    <n v="1.5"/>
    <n v="1.5"/>
    <s v="Number"/>
    <n v="7.99"/>
    <n v="7.99"/>
    <n v="21.48"/>
    <n v="21.48"/>
    <n v="21.48"/>
    <s v="True"/>
    <s v="Normal"/>
    <s v="Shopify Payments"/>
    <s v="POS"/>
    <s v="refunded"/>
    <s v="United States"/>
    <s v="Georgia"/>
    <s v="Valid"/>
    <s v="Moyerstad"/>
  </r>
  <r>
    <s v="#1085"/>
    <n v="1"/>
    <d v="2026-08-04T14:00:47"/>
    <d v="2026-08-04T14:00:47"/>
    <s v="Amanda Harris"/>
    <s v="Email Available"/>
    <s v="amanda.harris197@gmail.com"/>
    <x v="3"/>
    <s v="Apparel"/>
    <x v="4"/>
    <n v="1"/>
    <n v="14.99"/>
    <n v="14.99"/>
    <s v="SAVE20"/>
    <s v="SAVE20"/>
    <n v="3"/>
    <n v="3"/>
    <s v="Number"/>
    <n v="4.99"/>
    <n v="4.99"/>
    <s v="$16.98"/>
    <n v="16.98"/>
    <n v="16.98"/>
    <s v="True"/>
    <s v="Normal"/>
    <s v="Google Pay"/>
    <s v="Instagram"/>
    <s v="fulfilled"/>
    <s v="United States"/>
    <s v="California"/>
    <s v="Valid"/>
    <s v="Michaelmouth"/>
  </r>
  <r>
    <s v="#1095"/>
    <n v="1"/>
    <d v="2026-08-04T13:56:16"/>
    <d v="2026-08-04T13:56:16"/>
    <s v="Nicholas Jarvis"/>
    <s v="Email Available"/>
    <s v="nicholas.jarvis112@icloud.com"/>
    <x v="3"/>
    <s v="Apparel"/>
    <x v="4"/>
    <n v="2"/>
    <n v="14.99"/>
    <n v="14.99"/>
    <s v="VIP15"/>
    <s v="VIP15"/>
    <n v="4.5"/>
    <n v="4.5"/>
    <s v="Number"/>
    <n v="7.99"/>
    <n v="7.99"/>
    <n v="33.47"/>
    <n v="33.47"/>
    <n v="33.47"/>
    <s v="True"/>
    <s v="Normal"/>
    <s v="Shopify Payments"/>
    <s v="Facebook"/>
    <s v="refunded"/>
    <s v="Canada"/>
    <m/>
    <s v="Not Required"/>
    <s v="West Brookebury"/>
  </r>
  <r>
    <s v="#1111"/>
    <n v="1"/>
    <d v="2026-04-08T00:00:00"/>
    <s v="08/04/2026"/>
    <s v="Robert Bryant"/>
    <s v="Email Available"/>
    <s v="robert.bryant21@gmail.com"/>
    <x v="3"/>
    <s v="Apparel"/>
    <x v="3"/>
    <n v="1"/>
    <n v="14.99"/>
    <n v="14.99"/>
    <s v="SAVE20"/>
    <s v="SAVE20"/>
    <n v="3"/>
    <n v="3"/>
    <s v="Number"/>
    <n v="5.99"/>
    <n v="5.99"/>
    <s v="$17.98"/>
    <n v="17.98"/>
    <n v="17.98"/>
    <s v="True"/>
    <s v="Normal"/>
    <s v="Apple Pay"/>
    <s v="Online Store"/>
    <s v="cancelled"/>
    <s v="Germany"/>
    <m/>
    <s v="Not Required"/>
    <s v="Lake Adrianport"/>
  </r>
  <r>
    <s v="#1140"/>
    <n v="1"/>
    <d v="2026-08-04T14:01:46"/>
    <d v="2026-08-04T14:01:46"/>
    <s v="DOMINIQUE HUERTA"/>
    <s v="Email Available"/>
    <s v="dominique.huerta708@outlook.com"/>
    <x v="3"/>
    <s v="Apparel"/>
    <x v="3"/>
    <n v="1"/>
    <n v="14.99"/>
    <n v="14.99"/>
    <m/>
    <s v=""/>
    <n v="0"/>
    <n v="0"/>
    <s v="Number"/>
    <n v="4.99"/>
    <n v="4.99"/>
    <n v="19.98"/>
    <n v="19.98"/>
    <n v="19.98"/>
    <s v="True"/>
    <s v="Normal"/>
    <s v="Apple Pay"/>
    <s v="POS"/>
    <s v="refunded"/>
    <s v="United Kingdom"/>
    <m/>
    <s v="Not Required"/>
    <s v="East Katie"/>
  </r>
  <r>
    <s v="#1149"/>
    <n v="1"/>
    <d v="2026-08-04T13:53:50"/>
    <d v="2026-08-04T13:53:50"/>
    <s v="Brittney Conway"/>
    <s v="Email Available"/>
    <s v="brittney.conway383@outlook.com"/>
    <x v="3"/>
    <s v="Apparel"/>
    <x v="3"/>
    <n v="1"/>
    <n v="14.99"/>
    <n v="14.99"/>
    <s v="BFCM25"/>
    <s v="BFCM25"/>
    <n v="3.75"/>
    <n v="3.75"/>
    <s v="Number"/>
    <n v="5.99"/>
    <n v="5.99"/>
    <n v="17.23"/>
    <n v="17.23"/>
    <n v="17.23"/>
    <s v="True"/>
    <s v="Normal"/>
    <s v="Apple Pay"/>
    <s v="POS"/>
    <s v="fulfilled"/>
    <s v="United States"/>
    <s v="Illinois"/>
    <s v="Valid"/>
    <s v="Scottmouth"/>
  </r>
  <r>
    <s v="#1155"/>
    <n v="1"/>
    <d v="2026-08-04T14:00:47"/>
    <d v="2026-08-04T14:00:47"/>
    <s v="Monique Bowman"/>
    <s v="Email Available"/>
    <s v="monique.bowman430@gmail.com"/>
    <x v="3"/>
    <s v="Apparel"/>
    <x v="3"/>
    <n v="2"/>
    <n v="14.99"/>
    <n v="14.99"/>
    <m/>
    <s v=""/>
    <n v="0"/>
    <n v="0"/>
    <s v="Number"/>
    <n v="4.99"/>
    <n v="4.99"/>
    <n v="34.97"/>
    <n v="34.97"/>
    <n v="34.97"/>
    <s v="True"/>
    <s v="Normal"/>
    <s v="PayPal"/>
    <s v="Facebook"/>
    <s v="fulfilled"/>
    <s v="United States"/>
    <s v="North Carolina"/>
    <s v="Valid"/>
    <s v="West Anna"/>
  </r>
  <r>
    <s v="#1181"/>
    <n v="1"/>
    <d v="2026-04-08T00:00:00"/>
    <s v="08/04/2026"/>
    <s v="Brian Ruiz"/>
    <s v="Email Available"/>
    <s v="brian.ruiz246@gmail.com"/>
    <x v="3"/>
    <s v="Apparel"/>
    <x v="3"/>
    <n v="1"/>
    <n v="14.99"/>
    <n v="14.99"/>
    <m/>
    <s v=""/>
    <n v="0"/>
    <n v="0"/>
    <s v="Number"/>
    <n v="5.99"/>
    <n v="5.99"/>
    <n v="20.98"/>
    <n v="20.98"/>
    <n v="20.98"/>
    <s v="True"/>
    <s v="Normal"/>
    <s v="Credit Card"/>
    <s v="Facebook"/>
    <s v="fulfilled"/>
    <s v="Germany"/>
    <m/>
    <s v="Not Required"/>
    <s v="Hernandezberg"/>
  </r>
  <r>
    <s v="#1188"/>
    <n v="1"/>
    <d v="2026-08-04T13:53:45"/>
    <d v="2026-08-04T13:53:45"/>
    <s v="Kristen Lewis"/>
    <s v="Email Available"/>
    <s v="kristen.lewis649@icloud.com"/>
    <x v="3"/>
    <s v="Apparel"/>
    <x v="4"/>
    <n v="2"/>
    <n v="14.99"/>
    <n v="14.99"/>
    <s v="SAVE20"/>
    <s v="SAVE20"/>
    <n v="6"/>
    <n v="6"/>
    <s v="Number"/>
    <n v="4.99"/>
    <n v="4.99"/>
    <n v="28.97"/>
    <n v="28.97"/>
    <n v="28.97"/>
    <s v="True"/>
    <s v="Normal"/>
    <s v="PayPal"/>
    <s v="Online Store"/>
    <s v="fulfilled"/>
    <s v="United States"/>
    <s v="Texas"/>
    <s v="Valid"/>
    <s v="North Christina"/>
  </r>
  <r>
    <s v="#1201"/>
    <n v="1"/>
    <d v="2026-08-04T14:04:30"/>
    <d v="2026-08-04T14:04:30"/>
    <s v="Johnathan Sloan"/>
    <s v="Email Available"/>
    <s v="johnathan.sloan721@outlook.com"/>
    <x v="3"/>
    <s v="Apparel"/>
    <x v="3"/>
    <n v="1"/>
    <n v="14.99"/>
    <n v="14.99"/>
    <s v="BFCM25"/>
    <s v="BFCM25"/>
    <n v="3.75"/>
    <n v="3.75"/>
    <s v="Number"/>
    <n v="5.99"/>
    <n v="5.99"/>
    <n v="17.23"/>
    <n v="17.23"/>
    <n v="17.23"/>
    <s v="True"/>
    <s v="Normal"/>
    <s v="Google Pay"/>
    <s v="Online Store"/>
    <s v="pending"/>
    <s v="Pakistan"/>
    <m/>
    <s v="Not Required"/>
    <s v="Kimberlymouth"/>
  </r>
  <r>
    <s v="#1206"/>
    <n v="1"/>
    <d v="2026-08-04T14:02:41"/>
    <d v="2026-08-04T14:02:41"/>
    <s v="Jacqueline Miller"/>
    <s v="Email Available"/>
    <s v="jacqueline.miller687@yahoo.com"/>
    <x v="3"/>
    <s v="Apparel"/>
    <x v="3"/>
    <n v="1"/>
    <n v="14.99"/>
    <n v="14.99"/>
    <m/>
    <s v=""/>
    <n v="0"/>
    <n v="0"/>
    <s v="Number"/>
    <n v="5.99"/>
    <n v="5.99"/>
    <n v="20.98"/>
    <n v="20.98"/>
    <n v="20.98"/>
    <s v="True"/>
    <s v="Normal"/>
    <s v="Google Pay"/>
    <s v="Facebook"/>
    <s v="cancelled"/>
    <s v="Canada"/>
    <m/>
    <s v="Not Required"/>
    <s v="East Antonio"/>
  </r>
  <r>
    <s v="#1213"/>
    <n v="1"/>
    <d v="2026-08-04T00:00:00"/>
    <s v="Aug 04, 2026"/>
    <s v="Jon Lambert"/>
    <s v="Email Available"/>
    <s v="jon.lambert231@icloud.com"/>
    <x v="3"/>
    <s v="Apparel"/>
    <x v="3"/>
    <n v="1"/>
    <n v="14.99"/>
    <n v="14.99"/>
    <s v="FREESHIP"/>
    <s v="FREESHIP"/>
    <n v="0"/>
    <n v="0"/>
    <s v="Number"/>
    <n v="0"/>
    <n v="0"/>
    <n v="14.99"/>
    <n v="14.99"/>
    <n v="14.99"/>
    <s v="True"/>
    <s v="Normal"/>
    <s v="Apple Pay"/>
    <s v="POS"/>
    <s v="pending"/>
    <s v="United States"/>
    <s v="Washington"/>
    <s v="Valid"/>
    <s v="New Jordan"/>
  </r>
  <r>
    <s v="#1239"/>
    <n v="1"/>
    <d v="2026-08-04T13:53:34"/>
    <d v="2026-08-04T13:53:34"/>
    <s v="Dustin Mccoy"/>
    <s v="Email Available"/>
    <s v="dustin.mccoy570@gmail.com"/>
    <x v="3"/>
    <s v="Apparel"/>
    <x v="4"/>
    <n v="1"/>
    <n v="14.99"/>
    <n v="14.99"/>
    <s v="VIP15"/>
    <s v="VIP15"/>
    <n v="2.25"/>
    <n v="2.25"/>
    <s v="Number"/>
    <n v="5.99"/>
    <n v="5.99"/>
    <n v="18.73"/>
    <n v="18.73"/>
    <n v="18.73"/>
    <s v="True"/>
    <s v="Normal"/>
    <s v="Apple Pay"/>
    <s v="Instagram"/>
    <s v="pending"/>
    <s v="Canada"/>
    <m/>
    <s v="Not Required"/>
    <s v="Berryside"/>
  </r>
  <r>
    <s v="#1245"/>
    <n v="1"/>
    <d v="2026-08-04T14:04:59"/>
    <d v="2026-08-04T14:04:59"/>
    <s v="Christy Phillips"/>
    <s v="Email Available"/>
    <s v="christy.phillips291@gmail.com"/>
    <x v="3"/>
    <s v="Apparel"/>
    <x v="4"/>
    <n v="1"/>
    <n v="14.99"/>
    <n v="14.99"/>
    <s v="FREESHIP"/>
    <s v="FREESHIP"/>
    <n v="0"/>
    <n v="0"/>
    <s v="Number"/>
    <n v="0"/>
    <n v="0"/>
    <n v="14.99"/>
    <n v="14.99"/>
    <n v="14.99"/>
    <s v="True"/>
    <s v="Normal"/>
    <s v="Google Pay"/>
    <s v="Online Store"/>
    <s v="cancelled"/>
    <s v="Pakistan"/>
    <m/>
    <s v="Not Required"/>
    <s v="Devinburgh"/>
  </r>
  <r>
    <s v="#1263"/>
    <n v="1"/>
    <d v="2026-08-04T14:01:27"/>
    <d v="2026-08-04T14:01:27"/>
    <s v="Jacqueline Graham"/>
    <s v="Email Available"/>
    <s v="jacqueline.graham958@gmail.com"/>
    <x v="3"/>
    <s v="Apparel"/>
    <x v="3"/>
    <n v="1"/>
    <n v="14.99"/>
    <n v="14.99"/>
    <s v="FREESHIP"/>
    <s v="FREESHIP"/>
    <n v="0"/>
    <n v="0"/>
    <s v="Number"/>
    <n v="0"/>
    <n v="0"/>
    <n v="14.99"/>
    <n v="14.99"/>
    <n v="14.99"/>
    <s v="True"/>
    <s v="Normal"/>
    <s v="Shopify Payments"/>
    <s v="Online Store"/>
    <s v="fulfilled"/>
    <s v="Australia"/>
    <m/>
    <s v="Not Required"/>
    <s v="Port Christopher"/>
  </r>
  <r>
    <s v="#1275"/>
    <n v="1"/>
    <d v="2026-08-04T13:59:05"/>
    <d v="2026-08-04T13:59:05"/>
    <s v="Christopher Harrington"/>
    <s v="Email Available"/>
    <s v="christopher.harrington960@gmail.com"/>
    <x v="3"/>
    <s v="Apparel"/>
    <x v="4"/>
    <n v="1"/>
    <n v="14.99"/>
    <n v="14.99"/>
    <s v="VIP15"/>
    <s v="VIP15"/>
    <n v="2.25"/>
    <n v="2.25"/>
    <s v="Number"/>
    <n v="4.99"/>
    <n v="4.99"/>
    <n v="17.73"/>
    <n v="17.73"/>
    <n v="17.73"/>
    <s v="True"/>
    <s v="Normal"/>
    <s v="Apple Pay"/>
    <s v="POS"/>
    <s v="fulfilled"/>
    <s v="Australia"/>
    <m/>
    <s v="Not Required"/>
    <s v="New Lydia"/>
  </r>
  <r>
    <s v="#1288"/>
    <n v="1"/>
    <d v="2026-08-04T14:08:25"/>
    <d v="2026-08-04T14:08:25"/>
    <s v="Vincent Rosales"/>
    <s v="Email Available"/>
    <s v="vincent.rosales30@icloud.com"/>
    <x v="3"/>
    <s v="Apparel"/>
    <x v="3"/>
    <n v="1"/>
    <n v="14.99"/>
    <n v="14.99"/>
    <m/>
    <s v=""/>
    <n v="0"/>
    <n v="0"/>
    <s v="Number"/>
    <n v="4.99"/>
    <n v="4.99"/>
    <n v="19.98"/>
    <n v="19.98"/>
    <n v="19.98"/>
    <s v="True"/>
    <s v="Normal"/>
    <s v="Shopify Payments"/>
    <s v="Online Store"/>
    <s v="refunded"/>
    <s v="United States"/>
    <s v="OH"/>
    <s v="Valid"/>
    <s v="Stewartshire"/>
  </r>
  <r>
    <s v="#1290"/>
    <n v="1"/>
    <d v="2026-08-04T14:03:24"/>
    <d v="2026-08-04T14:03:24"/>
    <s v="John Lin"/>
    <s v="Email Available"/>
    <s v="john.lin901@outlook.com"/>
    <x v="3"/>
    <s v="Apparel"/>
    <x v="3"/>
    <n v="1"/>
    <n v="14.99"/>
    <n v="14.99"/>
    <s v="BFCM25"/>
    <s v="BFCM25"/>
    <n v="3.75"/>
    <n v="3.75"/>
    <s v="Number"/>
    <n v="4.99"/>
    <n v="4.99"/>
    <n v="16.23"/>
    <n v="16.23"/>
    <n v="16.23"/>
    <s v="True"/>
    <s v="Normal"/>
    <s v="Apple Pay"/>
    <s v="Instagram"/>
    <s v="fulfilled"/>
    <s v="United States"/>
    <s v="WA"/>
    <s v="Valid"/>
    <s v="Simsland"/>
  </r>
  <r>
    <s v="#1339"/>
    <n v="1"/>
    <d v="2026-08-04T13:56:59"/>
    <d v="2026-08-04T13:56:59"/>
    <s v="  Christopher Osborne"/>
    <s v="Email Available"/>
    <s v="christopher.osborne481@yahoo.com"/>
    <x v="3"/>
    <s v="Apparel"/>
    <x v="4"/>
    <n v="1"/>
    <n v="14.99"/>
    <n v="14.99"/>
    <s v=" VIP15 "/>
    <s v="VIP15"/>
    <n v="2.25"/>
    <n v="2.25"/>
    <s v="Number"/>
    <n v="7.99"/>
    <n v="7.99"/>
    <n v="20.73"/>
    <n v="20.73"/>
    <n v="20.73"/>
    <s v="True"/>
    <s v="Normal"/>
    <s v="Google Pay"/>
    <s v="Online Store"/>
    <s v="refunded"/>
    <s v="United States"/>
    <s v="California"/>
    <s v="Valid"/>
    <s v="Michaelbury"/>
  </r>
  <r>
    <s v="#1347"/>
    <n v="1"/>
    <d v="2026-08-04T00:00:00"/>
    <s v="04-08-2026 13:59"/>
    <s v="Kenneth Coleman"/>
    <s v="Email Available"/>
    <s v="kenneth.coleman447@icloud.com"/>
    <x v="3"/>
    <s v="Apparel"/>
    <x v="3"/>
    <n v="1"/>
    <n v="14.99"/>
    <n v="14.99"/>
    <s v="VIP15"/>
    <s v="VIP15"/>
    <n v="2.25"/>
    <n v="2.25"/>
    <s v="Number"/>
    <n v="5.99"/>
    <n v="5.99"/>
    <n v="18.73"/>
    <n v="18.73"/>
    <n v="18.73"/>
    <s v="True"/>
    <s v="Normal"/>
    <s v="Apple Pay"/>
    <s v="Online Store"/>
    <s v="refunded"/>
    <s v="United States"/>
    <s v="New York"/>
    <s v="Valid"/>
    <s v="Mcbrideton"/>
  </r>
  <r>
    <s v="#1350"/>
    <n v="1"/>
    <d v="2026-08-04T14:01:58"/>
    <d v="2026-08-04T14:01:58"/>
    <s v="Chad Smith"/>
    <s v="Email Available"/>
    <s v="chad.smith773@icloud.com"/>
    <x v="3"/>
    <s v="Apparel"/>
    <x v="3"/>
    <n v="2"/>
    <n v="14.99"/>
    <n v="14.99"/>
    <s v="VIP15"/>
    <s v="VIP15"/>
    <n v="4.5"/>
    <n v="4.5"/>
    <s v="Number"/>
    <n v="7.99"/>
    <n v="7.99"/>
    <n v="33.47"/>
    <n v="33.47"/>
    <n v="33.47"/>
    <s v="True"/>
    <s v="Normal"/>
    <s v="PayPal"/>
    <s v="Instagram"/>
    <s v="pending"/>
    <s v="Pakistan"/>
    <m/>
    <s v="Not Required"/>
    <s v="New Sandra"/>
  </r>
  <r>
    <s v="#1362"/>
    <n v="1"/>
    <d v="2026-04-08T00:00:00"/>
    <s v="08/04/2026"/>
    <s v="David Mcknight"/>
    <s v="Email Available"/>
    <s v="david.mcknight827@gmail.com"/>
    <x v="3"/>
    <s v="Apparel"/>
    <x v="3"/>
    <n v="2"/>
    <n v="14.99"/>
    <n v="14.99"/>
    <s v="BFCM25"/>
    <s v="BFCM25"/>
    <n v="7.5"/>
    <n v="7.5"/>
    <s v="Number"/>
    <n v="4.99"/>
    <n v="4.99"/>
    <n v="27.47"/>
    <n v="27.47"/>
    <n v="27.47"/>
    <s v="True"/>
    <s v="Normal"/>
    <s v="Apple Pay"/>
    <s v="Online Store"/>
    <s v="fulfilled"/>
    <s v="United States"/>
    <s v="North Carolina"/>
    <s v="Valid"/>
    <s v="West William"/>
  </r>
  <r>
    <s v="#1378"/>
    <n v="1"/>
    <d v="2026-08-04T14:05:28"/>
    <d v="2026-08-04T14:05:28"/>
    <s v="James Castro"/>
    <s v="Email Available"/>
    <s v="james.castro923@icloud.com"/>
    <x v="3"/>
    <s v="Apparel"/>
    <x v="4"/>
    <n v="2"/>
    <n v="14.99"/>
    <n v="14.99"/>
    <m/>
    <s v=""/>
    <n v="0"/>
    <n v="0"/>
    <s v="Number"/>
    <n v="5.99"/>
    <n v="5.99"/>
    <n v="35.97"/>
    <n v="35.97"/>
    <n v="35.97"/>
    <s v="True"/>
    <s v="Normal"/>
    <s v="Shopify Payments"/>
    <s v="Facebook"/>
    <s v="fulfilled"/>
    <s v="Pakistan"/>
    <m/>
    <s v="Not Required"/>
    <s v="Cynthiaside"/>
  </r>
  <r>
    <s v="#1382"/>
    <n v="1"/>
    <d v="2026-08-04T00:00:00"/>
    <s v="Aug 04, 2026"/>
    <s v="Susan Stark"/>
    <s v="Email Available"/>
    <s v="susan.stark500@yahoo.com"/>
    <x v="3"/>
    <s v="Apparel"/>
    <x v="4"/>
    <n v="1"/>
    <n v="14.99"/>
    <n v="14.99"/>
    <m/>
    <s v=""/>
    <n v="0"/>
    <n v="0"/>
    <s v="Number"/>
    <n v="7.99"/>
    <n v="7.99"/>
    <n v="22.98"/>
    <n v="22.98"/>
    <n v="22.98"/>
    <s v="True"/>
    <s v="Normal"/>
    <s v="Google Pay"/>
    <s v="Online Store"/>
    <s v="pending"/>
    <s v="Australia"/>
    <m/>
    <s v="Not Required"/>
    <s v="Petersonland"/>
  </r>
  <r>
    <s v="#1387"/>
    <n v="1"/>
    <d v="2026-08-04T14:04:16"/>
    <d v="2026-08-04T14:04:16"/>
    <s v="  Thomas Rojas"/>
    <s v="Email Available"/>
    <s v="thomas.rojas667@icloud.com"/>
    <x v="3"/>
    <s v="Apparel"/>
    <x v="4"/>
    <n v="2"/>
    <n v="14.99"/>
    <n v="14.99"/>
    <s v="WELCOME10"/>
    <s v="WELCOME10"/>
    <n v="3"/>
    <n v="3"/>
    <s v="Number"/>
    <n v="5.99"/>
    <n v="5.99"/>
    <n v="32.97"/>
    <n v="32.97"/>
    <n v="32.97"/>
    <s v="True"/>
    <s v="Normal"/>
    <s v="Credit Card"/>
    <s v="POS"/>
    <s v="fulfilled"/>
    <s v="United States"/>
    <s v="Arizona"/>
    <s v="Valid"/>
    <s v="Port Sarahview"/>
  </r>
  <r>
    <s v="#1401"/>
    <n v="1"/>
    <d v="2026-08-04T14:07:15"/>
    <d v="2026-08-04T14:07:15"/>
    <s v="Christopher Osborne"/>
    <s v="Email Available"/>
    <s v="christopher.osborne481@yahoo.com"/>
    <x v="3"/>
    <s v="Apparel"/>
    <x v="3"/>
    <n v="1"/>
    <n v="14.99"/>
    <n v="14.99"/>
    <s v="WELCOME10"/>
    <s v="WELCOME10"/>
    <n v="1.5"/>
    <n v="1.5"/>
    <s v="Number"/>
    <n v="7.99"/>
    <n v="7.99"/>
    <n v="21.48"/>
    <n v="21.48"/>
    <n v="21.48"/>
    <s v="True"/>
    <s v="Normal"/>
    <s v="Apple Pay"/>
    <s v="Facebook"/>
    <s v="fulfilled"/>
    <s v="United States"/>
    <s v="Georgia"/>
    <s v="Valid"/>
    <s v="Harrisonhaven"/>
  </r>
  <r>
    <s v="#1404"/>
    <n v="1"/>
    <d v="2026-08-04T14:07:15"/>
    <d v="2026-08-04T14:07:15"/>
    <s v="Kayla Morris"/>
    <s v="Email Available"/>
    <s v="kayla.morris339@outlook.com"/>
    <x v="3"/>
    <s v="Apparel"/>
    <x v="4"/>
    <n v="1"/>
    <n v="14.99"/>
    <n v="14.99"/>
    <s v="FREESHIP "/>
    <s v="FREESHIP"/>
    <n v="0"/>
    <n v="0"/>
    <s v="Number"/>
    <n v="0"/>
    <n v="0"/>
    <s v="$14.99"/>
    <n v="14.99"/>
    <n v="14.99"/>
    <s v="True"/>
    <s v="Normal"/>
    <s v="Google Pay"/>
    <s v="Online Store"/>
    <s v="fulfilled"/>
    <s v="Canada"/>
    <m/>
    <s v="Not Required"/>
    <s v="Vanessafurt"/>
  </r>
  <r>
    <s v="#1421"/>
    <n v="1"/>
    <d v="2026-08-04T14:06:36"/>
    <d v="2026-08-04T14:06:36"/>
    <s v="Trevor Carter"/>
    <s v="Email Available"/>
    <s v="trevor.carter617@icloud.com"/>
    <x v="3"/>
    <s v="Apparel"/>
    <x v="4"/>
    <n v="1"/>
    <n v="14.99"/>
    <n v="14.99"/>
    <m/>
    <s v=""/>
    <n v="0"/>
    <n v="0"/>
    <s v="Number"/>
    <n v="4.99"/>
    <n v="4.99"/>
    <n v="19.98"/>
    <n v="19.98"/>
    <n v="19.98"/>
    <s v="True"/>
    <s v="Normal"/>
    <s v="PayPal"/>
    <s v="Online Store"/>
    <s v="fulfilled"/>
    <s v="United States"/>
    <s v="Illinois"/>
    <s v="Valid"/>
    <s v="Bowenmouth"/>
  </r>
  <r>
    <s v="#1437"/>
    <n v="1"/>
    <d v="2026-08-04T14:06:51"/>
    <d v="2026-08-04T14:06:51"/>
    <s v="Rebecca Watts"/>
    <s v="Email Available"/>
    <s v="rebecca.watts779@gmail.com"/>
    <x v="3"/>
    <s v="Apparel"/>
    <x v="3"/>
    <n v="1"/>
    <n v="14.99"/>
    <n v="14.99"/>
    <m/>
    <s v=""/>
    <n v="0"/>
    <n v="0"/>
    <s v="Number"/>
    <n v="7.99"/>
    <n v="7.99"/>
    <n v="22.98"/>
    <n v="22.98"/>
    <n v="22.98"/>
    <s v="True"/>
    <s v="Normal"/>
    <s v="Credit Card"/>
    <s v="Facebook"/>
    <s v="refunded"/>
    <s v="United States"/>
    <s v="North Carolina"/>
    <s v="Valid"/>
    <s v="Knighthaven"/>
  </r>
  <r>
    <s v="#1445"/>
    <n v="1"/>
    <d v="2026-08-04T13:57:46"/>
    <d v="2026-08-04T13:57:46"/>
    <s v="William Morales"/>
    <s v="Email Available"/>
    <s v="william.morales943@outlook.com"/>
    <x v="3"/>
    <s v="Apparel"/>
    <x v="3"/>
    <n v="1"/>
    <n v="14.99"/>
    <n v="14.99"/>
    <m/>
    <s v=""/>
    <n v="0"/>
    <n v="0"/>
    <s v="Number"/>
    <n v="5.99"/>
    <n v="5.99"/>
    <n v="20.98"/>
    <n v="20.98"/>
    <n v="20.98"/>
    <s v="True"/>
    <s v="Normal"/>
    <s v="Google Pay"/>
    <s v="POS"/>
    <s v="fulfilled"/>
    <s v="Canada"/>
    <m/>
    <s v="Not Required"/>
    <s v="Vanessaberg"/>
  </r>
  <r>
    <s v="#1451"/>
    <n v="1"/>
    <d v="2026-08-04T14:07:24"/>
    <d v="2026-08-04T14:07:24"/>
    <s v="John Lin"/>
    <s v="Email Available"/>
    <s v="john.lin901@outlook.com"/>
    <x v="3"/>
    <s v="Apparel"/>
    <x v="3"/>
    <n v="1"/>
    <n v="14.99"/>
    <n v="14.99"/>
    <m/>
    <s v=""/>
    <n v="0"/>
    <n v="0"/>
    <s v="Number"/>
    <n v="4.99"/>
    <n v="4.99"/>
    <n v="19.98"/>
    <n v="19.98"/>
    <n v="19.98"/>
    <s v="True"/>
    <s v="Normal"/>
    <s v="Google Pay"/>
    <s v="Facebook"/>
    <s v="fulfilled"/>
    <s v="United States"/>
    <s v="Florida"/>
    <s v="Valid"/>
    <s v="Vincentchester"/>
  </r>
  <r>
    <s v="#1487"/>
    <n v="1"/>
    <d v="2026-08-04T14:02:20"/>
    <d v="2026-08-04T14:02:20"/>
    <s v="Eric Golden"/>
    <s v="Email Available"/>
    <s v="eric.golden379@outlook.com"/>
    <x v="3"/>
    <s v="Apparel"/>
    <x v="4"/>
    <n v="1"/>
    <n v="14.99"/>
    <n v="14.99"/>
    <s v="BFCM25"/>
    <s v="BFCM25"/>
    <n v="3.75"/>
    <n v="3.75"/>
    <s v="Number"/>
    <n v="7.99"/>
    <n v="7.99"/>
    <n v="19.23"/>
    <n v="19.23"/>
    <n v="19.23"/>
    <s v="True"/>
    <s v="Normal"/>
    <s v="Google Pay"/>
    <s v="Online Store"/>
    <s v="pending"/>
    <s v="United States"/>
    <s v="New York"/>
    <s v="Valid"/>
    <s v="South Rachelmouth"/>
  </r>
  <r>
    <s v="#1498"/>
    <n v="1"/>
    <d v="2026-04-08T00:00:00"/>
    <s v="08/04/2026"/>
    <s v="Sarah Mendoza"/>
    <s v="Email Available"/>
    <s v="sarah.mendoza691@outlook.com"/>
    <x v="3"/>
    <s v="Apparel"/>
    <x v="4"/>
    <n v="1"/>
    <n v="14.99"/>
    <n v="14.99"/>
    <s v="SAVE20"/>
    <s v="SAVE20"/>
    <n v="3"/>
    <n v="3"/>
    <s v="Number"/>
    <n v="4.99"/>
    <n v="4.99"/>
    <n v="16.98"/>
    <n v="16.98"/>
    <n v="16.98"/>
    <s v="True"/>
    <s v="Normal"/>
    <s v="PayPal"/>
    <s v="Online Store"/>
    <s v="fulfilled"/>
    <s v="United States"/>
    <s v="North Carolina"/>
    <s v="Valid"/>
    <s v="Vincentview"/>
  </r>
  <r>
    <s v="#1502"/>
    <n v="1"/>
    <d v="2026-08-04T13:56:13"/>
    <d v="2026-08-04T13:56:13"/>
    <s v="Davis, Heather"/>
    <s v="Email Available"/>
    <s v="heather.davis117@icloud.com"/>
    <x v="3"/>
    <s v="Apparel"/>
    <x v="3"/>
    <n v="3"/>
    <n v="14.99"/>
    <n v="14.99"/>
    <m/>
    <s v=""/>
    <n v="0"/>
    <n v="0"/>
    <s v="Number"/>
    <n v="4.99"/>
    <n v="4.99"/>
    <n v="49.96"/>
    <n v="49.96"/>
    <n v="49.96"/>
    <s v="True"/>
    <s v="Normal"/>
    <s v="Credit Card"/>
    <s v="Instagram"/>
    <s v="fulfilled"/>
    <s v="Germany"/>
    <m/>
    <s v="Not Required"/>
    <s v="Starkhaven"/>
  </r>
  <r>
    <s v="#1529"/>
    <n v="1"/>
    <d v="2026-08-04T13:55:04"/>
    <d v="2026-08-04T13:55:04"/>
    <s v="William Houston"/>
    <s v="Email Available"/>
    <s v="william.houston340@outlook.com"/>
    <x v="3"/>
    <s v="Apparel"/>
    <x v="4"/>
    <n v="2"/>
    <n v="14.99"/>
    <n v="14.99"/>
    <s v="BFCM25"/>
    <s v="BFCM25"/>
    <n v="7.5"/>
    <n v="7.5"/>
    <s v="Number"/>
    <n v="4.99"/>
    <n v="4.99"/>
    <n v="27.47"/>
    <n v="27.47"/>
    <n v="27.47"/>
    <s v="True"/>
    <s v="Normal"/>
    <s v="Credit Card"/>
    <s v="Instagram"/>
    <s v="fulfilled"/>
    <s v="United States"/>
    <s v="Arizona"/>
    <s v="Valid"/>
    <s v="Glovermouth"/>
  </r>
  <r>
    <s v="#1547"/>
    <n v="1"/>
    <d v="2026-04-08T00:00:00"/>
    <s v="08/04/2026"/>
    <s v="Nicholas Parker"/>
    <s v="Email Available"/>
    <s v="nicholas.parker656@yahoo.com"/>
    <x v="3"/>
    <s v="Apparel"/>
    <x v="3"/>
    <n v="1"/>
    <n v="14.99"/>
    <n v="14.99"/>
    <m/>
    <s v=""/>
    <n v="0"/>
    <n v="0"/>
    <s v="Number"/>
    <n v="5.99"/>
    <n v="5.99"/>
    <n v="20.98"/>
    <n v="20.98"/>
    <n v="20.98"/>
    <s v="True"/>
    <s v="Normal"/>
    <s v="Apple Pay"/>
    <s v="POS"/>
    <s v="fulfilled"/>
    <s v="United States"/>
    <s v="New York"/>
    <s v="Valid"/>
    <s v="East Carla"/>
  </r>
  <r>
    <s v="#1559"/>
    <n v="1"/>
    <d v="2026-08-04T14:07:42"/>
    <d v="2026-08-04T14:07:42"/>
    <s v="Samuel Padilla"/>
    <s v="Email Available"/>
    <s v="samuel.padilla79@gmail.com"/>
    <x v="3"/>
    <s v="Apparel"/>
    <x v="3"/>
    <n v="1"/>
    <n v="14.99"/>
    <n v="14.99"/>
    <s v="SAVE20"/>
    <s v="SAVE20"/>
    <n v="3"/>
    <n v="3"/>
    <s v="Number"/>
    <n v="7.99"/>
    <n v="7.99"/>
    <n v="19.98"/>
    <n v="19.98"/>
    <n v="19.98"/>
    <s v="True"/>
    <s v="Normal"/>
    <s v="Credit Card"/>
    <s v="Online Store"/>
    <s v="fulfilled"/>
    <s v="United States"/>
    <s v="Washington"/>
    <s v="Valid"/>
    <s v="Port Eileen"/>
  </r>
  <r>
    <s v="#1560"/>
    <n v="1"/>
    <d v="2026-08-04T00:00:00"/>
    <s v="04-08-2026 13:55"/>
    <s v="Mary Garcia"/>
    <s v="Email Available"/>
    <s v="mary.garcia899@icloud.com"/>
    <x v="3"/>
    <s v="Apparel"/>
    <x v="4"/>
    <n v="1"/>
    <n v="14.99"/>
    <n v="14.99"/>
    <s v="SAVE20"/>
    <s v="SAVE20"/>
    <n v="3"/>
    <n v="3"/>
    <s v="Number"/>
    <n v="7.99"/>
    <n v="7.99"/>
    <n v="19.98"/>
    <n v="19.98"/>
    <n v="19.98"/>
    <s v="True"/>
    <s v="Normal"/>
    <s v="PayPal"/>
    <s v="Online Store"/>
    <s v="fulfilled"/>
    <s v="Canada"/>
    <m/>
    <s v="Not Required"/>
    <s v="South Jeremiah"/>
  </r>
  <r>
    <s v="#1563"/>
    <n v="1"/>
    <d v="2026-08-04T14:07:53"/>
    <d v="2026-08-04T14:07:53"/>
    <s v="Patricia Townsend"/>
    <s v="Email Available"/>
    <s v="patricia.townsend96@yahoo.com"/>
    <x v="3"/>
    <s v="Apparel"/>
    <x v="3"/>
    <n v="2"/>
    <n v="14.99"/>
    <n v="14.99"/>
    <s v="FREESHIP"/>
    <s v="FREESHIP"/>
    <n v="0"/>
    <n v="0"/>
    <s v="Number"/>
    <n v="0"/>
    <n v="0"/>
    <n v="29.98"/>
    <n v="29.98"/>
    <n v="29.98"/>
    <s v="True"/>
    <s v="Normal"/>
    <s v="Google Pay"/>
    <s v="Facebook"/>
    <s v="pending"/>
    <s v="United States"/>
    <s v="Florida"/>
    <s v="Valid"/>
    <s v="Reedmouth"/>
  </r>
  <r>
    <s v="#1571"/>
    <n v="1"/>
    <d v="2026-08-04T14:04:48"/>
    <d v="2026-08-04T14:04:48"/>
    <s v="Shelly Griffith"/>
    <s v="Email Available"/>
    <s v="shelly.griffith342@icloud.com"/>
    <x v="3"/>
    <s v="Apparel"/>
    <x v="3"/>
    <n v="1"/>
    <s v="$14.99"/>
    <n v="14.99"/>
    <s v="WELCOME10 "/>
    <s v="WELCOME10"/>
    <n v="1.5"/>
    <n v="1.5"/>
    <s v="Number"/>
    <n v="7.99"/>
    <n v="7.99"/>
    <n v="21.48"/>
    <n v="21.48"/>
    <n v="21.48"/>
    <s v="True"/>
    <s v="Normal"/>
    <s v="Shopify Payments"/>
    <s v="Instagram"/>
    <s v="cancelled"/>
    <s v="Australia"/>
    <m/>
    <s v="Not Required"/>
    <s v="West Stephanie"/>
  </r>
  <r>
    <s v="#1592"/>
    <n v="1"/>
    <d v="2026-08-04T13:56:36"/>
    <d v="2026-08-04T13:56:36"/>
    <s v="Lisa Zuniga"/>
    <s v="Email Available"/>
    <s v="lisa.zuniga825@outlook.com"/>
    <x v="3"/>
    <s v="Apparel"/>
    <x v="3"/>
    <n v="2"/>
    <n v="14.99"/>
    <n v="14.99"/>
    <m/>
    <s v=""/>
    <n v="0"/>
    <n v="0"/>
    <s v="Number"/>
    <n v="7.99"/>
    <n v="7.99"/>
    <n v="37.97"/>
    <n v="37.97"/>
    <n v="37.97"/>
    <s v="True"/>
    <s v="Normal"/>
    <s v="Shopify Payments"/>
    <s v="Online Store"/>
    <s v="refunded"/>
    <s v="Germany"/>
    <m/>
    <s v="Not Required"/>
    <s v="Tyronemouth"/>
  </r>
  <r>
    <s v="#1600"/>
    <n v="1"/>
    <d v="2026-08-04T13:54:51"/>
    <d v="2026-08-04T13:54:51"/>
    <s v="Jesus Mason"/>
    <s v="Email Available"/>
    <s v="jesus.mason798@icloud.com"/>
    <x v="3"/>
    <s v="Apparel"/>
    <x v="3"/>
    <n v="4"/>
    <n v="14.99"/>
    <n v="14.99"/>
    <m/>
    <s v=""/>
    <n v="0"/>
    <n v="0"/>
    <s v="Number"/>
    <n v="7.99"/>
    <n v="7.99"/>
    <n v="67.95"/>
    <n v="67.95"/>
    <n v="67.95"/>
    <s v="True"/>
    <s v="Normal"/>
    <s v="Shopify Payments"/>
    <s v="POS"/>
    <s v="refunded"/>
    <s v="United States"/>
    <s v="California"/>
    <s v="Valid"/>
    <s v="Sarahmouth"/>
  </r>
  <r>
    <s v="#1608"/>
    <n v="1"/>
    <d v="2026-08-04T14:04:14"/>
    <d v="2026-08-04T14:04:14"/>
    <s v="Sara Hernandez"/>
    <s v="Email Available"/>
    <s v="sara.hernandez651@icloud.com"/>
    <x v="3"/>
    <s v="Apparel"/>
    <x v="3"/>
    <n v="1"/>
    <n v="14.99"/>
    <n v="14.99"/>
    <s v="FREESHIP"/>
    <s v="FREESHIP"/>
    <n v="0"/>
    <n v="0"/>
    <s v="Number"/>
    <n v="0"/>
    <n v="0"/>
    <n v="14.99"/>
    <n v="14.99"/>
    <n v="14.99"/>
    <s v="True"/>
    <s v="Normal"/>
    <s v="Shopify Payments"/>
    <s v="Online Store"/>
    <s v="cancelled"/>
    <s v="United States"/>
    <s v="New York"/>
    <s v="Valid"/>
    <s v="Port Valerie"/>
  </r>
  <r>
    <s v="#1611"/>
    <n v="1"/>
    <d v="2026-08-04T13:58:20"/>
    <d v="2026-08-04T13:58:20"/>
    <s v="Michael Hays"/>
    <s v="Email Available"/>
    <s v="michael.hays590@gmail.com"/>
    <x v="3"/>
    <s v="Apparel"/>
    <x v="3"/>
    <n v="1"/>
    <n v="14.99"/>
    <n v="14.99"/>
    <s v="VIP15"/>
    <s v="VIP15"/>
    <n v="2.25"/>
    <n v="2.25"/>
    <s v="Number"/>
    <n v="4.99"/>
    <n v="4.99"/>
    <n v="17.73"/>
    <n v="17.73"/>
    <n v="17.73"/>
    <s v="True"/>
    <s v="Normal"/>
    <s v="Credit Card"/>
    <s v="Online Store"/>
    <s v="pending"/>
    <s v="United States"/>
    <s v="Texas"/>
    <s v="Valid"/>
    <s v="Leblanchaven"/>
  </r>
  <r>
    <s v="#1614"/>
    <n v="1"/>
    <d v="2026-08-04T13:54:12"/>
    <d v="2026-08-04T13:54:12"/>
    <s v="Daniel Hill"/>
    <s v="Missing Email"/>
    <m/>
    <x v="3"/>
    <s v="Apparel"/>
    <x v="3"/>
    <n v="1"/>
    <n v="14.99"/>
    <n v="14.99"/>
    <s v="WELCOME10"/>
    <s v="WELCOME10"/>
    <n v="1.5"/>
    <n v="1.5"/>
    <s v="Number"/>
    <n v="4.99"/>
    <n v="4.99"/>
    <s v="$18.48"/>
    <n v="18.48"/>
    <n v="18.48"/>
    <s v="True"/>
    <s v="Normal"/>
    <s v="Apple Pay"/>
    <s v="Online Store"/>
    <s v="pending"/>
    <s v="Australia"/>
    <m/>
    <s v="Not Required"/>
    <s v="Calvinshire"/>
  </r>
  <r>
    <s v="#1640"/>
    <n v="1"/>
    <d v="2026-08-04T14:02:22"/>
    <d v="2026-08-04T14:02:22"/>
    <s v="Joe Taylor"/>
    <s v="Email Available"/>
    <s v="joe.taylor714@yahoo.com"/>
    <x v="3"/>
    <s v="Apparel"/>
    <x v="3"/>
    <n v="2"/>
    <n v="14.99"/>
    <n v="14.99"/>
    <s v="FREESHIP"/>
    <s v="FREESHIP"/>
    <n v="0"/>
    <n v="0"/>
    <s v="Number"/>
    <n v="0"/>
    <n v="0"/>
    <n v="29.98"/>
    <n v="29.98"/>
    <n v="29.98"/>
    <s v="True"/>
    <s v="Normal"/>
    <s v="Google Pay"/>
    <s v="Online Store"/>
    <s v="fulfilled"/>
    <s v="Germany"/>
    <m/>
    <s v="Not Required"/>
    <s v="West Juliefort"/>
  </r>
  <r>
    <s v="#1653"/>
    <n v="1"/>
    <d v="2026-08-04T00:00:00"/>
    <s v="04-08-2026 13:53"/>
    <s v="Melinda Williams"/>
    <s v="Missing Email"/>
    <m/>
    <x v="3"/>
    <s v="Apparel"/>
    <x v="3"/>
    <n v="1"/>
    <n v="14.99"/>
    <n v="14.99"/>
    <m/>
    <s v=""/>
    <n v="0"/>
    <n v="0"/>
    <s v="Number"/>
    <n v="4.99"/>
    <n v="4.99"/>
    <n v="19.98"/>
    <n v="19.98"/>
    <n v="19.98"/>
    <s v="True"/>
    <s v="Normal"/>
    <s v="Credit Card"/>
    <s v="Online Store"/>
    <s v="fulfilled"/>
    <s v="United States"/>
    <s v="Ohio"/>
    <s v="Valid"/>
    <s v="South Tinastad"/>
  </r>
  <r>
    <s v="#1659"/>
    <n v="1"/>
    <d v="2026-04-08T00:00:00"/>
    <s v="08/04/2026"/>
    <s v="Lindsay Shaw"/>
    <s v="Email Available"/>
    <s v="lindsay.shaw178@icloud.com"/>
    <x v="3"/>
    <s v="Apparel"/>
    <x v="4"/>
    <n v="1"/>
    <n v="14.99"/>
    <n v="14.99"/>
    <m/>
    <s v=""/>
    <n v="0"/>
    <n v="0"/>
    <s v="Number"/>
    <n v="7.99"/>
    <n v="7.99"/>
    <n v="22.98"/>
    <n v="22.98"/>
    <n v="22.98"/>
    <s v="True"/>
    <s v="Normal"/>
    <s v="Shopify Payments"/>
    <s v="Instagram"/>
    <s v="fulfilled"/>
    <s v="United Kingdom"/>
    <m/>
    <s v="Not Required"/>
    <s v="Carrollchester"/>
  </r>
  <r>
    <s v="#1673"/>
    <n v="1"/>
    <d v="2026-08-04T14:02:53"/>
    <d v="2026-08-04T14:02:53"/>
    <s v="Thomas Rivera"/>
    <s v="Email Available"/>
    <s v="thomas.rivera720@yahoo.com"/>
    <x v="3"/>
    <s v="Apparel"/>
    <x v="3"/>
    <n v="1"/>
    <n v="14.99"/>
    <n v="14.99"/>
    <m/>
    <s v=""/>
    <n v="0"/>
    <n v="0"/>
    <s v="Number"/>
    <n v="5.99"/>
    <n v="5.99"/>
    <n v="20.98"/>
    <n v="20.98"/>
    <n v="20.98"/>
    <s v="True"/>
    <s v="Normal"/>
    <s v="Apple Pay"/>
    <s v="POS"/>
    <s v="refunded"/>
    <s v="United States"/>
    <s v="Florida"/>
    <s v="Valid"/>
    <s v="Matthewmouth"/>
  </r>
  <r>
    <s v="#1675"/>
    <n v="1"/>
    <d v="2026-08-04T00:00:00"/>
    <s v="Aug 04, 2026"/>
    <s v="David Torres"/>
    <s v="Email Available"/>
    <s v="david.torres833@outlook.com"/>
    <x v="3"/>
    <s v="Apparel"/>
    <x v="3"/>
    <n v="1"/>
    <n v="14.99"/>
    <n v="14.99"/>
    <s v="VIP15"/>
    <s v="VIP15"/>
    <n v="2.25"/>
    <n v="2.25"/>
    <s v="Number"/>
    <n v="5.99"/>
    <n v="5.99"/>
    <n v="18.73"/>
    <n v="18.73"/>
    <n v="18.73"/>
    <s v="True"/>
    <s v="Normal"/>
    <s v="Apple Pay"/>
    <s v="Facebook"/>
    <s v="fulfilled"/>
    <s v="United States"/>
    <s v="Washington"/>
    <s v="Valid"/>
    <s v="Foxburgh"/>
  </r>
  <r>
    <s v="#1680"/>
    <n v="1"/>
    <d v="2026-08-04T14:05:50"/>
    <d v="2026-08-04T14:05:50"/>
    <s v="Jon Lambert"/>
    <s v="Email Available"/>
    <s v="jon.lambert231@icloud.com"/>
    <x v="3"/>
    <s v="Apparel"/>
    <x v="3"/>
    <n v="1"/>
    <n v="14.99"/>
    <n v="14.99"/>
    <m/>
    <s v=""/>
    <n v="0"/>
    <n v="0"/>
    <s v="Number"/>
    <n v="5.99"/>
    <n v="5.99"/>
    <n v="20.98"/>
    <n v="20.98"/>
    <n v="20.98"/>
    <s v="True"/>
    <s v="Normal"/>
    <s v="Credit Card"/>
    <s v="Online Store"/>
    <s v="fulfilled"/>
    <s v="United States"/>
    <s v="California"/>
    <s v="Valid"/>
    <s v="New Christian"/>
  </r>
  <r>
    <s v="#1684"/>
    <n v="1"/>
    <d v="2026-08-04T14:00:18"/>
    <d v="2026-08-04T14:00:18"/>
    <s v="Jon Lambert"/>
    <s v="Email Available"/>
    <s v="jon.lambert231@icloud.com"/>
    <x v="3"/>
    <s v="Apparel"/>
    <x v="4"/>
    <n v="1"/>
    <n v="14.99"/>
    <n v="14.99"/>
    <m/>
    <s v=""/>
    <n v="0"/>
    <n v="0"/>
    <s v="Number"/>
    <n v="4.99"/>
    <n v="4.99"/>
    <n v="19.98"/>
    <n v="19.98"/>
    <n v="19.98"/>
    <s v="True"/>
    <s v="Normal"/>
    <s v="Apple Pay"/>
    <s v="Online Store"/>
    <s v="refunded"/>
    <s v="United States"/>
    <s v="Arizona"/>
    <s v="Valid"/>
    <s v="Kevinbury"/>
  </r>
  <r>
    <s v="#1685"/>
    <n v="1"/>
    <d v="2026-08-04T13:55:08"/>
    <d v="2026-08-04T13:55:08"/>
    <s v="Brian Ruiz"/>
    <s v="Email Available"/>
    <s v="brian.ruiz246@gmail.com"/>
    <x v="3"/>
    <s v="Apparel"/>
    <x v="3"/>
    <n v="1"/>
    <n v="14.99"/>
    <n v="14.99"/>
    <s v="WELCOME10"/>
    <s v="WELCOME10"/>
    <n v="1.5"/>
    <n v="1.5"/>
    <s v="Number"/>
    <n v="4.99"/>
    <n v="4.99"/>
    <n v="18.48"/>
    <n v="18.48"/>
    <n v="18.48"/>
    <s v="True"/>
    <s v="Normal"/>
    <s v="Google Pay"/>
    <s v="Online Store"/>
    <s v="fulfilled"/>
    <s v="Germany"/>
    <m/>
    <s v="Not Required"/>
    <s v="East Drewmouth"/>
  </r>
  <r>
    <s v="#1694"/>
    <n v="1"/>
    <d v="2026-08-04T13:58:00"/>
    <d v="2026-08-04T13:58:00"/>
    <s v="Taylor Lee"/>
    <s v="Email Available"/>
    <s v="taylor.lee613@gmail.com"/>
    <x v="3"/>
    <s v="Apparel"/>
    <x v="4"/>
    <n v="1"/>
    <n v="14.99"/>
    <n v="14.99"/>
    <s v="SAVE20"/>
    <s v="SAVE20"/>
    <n v="3"/>
    <n v="3"/>
    <s v="Number"/>
    <n v="4.99"/>
    <n v="4.99"/>
    <n v="16.98"/>
    <n v="16.98"/>
    <n v="16.98"/>
    <s v="True"/>
    <s v="Normal"/>
    <s v="Credit Card"/>
    <s v="POS"/>
    <s v="refunded"/>
    <s v="United Kingdom"/>
    <m/>
    <s v="Not Required"/>
    <s v="South Henrystad"/>
  </r>
  <r>
    <s v="#1710"/>
    <n v="1"/>
    <d v="2026-08-04T14:02:20"/>
    <d v="2026-08-04T14:02:20"/>
    <s v="Samuel Lee"/>
    <s v="Email Available"/>
    <s v="samuel.lee63@icloud.com"/>
    <x v="3"/>
    <s v="Apparel"/>
    <x v="4"/>
    <n v="1"/>
    <s v="$14.99"/>
    <n v="14.99"/>
    <s v="VIP15"/>
    <s v="VIP15"/>
    <s v="$2.25"/>
    <n v="2.25"/>
    <s v="Number"/>
    <n v="5.99"/>
    <n v="5.99"/>
    <n v="18.73"/>
    <n v="18.73"/>
    <n v="18.73"/>
    <s v="True"/>
    <s v="Normal"/>
    <s v="Shopify Payments"/>
    <s v="Instagram"/>
    <s v="cancelled"/>
    <s v="Australia"/>
    <m/>
    <s v="Not Required"/>
    <s v="Campbellborough"/>
  </r>
  <r>
    <s v="#1723"/>
    <n v="1"/>
    <d v="2026-08-04T13:57:24"/>
    <d v="2026-08-04T13:57:24"/>
    <s v="Amanda Rodriguez"/>
    <s v="Email Available"/>
    <s v="amanda.rodriguez770@yahoo.com"/>
    <x v="3"/>
    <s v="Apparel"/>
    <x v="3"/>
    <n v="1"/>
    <n v="14.99"/>
    <n v="14.99"/>
    <s v="BFCM25"/>
    <s v="BFCM25"/>
    <n v="3.75"/>
    <n v="3.75"/>
    <s v="Number"/>
    <n v="7.99"/>
    <n v="7.99"/>
    <n v="19.23"/>
    <n v="19.23"/>
    <n v="19.23"/>
    <s v="True"/>
    <s v="Normal"/>
    <s v="Shopify Payments"/>
    <s v="Online Store"/>
    <s v="fulfilled"/>
    <s v="United States"/>
    <s v="California"/>
    <s v="Valid"/>
    <s v="Cervantesmouth"/>
  </r>
  <r>
    <s v="#1726"/>
    <n v="1"/>
    <d v="2026-08-04T14:03:08"/>
    <d v="2026-08-04T14:03:08"/>
    <s v="Ann Byrd"/>
    <s v="Email Available"/>
    <s v="ann.byrd498@icloud.com"/>
    <x v="3"/>
    <s v="Apparel"/>
    <x v="4"/>
    <n v="1"/>
    <n v="14.99"/>
    <n v="14.99"/>
    <m/>
    <s v=""/>
    <n v="0"/>
    <n v="0"/>
    <s v="Number"/>
    <n v="5.99"/>
    <n v="5.99"/>
    <s v="$20.98"/>
    <n v="20.98"/>
    <n v="20.98"/>
    <s v="True"/>
    <s v="Normal"/>
    <s v="PayPal"/>
    <s v="Facebook"/>
    <s v="fulfilled"/>
    <s v="Australia"/>
    <m/>
    <s v="Not Required"/>
    <s v="Johnhaven"/>
  </r>
  <r>
    <s v="#1761"/>
    <n v="1"/>
    <d v="2026-08-04T14:07:16"/>
    <d v="2026-08-04T14:07:16"/>
    <s v="James Miller"/>
    <s v="Email Available"/>
    <s v="james.miller866@yahoo.com"/>
    <x v="3"/>
    <s v="Apparel"/>
    <x v="4"/>
    <n v="1"/>
    <n v="14.99"/>
    <n v="14.99"/>
    <m/>
    <s v=""/>
    <n v="0"/>
    <n v="0"/>
    <s v="Number"/>
    <n v="5.99"/>
    <n v="5.99"/>
    <n v="20.98"/>
    <n v="20.98"/>
    <n v="20.98"/>
    <s v="True"/>
    <s v="Normal"/>
    <s v="Credit Card"/>
    <s v="Online Store"/>
    <s v="fulfilled"/>
    <s v="Pakistan"/>
    <m/>
    <s v="Not Required"/>
    <s v="Amandafurt"/>
  </r>
  <r>
    <s v="#1780"/>
    <n v="1"/>
    <d v="2026-08-04T14:02:08"/>
    <d v="2026-08-04T14:02:08"/>
    <s v="Joseph Martin"/>
    <s v="Email Available"/>
    <s v="joseph.martin348@icloud.com"/>
    <x v="3"/>
    <s v="Apparel"/>
    <x v="4"/>
    <n v="2"/>
    <n v="14.99"/>
    <n v="14.99"/>
    <m/>
    <s v=""/>
    <n v="0"/>
    <n v="0"/>
    <s v="Number"/>
    <n v="5.99"/>
    <n v="5.99"/>
    <n v="35.97"/>
    <n v="35.97"/>
    <n v="35.97"/>
    <s v="True"/>
    <s v="Normal"/>
    <s v="Apple Pay"/>
    <s v="Instagram"/>
    <s v="cancelled"/>
    <s v="United States"/>
    <s v="Washington"/>
    <s v="Valid"/>
    <s v="West Debra"/>
  </r>
  <r>
    <s v="#1788"/>
    <n v="1"/>
    <d v="2026-08-04T14:06:34"/>
    <d v="2026-08-04T14:06:34"/>
    <s v="Angela Carr"/>
    <s v="Email Available"/>
    <s v="angela.carr488@yahoo.com"/>
    <x v="3"/>
    <s v="Apparel"/>
    <x v="3"/>
    <n v="1"/>
    <n v="14.99"/>
    <n v="14.99"/>
    <m/>
    <s v=""/>
    <n v="0"/>
    <n v="0"/>
    <s v="Number"/>
    <n v="4.99"/>
    <n v="4.99"/>
    <n v="19.98"/>
    <n v="19.98"/>
    <n v="19.98"/>
    <s v="True"/>
    <s v="Normal"/>
    <s v="Credit Card"/>
    <s v="Instagram"/>
    <s v="cancelled"/>
    <s v="United States"/>
    <s v="California"/>
    <s v="Valid"/>
    <s v="North Benjamin"/>
  </r>
  <r>
    <s v="#1793"/>
    <n v="1"/>
    <d v="2026-08-04T00:00:00"/>
    <s v="2026-08-04"/>
    <s v="Melissa Thompson"/>
    <s v="Email Available"/>
    <s v="melissa.thompson241@yahoo.com"/>
    <x v="3"/>
    <s v="Apparel"/>
    <x v="4"/>
    <n v="2"/>
    <s v="$14.99"/>
    <n v="14.99"/>
    <m/>
    <s v=""/>
    <n v="0"/>
    <n v="0"/>
    <s v="Number"/>
    <n v="5.99"/>
    <n v="5.99"/>
    <n v="35.97"/>
    <n v="35.97"/>
    <n v="35.97"/>
    <s v="True"/>
    <s v="Normal"/>
    <s v="Google Pay"/>
    <s v="Instagram"/>
    <s v="fulfilled"/>
    <s v="United States"/>
    <s v="Florida"/>
    <s v="Valid"/>
    <s v="Pattonville"/>
  </r>
  <r>
    <s v="#1800"/>
    <n v="1"/>
    <d v="2026-08-04T13:55:48"/>
    <d v="2026-08-04T13:55:48"/>
    <s v="Kaitlyn Hernandez"/>
    <s v="Email Available"/>
    <s v="kaitlyn.hernandez713@gmail.com"/>
    <x v="3"/>
    <s v="Apparel"/>
    <x v="3"/>
    <n v="1"/>
    <n v="14.99"/>
    <n v="14.99"/>
    <m/>
    <s v=""/>
    <n v="0"/>
    <n v="0"/>
    <s v="Number"/>
    <n v="5.99"/>
    <n v="5.99"/>
    <n v="20.98"/>
    <n v="20.98"/>
    <n v="20.98"/>
    <s v="True"/>
    <s v="Normal"/>
    <s v="Shopify Payments"/>
    <s v="Instagram"/>
    <s v="pending"/>
    <s v="Germany"/>
    <m/>
    <s v="Not Required"/>
    <s v="West Christine"/>
  </r>
  <r>
    <s v="#1811"/>
    <n v="1"/>
    <d v="2026-08-04T14:00:30"/>
    <d v="2026-08-04T14:00:30"/>
    <s v="Erika Maxwell"/>
    <s v="Email Available"/>
    <s v="erika.maxwell281@gmail.com"/>
    <x v="3"/>
    <s v="Apparel"/>
    <x v="3"/>
    <n v="2"/>
    <n v="14.99"/>
    <n v="14.99"/>
    <s v="FREESHIP"/>
    <s v="FREESHIP"/>
    <n v="0"/>
    <n v="0"/>
    <s v="Number"/>
    <n v="0"/>
    <n v="0"/>
    <n v="29.98"/>
    <n v="29.98"/>
    <n v="29.98"/>
    <s v="True"/>
    <s v="Normal"/>
    <s v="Shopify Payments"/>
    <s v="Online Store"/>
    <s v="cancelled"/>
    <s v="United States"/>
    <s v="North Carolina"/>
    <s v="Valid"/>
    <s v="East Jeffrey"/>
  </r>
  <r>
    <s v="#1815"/>
    <n v="1"/>
    <d v="2026-08-04T13:53:34"/>
    <d v="2026-08-04T13:53:34"/>
    <s v="Rose Campos"/>
    <s v="Email Available"/>
    <s v="rose.campos542@gmail.com"/>
    <x v="3"/>
    <s v="Apparel"/>
    <x v="4"/>
    <n v="2"/>
    <n v="14.99"/>
    <n v="14.99"/>
    <s v="WELCOME10"/>
    <s v="WELCOME10"/>
    <n v="3"/>
    <n v="3"/>
    <s v="Number"/>
    <n v="5.99"/>
    <n v="5.99"/>
    <n v="32.97"/>
    <n v="32.97"/>
    <n v="32.97"/>
    <s v="True"/>
    <s v="Normal"/>
    <s v="Google Pay"/>
    <s v="Online Store"/>
    <s v="cancelled"/>
    <s v="Canada"/>
    <m/>
    <s v="Not Required"/>
    <s v="Smithfort"/>
  </r>
  <r>
    <s v="#1827"/>
    <n v="1"/>
    <d v="2026-08-04T14:02:58"/>
    <d v="2026-08-04T14:02:58"/>
    <s v="Kelly Ramos"/>
    <s v="Email Available"/>
    <s v="kelly.ramos77@gmail.com"/>
    <x v="3"/>
    <s v="Apparel"/>
    <x v="3"/>
    <n v="1"/>
    <n v="14.99"/>
    <n v="14.99"/>
    <s v="BFCM25"/>
    <s v="BFCM25"/>
    <n v="3.75"/>
    <n v="3.75"/>
    <s v="Number"/>
    <n v="7.99"/>
    <n v="7.99"/>
    <s v="$19.23"/>
    <n v="19.23"/>
    <n v="19.23"/>
    <s v="True"/>
    <s v="Normal"/>
    <s v="Credit Card"/>
    <s v="Online Store"/>
    <s v="refunded"/>
    <s v="Canada"/>
    <m/>
    <s v="Not Required"/>
    <s v="North Evan"/>
  </r>
  <r>
    <s v="#1828"/>
    <n v="1"/>
    <d v="2026-08-04T00:00:00"/>
    <s v="04-08-2026 14:04"/>
    <s v="Megan Dickson"/>
    <s v="Email Available"/>
    <s v="megan.dickson508@gmail.com"/>
    <x v="3"/>
    <s v="Apparel"/>
    <x v="4"/>
    <n v="1"/>
    <n v="14.99"/>
    <n v="14.99"/>
    <m/>
    <s v=""/>
    <n v="0"/>
    <n v="0"/>
    <s v="Number"/>
    <n v="5.99"/>
    <n v="5.99"/>
    <n v="20.98"/>
    <n v="20.98"/>
    <n v="20.98"/>
    <s v="True"/>
    <s v="Normal"/>
    <s v="PayPal"/>
    <s v="POS"/>
    <s v="fulfilled"/>
    <s v="United Kingdom"/>
    <m/>
    <s v="Not Required"/>
    <s v="East Michael"/>
  </r>
  <r>
    <s v="#1842"/>
    <n v="1"/>
    <d v="2026-08-04T13:58:56"/>
    <d v="2026-08-04T13:58:56"/>
    <s v="Richard Ward"/>
    <s v="Email Available"/>
    <s v="richard.ward894@icloud.com"/>
    <x v="3"/>
    <s v="Apparel"/>
    <x v="3"/>
    <n v="2"/>
    <n v="14.99"/>
    <n v="14.99"/>
    <m/>
    <s v=""/>
    <n v="0"/>
    <n v="0"/>
    <s v="Number"/>
    <n v="7.99"/>
    <n v="7.99"/>
    <n v="37.97"/>
    <n v="37.97"/>
    <n v="37.97"/>
    <s v="True"/>
    <s v="Normal"/>
    <s v="Apple Pay"/>
    <s v="Facebook"/>
    <s v="refunded"/>
    <s v="Pakistan"/>
    <m/>
    <s v="Not Required"/>
    <s v="East Nicolefort"/>
  </r>
  <r>
    <s v="#1874"/>
    <n v="1"/>
    <d v="2026-08-04T14:02:59"/>
    <d v="2026-08-04T14:02:59"/>
    <s v="Nguyen, Lauren"/>
    <s v="Email Available"/>
    <s v="lauren.nguyen819@outlook.com"/>
    <x v="3"/>
    <s v="Apparel"/>
    <x v="4"/>
    <n v="2"/>
    <n v="14.99"/>
    <n v="14.99"/>
    <m/>
    <s v=""/>
    <n v="0"/>
    <n v="0"/>
    <s v="Number"/>
    <n v="5.99"/>
    <n v="5.99"/>
    <s v="$35.97"/>
    <n v="35.97"/>
    <n v="35.97"/>
    <s v="True"/>
    <s v="Normal"/>
    <s v="Apple Pay"/>
    <s v="POS"/>
    <s v="fulfilled"/>
    <s v="United Kingdom"/>
    <m/>
    <s v="Not Required"/>
    <s v="East Adamview"/>
  </r>
  <r>
    <s v="#1884"/>
    <n v="1"/>
    <d v="2026-08-04T13:56:49"/>
    <d v="2026-08-04T13:56:49"/>
    <s v="Krueger, Anthony"/>
    <s v="Email Available"/>
    <s v="anthony.krueger812@yahoo.com"/>
    <x v="3"/>
    <s v="Apparel"/>
    <x v="3"/>
    <n v="1"/>
    <n v="14.99"/>
    <n v="14.99"/>
    <m/>
    <s v=""/>
    <n v="0"/>
    <n v="0"/>
    <s v="Number"/>
    <n v="7.99"/>
    <n v="7.99"/>
    <n v="22.98"/>
    <n v="22.98"/>
    <n v="22.98"/>
    <s v="True"/>
    <s v="Normal"/>
    <s v="Google Pay"/>
    <s v="Instagram"/>
    <s v="fulfilled"/>
    <s v="Pakistan"/>
    <m/>
    <s v="Not Required"/>
    <s v="Tiffanyview"/>
  </r>
  <r>
    <s v="#1895"/>
    <n v="1"/>
    <d v="2026-08-04T14:06:22"/>
    <d v="2026-08-04T14:06:22"/>
    <s v="Tanya Brown"/>
    <s v="Email Available"/>
    <s v="tanya.brown516@outlook.com"/>
    <x v="3"/>
    <s v="Apparel"/>
    <x v="3"/>
    <n v="1"/>
    <n v="14.99"/>
    <n v="14.99"/>
    <s v="FREESHIP"/>
    <s v="FREESHIP"/>
    <n v="0"/>
    <n v="0"/>
    <s v="Number"/>
    <n v="0"/>
    <n v="0"/>
    <s v="$14.99"/>
    <n v="14.99"/>
    <n v="14.99"/>
    <s v="True"/>
    <s v="Normal"/>
    <s v="Google Pay"/>
    <s v="POS"/>
    <s v="fulfilled"/>
    <s v="United States"/>
    <s v="Arizona"/>
    <s v="Valid"/>
    <s v="South Melissa"/>
  </r>
  <r>
    <s v="#1906"/>
    <n v="1"/>
    <d v="2026-08-04T13:55:43"/>
    <d v="2026-08-04T13:55:43"/>
    <s v="Tracy Adams"/>
    <s v="Email Available"/>
    <s v="tracy.adams712@icloud.com"/>
    <x v="3"/>
    <s v="Apparel"/>
    <x v="3"/>
    <n v="1"/>
    <n v="14.99"/>
    <n v="14.99"/>
    <m/>
    <s v=""/>
    <n v="0"/>
    <n v="0"/>
    <s v="Number"/>
    <n v="4.99"/>
    <n v="4.99"/>
    <n v="19.98"/>
    <n v="19.98"/>
    <n v="19.98"/>
    <s v="True"/>
    <s v="Normal"/>
    <s v="Google Pay"/>
    <s v="Online Store"/>
    <s v="fulfilled"/>
    <s v="United States"/>
    <s v="NC"/>
    <s v="Valid"/>
    <s v="Jacksonside"/>
  </r>
  <r>
    <s v="#1930"/>
    <n v="1"/>
    <d v="2026-04-08T00:00:00"/>
    <s v="08/04/2026"/>
    <s v="Vincent Rosales"/>
    <s v="Email Available"/>
    <s v="vincent.rosales30@icloud.com"/>
    <x v="3"/>
    <s v="Apparel"/>
    <x v="4"/>
    <n v="1"/>
    <n v="14.99"/>
    <n v="14.99"/>
    <s v="VIP15"/>
    <s v="VIP15"/>
    <n v="2.25"/>
    <n v="2.25"/>
    <s v="Number"/>
    <n v="5.99"/>
    <n v="5.99"/>
    <n v="18.73"/>
    <n v="18.73"/>
    <n v="18.73"/>
    <s v="True"/>
    <s v="Normal"/>
    <s v="PayPal"/>
    <s v="Instagram"/>
    <s v="fulfilled"/>
    <s v="United States"/>
    <s v="Florida"/>
    <s v="Valid"/>
    <s v="South Cheyenne"/>
  </r>
  <r>
    <s v="#1932"/>
    <n v="1"/>
    <d v="2026-08-04T13:56:42"/>
    <d v="2026-08-04T13:56:42"/>
    <s v="Jaime Vargas"/>
    <s v="Email Available"/>
    <s v="jaime.vargas795@outlook.com"/>
    <x v="3"/>
    <s v="Apparel"/>
    <x v="4"/>
    <n v="1"/>
    <n v="14.99"/>
    <n v="14.99"/>
    <s v="FREESHIP"/>
    <s v="FREESHIP"/>
    <n v="0"/>
    <n v="0"/>
    <s v="Number"/>
    <n v="0"/>
    <n v="0"/>
    <n v="14.99"/>
    <n v="14.99"/>
    <n v="14.99"/>
    <s v="True"/>
    <s v="Normal"/>
    <s v="PayPal"/>
    <s v="Online Store"/>
    <s v="fulfilled"/>
    <s v="United Kingdom"/>
    <m/>
    <s v="Not Required"/>
    <s v="Port Douglas"/>
  </r>
  <r>
    <s v="#1933"/>
    <n v="1"/>
    <d v="2026-08-04T13:55:58"/>
    <d v="2026-08-04T13:55:58"/>
    <s v="Amanda Harris"/>
    <s v="Email Available"/>
    <s v="amanda.harris197@gmail.com"/>
    <x v="3"/>
    <s v="Apparel"/>
    <x v="4"/>
    <n v="2"/>
    <n v="14.99"/>
    <n v="14.99"/>
    <s v="VIP15"/>
    <s v="VIP15"/>
    <n v="4.5"/>
    <n v="4.5"/>
    <s v="Number"/>
    <n v="5.99"/>
    <n v="5.99"/>
    <n v="31.47"/>
    <n v="31.47"/>
    <n v="31.47"/>
    <s v="True"/>
    <s v="Normal"/>
    <s v="Apple Pay"/>
    <s v="Facebook"/>
    <s v="cancelled"/>
    <s v="United States"/>
    <s v="Arizona"/>
    <s v="Valid"/>
    <s v="Lake Wandaport"/>
  </r>
  <r>
    <s v="#1947"/>
    <n v="1"/>
    <d v="2026-08-04T13:57:02"/>
    <d v="2026-08-04T13:57:02"/>
    <s v="Natalie Dixon"/>
    <s v="Email Available"/>
    <s v="natalie.dixon388@outlook.com"/>
    <x v="3"/>
    <s v="Apparel"/>
    <x v="3"/>
    <n v="2"/>
    <n v="14.99"/>
    <n v="14.99"/>
    <m/>
    <s v=""/>
    <n v="0"/>
    <n v="0"/>
    <s v="Number"/>
    <n v="7.99"/>
    <n v="7.99"/>
    <n v="37.97"/>
    <n v="37.97"/>
    <n v="37.97"/>
    <s v="True"/>
    <s v="Normal"/>
    <s v="Apple Pay"/>
    <s v="Instagram"/>
    <s v="refunded"/>
    <s v="United States"/>
    <s v="Washington"/>
    <s v="Valid"/>
    <s v="North Raymond"/>
  </r>
  <r>
    <s v="#1970"/>
    <n v="1"/>
    <d v="2026-08-04T13:59:55"/>
    <d v="2026-08-04T13:59:55"/>
    <s v="George Gould"/>
    <s v="Email Available"/>
    <s v="george.gould10@yahoo.com"/>
    <x v="3"/>
    <s v="Apparel"/>
    <x v="4"/>
    <n v="1"/>
    <n v="14.99"/>
    <n v="14.99"/>
    <m/>
    <s v=""/>
    <n v="0"/>
    <n v="0"/>
    <s v="Number"/>
    <n v="5.99"/>
    <n v="5.99"/>
    <n v="20.98"/>
    <n v="20.98"/>
    <n v="20.98"/>
    <s v="True"/>
    <s v="Normal"/>
    <s v="Shopify Payments"/>
    <s v="Facebook"/>
    <s v="fulfilled"/>
    <s v="Canada"/>
    <m/>
    <s v="Not Required"/>
    <s v="Bradfordbury"/>
  </r>
  <r>
    <s v="#1974"/>
    <n v="1"/>
    <d v="2026-08-04T13:54:51"/>
    <d v="2026-08-04T13:54:51"/>
    <s v="Stephanie Miller"/>
    <s v="Email Available"/>
    <s v="stephanie.miller962@yahoo.com"/>
    <x v="3"/>
    <s v="Apparel"/>
    <x v="3"/>
    <n v="1"/>
    <n v="14.99"/>
    <n v="14.99"/>
    <s v="WELCOME10"/>
    <s v="WELCOME10"/>
    <n v="1.5"/>
    <n v="1.5"/>
    <s v="Number"/>
    <n v="5.99"/>
    <n v="5.99"/>
    <n v="19.48"/>
    <n v="19.48"/>
    <n v="19.48"/>
    <s v="True"/>
    <s v="Normal"/>
    <s v="Shopify Payments"/>
    <s v="Online Store"/>
    <s v="fulfilled"/>
    <s v="United Kingdom"/>
    <m/>
    <s v="Not Required"/>
    <s v="Jeremychester"/>
  </r>
  <r>
    <s v="#1991"/>
    <n v="1"/>
    <d v="2026-08-04T00:00:00"/>
    <s v="04-08-2026 13:58"/>
    <s v="PAUL PRATT"/>
    <s v="Email Available"/>
    <s v="paul.pratt856@outlook.com"/>
    <x v="3"/>
    <s v="Apparel"/>
    <x v="4"/>
    <n v="1"/>
    <n v="14.99"/>
    <n v="14.99"/>
    <s v="VIP15"/>
    <s v="VIP15"/>
    <s v="$2.25"/>
    <n v="2.25"/>
    <s v="Number"/>
    <n v="4.99"/>
    <n v="4.99"/>
    <n v="17.73"/>
    <n v="17.73"/>
    <n v="17.73"/>
    <s v="True"/>
    <s v="Normal"/>
    <s v="Apple Pay"/>
    <s v="POS"/>
    <s v="refunded"/>
    <s v="United States"/>
    <s v="Texas"/>
    <s v="Valid"/>
    <s v="Millershire"/>
  </r>
  <r>
    <s v="#2001"/>
    <n v="1"/>
    <d v="2026-08-04T14:05:06"/>
    <d v="2026-08-04T14:05:06"/>
    <s v="Glenn Smith"/>
    <s v="Email Available"/>
    <s v="glenn.smith305@gmail.com"/>
    <x v="3"/>
    <s v="Apparel"/>
    <x v="4"/>
    <n v="1"/>
    <n v="14.99"/>
    <n v="14.99"/>
    <m/>
    <s v=""/>
    <n v="0"/>
    <n v="0"/>
    <s v="Number"/>
    <n v="7.99"/>
    <n v="7.99"/>
    <n v="22.98"/>
    <n v="22.98"/>
    <n v="22.98"/>
    <s v="True"/>
    <s v="Normal"/>
    <s v="PayPal"/>
    <s v="Online Store"/>
    <s v="pending"/>
    <s v="Canada"/>
    <m/>
    <s v="Not Required"/>
    <s v="South Amymouth"/>
  </r>
  <r>
    <s v="#2007"/>
    <n v="1"/>
    <d v="2026-08-04T14:00:24"/>
    <d v="2026-08-04T14:00:24"/>
    <s v="David Torres"/>
    <s v="Missing Email"/>
    <m/>
    <x v="3"/>
    <s v="Apparel"/>
    <x v="3"/>
    <n v="1"/>
    <n v="14.99"/>
    <n v="14.99"/>
    <s v="FREESHIP"/>
    <s v="FREESHIP"/>
    <n v="0"/>
    <n v="0"/>
    <s v="Number"/>
    <n v="0"/>
    <n v="0"/>
    <n v="14.99"/>
    <n v="14.99"/>
    <n v="14.99"/>
    <s v="True"/>
    <s v="Normal"/>
    <s v="Shopify Payments"/>
    <s v="Online Store"/>
    <s v="pending"/>
    <s v="United States"/>
    <s v="New York"/>
    <s v="Valid"/>
    <s v="Dennisfort"/>
  </r>
  <r>
    <s v="#2008"/>
    <n v="1"/>
    <d v="2026-08-04T14:08:04"/>
    <d v="2026-08-04T14:08:04"/>
    <s v="Jacob Gibbs"/>
    <s v="Email Available"/>
    <s v="jacob.gibbs527@gmail.com"/>
    <x v="3"/>
    <s v="Apparel"/>
    <x v="4"/>
    <n v="2"/>
    <n v="14.99"/>
    <n v="14.99"/>
    <m/>
    <s v=""/>
    <n v="0"/>
    <n v="0"/>
    <s v="Number"/>
    <n v="4.99"/>
    <n v="4.99"/>
    <n v="34.97"/>
    <n v="34.97"/>
    <n v="34.97"/>
    <s v="True"/>
    <s v="Normal"/>
    <s v="Shopify Payments"/>
    <s v="Online Store"/>
    <s v="fulfilled"/>
    <s v="United States"/>
    <s v="North Carolina"/>
    <s v="Valid"/>
    <s v="Keyburgh"/>
  </r>
  <r>
    <s v="#2029"/>
    <n v="1"/>
    <d v="2026-08-04T13:57:39"/>
    <d v="2026-08-04T13:57:39"/>
    <s v="Brian Gardner"/>
    <s v="Email Available"/>
    <s v="brian.gardner260@outlook.com"/>
    <x v="3"/>
    <s v="Apparel"/>
    <x v="4"/>
    <n v="1"/>
    <n v="14.99"/>
    <n v="14.99"/>
    <s v="BFCM25"/>
    <s v="BFCM25"/>
    <n v="3.75"/>
    <n v="3.75"/>
    <s v="Number"/>
    <n v="4.99"/>
    <n v="4.99"/>
    <s v="$16.23"/>
    <n v="16.23"/>
    <n v="16.23"/>
    <s v="True"/>
    <s v="Normal"/>
    <s v="Shopify Payments"/>
    <s v="Instagram"/>
    <s v="fulfilled"/>
    <s v="United States"/>
    <s v="North Carolina"/>
    <s v="Valid"/>
    <s v="Emilyton"/>
  </r>
  <r>
    <s v="#2065"/>
    <n v="1"/>
    <d v="2026-08-04T14:05:57"/>
    <d v="2026-08-04T14:05:57"/>
    <s v="Sarah Mendoza"/>
    <s v="Email Available"/>
    <s v="sarah.mendoza691@outlook.com"/>
    <x v="3"/>
    <s v="Apparel"/>
    <x v="3"/>
    <n v="1"/>
    <n v="14.99"/>
    <n v="14.99"/>
    <s v="FREESHIP"/>
    <s v="FREESHIP"/>
    <n v="0"/>
    <n v="0"/>
    <s v="Number"/>
    <n v="0"/>
    <n v="0"/>
    <n v="14.99"/>
    <n v="14.99"/>
    <n v="14.99"/>
    <s v="True"/>
    <s v="Normal"/>
    <s v="Apple Pay"/>
    <s v="Online Store"/>
    <s v="fulfilled"/>
    <s v="United States"/>
    <s v="Illinois"/>
    <s v="Valid"/>
    <s v="North Maria"/>
  </r>
  <r>
    <s v="#2078"/>
    <n v="1"/>
    <d v="2026-08-04T13:56:27"/>
    <d v="2026-08-04T13:56:27"/>
    <s v="Daniel Hill"/>
    <s v="Email Available"/>
    <s v="daniel.hill472@outlook.com"/>
    <x v="3"/>
    <s v="Apparel"/>
    <x v="4"/>
    <n v="2"/>
    <s v="$14.99"/>
    <n v="14.99"/>
    <s v="BFCM25"/>
    <s v="BFCM25"/>
    <n v="7.5"/>
    <n v="7.5"/>
    <s v="Number"/>
    <n v="4.99"/>
    <n v="4.99"/>
    <n v="27.47"/>
    <n v="27.47"/>
    <n v="27.47"/>
    <s v="True"/>
    <s v="Normal"/>
    <s v="Google Pay"/>
    <s v="Online Store"/>
    <s v="refunded"/>
    <s v="Australia"/>
    <m/>
    <s v="Not Required"/>
    <s v="East Cheryl"/>
  </r>
  <r>
    <s v="#2108"/>
    <n v="1"/>
    <d v="2026-08-04T14:02:38"/>
    <d v="2026-08-04T14:02:38"/>
    <s v="Johnathan Everett"/>
    <s v="Email Available"/>
    <s v="johnathan.everett6@outlook.com"/>
    <x v="3"/>
    <s v="Apparel"/>
    <x v="4"/>
    <n v="1"/>
    <s v="$14.99"/>
    <n v="14.99"/>
    <m/>
    <s v=""/>
    <n v="0"/>
    <n v="0"/>
    <s v="Number"/>
    <n v="4.99"/>
    <n v="4.99"/>
    <n v="19.98"/>
    <n v="19.98"/>
    <n v="19.98"/>
    <s v="True"/>
    <s v="Normal"/>
    <s v="Google Pay"/>
    <s v="Online Store"/>
    <s v="fulfilled"/>
    <s v="United States"/>
    <s v="California"/>
    <s v="Valid"/>
    <s v="Mooreshire"/>
  </r>
  <r>
    <s v="#2135"/>
    <n v="1"/>
    <d v="2026-08-04T14:00:03"/>
    <d v="2026-08-04T14:00:03"/>
    <s v="Sandra Potter"/>
    <s v="Email Available"/>
    <s v="sandra.potter166@yahoo.com"/>
    <x v="3"/>
    <s v="Apparel"/>
    <x v="4"/>
    <n v="1"/>
    <n v="14.99"/>
    <n v="14.99"/>
    <s v="WELCOME10"/>
    <s v="WELCOME10"/>
    <n v="1.5"/>
    <n v="1.5"/>
    <s v="Number"/>
    <n v="7.99"/>
    <n v="7.99"/>
    <n v="21.48"/>
    <n v="21.48"/>
    <n v="21.48"/>
    <s v="True"/>
    <s v="Normal"/>
    <s v="Shopify Payments"/>
    <s v="Online Store"/>
    <s v="pending"/>
    <s v="United States"/>
    <s v="Illinois"/>
    <s v="Valid"/>
    <s v="East Julian"/>
  </r>
  <r>
    <s v="#2141"/>
    <n v="1"/>
    <d v="2026-08-04T13:57:23"/>
    <d v="2026-08-04T13:57:23"/>
    <s v="Kenneth Davis"/>
    <s v="Email Available"/>
    <s v="kenneth.davis106@yahoo.com"/>
    <x v="3"/>
    <s v="Apparel"/>
    <x v="3"/>
    <n v="2"/>
    <n v="14.99"/>
    <n v="14.99"/>
    <s v="WELCOME10"/>
    <s v="WELCOME10"/>
    <n v="3"/>
    <n v="3"/>
    <s v="Number"/>
    <n v="7.99"/>
    <n v="7.99"/>
    <s v="$34.97"/>
    <n v="34.97"/>
    <n v="34.97"/>
    <s v="True"/>
    <s v="Normal"/>
    <s v="Apple Pay"/>
    <s v="Online Store"/>
    <s v="pending"/>
    <s v="United States"/>
    <s v="Ohio"/>
    <s v="Valid"/>
    <s v="West Laurahaven"/>
  </r>
  <r>
    <s v="#2145"/>
    <n v="1"/>
    <d v="2026-08-04T13:56:00"/>
    <d v="2026-08-04T13:56:00"/>
    <s v="Joshua Miller"/>
    <s v="Email Available"/>
    <s v="joshua.miller362@gmail.com"/>
    <x v="3"/>
    <s v="Apparel"/>
    <x v="3"/>
    <n v="1"/>
    <n v="14.99"/>
    <n v="14.99"/>
    <s v="SAVE20"/>
    <s v="SAVE20"/>
    <n v="3"/>
    <n v="3"/>
    <s v="Number"/>
    <n v="4.99"/>
    <n v="4.99"/>
    <n v="16.98"/>
    <n v="16.98"/>
    <n v="16.98"/>
    <s v="True"/>
    <s v="Normal"/>
    <s v="Shopify Payments"/>
    <s v="Online Store"/>
    <s v="cancelled"/>
    <s v="Canada"/>
    <m/>
    <s v="Not Required"/>
    <s v="Freemanville"/>
  </r>
  <r>
    <s v="#2148"/>
    <n v="1"/>
    <d v="2026-08-04T13:58:26"/>
    <d v="2026-08-04T13:58:26"/>
    <s v="  Jane Gregory"/>
    <s v="Email Available"/>
    <s v="jane.gregory935@icloud.com"/>
    <x v="3"/>
    <s v="Apparel"/>
    <x v="4"/>
    <n v="1"/>
    <n v="14.99"/>
    <n v="14.99"/>
    <s v="FREESHIP"/>
    <s v="FREESHIP"/>
    <n v="0"/>
    <n v="0"/>
    <s v="Number"/>
    <n v="0"/>
    <n v="0"/>
    <n v="14.99"/>
    <n v="14.99"/>
    <n v="14.99"/>
    <s v="True"/>
    <s v="Normal"/>
    <s v="PayPal"/>
    <s v="Online Store"/>
    <s v="refunded"/>
    <s v="Germany"/>
    <m/>
    <s v="Not Required"/>
    <s v="Lake Cynthia"/>
  </r>
  <r>
    <s v="#2168"/>
    <n v="1"/>
    <d v="2026-08-04T13:53:39"/>
    <d v="2026-08-04T13:53:39"/>
    <s v="Anthony Patterson"/>
    <s v="Missing Email"/>
    <m/>
    <x v="3"/>
    <s v="Apparel"/>
    <x v="3"/>
    <n v="1"/>
    <s v="$14.99"/>
    <n v="14.99"/>
    <s v="VIP15"/>
    <s v="VIP15"/>
    <n v="2.25"/>
    <n v="2.25"/>
    <s v="Number"/>
    <n v="7.99"/>
    <n v="7.99"/>
    <n v="20.73"/>
    <n v="20.73"/>
    <n v="20.73"/>
    <s v="True"/>
    <s v="Normal"/>
    <s v="Google Pay"/>
    <s v="Online Store"/>
    <s v="fulfilled"/>
    <s v="Pakistan"/>
    <m/>
    <s v="Not Required"/>
    <s v="Gailmouth"/>
  </r>
  <r>
    <s v="#2180"/>
    <n v="1"/>
    <d v="2026-08-04T13:59:05"/>
    <d v="2026-08-04T13:59:05"/>
    <s v="Autumn Stewart"/>
    <s v="Email Available"/>
    <s v="autumn.stewart565@outlook.com"/>
    <x v="3"/>
    <s v="Apparel"/>
    <x v="3"/>
    <n v="3"/>
    <n v="14.99"/>
    <n v="14.99"/>
    <m/>
    <s v=""/>
    <s v="$0.00"/>
    <n v="0"/>
    <s v="Number"/>
    <n v="4.99"/>
    <n v="4.99"/>
    <n v="49.96"/>
    <n v="49.96"/>
    <n v="49.96"/>
    <s v="True"/>
    <s v="Normal"/>
    <s v="Shopify Payments"/>
    <s v="Online Store"/>
    <s v="refunded"/>
    <s v="United Kingdom"/>
    <m/>
    <s v="Not Required"/>
    <s v="Taylorshire"/>
  </r>
  <r>
    <s v="#2183"/>
    <n v="1"/>
    <d v="2026-08-04T13:55:57"/>
    <d v="2026-08-04T13:55:57"/>
    <s v="Melinda Williams"/>
    <s v="Email Available"/>
    <s v="melinda.williams310@icloud.com"/>
    <x v="3"/>
    <s v="Apparel"/>
    <x v="4"/>
    <n v="1"/>
    <n v="14.99"/>
    <n v="14.99"/>
    <s v="VIP15"/>
    <s v="VIP15"/>
    <n v="2.25"/>
    <n v="2.25"/>
    <s v="Number"/>
    <n v="7.99"/>
    <n v="7.99"/>
    <n v="20.73"/>
    <n v="20.73"/>
    <n v="20.73"/>
    <s v="True"/>
    <s v="Normal"/>
    <s v="Apple Pay"/>
    <s v="Facebook"/>
    <s v="fulfilled"/>
    <s v="United States"/>
    <s v="GA"/>
    <s v="Valid"/>
    <s v="East Lesliefort"/>
  </r>
  <r>
    <s v="#2198"/>
    <n v="1"/>
    <d v="2026-08-04T14:03:03"/>
    <d v="2026-08-04T14:03:03"/>
    <s v="Autumn Stewart"/>
    <s v="Email Available"/>
    <s v="autumn.stewart565@outlook.com"/>
    <x v="3"/>
    <s v="Apparel"/>
    <x v="3"/>
    <n v="1"/>
    <n v="14.99"/>
    <n v="14.99"/>
    <s v="BFCM25"/>
    <s v="BFCM25"/>
    <n v="3.75"/>
    <n v="3.75"/>
    <s v="Number"/>
    <n v="7.99"/>
    <n v="7.99"/>
    <n v="19.23"/>
    <n v="19.23"/>
    <n v="19.23"/>
    <s v="True"/>
    <s v="Normal"/>
    <s v="Google Pay"/>
    <s v="Online Store"/>
    <s v="fulfilled"/>
    <s v="United Kingdom"/>
    <m/>
    <s v="Not Required"/>
    <s v="Gloriafurt"/>
  </r>
  <r>
    <s v="#2228"/>
    <n v="1"/>
    <d v="2026-08-04T14:02:10"/>
    <d v="2026-08-04T14:02:10"/>
    <s v="Timothy Weaver"/>
    <s v="Email Available"/>
    <s v="timothy.weaver591@gmail.com"/>
    <x v="3"/>
    <s v="Apparel"/>
    <x v="3"/>
    <n v="1"/>
    <n v="14.99"/>
    <n v="14.99"/>
    <s v="SAVE20"/>
    <s v="SAVE20"/>
    <n v="3"/>
    <n v="3"/>
    <s v="Number"/>
    <n v="4.99"/>
    <n v="4.99"/>
    <n v="16.98"/>
    <n v="16.98"/>
    <n v="16.98"/>
    <s v="True"/>
    <s v="Normal"/>
    <s v="Shopify Payments"/>
    <s v="Online Store"/>
    <s v="cancelled"/>
    <s v="Australia"/>
    <m/>
    <s v="Not Required"/>
    <s v="Williamschester"/>
  </r>
  <r>
    <s v="#2239"/>
    <n v="1"/>
    <d v="2026-08-04T00:00:00"/>
    <s v="04-08-2026 14:04"/>
    <s v="Sandra Wilson"/>
    <s v="Email Available"/>
    <s v="sandra.wilson554@outlook.com"/>
    <x v="3"/>
    <s v="Apparel"/>
    <x v="3"/>
    <n v="1"/>
    <n v="14.99"/>
    <n v="14.99"/>
    <m/>
    <s v=""/>
    <n v="0"/>
    <n v="0"/>
    <s v="Number"/>
    <n v="4.99"/>
    <n v="4.99"/>
    <s v="$19.98"/>
    <n v="19.98"/>
    <n v="19.98"/>
    <s v="True"/>
    <s v="Normal"/>
    <s v="Apple Pay"/>
    <s v="Online Store"/>
    <s v="fulfilled"/>
    <s v="Canada"/>
    <m/>
    <s v="Not Required"/>
    <s v="Popeberg"/>
  </r>
  <r>
    <s v="#2256"/>
    <n v="1"/>
    <d v="2026-04-08T00:00:00"/>
    <s v="08/04/2026"/>
    <s v="Jaime Vargas"/>
    <s v="Email Available"/>
    <s v="jaime.vargas795@outlook.com"/>
    <x v="3"/>
    <s v="Apparel"/>
    <x v="4"/>
    <n v="1"/>
    <n v="14.99"/>
    <n v="14.99"/>
    <s v="BFCM25"/>
    <s v="BFCM25"/>
    <n v="3.75"/>
    <n v="3.75"/>
    <s v="Number"/>
    <n v="7.99"/>
    <n v="7.99"/>
    <n v="19.23"/>
    <n v="19.23"/>
    <n v="19.23"/>
    <s v="True"/>
    <s v="Normal"/>
    <s v="Google Pay"/>
    <s v="POS"/>
    <s v="refunded"/>
    <s v="United Kingdom"/>
    <m/>
    <s v="Not Required"/>
    <s v="Port Rodney"/>
  </r>
  <r>
    <s v="#2272"/>
    <n v="1"/>
    <d v="2026-04-08T00:00:00"/>
    <s v="08/04/2026"/>
    <s v="Marcus Sloan"/>
    <s v="Missing Email"/>
    <m/>
    <x v="3"/>
    <s v="Apparel"/>
    <x v="3"/>
    <n v="2"/>
    <s v="$14.99"/>
    <n v="14.99"/>
    <s v="WELCOME10"/>
    <s v="WELCOME10"/>
    <n v="3"/>
    <n v="3"/>
    <s v="Number"/>
    <n v="4.99"/>
    <n v="4.99"/>
    <n v="31.97"/>
    <n v="31.97"/>
    <n v="31.97"/>
    <s v="True"/>
    <s v="Normal"/>
    <s v="Shopify Payments"/>
    <s v="Online Store"/>
    <s v="refunded"/>
    <s v="United States"/>
    <s v="Florida"/>
    <s v="Valid"/>
    <s v="North Kevinville"/>
  </r>
  <r>
    <s v="#2279"/>
    <n v="1"/>
    <d v="2026-08-04T14:06:32"/>
    <d v="2026-08-04T14:06:32"/>
    <s v="Christopher Martin"/>
    <s v="Email Available"/>
    <s v="christopher.martin10@gmail.com"/>
    <x v="3"/>
    <s v="Apparel"/>
    <x v="3"/>
    <n v="1"/>
    <n v="14.99"/>
    <n v="14.99"/>
    <m/>
    <s v=""/>
    <n v="0"/>
    <n v="0"/>
    <s v="Number"/>
    <n v="7.99"/>
    <n v="7.99"/>
    <n v="22.98"/>
    <n v="22.98"/>
    <n v="22.98"/>
    <s v="True"/>
    <s v="Normal"/>
    <s v="PayPal"/>
    <s v="Facebook"/>
    <s v="fulfilled"/>
    <s v="United States"/>
    <s v="North Carolina"/>
    <s v="Valid"/>
    <s v="New Angela"/>
  </r>
  <r>
    <s v="#2280"/>
    <n v="1"/>
    <d v="2026-04-08T00:00:00"/>
    <s v="08/04/2026"/>
    <s v="Allen Diaz"/>
    <s v="Email Available"/>
    <s v="allen.diaz546@gmail.com"/>
    <x v="3"/>
    <s v="Apparel"/>
    <x v="4"/>
    <n v="1"/>
    <n v="14.99"/>
    <n v="14.99"/>
    <s v="BFCM25"/>
    <s v="BFCM25"/>
    <n v="3.75"/>
    <n v="3.75"/>
    <s v="Number"/>
    <n v="5.99"/>
    <n v="5.99"/>
    <n v="17.23"/>
    <n v="17.23"/>
    <n v="17.23"/>
    <s v="True"/>
    <s v="Normal"/>
    <s v="Apple Pay"/>
    <s v="Online Store"/>
    <s v="fulfilled"/>
    <s v="United States"/>
    <s v="Georgia"/>
    <s v="Valid"/>
    <s v="East Peggyport"/>
  </r>
  <r>
    <s v="#2295"/>
    <n v="1"/>
    <d v="2026-08-04T13:54:19"/>
    <d v="2026-08-04T13:54:19"/>
    <s v="MICHELE DAVIS"/>
    <s v="Email Available"/>
    <s v="michele.davis844@gmail.com"/>
    <x v="3"/>
    <s v="Apparel"/>
    <x v="3"/>
    <n v="2"/>
    <n v="14.99"/>
    <n v="14.99"/>
    <m/>
    <s v=""/>
    <n v="0"/>
    <n v="0"/>
    <s v="Number"/>
    <n v="7.99"/>
    <n v="7.99"/>
    <n v="37.97"/>
    <n v="37.97"/>
    <n v="37.97"/>
    <s v="True"/>
    <s v="Normal"/>
    <s v="Google Pay"/>
    <s v="Online Store"/>
    <s v="fulfilled"/>
    <s v="Australia"/>
    <m/>
    <s v="Not Required"/>
    <s v="North April"/>
  </r>
  <r>
    <s v="#2308"/>
    <n v="1"/>
    <d v="2026-04-08T00:00:00"/>
    <s v="08/04/2026"/>
    <s v="Michael Hays"/>
    <s v="Email Available"/>
    <s v="michael.hays590@gmail.com"/>
    <x v="3"/>
    <s v="Apparel"/>
    <x v="4"/>
    <n v="1"/>
    <n v="14.99"/>
    <n v="14.99"/>
    <s v="VIP15"/>
    <s v="VIP15"/>
    <n v="2.25"/>
    <n v="2.25"/>
    <s v="Number"/>
    <n v="7.99"/>
    <n v="7.99"/>
    <n v="20.73"/>
    <n v="20.73"/>
    <n v="20.73"/>
    <s v="True"/>
    <s v="Normal"/>
    <s v="PayPal"/>
    <s v="Online Store"/>
    <s v="fulfilled"/>
    <s v="United States"/>
    <s v="Georgia"/>
    <s v="Valid"/>
    <s v="Joseborough"/>
  </r>
  <r>
    <s v="#2323"/>
    <n v="1"/>
    <d v="2026-08-04T14:05:38"/>
    <d v="2026-08-04T14:05:38"/>
    <s v="Devin Jones"/>
    <s v="Email Available"/>
    <s v="devin.jones807@yahoo.com"/>
    <x v="3"/>
    <s v="Apparel"/>
    <x v="3"/>
    <n v="2"/>
    <s v="$14.99"/>
    <n v="14.99"/>
    <s v="BFCM25"/>
    <s v="BFCM25"/>
    <n v="7.5"/>
    <n v="7.5"/>
    <s v="Number"/>
    <n v="5.99"/>
    <n v="5.99"/>
    <n v="28.47"/>
    <n v="28.47"/>
    <n v="28.47"/>
    <s v="True"/>
    <s v="Normal"/>
    <s v="Shopify Payments"/>
    <s v="Online Store"/>
    <s v="pending"/>
    <s v="Pakistan"/>
    <m/>
    <s v="Not Required"/>
    <s v="Edwardside"/>
  </r>
  <r>
    <s v="#2324"/>
    <n v="1"/>
    <d v="2026-08-04T13:55:50"/>
    <d v="2026-08-04T13:55:50"/>
    <s v="David Duke"/>
    <s v="Email Available"/>
    <s v="david.duke814@icloud.com"/>
    <x v="3"/>
    <s v="Apparel"/>
    <x v="3"/>
    <n v="1"/>
    <n v="14.99"/>
    <n v="14.99"/>
    <m/>
    <s v=""/>
    <n v="0"/>
    <n v="0"/>
    <s v="Number"/>
    <n v="5.99"/>
    <n v="5.99"/>
    <s v="$20.98"/>
    <n v="20.98"/>
    <n v="20.98"/>
    <s v="True"/>
    <s v="Normal"/>
    <s v="Apple Pay"/>
    <s v="Online Store"/>
    <s v="fulfilled"/>
    <s v="United States"/>
    <s v="Canada"/>
    <s v="Valid"/>
    <s v="Lake Steven"/>
  </r>
  <r>
    <s v="#2329"/>
    <n v="1"/>
    <d v="2026-08-04T13:59:59"/>
    <d v="2026-08-04T13:59:59"/>
    <s v="Amanda Rodriguez"/>
    <s v="Email Available"/>
    <s v="amanda.rodriguez770@yahoo.com"/>
    <x v="3"/>
    <s v="Apparel"/>
    <x v="3"/>
    <n v="1"/>
    <n v="14.99"/>
    <n v="14.99"/>
    <m/>
    <s v=""/>
    <n v="0"/>
    <n v="0"/>
    <s v="Number"/>
    <n v="7.99"/>
    <n v="7.99"/>
    <n v="22.98"/>
    <n v="22.98"/>
    <n v="22.98"/>
    <s v="True"/>
    <s v="Normal"/>
    <s v="Apple Pay"/>
    <s v="Online Store"/>
    <s v="refunded"/>
    <s v="United States"/>
    <s v="California"/>
    <s v="Valid"/>
    <s v="North Cynthia"/>
  </r>
  <r>
    <s v="#2346"/>
    <n v="1"/>
    <d v="2026-08-04T13:53:54"/>
    <d v="2026-08-04T13:53:54"/>
    <s v="Maldonado, Timothy"/>
    <s v="Email Available"/>
    <s v="timothy.maldonado551@gmail.com"/>
    <x v="3"/>
    <s v="Apparel"/>
    <x v="4"/>
    <n v="1"/>
    <n v="14.99"/>
    <n v="14.99"/>
    <s v="WELCOME10"/>
    <s v="WELCOME10"/>
    <n v="1.5"/>
    <n v="1.5"/>
    <s v="Number"/>
    <n v="5.99"/>
    <n v="5.99"/>
    <n v="19.48"/>
    <n v="19.48"/>
    <n v="19.48"/>
    <s v="True"/>
    <s v="Normal"/>
    <s v="PayPal"/>
    <s v="Instagram"/>
    <s v="fulfilled"/>
    <s v="United States"/>
    <s v="Arizona"/>
    <s v="Valid"/>
    <s v="West Jamie"/>
  </r>
  <r>
    <s v="#2349"/>
    <n v="1"/>
    <d v="2026-08-04T14:03:02"/>
    <d v="2026-08-04T14:03:02"/>
    <s v="Eric Bailey"/>
    <s v="Email Available"/>
    <s v="eric.bailey970@yahoo.com"/>
    <x v="3"/>
    <s v="Apparel"/>
    <x v="4"/>
    <n v="1"/>
    <n v="14.99"/>
    <n v="14.99"/>
    <s v="BFCM25"/>
    <s v="BFCM25"/>
    <n v="3.75"/>
    <n v="3.75"/>
    <s v="Number"/>
    <n v="7.99"/>
    <n v="7.99"/>
    <n v="19.23"/>
    <n v="19.23"/>
    <n v="19.23"/>
    <s v="True"/>
    <s v="Normal"/>
    <s v="Shopify Payments"/>
    <s v="Online Store"/>
    <s v="fulfilled"/>
    <s v="United Kingdom"/>
    <m/>
    <s v="Not Required"/>
    <s v="Nealtown"/>
  </r>
  <r>
    <s v="#2375"/>
    <n v="1"/>
    <d v="2026-08-04T13:54:31"/>
    <d v="2026-08-04T13:54:31"/>
    <s v="Julie Hoffman"/>
    <s v="Email Available"/>
    <s v="julie.hoffman913@gmail.com"/>
    <x v="3"/>
    <s v="Apparel"/>
    <x v="3"/>
    <n v="1"/>
    <n v="14.99"/>
    <n v="14.99"/>
    <m/>
    <s v=""/>
    <n v="0"/>
    <n v="0"/>
    <s v="Number"/>
    <n v="7.99"/>
    <n v="7.99"/>
    <n v="22.98"/>
    <n v="22.98"/>
    <n v="22.98"/>
    <s v="True"/>
    <s v="Normal"/>
    <s v="PayPal"/>
    <s v="Online Store"/>
    <s v="cancelled"/>
    <s v="United States"/>
    <s v="California"/>
    <s v="Valid"/>
    <s v="Thomastown"/>
  </r>
  <r>
    <s v="#2381"/>
    <n v="1"/>
    <d v="2026-08-04T14:07:11"/>
    <d v="2026-08-04T14:07:11"/>
    <s v="Vincent Rosales"/>
    <s v="Email Available"/>
    <s v="vincent.rosales30@icloud.com"/>
    <x v="3"/>
    <s v="Apparel"/>
    <x v="4"/>
    <n v="1"/>
    <n v="14.99"/>
    <n v="14.99"/>
    <s v="BFCM25"/>
    <s v="BFCM25"/>
    <n v="3.75"/>
    <n v="3.75"/>
    <s v="Number"/>
    <n v="5.99"/>
    <n v="5.99"/>
    <n v="17.23"/>
    <n v="17.23"/>
    <n v="17.23"/>
    <s v="True"/>
    <s v="Normal"/>
    <s v="Credit Card"/>
    <s v="POS"/>
    <s v="fulfilled"/>
    <s v="United States"/>
    <s v="Ohio"/>
    <s v="Valid"/>
    <s v="Kingmouth"/>
  </r>
  <r>
    <s v="#2390"/>
    <n v="1"/>
    <d v="2026-08-04T14:03:09"/>
    <d v="2026-08-04T14:03:09"/>
    <s v="Sharon Brown"/>
    <s v="Email Available"/>
    <s v="sharon.brown14@gmail.com"/>
    <x v="3"/>
    <s v="Apparel"/>
    <x v="4"/>
    <n v="1"/>
    <n v="14.99"/>
    <n v="14.99"/>
    <s v="FREESHIP"/>
    <s v="FREESHIP"/>
    <n v="0"/>
    <n v="0"/>
    <s v="Number"/>
    <n v="0"/>
    <n v="0"/>
    <s v="$14.99"/>
    <n v="14.99"/>
    <n v="14.99"/>
    <s v="True"/>
    <s v="Normal"/>
    <s v="Google Pay"/>
    <s v="Facebook"/>
    <s v="fulfilled"/>
    <s v="United States"/>
    <s v="FL"/>
    <s v="Valid"/>
    <s v="Richardton"/>
  </r>
  <r>
    <s v="#2401"/>
    <n v="1"/>
    <d v="2026-08-04T14:02:39"/>
    <d v="2026-08-04T14:02:39"/>
    <s v="Patrick Evans"/>
    <s v="Email Available"/>
    <s v="patrick.evans152@icloud.com"/>
    <x v="3"/>
    <s v="Apparel"/>
    <x v="4"/>
    <n v="1"/>
    <n v="14.99"/>
    <n v="14.99"/>
    <s v="BFCM25"/>
    <s v="BFCM25"/>
    <n v="3.75"/>
    <n v="3.75"/>
    <s v="Number"/>
    <n v="4.99"/>
    <n v="4.99"/>
    <n v="16.23"/>
    <n v="16.23"/>
    <n v="16.23"/>
    <s v="True"/>
    <s v="Normal"/>
    <s v="Google Pay"/>
    <s v="Online Store"/>
    <s v="cancelled"/>
    <s v="United States"/>
    <s v="Ohio"/>
    <s v="Valid"/>
    <s v="Lake Pamelaport"/>
  </r>
  <r>
    <s v="#2405"/>
    <n v="1"/>
    <d v="2026-08-04T13:53:46"/>
    <d v="2026-08-04T13:53:46"/>
    <s v="Karen Bautista"/>
    <s v="Email Available"/>
    <s v="karen.bautista779@icloud.com"/>
    <x v="3"/>
    <s v="Apparel"/>
    <x v="3"/>
    <n v="1"/>
    <n v="14.99"/>
    <n v="14.99"/>
    <m/>
    <s v=""/>
    <n v="0"/>
    <n v="0"/>
    <s v="Number"/>
    <n v="7.99"/>
    <n v="7.99"/>
    <n v="22.98"/>
    <n v="22.98"/>
    <n v="22.98"/>
    <s v="True"/>
    <s v="Normal"/>
    <s v="Credit Card"/>
    <s v="Online Store"/>
    <s v="cancelled"/>
    <s v="United States"/>
    <s v="Arizona"/>
    <s v="Valid"/>
    <s v="East Robert"/>
  </r>
  <r>
    <s v="#2414"/>
    <n v="1"/>
    <d v="2026-08-04T13:55:27"/>
    <d v="2026-08-04T13:55:27"/>
    <s v="Richard Zavala"/>
    <s v="Email Available"/>
    <s v="richard.zavala602@gmail.com"/>
    <x v="3"/>
    <s v="Apparel"/>
    <x v="4"/>
    <n v="1"/>
    <n v="14.99"/>
    <n v="14.99"/>
    <s v="VIP15"/>
    <s v="VIP15"/>
    <n v="2.25"/>
    <n v="2.25"/>
    <s v="Number"/>
    <n v="5.99"/>
    <n v="5.99"/>
    <n v="18.73"/>
    <n v="18.73"/>
    <n v="18.73"/>
    <s v="True"/>
    <s v="Normal"/>
    <s v="Credit Card"/>
    <s v="Facebook"/>
    <s v="pending"/>
    <s v="Canada"/>
    <m/>
    <s v="Not Required"/>
    <s v="Janetton"/>
  </r>
  <r>
    <s v="#2441"/>
    <n v="1"/>
    <d v="2026-08-04T13:58:11"/>
    <d v="2026-08-04T13:58:11"/>
    <s v="Michael Wilson"/>
    <s v="Email Available"/>
    <s v="michael.wilson464@icloud.com"/>
    <x v="3"/>
    <s v="Apparel"/>
    <x v="4"/>
    <n v="1"/>
    <n v="14.99"/>
    <n v="14.99"/>
    <m/>
    <s v=""/>
    <n v="0"/>
    <n v="0"/>
    <s v="Number"/>
    <n v="4.99"/>
    <n v="4.99"/>
    <n v="19.98"/>
    <n v="19.98"/>
    <n v="19.98"/>
    <s v="True"/>
    <s v="Normal"/>
    <s v="Google Pay"/>
    <s v="Online Store"/>
    <s v="refunded"/>
    <s v="Australia"/>
    <m/>
    <s v="Not Required"/>
    <s v="Delgadobury"/>
  </r>
  <r>
    <s v="#2454"/>
    <n v="1"/>
    <d v="2026-08-04T14:05:08"/>
    <d v="2026-08-04T14:05:08"/>
    <s v="Eric Bailey"/>
    <s v="Email Available"/>
    <s v="eric.bailey970@yahoo.com"/>
    <x v="3"/>
    <s v="Apparel"/>
    <x v="4"/>
    <n v="3"/>
    <n v="14.99"/>
    <n v="14.99"/>
    <s v="VIP15"/>
    <s v="VIP15"/>
    <n v="6.75"/>
    <n v="6.75"/>
    <s v="Number"/>
    <n v="5.99"/>
    <n v="5.99"/>
    <n v="44.21"/>
    <n v="44.21"/>
    <n v="44.21"/>
    <s v="True"/>
    <s v="Normal"/>
    <s v="Apple Pay"/>
    <s v="POS"/>
    <s v="refunded"/>
    <s v="United Kingdom"/>
    <m/>
    <s v="Not Required"/>
    <s v="North Evelyn"/>
  </r>
  <r>
    <s v="#2455"/>
    <n v="1"/>
    <d v="2026-08-04T14:02:00"/>
    <d v="2026-08-04T14:02:00"/>
    <s v="Morgan Johnson"/>
    <s v="Missing Email"/>
    <m/>
    <x v="3"/>
    <s v="Apparel"/>
    <x v="3"/>
    <n v="1"/>
    <n v="14.99"/>
    <n v="14.99"/>
    <s v="FREESHIP"/>
    <s v="FREESHIP"/>
    <n v="0"/>
    <n v="0"/>
    <s v="Number"/>
    <n v="0"/>
    <n v="0"/>
    <s v="$14.99"/>
    <n v="14.99"/>
    <n v="14.99"/>
    <s v="True"/>
    <s v="Normal"/>
    <s v="Google Pay"/>
    <s v="Instagram"/>
    <s v="refunded"/>
    <s v="Canada"/>
    <m/>
    <s v="Not Required"/>
    <s v="East Kenneth"/>
  </r>
  <r>
    <s v="#2465"/>
    <n v="1"/>
    <d v="2026-08-04T14:05:03"/>
    <d v="2026-08-04T14:05:03"/>
    <s v="Monica Hodge"/>
    <s v="Email Available"/>
    <s v="monica.hodge369@icloud.com"/>
    <x v="3"/>
    <s v="Apparel"/>
    <x v="3"/>
    <n v="2"/>
    <s v="$14.99"/>
    <n v="14.99"/>
    <s v="WELCOME10"/>
    <s v="WELCOME10"/>
    <n v="3"/>
    <n v="3"/>
    <s v="Number"/>
    <n v="4.99"/>
    <n v="4.99"/>
    <n v="31.97"/>
    <n v="31.97"/>
    <n v="31.97"/>
    <s v="True"/>
    <s v="Normal"/>
    <s v="Google Pay"/>
    <s v="Facebook"/>
    <s v="refunded"/>
    <s v="United States"/>
    <s v="Georgia"/>
    <s v="Valid"/>
    <s v="Wayneside"/>
  </r>
  <r>
    <s v="#2478"/>
    <n v="1"/>
    <d v="2026-08-04T14:02:40"/>
    <d v="2026-08-04T14:02:40"/>
    <s v="Christopher Martin"/>
    <s v="Email Available"/>
    <s v="christopher.martin10@gmail.com"/>
    <x v="3"/>
    <s v="Apparel"/>
    <x v="4"/>
    <n v="1"/>
    <n v="14.99"/>
    <n v="14.99"/>
    <s v="BFCM25"/>
    <s v="BFCM25"/>
    <s v="$3.75"/>
    <n v="3.75"/>
    <s v="Number"/>
    <n v="4.99"/>
    <n v="4.99"/>
    <n v="16.23"/>
    <n v="16.23"/>
    <n v="16.23"/>
    <s v="True"/>
    <s v="Normal"/>
    <s v="Shopify Payments"/>
    <s v="Online Store"/>
    <s v="pending"/>
    <s v="United States"/>
    <s v="Florida"/>
    <s v="Valid"/>
    <s v="Longland"/>
  </r>
  <r>
    <s v="#2495"/>
    <n v="1"/>
    <d v="2026-08-04T14:05:30"/>
    <d v="2026-08-04T14:05:30"/>
    <s v="Kelly Wyatt"/>
    <s v="Email Available"/>
    <s v="kelly.wyatt277@yahoo.com"/>
    <x v="3"/>
    <s v="Apparel"/>
    <x v="4"/>
    <n v="1"/>
    <n v="14.99"/>
    <n v="14.99"/>
    <m/>
    <s v=""/>
    <n v="0"/>
    <n v="0"/>
    <s v="Number"/>
    <n v="7.99"/>
    <n v="7.99"/>
    <n v="22.98"/>
    <n v="22.98"/>
    <n v="22.98"/>
    <s v="True"/>
    <s v="Normal"/>
    <s v="Google Pay"/>
    <s v="Online Store"/>
    <s v="cancelled"/>
    <s v="Germany"/>
    <m/>
    <s v="Not Required"/>
    <s v="Kinghaven"/>
  </r>
  <r>
    <s v="#2501"/>
    <n v="1"/>
    <d v="2026-08-04T00:00:00"/>
    <s v="2026-08-04"/>
    <s v="Patrick Evans"/>
    <s v="Email Available"/>
    <s v="patrick.evans152@icloud.com"/>
    <x v="3"/>
    <s v="Apparel"/>
    <x v="3"/>
    <n v="2"/>
    <n v="14.99"/>
    <n v="14.99"/>
    <m/>
    <s v=""/>
    <n v="0"/>
    <n v="0"/>
    <s v="Number"/>
    <n v="4.99"/>
    <n v="4.99"/>
    <n v="34.97"/>
    <n v="34.97"/>
    <n v="34.97"/>
    <s v="True"/>
    <s v="Normal"/>
    <s v="Google Pay"/>
    <s v="Online Store"/>
    <s v="refunded"/>
    <s v="United States"/>
    <s v="Florida"/>
    <s v="Valid"/>
    <s v="Wardstad"/>
  </r>
  <r>
    <s v="#2531"/>
    <n v="1"/>
    <d v="2026-08-04T13:57:29"/>
    <d v="2026-08-04T13:57:29"/>
    <s v="Kiara Burke"/>
    <s v="Email Available"/>
    <s v="kiara.burke246@yahoo.com"/>
    <x v="3"/>
    <s v="Apparel"/>
    <x v="3"/>
    <n v="3"/>
    <n v="14.99"/>
    <n v="14.99"/>
    <s v="SAVE20"/>
    <s v="SAVE20"/>
    <n v="8.99"/>
    <n v="8.99"/>
    <s v="Number"/>
    <n v="4.99"/>
    <n v="4.99"/>
    <n v="40.97"/>
    <n v="40.97"/>
    <n v="40.97"/>
    <s v="True"/>
    <s v="Normal"/>
    <s v="Shopify Payments"/>
    <s v="Instagram"/>
    <s v="fulfilled"/>
    <s v="Germany"/>
    <m/>
    <s v="Not Required"/>
    <s v="West Leslieton"/>
  </r>
  <r>
    <s v="#2553"/>
    <n v="1"/>
    <d v="2026-04-08T00:00:00"/>
    <s v="08/04/2026"/>
    <s v="Lauren Nguyen"/>
    <s v="Missing Email"/>
    <m/>
    <x v="3"/>
    <s v="Apparel"/>
    <x v="3"/>
    <n v="1"/>
    <n v="14.99"/>
    <n v="14.99"/>
    <s v="BFCM25"/>
    <s v="BFCM25"/>
    <n v="3.75"/>
    <n v="3.75"/>
    <s v="Number"/>
    <n v="5.99"/>
    <n v="5.99"/>
    <n v="17.23"/>
    <n v="17.23"/>
    <n v="17.23"/>
    <s v="True"/>
    <s v="Normal"/>
    <s v="Google Pay"/>
    <s v="POS"/>
    <s v="fulfilled"/>
    <s v="United Kingdom"/>
    <m/>
    <s v="Not Required"/>
    <s v="Lloydtown"/>
  </r>
  <r>
    <s v="#2560"/>
    <n v="1"/>
    <d v="2026-08-04T13:54:19"/>
    <d v="2026-08-04T13:54:19"/>
    <s v="Dana Davenport"/>
    <s v="Email Available"/>
    <s v="dana.davenport907@yahoo.com"/>
    <x v="3"/>
    <s v="Apparel"/>
    <x v="4"/>
    <n v="2"/>
    <n v="14.99"/>
    <n v="14.99"/>
    <s v="BFCM25 "/>
    <s v="BFCM25"/>
    <n v="7.5"/>
    <n v="7.5"/>
    <s v="Number"/>
    <n v="4.99"/>
    <n v="4.99"/>
    <n v="27.47"/>
    <n v="27.47"/>
    <n v="27.47"/>
    <s v="True"/>
    <s v="Normal"/>
    <s v="Shopify Payments"/>
    <s v="Instagram"/>
    <s v="fulfilled"/>
    <s v="United States"/>
    <s v="NY"/>
    <s v="Valid"/>
    <s v="New Dennis"/>
  </r>
  <r>
    <s v="#2586"/>
    <n v="1"/>
    <d v="2026-08-04T14:00:49"/>
    <d v="2026-08-04T14:00:49"/>
    <s v="Rebecca Watts"/>
    <s v="Email Available"/>
    <s v="rebecca.watts779@gmail.com"/>
    <x v="3"/>
    <s v="Apparel"/>
    <x v="4"/>
    <n v="2"/>
    <n v="14.99"/>
    <n v="14.99"/>
    <s v="FREESHIP"/>
    <s v="FREESHIP"/>
    <n v="0"/>
    <n v="0"/>
    <s v="Number"/>
    <n v="0"/>
    <n v="0"/>
    <n v="29.98"/>
    <n v="29.98"/>
    <n v="29.98"/>
    <s v="True"/>
    <s v="Normal"/>
    <s v="PayPal"/>
    <s v="Online Store"/>
    <s v="fulfilled"/>
    <s v="United States"/>
    <s v="Ohio"/>
    <s v="Valid"/>
    <s v="West Dale"/>
  </r>
  <r>
    <s v="#2593"/>
    <n v="1"/>
    <d v="2026-08-04T14:07:37"/>
    <d v="2026-08-04T14:07:37"/>
    <s v="Margaret Conley"/>
    <s v="Email Available"/>
    <s v="margaret.conley327@icloud.com"/>
    <x v="3"/>
    <s v="Apparel"/>
    <x v="3"/>
    <n v="4"/>
    <n v="14.99"/>
    <n v="14.99"/>
    <m/>
    <s v=""/>
    <n v="0"/>
    <n v="0"/>
    <s v="Number"/>
    <n v="4.99"/>
    <n v="4.99"/>
    <n v="64.95"/>
    <n v="64.95"/>
    <n v="64.95"/>
    <s v="True"/>
    <s v="Normal"/>
    <s v="Shopify Payments"/>
    <s v="Online Store"/>
    <s v="fulfilled"/>
    <s v="Australia"/>
    <m/>
    <s v="Not Required"/>
    <s v="Marystad"/>
  </r>
  <r>
    <s v="#2598"/>
    <n v="1"/>
    <d v="2026-04-08T00:00:00"/>
    <s v="08/04/2026"/>
    <s v="Cody Murray"/>
    <s v="Email Available"/>
    <s v="cody.murray456@gmail.com"/>
    <x v="3"/>
    <s v="Apparel"/>
    <x v="4"/>
    <n v="1"/>
    <n v="14.99"/>
    <n v="14.99"/>
    <m/>
    <s v=""/>
    <n v="0"/>
    <n v="0"/>
    <s v="Number"/>
    <n v="4.99"/>
    <n v="4.99"/>
    <n v="19.98"/>
    <n v="19.98"/>
    <n v="19.98"/>
    <s v="True"/>
    <s v="Normal"/>
    <s v="Credit Card"/>
    <s v="Facebook"/>
    <s v="refunded"/>
    <s v="United Kingdom"/>
    <m/>
    <s v="Not Required"/>
    <s v="Bergville"/>
  </r>
  <r>
    <s v="#2600"/>
    <n v="1"/>
    <d v="2026-08-04T13:59:53"/>
    <d v="2026-08-04T13:59:53"/>
    <s v="Anthony Marshall"/>
    <s v="Email Available"/>
    <s v="anthony.marshall823@yahoo.com"/>
    <x v="3"/>
    <s v="Apparel"/>
    <x v="4"/>
    <n v="1"/>
    <n v="14.99"/>
    <n v="14.99"/>
    <s v="WELCOME10"/>
    <s v="WELCOME10"/>
    <n v="1.5"/>
    <n v="1.5"/>
    <s v="Number"/>
    <n v="5.99"/>
    <n v="5.99"/>
    <n v="19.48"/>
    <n v="19.48"/>
    <n v="19.48"/>
    <s v="True"/>
    <s v="Normal"/>
    <s v="Shopify Payments"/>
    <s v="Instagram"/>
    <s v="pending"/>
    <s v="United States"/>
    <s v="Texas"/>
    <s v="Valid"/>
    <s v="New Shawn"/>
  </r>
  <r>
    <s v="#2605"/>
    <n v="1"/>
    <d v="2026-08-04T13:57:53"/>
    <d v="2026-08-04T13:57:53"/>
    <s v="brooke crawford"/>
    <s v="Email Available"/>
    <s v="brooke.crawford896@outlook.com"/>
    <x v="3"/>
    <s v="Apparel"/>
    <x v="4"/>
    <n v="1"/>
    <n v="14.99"/>
    <n v="14.99"/>
    <s v="BFCM25"/>
    <s v="BFCM25"/>
    <n v="3.75"/>
    <n v="3.75"/>
    <s v="Number"/>
    <n v="7.99"/>
    <n v="7.99"/>
    <n v="19.23"/>
    <n v="19.23"/>
    <n v="19.23"/>
    <s v="True"/>
    <s v="Normal"/>
    <s v="Google Pay"/>
    <s v="Online Store"/>
    <s v="refunded"/>
    <s v="Pakistan"/>
    <m/>
    <s v="Not Required"/>
    <s v="Samanthastad"/>
  </r>
  <r>
    <s v="#2627"/>
    <n v="1"/>
    <d v="2026-08-04T13:54:15"/>
    <d v="2026-08-04T13:54:15"/>
    <s v="James Miller"/>
    <s v="Email Available"/>
    <s v="james.miller866@yahoo.com"/>
    <x v="3"/>
    <s v="Apparel"/>
    <x v="3"/>
    <n v="2"/>
    <n v="14.99"/>
    <n v="14.99"/>
    <s v="BFCM25"/>
    <s v="BFCM25"/>
    <n v="7.5"/>
    <n v="7.5"/>
    <s v="Number"/>
    <n v="4.99"/>
    <n v="4.99"/>
    <n v="27.47"/>
    <n v="27.47"/>
    <n v="27.47"/>
    <s v="True"/>
    <s v="Normal"/>
    <s v="Credit Card"/>
    <s v="POS"/>
    <s v="fulfilled"/>
    <s v="Pakistan"/>
    <m/>
    <s v="Not Required"/>
    <s v="Taylorton"/>
  </r>
  <r>
    <s v="#2645"/>
    <n v="1"/>
    <d v="2026-08-04T13:56:33"/>
    <d v="2026-08-04T13:56:33"/>
    <s v="David Knapp"/>
    <s v="Email Available"/>
    <s v="david.knapp687@yahoo.com"/>
    <x v="3"/>
    <s v="Apparel"/>
    <x v="3"/>
    <n v="1"/>
    <n v="14.99"/>
    <n v="14.99"/>
    <m/>
    <s v=""/>
    <n v="0"/>
    <n v="0"/>
    <s v="Number"/>
    <n v="4.99"/>
    <n v="4.99"/>
    <n v="19.98"/>
    <n v="19.98"/>
    <n v="19.98"/>
    <s v="True"/>
    <s v="Normal"/>
    <s v="Shopify Payments"/>
    <s v="Instagram"/>
    <s v="pending"/>
    <s v="United States"/>
    <s v="AZ"/>
    <s v="Valid"/>
    <s v="South Carlberg"/>
  </r>
  <r>
    <s v="#2672"/>
    <n v="1"/>
    <d v="2026-08-04T13:56:39"/>
    <d v="2026-08-04T13:56:39"/>
    <s v="Tina Singh"/>
    <s v="Email Available"/>
    <s v="tina.singh98@icloud.com"/>
    <x v="3"/>
    <s v="Apparel"/>
    <x v="4"/>
    <n v="1"/>
    <n v="14.99"/>
    <n v="14.99"/>
    <s v="FREESHIP"/>
    <s v="FREESHIP"/>
    <n v="0"/>
    <n v="0"/>
    <s v="Number"/>
    <n v="0"/>
    <n v="0"/>
    <n v="14.99"/>
    <n v="14.99"/>
    <n v="14.99"/>
    <s v="True"/>
    <s v="Normal"/>
    <s v="Google Pay"/>
    <s v="Online Store"/>
    <s v="cancelled"/>
    <s v="United States"/>
    <s v="Florida"/>
    <s v="Valid"/>
    <s v="New Robertchester"/>
  </r>
  <r>
    <s v="#2680"/>
    <n v="1"/>
    <d v="2026-08-04T14:07:25"/>
    <d v="2026-08-04T14:07:25"/>
    <s v="James Castro"/>
    <s v="Missing Email"/>
    <m/>
    <x v="3"/>
    <s v="Apparel"/>
    <x v="3"/>
    <n v="2"/>
    <n v="14.99"/>
    <n v="14.99"/>
    <s v="WELCOME10"/>
    <s v="WELCOME10"/>
    <n v="3"/>
    <n v="3"/>
    <s v="Number"/>
    <n v="7.99"/>
    <n v="7.99"/>
    <n v="34.97"/>
    <n v="34.97"/>
    <n v="34.97"/>
    <s v="True"/>
    <s v="Normal"/>
    <s v="Apple Pay"/>
    <s v="Facebook"/>
    <s v="refunded"/>
    <s v="Pakistan"/>
    <m/>
    <s v="Not Required"/>
    <s v="South Manuel"/>
  </r>
  <r>
    <s v="#2689"/>
    <n v="1"/>
    <d v="2026-08-04T13:56:59"/>
    <d v="2026-08-04T13:56:59"/>
    <s v="Dustin Mccoy"/>
    <s v="Email Available"/>
    <s v="dustin.mccoy570@gmail.com"/>
    <x v="3"/>
    <s v="Apparel"/>
    <x v="4"/>
    <n v="1"/>
    <n v="14.99"/>
    <n v="14.99"/>
    <m/>
    <s v=""/>
    <n v="0"/>
    <n v="0"/>
    <s v="Number"/>
    <n v="4.99"/>
    <n v="4.99"/>
    <n v="19.98"/>
    <n v="19.98"/>
    <n v="19.98"/>
    <s v="True"/>
    <s v="Normal"/>
    <s v="Shopify Payments"/>
    <s v="Facebook"/>
    <s v="fulfilled"/>
    <s v="Canada"/>
    <m/>
    <s v="Not Required"/>
    <s v="Sarabury"/>
  </r>
  <r>
    <s v="#2691"/>
    <n v="1"/>
    <d v="2026-08-04T14:06:28"/>
    <d v="2026-08-04T14:06:28"/>
    <s v="Brian Ruiz"/>
    <s v="Email Available"/>
    <s v="brian.ruiz246@gmail.com"/>
    <x v="3"/>
    <s v="Apparel"/>
    <x v="4"/>
    <n v="1"/>
    <n v="14.99"/>
    <n v="14.99"/>
    <s v="WELCOME10"/>
    <s v="WELCOME10"/>
    <s v="$1.50"/>
    <n v="1.5"/>
    <s v="Number"/>
    <n v="4.99"/>
    <n v="4.99"/>
    <n v="18.48"/>
    <n v="18.48"/>
    <n v="18.48"/>
    <s v="True"/>
    <s v="Normal"/>
    <s v="Credit Card"/>
    <s v="Instagram"/>
    <s v="refunded"/>
    <s v="Germany"/>
    <m/>
    <s v="Not Required"/>
    <s v="Veronicaborough"/>
  </r>
  <r>
    <s v="#2704"/>
    <n v="1"/>
    <d v="2026-08-04T14:06:42"/>
    <d v="2026-08-04T14:06:42"/>
    <s v="Katie Coleman"/>
    <s v="Email Available"/>
    <s v="katie.coleman262@outlook.com"/>
    <x v="3"/>
    <s v="Apparel"/>
    <x v="4"/>
    <n v="1"/>
    <n v="14.99"/>
    <n v="14.99"/>
    <s v="VIP15"/>
    <s v="VIP15"/>
    <n v="2.25"/>
    <n v="2.25"/>
    <s v="Number"/>
    <n v="5.99"/>
    <n v="5.99"/>
    <n v="18.73"/>
    <n v="18.73"/>
    <n v="18.73"/>
    <s v="True"/>
    <s v="Normal"/>
    <s v="Google Pay"/>
    <s v="Online Store"/>
    <s v="fulfilled"/>
    <s v="Canada"/>
    <m/>
    <s v="Not Required"/>
    <s v="East Annaville"/>
  </r>
  <r>
    <s v="#2717"/>
    <n v="1"/>
    <d v="2026-08-04T14:00:35"/>
    <d v="2026-08-04T14:00:35"/>
    <s v="David Duke"/>
    <s v="Email Available"/>
    <s v="david.duke814@icloud.com"/>
    <x v="3"/>
    <s v="Apparel"/>
    <x v="3"/>
    <n v="1"/>
    <n v="14.99"/>
    <n v="14.99"/>
    <m/>
    <s v=""/>
    <n v="0"/>
    <n v="0"/>
    <s v="Number"/>
    <n v="5.99"/>
    <n v="5.99"/>
    <n v="20.98"/>
    <n v="20.98"/>
    <n v="20.98"/>
    <s v="True"/>
    <s v="Normal"/>
    <s v="Credit Card"/>
    <s v="Facebook"/>
    <s v="cancelled"/>
    <s v="United States"/>
    <s v="California"/>
    <s v="Valid"/>
    <s v="Milesberg"/>
  </r>
  <r>
    <s v="#2721"/>
    <n v="1"/>
    <d v="2026-08-04T13:56:33"/>
    <d v="2026-08-04T13:56:33"/>
    <s v="Kimberly Cordova"/>
    <s v="Email Available"/>
    <s v="kimberly.cordova508@icloud.com"/>
    <x v="3"/>
    <s v="Apparel"/>
    <x v="4"/>
    <n v="1"/>
    <n v="14.99"/>
    <n v="14.99"/>
    <s v="SAVE20"/>
    <s v="SAVE20"/>
    <s v="$3.00"/>
    <n v="3"/>
    <s v="Number"/>
    <n v="4.99"/>
    <n v="4.99"/>
    <n v="16.98"/>
    <n v="16.98"/>
    <n v="16.98"/>
    <s v="True"/>
    <s v="Normal"/>
    <s v="Credit Card"/>
    <s v="Online Store"/>
    <s v="pending"/>
    <s v="Pakistan"/>
    <m/>
    <s v="Not Required"/>
    <s v="Hendersonview"/>
  </r>
  <r>
    <s v="#2723"/>
    <n v="1"/>
    <d v="2026-08-04T13:56:10"/>
    <d v="2026-08-04T13:56:10"/>
    <s v="Laura Johnson"/>
    <s v="Email Available"/>
    <s v="laura.johnson708@outlook.com"/>
    <x v="3"/>
    <s v="Apparel"/>
    <x v="3"/>
    <n v="1"/>
    <n v="14.99"/>
    <n v="14.99"/>
    <s v="VIP15"/>
    <s v="VIP15"/>
    <n v="2.25"/>
    <n v="2.25"/>
    <s v="Number"/>
    <n v="7.99"/>
    <n v="7.99"/>
    <n v="20.73"/>
    <n v="20.73"/>
    <n v="20.73"/>
    <s v="True"/>
    <s v="Normal"/>
    <s v="Shopify Payments"/>
    <s v="POS"/>
    <s v="refunded"/>
    <s v="Australia"/>
    <m/>
    <s v="Not Required"/>
    <s v="Jessicatown"/>
  </r>
  <r>
    <s v="#2726"/>
    <n v="1"/>
    <d v="2026-04-08T00:00:00"/>
    <s v="08/04/2026"/>
    <s v="  Sandra Potter"/>
    <s v="Email Available"/>
    <s v="sandra.potter166@yahoo.com"/>
    <x v="3"/>
    <s v="Apparel"/>
    <x v="4"/>
    <n v="1"/>
    <n v="14.99"/>
    <n v="14.99"/>
    <s v="FREESHIP"/>
    <s v="FREESHIP"/>
    <n v="0"/>
    <n v="0"/>
    <s v="Number"/>
    <n v="0"/>
    <n v="0"/>
    <n v="14.99"/>
    <n v="14.99"/>
    <n v="14.99"/>
    <s v="True"/>
    <s v="Normal"/>
    <s v="Apple Pay"/>
    <s v="Online Store"/>
    <s v="fulfilled"/>
    <s v="United States"/>
    <s v="Georgia"/>
    <s v="Valid"/>
    <s v="Reeseport"/>
  </r>
  <r>
    <s v="#2729"/>
    <n v="1"/>
    <d v="2026-08-04T14:02:00"/>
    <d v="2026-08-04T14:02:00"/>
    <s v="Amy Barnett"/>
    <s v="Email Available"/>
    <s v="amy.barnett396@icloud.com"/>
    <x v="3"/>
    <s v="Apparel"/>
    <x v="3"/>
    <n v="1"/>
    <n v="14.99"/>
    <n v="14.99"/>
    <s v="BFCM25"/>
    <s v="BFCM25"/>
    <n v="3.75"/>
    <n v="3.75"/>
    <s v="Number"/>
    <n v="7.99"/>
    <n v="7.99"/>
    <n v="19.23"/>
    <n v="19.23"/>
    <n v="19.23"/>
    <s v="True"/>
    <s v="Normal"/>
    <s v="Apple Pay"/>
    <s v="Online Store"/>
    <s v="fulfilled"/>
    <s v="Pakistan"/>
    <m/>
    <s v="Not Required"/>
    <s v="New Deanna"/>
  </r>
  <r>
    <s v="#2738"/>
    <n v="1"/>
    <d v="2026-04-08T00:00:00"/>
    <s v="08/04/2026"/>
    <s v="Melanie Kennedy"/>
    <s v="Email Available"/>
    <s v="melanie.kennedy658@yahoo.com"/>
    <x v="3"/>
    <s v="Apparel"/>
    <x v="4"/>
    <n v="2"/>
    <n v="14.99"/>
    <n v="14.99"/>
    <s v="SAVE20"/>
    <s v="SAVE20"/>
    <n v="6"/>
    <n v="6"/>
    <s v="Number"/>
    <n v="4.99"/>
    <n v="4.99"/>
    <n v="28.97"/>
    <n v="28.97"/>
    <n v="28.97"/>
    <s v="True"/>
    <s v="Normal"/>
    <s v="PayPal"/>
    <s v="Facebook"/>
    <s v="fulfilled"/>
    <s v="United States"/>
    <s v="Arizona"/>
    <s v="Valid"/>
    <s v="East Michael"/>
  </r>
  <r>
    <s v="#2739"/>
    <n v="1"/>
    <d v="2026-04-08T00:00:00"/>
    <s v="08/04/2026"/>
    <s v="Johnathan Sloan"/>
    <s v="Email Available"/>
    <s v="johnathan.sloan721@outlook.com"/>
    <x v="3"/>
    <s v="Apparel"/>
    <x v="3"/>
    <n v="1"/>
    <n v="14.99"/>
    <n v="14.99"/>
    <m/>
    <s v=""/>
    <n v="0"/>
    <n v="0"/>
    <s v="Number"/>
    <n v="7.99"/>
    <n v="7.99"/>
    <s v="$22.98"/>
    <n v="22.98"/>
    <n v="22.98"/>
    <s v="True"/>
    <s v="Normal"/>
    <s v="Apple Pay"/>
    <s v="POS"/>
    <s v="fulfilled"/>
    <s v="Pakistan"/>
    <m/>
    <s v="Not Required"/>
    <s v="Lake Vincentburgh"/>
  </r>
  <r>
    <s v="#2743"/>
    <n v="1"/>
    <d v="2026-08-04T14:05:16"/>
    <d v="2026-08-04T14:05:16"/>
    <s v="Michael Hays"/>
    <s v="Email Available"/>
    <s v="michael.hays590@gmail.com"/>
    <x v="3"/>
    <s v="Apparel"/>
    <x v="4"/>
    <n v="2"/>
    <n v="14.99"/>
    <n v="14.99"/>
    <m/>
    <s v=""/>
    <n v="0"/>
    <n v="0"/>
    <s v="Number"/>
    <n v="4.99"/>
    <n v="4.99"/>
    <n v="34.97"/>
    <n v="34.97"/>
    <n v="34.97"/>
    <s v="True"/>
    <s v="Normal"/>
    <s v="Shopify Payments"/>
    <s v="Online Store"/>
    <s v="fulfilled"/>
    <s v="United States"/>
    <s v="New York"/>
    <s v="Valid"/>
    <s v="North Heidi"/>
  </r>
  <r>
    <s v="#2746"/>
    <n v="1"/>
    <d v="2026-08-04T14:04:16"/>
    <d v="2026-08-04T14:04:16"/>
    <s v="Kathryn Robinson"/>
    <s v="Email Available"/>
    <s v="kathryn.robinson965@gmail.com"/>
    <x v="3"/>
    <s v="Apparel"/>
    <x v="4"/>
    <n v="2"/>
    <s v="$14.99"/>
    <n v="14.99"/>
    <m/>
    <s v=""/>
    <n v="0"/>
    <n v="0"/>
    <s v="Number"/>
    <n v="5.99"/>
    <n v="5.99"/>
    <n v="35.97"/>
    <n v="35.97"/>
    <n v="35.97"/>
    <s v="True"/>
    <s v="Normal"/>
    <s v="Google Pay"/>
    <s v="Instagram"/>
    <s v="fulfilled"/>
    <s v="United Kingdom"/>
    <m/>
    <s v="Not Required"/>
    <s v="East Derekhaven"/>
  </r>
  <r>
    <s v="#2756"/>
    <n v="1"/>
    <d v="2026-08-04T13:56:54"/>
    <d v="2026-08-04T13:56:54"/>
    <s v="Aimee Smith"/>
    <s v="Email Available"/>
    <s v="aimee.smith857@icloud.com"/>
    <x v="3"/>
    <s v="Apparel"/>
    <x v="3"/>
    <n v="1"/>
    <n v="14.99"/>
    <n v="14.99"/>
    <m/>
    <s v=""/>
    <n v="0"/>
    <n v="0"/>
    <s v="Number"/>
    <n v="5.99"/>
    <n v="5.99"/>
    <n v="20.98"/>
    <n v="20.98"/>
    <n v="20.98"/>
    <s v="True"/>
    <s v="Normal"/>
    <s v="Credit Card"/>
    <s v="Online Store"/>
    <s v="fulfilled"/>
    <s v="United Kingdom"/>
    <m/>
    <s v="Not Required"/>
    <s v="Port John"/>
  </r>
  <r>
    <s v="#2765"/>
    <n v="1"/>
    <d v="2026-04-08T00:00:00"/>
    <s v="08/04/2026"/>
    <s v="Thomas Rojas"/>
    <s v="Email Available"/>
    <s v="thomas.rojas667@icloud.com"/>
    <x v="3"/>
    <s v="Apparel"/>
    <x v="4"/>
    <n v="1"/>
    <n v="14.99"/>
    <n v="14.99"/>
    <s v="SAVE20"/>
    <s v="SAVE20"/>
    <n v="3"/>
    <n v="3"/>
    <s v="Number"/>
    <n v="4.99"/>
    <n v="4.99"/>
    <n v="16.98"/>
    <n v="16.98"/>
    <n v="16.98"/>
    <s v="True"/>
    <s v="Normal"/>
    <s v="Apple Pay"/>
    <s v="Online Store"/>
    <s v="fulfilled"/>
    <s v="United States"/>
    <s v="Ohio"/>
    <s v="Valid"/>
    <s v="West Ashley"/>
  </r>
  <r>
    <s v="#2768"/>
    <n v="1"/>
    <d v="2026-08-04T13:58:52"/>
    <d v="2026-08-04T13:58:52"/>
    <s v="George Green"/>
    <s v="Email Available"/>
    <s v="george.green694@icloud.com"/>
    <x v="3"/>
    <s v="Apparel"/>
    <x v="4"/>
    <n v="2"/>
    <n v="14.99"/>
    <n v="14.99"/>
    <m/>
    <s v=""/>
    <n v="0"/>
    <n v="0"/>
    <s v="Number"/>
    <n v="5.99"/>
    <n v="5.99"/>
    <n v="35.97"/>
    <n v="35.97"/>
    <n v="35.97"/>
    <s v="True"/>
    <s v="Normal"/>
    <s v="PayPal"/>
    <s v="Instagram"/>
    <s v="refunded"/>
    <s v="United States"/>
    <s v="Texas"/>
    <s v="Valid"/>
    <s v="North Heatherberg"/>
  </r>
  <r>
    <s v="#2792"/>
    <n v="1"/>
    <d v="2026-08-04T13:57:37"/>
    <d v="2026-08-04T13:57:37"/>
    <s v="Donald Davis"/>
    <s v="Email Available"/>
    <s v="donald.davis404@icloud.com"/>
    <x v="3"/>
    <s v="Apparel"/>
    <x v="4"/>
    <n v="1"/>
    <n v="14.99"/>
    <n v="14.99"/>
    <s v="BFCM25"/>
    <s v="BFCM25"/>
    <n v="3.75"/>
    <n v="3.75"/>
    <s v="Number"/>
    <n v="7.99"/>
    <n v="7.99"/>
    <n v="19.23"/>
    <n v="19.23"/>
    <n v="19.23"/>
    <s v="True"/>
    <s v="Normal"/>
    <s v="Shopify Payments"/>
    <s v="POS"/>
    <s v="pending"/>
    <s v="Canada"/>
    <m/>
    <s v="Not Required"/>
    <s v="West Marcus"/>
  </r>
  <r>
    <s v="#2808"/>
    <n v="1"/>
    <d v="2026-08-04T14:03:43"/>
    <d v="2026-08-04T14:03:43"/>
    <s v="Carly Johnson"/>
    <s v="Email Available"/>
    <s v="carly.johnson664@gmail.com"/>
    <x v="3"/>
    <s v="Apparel"/>
    <x v="3"/>
    <n v="1"/>
    <n v="14.99"/>
    <n v="14.99"/>
    <s v="SAVE20"/>
    <s v="SAVE20"/>
    <n v="3"/>
    <n v="3"/>
    <s v="Number"/>
    <n v="4.99"/>
    <n v="4.99"/>
    <n v="16.98"/>
    <n v="16.98"/>
    <n v="16.98"/>
    <s v="True"/>
    <s v="Normal"/>
    <s v="Google Pay"/>
    <s v="Online Store"/>
    <s v="fulfilled"/>
    <s v="Germany"/>
    <m/>
    <s v="Not Required"/>
    <s v="Kingmouth"/>
  </r>
  <r>
    <s v="#2809"/>
    <n v="1"/>
    <d v="2026-08-04T13:57:45"/>
    <d v="2026-08-04T13:57:45"/>
    <s v="James Miller"/>
    <s v="Email Available"/>
    <s v="james.miller866@yahoo.com"/>
    <x v="3"/>
    <s v="Apparel"/>
    <x v="4"/>
    <n v="1"/>
    <n v="14.99"/>
    <n v="14.99"/>
    <s v="SAVE20"/>
    <s v="SAVE20"/>
    <n v="3"/>
    <n v="3"/>
    <s v="Number"/>
    <n v="7.99"/>
    <n v="7.99"/>
    <n v="19.98"/>
    <n v="19.98"/>
    <n v="19.98"/>
    <s v="True"/>
    <s v="Normal"/>
    <s v="Shopify Payments"/>
    <s v="Online Store"/>
    <s v="fulfilled"/>
    <s v="Pakistan"/>
    <m/>
    <s v="Not Required"/>
    <s v="Timothyfort"/>
  </r>
  <r>
    <s v="#2813"/>
    <n v="1"/>
    <d v="2026-08-04T14:06:09"/>
    <d v="2026-08-04T14:06:09"/>
    <s v="Sean Frank"/>
    <s v="Email Available"/>
    <s v="sean.frank587@icloud.com"/>
    <x v="3"/>
    <s v="Apparel"/>
    <x v="4"/>
    <n v="1"/>
    <n v="14.99"/>
    <n v="14.99"/>
    <s v="WELCOME10"/>
    <s v="WELCOME10"/>
    <n v="1.5"/>
    <n v="1.5"/>
    <s v="Number"/>
    <n v="5.99"/>
    <n v="5.99"/>
    <n v="19.48"/>
    <n v="19.48"/>
    <n v="19.48"/>
    <s v="True"/>
    <s v="Normal"/>
    <s v="Apple Pay"/>
    <s v="Online Store"/>
    <s v="pending"/>
    <s v="Australia"/>
    <m/>
    <s v="Not Required"/>
    <s v="Lake Breannashire"/>
  </r>
  <r>
    <s v="#2814"/>
    <n v="1"/>
    <d v="2026-08-04T14:01:26"/>
    <d v="2026-08-04T14:01:26"/>
    <s v="Andrea Martinez"/>
    <s v="Email Available"/>
    <s v="andrea.martinez756@yahoo.com"/>
    <x v="3"/>
    <s v="Apparel"/>
    <x v="4"/>
    <n v="2"/>
    <n v="14.99"/>
    <n v="14.99"/>
    <s v="SAVE20"/>
    <s v="SAVE20"/>
    <n v="6"/>
    <n v="6"/>
    <s v="Number"/>
    <n v="4.99"/>
    <n v="4.99"/>
    <n v="28.97"/>
    <n v="28.97"/>
    <n v="28.97"/>
    <s v="True"/>
    <s v="Normal"/>
    <s v="Shopify Payments"/>
    <s v="Online Store"/>
    <s v="fulfilled"/>
    <s v="Australia"/>
    <m/>
    <s v="Not Required"/>
    <s v="Alisonton"/>
  </r>
  <r>
    <s v="#2846"/>
    <n v="1"/>
    <d v="2026-08-04T14:02:44"/>
    <d v="2026-08-04T14:02:44"/>
    <s v="Christina Mcknight"/>
    <s v="Email Available"/>
    <s v="christina.mcknight904@outlook.com"/>
    <x v="3"/>
    <s v="Apparel"/>
    <x v="3"/>
    <n v="1"/>
    <n v="14.99"/>
    <n v="14.99"/>
    <m/>
    <s v=""/>
    <n v="0"/>
    <n v="0"/>
    <s v="Number"/>
    <n v="7.99"/>
    <n v="7.99"/>
    <n v="22.98"/>
    <n v="22.98"/>
    <n v="22.98"/>
    <s v="True"/>
    <s v="Normal"/>
    <s v="Google Pay"/>
    <s v="Instagram"/>
    <s v="refunded"/>
    <s v="United States"/>
    <s v="New York"/>
    <s v="Valid"/>
    <s v="Rodriguezmouth"/>
  </r>
  <r>
    <s v="#2852"/>
    <n v="1"/>
    <d v="2026-08-04T14:05:27"/>
    <d v="2026-08-04T14:05:27"/>
    <s v="Joanne Perez"/>
    <s v="Email Available"/>
    <s v="joanne.perez120@gmail.com"/>
    <x v="3"/>
    <s v="Apparel"/>
    <x v="3"/>
    <n v="1"/>
    <n v="14.99"/>
    <n v="14.99"/>
    <s v="VIP15"/>
    <s v="VIP15"/>
    <n v="2.25"/>
    <n v="2.25"/>
    <s v="Number"/>
    <n v="7.99"/>
    <n v="7.99"/>
    <n v="20.73"/>
    <n v="20.73"/>
    <n v="20.73"/>
    <s v="True"/>
    <s v="Normal"/>
    <s v="Credit Card"/>
    <s v="Online Store"/>
    <s v="fulfilled"/>
    <s v="United States"/>
    <s v="Arizona"/>
    <s v="Valid"/>
    <s v="West Susan"/>
  </r>
  <r>
    <s v="#2877"/>
    <n v="1"/>
    <d v="2026-08-04T14:01:23"/>
    <d v="2026-08-04T14:01:23"/>
    <s v="Jennifer White"/>
    <s v="Email Available"/>
    <s v="jennifer.white450@icloud.com"/>
    <x v="3"/>
    <s v="Apparel"/>
    <x v="3"/>
    <n v="1"/>
    <n v="14.99"/>
    <n v="14.99"/>
    <s v="FREESHIP"/>
    <s v="FREESHIP"/>
    <n v="0"/>
    <n v="0"/>
    <s v="Number"/>
    <n v="0"/>
    <n v="0"/>
    <n v="14.99"/>
    <n v="14.99"/>
    <n v="14.99"/>
    <s v="True"/>
    <s v="Normal"/>
    <s v="Credit Card"/>
    <s v="Online Store"/>
    <s v="fulfilled"/>
    <s v="United States"/>
    <s v="Canada"/>
    <s v="Valid"/>
    <s v="West Travis"/>
  </r>
  <r>
    <s v="#2878"/>
    <n v="1"/>
    <d v="2026-08-04T14:08:18"/>
    <d v="2026-08-04T14:08:18"/>
    <s v="Robert Bryant"/>
    <s v="Email Available"/>
    <s v="robert.bryant21@gmail.com"/>
    <x v="3"/>
    <s v="Apparel"/>
    <x v="4"/>
    <n v="2"/>
    <n v="14.99"/>
    <n v="14.99"/>
    <m/>
    <s v=""/>
    <n v="0"/>
    <n v="0"/>
    <s v="Number"/>
    <n v="4.99"/>
    <n v="4.99"/>
    <n v="34.97"/>
    <n v="34.97"/>
    <n v="34.97"/>
    <s v="True"/>
    <s v="Normal"/>
    <s v="Google Pay"/>
    <s v="Online Store"/>
    <s v="fulfilled"/>
    <s v="Germany"/>
    <m/>
    <s v="Not Required"/>
    <s v="East Jakeberg"/>
  </r>
  <r>
    <s v="#2889"/>
    <n v="1"/>
    <d v="2026-08-04T14:06:32"/>
    <d v="2026-08-04T14:06:32"/>
    <s v="Christopher Harrington"/>
    <s v="Email Available"/>
    <s v="christopher.harrington960@gmail.com"/>
    <x v="3"/>
    <s v="Apparel"/>
    <x v="4"/>
    <n v="1"/>
    <n v="14.99"/>
    <n v="14.99"/>
    <s v="SAVE20"/>
    <s v="SAVE20"/>
    <n v="3"/>
    <n v="3"/>
    <s v="Number"/>
    <n v="4.99"/>
    <n v="4.99"/>
    <n v="16.98"/>
    <n v="16.98"/>
    <n v="16.98"/>
    <s v="True"/>
    <s v="Normal"/>
    <s v="Credit Card"/>
    <s v="POS"/>
    <s v="fulfilled"/>
    <s v="Australia"/>
    <m/>
    <s v="Not Required"/>
    <s v="North Christopherhaven"/>
  </r>
  <r>
    <s v="#2893"/>
    <n v="1"/>
    <d v="2026-08-04T13:57:11"/>
    <d v="2026-08-04T13:57:11"/>
    <s v="Darin Alvarez"/>
    <s v="Email Available"/>
    <s v="darin.alvarez843@gmail.com"/>
    <x v="3"/>
    <s v="Apparel"/>
    <x v="4"/>
    <n v="4"/>
    <n v="14.99"/>
    <n v="14.99"/>
    <s v="SAVE20"/>
    <s v="SAVE20"/>
    <n v="11.99"/>
    <n v="11.99"/>
    <s v="Number"/>
    <n v="7.99"/>
    <n v="7.99"/>
    <n v="55.96"/>
    <n v="55.96"/>
    <n v="55.96"/>
    <s v="True"/>
    <s v="Normal"/>
    <s v="PayPal"/>
    <s v="Online Store"/>
    <s v="cancelled"/>
    <s v="Canada"/>
    <m/>
    <s v="Not Required"/>
    <s v="Lake William"/>
  </r>
  <r>
    <s v="#2902"/>
    <n v="1"/>
    <d v="2026-08-04T13:59:32"/>
    <d v="2026-08-04T13:59:32"/>
    <s v="Arthur Kelley"/>
    <s v="Email Available"/>
    <s v="arthur.kelley558@gmail.com"/>
    <x v="3"/>
    <s v="Apparel"/>
    <x v="4"/>
    <n v="1"/>
    <n v="14.99"/>
    <n v="14.99"/>
    <m/>
    <s v=""/>
    <n v="0"/>
    <n v="0"/>
    <s v="Number"/>
    <n v="7.99"/>
    <n v="7.99"/>
    <n v="22.98"/>
    <n v="22.98"/>
    <n v="22.98"/>
    <s v="True"/>
    <s v="Normal"/>
    <s v="PayPal"/>
    <s v="Instagram"/>
    <s v="cancelled"/>
    <s v="Australia"/>
    <m/>
    <s v="Not Required"/>
    <s v="North Alexandraborough"/>
  </r>
  <r>
    <s v="#2924"/>
    <n v="1"/>
    <d v="2026-08-04T13:53:50"/>
    <d v="2026-08-04T13:53:50"/>
    <s v="Hannah Lee"/>
    <s v="Email Available"/>
    <s v="hannah.lee589@icloud.com"/>
    <x v="3"/>
    <s v="Apparel"/>
    <x v="4"/>
    <n v="3"/>
    <n v="14.99"/>
    <n v="14.99"/>
    <s v="BFCM25"/>
    <s v="BFCM25"/>
    <n v="11.24"/>
    <n v="11.24"/>
    <s v="Number"/>
    <n v="5.99"/>
    <n v="5.99"/>
    <n v="39.72"/>
    <n v="39.72"/>
    <n v="39.72"/>
    <s v="True"/>
    <s v="Normal"/>
    <s v="Google Pay"/>
    <s v="Online Store"/>
    <s v="cancelled"/>
    <s v="United Kingdom"/>
    <m/>
    <s v="Not Required"/>
    <s v="Port Nina"/>
  </r>
  <r>
    <s v="#2949"/>
    <n v="1"/>
    <d v="2026-04-08T00:00:00"/>
    <s v="08/04/2026"/>
    <s v="Rodney Lamb"/>
    <s v="Email Available"/>
    <s v="rodney.lamb872@icloud.com"/>
    <x v="3"/>
    <s v="Apparel"/>
    <x v="3"/>
    <n v="2"/>
    <n v="14.99"/>
    <n v="14.99"/>
    <s v="VIP15"/>
    <s v="VIP15"/>
    <n v="4.5"/>
    <n v="4.5"/>
    <s v="Number"/>
    <n v="7.99"/>
    <n v="7.99"/>
    <n v="33.47"/>
    <n v="33.47"/>
    <n v="33.47"/>
    <s v="True"/>
    <s v="Normal"/>
    <s v="PayPal"/>
    <s v="Facebook"/>
    <s v="fulfilled"/>
    <s v="Australia"/>
    <m/>
    <s v="Not Required"/>
    <s v="Medinabury"/>
  </r>
  <r>
    <s v="#2953"/>
    <n v="1"/>
    <d v="2026-08-04T13:57:13"/>
    <d v="2026-08-04T13:57:13"/>
    <s v="Diane Harper"/>
    <s v="Email Available"/>
    <s v="diane.harper925@gmail.com"/>
    <x v="3"/>
    <s v="Apparel"/>
    <x v="3"/>
    <n v="1"/>
    <n v="14.99"/>
    <n v="14.99"/>
    <m/>
    <s v=""/>
    <n v="0"/>
    <n v="0"/>
    <s v="Number"/>
    <n v="7.99"/>
    <n v="7.99"/>
    <n v="22.98"/>
    <n v="22.98"/>
    <n v="22.98"/>
    <s v="True"/>
    <s v="Normal"/>
    <s v="Credit Card"/>
    <s v="Online Store"/>
    <s v="fulfilled"/>
    <s v="United States"/>
    <s v="Arizona"/>
    <s v="Valid"/>
    <s v="Stephenschester"/>
  </r>
  <r>
    <s v="#2955"/>
    <n v="1"/>
    <d v="2026-08-04T14:05:56"/>
    <d v="2026-08-04T14:05:56"/>
    <s v="Juan Martin"/>
    <s v="Email Available"/>
    <s v="juan.martin929@gmail.com"/>
    <x v="3"/>
    <s v="Apparel"/>
    <x v="4"/>
    <n v="1"/>
    <s v="$14.99"/>
    <n v="14.99"/>
    <s v="SAVE20"/>
    <s v="SAVE20"/>
    <s v="$3.00"/>
    <n v="3"/>
    <s v="Number"/>
    <n v="5.99"/>
    <n v="5.99"/>
    <n v="17.98"/>
    <n v="17.98"/>
    <n v="17.98"/>
    <s v="True"/>
    <s v="Normal"/>
    <s v="Shopify Payments"/>
    <s v="Instagram"/>
    <s v="fulfilled"/>
    <s v="United States"/>
    <s v="Washington"/>
    <s v="Valid"/>
    <s v="Port Amy"/>
  </r>
  <r>
    <s v="#1025"/>
    <n v="1"/>
    <d v="2026-08-04T00:00:00"/>
    <s v="04-08-2026 14:06"/>
    <s v="Amanda Robinson"/>
    <s v="Email Available"/>
    <s v="amanda.robinson263@icloud.com"/>
    <x v="4"/>
    <s v="Beauty"/>
    <x v="5"/>
    <n v="2"/>
    <n v="13.49"/>
    <n v="13.49"/>
    <s v="WELCOME10"/>
    <s v="WELCOME10"/>
    <n v="2.7"/>
    <n v="2.7"/>
    <s v="Number"/>
    <n v="5.99"/>
    <n v="5.99"/>
    <n v="30.27"/>
    <n v="30.27"/>
    <n v="30.270000000000003"/>
    <s v="True"/>
    <s v="Normal"/>
    <s v="Google Pay"/>
    <s v="Facebook"/>
    <s v="pending"/>
    <s v="United States"/>
    <s v="Georgia"/>
    <s v="Valid"/>
    <s v="Martineztown"/>
  </r>
  <r>
    <s v="#1029"/>
    <n v="1"/>
    <d v="2026-08-04T13:54:55"/>
    <d v="2026-08-04T13:54:55"/>
    <s v="Michelle Bell"/>
    <s v="Email Available"/>
    <s v="michelle.bell28@yahoo.com"/>
    <x v="4"/>
    <s v="Beauty"/>
    <x v="5"/>
    <n v="1"/>
    <n v="13.49"/>
    <n v="13.49"/>
    <s v="FREESHIP"/>
    <s v="FREESHIP"/>
    <n v="0"/>
    <n v="0"/>
    <s v="Number"/>
    <n v="0"/>
    <n v="0"/>
    <n v="13.49"/>
    <n v="13.49"/>
    <n v="13.49"/>
    <s v="True"/>
    <s v="Normal"/>
    <s v="Credit Card"/>
    <s v="Online Store"/>
    <s v="refunded"/>
    <s v="United States"/>
    <s v="Florida"/>
    <s v="Valid"/>
    <s v="Terrymouth"/>
  </r>
  <r>
    <s v="#1075"/>
    <n v="1"/>
    <d v="2026-08-04T13:53:59"/>
    <d v="2026-08-04T13:53:59"/>
    <s v="Dustin Ward"/>
    <s v="Email Available"/>
    <s v="dustin.ward756@icloud.com"/>
    <x v="4"/>
    <s v="Beauty"/>
    <x v="5"/>
    <n v="2"/>
    <n v="13.49"/>
    <n v="13.49"/>
    <s v="SAVE20"/>
    <s v="SAVE20"/>
    <n v="5.4"/>
    <n v="5.4"/>
    <s v="Number"/>
    <n v="5.99"/>
    <n v="5.99"/>
    <n v="27.57"/>
    <n v="27.57"/>
    <n v="27.57"/>
    <s v="True"/>
    <s v="Normal"/>
    <s v="PayPal"/>
    <s v="Instagram"/>
    <s v="fulfilled"/>
    <s v="United States"/>
    <s v="Florida"/>
    <s v="Valid"/>
    <s v="Lake Stephanieville"/>
  </r>
  <r>
    <s v="#1174"/>
    <n v="1"/>
    <d v="2026-08-04T13:57:27"/>
    <d v="2026-08-04T13:57:27"/>
    <s v="Mary Phillips"/>
    <s v="Email Available"/>
    <s v="mary.phillips944@yahoo.com"/>
    <x v="4"/>
    <s v="Beauty"/>
    <x v="5"/>
    <n v="1"/>
    <n v="13.49"/>
    <n v="13.49"/>
    <m/>
    <s v=""/>
    <n v="0"/>
    <n v="0"/>
    <s v="Number"/>
    <n v="5.99"/>
    <n v="5.99"/>
    <n v="19.48"/>
    <n v="19.48"/>
    <n v="19.48"/>
    <s v="True"/>
    <s v="Normal"/>
    <s v="Credit Card"/>
    <s v="Online Store"/>
    <s v="cancelled"/>
    <s v="United States"/>
    <s v="Illinois"/>
    <s v="Valid"/>
    <s v="South John"/>
  </r>
  <r>
    <s v="#1193"/>
    <n v="1"/>
    <d v="2026-08-04T13:59:21"/>
    <d v="2026-08-04T13:59:21"/>
    <s v="Joe Taylor"/>
    <s v="Email Available"/>
    <s v="joe.taylor714@yahoo.com"/>
    <x v="4"/>
    <s v="Beauty"/>
    <x v="5"/>
    <n v="1"/>
    <n v="13.49"/>
    <n v="13.49"/>
    <m/>
    <s v=""/>
    <n v="0"/>
    <n v="0"/>
    <s v="Number"/>
    <n v="7.99"/>
    <n v="7.99"/>
    <n v="21.48"/>
    <n v="21.48"/>
    <n v="21.48"/>
    <s v="True"/>
    <s v="Normal"/>
    <s v="PayPal"/>
    <s v="Online Store"/>
    <s v="refunded"/>
    <s v="Germany"/>
    <m/>
    <s v="Not Required"/>
    <s v="Anthonyhaven"/>
  </r>
  <r>
    <s v="#1230"/>
    <n v="1"/>
    <d v="2026-08-04T14:04:55"/>
    <d v="2026-08-04T14:04:55"/>
    <s v="Brian Ruiz"/>
    <s v="Email Available"/>
    <s v="brian.ruiz246@gmail.com"/>
    <x v="4"/>
    <s v="Beauty"/>
    <x v="5"/>
    <n v="1"/>
    <s v="$13.49"/>
    <n v="13.49"/>
    <s v="SAVE20"/>
    <s v="SAVE20"/>
    <n v="2.7"/>
    <n v="2.7"/>
    <s v="Number"/>
    <n v="4.99"/>
    <n v="4.99"/>
    <n v="15.78"/>
    <n v="15.78"/>
    <n v="15.78"/>
    <s v="True"/>
    <s v="Normal"/>
    <s v="Apple Pay"/>
    <s v="Online Store"/>
    <s v="fulfilled"/>
    <s v="Germany"/>
    <m/>
    <s v="Not Required"/>
    <s v="New Emilyshire"/>
  </r>
  <r>
    <s v="#1242"/>
    <n v="1"/>
    <d v="2026-08-04T14:07:35"/>
    <d v="2026-08-04T14:07:35"/>
    <s v="Jennifer Burke"/>
    <s v="Email Available"/>
    <s v="jennifer.burke472@icloud.com"/>
    <x v="4"/>
    <s v="Beauty"/>
    <x v="5"/>
    <n v="2"/>
    <n v="13.49"/>
    <n v="13.49"/>
    <s v="SAVE20"/>
    <s v="SAVE20"/>
    <s v="$5.40"/>
    <n v="5.4"/>
    <s v="Number"/>
    <n v="7.99"/>
    <n v="7.99"/>
    <n v="29.57"/>
    <n v="29.57"/>
    <n v="29.57"/>
    <s v="True"/>
    <s v="Normal"/>
    <s v="PayPal"/>
    <s v="Online Store"/>
    <s v="fulfilled"/>
    <s v="Pakistan"/>
    <m/>
    <s v="Not Required"/>
    <s v="Taylorberg"/>
  </r>
  <r>
    <s v="#1246"/>
    <n v="1"/>
    <d v="2026-08-04T00:00:00"/>
    <s v="2026-08-04"/>
    <s v="Cody Murray"/>
    <s v="Email Available"/>
    <s v="cody.murray456@gmail.com"/>
    <x v="4"/>
    <s v="Beauty"/>
    <x v="5"/>
    <n v="1"/>
    <n v="13.49"/>
    <n v="13.49"/>
    <s v="FREESHIP"/>
    <s v="FREESHIP"/>
    <n v="0"/>
    <n v="0"/>
    <s v="Number"/>
    <n v="0"/>
    <n v="0"/>
    <n v="13.49"/>
    <n v="13.49"/>
    <n v="13.49"/>
    <s v="True"/>
    <s v="Normal"/>
    <s v="Apple Pay"/>
    <s v="Online Store"/>
    <s v="fulfilled"/>
    <s v="United Kingdom"/>
    <m/>
    <s v="Not Required"/>
    <s v="South Matthew"/>
  </r>
  <r>
    <s v="#1249"/>
    <n v="1"/>
    <d v="2026-08-04T14:07:53"/>
    <d v="2026-08-04T14:07:53"/>
    <s v="Kayla Cruz"/>
    <s v="Email Available"/>
    <s v="kayla.cruz151@outlook.com"/>
    <x v="4"/>
    <s v="Beauty"/>
    <x v="5"/>
    <n v="3"/>
    <n v="13.49"/>
    <n v="13.49"/>
    <m/>
    <s v=""/>
    <n v="0"/>
    <n v="0"/>
    <s v="Number"/>
    <n v="7.99"/>
    <n v="7.99"/>
    <n v="48.46"/>
    <n v="48.46"/>
    <n v="48.46"/>
    <s v="True"/>
    <s v="Normal"/>
    <s v="Google Pay"/>
    <s v="Online Store"/>
    <s v="refunded"/>
    <s v="Pakistan"/>
    <m/>
    <s v="Not Required"/>
    <s v="South Mark"/>
  </r>
  <r>
    <s v="#1262"/>
    <n v="1"/>
    <d v="2026-08-04T14:04:08"/>
    <d v="2026-08-04T14:04:08"/>
    <s v="Mark Mata"/>
    <s v="Email Available"/>
    <s v="mark.mata757@outlook.com"/>
    <x v="4"/>
    <s v="Beauty"/>
    <x v="5"/>
    <n v="1"/>
    <n v="13.49"/>
    <n v="13.49"/>
    <m/>
    <s v=""/>
    <n v="0"/>
    <n v="0"/>
    <s v="Number"/>
    <n v="7.99"/>
    <n v="7.99"/>
    <n v="21.48"/>
    <n v="21.48"/>
    <n v="21.48"/>
    <s v="True"/>
    <s v="Normal"/>
    <s v="Apple Pay"/>
    <s v="Facebook"/>
    <s v="pending"/>
    <s v="United States"/>
    <s v="Washington"/>
    <s v="Valid"/>
    <s v="Davidburgh"/>
  </r>
  <r>
    <s v="#1264"/>
    <n v="1"/>
    <d v="2026-08-04T13:55:12"/>
    <d v="2026-08-04T13:55:12"/>
    <s v="Rebecca Watts"/>
    <s v="Email Available"/>
    <s v="rebecca.watts779@gmail.com"/>
    <x v="4"/>
    <s v="Beauty"/>
    <x v="5"/>
    <n v="1"/>
    <n v="13.49"/>
    <n v="13.49"/>
    <m/>
    <s v=""/>
    <n v="0"/>
    <n v="0"/>
    <s v="Number"/>
    <n v="4.99"/>
    <n v="4.99"/>
    <n v="18.48"/>
    <n v="18.48"/>
    <n v="18.48"/>
    <s v="True"/>
    <s v="Normal"/>
    <s v="Shopify Payments"/>
    <s v="POS"/>
    <s v="cancelled"/>
    <s v="United States"/>
    <s v="California"/>
    <s v="Valid"/>
    <s v="New Ralphview"/>
  </r>
  <r>
    <s v="#1268"/>
    <n v="1"/>
    <d v="2026-08-04T14:01:26"/>
    <d v="2026-08-04T14:01:26"/>
    <s v="Leon Oliver"/>
    <s v="Email Available"/>
    <s v="leon.oliver578@gmail.com"/>
    <x v="4"/>
    <s v="Beauty"/>
    <x v="5"/>
    <n v="1"/>
    <n v="13.49"/>
    <n v="13.49"/>
    <m/>
    <s v=""/>
    <n v="0"/>
    <n v="0"/>
    <s v="Number"/>
    <n v="7.99"/>
    <n v="7.99"/>
    <n v="21.48"/>
    <n v="21.48"/>
    <n v="21.48"/>
    <s v="True"/>
    <s v="Normal"/>
    <s v="Apple Pay"/>
    <s v="Online Store"/>
    <s v="fulfilled"/>
    <s v="Canada"/>
    <m/>
    <s v="Not Required"/>
    <s v="Port Shawn"/>
  </r>
  <r>
    <s v="#1293"/>
    <n v="1"/>
    <d v="2026-08-04T13:59:12"/>
    <d v="2026-08-04T13:59:12"/>
    <s v="DAVID TORRES"/>
    <s v="Email Available"/>
    <s v="david.torres833@outlook.com"/>
    <x v="4"/>
    <s v="Beauty"/>
    <x v="5"/>
    <n v="1"/>
    <n v="13.49"/>
    <n v="13.49"/>
    <s v="WELCOME10"/>
    <s v="WELCOME10"/>
    <n v="1.35"/>
    <n v="1.35"/>
    <s v="Number"/>
    <n v="4.99"/>
    <n v="4.99"/>
    <s v="$17.13"/>
    <n v="17.13"/>
    <n v="17.130000000000003"/>
    <s v="True"/>
    <s v="Normal"/>
    <s v="PayPal"/>
    <s v="Online Store"/>
    <s v="fulfilled"/>
    <s v="United States"/>
    <s v="Georgia"/>
    <s v="Valid"/>
    <s v="Cruzport"/>
  </r>
  <r>
    <s v="#1315"/>
    <n v="1"/>
    <d v="2026-08-04T14:03:58"/>
    <d v="2026-08-04T14:03:58"/>
    <s v="Rebecca Watts"/>
    <s v="Email Available"/>
    <s v="rebecca.watts779@gmail.com"/>
    <x v="4"/>
    <s v="Beauty"/>
    <x v="5"/>
    <n v="1"/>
    <n v="13.49"/>
    <n v="13.49"/>
    <s v="VIP15"/>
    <s v="VIP15"/>
    <n v="2.02"/>
    <n v="2.02"/>
    <s v="Number"/>
    <n v="4.99"/>
    <n v="4.99"/>
    <n v="16.46"/>
    <n v="16.46"/>
    <n v="16.46"/>
    <s v="True"/>
    <s v="Normal"/>
    <s v="PayPal"/>
    <s v="Online Store"/>
    <s v="fulfilled"/>
    <s v="United States"/>
    <s v="NY"/>
    <s v="Valid"/>
    <s v="East Rebeccaton"/>
  </r>
  <r>
    <s v="#1335"/>
    <n v="1"/>
    <d v="2026-08-04T13:59:22"/>
    <d v="2026-08-04T13:59:22"/>
    <s v="Eric Golden"/>
    <s v="Email Available"/>
    <s v="eric.golden379@outlook.com"/>
    <x v="4"/>
    <s v="Beauty"/>
    <x v="5"/>
    <n v="2"/>
    <n v="13.49"/>
    <n v="13.49"/>
    <s v="WELCOME10"/>
    <s v="WELCOME10"/>
    <n v="2.7"/>
    <n v="2.7"/>
    <s v="Number"/>
    <n v="5.99"/>
    <n v="5.99"/>
    <n v="30.27"/>
    <n v="30.27"/>
    <n v="30.270000000000003"/>
    <s v="True"/>
    <s v="Normal"/>
    <s v="PayPal"/>
    <s v="POS"/>
    <s v="fulfilled"/>
    <s v="United States"/>
    <s v="Georgia"/>
    <s v="Valid"/>
    <s v="East Heather"/>
  </r>
  <r>
    <s v="#1359"/>
    <n v="1"/>
    <d v="2026-08-04T13:58:06"/>
    <d v="2026-08-04T13:58:06"/>
    <s v="Barbara Case"/>
    <s v="Email Available"/>
    <s v="barbara.case365@yahoo.com"/>
    <x v="4"/>
    <s v="Beauty"/>
    <x v="5"/>
    <n v="1"/>
    <n v="13.49"/>
    <n v="13.49"/>
    <s v="SAVE20"/>
    <s v="SAVE20"/>
    <n v="2.7"/>
    <n v="2.7"/>
    <s v="Number"/>
    <n v="4.99"/>
    <n v="4.99"/>
    <n v="15.78"/>
    <n v="15.78"/>
    <n v="15.78"/>
    <s v="True"/>
    <s v="Normal"/>
    <s v="Apple Pay"/>
    <s v="Instagram"/>
    <s v="refunded"/>
    <s v="United States"/>
    <s v="California"/>
    <s v="Valid"/>
    <s v="East Andrewfurt"/>
  </r>
  <r>
    <s v="#1406"/>
    <n v="1"/>
    <d v="2026-08-04T13:56:47"/>
    <d v="2026-08-04T13:56:47"/>
    <s v="Ruth Duncan"/>
    <s v="Email Available"/>
    <s v="ruth.duncan434@icloud.com"/>
    <x v="4"/>
    <s v="Beauty"/>
    <x v="5"/>
    <n v="1"/>
    <n v="13.49"/>
    <n v="13.49"/>
    <m/>
    <s v=""/>
    <s v="$0.00"/>
    <n v="0"/>
    <s v="Number"/>
    <n v="4.99"/>
    <n v="4.99"/>
    <n v="18.48"/>
    <n v="18.48"/>
    <n v="18.48"/>
    <s v="True"/>
    <s v="Normal"/>
    <s v="Google Pay"/>
    <s v="POS"/>
    <s v="fulfilled"/>
    <s v="Australia"/>
    <m/>
    <s v="Not Required"/>
    <s v="Macdonaldton"/>
  </r>
  <r>
    <s v="#1475"/>
    <n v="1"/>
    <d v="2026-08-04T13:56:39"/>
    <d v="2026-08-04T13:56:39"/>
    <s v="Walter Rodriguez"/>
    <s v="Email Available"/>
    <s v="walter.rodriguez829@gmail.com"/>
    <x v="4"/>
    <s v="Beauty"/>
    <x v="5"/>
    <n v="3"/>
    <n v="13.49"/>
    <n v="13.49"/>
    <s v="SAVE20"/>
    <s v="SAVE20"/>
    <n v="8.09"/>
    <n v="8.09"/>
    <s v="Number"/>
    <n v="5.99"/>
    <n v="5.99"/>
    <n v="38.369999999999997"/>
    <n v="38.369999999999997"/>
    <n v="38.369999999999997"/>
    <s v="True"/>
    <s v="Normal"/>
    <s v="Shopify Payments"/>
    <s v="Facebook"/>
    <s v="fulfilled"/>
    <s v="Australia"/>
    <m/>
    <s v="Not Required"/>
    <s v="North Emilyshire"/>
  </r>
  <r>
    <s v="#1484"/>
    <n v="1"/>
    <d v="2026-08-04T13:55:57"/>
    <d v="2026-08-04T13:55:57"/>
    <s v="Carrie Boyd"/>
    <s v="Email Available"/>
    <s v="carrie.boyd968@gmail.com"/>
    <x v="4"/>
    <s v="Beauty"/>
    <x v="5"/>
    <n v="2"/>
    <n v="13.49"/>
    <n v="13.49"/>
    <s v="VIP15"/>
    <s v="VIP15"/>
    <n v="4.05"/>
    <n v="4.05"/>
    <s v="Number"/>
    <n v="4.99"/>
    <n v="4.99"/>
    <n v="27.92"/>
    <n v="27.92"/>
    <n v="27.92"/>
    <s v="True"/>
    <s v="Normal"/>
    <s v="Shopify Payments"/>
    <s v="Facebook"/>
    <s v="pending"/>
    <s v="United States"/>
    <s v="Washington"/>
    <s v="Valid"/>
    <s v="Lake Jeff"/>
  </r>
  <r>
    <s v="#1507"/>
    <n v="1"/>
    <d v="2026-08-04T13:57:34"/>
    <d v="2026-08-04T13:57:34"/>
    <s v="Christopher Harrington"/>
    <s v="Email Available"/>
    <s v="christopher.harrington960@gmail.com"/>
    <x v="4"/>
    <s v="Beauty"/>
    <x v="5"/>
    <n v="1"/>
    <n v="13.49"/>
    <n v="13.49"/>
    <m/>
    <s v=""/>
    <n v="0"/>
    <n v="0"/>
    <s v="Number"/>
    <n v="4.99"/>
    <n v="4.99"/>
    <s v="$18.48"/>
    <n v="18.48"/>
    <n v="18.48"/>
    <s v="True"/>
    <s v="Normal"/>
    <s v="PayPal"/>
    <s v="Instagram"/>
    <s v="fulfilled"/>
    <s v="Australia"/>
    <m/>
    <s v="Not Required"/>
    <s v="Lake Joseview"/>
  </r>
  <r>
    <s v="#1588"/>
    <n v="1"/>
    <d v="2026-08-04T00:00:00"/>
    <s v="2026-08-04"/>
    <s v="Thomas Rivera"/>
    <s v="Email Available"/>
    <s v="thomas.rivera720@yahoo.com"/>
    <x v="4"/>
    <s v="Beauty"/>
    <x v="5"/>
    <n v="1"/>
    <n v="13.49"/>
    <n v="13.49"/>
    <m/>
    <s v=""/>
    <n v="0"/>
    <n v="0"/>
    <s v="Number"/>
    <n v="7.99"/>
    <n v="7.99"/>
    <n v="21.48"/>
    <n v="21.48"/>
    <n v="21.48"/>
    <s v="True"/>
    <s v="Normal"/>
    <s v="Credit Card"/>
    <s v="Online Store"/>
    <s v="fulfilled"/>
    <s v="United States"/>
    <s v="California"/>
    <s v="Valid"/>
    <s v="East Scott"/>
  </r>
  <r>
    <s v="#1628"/>
    <n v="1"/>
    <d v="2026-08-04T13:53:27"/>
    <d v="2026-08-04T13:53:27"/>
    <s v="Robert Lopez"/>
    <s v="Email Available"/>
    <s v="robert.lopez980@outlook.com"/>
    <x v="4"/>
    <s v="Beauty"/>
    <x v="5"/>
    <n v="1"/>
    <n v="13.49"/>
    <n v="13.49"/>
    <m/>
    <s v=""/>
    <n v="0"/>
    <n v="0"/>
    <s v="Number"/>
    <n v="4.99"/>
    <n v="4.99"/>
    <n v="18.48"/>
    <n v="18.48"/>
    <n v="18.48"/>
    <s v="True"/>
    <s v="Normal"/>
    <s v="PayPal"/>
    <s v="Online Store"/>
    <s v="fulfilled"/>
    <s v="Germany"/>
    <m/>
    <s v="Not Required"/>
    <s v="Port Jeffreymouth"/>
  </r>
  <r>
    <s v="#1661"/>
    <n v="1"/>
    <d v="2026-08-04T14:07:16"/>
    <d v="2026-08-04T14:07:16"/>
    <s v="Sandra Wilson"/>
    <s v="Email Available"/>
    <s v="sandra.wilson840@outlook.com"/>
    <x v="4"/>
    <s v="Beauty"/>
    <x v="5"/>
    <n v="1"/>
    <n v="13.49"/>
    <n v="13.49"/>
    <m/>
    <s v=""/>
    <n v="0"/>
    <n v="0"/>
    <s v="Number"/>
    <n v="5.99"/>
    <n v="5.99"/>
    <n v="19.48"/>
    <n v="19.48"/>
    <n v="19.48"/>
    <s v="True"/>
    <s v="Normal"/>
    <s v="PayPal"/>
    <s v="Online Store"/>
    <s v="pending"/>
    <s v="United States"/>
    <s v="Washington"/>
    <s v="Valid"/>
    <s v="Lake Tracybury"/>
  </r>
  <r>
    <s v="#1669"/>
    <n v="1"/>
    <d v="2026-08-04T13:54:01"/>
    <d v="2026-08-04T13:54:01"/>
    <s v="Patrick Stevens"/>
    <s v="Email Available"/>
    <s v="patrick.stevens218@gmail.com"/>
    <x v="4"/>
    <s v="Beauty"/>
    <x v="5"/>
    <n v="1"/>
    <n v="13.49"/>
    <n v="13.49"/>
    <m/>
    <s v=""/>
    <n v="0"/>
    <n v="0"/>
    <s v="Number"/>
    <n v="4.99"/>
    <n v="4.99"/>
    <n v="18.48"/>
    <n v="18.48"/>
    <n v="18.48"/>
    <s v="True"/>
    <s v="Normal"/>
    <s v="Apple Pay"/>
    <s v="Facebook"/>
    <s v="pending"/>
    <s v="Pakistan"/>
    <m/>
    <s v="Not Required"/>
    <s v="Schultzfort"/>
  </r>
  <r>
    <s v="#1670"/>
    <n v="1"/>
    <d v="2026-08-04T13:58:13"/>
    <d v="2026-08-04T13:58:13"/>
    <s v="Patricia Townsend"/>
    <s v="Email Available"/>
    <s v="patricia.townsend96@yahoo.com"/>
    <x v="4"/>
    <s v="Beauty"/>
    <x v="5"/>
    <n v="2"/>
    <n v="13.49"/>
    <n v="13.49"/>
    <m/>
    <s v=""/>
    <n v="0"/>
    <n v="0"/>
    <s v="Number"/>
    <n v="4.99"/>
    <n v="4.99"/>
    <n v="31.97"/>
    <n v="31.97"/>
    <n v="31.97"/>
    <s v="True"/>
    <s v="Normal"/>
    <s v="Credit Card"/>
    <s v="Facebook"/>
    <s v="refunded"/>
    <s v="United States"/>
    <s v="Florida"/>
    <s v="Valid"/>
    <s v="South David"/>
  </r>
  <r>
    <s v="#1679"/>
    <n v="1"/>
    <d v="2026-08-04T13:55:32"/>
    <d v="2026-08-04T13:55:32"/>
    <s v="Anthony Mullen"/>
    <s v="Email Available"/>
    <s v="anthony.mullen523@yahoo.com"/>
    <x v="4"/>
    <s v="Beauty"/>
    <x v="5"/>
    <n v="1"/>
    <n v="13.49"/>
    <n v="13.49"/>
    <s v="FREESHIP"/>
    <s v="FREESHIP"/>
    <n v="0"/>
    <n v="0"/>
    <s v="Number"/>
    <n v="0"/>
    <n v="0"/>
    <n v="13.49"/>
    <n v="13.49"/>
    <n v="13.49"/>
    <s v="True"/>
    <s v="Normal"/>
    <s v="PayPal"/>
    <s v="Instagram"/>
    <s v="fulfilled"/>
    <s v="United States"/>
    <s v="Arizona"/>
    <s v="Valid"/>
    <s v="New Robynberg"/>
  </r>
  <r>
    <s v="#1736"/>
    <n v="1"/>
    <d v="2026-08-04T13:55:35"/>
    <d v="2026-08-04T13:55:35"/>
    <s v="Cody Murray"/>
    <s v="Email Available"/>
    <s v="cody.murray456@gmail.com"/>
    <x v="4"/>
    <s v="Beauty"/>
    <x v="5"/>
    <n v="1"/>
    <n v="13.49"/>
    <n v="13.49"/>
    <m/>
    <s v=""/>
    <n v="0"/>
    <n v="0"/>
    <s v="Number"/>
    <n v="7.99"/>
    <n v="7.99"/>
    <n v="21.48"/>
    <n v="21.48"/>
    <n v="21.48"/>
    <s v="True"/>
    <s v="Normal"/>
    <s v="Credit Card"/>
    <s v="POS"/>
    <s v="pending"/>
    <s v="United Kingdom"/>
    <m/>
    <s v="Not Required"/>
    <s v="East Thomasberg"/>
  </r>
  <r>
    <s v="#1744"/>
    <n v="1"/>
    <d v="2026-08-04T13:58:00"/>
    <d v="2026-08-04T13:58:00"/>
    <s v="Natalie Roberts"/>
    <s v="Email Available"/>
    <s v="natalie.roberts628@yahoo.com"/>
    <x v="4"/>
    <s v="Beauty"/>
    <x v="5"/>
    <n v="2"/>
    <n v="13.49"/>
    <n v="13.49"/>
    <s v="SAVE20"/>
    <s v="SAVE20"/>
    <s v="$5.40"/>
    <n v="5.4"/>
    <s v="Number"/>
    <n v="7.99"/>
    <n v="7.99"/>
    <n v="29.57"/>
    <n v="29.57"/>
    <n v="29.57"/>
    <s v="True"/>
    <s v="Normal"/>
    <s v="PayPal"/>
    <s v="POS"/>
    <s v="pending"/>
    <s v="United States"/>
    <s v="Illinois"/>
    <s v="Valid"/>
    <s v="Velasquezville"/>
  </r>
  <r>
    <s v="#1773"/>
    <n v="1"/>
    <d v="2026-08-04T14:06:17"/>
    <d v="2026-08-04T14:06:17"/>
    <s v="Morgan Johnson"/>
    <s v="Email Available"/>
    <s v="morgan.johnson938@outlook.com"/>
    <x v="4"/>
    <s v="Beauty"/>
    <x v="5"/>
    <n v="1"/>
    <n v="13.49"/>
    <n v="13.49"/>
    <s v="SAVE20"/>
    <s v="SAVE20"/>
    <s v="$2.70"/>
    <n v="2.7"/>
    <s v="Number"/>
    <n v="4.99"/>
    <n v="4.99"/>
    <n v="15.78"/>
    <n v="15.78"/>
    <n v="15.78"/>
    <s v="True"/>
    <s v="Normal"/>
    <s v="Google Pay"/>
    <s v="Online Store"/>
    <s v="fulfilled"/>
    <s v="Canada"/>
    <m/>
    <s v="Not Required"/>
    <s v="Lake Zacharybury"/>
  </r>
  <r>
    <s v="#1902"/>
    <n v="1"/>
    <d v="2026-08-04T14:06:23"/>
    <d v="2026-08-04T14:06:23"/>
    <s v="Tracy Adams"/>
    <s v="Email Available"/>
    <s v="tracy.adams712@icloud.com"/>
    <x v="4"/>
    <s v="Beauty"/>
    <x v="5"/>
    <n v="2"/>
    <n v="13.49"/>
    <n v="13.49"/>
    <s v="FREESHIP"/>
    <s v="FREESHIP"/>
    <n v="0"/>
    <n v="0"/>
    <s v="Number"/>
    <n v="0"/>
    <n v="0"/>
    <n v="26.98"/>
    <n v="26.98"/>
    <n v="26.98"/>
    <s v="True"/>
    <s v="Normal"/>
    <s v="Credit Card"/>
    <s v="Online Store"/>
    <s v="cancelled"/>
    <s v="United States"/>
    <s v="Georgia"/>
    <s v="Valid"/>
    <s v="Robertland"/>
  </r>
  <r>
    <s v="#1919"/>
    <n v="1"/>
    <d v="2026-08-04T13:59:08"/>
    <d v="2026-08-04T13:59:08"/>
    <s v="  Catherine Mcgee"/>
    <s v="Email Available"/>
    <s v="catherine.mcgee63@icloud.com"/>
    <x v="4"/>
    <s v="Beauty"/>
    <x v="5"/>
    <n v="2"/>
    <n v="13.49"/>
    <n v="13.49"/>
    <m/>
    <s v=""/>
    <n v="0"/>
    <n v="0"/>
    <s v="Number"/>
    <n v="4.99"/>
    <n v="4.99"/>
    <n v="31.97"/>
    <n v="31.97"/>
    <n v="31.97"/>
    <s v="True"/>
    <s v="Normal"/>
    <s v="Credit Card"/>
    <s v="Instagram"/>
    <s v="fulfilled"/>
    <s v="Australia"/>
    <m/>
    <s v="Not Required"/>
    <s v="Knightmouth"/>
  </r>
  <r>
    <s v="#1975"/>
    <n v="1"/>
    <d v="2026-08-04T14:00:39"/>
    <d v="2026-08-04T14:00:39"/>
    <s v="Thomas Rojas"/>
    <s v="Email Available"/>
    <s v="thomas.rojas667@icloud.com"/>
    <x v="4"/>
    <s v="Beauty"/>
    <x v="5"/>
    <n v="1"/>
    <n v="13.49"/>
    <n v="13.49"/>
    <s v="BFCM25"/>
    <s v="BFCM25"/>
    <n v="3.37"/>
    <n v="3.37"/>
    <s v="Number"/>
    <n v="7.99"/>
    <n v="7.99"/>
    <n v="18.11"/>
    <n v="18.11"/>
    <n v="18.11"/>
    <s v="True"/>
    <s v="Normal"/>
    <s v="Apple Pay"/>
    <s v="Online Store"/>
    <s v="refunded"/>
    <s v="United States"/>
    <s v="California"/>
    <s v="Valid"/>
    <s v="East Christinaview"/>
  </r>
  <r>
    <s v="#1979"/>
    <n v="1"/>
    <d v="2026-08-04T14:02:33"/>
    <d v="2026-08-04T14:02:33"/>
    <s v="Elizabeth Carter"/>
    <s v="Email Available"/>
    <s v="elizabeth.carter304@icloud.com"/>
    <x v="4"/>
    <s v="Beauty"/>
    <x v="5"/>
    <n v="1"/>
    <n v="13.49"/>
    <n v="13.49"/>
    <s v="SAVE20"/>
    <s v="SAVE20"/>
    <n v="2.7"/>
    <n v="2.7"/>
    <s v="Number"/>
    <n v="5.99"/>
    <n v="5.99"/>
    <s v="$16.78"/>
    <n v="16.78"/>
    <n v="16.78"/>
    <s v="True"/>
    <s v="Normal"/>
    <s v="Credit Card"/>
    <s v="Facebook"/>
    <s v="fulfilled"/>
    <s v="Canada"/>
    <m/>
    <s v="Not Required"/>
    <s v="Karenville"/>
  </r>
  <r>
    <s v="#1986"/>
    <n v="1"/>
    <d v="2026-04-08T00:00:00"/>
    <s v="08/04/2026"/>
    <s v="Tara Jackson"/>
    <s v="Email Available"/>
    <s v="tara.jackson708@outlook.com"/>
    <x v="4"/>
    <s v="Beauty"/>
    <x v="5"/>
    <n v="1"/>
    <n v="13.49"/>
    <n v="13.49"/>
    <s v="WELCOME10"/>
    <s v="WELCOME10"/>
    <n v="1.35"/>
    <n v="1.35"/>
    <s v="Number"/>
    <n v="7.99"/>
    <n v="7.99"/>
    <n v="20.13"/>
    <n v="20.13"/>
    <n v="20.130000000000003"/>
    <s v="True"/>
    <s v="Normal"/>
    <s v="Credit Card"/>
    <s v="POS"/>
    <s v="fulfilled"/>
    <s v="Canada"/>
    <m/>
    <s v="Not Required"/>
    <s v="Darrenchester"/>
  </r>
  <r>
    <s v="#2099"/>
    <n v="1"/>
    <d v="2026-08-04T13:56:08"/>
    <d v="2026-08-04T13:56:08"/>
    <s v="Julie Terrell"/>
    <s v="Email Available"/>
    <s v="julie.terrell409@icloud.com"/>
    <x v="4"/>
    <s v="Beauty"/>
    <x v="5"/>
    <n v="1"/>
    <n v="13.49"/>
    <n v="13.49"/>
    <m/>
    <s v=""/>
    <n v="0"/>
    <n v="0"/>
    <s v="Number"/>
    <n v="5.99"/>
    <n v="5.99"/>
    <n v="19.48"/>
    <n v="19.48"/>
    <n v="19.48"/>
    <s v="True"/>
    <s v="Normal"/>
    <s v="Apple Pay"/>
    <s v="POS"/>
    <s v="fulfilled"/>
    <s v="Australia"/>
    <m/>
    <s v="Not Required"/>
    <s v="North Janice"/>
  </r>
  <r>
    <s v="#2126"/>
    <n v="1"/>
    <d v="2026-08-04T13:53:33"/>
    <d v="2026-08-04T13:53:33"/>
    <s v="Jacqueline Miller"/>
    <s v="Email Available"/>
    <s v="jacqueline.miller687@yahoo.com"/>
    <x v="4"/>
    <s v="Beauty"/>
    <x v="5"/>
    <n v="1"/>
    <n v="13.49"/>
    <n v="13.49"/>
    <m/>
    <s v=""/>
    <n v="0"/>
    <n v="0"/>
    <s v="Number"/>
    <n v="4.99"/>
    <n v="4.99"/>
    <n v="18.48"/>
    <n v="18.48"/>
    <n v="18.48"/>
    <s v="True"/>
    <s v="Normal"/>
    <s v="Credit Card"/>
    <s v="Online Store"/>
    <s v="fulfilled"/>
    <s v="Canada"/>
    <m/>
    <s v="Not Required"/>
    <s v="Kelseyland"/>
  </r>
  <r>
    <s v="#2154"/>
    <n v="1"/>
    <d v="2026-08-04T13:54:47"/>
    <d v="2026-08-04T13:54:47"/>
    <s v="Elizabeth Johnston"/>
    <s v="Email Available"/>
    <s v="elizabeth.johnston946@gmail.com"/>
    <x v="4"/>
    <s v="Beauty"/>
    <x v="5"/>
    <n v="2"/>
    <n v="13.49"/>
    <n v="13.49"/>
    <m/>
    <s v=""/>
    <n v="0"/>
    <n v="0"/>
    <s v="Number"/>
    <n v="4.99"/>
    <n v="4.99"/>
    <n v="31.97"/>
    <n v="31.97"/>
    <n v="31.97"/>
    <s v="True"/>
    <s v="Normal"/>
    <s v="PayPal"/>
    <s v="Online Store"/>
    <s v="fulfilled"/>
    <s v="United Kingdom"/>
    <m/>
    <s v="Not Required"/>
    <s v="Christymouth"/>
  </r>
  <r>
    <s v="#2171"/>
    <n v="1"/>
    <d v="2026-08-04T14:07:49"/>
    <d v="2026-08-04T14:07:49"/>
    <s v="Maria Patterson"/>
    <s v="Email Available"/>
    <s v="maria.patterson62@icloud.com"/>
    <x v="4"/>
    <s v="Beauty"/>
    <x v="5"/>
    <n v="1"/>
    <s v="$13.49"/>
    <n v="13.49"/>
    <s v="WELCOME10"/>
    <s v="WELCOME10"/>
    <n v="1.35"/>
    <n v="1.35"/>
    <s v="Number"/>
    <n v="4.99"/>
    <n v="4.99"/>
    <n v="17.13"/>
    <n v="17.13"/>
    <n v="17.130000000000003"/>
    <s v="True"/>
    <s v="Normal"/>
    <s v="PayPal"/>
    <s v="Online Store"/>
    <s v="cancelled"/>
    <s v="United States"/>
    <s v="Arizona"/>
    <s v="Valid"/>
    <s v="West Steven"/>
  </r>
  <r>
    <s v="#2176"/>
    <n v="1"/>
    <d v="2026-08-04T00:00:00"/>
    <s v="Aug 04, 2026"/>
    <s v="joseph martin"/>
    <s v="Email Available"/>
    <s v="joseph.martin348@icloud.com"/>
    <x v="4"/>
    <s v="Beauty"/>
    <x v="5"/>
    <n v="1"/>
    <n v="13.49"/>
    <n v="13.49"/>
    <s v="VIP15"/>
    <s v="VIP15"/>
    <n v="2.02"/>
    <n v="2.02"/>
    <s v="Number"/>
    <n v="4.99"/>
    <n v="4.99"/>
    <n v="16.46"/>
    <n v="16.46"/>
    <n v="16.46"/>
    <s v="True"/>
    <s v="Normal"/>
    <s v="Credit Card"/>
    <s v="POS"/>
    <s v="fulfilled"/>
    <s v="United States"/>
    <s v="Ohio"/>
    <s v="Valid"/>
    <s v="North Patrickbury"/>
  </r>
  <r>
    <s v="#2261"/>
    <n v="1"/>
    <d v="2026-08-04T13:57:24"/>
    <d v="2026-08-04T13:57:24"/>
    <s v="Kristopher Barnett"/>
    <s v="Email Available"/>
    <s v="kristopher.barnett178@outlook.com"/>
    <x v="4"/>
    <s v="Beauty"/>
    <x v="5"/>
    <n v="2"/>
    <n v="13.49"/>
    <n v="13.49"/>
    <m/>
    <s v=""/>
    <n v="0"/>
    <n v="0"/>
    <s v="Number"/>
    <n v="4.99"/>
    <n v="4.99"/>
    <n v="31.97"/>
    <n v="31.97"/>
    <n v="31.97"/>
    <s v="True"/>
    <s v="Normal"/>
    <s v="Shopify Payments"/>
    <s v="Instagram"/>
    <s v="cancelled"/>
    <s v="Australia"/>
    <m/>
    <s v="Not Required"/>
    <s v="East Lisaland"/>
  </r>
  <r>
    <s v="#2315"/>
    <n v="1"/>
    <d v="2026-08-04T13:55:05"/>
    <d v="2026-08-04T13:55:05"/>
    <s v="Anthony Patterson"/>
    <s v="Email Available"/>
    <s v="anthony.patterson944@gmail.com"/>
    <x v="4"/>
    <s v="Beauty"/>
    <x v="5"/>
    <n v="3"/>
    <n v="13.49"/>
    <n v="13.49"/>
    <m/>
    <s v=""/>
    <n v="0"/>
    <n v="0"/>
    <s v="Number"/>
    <n v="4.99"/>
    <n v="4.99"/>
    <n v="45.46"/>
    <n v="45.46"/>
    <n v="45.46"/>
    <s v="True"/>
    <s v="Normal"/>
    <s v="Apple Pay"/>
    <s v="Online Store"/>
    <s v="cancelled"/>
    <s v="Pakistan"/>
    <m/>
    <s v="Not Required"/>
    <s v="West Debra"/>
  </r>
  <r>
    <s v="#2347"/>
    <n v="1"/>
    <d v="2026-08-04T14:03:34"/>
    <d v="2026-08-04T14:03:34"/>
    <s v="Brian Gardner"/>
    <s v="Email Available"/>
    <s v="brian.gardner260@outlook.com"/>
    <x v="4"/>
    <s v="Beauty"/>
    <x v="5"/>
    <n v="1"/>
    <n v="13.49"/>
    <n v="13.49"/>
    <m/>
    <s v=""/>
    <n v="0"/>
    <n v="0"/>
    <s v="Number"/>
    <n v="7.99"/>
    <n v="7.99"/>
    <n v="21.48"/>
    <n v="21.48"/>
    <n v="21.48"/>
    <s v="True"/>
    <s v="Normal"/>
    <s v="PayPal"/>
    <s v="Online Store"/>
    <s v="fulfilled"/>
    <s v="United States"/>
    <s v="NC"/>
    <s v="Valid"/>
    <s v="Andersonstad"/>
  </r>
  <r>
    <s v="#2371"/>
    <n v="1"/>
    <d v="2026-04-08T00:00:00"/>
    <s v="08/04/2026"/>
    <s v="Lucas Lyons"/>
    <s v="Email Available"/>
    <s v="lucas.lyons594@icloud.com"/>
    <x v="4"/>
    <s v="Beauty"/>
    <x v="5"/>
    <n v="3"/>
    <n v="13.49"/>
    <n v="13.49"/>
    <m/>
    <s v=""/>
    <n v="0"/>
    <n v="0"/>
    <s v="Number"/>
    <n v="7.99"/>
    <n v="7.99"/>
    <n v="48.46"/>
    <n v="48.46"/>
    <n v="48.46"/>
    <s v="True"/>
    <s v="Normal"/>
    <s v="Google Pay"/>
    <s v="Online Store"/>
    <s v="refunded"/>
    <s v="Pakistan"/>
    <m/>
    <s v="Not Required"/>
    <s v="North Nicholasport"/>
  </r>
  <r>
    <s v="#2377"/>
    <n v="1"/>
    <d v="2026-08-04T14:01:44"/>
    <d v="2026-08-04T14:01:44"/>
    <s v="Brenda Perez"/>
    <s v="Email Available"/>
    <s v="brenda.perez884@outlook.com"/>
    <x v="4"/>
    <s v="Beauty"/>
    <x v="5"/>
    <n v="1"/>
    <n v="13.49"/>
    <n v="13.49"/>
    <s v="BFCM25"/>
    <s v="BFCM25"/>
    <n v="3.37"/>
    <n v="3.37"/>
    <s v="Number"/>
    <n v="5.99"/>
    <n v="5.99"/>
    <n v="16.11"/>
    <n v="16.11"/>
    <n v="16.11"/>
    <s v="True"/>
    <s v="Normal"/>
    <s v="Apple Pay"/>
    <s v="Online Store"/>
    <s v="cancelled"/>
    <s v="United States"/>
    <s v="New York"/>
    <s v="Valid"/>
    <s v="Singhtown"/>
  </r>
  <r>
    <s v="#2391"/>
    <n v="1"/>
    <d v="2026-08-04T13:57:57"/>
    <d v="2026-08-04T13:57:57"/>
    <s v="Anthony Krueger"/>
    <s v="Email Available"/>
    <s v="anthony.krueger812@yahoo.com"/>
    <x v="4"/>
    <s v="Beauty"/>
    <x v="5"/>
    <n v="1"/>
    <n v="13.49"/>
    <n v="13.49"/>
    <m/>
    <s v=""/>
    <n v="0"/>
    <n v="0"/>
    <s v="Number"/>
    <n v="4.99"/>
    <n v="4.99"/>
    <n v="18.48"/>
    <n v="18.48"/>
    <n v="18.48"/>
    <s v="True"/>
    <s v="Normal"/>
    <s v="Google Pay"/>
    <s v="Online Store"/>
    <s v="cancelled"/>
    <s v="Pakistan"/>
    <m/>
    <s v="Not Required"/>
    <s v="West Shelbytown"/>
  </r>
  <r>
    <s v="#2472"/>
    <n v="1"/>
    <d v="2026-08-04T00:00:00"/>
    <s v="2026-08-04"/>
    <s v="Tracy Adams"/>
    <s v="Email Available"/>
    <s v="tracy.adams712@icloud.com"/>
    <x v="4"/>
    <s v="Beauty"/>
    <x v="5"/>
    <n v="1"/>
    <n v="13.49"/>
    <n v="13.49"/>
    <m/>
    <s v=""/>
    <n v="0"/>
    <n v="0"/>
    <s v="Number"/>
    <n v="5.99"/>
    <n v="5.99"/>
    <n v="19.48"/>
    <n v="19.48"/>
    <n v="19.48"/>
    <s v="True"/>
    <s v="Normal"/>
    <s v="Credit Card"/>
    <s v="POS"/>
    <s v="fulfilled"/>
    <s v="United States"/>
    <s v="TX"/>
    <s v="Valid"/>
    <s v="East Jason"/>
  </r>
  <r>
    <s v="#2474"/>
    <n v="1"/>
    <d v="2026-04-08T00:00:00"/>
    <s v="08/04/2026"/>
    <s v="TEST TEST"/>
    <s v="Email Available"/>
    <s v="test@test.com"/>
    <x v="4"/>
    <s v="Beauty"/>
    <x v="5"/>
    <n v="1"/>
    <n v="13.49"/>
    <n v="13.49"/>
    <s v="BFCM25"/>
    <s v="BFCM25"/>
    <n v="3.37"/>
    <n v="3.37"/>
    <s v="Number"/>
    <n v="7.99"/>
    <n v="7.99"/>
    <n v="0"/>
    <n v="0"/>
    <n v="18.11"/>
    <s v="False"/>
    <s v="Normal"/>
    <s v="Apple Pay"/>
    <s v="Instagram"/>
    <s v="fulfilled"/>
    <s v="Pakistan"/>
    <m/>
    <s v="Not Required"/>
    <s v="Angelamouth"/>
  </r>
  <r>
    <s v="#2479"/>
    <n v="1"/>
    <d v="2026-08-04T14:05:47"/>
    <d v="2026-08-04T14:05:47"/>
    <s v="Stacey Johnson"/>
    <s v="Email Available"/>
    <s v="stacey.johnson95@gmail.com"/>
    <x v="4"/>
    <s v="Beauty"/>
    <x v="5"/>
    <n v="1"/>
    <n v="13.49"/>
    <n v="13.49"/>
    <m/>
    <s v=""/>
    <n v="0"/>
    <n v="0"/>
    <s v="Number"/>
    <n v="4.99"/>
    <n v="4.99"/>
    <n v="18.48"/>
    <n v="18.48"/>
    <n v="18.48"/>
    <s v="True"/>
    <s v="Normal"/>
    <s v="Shopify Payments"/>
    <s v="POS"/>
    <s v="refunded"/>
    <s v="Germany"/>
    <m/>
    <s v="Not Required"/>
    <s v="North Timothy"/>
  </r>
  <r>
    <s v="#2483"/>
    <n v="1"/>
    <d v="2026-08-04T13:56:31"/>
    <d v="2026-08-04T13:56:31"/>
    <s v="Hannah Lee"/>
    <s v="Email Available"/>
    <s v="hannah.lee589@icloud.com"/>
    <x v="4"/>
    <s v="Beauty"/>
    <x v="5"/>
    <n v="1"/>
    <n v="13.49"/>
    <n v="13.49"/>
    <m/>
    <s v=""/>
    <n v="0"/>
    <n v="0"/>
    <s v="Number"/>
    <n v="4.99"/>
    <n v="4.99"/>
    <n v="18.48"/>
    <n v="18.48"/>
    <n v="18.48"/>
    <s v="True"/>
    <s v="Normal"/>
    <s v="Shopify Payments"/>
    <s v="Online Store"/>
    <s v="fulfilled"/>
    <s v="United Kingdom"/>
    <m/>
    <s v="Not Required"/>
    <s v="Hernandezberg"/>
  </r>
  <r>
    <s v="#2507"/>
    <n v="1"/>
    <d v="2026-08-04T13:56:21"/>
    <d v="2026-08-04T13:56:21"/>
    <s v="Amanda Rodriguez"/>
    <s v="Email Available"/>
    <s v="amanda.rodriguez770@yahoo.com"/>
    <x v="4"/>
    <s v="Beauty"/>
    <x v="5"/>
    <n v="1"/>
    <n v="13.49"/>
    <n v="13.49"/>
    <s v="VIP15"/>
    <s v="VIP15"/>
    <s v="$2.02"/>
    <n v="2.02"/>
    <s v="Number"/>
    <n v="5.99"/>
    <n v="5.99"/>
    <n v="17.46"/>
    <n v="17.46"/>
    <n v="17.46"/>
    <s v="True"/>
    <s v="Normal"/>
    <s v="PayPal"/>
    <s v="Facebook"/>
    <s v="cancelled"/>
    <s v="United States"/>
    <s v="Arizona"/>
    <s v="Valid"/>
    <s v="South Jeremiah"/>
  </r>
  <r>
    <s v="#2533"/>
    <n v="1"/>
    <d v="2026-08-04T13:59:55"/>
    <d v="2026-08-04T13:59:55"/>
    <s v="Luke Keller"/>
    <s v="Email Available"/>
    <s v="luke.keller471@icloud.com"/>
    <x v="4"/>
    <s v="Beauty"/>
    <x v="5"/>
    <n v="1"/>
    <n v="13.49"/>
    <n v="13.49"/>
    <s v="SAVE20"/>
    <s v="SAVE20"/>
    <n v="2.7"/>
    <n v="2.7"/>
    <s v="Number"/>
    <n v="4.99"/>
    <n v="4.99"/>
    <n v="15.78"/>
    <n v="15.78"/>
    <n v="15.78"/>
    <s v="True"/>
    <s v="Normal"/>
    <s v="Credit Card"/>
    <s v="Online Store"/>
    <s v="refunded"/>
    <s v="United States"/>
    <s v="Texas"/>
    <s v="Valid"/>
    <s v="South Janetport"/>
  </r>
  <r>
    <s v="#2577"/>
    <n v="1"/>
    <d v="2026-08-04T00:00:00"/>
    <s v="Aug 04, 2026"/>
    <s v="Christopher Harris"/>
    <s v="Email Available"/>
    <s v="christopher.harris618@yahoo.com"/>
    <x v="4"/>
    <s v="Beauty"/>
    <x v="5"/>
    <n v="1"/>
    <n v="13.49"/>
    <n v="13.49"/>
    <m/>
    <s v=""/>
    <n v="0"/>
    <n v="0"/>
    <s v="Number"/>
    <n v="4.99"/>
    <n v="4.99"/>
    <n v="18.48"/>
    <n v="18.48"/>
    <n v="18.48"/>
    <s v="True"/>
    <s v="Normal"/>
    <s v="PayPal"/>
    <s v="POS"/>
    <s v="cancelled"/>
    <s v="Australia"/>
    <m/>
    <s v="Not Required"/>
    <s v="Sarahside"/>
  </r>
  <r>
    <s v="#2606"/>
    <n v="1"/>
    <d v="2026-08-04T13:55:20"/>
    <d v="2026-08-04T13:55:20"/>
    <s v="Tyler Williams"/>
    <s v="Email Available"/>
    <s v="tyler.williams938@outlook.com"/>
    <x v="4"/>
    <s v="Beauty"/>
    <x v="5"/>
    <n v="2"/>
    <n v="13.49"/>
    <n v="13.49"/>
    <s v="SAVE20"/>
    <s v="SAVE20"/>
    <n v="5.4"/>
    <n v="5.4"/>
    <s v="Number"/>
    <n v="4.99"/>
    <n v="4.99"/>
    <n v="26.57"/>
    <n v="26.57"/>
    <n v="26.57"/>
    <s v="True"/>
    <s v="Normal"/>
    <s v="PayPal"/>
    <s v="Instagram"/>
    <s v="cancelled"/>
    <s v="Australia"/>
    <m/>
    <s v="Not Required"/>
    <s v="New Joyce"/>
  </r>
  <r>
    <s v="#2634"/>
    <n v="1"/>
    <d v="2026-08-04T00:00:00"/>
    <s v="04-08-2026 13:57"/>
    <s v="Heather Davis"/>
    <s v="Email Available"/>
    <s v="heather.davis117@icloud.com"/>
    <x v="4"/>
    <s v="Beauty"/>
    <x v="5"/>
    <n v="1"/>
    <n v="13.49"/>
    <n v="13.49"/>
    <m/>
    <s v=""/>
    <n v="0"/>
    <n v="0"/>
    <s v="Number"/>
    <n v="5.99"/>
    <n v="5.99"/>
    <n v="19.48"/>
    <n v="19.48"/>
    <n v="19.48"/>
    <s v="True"/>
    <s v="Normal"/>
    <s v="Apple Pay"/>
    <s v="Online Store"/>
    <s v="pending"/>
    <s v="Germany"/>
    <m/>
    <s v="Not Required"/>
    <s v="East Gwendolynport"/>
  </r>
  <r>
    <s v="#2651"/>
    <n v="1"/>
    <d v="2026-04-08T00:00:00"/>
    <s v="08/04/2026"/>
    <s v="Haley Glover"/>
    <s v="Email Available"/>
    <s v="haley.glover361@yahoo.com"/>
    <x v="4"/>
    <s v="Beauty"/>
    <x v="5"/>
    <n v="2"/>
    <n v="13.49"/>
    <n v="13.49"/>
    <s v="FREESHIP"/>
    <s v="FREESHIP"/>
    <n v="0"/>
    <n v="0"/>
    <s v="Number"/>
    <n v="0"/>
    <n v="0"/>
    <s v="$26.98"/>
    <n v="26.98"/>
    <n v="26.98"/>
    <s v="True"/>
    <s v="Normal"/>
    <s v="Shopify Payments"/>
    <s v="Online Store"/>
    <s v="fulfilled"/>
    <s v="Germany"/>
    <m/>
    <s v="Not Required"/>
    <s v="Markside"/>
  </r>
  <r>
    <s v="#2707"/>
    <n v="1"/>
    <d v="2026-08-04T14:04:54"/>
    <d v="2026-08-04T14:04:54"/>
    <s v="Lauren Williams"/>
    <s v="Email Available"/>
    <s v="lauren.williams316@icloud.com"/>
    <x v="4"/>
    <s v="Beauty"/>
    <x v="5"/>
    <n v="1"/>
    <n v="13.49"/>
    <n v="13.49"/>
    <s v="SAVE20"/>
    <s v="SAVE20"/>
    <n v="2.7"/>
    <n v="2.7"/>
    <s v="Number"/>
    <n v="7.99"/>
    <n v="7.99"/>
    <n v="18.78"/>
    <n v="18.78"/>
    <n v="18.78"/>
    <s v="True"/>
    <s v="Normal"/>
    <s v="Google Pay"/>
    <s v="POS"/>
    <s v="cancelled"/>
    <s v="United States"/>
    <s v="Illinois"/>
    <s v="Valid"/>
    <s v="Amandachester"/>
  </r>
  <r>
    <s v="#2719"/>
    <n v="1"/>
    <d v="2026-08-04T00:00:00"/>
    <s v="04-08-2026 13:54"/>
    <s v="Tyler Williams"/>
    <s v="Missing Email"/>
    <m/>
    <x v="4"/>
    <s v="Beauty"/>
    <x v="5"/>
    <n v="1"/>
    <s v="$13.49"/>
    <n v="13.49"/>
    <m/>
    <s v=""/>
    <n v="0"/>
    <n v="0"/>
    <s v="Number"/>
    <n v="5.99"/>
    <n v="5.99"/>
    <n v="19.48"/>
    <n v="19.48"/>
    <n v="19.48"/>
    <s v="True"/>
    <s v="Normal"/>
    <s v="Google Pay"/>
    <s v="Facebook"/>
    <s v="fulfilled"/>
    <s v="Australia"/>
    <m/>
    <s v="Not Required"/>
    <s v="Burnshaven"/>
  </r>
  <r>
    <s v="#2722"/>
    <n v="1"/>
    <d v="2026-08-04T14:05:57"/>
    <d v="2026-08-04T14:05:57"/>
    <s v="Daniel Contreras"/>
    <s v="Email Available"/>
    <s v="daniel.contreras749@yahoo.com"/>
    <x v="4"/>
    <s v="Beauty"/>
    <x v="5"/>
    <n v="2"/>
    <n v="13.49"/>
    <n v="13.49"/>
    <s v="SAVE20"/>
    <s v="SAVE20"/>
    <n v="5.4"/>
    <n v="5.4"/>
    <s v="Number"/>
    <n v="7.99"/>
    <n v="7.99"/>
    <n v="29.57"/>
    <n v="29.57"/>
    <n v="29.57"/>
    <s v="True"/>
    <s v="Normal"/>
    <s v="Google Pay"/>
    <s v="POS"/>
    <s v="fulfilled"/>
    <s v="Australia"/>
    <m/>
    <s v="Not Required"/>
    <s v="Petersonhaven"/>
  </r>
  <r>
    <s v="#2734"/>
    <n v="1"/>
    <d v="2026-08-04T13:59:26"/>
    <d v="2026-08-04T13:59:26"/>
    <s v="Kayla Cruz"/>
    <s v="Email Available"/>
    <s v="kayla.cruz151@outlook.com"/>
    <x v="4"/>
    <s v="Beauty"/>
    <x v="5"/>
    <n v="1"/>
    <n v="13.49"/>
    <n v="13.49"/>
    <m/>
    <s v=""/>
    <n v="0"/>
    <n v="0"/>
    <s v="Number"/>
    <n v="4.99"/>
    <n v="4.99"/>
    <n v="18.48"/>
    <n v="18.48"/>
    <n v="18.48"/>
    <s v="True"/>
    <s v="Normal"/>
    <s v="PayPal"/>
    <s v="Instagram"/>
    <s v="fulfilled"/>
    <s v="Pakistan"/>
    <m/>
    <s v="Not Required"/>
    <s v="Timothyshire"/>
  </r>
  <r>
    <s v="#2754"/>
    <n v="1"/>
    <d v="2026-08-04T13:55:11"/>
    <d v="2026-08-04T13:55:11"/>
    <s v="Jaime Vargas"/>
    <s v="Email Available"/>
    <s v="jaime.vargas795@outlook.com"/>
    <x v="4"/>
    <s v="Beauty"/>
    <x v="5"/>
    <n v="1"/>
    <s v="$13.49"/>
    <n v="13.49"/>
    <s v="BFCM25"/>
    <s v="BFCM25"/>
    <n v="3.37"/>
    <n v="3.37"/>
    <s v="Number"/>
    <n v="4.99"/>
    <n v="4.99"/>
    <n v="15.11"/>
    <n v="15.11"/>
    <n v="15.110000000000001"/>
    <s v="True"/>
    <s v="Normal"/>
    <s v="Shopify Payments"/>
    <s v="Online Store"/>
    <s v="pending"/>
    <s v="United Kingdom"/>
    <m/>
    <s v="Not Required"/>
    <s v="Cruzport"/>
  </r>
  <r>
    <s v="#2812"/>
    <n v="1"/>
    <d v="2026-08-04T13:54:36"/>
    <d v="2026-08-04T13:54:36"/>
    <s v="Lauren Nguyen"/>
    <s v="Email Available"/>
    <s v="lauren.nguyen819@outlook.com"/>
    <x v="4"/>
    <s v="Beauty"/>
    <x v="5"/>
    <n v="2"/>
    <s v="$13.49"/>
    <n v="13.49"/>
    <s v="FREESHIP"/>
    <s v="FREESHIP"/>
    <n v="0"/>
    <n v="0"/>
    <s v="Number"/>
    <n v="0"/>
    <n v="0"/>
    <n v="26.98"/>
    <n v="26.98"/>
    <n v="26.98"/>
    <s v="True"/>
    <s v="Normal"/>
    <s v="Google Pay"/>
    <s v="Online Store"/>
    <s v="fulfilled"/>
    <s v="United Kingdom"/>
    <m/>
    <s v="Not Required"/>
    <s v="New Bruce"/>
  </r>
  <r>
    <s v="#2850"/>
    <n v="1"/>
    <d v="2026-08-04T00:00:00"/>
    <s v="2026-08-04"/>
    <s v="William Houston"/>
    <s v="Email Available"/>
    <s v="william.houston340@outlook.com"/>
    <x v="4"/>
    <s v="Beauty"/>
    <x v="5"/>
    <n v="1"/>
    <s v="$13.49"/>
    <n v="13.49"/>
    <m/>
    <s v=""/>
    <n v="0"/>
    <n v="0"/>
    <s v="Number"/>
    <n v="5.99"/>
    <n v="5.99"/>
    <n v="19.48"/>
    <n v="19.48"/>
    <n v="19.48"/>
    <s v="True"/>
    <s v="Normal"/>
    <s v="Apple Pay"/>
    <s v="Facebook"/>
    <s v="fulfilled"/>
    <s v="United States"/>
    <s v="Ohio"/>
    <s v="Valid"/>
    <s v="East Kimville"/>
  </r>
  <r>
    <s v="#2926"/>
    <n v="1"/>
    <d v="2026-04-08T00:00:00"/>
    <s v="08/04/2026"/>
    <s v="Test Order"/>
    <s v="Email Available"/>
    <s v="test@test.com"/>
    <x v="4"/>
    <s v="Beauty"/>
    <x v="5"/>
    <n v="2"/>
    <n v="13.49"/>
    <n v="13.49"/>
    <m/>
    <s v=""/>
    <n v="0"/>
    <n v="0"/>
    <s v="Number"/>
    <n v="5.99"/>
    <n v="5.99"/>
    <n v="0"/>
    <n v="0"/>
    <n v="32.97"/>
    <s v="False"/>
    <s v="Normal"/>
    <s v="Apple Pay"/>
    <s v="Facebook"/>
    <s v="fulfilled"/>
    <s v="United Kingdom"/>
    <m/>
    <s v="Not Required"/>
    <s v="West Laurie"/>
  </r>
  <r>
    <s v="#2927"/>
    <n v="1"/>
    <d v="2026-08-04T13:56:07"/>
    <d v="2026-08-04T13:56:07"/>
    <s v="Dustin Mccoy"/>
    <s v="Email Available"/>
    <s v="dustin.mccoy570@gmail.com"/>
    <x v="4"/>
    <s v="Beauty"/>
    <x v="5"/>
    <n v="1"/>
    <n v="13.49"/>
    <n v="13.49"/>
    <s v="BFCM25"/>
    <s v="BFCM25"/>
    <n v="3.37"/>
    <n v="3.37"/>
    <s v="Number"/>
    <n v="5.99"/>
    <n v="5.99"/>
    <n v="16.11"/>
    <n v="16.11"/>
    <n v="16.11"/>
    <s v="True"/>
    <s v="Normal"/>
    <s v="Credit Card"/>
    <s v="Online Store"/>
    <s v="fulfilled"/>
    <s v="Canada"/>
    <m/>
    <s v="Not Required"/>
    <s v="East Heather"/>
  </r>
  <r>
    <s v="#2939"/>
    <n v="1"/>
    <d v="2026-08-04T13:54:01"/>
    <d v="2026-08-04T13:54:01"/>
    <s v="Joshua Ayers"/>
    <s v="Email Available"/>
    <s v="joshua.ayers935@yahoo.com"/>
    <x v="4"/>
    <s v="Beauty"/>
    <x v="5"/>
    <n v="1"/>
    <n v="13.49"/>
    <n v="13.49"/>
    <s v="WELCOME10"/>
    <s v="WELCOME10"/>
    <n v="1.35"/>
    <n v="1.35"/>
    <s v="Number"/>
    <n v="5.99"/>
    <n v="5.99"/>
    <s v="$18.13"/>
    <n v="18.13"/>
    <n v="18.130000000000003"/>
    <s v="True"/>
    <s v="Normal"/>
    <s v="Shopify Payments"/>
    <s v="Online Store"/>
    <s v="fulfilled"/>
    <s v="Germany"/>
    <m/>
    <s v="Not Required"/>
    <s v="Williamsstad"/>
  </r>
  <r>
    <s v="#1017"/>
    <n v="1"/>
    <d v="2026-08-04T00:00:00"/>
    <s v="2026-08-04"/>
    <s v="John Jacobs"/>
    <s v="Email Available"/>
    <s v="john.jacobs137@yahoo.com"/>
    <x v="5"/>
    <s v="Apparel"/>
    <x v="6"/>
    <n v="2"/>
    <n v="34.99"/>
    <n v="34.99"/>
    <m/>
    <s v=""/>
    <n v="0"/>
    <n v="0"/>
    <s v="Number"/>
    <n v="4.99"/>
    <n v="4.99"/>
    <n v="74.97"/>
    <n v="74.97"/>
    <n v="74.97"/>
    <s v="True"/>
    <s v="Normal"/>
    <s v="Shopify Payments"/>
    <s v="Online Store"/>
    <s v="fulfilled"/>
    <s v="Australia"/>
    <m/>
    <s v="Not Required"/>
    <s v="South Beverlyton"/>
  </r>
  <r>
    <s v="#1039"/>
    <n v="1"/>
    <d v="2026-08-04T14:02:19"/>
    <d v="2026-08-04T14:02:19"/>
    <s v="Rivera, Thomas"/>
    <s v="Email Available"/>
    <s v="thomas.rivera720@yahoo.com"/>
    <x v="5"/>
    <s v="Apparel"/>
    <x v="6"/>
    <n v="1"/>
    <n v="34.99"/>
    <n v="34.99"/>
    <s v="WELCOME10"/>
    <s v="WELCOME10"/>
    <s v="$3.50"/>
    <n v="3.5"/>
    <s v="Number"/>
    <n v="7.99"/>
    <n v="7.99"/>
    <n v="39.479999999999997"/>
    <n v="39.479999999999997"/>
    <n v="39.480000000000004"/>
    <s v="True"/>
    <s v="Normal"/>
    <s v="Google Pay"/>
    <s v="POS"/>
    <s v="fulfilled"/>
    <s v="United States"/>
    <s v="Washington"/>
    <s v="Valid"/>
    <s v="Lake Tiffany"/>
  </r>
  <r>
    <s v="#1055"/>
    <n v="1"/>
    <d v="2026-08-04T14:06:30"/>
    <d v="2026-08-04T14:06:30"/>
    <s v="Anthony Mullen"/>
    <s v="Email Available"/>
    <s v="anthony.mullen523@yahoo.com"/>
    <x v="5"/>
    <s v="Apparel"/>
    <x v="6"/>
    <n v="1"/>
    <n v="34.99"/>
    <n v="34.99"/>
    <s v="SAVE20"/>
    <s v="SAVE20"/>
    <n v="7"/>
    <n v="7"/>
    <s v="Number"/>
    <n v="7.99"/>
    <n v="7.99"/>
    <n v="35.979999999999997"/>
    <n v="35.979999999999997"/>
    <n v="35.980000000000004"/>
    <s v="True"/>
    <s v="Normal"/>
    <s v="Credit Card"/>
    <s v="Facebook"/>
    <s v="pending"/>
    <s v="United States"/>
    <s v="Georgia"/>
    <s v="Valid"/>
    <s v="Geraldhaven"/>
  </r>
  <r>
    <s v="#1058"/>
    <n v="1"/>
    <d v="2026-08-04T00:00:00"/>
    <s v="04-08-2026 13:54"/>
    <s v="Amanda Harris"/>
    <s v="Missing Email"/>
    <m/>
    <x v="5"/>
    <s v="Apparel"/>
    <x v="6"/>
    <n v="1"/>
    <s v="$34.99"/>
    <n v="34.99"/>
    <m/>
    <s v=""/>
    <n v="0"/>
    <n v="0"/>
    <s v="Number"/>
    <n v="7.99"/>
    <n v="7.99"/>
    <n v="42.98"/>
    <n v="42.98"/>
    <n v="42.980000000000004"/>
    <s v="True"/>
    <s v="Normal"/>
    <s v="Shopify Payments"/>
    <s v="Online Store"/>
    <s v="fulfilled"/>
    <s v="United States"/>
    <s v="Arizona"/>
    <s v="Valid"/>
    <s v="Lake Alyssa"/>
  </r>
  <r>
    <s v="#1060"/>
    <n v="1"/>
    <d v="2026-08-04T13:57:58"/>
    <d v="2026-08-04T13:57:58"/>
    <s v="Heather Davis"/>
    <s v="Email Available"/>
    <s v="heather.davis117@icloud.com"/>
    <x v="5"/>
    <s v="Apparel"/>
    <x v="6"/>
    <n v="2"/>
    <s v="$34.99"/>
    <n v="34.99"/>
    <m/>
    <s v=""/>
    <n v="0"/>
    <n v="0"/>
    <s v="Number"/>
    <n v="5.99"/>
    <n v="5.99"/>
    <n v="75.97"/>
    <n v="75.97"/>
    <n v="75.97"/>
    <s v="True"/>
    <s v="Normal"/>
    <s v="Apple Pay"/>
    <s v="Online Store"/>
    <s v="fulfilled"/>
    <s v="Germany"/>
    <m/>
    <s v="Not Required"/>
    <s v="East Tiffany"/>
  </r>
  <r>
    <s v="#1062"/>
    <n v="1"/>
    <d v="2026-08-04T14:00:09"/>
    <d v="2026-08-04T14:00:09"/>
    <s v="Lisa Flowers"/>
    <s v="Email Available"/>
    <s v="lisa.flowers14@icloud.com"/>
    <x v="5"/>
    <s v="Apparel"/>
    <x v="6"/>
    <n v="1"/>
    <n v="34.99"/>
    <n v="34.99"/>
    <s v="FREESHIP"/>
    <s v="FREESHIP"/>
    <n v="0"/>
    <n v="0"/>
    <s v="Number"/>
    <n v="0"/>
    <n v="0"/>
    <n v="34.99"/>
    <n v="34.99"/>
    <n v="34.99"/>
    <s v="True"/>
    <s v="Normal"/>
    <s v="Shopify Payments"/>
    <s v="Online Store"/>
    <s v="cancelled"/>
    <s v="Germany"/>
    <m/>
    <s v="Not Required"/>
    <s v="Port Patriciaborough"/>
  </r>
  <r>
    <s v="#1107"/>
    <n v="1"/>
    <d v="2026-04-08T00:00:00"/>
    <s v="08/04/2026"/>
    <s v="Peter Alvarez"/>
    <s v="Email Available"/>
    <s v="peter.alvarez465@yahoo.com"/>
    <x v="5"/>
    <s v="Apparel"/>
    <x v="6"/>
    <n v="2"/>
    <n v="34.99"/>
    <n v="34.99"/>
    <m/>
    <s v=""/>
    <n v="0"/>
    <n v="0"/>
    <s v="Number"/>
    <n v="4.99"/>
    <n v="4.99"/>
    <n v="74.97"/>
    <n v="74.97"/>
    <n v="74.97"/>
    <s v="True"/>
    <s v="Normal"/>
    <s v="PayPal"/>
    <s v="POS"/>
    <s v="cancelled"/>
    <s v="United States"/>
    <s v="North Carolina"/>
    <s v="Valid"/>
    <s v="Angelaborough"/>
  </r>
  <r>
    <s v="#1112"/>
    <n v="1"/>
    <d v="2026-08-04T14:07:07"/>
    <d v="2026-08-04T14:07:07"/>
    <s v="Pamela Miller"/>
    <s v="Email Available"/>
    <s v="pamela.miller171@icloud.com"/>
    <x v="5"/>
    <s v="Apparel"/>
    <x v="6"/>
    <n v="1"/>
    <n v="34.99"/>
    <n v="34.99"/>
    <m/>
    <s v=""/>
    <n v="0"/>
    <n v="0"/>
    <s v="Number"/>
    <n v="5.99"/>
    <n v="5.99"/>
    <n v="40.98"/>
    <n v="40.98"/>
    <n v="40.980000000000004"/>
    <s v="True"/>
    <s v="Normal"/>
    <s v="PayPal"/>
    <s v="POS"/>
    <s v="fulfilled"/>
    <s v="United States"/>
    <s v="Texas"/>
    <s v="Valid"/>
    <s v="Reeseburgh"/>
  </r>
  <r>
    <s v="#1113"/>
    <n v="1"/>
    <d v="2026-08-04T14:03:08"/>
    <d v="2026-08-04T14:03:08"/>
    <s v="Thomas Rojas"/>
    <s v="Email Available"/>
    <s v="thomas.rojas667@icloud.com"/>
    <x v="5"/>
    <s v="Apparel"/>
    <x v="6"/>
    <n v="2"/>
    <n v="34.99"/>
    <n v="34.99"/>
    <m/>
    <s v=""/>
    <n v="0"/>
    <n v="0"/>
    <s v="Number"/>
    <n v="4.99"/>
    <n v="4.99"/>
    <n v="74.97"/>
    <n v="74.97"/>
    <n v="74.97"/>
    <s v="True"/>
    <s v="Normal"/>
    <s v="Shopify Payments"/>
    <s v="Facebook"/>
    <s v="fulfilled"/>
    <s v="United States"/>
    <s v="Illinois"/>
    <s v="Valid"/>
    <s v="Joseton"/>
  </r>
  <r>
    <s v="#1128"/>
    <n v="1"/>
    <d v="2026-08-04T13:54:47"/>
    <d v="2026-08-04T13:54:47"/>
    <s v="Seth Price"/>
    <s v="Email Available"/>
    <s v="seth.price179@gmail.com"/>
    <x v="5"/>
    <s v="Apparel"/>
    <x v="6"/>
    <n v="1"/>
    <n v="34.99"/>
    <n v="34.99"/>
    <s v="BFCM25"/>
    <s v="BFCM25"/>
    <n v="8.75"/>
    <n v="8.75"/>
    <s v="Number"/>
    <n v="4.99"/>
    <n v="4.99"/>
    <n v="31.23"/>
    <n v="31.23"/>
    <n v="31.230000000000004"/>
    <s v="True"/>
    <s v="Normal"/>
    <s v="Google Pay"/>
    <s v="POS"/>
    <s v="fulfilled"/>
    <s v="United States"/>
    <s v="Texas"/>
    <s v="Valid"/>
    <s v="West Jasmine"/>
  </r>
  <r>
    <s v="#1129"/>
    <n v="1"/>
    <d v="2026-08-04T14:07:05"/>
    <d v="2026-08-04T14:07:05"/>
    <s v="Kari Cooke"/>
    <s v="Email Available"/>
    <s v="kari.cooke871@gmail.com"/>
    <x v="5"/>
    <s v="Apparel"/>
    <x v="6"/>
    <n v="1"/>
    <n v="34.99"/>
    <n v="34.99"/>
    <s v="WELCOME10"/>
    <s v="WELCOME10"/>
    <n v="3.5"/>
    <n v="3.5"/>
    <s v="Number"/>
    <n v="7.99"/>
    <n v="7.99"/>
    <n v="39.479999999999997"/>
    <n v="39.479999999999997"/>
    <n v="39.480000000000004"/>
    <s v="True"/>
    <s v="Normal"/>
    <s v="Google Pay"/>
    <s v="Online Store"/>
    <s v="fulfilled"/>
    <s v="Australia"/>
    <m/>
    <s v="Not Required"/>
    <s v="Coxtown"/>
  </r>
  <r>
    <s v="#1160"/>
    <n v="1"/>
    <d v="2026-08-04T13:59:47"/>
    <d v="2026-08-04T13:59:47"/>
    <s v="Sean Frank"/>
    <s v="Email Available"/>
    <s v="sean.frank587@icloud.com"/>
    <x v="5"/>
    <s v="Apparel"/>
    <x v="6"/>
    <n v="2"/>
    <n v="34.99"/>
    <n v="34.99"/>
    <m/>
    <s v=""/>
    <n v="0"/>
    <n v="0"/>
    <s v="Number"/>
    <n v="5.99"/>
    <n v="5.99"/>
    <n v="75.97"/>
    <n v="75.97"/>
    <n v="75.97"/>
    <s v="True"/>
    <s v="Normal"/>
    <s v="Google Pay"/>
    <s v="Online Store"/>
    <s v="fulfilled"/>
    <s v="Australia"/>
    <m/>
    <s v="Not Required"/>
    <s v="Willisview"/>
  </r>
  <r>
    <s v="#1184"/>
    <n v="1"/>
    <d v="2026-08-04T14:03:39"/>
    <d v="2026-08-04T14:03:39"/>
    <s v="Amanda Robinson"/>
    <s v="Email Available"/>
    <s v="amanda.robinson263@icloud.com"/>
    <x v="5"/>
    <s v="Apparel"/>
    <x v="6"/>
    <n v="1"/>
    <n v="34.99"/>
    <n v="34.99"/>
    <s v="VIP15"/>
    <s v="VIP15"/>
    <s v="$5.25"/>
    <n v="5.25"/>
    <s v="Number"/>
    <n v="7.99"/>
    <n v="7.99"/>
    <s v="$37.73"/>
    <n v="37.729999999999997"/>
    <n v="37.730000000000004"/>
    <s v="True"/>
    <s v="Normal"/>
    <s v="PayPal"/>
    <s v="Online Store"/>
    <s v="fulfilled"/>
    <s v="United States"/>
    <s v="TX"/>
    <s v="Valid"/>
    <s v="Cummingsbury"/>
  </r>
  <r>
    <s v="#1187"/>
    <n v="1"/>
    <d v="2026-08-04T14:01:55"/>
    <d v="2026-08-04T14:01:55"/>
    <s v="Ronald Stanley"/>
    <s v="Email Available"/>
    <s v="ronald.stanley7@yahoo.com"/>
    <x v="5"/>
    <s v="Apparel"/>
    <x v="6"/>
    <n v="2"/>
    <n v="34.99"/>
    <n v="34.99"/>
    <s v="VIP15"/>
    <s v="VIP15"/>
    <n v="10.5"/>
    <n v="10.5"/>
    <s v="Number"/>
    <n v="5.99"/>
    <n v="5.99"/>
    <n v="65.47"/>
    <n v="65.47"/>
    <n v="65.47"/>
    <s v="True"/>
    <s v="Normal"/>
    <s v="Shopify Payments"/>
    <s v="POS"/>
    <s v="fulfilled"/>
    <s v="United States"/>
    <s v="Georgia"/>
    <s v="Valid"/>
    <s v="North Briannahaven"/>
  </r>
  <r>
    <s v="#1198"/>
    <n v="1"/>
    <d v="2026-08-04T14:02:39"/>
    <d v="2026-08-04T14:02:39"/>
    <s v="Michael Hays"/>
    <s v="Email Available"/>
    <s v="michael.hays590@gmail.com"/>
    <x v="5"/>
    <s v="Apparel"/>
    <x v="6"/>
    <n v="2"/>
    <n v="34.99"/>
    <n v="34.99"/>
    <s v="FREESHIP"/>
    <s v="FREESHIP"/>
    <n v="0"/>
    <n v="0"/>
    <s v="Number"/>
    <n v="0"/>
    <n v="0"/>
    <s v="$69.98"/>
    <n v="69.98"/>
    <n v="69.98"/>
    <s v="True"/>
    <s v="Normal"/>
    <s v="Apple Pay"/>
    <s v="Online Store"/>
    <s v="fulfilled"/>
    <s v="United States"/>
    <s v="Arizona"/>
    <s v="Valid"/>
    <s v="East Juliafort"/>
  </r>
  <r>
    <s v="#1199"/>
    <n v="1"/>
    <d v="2026-08-04T13:54:45"/>
    <d v="2026-08-04T13:54:45"/>
    <s v="Andrew Johnson"/>
    <s v="Email Available"/>
    <s v="andrew.johnson94@outlook.com"/>
    <x v="5"/>
    <s v="Apparel"/>
    <x v="6"/>
    <n v="1"/>
    <n v="34.99"/>
    <n v="34.99"/>
    <s v="BFCM25"/>
    <s v="BFCM25"/>
    <n v="8.75"/>
    <n v="8.75"/>
    <s v="Number"/>
    <n v="7.99"/>
    <n v="7.99"/>
    <n v="34.229999999999997"/>
    <n v="34.229999999999997"/>
    <n v="34.230000000000004"/>
    <s v="True"/>
    <s v="Normal"/>
    <s v="PayPal"/>
    <s v="Facebook"/>
    <s v="cancelled"/>
    <s v="Australia"/>
    <m/>
    <s v="Not Required"/>
    <s v="East Andrew"/>
  </r>
  <r>
    <s v="#1221"/>
    <n v="1"/>
    <d v="2026-08-04T14:08:01"/>
    <d v="2026-08-04T14:08:01"/>
    <s v="David Knapp"/>
    <s v="Email Available"/>
    <s v="david.knapp687@yahoo.com"/>
    <x v="5"/>
    <s v="Apparel"/>
    <x v="6"/>
    <n v="1"/>
    <n v="34.99"/>
    <n v="34.99"/>
    <s v="FREESHIP"/>
    <s v="FREESHIP"/>
    <n v="0"/>
    <n v="0"/>
    <s v="Number"/>
    <n v="0"/>
    <n v="0"/>
    <n v="34.99"/>
    <n v="34.99"/>
    <n v="34.99"/>
    <s v="True"/>
    <s v="Normal"/>
    <s v="Credit Card"/>
    <s v="Facebook"/>
    <s v="fulfilled"/>
    <s v="United States"/>
    <s v="Arizona"/>
    <s v="Valid"/>
    <s v="West Stephenburgh"/>
  </r>
  <r>
    <s v="#1298"/>
    <n v="1"/>
    <d v="2026-08-04T14:07:28"/>
    <d v="2026-08-04T14:07:28"/>
    <s v="Kristen Lewis"/>
    <s v="Email Available"/>
    <s v="kristen.lewis649@icloud.com"/>
    <x v="5"/>
    <s v="Apparel"/>
    <x v="6"/>
    <n v="1"/>
    <n v="34.99"/>
    <n v="34.99"/>
    <m/>
    <s v=""/>
    <n v="0"/>
    <n v="0"/>
    <s v="Number"/>
    <n v="7.99"/>
    <n v="7.99"/>
    <n v="42.98"/>
    <n v="42.98"/>
    <n v="42.980000000000004"/>
    <s v="True"/>
    <s v="Normal"/>
    <s v="Shopify Payments"/>
    <s v="POS"/>
    <s v="pending"/>
    <s v="United States"/>
    <s v="North Carolina"/>
    <s v="Valid"/>
    <s v="Rosaleshaven"/>
  </r>
  <r>
    <s v="#1334"/>
    <n v="1"/>
    <d v="2026-08-04T14:00:20"/>
    <d v="2026-08-04T14:00:20"/>
    <s v="Elizabeth Johnston"/>
    <s v="Email Available"/>
    <s v="elizabeth.johnston946@gmail.com"/>
    <x v="5"/>
    <s v="Apparel"/>
    <x v="6"/>
    <n v="1"/>
    <n v="34.99"/>
    <n v="34.99"/>
    <m/>
    <s v=""/>
    <n v="0"/>
    <n v="0"/>
    <s v="Number"/>
    <n v="5.99"/>
    <n v="5.99"/>
    <n v="40.98"/>
    <n v="40.98"/>
    <n v="40.980000000000004"/>
    <s v="True"/>
    <s v="Normal"/>
    <s v="Shopify Payments"/>
    <s v="Online Store"/>
    <s v="fulfilled"/>
    <s v="United Kingdom"/>
    <m/>
    <s v="Not Required"/>
    <s v="Bakershire"/>
  </r>
  <r>
    <s v="#1342"/>
    <n v="1"/>
    <d v="2026-04-08T00:00:00"/>
    <s v="08/04/2026"/>
    <s v="Nicole Taylor"/>
    <s v="Email Available"/>
    <s v="nicole.taylor607@icloud.com"/>
    <x v="5"/>
    <s v="Apparel"/>
    <x v="6"/>
    <n v="2"/>
    <n v="34.99"/>
    <n v="34.99"/>
    <s v="BFCM25"/>
    <s v="BFCM25"/>
    <n v="17.5"/>
    <n v="17.5"/>
    <s v="Number"/>
    <n v="7.99"/>
    <n v="7.99"/>
    <n v="60.47"/>
    <n v="60.47"/>
    <n v="60.470000000000006"/>
    <s v="True"/>
    <s v="Normal"/>
    <s v="PayPal"/>
    <s v="Instagram"/>
    <s v="fulfilled"/>
    <s v="United States"/>
    <s v="California"/>
    <s v="Valid"/>
    <s v="Melvinside"/>
  </r>
  <r>
    <s v="#1348"/>
    <n v="1"/>
    <d v="2026-08-04T14:01:56"/>
    <d v="2026-08-04T14:01:56"/>
    <s v="Timothy Becker"/>
    <s v="Email Available"/>
    <s v="timothy.becker88@yahoo.com"/>
    <x v="5"/>
    <s v="Apparel"/>
    <x v="6"/>
    <n v="1"/>
    <n v="34.99"/>
    <n v="34.99"/>
    <s v="WELCOME10"/>
    <s v="WELCOME10"/>
    <n v="3.5"/>
    <n v="3.5"/>
    <s v="Number"/>
    <n v="5.99"/>
    <n v="5.99"/>
    <n v="37.479999999999997"/>
    <n v="37.479999999999997"/>
    <n v="37.480000000000004"/>
    <s v="True"/>
    <s v="Normal"/>
    <s v="Google Pay"/>
    <s v="Online Store"/>
    <s v="pending"/>
    <s v="United States"/>
    <s v="Florida"/>
    <s v="Valid"/>
    <s v="Lake Kimberlybury"/>
  </r>
  <r>
    <s v="#1369"/>
    <n v="1"/>
    <d v="2026-08-04T14:04:34"/>
    <d v="2026-08-04T14:04:34"/>
    <s v="Kendra Price"/>
    <s v="Email Available"/>
    <s v="kendra.price237@outlook.com"/>
    <x v="5"/>
    <s v="Apparel"/>
    <x v="6"/>
    <n v="1"/>
    <n v="34.99"/>
    <n v="34.99"/>
    <m/>
    <s v=""/>
    <n v="0"/>
    <n v="0"/>
    <s v="Number"/>
    <n v="7.99"/>
    <n v="7.99"/>
    <n v="42.98"/>
    <n v="42.98"/>
    <n v="42.980000000000004"/>
    <s v="True"/>
    <s v="Normal"/>
    <s v="Credit Card"/>
    <s v="Online Store"/>
    <s v="pending"/>
    <s v="Germany"/>
    <m/>
    <s v="Not Required"/>
    <s v="Stephensshire"/>
  </r>
  <r>
    <s v="#1370"/>
    <n v="1"/>
    <d v="2026-08-04T00:00:00"/>
    <s v="04-08-2026 14:00"/>
    <s v="Autumn Stewart"/>
    <s v="Email Available"/>
    <s v="autumn.stewart565@outlook.com"/>
    <x v="5"/>
    <s v="Apparel"/>
    <x v="6"/>
    <n v="1"/>
    <n v="34.99"/>
    <n v="34.99"/>
    <m/>
    <s v=""/>
    <n v="0"/>
    <n v="0"/>
    <s v="Number"/>
    <n v="7.99"/>
    <n v="7.99"/>
    <n v="42.98"/>
    <n v="42.98"/>
    <n v="42.980000000000004"/>
    <s v="True"/>
    <s v="Normal"/>
    <s v="PayPal"/>
    <s v="Facebook"/>
    <s v="fulfilled"/>
    <s v="United Kingdom"/>
    <m/>
    <s v="Not Required"/>
    <s v="Lake Jaredborough"/>
  </r>
  <r>
    <s v="#1371"/>
    <n v="1"/>
    <d v="2026-08-04T13:59:50"/>
    <d v="2026-08-04T13:59:50"/>
    <s v="Andrew Vargas"/>
    <s v="Email Available"/>
    <s v="andrew.vargas381@outlook.com"/>
    <x v="5"/>
    <s v="Apparel"/>
    <x v="6"/>
    <n v="1"/>
    <n v="34.99"/>
    <n v="34.99"/>
    <m/>
    <s v=""/>
    <n v="0"/>
    <n v="0"/>
    <s v="Number"/>
    <n v="4.99"/>
    <n v="4.99"/>
    <n v="39.979999999999997"/>
    <n v="39.979999999999997"/>
    <n v="39.980000000000004"/>
    <s v="True"/>
    <s v="Normal"/>
    <s v="PayPal"/>
    <s v="Online Store"/>
    <s v="cancelled"/>
    <s v="Canada"/>
    <m/>
    <s v="Not Required"/>
    <s v="Port Jasmineview"/>
  </r>
  <r>
    <s v="#1432"/>
    <n v="1"/>
    <d v="2026-08-04T14:04:17"/>
    <d v="2026-08-04T14:04:17"/>
    <s v="Jasmine Parker"/>
    <s v="Email Available"/>
    <s v="jasmine.parker47@icloud.com"/>
    <x v="5"/>
    <s v="Apparel"/>
    <x v="6"/>
    <n v="2"/>
    <n v="34.99"/>
    <n v="34.99"/>
    <m/>
    <s v=""/>
    <n v="0"/>
    <n v="0"/>
    <s v="Number"/>
    <n v="5.99"/>
    <n v="5.99"/>
    <n v="75.97"/>
    <n v="75.97"/>
    <n v="75.97"/>
    <s v="True"/>
    <s v="Normal"/>
    <s v="Google Pay"/>
    <s v="POS"/>
    <s v="fulfilled"/>
    <s v="Pakistan"/>
    <m/>
    <s v="Not Required"/>
    <s v="New Christina"/>
  </r>
  <r>
    <s v="#1471"/>
    <n v="1"/>
    <d v="2026-08-04T13:56:56"/>
    <d v="2026-08-04T13:56:56"/>
    <s v="Heather Davis"/>
    <s v="Email Available"/>
    <s v="heather.davis117@icloud.com"/>
    <x v="5"/>
    <s v="Apparel"/>
    <x v="6"/>
    <n v="2"/>
    <n v="34.99"/>
    <n v="34.99"/>
    <m/>
    <s v=""/>
    <n v="0"/>
    <n v="0"/>
    <s v="Number"/>
    <n v="7.99"/>
    <n v="7.99"/>
    <n v="77.97"/>
    <n v="77.97"/>
    <n v="77.97"/>
    <s v="True"/>
    <s v="Normal"/>
    <s v="Apple Pay"/>
    <s v="POS"/>
    <s v="refunded"/>
    <s v="Germany"/>
    <m/>
    <s v="Not Required"/>
    <s v="Richardsonchester"/>
  </r>
  <r>
    <s v="#1472"/>
    <n v="1"/>
    <d v="2026-04-08T00:00:00"/>
    <s v="                                08/04/2026"/>
    <s v="Christy Phillips"/>
    <s v="Email Available"/>
    <s v="christy.phillips291@gmail.com"/>
    <x v="5"/>
    <s v="Apparel"/>
    <x v="6"/>
    <n v="1"/>
    <n v="34.99"/>
    <n v="34.99"/>
    <s v="VIP15"/>
    <s v="VIP15"/>
    <n v="5.25"/>
    <n v="5.25"/>
    <s v="Number"/>
    <n v="7.99"/>
    <n v="7.99"/>
    <n v="37.729999999999997"/>
    <n v="37.729999999999997"/>
    <n v="37.730000000000004"/>
    <s v="True"/>
    <s v="Normal"/>
    <s v="Apple Pay"/>
    <s v="POS"/>
    <s v="cancelled"/>
    <s v="Pakistan"/>
    <m/>
    <s v="Not Required"/>
    <s v="New Claire"/>
  </r>
  <r>
    <s v="#1503"/>
    <n v="1"/>
    <d v="2026-08-04T13:57:49"/>
    <d v="2026-08-04T13:57:49"/>
    <s v="Frank White"/>
    <s v="Email Available"/>
    <s v="frank.white670@icloud.com"/>
    <x v="5"/>
    <s v="Apparel"/>
    <x v="6"/>
    <n v="1"/>
    <n v="34.99"/>
    <n v="34.99"/>
    <m/>
    <s v=""/>
    <n v="0"/>
    <n v="0"/>
    <s v="Number"/>
    <n v="4.99"/>
    <n v="4.99"/>
    <n v="39.979999999999997"/>
    <n v="39.979999999999997"/>
    <n v="39.980000000000004"/>
    <s v="True"/>
    <s v="Normal"/>
    <s v="Apple Pay"/>
    <s v="Online Store"/>
    <s v="fulfilled"/>
    <s v="United States"/>
    <s v="OH"/>
    <s v="Valid"/>
    <s v="Markchester"/>
  </r>
  <r>
    <s v="#1533"/>
    <n v="1"/>
    <d v="2026-08-04T00:00:00"/>
    <s v="04-08-2026 14:07"/>
    <s v="Tyler Williams"/>
    <s v="Email Available"/>
    <s v="tyler.williams938@outlook.com"/>
    <x v="5"/>
    <s v="Apparel"/>
    <x v="6"/>
    <n v="3"/>
    <n v="34.99"/>
    <n v="34.99"/>
    <s v="VIP15"/>
    <s v="VIP15"/>
    <n v="15.75"/>
    <n v="15.75"/>
    <s v="Number"/>
    <n v="0"/>
    <n v="0"/>
    <n v="89.22"/>
    <n v="89.22"/>
    <n v="89.22"/>
    <s v="True"/>
    <s v="Outlier"/>
    <s v="Google Pay"/>
    <s v="Online Store"/>
    <s v="fulfilled"/>
    <s v="Australia"/>
    <m/>
    <s v="Not Required"/>
    <s v="Lake Monicaville"/>
  </r>
  <r>
    <s v="#1538"/>
    <n v="1"/>
    <d v="2026-08-04T14:02:47"/>
    <d v="2026-08-04T14:02:47"/>
    <s v="Maria Leon"/>
    <s v="Email Available"/>
    <s v="maria.leon163@outlook.com"/>
    <x v="5"/>
    <s v="Apparel"/>
    <x v="6"/>
    <n v="2"/>
    <n v="34.99"/>
    <n v="34.99"/>
    <s v="FREESHIP"/>
    <s v="FREESHIP"/>
    <n v="0"/>
    <n v="0"/>
    <s v="Number"/>
    <n v="0"/>
    <n v="0"/>
    <n v="69.98"/>
    <n v="69.98"/>
    <n v="69.98"/>
    <s v="True"/>
    <s v="Normal"/>
    <s v="Apple Pay"/>
    <s v="Instagram"/>
    <s v="fulfilled"/>
    <s v="Canada"/>
    <m/>
    <s v="Not Required"/>
    <s v="Gonzalezfort"/>
  </r>
  <r>
    <s v="#1613"/>
    <n v="1"/>
    <d v="2026-08-04T13:55:42"/>
    <d v="2026-08-04T13:55:42"/>
    <s v="Amanda Rodriguez"/>
    <s v="Email Available"/>
    <s v="amanda.rodriguez770@yahoo.com"/>
    <x v="5"/>
    <s v="Apparel"/>
    <x v="6"/>
    <n v="1"/>
    <n v="34.99"/>
    <n v="34.99"/>
    <m/>
    <s v=""/>
    <n v="0"/>
    <n v="0"/>
    <s v="Number"/>
    <n v="4.99"/>
    <n v="4.99"/>
    <n v="39.979999999999997"/>
    <n v="39.979999999999997"/>
    <n v="39.980000000000004"/>
    <s v="True"/>
    <s v="Normal"/>
    <s v="PayPal"/>
    <s v="POS"/>
    <s v="pending"/>
    <s v="United States"/>
    <s v="GA"/>
    <s v="Valid"/>
    <s v="West Joseph"/>
  </r>
  <r>
    <s v="#1622"/>
    <n v="1"/>
    <d v="2026-08-04T14:01:33"/>
    <d v="2026-08-04T14:01:33"/>
    <s v="Stephanie Mcgee"/>
    <s v="Email Available"/>
    <s v="stephanie.mcgee557@outlook.com"/>
    <x v="5"/>
    <s v="Apparel"/>
    <x v="6"/>
    <n v="1"/>
    <n v="34.99"/>
    <n v="34.99"/>
    <m/>
    <s v=""/>
    <n v="0"/>
    <n v="0"/>
    <s v="Number"/>
    <n v="5.99"/>
    <n v="5.99"/>
    <n v="40.98"/>
    <n v="40.98"/>
    <n v="40.980000000000004"/>
    <s v="True"/>
    <s v="Normal"/>
    <s v="PayPal"/>
    <s v="POS"/>
    <s v="fulfilled"/>
    <s v="Australia"/>
    <m/>
    <s v="Not Required"/>
    <s v="Catherineside"/>
  </r>
  <r>
    <s v="#1648"/>
    <n v="1"/>
    <d v="2026-08-04T13:57:55"/>
    <d v="2026-08-04T13:57:55"/>
    <s v="Timothy Hodges"/>
    <s v="Email Available"/>
    <s v="timothy.hodges687@icloud.com"/>
    <x v="5"/>
    <s v="Apparel"/>
    <x v="6"/>
    <n v="1"/>
    <n v="34.99"/>
    <n v="34.99"/>
    <m/>
    <s v=""/>
    <n v="0"/>
    <n v="0"/>
    <s v="Number"/>
    <n v="5.99"/>
    <n v="5.99"/>
    <n v="40.98"/>
    <n v="40.98"/>
    <n v="40.980000000000004"/>
    <s v="True"/>
    <s v="Normal"/>
    <s v="Credit Card"/>
    <s v="Online Store"/>
    <s v="fulfilled"/>
    <s v="Australia"/>
    <m/>
    <s v="Not Required"/>
    <s v="Gregorymouth"/>
  </r>
  <r>
    <s v="#1720"/>
    <n v="1"/>
    <d v="2026-08-04T14:03:12"/>
    <d v="2026-08-04T14:03:12"/>
    <s v="Gregory Vega"/>
    <s v="Email Available"/>
    <s v="gregory.vega882@outlook.com"/>
    <x v="5"/>
    <s v="Apparel"/>
    <x v="6"/>
    <n v="1"/>
    <n v="34.99"/>
    <n v="34.99"/>
    <m/>
    <s v=""/>
    <s v="$0.00"/>
    <n v="0"/>
    <s v="Number"/>
    <n v="5.99"/>
    <n v="5.99"/>
    <n v="40.98"/>
    <n v="40.98"/>
    <n v="40.980000000000004"/>
    <s v="True"/>
    <s v="Normal"/>
    <s v="Credit Card"/>
    <s v="Facebook"/>
    <s v="cancelled"/>
    <s v="Pakistan"/>
    <m/>
    <s v="Not Required"/>
    <s v="East Julianshire"/>
  </r>
  <r>
    <s v="#1722"/>
    <n v="1"/>
    <d v="2026-08-04T14:05:44"/>
    <d v="2026-08-04T14:05:44"/>
    <s v="Kenneth Davis"/>
    <s v="Email Available"/>
    <s v="kenneth.davis106@yahoo.com"/>
    <x v="5"/>
    <s v="Apparel"/>
    <x v="6"/>
    <n v="2"/>
    <n v="34.99"/>
    <n v="34.99"/>
    <s v="WELCOME10"/>
    <s v="WELCOME10"/>
    <n v="7"/>
    <n v="7"/>
    <s v="Number"/>
    <n v="7.99"/>
    <n v="7.99"/>
    <n v="70.97"/>
    <n v="70.97"/>
    <n v="70.97"/>
    <s v="True"/>
    <s v="Normal"/>
    <s v="Shopify Payments"/>
    <s v="Online Store"/>
    <s v="fulfilled"/>
    <s v="United States"/>
    <s v="Texas"/>
    <s v="Valid"/>
    <s v="South Travis"/>
  </r>
  <r>
    <s v="#1741"/>
    <n v="1"/>
    <d v="2026-08-04T13:57:13"/>
    <d v="2026-08-04T13:57:13"/>
    <s v="Christopher Harris"/>
    <s v="Email Available"/>
    <s v="christopher.harris618@yahoo.com"/>
    <x v="5"/>
    <s v="Apparel"/>
    <x v="6"/>
    <n v="2"/>
    <n v="34.99"/>
    <n v="34.99"/>
    <s v="WELCOME10"/>
    <s v="WELCOME10"/>
    <n v="7"/>
    <n v="7"/>
    <s v="Number"/>
    <n v="4.99"/>
    <n v="4.99"/>
    <n v="67.97"/>
    <n v="67.97"/>
    <n v="67.97"/>
    <s v="True"/>
    <s v="Normal"/>
    <s v="Apple Pay"/>
    <s v="Instagram"/>
    <s v="refunded"/>
    <s v="Australia"/>
    <m/>
    <s v="Not Required"/>
    <s v="Port Nicholasport"/>
  </r>
  <r>
    <s v="#1807"/>
    <n v="1"/>
    <d v="2026-08-04T13:54:30"/>
    <d v="2026-08-04T13:54:30"/>
    <s v="Natalie Dixon"/>
    <s v="Email Available"/>
    <s v="natalie.dixon388@outlook.com"/>
    <x v="5"/>
    <s v="Apparel"/>
    <x v="6"/>
    <n v="1"/>
    <n v="34.99"/>
    <n v="34.99"/>
    <s v="VIP15"/>
    <s v="VIP15"/>
    <s v="$5.25"/>
    <n v="5.25"/>
    <s v="Number"/>
    <n v="4.99"/>
    <n v="4.99"/>
    <n v="34.729999999999997"/>
    <n v="34.729999999999997"/>
    <n v="34.730000000000004"/>
    <s v="True"/>
    <s v="Normal"/>
    <s v="Credit Card"/>
    <s v="Online Store"/>
    <s v="fulfilled"/>
    <s v="United States"/>
    <s v="Ohio"/>
    <s v="Valid"/>
    <s v="Claudiashire"/>
  </r>
  <r>
    <s v="#1879"/>
    <n v="1"/>
    <d v="2026-08-04T14:04:57"/>
    <d v="2026-08-04T14:04:57"/>
    <s v="Mark Mata"/>
    <s v="Email Available"/>
    <s v="mark.mata757@outlook.com"/>
    <x v="5"/>
    <s v="Apparel"/>
    <x v="6"/>
    <n v="1"/>
    <s v="$34.99"/>
    <n v="34.99"/>
    <m/>
    <s v=""/>
    <n v="0"/>
    <n v="0"/>
    <s v="Number"/>
    <n v="5.99"/>
    <n v="5.99"/>
    <n v="40.98"/>
    <n v="40.98"/>
    <n v="40.980000000000004"/>
    <s v="True"/>
    <s v="Normal"/>
    <s v="Credit Card"/>
    <s v="Facebook"/>
    <s v="fulfilled"/>
    <s v="United States"/>
    <s v="Washington"/>
    <s v="Valid"/>
    <s v="Christophermouth"/>
  </r>
  <r>
    <s v="#1887"/>
    <n v="1"/>
    <d v="2026-08-04T14:00:46"/>
    <d v="2026-08-04T14:00:46"/>
    <s v="Sheryl Nguyen"/>
    <s v="Email Available"/>
    <s v="sheryl.nguyen272@outlook.com"/>
    <x v="5"/>
    <s v="Apparel"/>
    <x v="6"/>
    <n v="1"/>
    <n v="34.99"/>
    <n v="34.99"/>
    <m/>
    <s v=""/>
    <n v="0"/>
    <n v="0"/>
    <s v="Number"/>
    <n v="7.99"/>
    <n v="7.99"/>
    <n v="42.98"/>
    <n v="42.98"/>
    <n v="42.980000000000004"/>
    <s v="True"/>
    <s v="Normal"/>
    <s v="Google Pay"/>
    <s v="Online Store"/>
    <s v="fulfilled"/>
    <s v="United States"/>
    <s v="California"/>
    <s v="Valid"/>
    <s v="Cindyville"/>
  </r>
  <r>
    <s v="#1901"/>
    <n v="1"/>
    <d v="2026-08-04T00:00:00"/>
    <s v="2026-08-04"/>
    <s v="Amanda Robinson"/>
    <s v="Email Available"/>
    <s v="amanda.robinson263@icloud.com"/>
    <x v="5"/>
    <s v="Apparel"/>
    <x v="6"/>
    <n v="1"/>
    <n v="34.99"/>
    <n v="34.99"/>
    <m/>
    <s v=""/>
    <n v="0"/>
    <n v="0"/>
    <s v="Number"/>
    <n v="7.99"/>
    <n v="7.99"/>
    <n v="42.98"/>
    <n v="42.98"/>
    <n v="42.980000000000004"/>
    <s v="True"/>
    <s v="Normal"/>
    <s v="Google Pay"/>
    <s v="Online Store"/>
    <s v="fulfilled"/>
    <s v="United States"/>
    <s v="Ohio"/>
    <s v="Valid"/>
    <s v="New Richard"/>
  </r>
  <r>
    <s v="#1984"/>
    <n v="1"/>
    <d v="2026-08-04T13:58:27"/>
    <d v="2026-08-04T13:58:27"/>
    <s v="Christy Phillips"/>
    <s v="Email Available"/>
    <s v="christy.phillips291@gmail.com"/>
    <x v="5"/>
    <s v="Apparel"/>
    <x v="6"/>
    <n v="4"/>
    <n v="34.99"/>
    <n v="34.99"/>
    <s v="SAVE20"/>
    <s v="SAVE20"/>
    <n v="27.99"/>
    <n v="27.99"/>
    <s v="Number"/>
    <n v="0"/>
    <n v="0"/>
    <n v="111.97"/>
    <n v="111.97"/>
    <n v="111.97000000000001"/>
    <s v="True"/>
    <s v="Outlier"/>
    <s v="Shopify Payments"/>
    <s v="Instagram"/>
    <s v="fulfilled"/>
    <s v="Pakistan"/>
    <m/>
    <s v="Not Required"/>
    <s v="West Stephen"/>
  </r>
  <r>
    <s v="#2028"/>
    <n v="1"/>
    <d v="2026-08-04T14:00:29"/>
    <d v="2026-08-04T14:00:29"/>
    <s v="Sarah Smith"/>
    <s v="Email Available"/>
    <s v="sarah.smith33@icloud.com"/>
    <x v="5"/>
    <s v="Apparel"/>
    <x v="6"/>
    <n v="1"/>
    <n v="34.99"/>
    <n v="34.99"/>
    <m/>
    <s v=""/>
    <n v="0"/>
    <n v="0"/>
    <s v="Number"/>
    <n v="4.99"/>
    <n v="4.99"/>
    <n v="39.979999999999997"/>
    <n v="39.979999999999997"/>
    <n v="39.980000000000004"/>
    <s v="True"/>
    <s v="Normal"/>
    <s v="Credit Card"/>
    <s v="Online Store"/>
    <s v="fulfilled"/>
    <s v="Australia"/>
    <m/>
    <s v="Not Required"/>
    <s v="Mullinsbury"/>
  </r>
  <r>
    <s v="#2037"/>
    <n v="1"/>
    <d v="2026-08-04T14:00:48"/>
    <d v="2026-08-04T14:00:48"/>
    <s v="Jennifer Burke"/>
    <s v="Email Available"/>
    <s v="jennifer.burke472@icloud.com"/>
    <x v="5"/>
    <s v="Apparel"/>
    <x v="6"/>
    <n v="1"/>
    <n v="34.99"/>
    <n v="34.99"/>
    <s v="FREESHIP"/>
    <s v="FREESHIP"/>
    <n v="0"/>
    <n v="0"/>
    <s v="Number"/>
    <n v="0"/>
    <n v="0"/>
    <n v="34.99"/>
    <n v="34.99"/>
    <n v="34.99"/>
    <s v="True"/>
    <s v="Normal"/>
    <s v="Apple Pay"/>
    <s v="Instagram"/>
    <s v="fulfilled"/>
    <s v="Pakistan"/>
    <m/>
    <s v="Not Required"/>
    <s v="Sotohaven"/>
  </r>
  <r>
    <s v="#2062"/>
    <n v="1"/>
    <d v="2026-08-04T14:06:17"/>
    <d v="2026-08-04T14:06:17"/>
    <s v="Julia Atkinson"/>
    <s v="Email Available"/>
    <s v="julia.atkinson939@gmail.com"/>
    <x v="5"/>
    <s v="Apparel"/>
    <x v="6"/>
    <n v="1"/>
    <s v="$34.99"/>
    <n v="34.99"/>
    <s v="WELCOME10"/>
    <s v="WELCOME10"/>
    <n v="3.5"/>
    <n v="3.5"/>
    <s v="Number"/>
    <n v="5.99"/>
    <n v="5.99"/>
    <n v="37.479999999999997"/>
    <n v="37.479999999999997"/>
    <n v="37.480000000000004"/>
    <s v="True"/>
    <s v="Normal"/>
    <s v="Apple Pay"/>
    <s v="Instagram"/>
    <s v="fulfilled"/>
    <s v="Canada"/>
    <m/>
    <s v="Not Required"/>
    <s v="South Laura"/>
  </r>
  <r>
    <s v="#2064"/>
    <n v="1"/>
    <d v="2026-08-04T13:55:11"/>
    <d v="2026-08-04T13:55:11"/>
    <s v="Darin Alvarez"/>
    <s v="Email Available"/>
    <s v="darin.alvarez843@gmail.com"/>
    <x v="5"/>
    <s v="Apparel"/>
    <x v="6"/>
    <n v="1"/>
    <n v="34.99"/>
    <n v="34.99"/>
    <m/>
    <s v=""/>
    <n v="0"/>
    <n v="0"/>
    <s v="Number"/>
    <n v="5.99"/>
    <n v="5.99"/>
    <n v="40.98"/>
    <n v="40.98"/>
    <n v="40.980000000000004"/>
    <s v="True"/>
    <s v="Normal"/>
    <s v="PayPal"/>
    <s v="Instagram"/>
    <s v="fulfilled"/>
    <s v="Canada"/>
    <m/>
    <s v="Not Required"/>
    <s v="Ericaport"/>
  </r>
  <r>
    <s v="#2149"/>
    <n v="1"/>
    <d v="2026-08-04T00:00:00"/>
    <s v="04-08-2026 13:59"/>
    <s v="Andrea Martinez"/>
    <s v="Email Available"/>
    <s v="andrea.martinez756@yahoo.com"/>
    <x v="5"/>
    <s v="Apparel"/>
    <x v="6"/>
    <n v="1"/>
    <s v="$34.99"/>
    <n v="34.99"/>
    <s v="FREESHIP"/>
    <s v="FREESHIP"/>
    <n v="0"/>
    <n v="0"/>
    <s v="Number"/>
    <n v="0"/>
    <n v="0"/>
    <n v="34.99"/>
    <n v="34.99"/>
    <n v="34.99"/>
    <s v="True"/>
    <s v="Normal"/>
    <s v="Shopify Payments"/>
    <s v="POS"/>
    <s v="fulfilled"/>
    <s v="Australia"/>
    <m/>
    <s v="Not Required"/>
    <s v="Hillmouth"/>
  </r>
  <r>
    <s v="#2174"/>
    <n v="1"/>
    <d v="2026-08-04T13:57:18"/>
    <d v="2026-08-04T13:57:18"/>
    <s v="Ronald Johnson"/>
    <s v="Email Available"/>
    <s v="ronald.johnson972@icloud.com"/>
    <x v="5"/>
    <s v="Apparel"/>
    <x v="6"/>
    <n v="1"/>
    <n v="34.99"/>
    <n v="34.99"/>
    <m/>
    <s v=""/>
    <n v="0"/>
    <n v="0"/>
    <s v="Number"/>
    <n v="4.99"/>
    <n v="4.99"/>
    <n v="39.979999999999997"/>
    <n v="39.979999999999997"/>
    <n v="39.980000000000004"/>
    <s v="True"/>
    <s v="Normal"/>
    <s v="Credit Card"/>
    <s v="POS"/>
    <s v="pending"/>
    <s v="Germany"/>
    <m/>
    <s v="Not Required"/>
    <s v="Port Devinstad"/>
  </r>
  <r>
    <s v="#2211"/>
    <n v="1"/>
    <d v="2026-08-04T13:57:58"/>
    <d v="2026-08-04T13:57:58"/>
    <s v="Rebecca Watts"/>
    <s v="Email Available"/>
    <s v="rebecca.watts779@gmail.com"/>
    <x v="5"/>
    <s v="Apparel"/>
    <x v="6"/>
    <n v="1"/>
    <s v="$34.99"/>
    <n v="34.99"/>
    <m/>
    <s v=""/>
    <n v="0"/>
    <n v="0"/>
    <s v="Number"/>
    <n v="4.99"/>
    <n v="4.99"/>
    <s v="$39.98"/>
    <n v="39.979999999999997"/>
    <n v="39.980000000000004"/>
    <s v="True"/>
    <s v="Normal"/>
    <s v="Google Pay"/>
    <s v="Facebook"/>
    <s v="fulfilled"/>
    <s v="United States"/>
    <s v="New York"/>
    <s v="Valid"/>
    <s v="West Gregoryborough"/>
  </r>
  <r>
    <s v="#2252"/>
    <n v="1"/>
    <d v="2026-08-04T14:06:04"/>
    <d v="2026-08-04T14:06:04"/>
    <s v="Tina Crane"/>
    <s v="Email Available"/>
    <s v="tina.crane554@gmail.com"/>
    <x v="5"/>
    <s v="Apparel"/>
    <x v="6"/>
    <n v="2"/>
    <n v="34.99"/>
    <n v="34.99"/>
    <m/>
    <s v=""/>
    <n v="0"/>
    <n v="0"/>
    <s v="Number"/>
    <n v="4.99"/>
    <n v="4.99"/>
    <n v="74.97"/>
    <n v="74.97"/>
    <n v="74.97"/>
    <s v="True"/>
    <s v="Normal"/>
    <s v="Google Pay"/>
    <s v="Facebook"/>
    <s v="fulfilled"/>
    <s v="United Kingdom"/>
    <m/>
    <s v="Not Required"/>
    <s v="Matthewstad"/>
  </r>
  <r>
    <s v="#2309"/>
    <n v="1"/>
    <d v="2026-08-04T14:03:36"/>
    <d v="2026-08-04T14:03:36"/>
    <s v="Mary Garcia"/>
    <s v="Email Available"/>
    <s v="mary.garcia899@icloud.com"/>
    <x v="5"/>
    <s v="Apparel"/>
    <x v="6"/>
    <n v="2"/>
    <n v="34.99"/>
    <n v="34.99"/>
    <m/>
    <s v=""/>
    <n v="0"/>
    <n v="0"/>
    <s v="Number"/>
    <n v="4.99"/>
    <n v="4.99"/>
    <n v="74.97"/>
    <n v="74.97"/>
    <n v="74.97"/>
    <s v="True"/>
    <s v="Normal"/>
    <s v="PayPal"/>
    <s v="Instagram"/>
    <s v="refunded"/>
    <s v="Canada"/>
    <m/>
    <s v="Not Required"/>
    <s v="Andresmouth"/>
  </r>
  <r>
    <s v="#2333"/>
    <n v="1"/>
    <d v="2026-08-04T13:57:50"/>
    <d v="2026-08-04T13:57:50"/>
    <s v="Joshua Anderson"/>
    <s v="Email Available"/>
    <s v="joshua.anderson662@gmail.com"/>
    <x v="5"/>
    <s v="Apparel"/>
    <x v="6"/>
    <n v="1"/>
    <n v="34.99"/>
    <n v="34.99"/>
    <s v="FREESHIP"/>
    <s v="FREESHIP"/>
    <n v="0"/>
    <n v="0"/>
    <s v="Number"/>
    <n v="0"/>
    <n v="0"/>
    <n v="34.99"/>
    <n v="34.99"/>
    <n v="34.99"/>
    <s v="True"/>
    <s v="Normal"/>
    <s v="Google Pay"/>
    <s v="Online Store"/>
    <s v="refunded"/>
    <s v="Canada"/>
    <m/>
    <s v="Not Required"/>
    <s v="Lake Jasmine"/>
  </r>
  <r>
    <s v="#2404"/>
    <n v="1"/>
    <d v="2026-08-04T14:01:18"/>
    <d v="2026-08-04T14:01:18"/>
    <s v="Tracy Barr"/>
    <s v="Email Available"/>
    <s v="tracy.barr550@icloud.com"/>
    <x v="5"/>
    <s v="Apparel"/>
    <x v="6"/>
    <n v="1"/>
    <n v="34.99"/>
    <n v="34.99"/>
    <s v="SAVE20"/>
    <s v="SAVE20"/>
    <s v="$7.00"/>
    <n v="7"/>
    <s v="Number"/>
    <n v="4.99"/>
    <n v="4.99"/>
    <n v="32.979999999999997"/>
    <n v="32.979999999999997"/>
    <n v="32.980000000000004"/>
    <s v="True"/>
    <s v="Normal"/>
    <s v="Shopify Payments"/>
    <s v="Online Store"/>
    <s v="pending"/>
    <s v="United States"/>
    <s v="North Carolina"/>
    <s v="Valid"/>
    <s v="Roberthaven"/>
  </r>
  <r>
    <s v="#2419"/>
    <n v="1"/>
    <d v="2026-08-04T13:57:01"/>
    <d v="2026-08-04T13:57:01"/>
    <s v="Gregory Vega"/>
    <s v="Email Available"/>
    <s v="gregory.vega882@outlook.com"/>
    <x v="5"/>
    <s v="Apparel"/>
    <x v="6"/>
    <n v="1"/>
    <n v="34.99"/>
    <n v="34.99"/>
    <m/>
    <s v=""/>
    <n v="0"/>
    <n v="0"/>
    <s v="Number"/>
    <n v="7.99"/>
    <n v="7.99"/>
    <n v="42.98"/>
    <n v="42.98"/>
    <n v="42.980000000000004"/>
    <s v="True"/>
    <s v="Normal"/>
    <s v="Google Pay"/>
    <s v="Online Store"/>
    <s v="pending"/>
    <s v="Pakistan"/>
    <m/>
    <s v="Not Required"/>
    <s v="Hardymouth"/>
  </r>
  <r>
    <s v="#2422"/>
    <n v="1"/>
    <d v="2026-08-04T14:07:06"/>
    <d v="2026-08-04T14:07:06"/>
    <s v="Jon Lambert"/>
    <s v="Email Available"/>
    <s v="jon.lambert231@icloud.com"/>
    <x v="5"/>
    <s v="Apparel"/>
    <x v="6"/>
    <n v="1"/>
    <n v="34.99"/>
    <n v="34.99"/>
    <s v="VIP15"/>
    <s v="VIP15"/>
    <n v="5.25"/>
    <n v="5.25"/>
    <s v="Number"/>
    <n v="5.99"/>
    <n v="5.99"/>
    <n v="35.729999999999997"/>
    <n v="35.729999999999997"/>
    <n v="35.730000000000004"/>
    <s v="True"/>
    <s v="Normal"/>
    <s v="Credit Card"/>
    <s v="POS"/>
    <s v="refunded"/>
    <s v="United States"/>
    <s v="Illinois"/>
    <s v="Valid"/>
    <s v="Michaelberg"/>
  </r>
  <r>
    <s v="#2443"/>
    <n v="1"/>
    <d v="2026-08-04T13:55:56"/>
    <d v="2026-08-04T13:55:56"/>
    <s v="Stacey Johnson"/>
    <s v="Email Available"/>
    <s v="stacey.johnson95@gmail.com"/>
    <x v="5"/>
    <s v="Apparel"/>
    <x v="6"/>
    <n v="1"/>
    <n v="34.99"/>
    <n v="34.99"/>
    <m/>
    <s v=""/>
    <n v="0"/>
    <n v="0"/>
    <s v="Number"/>
    <n v="5.99"/>
    <n v="5.99"/>
    <s v="$40.98"/>
    <n v="40.98"/>
    <n v="40.980000000000004"/>
    <s v="True"/>
    <s v="Normal"/>
    <s v="Apple Pay"/>
    <s v="Online Store"/>
    <s v="fulfilled"/>
    <s v="Germany"/>
    <m/>
    <s v="Not Required"/>
    <s v="South Patriciastad"/>
  </r>
  <r>
    <s v="#2475"/>
    <n v="1"/>
    <d v="2026-08-04T14:07:03"/>
    <d v="2026-08-04T14:07:03"/>
    <s v="Anthony Krueger"/>
    <s v="Email Available"/>
    <s v="anthony.krueger812@yahoo.com"/>
    <x v="5"/>
    <s v="Apparel"/>
    <x v="6"/>
    <n v="1"/>
    <n v="34.99"/>
    <n v="34.99"/>
    <m/>
    <s v=""/>
    <n v="0"/>
    <n v="0"/>
    <s v="Number"/>
    <n v="4.99"/>
    <n v="4.99"/>
    <n v="39.979999999999997"/>
    <n v="39.979999999999997"/>
    <n v="39.980000000000004"/>
    <s v="True"/>
    <s v="Normal"/>
    <s v="Shopify Payments"/>
    <s v="Facebook"/>
    <s v="fulfilled"/>
    <s v="Pakistan"/>
    <m/>
    <s v="Not Required"/>
    <s v="Robertton"/>
  </r>
  <r>
    <s v="#2497"/>
    <n v="1"/>
    <d v="2026-08-04T13:55:51"/>
    <d v="2026-08-04T13:55:51"/>
    <s v="Thomas Hall"/>
    <s v="Email Available"/>
    <s v="thomas.hall134@gmail.com"/>
    <x v="5"/>
    <s v="Apparel"/>
    <x v="6"/>
    <n v="1"/>
    <n v="34.99"/>
    <n v="34.99"/>
    <s v="BFCM25"/>
    <s v="BFCM25"/>
    <s v="$8.75"/>
    <n v="8.75"/>
    <s v="Number"/>
    <n v="7.99"/>
    <n v="7.99"/>
    <n v="34.229999999999997"/>
    <n v="34.229999999999997"/>
    <n v="34.230000000000004"/>
    <s v="True"/>
    <s v="Normal"/>
    <s v="Apple Pay"/>
    <s v="Online Store"/>
    <s v="pending"/>
    <s v="Canada"/>
    <m/>
    <s v="Not Required"/>
    <s v="East Brian"/>
  </r>
  <r>
    <s v="#2509"/>
    <n v="1"/>
    <d v="2026-08-04T14:07:09"/>
    <d v="2026-08-04T14:07:09"/>
    <s v="Nicholas Jarvis"/>
    <s v="Email Available"/>
    <s v="nicholas.jarvis112@icloud.com"/>
    <x v="5"/>
    <s v="Apparel"/>
    <x v="6"/>
    <n v="1"/>
    <n v="34.99"/>
    <n v="34.99"/>
    <s v="WELCOME10"/>
    <s v="WELCOME10"/>
    <n v="3.5"/>
    <n v="3.5"/>
    <s v="Number"/>
    <n v="4.99"/>
    <n v="4.99"/>
    <n v="36.479999999999997"/>
    <n v="36.479999999999997"/>
    <n v="36.480000000000004"/>
    <s v="True"/>
    <s v="Normal"/>
    <s v="PayPal"/>
    <s v="Facebook"/>
    <s v="pending"/>
    <s v="Canada"/>
    <m/>
    <s v="Not Required"/>
    <s v="North Robert"/>
  </r>
  <r>
    <s v="#2555"/>
    <n v="1"/>
    <d v="2026-08-04T14:01:17"/>
    <d v="2026-08-04T14:01:17"/>
    <s v="Robert Clark"/>
    <s v="Email Available"/>
    <s v="robert.clark185@icloud.com"/>
    <x v="5"/>
    <s v="Apparel"/>
    <x v="6"/>
    <n v="1"/>
    <n v="34.99"/>
    <n v="34.99"/>
    <s v="WELCOME10"/>
    <s v="WELCOME10"/>
    <n v="3.5"/>
    <n v="3.5"/>
    <s v="Number"/>
    <n v="7.99"/>
    <n v="7.99"/>
    <n v="39.479999999999997"/>
    <n v="39.479999999999997"/>
    <n v="39.480000000000004"/>
    <s v="True"/>
    <s v="Normal"/>
    <s v="PayPal"/>
    <s v="POS"/>
    <s v="pending"/>
    <s v="Pakistan"/>
    <m/>
    <s v="Not Required"/>
    <s v="South Melissamouth"/>
  </r>
  <r>
    <s v="#2589"/>
    <n v="1"/>
    <d v="2026-08-04T13:59:16"/>
    <d v="2026-08-04T13:59:16"/>
    <s v="Paul Dillon"/>
    <s v="Email Available"/>
    <s v="paul.dillon750@icloud.com"/>
    <x v="5"/>
    <s v="Apparel"/>
    <x v="6"/>
    <n v="2"/>
    <n v="34.99"/>
    <n v="34.99"/>
    <s v="FREESHIP"/>
    <s v="FREESHIP"/>
    <n v="0"/>
    <n v="0"/>
    <s v="Number"/>
    <n v="0"/>
    <n v="0"/>
    <n v="69.98"/>
    <n v="69.98"/>
    <n v="69.98"/>
    <s v="True"/>
    <s v="Normal"/>
    <s v="Shopify Payments"/>
    <s v="Online Store"/>
    <s v="cancelled"/>
    <s v="Australia"/>
    <m/>
    <s v="Not Required"/>
    <s v="Manntown"/>
  </r>
  <r>
    <s v="#2607"/>
    <n v="1"/>
    <d v="2026-08-04T14:01:40"/>
    <d v="2026-08-04T14:01:40"/>
    <s v="Tanya Brown"/>
    <s v="Email Available"/>
    <s v="tanya.brown516@outlook.com"/>
    <x v="5"/>
    <s v="Apparel"/>
    <x v="6"/>
    <n v="1"/>
    <n v="34.99"/>
    <n v="34.99"/>
    <s v="VIP15"/>
    <s v="VIP15"/>
    <n v="5.25"/>
    <n v="5.25"/>
    <s v="Number"/>
    <n v="5.99"/>
    <n v="5.99"/>
    <n v="35.729999999999997"/>
    <n v="35.729999999999997"/>
    <n v="35.730000000000004"/>
    <s v="True"/>
    <s v="Normal"/>
    <s v="PayPal"/>
    <s v="Online Store"/>
    <s v="fulfilled"/>
    <s v="United States"/>
    <s v="North Carolina"/>
    <s v="Valid"/>
    <s v="Chelseyhaven"/>
  </r>
  <r>
    <s v="#2635"/>
    <n v="1"/>
    <d v="2026-08-04T14:04:19"/>
    <d v="2026-08-04T14:04:19"/>
    <s v="Donald Davis"/>
    <s v="Email Available"/>
    <s v="donald.davis404@icloud.com"/>
    <x v="5"/>
    <s v="Apparel"/>
    <x v="6"/>
    <n v="1"/>
    <n v="34.99"/>
    <n v="34.99"/>
    <m/>
    <s v=""/>
    <n v="0"/>
    <n v="0"/>
    <s v="Number"/>
    <n v="7.99"/>
    <n v="7.99"/>
    <n v="42.98"/>
    <n v="42.98"/>
    <n v="42.980000000000004"/>
    <s v="True"/>
    <s v="Normal"/>
    <s v="Google Pay"/>
    <s v="Online Store"/>
    <s v="fulfilled"/>
    <s v="Canada"/>
    <m/>
    <s v="Not Required"/>
    <s v="Port Ethan"/>
  </r>
  <r>
    <s v="#2671"/>
    <n v="1"/>
    <d v="2026-08-04T14:02:21"/>
    <d v="2026-08-04T14:02:21"/>
    <s v="Christy Phillips"/>
    <s v="Email Available"/>
    <s v="christy.phillips291@gmail.com"/>
    <x v="5"/>
    <s v="Apparel"/>
    <x v="6"/>
    <n v="1"/>
    <n v="34.99"/>
    <n v="34.99"/>
    <m/>
    <s v=""/>
    <n v="0"/>
    <n v="0"/>
    <s v="Number"/>
    <n v="5.99"/>
    <n v="5.99"/>
    <n v="40.98"/>
    <n v="40.98"/>
    <n v="40.980000000000004"/>
    <s v="True"/>
    <s v="Normal"/>
    <s v="Shopify Payments"/>
    <s v="POS"/>
    <s v="fulfilled"/>
    <s v="Pakistan"/>
    <m/>
    <s v="Not Required"/>
    <s v="East David"/>
  </r>
  <r>
    <s v="#2699"/>
    <n v="1"/>
    <d v="2026-08-04T13:57:44"/>
    <d v="2026-08-04T13:57:44"/>
    <s v="Pamela Miller"/>
    <s v="Email Available"/>
    <s v="pamela.miller171@icloud.com"/>
    <x v="5"/>
    <s v="Apparel"/>
    <x v="6"/>
    <n v="4"/>
    <n v="34.99"/>
    <n v="34.99"/>
    <m/>
    <s v=""/>
    <n v="0"/>
    <n v="0"/>
    <s v="Number"/>
    <n v="0"/>
    <n v="0"/>
    <n v="139.96"/>
    <n v="139.96"/>
    <n v="139.96"/>
    <s v="True"/>
    <s v="Outlier"/>
    <s v="Shopify Payments"/>
    <s v="POS"/>
    <s v="fulfilled"/>
    <s v="United States"/>
    <s v="North Carolina"/>
    <s v="Valid"/>
    <s v="New Madison"/>
  </r>
  <r>
    <s v="#2701"/>
    <n v="1"/>
    <d v="2026-08-04T13:57:21"/>
    <d v="2026-08-04T13:57:21"/>
    <s v="John Carson"/>
    <s v="Email Available"/>
    <s v="john.carson203@yahoo.com"/>
    <x v="5"/>
    <s v="Apparel"/>
    <x v="6"/>
    <n v="1"/>
    <n v="34.99"/>
    <n v="34.99"/>
    <s v="FREESHIP"/>
    <s v="FREESHIP"/>
    <s v="$0.00"/>
    <n v="0"/>
    <s v="Number"/>
    <n v="0"/>
    <n v="0"/>
    <n v="34.99"/>
    <n v="34.99"/>
    <n v="34.99"/>
    <s v="True"/>
    <s v="Normal"/>
    <s v="Apple Pay"/>
    <s v="POS"/>
    <s v="fulfilled"/>
    <s v="United States"/>
    <s v="WA"/>
    <s v="Valid"/>
    <s v="Kennethshire"/>
  </r>
  <r>
    <s v="#2741"/>
    <n v="1"/>
    <d v="2026-08-04T13:56:14"/>
    <d v="2026-08-04T13:56:14"/>
    <s v="Alan Davis"/>
    <s v="Missing Email"/>
    <m/>
    <x v="5"/>
    <s v="Apparel"/>
    <x v="6"/>
    <n v="1"/>
    <n v="34.99"/>
    <n v="34.99"/>
    <m/>
    <s v=""/>
    <n v="0"/>
    <n v="0"/>
    <s v="Number"/>
    <n v="7.99"/>
    <n v="7.99"/>
    <n v="42.98"/>
    <n v="42.98"/>
    <n v="42.980000000000004"/>
    <s v="True"/>
    <s v="Normal"/>
    <s v="Google Pay"/>
    <s v="Online Store"/>
    <s v="fulfilled"/>
    <s v="Canada"/>
    <m/>
    <s v="Not Required"/>
    <s v="North Samanthaland"/>
  </r>
  <r>
    <s v="#2748"/>
    <n v="1"/>
    <d v="2026-08-04T14:03:17"/>
    <d v="2026-08-04T14:03:17"/>
    <s v="Kenneth Davis"/>
    <s v="Email Available"/>
    <s v="kenneth.davis106@yahoo.com"/>
    <x v="5"/>
    <s v="Apparel"/>
    <x v="6"/>
    <n v="1"/>
    <n v="34.99"/>
    <n v="34.99"/>
    <s v="SAVE20"/>
    <s v="SAVE20"/>
    <n v="7"/>
    <n v="7"/>
    <s v="Number"/>
    <n v="4.99"/>
    <n v="4.99"/>
    <n v="32.979999999999997"/>
    <n v="32.979999999999997"/>
    <n v="32.980000000000004"/>
    <s v="True"/>
    <s v="Normal"/>
    <s v="Apple Pay"/>
    <s v="Facebook"/>
    <s v="cancelled"/>
    <s v="United States"/>
    <s v="Texas"/>
    <s v="Valid"/>
    <s v="Port Jason"/>
  </r>
  <r>
    <s v="#2796"/>
    <n v="1"/>
    <d v="2026-08-04T14:06:53"/>
    <d v="2026-08-04T14:06:53"/>
    <s v="Christopher Osborne"/>
    <s v="Email Available"/>
    <s v="christopher.osborne481@yahoo.com"/>
    <x v="5"/>
    <s v="Apparel"/>
    <x v="6"/>
    <n v="1"/>
    <n v="34.99"/>
    <n v="34.99"/>
    <m/>
    <s v=""/>
    <n v="0"/>
    <n v="0"/>
    <s v="Number"/>
    <n v="5.99"/>
    <n v="5.99"/>
    <n v="40.98"/>
    <n v="40.98"/>
    <n v="40.980000000000004"/>
    <s v="True"/>
    <s v="Normal"/>
    <s v="Credit Card"/>
    <s v="Online Store"/>
    <s v="fulfilled"/>
    <s v="United States"/>
    <s v="North Carolina"/>
    <s v="Valid"/>
    <s v="Ricardomouth"/>
  </r>
  <r>
    <s v="#2810"/>
    <n v="1"/>
    <d v="2026-04-08T00:00:00"/>
    <s v="08/04/2026"/>
    <s v="Jennifer Lee"/>
    <s v="Email Available"/>
    <s v="jennifer.lee321@icloud.com"/>
    <x v="5"/>
    <s v="Apparel"/>
    <x v="6"/>
    <n v="1"/>
    <n v="34.99"/>
    <n v="34.99"/>
    <s v="WELCOME10"/>
    <s v="WELCOME10"/>
    <n v="3.5"/>
    <n v="3.5"/>
    <s v="Number"/>
    <n v="7.99"/>
    <n v="7.99"/>
    <n v="39.479999999999997"/>
    <n v="39.479999999999997"/>
    <n v="39.480000000000004"/>
    <s v="True"/>
    <s v="Normal"/>
    <s v="PayPal"/>
    <s v="Online Store"/>
    <s v="fulfilled"/>
    <s v="United Kingdom"/>
    <m/>
    <s v="Not Required"/>
    <s v="Natashaview"/>
  </r>
  <r>
    <s v="#2840"/>
    <n v="1"/>
    <d v="2026-08-04T14:06:53"/>
    <d v="2026-08-04T14:06:53"/>
    <s v="Karen Jones"/>
    <s v="Email Available"/>
    <s v="karen.jones794@outlook.com"/>
    <x v="5"/>
    <s v="Apparel"/>
    <x v="6"/>
    <n v="1"/>
    <n v="34.99"/>
    <n v="34.99"/>
    <s v="BFCM25"/>
    <s v="BFCM25"/>
    <s v="$8.75"/>
    <n v="8.75"/>
    <s v="Number"/>
    <n v="4.99"/>
    <n v="4.99"/>
    <n v="31.23"/>
    <n v="31.23"/>
    <n v="31.230000000000004"/>
    <s v="True"/>
    <s v="Normal"/>
    <s v="PayPal"/>
    <s v="Online Store"/>
    <s v="pending"/>
    <s v="Australia"/>
    <m/>
    <s v="Not Required"/>
    <s v="Robertsfort"/>
  </r>
  <r>
    <s v="#2865"/>
    <n v="1"/>
    <d v="2026-08-04T13:58:30"/>
    <d v="2026-08-04T13:58:30"/>
    <s v="Sharon Brown"/>
    <s v="Missing Email"/>
    <m/>
    <x v="5"/>
    <s v="Apparel"/>
    <x v="6"/>
    <n v="1"/>
    <n v="34.99"/>
    <n v="34.99"/>
    <s v="WELCOME10"/>
    <s v="WELCOME10"/>
    <n v="3.5"/>
    <n v="3.5"/>
    <s v="Number"/>
    <n v="7.99"/>
    <n v="7.99"/>
    <n v="39.479999999999997"/>
    <n v="39.479999999999997"/>
    <n v="39.480000000000004"/>
    <s v="True"/>
    <s v="Normal"/>
    <s v="PayPal"/>
    <s v="Online Store"/>
    <s v="fulfilled"/>
    <s v="United States"/>
    <s v="North Carolina"/>
    <s v="Valid"/>
    <s v="New Lisaton"/>
  </r>
  <r>
    <s v="#2867"/>
    <n v="1"/>
    <d v="2026-08-04T14:02:55"/>
    <d v="2026-08-04T14:02:55"/>
    <s v="Michele Davis"/>
    <s v="Email Available"/>
    <s v="michele.davis844@gmail.com"/>
    <x v="5"/>
    <s v="Apparel"/>
    <x v="6"/>
    <n v="3"/>
    <s v="$34.99"/>
    <n v="34.99"/>
    <m/>
    <s v=""/>
    <n v="0"/>
    <n v="0"/>
    <s v="Number"/>
    <n v="0"/>
    <n v="0"/>
    <n v="104.97"/>
    <n v="104.97"/>
    <n v="104.97"/>
    <s v="True"/>
    <s v="Outlier"/>
    <s v="Credit Card"/>
    <s v="POS"/>
    <s v="cancelled"/>
    <s v="Australia"/>
    <m/>
    <s v="Not Required"/>
    <s v="Bonillaside"/>
  </r>
  <r>
    <s v="#2875"/>
    <n v="1"/>
    <d v="2026-08-04T13:54:12"/>
    <d v="2026-08-04T13:54:12"/>
    <s v="Monique Bowman"/>
    <s v="Email Available"/>
    <s v="monique.bowman430@gmail.com"/>
    <x v="5"/>
    <s v="Apparel"/>
    <x v="6"/>
    <n v="1"/>
    <n v="34.99"/>
    <n v="34.99"/>
    <s v="VIP15 "/>
    <s v="VIP15"/>
    <n v="5.25"/>
    <n v="5.25"/>
    <s v="Number"/>
    <n v="5.99"/>
    <n v="5.99"/>
    <s v="$35.73"/>
    <n v="35.729999999999997"/>
    <n v="35.730000000000004"/>
    <s v="True"/>
    <s v="Normal"/>
    <s v="Google Pay"/>
    <s v="Online Store"/>
    <s v="fulfilled"/>
    <s v="United States"/>
    <s v="California"/>
    <s v="Valid"/>
    <s v="Cardenaston"/>
  </r>
  <r>
    <s v="#2881"/>
    <n v="1"/>
    <d v="2026-08-04T14:01:38"/>
    <d v="2026-08-04T14:01:38"/>
    <s v="Tina Crane"/>
    <s v="Email Available"/>
    <s v="tina.crane554@gmail.com"/>
    <x v="5"/>
    <s v="Apparel"/>
    <x v="6"/>
    <n v="1"/>
    <n v="34.99"/>
    <n v="34.99"/>
    <m/>
    <s v=""/>
    <n v="0"/>
    <n v="0"/>
    <s v="Number"/>
    <n v="7.99"/>
    <n v="7.99"/>
    <n v="42.98"/>
    <n v="42.98"/>
    <n v="42.980000000000004"/>
    <s v="True"/>
    <s v="Normal"/>
    <s v="Credit Card"/>
    <s v="Facebook"/>
    <s v="pending"/>
    <s v="United Kingdom"/>
    <m/>
    <s v="Not Required"/>
    <s v="East Briannamouth"/>
  </r>
  <r>
    <s v="#2884"/>
    <n v="1"/>
    <d v="2026-08-04T14:04:11"/>
    <d v="2026-08-04T14:04:11"/>
    <s v="Shopify Test"/>
    <s v="Email Available"/>
    <s v="test@test.com"/>
    <x v="5"/>
    <s v="Apparel"/>
    <x v="6"/>
    <n v="1"/>
    <n v="34.99"/>
    <n v="34.99"/>
    <m/>
    <s v=""/>
    <n v="0"/>
    <n v="0"/>
    <s v="Number"/>
    <n v="5.99"/>
    <n v="5.99"/>
    <n v="0"/>
    <n v="0"/>
    <n v="40.980000000000004"/>
    <s v="False"/>
    <s v="Normal"/>
    <s v="Google Pay"/>
    <s v="Online Store"/>
    <s v="pending"/>
    <s v="United States"/>
    <s v="Arizona"/>
    <s v="Valid"/>
    <s v="New Emilystad"/>
  </r>
  <r>
    <s v="#2920"/>
    <n v="1"/>
    <d v="2026-08-04T13:53:48"/>
    <d v="2026-08-04T13:53:48"/>
    <s v="JENNIFER BURKE"/>
    <s v="Email Available"/>
    <s v="jennifer.burke472@icloud.com"/>
    <x v="5"/>
    <s v="Apparel"/>
    <x v="6"/>
    <n v="1"/>
    <n v="34.99"/>
    <n v="34.99"/>
    <m/>
    <s v=""/>
    <s v="$0.00"/>
    <n v="0"/>
    <s v="Number"/>
    <n v="4.99"/>
    <n v="4.99"/>
    <s v="$39.98"/>
    <n v="39.979999999999997"/>
    <n v="39.980000000000004"/>
    <s v="True"/>
    <s v="Normal"/>
    <s v="Credit Card"/>
    <s v="Online Store"/>
    <s v="pending"/>
    <s v="Pakistan"/>
    <m/>
    <s v="Not Required"/>
    <s v="Johnnyland"/>
  </r>
  <r>
    <s v="#2943"/>
    <n v="1"/>
    <d v="2026-08-04T14:02:02"/>
    <d v="2026-08-04T14:02:02"/>
    <s v="Dustin Mccoy"/>
    <s v="Email Available"/>
    <s v="dustin.mccoy570@gmail.com"/>
    <x v="5"/>
    <s v="Apparel"/>
    <x v="6"/>
    <n v="3"/>
    <s v="$34.99"/>
    <n v="34.99"/>
    <s v="FREESHIP"/>
    <s v="FREESHIP"/>
    <n v="0"/>
    <n v="0"/>
    <s v="Number"/>
    <n v="0"/>
    <n v="0"/>
    <n v="104.97"/>
    <n v="104.97"/>
    <n v="104.97"/>
    <s v="True"/>
    <s v="Outlier"/>
    <s v="PayPal"/>
    <s v="Online Store"/>
    <s v="fulfilled"/>
    <s v="Canada"/>
    <m/>
    <s v="Not Required"/>
    <s v="Isaiahport"/>
  </r>
  <r>
    <s v="#2980"/>
    <n v="1"/>
    <d v="2026-04-08T00:00:00"/>
    <s v="08/04/2026"/>
    <s v="Darin Alvarez"/>
    <s v="Email Available"/>
    <s v="darin.alvarez843@gmail.com"/>
    <x v="5"/>
    <s v="Apparel"/>
    <x v="6"/>
    <n v="1"/>
    <n v="34.99"/>
    <n v="34.99"/>
    <s v="SAVE20"/>
    <s v="SAVE20"/>
    <n v="7"/>
    <n v="7"/>
    <s v="Number"/>
    <n v="4.99"/>
    <n v="4.99"/>
    <n v="32.979999999999997"/>
    <n v="32.979999999999997"/>
    <n v="32.980000000000004"/>
    <s v="True"/>
    <s v="Normal"/>
    <s v="PayPal"/>
    <s v="Online Store"/>
    <s v="fulfilled"/>
    <s v="Canada"/>
    <m/>
    <s v="Not Required"/>
    <s v="Taylorville"/>
  </r>
  <r>
    <s v="#2981"/>
    <n v="1"/>
    <d v="2026-08-04T00:00:00"/>
    <s v="04-08-2026 13:55"/>
    <s v="Chad Smith"/>
    <s v="Email Available"/>
    <s v="chad.smith773@icloud.com"/>
    <x v="5"/>
    <s v="Apparel"/>
    <x v="6"/>
    <n v="1"/>
    <n v="34.99"/>
    <n v="34.99"/>
    <s v="VIP15"/>
    <s v="VIP15"/>
    <n v="5.25"/>
    <n v="5.25"/>
    <s v="Number"/>
    <n v="7.99"/>
    <n v="7.99"/>
    <n v="37.729999999999997"/>
    <n v="37.729999999999997"/>
    <n v="37.730000000000004"/>
    <s v="True"/>
    <s v="Normal"/>
    <s v="PayPal"/>
    <s v="POS"/>
    <s v="fulfilled"/>
    <s v="Pakistan"/>
    <m/>
    <s v="Not Required"/>
    <s v="Andreamouth"/>
  </r>
  <r>
    <s v="#2984"/>
    <n v="1"/>
    <d v="2026-08-04T00:00:00"/>
    <s v="04-08-2026 13:56"/>
    <s v="Robert Ramsey"/>
    <s v="Email Available"/>
    <s v="robert.ramsey440@outlook.com"/>
    <x v="5"/>
    <s v="Apparel"/>
    <x v="6"/>
    <n v="1"/>
    <n v="34.99"/>
    <n v="34.99"/>
    <s v="WELCOME10"/>
    <s v="WELCOME10"/>
    <s v="$3.50"/>
    <n v="3.5"/>
    <s v="Number"/>
    <n v="4.99"/>
    <n v="4.99"/>
    <n v="36.479999999999997"/>
    <n v="36.479999999999997"/>
    <n v="36.480000000000004"/>
    <s v="True"/>
    <s v="Normal"/>
    <s v="Apple Pay"/>
    <s v="Online Store"/>
    <s v="cancelled"/>
    <s v="Canada"/>
    <m/>
    <s v="Not Required"/>
    <s v="Garrettland"/>
  </r>
  <r>
    <s v="#1035"/>
    <n v="1"/>
    <d v="2026-08-04T13:59:37"/>
    <d v="2026-08-04T13:59:37"/>
    <s v="Glenn Smith"/>
    <s v="Email Available"/>
    <s v="glenn.smith305@gmail.com"/>
    <x v="6"/>
    <s v="Toys"/>
    <x v="7"/>
    <n v="2"/>
    <n v="27.99"/>
    <n v="27.99"/>
    <m/>
    <s v=""/>
    <n v="0"/>
    <n v="0"/>
    <s v="Number"/>
    <n v="5.99"/>
    <n v="5.99"/>
    <n v="61.97"/>
    <n v="61.97"/>
    <n v="61.97"/>
    <s v="True"/>
    <s v="Normal"/>
    <s v="PayPal"/>
    <s v="Online Store"/>
    <s v="fulfilled"/>
    <s v="Canada"/>
    <m/>
    <s v="Not Required"/>
    <s v="East Jeffreybury"/>
  </r>
  <r>
    <s v="#1059"/>
    <n v="1"/>
    <d v="2026-08-04T14:05:24"/>
    <d v="2026-08-04T14:05:24"/>
    <s v="William Houston"/>
    <s v="Email Available"/>
    <s v="william.houston340@outlook.com"/>
    <x v="6"/>
    <s v="Toys"/>
    <x v="7"/>
    <n v="1"/>
    <n v="27.99"/>
    <n v="27.99"/>
    <m/>
    <s v=""/>
    <n v="0"/>
    <n v="0"/>
    <s v="Number"/>
    <n v="5.99"/>
    <n v="5.99"/>
    <n v="33.979999999999997"/>
    <n v="33.979999999999997"/>
    <n v="33.979999999999997"/>
    <s v="True"/>
    <s v="Normal"/>
    <s v="Apple Pay"/>
    <s v="Instagram"/>
    <s v="fulfilled"/>
    <s v="United States"/>
    <s v="TX"/>
    <s v="Valid"/>
    <s v="Mooreport"/>
  </r>
  <r>
    <s v="#1098"/>
    <n v="1"/>
    <d v="2026-08-04T00:00:00"/>
    <s v="04-08-2026 13:58"/>
    <s v="Timothy Becker"/>
    <s v="Email Available"/>
    <s v="timothy.becker88@yahoo.com"/>
    <x v="6"/>
    <s v="Toys"/>
    <x v="7"/>
    <n v="2"/>
    <n v="27.99"/>
    <n v="27.99"/>
    <m/>
    <s v=""/>
    <n v="0"/>
    <n v="0"/>
    <s v="Number"/>
    <n v="7.99"/>
    <n v="7.99"/>
    <n v="63.97"/>
    <n v="63.97"/>
    <n v="63.97"/>
    <s v="True"/>
    <s v="Normal"/>
    <s v="Google Pay"/>
    <s v="Facebook"/>
    <s v="fulfilled"/>
    <s v="United States"/>
    <s v="California"/>
    <s v="Valid"/>
    <s v="New Richardmouth"/>
  </r>
  <r>
    <s v="#1108"/>
    <n v="1"/>
    <d v="2026-08-04T14:04:53"/>
    <d v="2026-08-04T14:04:53"/>
    <s v="George Gould"/>
    <s v="Email Available"/>
    <s v="george.gould10@yahoo.com"/>
    <x v="6"/>
    <s v="Toys"/>
    <x v="7"/>
    <n v="2"/>
    <n v="27.99"/>
    <n v="27.99"/>
    <s v="FREESHIP"/>
    <s v="FREESHIP"/>
    <n v="0"/>
    <n v="0"/>
    <s v="Number"/>
    <n v="0"/>
    <n v="0"/>
    <n v="55.98"/>
    <n v="55.98"/>
    <n v="55.98"/>
    <s v="True"/>
    <s v="Normal"/>
    <s v="PayPal"/>
    <s v="POS"/>
    <s v="fulfilled"/>
    <s v="Canada"/>
    <m/>
    <s v="Not Required"/>
    <s v="Sierrastad"/>
  </r>
  <r>
    <s v="#1116"/>
    <n v="1"/>
    <d v="2026-08-04T14:01:53"/>
    <d v="2026-08-04T14:01:53"/>
    <s v="Arthur Kelley"/>
    <s v="Email Available"/>
    <s v="arthur.kelley558@gmail.com"/>
    <x v="6"/>
    <s v="Toys"/>
    <x v="7"/>
    <n v="1"/>
    <n v="27.99"/>
    <n v="27.99"/>
    <s v="SAVE20"/>
    <s v="SAVE20"/>
    <n v="5.6"/>
    <n v="5.6"/>
    <s v="Number"/>
    <n v="4.99"/>
    <n v="4.99"/>
    <n v="27.38"/>
    <n v="27.38"/>
    <n v="27.380000000000003"/>
    <s v="True"/>
    <s v="Normal"/>
    <s v="PayPal"/>
    <s v="Online Store"/>
    <s v="pending"/>
    <s v="Australia"/>
    <m/>
    <s v="Not Required"/>
    <s v="Mooreport"/>
  </r>
  <r>
    <s v="#1124"/>
    <n v="1"/>
    <d v="2026-08-04T14:01:22"/>
    <d v="2026-08-04T14:01:22"/>
    <s v="  Daniel Parsons"/>
    <s v="Email Available"/>
    <s v="daniel.parsons636@gmail.com"/>
    <x v="6"/>
    <s v="Toys"/>
    <x v="7"/>
    <n v="3"/>
    <n v="27.99"/>
    <n v="27.99"/>
    <s v="SAVE20"/>
    <s v="SAVE20"/>
    <s v="$16.79"/>
    <n v="16.79"/>
    <s v="Number"/>
    <n v="0"/>
    <n v="0"/>
    <n v="67.180000000000007"/>
    <n v="67.180000000000007"/>
    <n v="67.180000000000007"/>
    <s v="True"/>
    <s v="Normal"/>
    <s v="Shopify Payments"/>
    <s v="Facebook"/>
    <s v="fulfilled"/>
    <s v="United States"/>
    <s v="North Carolina"/>
    <s v="Valid"/>
    <s v="Jeffreyberg"/>
  </r>
  <r>
    <s v="#1136"/>
    <n v="1"/>
    <d v="2026-08-04T13:58:58"/>
    <d v="2026-08-04T13:58:58"/>
    <s v="Lori Davis"/>
    <s v="Email Available"/>
    <s v="lori.davis757@yahoo.com"/>
    <x v="6"/>
    <s v="Toys"/>
    <x v="7"/>
    <n v="1"/>
    <n v="27.99"/>
    <n v="27.99"/>
    <m/>
    <s v=""/>
    <n v="0"/>
    <n v="0"/>
    <s v="Number"/>
    <n v="7.99"/>
    <n v="7.99"/>
    <n v="35.979999999999997"/>
    <n v="35.979999999999997"/>
    <n v="35.979999999999997"/>
    <s v="True"/>
    <s v="Normal"/>
    <s v="Shopify Payments"/>
    <s v="Online Store"/>
    <s v="cancelled"/>
    <s v="Germany"/>
    <m/>
    <s v="Not Required"/>
    <s v="Harveymouth"/>
  </r>
  <r>
    <s v="#1164"/>
    <n v="1"/>
    <d v="2026-08-04T14:05:00"/>
    <d v="2026-08-04T14:05:00"/>
    <s v="Timothy Hodges"/>
    <s v="Email Available"/>
    <s v="timothy.hodges687@icloud.com"/>
    <x v="6"/>
    <s v="Toys"/>
    <x v="7"/>
    <n v="1"/>
    <n v="27.99"/>
    <n v="27.99"/>
    <s v="WELCOME10"/>
    <s v="WELCOME10"/>
    <n v="2.8"/>
    <n v="2.8"/>
    <s v="Number"/>
    <n v="5.99"/>
    <n v="5.99"/>
    <n v="31.18"/>
    <n v="31.18"/>
    <n v="31.18"/>
    <s v="True"/>
    <s v="Normal"/>
    <s v="PayPal"/>
    <s v="Instagram"/>
    <s v="cancelled"/>
    <s v="Australia"/>
    <m/>
    <s v="Not Required"/>
    <s v="New Steveberg"/>
  </r>
  <r>
    <s v="#1214"/>
    <n v="1"/>
    <d v="2026-08-04T14:06:27"/>
    <d v="2026-08-04T14:06:27"/>
    <s v="Lauren Nguyen"/>
    <s v="Email Available"/>
    <s v="lauren.nguyen819@outlook.com"/>
    <x v="6"/>
    <s v="Toys"/>
    <x v="7"/>
    <n v="2"/>
    <n v="27.99"/>
    <n v="27.99"/>
    <s v="FREESHIP"/>
    <s v="FREESHIP"/>
    <n v="0"/>
    <n v="0"/>
    <s v="Number"/>
    <n v="0"/>
    <n v="0"/>
    <n v="55.98"/>
    <n v="55.98"/>
    <n v="55.98"/>
    <s v="True"/>
    <s v="Normal"/>
    <s v="PayPal"/>
    <s v="Instagram"/>
    <s v="pending"/>
    <s v="United Kingdom"/>
    <m/>
    <s v="Not Required"/>
    <s v="Lake Sarahfurt"/>
  </r>
  <r>
    <s v="#1226"/>
    <n v="1"/>
    <d v="2026-08-04T00:00:00"/>
    <s v="Aug 04, 2026"/>
    <s v="Sara Sims"/>
    <s v="Email Available"/>
    <s v="sara.sims992@icloud.com"/>
    <x v="6"/>
    <s v="Toys"/>
    <x v="7"/>
    <n v="1"/>
    <n v="27.99"/>
    <n v="27.99"/>
    <m/>
    <s v=""/>
    <n v="0"/>
    <n v="0"/>
    <s v="Number"/>
    <n v="4.99"/>
    <n v="4.99"/>
    <n v="32.979999999999997"/>
    <n v="32.979999999999997"/>
    <n v="32.979999999999997"/>
    <s v="True"/>
    <s v="Normal"/>
    <s v="PayPal"/>
    <s v="Instagram"/>
    <s v="refunded"/>
    <s v="Germany"/>
    <m/>
    <s v="Not Required"/>
    <s v="Waremouth"/>
  </r>
  <r>
    <s v="#1234"/>
    <n v="1"/>
    <d v="2026-08-04T14:03:03"/>
    <d v="2026-08-04T14:03:03"/>
    <s v="Gerald Li"/>
    <s v="Email Available"/>
    <s v="gerald.li856@icloud.com"/>
    <x v="6"/>
    <s v="Toys"/>
    <x v="7"/>
    <n v="2"/>
    <n v="27.99"/>
    <n v="27.99"/>
    <m/>
    <s v=""/>
    <n v="0"/>
    <n v="0"/>
    <s v="Number"/>
    <n v="4.99"/>
    <n v="4.99"/>
    <n v="60.97"/>
    <n v="60.97"/>
    <n v="60.97"/>
    <s v="True"/>
    <s v="Normal"/>
    <s v="Shopify Payments"/>
    <s v="Online Store"/>
    <s v="pending"/>
    <s v="United States"/>
    <s v="Ohio"/>
    <s v="Valid"/>
    <s v="Jennifertown"/>
  </r>
  <r>
    <s v="#1283"/>
    <n v="1"/>
    <d v="2026-04-08T00:00:00"/>
    <s v="08/04/2026"/>
    <s v="Anthony Mullen"/>
    <s v="Email Available"/>
    <s v="anthony.mullen523@yahoo.com"/>
    <x v="6"/>
    <s v="Toys"/>
    <x v="7"/>
    <n v="2"/>
    <n v="27.99"/>
    <n v="27.99"/>
    <m/>
    <s v=""/>
    <n v="0"/>
    <n v="0"/>
    <s v="Number"/>
    <n v="5.99"/>
    <n v="5.99"/>
    <n v="61.97"/>
    <n v="61.97"/>
    <n v="61.97"/>
    <s v="True"/>
    <s v="Normal"/>
    <s v="Google Pay"/>
    <s v="Instagram"/>
    <s v="fulfilled"/>
    <s v="United States"/>
    <s v="Arizona"/>
    <s v="Valid"/>
    <s v="East Brandi"/>
  </r>
  <r>
    <s v="#1301"/>
    <n v="1"/>
    <d v="2026-08-04T14:08:06"/>
    <d v="2026-08-04T14:08:06"/>
    <s v="Kayla Cruz"/>
    <s v="Email Available"/>
    <s v="kayla.cruz151@outlook.com"/>
    <x v="6"/>
    <s v="Toys"/>
    <x v="7"/>
    <n v="1"/>
    <n v="27.99"/>
    <n v="27.99"/>
    <s v="WELCOME10"/>
    <s v="WELCOME10"/>
    <n v="2.8"/>
    <n v="2.8"/>
    <s v="Number"/>
    <n v="5.99"/>
    <n v="5.99"/>
    <n v="31.18"/>
    <n v="31.18"/>
    <n v="31.18"/>
    <s v="True"/>
    <s v="Normal"/>
    <s v="Google Pay"/>
    <s v="Online Store"/>
    <s v="refunded"/>
    <s v="Pakistan"/>
    <m/>
    <s v="Not Required"/>
    <s v="Ronaldport"/>
  </r>
  <r>
    <s v="#1374"/>
    <n v="1"/>
    <d v="2026-08-04T13:58:10"/>
    <d v="2026-08-04T13:58:10"/>
    <s v="Tyler Williams"/>
    <s v="Missing Email"/>
    <m/>
    <x v="6"/>
    <s v="Toys"/>
    <x v="7"/>
    <n v="2"/>
    <n v="27.99"/>
    <n v="27.99"/>
    <s v="BFCM25"/>
    <s v="BFCM25"/>
    <n v="13.99"/>
    <n v="13.99"/>
    <s v="Number"/>
    <n v="5.99"/>
    <n v="5.99"/>
    <n v="47.98"/>
    <n v="47.98"/>
    <n v="47.98"/>
    <s v="True"/>
    <s v="Normal"/>
    <s v="Shopify Payments"/>
    <s v="Facebook"/>
    <s v="fulfilled"/>
    <s v="Australia"/>
    <m/>
    <s v="Not Required"/>
    <s v="Kellyfort"/>
  </r>
  <r>
    <s v="#1409"/>
    <n v="1"/>
    <d v="2026-08-04T13:56:25"/>
    <d v="2026-08-04T13:56:25"/>
    <s v="Kristina Thompson"/>
    <s v="Email Available"/>
    <s v="kristina.thompson501@icloud.com"/>
    <x v="6"/>
    <s v="Toys"/>
    <x v="7"/>
    <n v="1"/>
    <n v="27.99"/>
    <n v="27.99"/>
    <m/>
    <s v=""/>
    <n v="0"/>
    <n v="0"/>
    <s v="Number"/>
    <n v="5.99"/>
    <n v="5.99"/>
    <n v="33.979999999999997"/>
    <n v="33.979999999999997"/>
    <n v="33.979999999999997"/>
    <s v="True"/>
    <s v="Normal"/>
    <s v="Shopify Payments"/>
    <s v="Online Store"/>
    <s v="fulfilled"/>
    <s v="United States"/>
    <s v="California"/>
    <s v="Valid"/>
    <s v="West Anaton"/>
  </r>
  <r>
    <s v="#1412"/>
    <n v="1"/>
    <d v="2026-04-08T00:00:00"/>
    <s v="08/04/2026"/>
    <s v="Kaitlyn Hernandez"/>
    <s v="Missing Email"/>
    <m/>
    <x v="6"/>
    <s v="Toys"/>
    <x v="7"/>
    <n v="1"/>
    <n v="27.99"/>
    <n v="27.99"/>
    <s v="FREESHIP"/>
    <s v="FREESHIP"/>
    <n v="0"/>
    <n v="0"/>
    <s v="Number"/>
    <n v="0"/>
    <n v="0"/>
    <n v="27.99"/>
    <n v="27.99"/>
    <n v="27.99"/>
    <s v="True"/>
    <s v="Normal"/>
    <s v="Credit Card"/>
    <s v="Facebook"/>
    <s v="cancelled"/>
    <s v="Germany"/>
    <m/>
    <s v="Not Required"/>
    <s v="East Ashleyland"/>
  </r>
  <r>
    <s v="#1419"/>
    <n v="1"/>
    <d v="2026-04-08T00:00:00"/>
    <s v="08/04/2026"/>
    <s v="Jordan Wilkins"/>
    <s v="Email Available"/>
    <s v="jordan.wilkins318@outlook.com"/>
    <x v="6"/>
    <s v="Toys"/>
    <x v="7"/>
    <n v="1"/>
    <s v="$27.99"/>
    <n v="27.99"/>
    <m/>
    <s v=""/>
    <n v="0"/>
    <n v="0"/>
    <s v="Number"/>
    <n v="4.99"/>
    <n v="4.99"/>
    <n v="32.979999999999997"/>
    <n v="32.979999999999997"/>
    <n v="32.979999999999997"/>
    <s v="True"/>
    <s v="Normal"/>
    <s v="Apple Pay"/>
    <s v="Online Store"/>
    <s v="fulfilled"/>
    <s v="Pakistan"/>
    <m/>
    <s v="Not Required"/>
    <s v="Lake Nicholas"/>
  </r>
  <r>
    <s v="#1446"/>
    <n v="1"/>
    <d v="2026-08-04T00:00:00"/>
    <s v="2026-08-04"/>
    <s v="Timothy Santos"/>
    <s v="Email Available"/>
    <s v="timothy.santos549@outlook.com"/>
    <x v="6"/>
    <s v="Toys"/>
    <x v="7"/>
    <n v="1"/>
    <n v="27.99"/>
    <n v="27.99"/>
    <m/>
    <s v=""/>
    <n v="0"/>
    <n v="0"/>
    <s v="Number"/>
    <n v="7.99"/>
    <n v="7.99"/>
    <n v="35.979999999999997"/>
    <n v="35.979999999999997"/>
    <n v="35.979999999999997"/>
    <s v="True"/>
    <s v="Normal"/>
    <s v="Credit Card"/>
    <s v="Online Store"/>
    <s v="fulfilled"/>
    <s v="United Kingdom"/>
    <m/>
    <s v="Not Required"/>
    <s v="Kellyside"/>
  </r>
  <r>
    <s v="#1459"/>
    <n v="1"/>
    <d v="2026-08-04T14:02:04"/>
    <d v="2026-08-04T14:02:04"/>
    <s v="Karen Bautista"/>
    <s v="Email Available"/>
    <s v="karen.bautista779@icloud.com"/>
    <x v="6"/>
    <s v="Toys"/>
    <x v="7"/>
    <n v="1"/>
    <n v="27.99"/>
    <n v="27.99"/>
    <m/>
    <s v=""/>
    <n v="0"/>
    <n v="0"/>
    <s v="Number"/>
    <n v="4.99"/>
    <n v="4.99"/>
    <n v="32.979999999999997"/>
    <n v="32.979999999999997"/>
    <n v="32.979999999999997"/>
    <s v="True"/>
    <s v="Normal"/>
    <s v="Shopify Payments"/>
    <s v="Online Store"/>
    <s v="fulfilled"/>
    <s v="United States"/>
    <s v="IL"/>
    <s v="Valid"/>
    <s v="Nicholsonshire"/>
  </r>
  <r>
    <s v="#1462"/>
    <n v="1"/>
    <d v="2026-08-04T14:04:27"/>
    <d v="2026-08-04T14:04:27"/>
    <s v="Megan Herman"/>
    <s v="Email Available"/>
    <s v="megan.herman268@yahoo.com"/>
    <x v="6"/>
    <s v="Toys"/>
    <x v="7"/>
    <n v="1"/>
    <s v="$27.99"/>
    <n v="27.99"/>
    <m/>
    <s v=""/>
    <n v="0"/>
    <n v="0"/>
    <s v="Number"/>
    <n v="5.99"/>
    <n v="5.99"/>
    <s v="$33.98"/>
    <n v="33.979999999999997"/>
    <n v="33.979999999999997"/>
    <s v="True"/>
    <s v="Normal"/>
    <s v="Credit Card"/>
    <s v="Online Store"/>
    <s v="refunded"/>
    <s v="United States"/>
    <s v="Georgia"/>
    <s v="Valid"/>
    <s v="Ingramfurt"/>
  </r>
  <r>
    <s v="#1499"/>
    <n v="1"/>
    <d v="2026-08-04T13:59:02"/>
    <d v="2026-08-04T13:59:02"/>
    <s v="Monica Becker"/>
    <s v="Email Available"/>
    <s v="monica.becker291@outlook.com"/>
    <x v="6"/>
    <s v="Toys"/>
    <x v="7"/>
    <n v="1"/>
    <n v="27.99"/>
    <n v="27.99"/>
    <m/>
    <s v=""/>
    <n v="0"/>
    <n v="0"/>
    <s v="Number"/>
    <n v="7.99"/>
    <n v="7.99"/>
    <n v="35.979999999999997"/>
    <n v="35.979999999999997"/>
    <n v="35.979999999999997"/>
    <s v="True"/>
    <s v="Normal"/>
    <s v="PayPal"/>
    <s v="POS"/>
    <s v="fulfilled"/>
    <s v="Canada"/>
    <m/>
    <s v="Not Required"/>
    <s v="North Terry"/>
  </r>
  <r>
    <s v="#1505"/>
    <n v="1"/>
    <d v="2026-08-04T13:53:34"/>
    <d v="2026-08-04T13:53:34"/>
    <s v="Tina Singh"/>
    <s v="Email Available"/>
    <s v="tina.singh98@icloud.com"/>
    <x v="6"/>
    <s v="Toys"/>
    <x v="7"/>
    <n v="1"/>
    <n v="27.99"/>
    <n v="27.99"/>
    <s v="SAVE20"/>
    <s v="SAVE20"/>
    <n v="5.6"/>
    <n v="5.6"/>
    <s v="Number"/>
    <n v="4.99"/>
    <n v="4.99"/>
    <n v="27.38"/>
    <n v="27.38"/>
    <n v="27.380000000000003"/>
    <s v="True"/>
    <s v="Normal"/>
    <s v="Shopify Payments"/>
    <s v="Online Store"/>
    <s v="fulfilled"/>
    <s v="United States"/>
    <s v="Florida"/>
    <s v="Valid"/>
    <s v="Johnside"/>
  </r>
  <r>
    <s v="#1516"/>
    <n v="1"/>
    <d v="2026-08-04T13:54:20"/>
    <d v="2026-08-04T13:54:20"/>
    <s v="Jessica Garcia"/>
    <s v="Email Available"/>
    <s v="jessica.garcia931@gmail.com"/>
    <x v="6"/>
    <s v="Toys"/>
    <x v="7"/>
    <n v="1"/>
    <n v="27.99"/>
    <n v="27.99"/>
    <m/>
    <s v=""/>
    <n v="0"/>
    <n v="0"/>
    <s v="Number"/>
    <n v="4.99"/>
    <n v="4.99"/>
    <n v="32.979999999999997"/>
    <n v="32.979999999999997"/>
    <n v="32.979999999999997"/>
    <s v="True"/>
    <s v="Normal"/>
    <s v="Credit Card"/>
    <s v="Instagram"/>
    <s v="fulfilled"/>
    <s v="United States"/>
    <s v="Washington"/>
    <s v="Valid"/>
    <s v="West Bridget"/>
  </r>
  <r>
    <s v="#1526"/>
    <n v="1"/>
    <d v="2026-08-04T14:02:57"/>
    <d v="2026-08-04T14:02:57"/>
    <s v="Michael Perez"/>
    <s v="Email Available"/>
    <s v="michael.perez206@gmail.com"/>
    <x v="6"/>
    <s v="Toys"/>
    <x v="7"/>
    <n v="2"/>
    <n v="27.99"/>
    <n v="27.99"/>
    <s v="VIP15"/>
    <s v="VIP15"/>
    <n v="8.4"/>
    <n v="8.4"/>
    <s v="Number"/>
    <n v="7.99"/>
    <n v="7.99"/>
    <n v="55.57"/>
    <n v="55.57"/>
    <n v="55.57"/>
    <s v="True"/>
    <s v="Normal"/>
    <s v="PayPal"/>
    <s v="Online Store"/>
    <s v="fulfilled"/>
    <s v="Germany"/>
    <m/>
    <s v="Not Required"/>
    <s v="New Danny"/>
  </r>
  <r>
    <s v="#1541"/>
    <n v="1"/>
    <d v="2026-08-04T14:03:09"/>
    <d v="2026-08-04T14:03:09"/>
    <s v="Amanda Robinson"/>
    <s v="Email Available"/>
    <s v="amanda.robinson263@icloud.com"/>
    <x v="6"/>
    <s v="Toys"/>
    <x v="7"/>
    <n v="2"/>
    <s v="$27.99"/>
    <n v="27.99"/>
    <m/>
    <s v=""/>
    <n v="0"/>
    <n v="0"/>
    <s v="Number"/>
    <n v="4.99"/>
    <n v="4.99"/>
    <n v="60.97"/>
    <n v="60.97"/>
    <n v="60.97"/>
    <s v="True"/>
    <s v="Normal"/>
    <s v="Credit Card"/>
    <s v="Online Store"/>
    <s v="fulfilled"/>
    <s v="United States"/>
    <s v="Florida"/>
    <s v="Valid"/>
    <s v="Lake Allenburgh"/>
  </r>
  <r>
    <s v="#1546"/>
    <n v="1"/>
    <d v="2026-08-04T00:00:00"/>
    <s v="Aug 04, 2026"/>
    <s v="Kenneth Coleman"/>
    <s v="Email Available"/>
    <s v="kenneth.coleman447@icloud.com"/>
    <x v="6"/>
    <s v="Toys"/>
    <x v="7"/>
    <n v="1"/>
    <n v="27.99"/>
    <n v="27.99"/>
    <s v="FREESHIP"/>
    <s v="FREESHIP"/>
    <n v="0"/>
    <n v="0"/>
    <s v="Number"/>
    <n v="0"/>
    <n v="0"/>
    <n v="27.99"/>
    <n v="27.99"/>
    <n v="27.99"/>
    <s v="True"/>
    <s v="Normal"/>
    <s v="Google Pay"/>
    <s v="POS"/>
    <s v="fulfilled"/>
    <s v="United States"/>
    <s v="California"/>
    <s v="Valid"/>
    <s v="New Amy"/>
  </r>
  <r>
    <s v="#1550"/>
    <n v="1"/>
    <d v="2026-08-04T13:57:00"/>
    <d v="2026-08-04T13:57:00"/>
    <s v="Samantha Robinson"/>
    <s v="Email Available"/>
    <s v="samantha.robinson35@icloud.com"/>
    <x v="6"/>
    <s v="Toys"/>
    <x v="7"/>
    <n v="1"/>
    <n v="27.99"/>
    <n v="27.99"/>
    <s v="BFCM25"/>
    <s v="BFCM25"/>
    <n v="7"/>
    <n v="7"/>
    <s v="Number"/>
    <n v="5.99"/>
    <n v="5.99"/>
    <n v="26.98"/>
    <n v="26.98"/>
    <n v="26.979999999999997"/>
    <s v="True"/>
    <s v="Normal"/>
    <s v="Apple Pay"/>
    <s v="Instagram"/>
    <s v="pending"/>
    <s v="Australia"/>
    <m/>
    <s v="Not Required"/>
    <s v="Angelastad"/>
  </r>
  <r>
    <s v="#1568"/>
    <n v="1"/>
    <d v="2026-08-04T13:59:08"/>
    <d v="2026-08-04T13:59:08"/>
    <s v="Heather Davis"/>
    <s v="Email Available"/>
    <s v="heather.davis117@icloud.com"/>
    <x v="6"/>
    <s v="Toys"/>
    <x v="7"/>
    <n v="1"/>
    <n v="27.99"/>
    <n v="27.99"/>
    <s v="SAVE20"/>
    <s v="SAVE20"/>
    <n v="5.6"/>
    <n v="5.6"/>
    <s v="Number"/>
    <n v="7.99"/>
    <n v="7.99"/>
    <n v="30.38"/>
    <n v="30.38"/>
    <n v="30.380000000000003"/>
    <s v="True"/>
    <s v="Normal"/>
    <s v="Apple Pay"/>
    <s v="POS"/>
    <s v="cancelled"/>
    <s v="Germany"/>
    <m/>
    <s v="Not Required"/>
    <s v="East Katelynberg"/>
  </r>
  <r>
    <s v="#1627"/>
    <n v="1"/>
    <d v="2026-08-04T14:01:44"/>
    <d v="2026-08-04T14:01:44"/>
    <s v="Cody Murray"/>
    <s v="Email Available"/>
    <s v="cody.murray456@gmail.com"/>
    <x v="6"/>
    <s v="Toys"/>
    <x v="7"/>
    <n v="4"/>
    <n v="27.99"/>
    <n v="27.99"/>
    <m/>
    <s v=""/>
    <n v="0"/>
    <n v="0"/>
    <s v="Number"/>
    <n v="0"/>
    <n v="0"/>
    <n v="111.96"/>
    <n v="111.96"/>
    <n v="111.96"/>
    <s v="True"/>
    <s v="Outlier"/>
    <s v="PayPal"/>
    <s v="Online Store"/>
    <s v="pending"/>
    <s v="United Kingdom"/>
    <m/>
    <s v="Not Required"/>
    <s v="Sierrachester"/>
  </r>
  <r>
    <s v="#1631"/>
    <n v="1"/>
    <d v="2026-08-04T13:59:26"/>
    <d v="2026-08-04T13:59:26"/>
    <s v="Kayla Cruz"/>
    <s v="Email Available"/>
    <s v="kayla.cruz151@outlook.com"/>
    <x v="6"/>
    <s v="Toys"/>
    <x v="7"/>
    <n v="1"/>
    <n v="27.99"/>
    <n v="27.99"/>
    <m/>
    <s v=""/>
    <n v="0"/>
    <n v="0"/>
    <s v="Number"/>
    <n v="7.99"/>
    <n v="7.99"/>
    <n v="35.979999999999997"/>
    <n v="35.979999999999997"/>
    <n v="35.979999999999997"/>
    <s v="True"/>
    <s v="Normal"/>
    <s v="Credit Card"/>
    <s v="POS"/>
    <s v="fulfilled"/>
    <s v="Pakistan"/>
    <m/>
    <s v="Not Required"/>
    <s v="Anitamouth"/>
  </r>
  <r>
    <s v="#1635"/>
    <n v="1"/>
    <d v="2026-08-04T13:57:48"/>
    <d v="2026-08-04T13:57:48"/>
    <s v="Timothy Santos"/>
    <s v="Email Available"/>
    <s v="timothy.santos549@outlook.com"/>
    <x v="6"/>
    <s v="Toys"/>
    <x v="7"/>
    <n v="1"/>
    <n v="27.99"/>
    <n v="27.99"/>
    <s v="WELCOME10"/>
    <s v="WELCOME10"/>
    <n v="2.8"/>
    <n v="2.8"/>
    <s v="Number"/>
    <n v="4.99"/>
    <n v="4.99"/>
    <s v="$30.18"/>
    <n v="30.18"/>
    <n v="30.18"/>
    <s v="True"/>
    <s v="Normal"/>
    <s v="Google Pay"/>
    <s v="POS"/>
    <s v="refunded"/>
    <s v="United Kingdom"/>
    <m/>
    <s v="Not Required"/>
    <s v="New Kelly"/>
  </r>
  <r>
    <s v="#1641"/>
    <n v="1"/>
    <d v="2026-08-04T00:00:00"/>
    <s v="04-08-2026 14:08"/>
    <s v="Brian Ruiz"/>
    <s v="Email Available"/>
    <s v="brian.ruiz246@gmail.com"/>
    <x v="6"/>
    <s v="Toys"/>
    <x v="7"/>
    <n v="1"/>
    <s v="$27.99"/>
    <n v="27.99"/>
    <s v="WELCOME10"/>
    <s v="WELCOME10"/>
    <n v="2.8"/>
    <n v="2.8"/>
    <s v="Number"/>
    <n v="7.99"/>
    <n v="7.99"/>
    <n v="33.18"/>
    <n v="33.18"/>
    <n v="33.18"/>
    <s v="True"/>
    <s v="Normal"/>
    <s v="Apple Pay"/>
    <s v="Instagram"/>
    <s v="fulfilled"/>
    <s v="Germany"/>
    <m/>
    <s v="Not Required"/>
    <s v="Edwardton"/>
  </r>
  <r>
    <s v="#1652"/>
    <n v="1"/>
    <d v="2026-08-04T14:02:11"/>
    <d v="2026-08-04T14:02:11"/>
    <s v="Sean Frank"/>
    <s v="Email Available"/>
    <s v="sean.frank587@icloud.com"/>
    <x v="6"/>
    <s v="Toys"/>
    <x v="7"/>
    <n v="2"/>
    <n v="27.99"/>
    <n v="27.99"/>
    <s v="WELCOME10"/>
    <s v="WELCOME10"/>
    <n v="5.6"/>
    <n v="5.6"/>
    <s v="Number"/>
    <n v="7.99"/>
    <n v="7.99"/>
    <s v="$58.37"/>
    <n v="58.37"/>
    <n v="58.37"/>
    <s v="True"/>
    <s v="Normal"/>
    <s v="Credit Card"/>
    <s v="Facebook"/>
    <s v="fulfilled"/>
    <s v="Australia"/>
    <m/>
    <s v="Not Required"/>
    <s v="Port Josephborough"/>
  </r>
  <r>
    <s v="#1666"/>
    <n v="1"/>
    <d v="2026-08-04T14:02:45"/>
    <d v="2026-08-04T14:02:45"/>
    <s v="Tasha Morales"/>
    <s v="Email Available"/>
    <s v="tasha.morales378@outlook.com"/>
    <x v="6"/>
    <s v="Toys"/>
    <x v="7"/>
    <n v="1"/>
    <n v="27.99"/>
    <n v="27.99"/>
    <s v="BFCM25"/>
    <s v="BFCM25"/>
    <n v="7"/>
    <n v="7"/>
    <s v="Number"/>
    <n v="4.99"/>
    <n v="4.99"/>
    <n v="25.98"/>
    <n v="25.98"/>
    <n v="25.979999999999997"/>
    <s v="True"/>
    <s v="Normal"/>
    <s v="Shopify Payments"/>
    <s v="Online Store"/>
    <s v="fulfilled"/>
    <s v="United States"/>
    <s v="North Carolina"/>
    <s v="Valid"/>
    <s v="North Kayla"/>
  </r>
  <r>
    <s v="#1697"/>
    <n v="1"/>
    <d v="2026-08-04T14:05:10"/>
    <d v="2026-08-04T14:05:10"/>
    <s v="Sandra Potter"/>
    <s v="Email Available"/>
    <s v="sandra.potter166@yahoo.com"/>
    <x v="6"/>
    <s v="Toys"/>
    <x v="7"/>
    <n v="2"/>
    <n v="27.99"/>
    <n v="27.99"/>
    <s v="SAVE20"/>
    <s v="SAVE20"/>
    <n v="11.2"/>
    <n v="11.2"/>
    <s v="Number"/>
    <n v="7.99"/>
    <n v="7.99"/>
    <n v="52.77"/>
    <n v="52.77"/>
    <n v="52.77"/>
    <s v="True"/>
    <s v="Normal"/>
    <s v="Credit Card"/>
    <s v="Online Store"/>
    <s v="refunded"/>
    <s v="United States"/>
    <s v="FL"/>
    <s v="Valid"/>
    <s v="North Barbaratown"/>
  </r>
  <r>
    <s v="#1715"/>
    <n v="1"/>
    <d v="2026-08-04T14:05:35"/>
    <d v="2026-08-04T14:05:35"/>
    <s v="Jennifer Burke"/>
    <s v="Email Available"/>
    <s v="jennifer.burke472@icloud.com"/>
    <x v="6"/>
    <s v="Toys"/>
    <x v="7"/>
    <n v="4"/>
    <n v="27.99"/>
    <n v="27.99"/>
    <m/>
    <s v=""/>
    <n v="0"/>
    <n v="0"/>
    <s v="Number"/>
    <n v="0"/>
    <n v="0"/>
    <n v="111.96"/>
    <n v="111.96"/>
    <n v="111.96"/>
    <s v="True"/>
    <s v="Outlier"/>
    <s v="Google Pay"/>
    <s v="Instagram"/>
    <s v="fulfilled"/>
    <s v="Pakistan"/>
    <m/>
    <s v="Not Required"/>
    <s v="Solomonchester"/>
  </r>
  <r>
    <s v="#1721"/>
    <n v="1"/>
    <d v="2026-08-04T13:57:53"/>
    <d v="2026-08-04T13:57:53"/>
    <s v="James Castro"/>
    <s v="Email Available"/>
    <s v="james.castro923@icloud.com"/>
    <x v="6"/>
    <s v="Toys"/>
    <x v="7"/>
    <n v="1"/>
    <n v="27.99"/>
    <n v="27.99"/>
    <m/>
    <s v=""/>
    <n v="0"/>
    <n v="0"/>
    <s v="Number"/>
    <n v="5.99"/>
    <n v="5.99"/>
    <n v="33.979999999999997"/>
    <n v="33.979999999999997"/>
    <n v="33.979999999999997"/>
    <s v="True"/>
    <s v="Normal"/>
    <s v="Shopify Payments"/>
    <s v="Online Store"/>
    <s v="fulfilled"/>
    <s v="Pakistan"/>
    <m/>
    <s v="Not Required"/>
    <s v="New Christopherview"/>
  </r>
  <r>
    <s v="#1735"/>
    <n v="1"/>
    <d v="2026-08-04T13:55:01"/>
    <d v="2026-08-04T13:55:01"/>
    <s v="Gerald Li"/>
    <s v="Email Available"/>
    <s v="gerald.li856@icloud.com"/>
    <x v="6"/>
    <s v="Toys"/>
    <x v="7"/>
    <n v="1"/>
    <n v="27.99"/>
    <n v="27.99"/>
    <s v="WELCOME10"/>
    <s v="WELCOME10"/>
    <n v="2.8"/>
    <n v="2.8"/>
    <s v="Number"/>
    <n v="5.99"/>
    <n v="5.99"/>
    <n v="31.18"/>
    <n v="31.18"/>
    <n v="31.18"/>
    <s v="True"/>
    <s v="Normal"/>
    <s v="Google Pay"/>
    <s v="Instagram"/>
    <s v="fulfilled"/>
    <s v="United States"/>
    <s v="Florida"/>
    <s v="Valid"/>
    <s v="North Kelly"/>
  </r>
  <r>
    <s v="#1845"/>
    <n v="1"/>
    <d v="2026-08-04T13:57:30"/>
    <d v="2026-08-04T13:57:30"/>
    <s v="Thomas Rojas"/>
    <s v="Email Available"/>
    <s v="thomas.rojas667@icloud.com"/>
    <x v="6"/>
    <s v="Toys"/>
    <x v="7"/>
    <n v="2"/>
    <n v="27.99"/>
    <n v="27.99"/>
    <s v="FREESHIP"/>
    <s v="FREESHIP"/>
    <n v="0"/>
    <n v="0"/>
    <s v="Number"/>
    <n v="0"/>
    <n v="0"/>
    <s v="$55.98"/>
    <n v="55.98"/>
    <n v="55.98"/>
    <s v="True"/>
    <s v="Normal"/>
    <s v="Google Pay"/>
    <s v="Facebook"/>
    <s v="fulfilled"/>
    <s v="United States"/>
    <s v="Washington"/>
    <s v="Valid"/>
    <s v="Smithberg"/>
  </r>
  <r>
    <s v="#1857"/>
    <n v="1"/>
    <d v="2026-08-04T13:58:20"/>
    <d v="2026-08-04T13:58:20"/>
    <s v="Kayla Cruz"/>
    <s v="Email Available"/>
    <s v="kayla.cruz151@outlook.com"/>
    <x v="6"/>
    <s v="Toys"/>
    <x v="7"/>
    <n v="1"/>
    <n v="27.99"/>
    <n v="27.99"/>
    <m/>
    <s v=""/>
    <n v="0"/>
    <n v="0"/>
    <s v="Number"/>
    <n v="5.99"/>
    <n v="5.99"/>
    <n v="33.979999999999997"/>
    <n v="33.979999999999997"/>
    <n v="33.979999999999997"/>
    <s v="True"/>
    <s v="Normal"/>
    <s v="Shopify Payments"/>
    <s v="Online Store"/>
    <s v="fulfilled"/>
    <s v="Pakistan"/>
    <m/>
    <s v="Not Required"/>
    <s v="Sydneyville"/>
  </r>
  <r>
    <s v="#1931"/>
    <n v="1"/>
    <d v="2026-08-04T14:08:10"/>
    <d v="2026-08-04T14:08:10"/>
    <s v="JANET MARTINEZ"/>
    <s v="Email Available"/>
    <s v="janet.martinez20@yahoo.com"/>
    <x v="6"/>
    <s v="Toys"/>
    <x v="7"/>
    <n v="1"/>
    <n v="27.99"/>
    <n v="27.99"/>
    <s v="BFCM25"/>
    <s v="BFCM25"/>
    <n v="7"/>
    <n v="7"/>
    <s v="Number"/>
    <n v="4.99"/>
    <n v="4.99"/>
    <n v="25.98"/>
    <n v="25.98"/>
    <n v="25.979999999999997"/>
    <s v="True"/>
    <s v="Normal"/>
    <s v="Credit Card"/>
    <s v="POS"/>
    <s v="pending"/>
    <s v="United States"/>
    <s v="Texas"/>
    <s v="Valid"/>
    <s v="North Paul"/>
  </r>
  <r>
    <s v="#1934"/>
    <n v="1"/>
    <d v="2026-08-04T14:01:46"/>
    <d v="2026-08-04T14:01:46"/>
    <s v="Tina Crane"/>
    <s v="Email Available"/>
    <s v="tina.crane554@gmail.com"/>
    <x v="6"/>
    <s v="Toys"/>
    <x v="7"/>
    <n v="1"/>
    <n v="27.99"/>
    <n v="27.99"/>
    <m/>
    <s v=""/>
    <n v="0"/>
    <n v="0"/>
    <s v="Number"/>
    <n v="7.99"/>
    <n v="7.99"/>
    <n v="35.979999999999997"/>
    <n v="35.979999999999997"/>
    <n v="35.979999999999997"/>
    <s v="True"/>
    <s v="Normal"/>
    <s v="Credit Card"/>
    <s v="Facebook"/>
    <s v="fulfilled"/>
    <s v="United Kingdom"/>
    <m/>
    <s v="Not Required"/>
    <s v="North Kristen"/>
  </r>
  <r>
    <s v="#2010"/>
    <n v="1"/>
    <d v="2026-08-04T13:55:32"/>
    <d v="2026-08-04T13:55:32"/>
    <s v="John Hoffman"/>
    <s v="Email Available"/>
    <s v="john.hoffman175@gmail.com"/>
    <x v="6"/>
    <s v="Toys"/>
    <x v="7"/>
    <n v="1"/>
    <n v="27.99"/>
    <n v="27.99"/>
    <s v="WELCOME10"/>
    <s v="WELCOME10"/>
    <s v="$2.80"/>
    <n v="2.8"/>
    <s v="Number"/>
    <n v="7.99"/>
    <n v="7.99"/>
    <n v="33.18"/>
    <n v="33.18"/>
    <n v="33.18"/>
    <s v="True"/>
    <s v="Normal"/>
    <s v="PayPal"/>
    <s v="Online Store"/>
    <s v="pending"/>
    <s v="United States"/>
    <s v="NC"/>
    <s v="Valid"/>
    <s v="East Alicia"/>
  </r>
  <r>
    <s v="#2070"/>
    <n v="1"/>
    <d v="2026-08-04T00:00:00"/>
    <s v="2026-08-04"/>
    <s v="Megan Herman"/>
    <s v="Email Available"/>
    <s v="megan.herman268@yahoo.com"/>
    <x v="6"/>
    <s v="Toys"/>
    <x v="7"/>
    <n v="1"/>
    <n v="27.99"/>
    <n v="27.99"/>
    <m/>
    <s v=""/>
    <n v="0"/>
    <n v="0"/>
    <s v="Number"/>
    <n v="7.99"/>
    <n v="7.99"/>
    <n v="35.979999999999997"/>
    <n v="35.979999999999997"/>
    <n v="35.979999999999997"/>
    <s v="True"/>
    <s v="Normal"/>
    <s v="Apple Pay"/>
    <s v="Online Store"/>
    <s v="pending"/>
    <s v="United States"/>
    <s v="New York"/>
    <s v="Valid"/>
    <s v="Lake Michael"/>
  </r>
  <r>
    <s v="#2092"/>
    <n v="1"/>
    <d v="2026-08-04T13:58:04"/>
    <d v="2026-08-04T13:58:04"/>
    <s v="Philip Stevens"/>
    <s v="Missing Email"/>
    <m/>
    <x v="6"/>
    <s v="Toys"/>
    <x v="7"/>
    <n v="1"/>
    <n v="27.99"/>
    <n v="27.99"/>
    <s v="SAVE20"/>
    <s v="SAVE20"/>
    <n v="5.6"/>
    <n v="5.6"/>
    <s v="Number"/>
    <n v="4.99"/>
    <n v="4.99"/>
    <n v="27.38"/>
    <n v="27.38"/>
    <n v="27.380000000000003"/>
    <s v="True"/>
    <s v="Normal"/>
    <s v="Credit Card"/>
    <s v="Instagram"/>
    <s v="pending"/>
    <s v="United States"/>
    <s v="Georgia"/>
    <s v="Valid"/>
    <s v="East Cynthiaville"/>
  </r>
  <r>
    <s v="#2093"/>
    <n v="1"/>
    <d v="2026-04-08T00:00:00"/>
    <s v="08/04/2026"/>
    <s v="Katelyn Johnson"/>
    <s v="Email Available"/>
    <s v="katelyn.johnson502@outlook.com"/>
    <x v="6"/>
    <s v="Toys"/>
    <x v="7"/>
    <n v="2"/>
    <n v="27.99"/>
    <n v="27.99"/>
    <m/>
    <s v=""/>
    <n v="0"/>
    <n v="0"/>
    <s v="Number"/>
    <n v="4.99"/>
    <n v="4.99"/>
    <n v="60.97"/>
    <n v="60.97"/>
    <n v="60.97"/>
    <s v="True"/>
    <s v="Normal"/>
    <s v="Apple Pay"/>
    <s v="POS"/>
    <s v="refunded"/>
    <s v="United States"/>
    <s v="California"/>
    <s v="Valid"/>
    <s v="Shannonhaven"/>
  </r>
  <r>
    <s v="#2094"/>
    <n v="1"/>
    <d v="2026-08-04T14:01:50"/>
    <d v="2026-08-04T14:01:50"/>
    <s v="Brian Ruiz"/>
    <s v="Email Available"/>
    <s v="brian.ruiz246@gmail.com"/>
    <x v="6"/>
    <s v="Toys"/>
    <x v="7"/>
    <n v="1"/>
    <n v="27.99"/>
    <n v="27.99"/>
    <s v="FREESHIP"/>
    <s v="FREESHIP"/>
    <n v="0"/>
    <n v="0"/>
    <s v="Number"/>
    <n v="0"/>
    <n v="0"/>
    <n v="27.99"/>
    <n v="27.99"/>
    <n v="27.99"/>
    <s v="True"/>
    <s v="Normal"/>
    <s v="PayPal"/>
    <s v="Online Store"/>
    <s v="pending"/>
    <s v="Germany"/>
    <m/>
    <s v="Not Required"/>
    <s v="Rebeccastad"/>
  </r>
  <r>
    <s v="#2095"/>
    <n v="1"/>
    <d v="2026-08-04T14:04:09"/>
    <d v="2026-08-04T14:04:09"/>
    <s v="Stacey Johnson"/>
    <s v="Email Available"/>
    <s v="stacey.johnson95@gmail.com"/>
    <x v="6"/>
    <s v="Toys"/>
    <x v="7"/>
    <n v="1"/>
    <n v="27.99"/>
    <n v="27.99"/>
    <s v="WELCOME10"/>
    <s v="WELCOME10"/>
    <n v="2.8"/>
    <n v="2.8"/>
    <s v="Number"/>
    <n v="5.99"/>
    <n v="5.99"/>
    <n v="31.18"/>
    <n v="31.18"/>
    <n v="31.18"/>
    <s v="True"/>
    <s v="Normal"/>
    <s v="Shopify Payments"/>
    <s v="Facebook"/>
    <s v="refunded"/>
    <s v="Germany"/>
    <m/>
    <s v="Not Required"/>
    <s v="Douglasberg"/>
  </r>
  <r>
    <s v="#2152"/>
    <n v="1"/>
    <d v="2026-08-04T13:56:15"/>
    <d v="2026-08-04T13:56:15"/>
    <s v="Sara Hernandez"/>
    <s v="Missing Email"/>
    <m/>
    <x v="6"/>
    <s v="Toys"/>
    <x v="7"/>
    <n v="1"/>
    <n v="27.99"/>
    <n v="27.99"/>
    <m/>
    <s v=""/>
    <n v="0"/>
    <n v="0"/>
    <s v="Number"/>
    <n v="5.99"/>
    <n v="5.99"/>
    <n v="33.979999999999997"/>
    <n v="33.979999999999997"/>
    <n v="33.979999999999997"/>
    <s v="True"/>
    <s v="Normal"/>
    <s v="Credit Card"/>
    <s v="POS"/>
    <s v="fulfilled"/>
    <s v="United States"/>
    <s v="Florida"/>
    <s v="Valid"/>
    <s v="Jasonchester"/>
  </r>
  <r>
    <s v="#2160"/>
    <n v="1"/>
    <d v="2026-04-08T00:00:00"/>
    <s v="08/04/2026"/>
    <s v="Andrew Jones"/>
    <s v="Email Available"/>
    <s v="andrew.jones338@icloud.com"/>
    <x v="6"/>
    <s v="Toys"/>
    <x v="7"/>
    <n v="1"/>
    <n v="27.99"/>
    <n v="27.99"/>
    <s v="FREESHIP"/>
    <s v="FREESHIP"/>
    <n v="0"/>
    <n v="0"/>
    <s v="Number"/>
    <n v="0"/>
    <n v="0"/>
    <s v="$27.99"/>
    <n v="27.99"/>
    <n v="27.99"/>
    <s v="True"/>
    <s v="Normal"/>
    <s v="Apple Pay"/>
    <s v="POS"/>
    <s v="fulfilled"/>
    <s v="United Kingdom"/>
    <m/>
    <s v="Not Required"/>
    <s v="West Angelafurt"/>
  </r>
  <r>
    <s v="#2166"/>
    <n v="1"/>
    <d v="2026-08-04T13:59:17"/>
    <d v="2026-08-04T13:59:17"/>
    <s v="George Green"/>
    <s v="Email Available"/>
    <s v="george.green694@icloud.com"/>
    <x v="6"/>
    <s v="Toys"/>
    <x v="7"/>
    <n v="3"/>
    <n v="27.99"/>
    <n v="27.99"/>
    <m/>
    <s v=""/>
    <n v="0"/>
    <n v="0"/>
    <s v="Number"/>
    <n v="0"/>
    <n v="0"/>
    <n v="83.97"/>
    <n v="83.97"/>
    <n v="83.97"/>
    <s v="True"/>
    <s v="Outlier"/>
    <s v="Google Pay"/>
    <s v="Facebook"/>
    <s v="fulfilled"/>
    <s v="United States"/>
    <s v="FL"/>
    <s v="Valid"/>
    <s v="South Christy"/>
  </r>
  <r>
    <s v="#2186"/>
    <n v="1"/>
    <d v="2026-08-04T13:53:41"/>
    <d v="2026-08-04T13:53:41"/>
    <s v="Christopher Harrington"/>
    <s v="Email Available"/>
    <s v="christopher.harrington960@gmail.com"/>
    <x v="6"/>
    <s v="Toys"/>
    <x v="7"/>
    <n v="1"/>
    <n v="27.99"/>
    <n v="27.99"/>
    <m/>
    <s v=""/>
    <n v="0"/>
    <n v="0"/>
    <s v="Number"/>
    <n v="7.99"/>
    <n v="7.99"/>
    <n v="35.979999999999997"/>
    <n v="35.979999999999997"/>
    <n v="35.979999999999997"/>
    <s v="True"/>
    <s v="Normal"/>
    <s v="Google Pay"/>
    <s v="Online Store"/>
    <s v="pending"/>
    <s v="Australia"/>
    <m/>
    <s v="Not Required"/>
    <s v="Sullivanmouth"/>
  </r>
  <r>
    <s v="#2193"/>
    <n v="1"/>
    <d v="2026-08-04T13:54:01"/>
    <d v="2026-08-04T13:54:01"/>
    <s v="Christopher Osborne"/>
    <s v="Email Available"/>
    <s v="christopher.osborne481@yahoo.com"/>
    <x v="6"/>
    <s v="Toys"/>
    <x v="7"/>
    <n v="1"/>
    <n v="27.99"/>
    <n v="27.99"/>
    <s v="VIP15"/>
    <s v="VIP15"/>
    <s v="$4.20"/>
    <n v="4.2"/>
    <s v="Number"/>
    <n v="7.99"/>
    <n v="7.99"/>
    <n v="31.78"/>
    <n v="31.78"/>
    <n v="31.78"/>
    <s v="True"/>
    <s v="Normal"/>
    <s v="Apple Pay"/>
    <s v="Instagram"/>
    <s v="fulfilled"/>
    <s v="United States"/>
    <s v="Illinois"/>
    <s v="Valid"/>
    <s v="Christinastad"/>
  </r>
  <r>
    <s v="#2238"/>
    <n v="1"/>
    <d v="2026-04-08T00:00:00"/>
    <s v="08/04/2026"/>
    <s v="Frank Diaz"/>
    <s v="Email Available"/>
    <s v="frank.diaz795@gmail.com"/>
    <x v="6"/>
    <s v="Toys"/>
    <x v="7"/>
    <n v="2"/>
    <n v="27.99"/>
    <n v="27.99"/>
    <m/>
    <s v=""/>
    <n v="0"/>
    <n v="0"/>
    <s v="Number"/>
    <n v="7.99"/>
    <n v="7.99"/>
    <n v="63.97"/>
    <n v="63.97"/>
    <n v="63.97"/>
    <s v="True"/>
    <s v="Normal"/>
    <s v="PayPal"/>
    <s v="Online Store"/>
    <s v="fulfilled"/>
    <s v="United States"/>
    <s v="Georgia"/>
    <s v="Valid"/>
    <s v="Rossmouth"/>
  </r>
  <r>
    <s v="#2316"/>
    <n v="1"/>
    <d v="2026-08-04T13:56:28"/>
    <d v="2026-08-04T13:56:28"/>
    <s v="Paul Dillon"/>
    <s v="Email Available"/>
    <s v="paul.dillon750@icloud.com"/>
    <x v="6"/>
    <s v="Toys"/>
    <x v="7"/>
    <n v="1"/>
    <n v="27.99"/>
    <n v="27.99"/>
    <m/>
    <s v=""/>
    <n v="0"/>
    <n v="0"/>
    <s v="Number"/>
    <n v="4.99"/>
    <n v="4.99"/>
    <n v="32.979999999999997"/>
    <n v="32.979999999999997"/>
    <n v="32.979999999999997"/>
    <s v="True"/>
    <s v="Normal"/>
    <s v="Google Pay"/>
    <s v="Instagram"/>
    <s v="pending"/>
    <s v="Australia"/>
    <m/>
    <s v="Not Required"/>
    <s v="West Jesseside"/>
  </r>
  <r>
    <s v="#2356"/>
    <n v="1"/>
    <d v="2026-08-04T14:08:21"/>
    <d v="2026-08-04T14:08:21"/>
    <s v="Joanne Perez"/>
    <s v="Email Available"/>
    <s v="joanne.perez120@gmail.com"/>
    <x v="6"/>
    <s v="Toys"/>
    <x v="7"/>
    <n v="1"/>
    <n v="27.99"/>
    <n v="27.99"/>
    <m/>
    <s v=""/>
    <n v="0"/>
    <n v="0"/>
    <s v="Number"/>
    <n v="5.99"/>
    <n v="5.99"/>
    <n v="33.979999999999997"/>
    <n v="33.979999999999997"/>
    <n v="33.979999999999997"/>
    <s v="True"/>
    <s v="Normal"/>
    <s v="Credit Card"/>
    <s v="Online Store"/>
    <s v="fulfilled"/>
    <s v="United States"/>
    <s v="Ohio"/>
    <s v="Valid"/>
    <s v="South Tammieborough"/>
  </r>
  <r>
    <s v="#2382"/>
    <n v="1"/>
    <d v="2026-08-04T13:58:59"/>
    <d v="2026-08-04T13:58:59"/>
    <s v="Patricia Thompson"/>
    <s v="Email Available"/>
    <s v="patricia.thompson164@icloud.com"/>
    <x v="6"/>
    <s v="Toys"/>
    <x v="7"/>
    <n v="1"/>
    <n v="27.99"/>
    <n v="27.99"/>
    <m/>
    <s v=""/>
    <n v="0"/>
    <n v="0"/>
    <s v="Number"/>
    <n v="5.99"/>
    <n v="5.99"/>
    <n v="33.979999999999997"/>
    <n v="33.979999999999997"/>
    <n v="33.979999999999997"/>
    <s v="True"/>
    <s v="Normal"/>
    <s v="PayPal"/>
    <s v="Online Store"/>
    <s v="pending"/>
    <s v="United States"/>
    <s v="Ohio"/>
    <s v="Valid"/>
    <s v="Port Bradhaven"/>
  </r>
  <r>
    <s v="#2383"/>
    <n v="1"/>
    <d v="2026-08-04T13:57:23"/>
    <d v="2026-08-04T13:57:23"/>
    <s v="Elizabeth Carter"/>
    <s v="Email Available"/>
    <s v="elizabeth.carter304@icloud.com"/>
    <x v="6"/>
    <s v="Toys"/>
    <x v="7"/>
    <n v="1"/>
    <n v="27.99"/>
    <n v="27.99"/>
    <s v="WELCOME10"/>
    <s v="WELCOME10"/>
    <n v="2.8"/>
    <n v="2.8"/>
    <s v="Number"/>
    <n v="7.99"/>
    <n v="7.99"/>
    <n v="33.18"/>
    <n v="33.18"/>
    <n v="33.18"/>
    <s v="True"/>
    <s v="Normal"/>
    <s v="Shopify Payments"/>
    <s v="Facebook"/>
    <s v="fulfilled"/>
    <s v="Canada"/>
    <m/>
    <s v="Not Required"/>
    <s v="Johntown"/>
  </r>
  <r>
    <s v="#2394"/>
    <n v="1"/>
    <d v="2026-08-04T13:54:29"/>
    <d v="2026-08-04T13:54:29"/>
    <s v="James Castro"/>
    <s v="Email Available"/>
    <s v="james.castro923@icloud.com"/>
    <x v="6"/>
    <s v="Toys"/>
    <x v="7"/>
    <n v="2"/>
    <n v="27.99"/>
    <n v="27.99"/>
    <s v="VIP15"/>
    <s v="VIP15"/>
    <s v="$8.40"/>
    <n v="8.4"/>
    <s v="Number"/>
    <n v="4.99"/>
    <n v="4.99"/>
    <s v="$52.57"/>
    <n v="52.57"/>
    <n v="52.57"/>
    <s v="True"/>
    <s v="Normal"/>
    <s v="Apple Pay"/>
    <s v="Instagram"/>
    <s v="fulfilled"/>
    <s v="Pakistan"/>
    <m/>
    <s v="Not Required"/>
    <s v="North Isabellamouth"/>
  </r>
  <r>
    <s v="#2445"/>
    <n v="1"/>
    <d v="2026-08-04T13:54:39"/>
    <d v="2026-08-04T13:54:39"/>
    <s v="Heather Davis"/>
    <s v="Email Available"/>
    <s v="heather.davis117@icloud.com"/>
    <x v="6"/>
    <s v="Toys"/>
    <x v="7"/>
    <n v="2"/>
    <n v="27.99"/>
    <n v="27.99"/>
    <m/>
    <s v=""/>
    <n v="0"/>
    <n v="0"/>
    <s v="Number"/>
    <n v="4.99"/>
    <n v="4.99"/>
    <n v="60.97"/>
    <n v="60.97"/>
    <n v="60.97"/>
    <s v="True"/>
    <s v="Normal"/>
    <s v="Shopify Payments"/>
    <s v="Online Store"/>
    <s v="fulfilled"/>
    <s v="Germany"/>
    <m/>
    <s v="Not Required"/>
    <s v="Thomasbury"/>
  </r>
  <r>
    <s v="#2448"/>
    <n v="1"/>
    <d v="2026-04-08T00:00:00"/>
    <s v="08/04/2026"/>
    <s v="peter alvarez"/>
    <s v="Email Available"/>
    <s v="peter.alvarez465@yahoo.com"/>
    <x v="6"/>
    <s v="Toys"/>
    <x v="7"/>
    <n v="1"/>
    <n v="27.99"/>
    <n v="27.99"/>
    <m/>
    <s v=""/>
    <n v="0"/>
    <n v="0"/>
    <s v="Number"/>
    <n v="7.99"/>
    <n v="7.99"/>
    <s v="$35.98"/>
    <n v="35.979999999999997"/>
    <n v="35.979999999999997"/>
    <s v="True"/>
    <s v="Normal"/>
    <s v="Shopify Payments"/>
    <s v="Instagram"/>
    <s v="refunded"/>
    <s v="United States"/>
    <s v="Arizona"/>
    <s v="Valid"/>
    <s v="South Kelly"/>
  </r>
  <r>
    <s v="#2457"/>
    <n v="1"/>
    <d v="2026-04-08T00:00:00"/>
    <s v="08/04/2026"/>
    <s v="Megan Holmes"/>
    <s v="Email Available"/>
    <s v="megan.holmes105@yahoo.com"/>
    <x v="6"/>
    <s v="Toys"/>
    <x v="7"/>
    <n v="1"/>
    <s v="$27.99"/>
    <n v="27.99"/>
    <s v="WELCOME10"/>
    <s v="WELCOME10"/>
    <n v="2.8"/>
    <n v="2.8"/>
    <s v="Number"/>
    <n v="5.99"/>
    <n v="5.99"/>
    <n v="31.18"/>
    <n v="31.18"/>
    <n v="31.18"/>
    <s v="True"/>
    <s v="Normal"/>
    <s v="Credit Card"/>
    <s v="POS"/>
    <s v="fulfilled"/>
    <s v="United States"/>
    <s v="Arizona"/>
    <s v="Valid"/>
    <s v="East Andrea"/>
  </r>
  <r>
    <s v="#2476"/>
    <n v="1"/>
    <d v="2026-08-04T14:03:03"/>
    <d v="2026-08-04T14:03:03"/>
    <s v="Karen Bautista"/>
    <s v="Email Available"/>
    <s v="karen.bautista779@icloud.com"/>
    <x v="6"/>
    <s v="Toys"/>
    <x v="7"/>
    <n v="2"/>
    <n v="27.99"/>
    <n v="27.99"/>
    <s v="VIP15"/>
    <s v="VIP15"/>
    <n v="8.4"/>
    <n v="8.4"/>
    <s v="Number"/>
    <n v="7.99"/>
    <n v="7.99"/>
    <n v="55.57"/>
    <n v="55.57"/>
    <n v="55.57"/>
    <s v="True"/>
    <s v="Normal"/>
    <s v="Google Pay"/>
    <s v="POS"/>
    <s v="fulfilled"/>
    <s v="United States"/>
    <s v="North Carolina"/>
    <s v="Valid"/>
    <s v="Larryburgh"/>
  </r>
  <r>
    <s v="#2477"/>
    <n v="1"/>
    <d v="2026-08-04T14:05:53"/>
    <d v="2026-08-04T14:05:53"/>
    <s v="Tara Jackson"/>
    <s v="Missing Email"/>
    <m/>
    <x v="6"/>
    <s v="Toys"/>
    <x v="7"/>
    <n v="2"/>
    <n v="27.99"/>
    <n v="27.99"/>
    <m/>
    <s v=""/>
    <n v="0"/>
    <n v="0"/>
    <s v="Number"/>
    <n v="5.99"/>
    <n v="5.99"/>
    <n v="61.97"/>
    <n v="61.97"/>
    <n v="61.97"/>
    <s v="True"/>
    <s v="Normal"/>
    <s v="Shopify Payments"/>
    <s v="Online Store"/>
    <s v="fulfilled"/>
    <s v="Canada"/>
    <m/>
    <s v="Not Required"/>
    <s v="Cunninghammouth"/>
  </r>
  <r>
    <s v="#2540"/>
    <n v="1"/>
    <d v="2026-08-04T13:53:34"/>
    <d v="2026-08-04T13:53:34"/>
    <s v="Maria Patterson"/>
    <s v="Email Available"/>
    <s v="maria.patterson62@icloud.com"/>
    <x v="6"/>
    <s v="Toys"/>
    <x v="7"/>
    <n v="1"/>
    <n v="27.99"/>
    <n v="27.99"/>
    <s v="VIP15"/>
    <s v="VIP15"/>
    <s v="$4.20"/>
    <n v="4.2"/>
    <s v="Number"/>
    <n v="4.99"/>
    <n v="4.99"/>
    <n v="28.78"/>
    <n v="28.78"/>
    <n v="28.78"/>
    <s v="True"/>
    <s v="Normal"/>
    <s v="PayPal"/>
    <s v="Online Store"/>
    <s v="pending"/>
    <s v="United States"/>
    <s v="Illinois"/>
    <s v="Valid"/>
    <s v="Elizabethmouth"/>
  </r>
  <r>
    <s v="#2547"/>
    <n v="1"/>
    <d v="2026-08-04T13:54:32"/>
    <d v="2026-08-04T13:54:32"/>
    <s v="Marie Rose"/>
    <s v="Email Available"/>
    <s v="marie.rose93@gmail.com"/>
    <x v="6"/>
    <s v="Toys"/>
    <x v="7"/>
    <n v="2"/>
    <n v="27.99"/>
    <n v="27.99"/>
    <s v="VIP15"/>
    <s v="VIP15"/>
    <n v="8.4"/>
    <n v="8.4"/>
    <s v="Number"/>
    <n v="4.99"/>
    <n v="4.99"/>
    <n v="52.57"/>
    <n v="52.57"/>
    <n v="52.57"/>
    <s v="True"/>
    <s v="Normal"/>
    <s v="Credit Card"/>
    <s v="POS"/>
    <s v="fulfilled"/>
    <s v="United States"/>
    <s v="Illinois"/>
    <s v="Valid"/>
    <s v="North Susan"/>
  </r>
  <r>
    <s v="#2621"/>
    <n v="1"/>
    <d v="2026-08-04T00:00:00"/>
    <s v="04-08-2026 13:57"/>
    <s v="Kenneth Davis"/>
    <s v="Email Available"/>
    <s v="kenneth.davis106@yahoo.com"/>
    <x v="6"/>
    <s v="Toys"/>
    <x v="7"/>
    <n v="1"/>
    <n v="27.99"/>
    <n v="27.99"/>
    <m/>
    <s v=""/>
    <n v="0"/>
    <n v="0"/>
    <s v="Number"/>
    <n v="7.99"/>
    <n v="7.99"/>
    <n v="35.979999999999997"/>
    <n v="35.979999999999997"/>
    <n v="35.979999999999997"/>
    <s v="True"/>
    <s v="Normal"/>
    <s v="Apple Pay"/>
    <s v="POS"/>
    <s v="pending"/>
    <s v="United States"/>
    <s v="Texas"/>
    <s v="Valid"/>
    <s v="South Jamesview"/>
  </r>
  <r>
    <s v="#2623"/>
    <n v="1"/>
    <d v="2026-08-04T13:57:42"/>
    <d v="2026-08-04T13:57:42"/>
    <s v="Tyler Williams"/>
    <s v="Email Available"/>
    <s v="tyler.williams938@outlook.com"/>
    <x v="6"/>
    <s v="Toys"/>
    <x v="7"/>
    <n v="1"/>
    <n v="27.99"/>
    <n v="27.99"/>
    <m/>
    <s v=""/>
    <s v="$0.00"/>
    <n v="0"/>
    <s v="Number"/>
    <n v="4.99"/>
    <n v="4.99"/>
    <n v="32.979999999999997"/>
    <n v="32.979999999999997"/>
    <n v="32.979999999999997"/>
    <s v="True"/>
    <s v="Normal"/>
    <s v="Apple Pay"/>
    <s v="Facebook"/>
    <s v="fulfilled"/>
    <s v="Australia"/>
    <m/>
    <s v="Not Required"/>
    <s v="Snyderside"/>
  </r>
  <r>
    <s v="#2630"/>
    <n v="1"/>
    <d v="2026-08-04T14:01:32"/>
    <d v="2026-08-04T14:01:32"/>
    <s v="Jack Bryant"/>
    <s v="Email Available"/>
    <s v="jack.bryant173@gmail.com"/>
    <x v="6"/>
    <s v="Toys"/>
    <x v="7"/>
    <n v="4"/>
    <n v="27.99"/>
    <n v="27.99"/>
    <m/>
    <s v=""/>
    <n v="0"/>
    <n v="0"/>
    <s v="Number"/>
    <n v="0"/>
    <n v="0"/>
    <n v="111.96"/>
    <n v="111.96"/>
    <n v="111.96"/>
    <s v="True"/>
    <s v="Outlier"/>
    <s v="Shopify Payments"/>
    <s v="Facebook"/>
    <s v="fulfilled"/>
    <s v="Germany"/>
    <m/>
    <s v="Not Required"/>
    <s v="New Andrea"/>
  </r>
  <r>
    <s v="#2637"/>
    <n v="1"/>
    <d v="2026-08-04T14:05:09"/>
    <d v="2026-08-04T14:05:09"/>
    <s v="Lindsay Shaw"/>
    <s v="Email Available"/>
    <s v="lindsay.shaw178@icloud.com"/>
    <x v="6"/>
    <s v="Toys"/>
    <x v="7"/>
    <n v="2"/>
    <n v="27.99"/>
    <n v="27.99"/>
    <s v="FREESHIP"/>
    <s v="FREESHIP"/>
    <n v="0"/>
    <n v="0"/>
    <s v="Number"/>
    <n v="0"/>
    <n v="0"/>
    <n v="55.98"/>
    <n v="55.98"/>
    <n v="55.98"/>
    <s v="True"/>
    <s v="Normal"/>
    <s v="Shopify Payments"/>
    <s v="Online Store"/>
    <s v="fulfilled"/>
    <s v="United Kingdom"/>
    <m/>
    <s v="Not Required"/>
    <s v="North Brittanyville"/>
  </r>
  <r>
    <s v="#2668"/>
    <n v="1"/>
    <d v="2026-08-04T13:55:22"/>
    <d v="2026-08-04T13:55:22"/>
    <s v="Timothy Hodges"/>
    <s v="Email Available"/>
    <s v="timothy.hodges687@icloud.com"/>
    <x v="6"/>
    <s v="Toys"/>
    <x v="7"/>
    <n v="2"/>
    <n v="27.99"/>
    <n v="27.99"/>
    <s v="VIP15"/>
    <s v="VIP15"/>
    <n v="8.4"/>
    <n v="8.4"/>
    <s v="Number"/>
    <n v="5.99"/>
    <n v="5.99"/>
    <n v="53.57"/>
    <n v="53.57"/>
    <n v="53.57"/>
    <s v="True"/>
    <s v="Normal"/>
    <s v="PayPal"/>
    <s v="POS"/>
    <s v="refunded"/>
    <s v="Australia"/>
    <m/>
    <s v="Not Required"/>
    <s v="South Sabrinatown"/>
  </r>
  <r>
    <s v="#2675"/>
    <n v="1"/>
    <d v="2026-08-04T13:59:20"/>
    <d v="2026-08-04T13:59:20"/>
    <s v="Russell Walton"/>
    <s v="Email Available"/>
    <s v="russell.walton605@icloud.com"/>
    <x v="6"/>
    <s v="Toys"/>
    <x v="7"/>
    <n v="2"/>
    <n v="27.99"/>
    <n v="27.99"/>
    <s v="FREESHIP"/>
    <s v="FREESHIP"/>
    <n v="0"/>
    <n v="0"/>
    <s v="Number"/>
    <n v="0"/>
    <n v="0"/>
    <n v="55.98"/>
    <n v="55.98"/>
    <n v="55.98"/>
    <s v="True"/>
    <s v="Normal"/>
    <s v="Credit Card"/>
    <s v="Online Store"/>
    <s v="cancelled"/>
    <s v="United States"/>
    <s v="North Carolina"/>
    <s v="Valid"/>
    <s v="South Julie"/>
  </r>
  <r>
    <s v="#2706"/>
    <n v="1"/>
    <d v="2026-08-04T13:55:04"/>
    <d v="2026-08-04T13:55:04"/>
    <s v="Kayla Morris"/>
    <s v="Email Available"/>
    <s v="kayla.morris339@outlook.com"/>
    <x v="6"/>
    <s v="Toys"/>
    <x v="7"/>
    <n v="1"/>
    <n v="27.99"/>
    <n v="27.99"/>
    <m/>
    <s v=""/>
    <n v="0"/>
    <n v="0"/>
    <s v="Number"/>
    <n v="4.99"/>
    <n v="4.99"/>
    <n v="32.979999999999997"/>
    <n v="32.979999999999997"/>
    <n v="32.979999999999997"/>
    <s v="True"/>
    <s v="Normal"/>
    <s v="Shopify Payments"/>
    <s v="Online Store"/>
    <s v="fulfilled"/>
    <s v="Canada"/>
    <m/>
    <s v="Not Required"/>
    <s v="Matthewfurt"/>
  </r>
  <r>
    <s v="#2762"/>
    <n v="1"/>
    <d v="2026-08-04T13:57:52"/>
    <d v="2026-08-04T13:57:52"/>
    <s v="Alan Davis"/>
    <s v="Email Available"/>
    <s v="alan.davis483@icloud.com"/>
    <x v="6"/>
    <s v="Toys"/>
    <x v="7"/>
    <n v="1"/>
    <n v="27.99"/>
    <n v="27.99"/>
    <s v="BFCM25"/>
    <s v="BFCM25"/>
    <n v="7"/>
    <n v="7"/>
    <s v="Number"/>
    <n v="7.99"/>
    <n v="7.99"/>
    <n v="28.98"/>
    <n v="28.98"/>
    <n v="28.979999999999997"/>
    <s v="True"/>
    <s v="Normal"/>
    <s v="Credit Card"/>
    <s v="Instagram"/>
    <s v="pending"/>
    <s v="Canada"/>
    <m/>
    <s v="Not Required"/>
    <s v="South Brianport"/>
  </r>
  <r>
    <s v="#2816"/>
    <n v="1"/>
    <d v="2026-08-04T13:54:19"/>
    <d v="2026-08-04T13:54:19"/>
    <s v="Alan Davis"/>
    <s v="Email Available"/>
    <s v="alan.davis483@icloud.com"/>
    <x v="6"/>
    <s v="Toys"/>
    <x v="7"/>
    <n v="4"/>
    <n v="27.99"/>
    <n v="27.99"/>
    <s v="WELCOME10"/>
    <s v="WELCOME10"/>
    <s v="$11.20"/>
    <n v="11.2"/>
    <s v="Number"/>
    <n v="0"/>
    <n v="0"/>
    <n v="100.76"/>
    <n v="100.76"/>
    <n v="100.75999999999999"/>
    <s v="True"/>
    <s v="Outlier"/>
    <s v="Google Pay"/>
    <s v="Instagram"/>
    <s v="pending"/>
    <s v="Canada"/>
    <m/>
    <s v="Not Required"/>
    <s v="Andreaview"/>
  </r>
  <r>
    <s v="#2825"/>
    <n v="1"/>
    <d v="2026-08-04T14:01:23"/>
    <d v="2026-08-04T14:01:23"/>
    <s v="Timothy Santos"/>
    <s v="Email Available"/>
    <s v="timothy.santos549@outlook.com"/>
    <x v="6"/>
    <s v="Toys"/>
    <x v="7"/>
    <n v="2"/>
    <s v="$27.99"/>
    <n v="27.99"/>
    <s v="FREESHIP"/>
    <s v="FREESHIP"/>
    <n v="0"/>
    <n v="0"/>
    <s v="Number"/>
    <n v="0"/>
    <n v="0"/>
    <n v="55.98"/>
    <n v="55.98"/>
    <n v="55.98"/>
    <s v="True"/>
    <s v="Normal"/>
    <s v="Google Pay"/>
    <s v="Instagram"/>
    <s v="fulfilled"/>
    <s v="United Kingdom"/>
    <m/>
    <s v="Not Required"/>
    <s v="Greenmouth"/>
  </r>
  <r>
    <s v="#2854"/>
    <n v="1"/>
    <d v="2026-08-04T00:00:00"/>
    <s v="04-08-2026 13:55"/>
    <s v="Angie Martin"/>
    <s v="Email Available"/>
    <s v="angie.martin506@icloud.com"/>
    <x v="6"/>
    <s v="Toys"/>
    <x v="7"/>
    <n v="1"/>
    <n v="27.99"/>
    <n v="27.99"/>
    <m/>
    <s v=""/>
    <n v="0"/>
    <n v="0"/>
    <s v="Number"/>
    <n v="7.99"/>
    <n v="7.99"/>
    <n v="35.979999999999997"/>
    <n v="35.979999999999997"/>
    <n v="35.979999999999997"/>
    <s v="True"/>
    <s v="Normal"/>
    <s v="Apple Pay"/>
    <s v="POS"/>
    <s v="fulfilled"/>
    <s v="Pakistan"/>
    <m/>
    <s v="Not Required"/>
    <s v="Jacobside"/>
  </r>
  <r>
    <s v="#2858"/>
    <n v="1"/>
    <d v="2026-08-04T13:55:16"/>
    <d v="2026-08-04T13:55:16"/>
    <s v="Christopher Osborne"/>
    <s v="Email Available"/>
    <s v="christopher.osborne481@yahoo.com"/>
    <x v="6"/>
    <s v="Toys"/>
    <x v="7"/>
    <n v="1"/>
    <n v="27.99"/>
    <n v="27.99"/>
    <s v="FREESHIP"/>
    <s v="FREESHIP"/>
    <n v="0"/>
    <n v="0"/>
    <s v="Number"/>
    <n v="0"/>
    <n v="0"/>
    <s v="$27.99"/>
    <n v="27.99"/>
    <n v="27.99"/>
    <s v="True"/>
    <s v="Normal"/>
    <s v="Apple Pay"/>
    <s v="POS"/>
    <s v="fulfilled"/>
    <s v="United States"/>
    <s v="Texas"/>
    <s v="Valid"/>
    <s v="Brianview"/>
  </r>
  <r>
    <s v="#2869"/>
    <n v="1"/>
    <d v="2026-08-04T14:02:13"/>
    <d v="2026-08-04T14:02:13"/>
    <s v="Patrick Stevens"/>
    <s v="Email Available"/>
    <s v="patrick.stevens218@gmail.com"/>
    <x v="6"/>
    <s v="Toys"/>
    <x v="7"/>
    <n v="1"/>
    <n v="27.99"/>
    <n v="27.99"/>
    <m/>
    <s v=""/>
    <n v="0"/>
    <n v="0"/>
    <s v="Number"/>
    <n v="5.99"/>
    <n v="5.99"/>
    <n v="33.979999999999997"/>
    <n v="33.979999999999997"/>
    <n v="33.979999999999997"/>
    <s v="True"/>
    <s v="Normal"/>
    <s v="Credit Card"/>
    <s v="Instagram"/>
    <s v="fulfilled"/>
    <s v="Pakistan"/>
    <m/>
    <s v="Not Required"/>
    <s v="Moodytown"/>
  </r>
  <r>
    <s v="#2894"/>
    <n v="1"/>
    <d v="2026-08-04T00:00:00"/>
    <s v="Aug 04, 2026"/>
    <s v="Barbara Brown"/>
    <s v="Email Available"/>
    <s v="barbara.brown26@gmail.com"/>
    <x v="6"/>
    <s v="Toys"/>
    <x v="7"/>
    <n v="2"/>
    <n v="27.99"/>
    <n v="27.99"/>
    <m/>
    <s v=""/>
    <n v="0"/>
    <n v="0"/>
    <s v="Number"/>
    <n v="4.99"/>
    <n v="4.99"/>
    <n v="60.97"/>
    <n v="60.97"/>
    <n v="60.97"/>
    <s v="True"/>
    <s v="Normal"/>
    <s v="Shopify Payments"/>
    <s v="Instagram"/>
    <s v="fulfilled"/>
    <s v="United States"/>
    <s v="Washington"/>
    <s v="Valid"/>
    <s v="Amymouth"/>
  </r>
  <r>
    <s v="#2951"/>
    <n v="1"/>
    <d v="2026-08-04T13:59:14"/>
    <d v="2026-08-04T13:59:14"/>
    <s v="Anthony Marshall"/>
    <s v="Email Available"/>
    <s v="anthony.marshall823@yahoo.com"/>
    <x v="6"/>
    <s v="Toys"/>
    <x v="7"/>
    <n v="2"/>
    <n v="27.99"/>
    <n v="27.99"/>
    <s v="FREESHIP"/>
    <s v="FREESHIP"/>
    <n v="0"/>
    <n v="0"/>
    <s v="Number"/>
    <n v="0"/>
    <n v="0"/>
    <s v="$55.98"/>
    <n v="55.98"/>
    <n v="55.98"/>
    <s v="True"/>
    <s v="Normal"/>
    <s v="Apple Pay"/>
    <s v="Online Store"/>
    <s v="fulfilled"/>
    <s v="United States"/>
    <s v="Ohio"/>
    <s v="Valid"/>
    <s v="Brianchester"/>
  </r>
  <r>
    <s v="#2956"/>
    <n v="1"/>
    <d v="2026-08-04T14:00:49"/>
    <d v="2026-08-04T14:00:49"/>
    <s v="  Ronald Stanley"/>
    <s v="Email Available"/>
    <s v="ronald.stanley7@yahoo.com"/>
    <x v="6"/>
    <s v="Toys"/>
    <x v="7"/>
    <n v="1"/>
    <n v="27.99"/>
    <n v="27.99"/>
    <s v="WELCOME10"/>
    <s v="WELCOME10"/>
    <n v="2.8"/>
    <n v="2.8"/>
    <s v="Number"/>
    <n v="7.99"/>
    <n v="7.99"/>
    <n v="33.18"/>
    <n v="33.18"/>
    <n v="33.18"/>
    <s v="True"/>
    <s v="Normal"/>
    <s v="Apple Pay"/>
    <s v="POS"/>
    <s v="fulfilled"/>
    <s v="United States"/>
    <s v="AZ"/>
    <s v="Valid"/>
    <s v="New Benjaminfort"/>
  </r>
  <r>
    <s v="#2960"/>
    <n v="1"/>
    <d v="2026-08-04T13:58:27"/>
    <d v="2026-08-04T13:58:27"/>
    <s v="Alan Davis"/>
    <s v="Email Available"/>
    <s v="alan.davis483@icloud.com"/>
    <x v="6"/>
    <s v="Toys"/>
    <x v="7"/>
    <n v="1"/>
    <n v="27.99"/>
    <n v="27.99"/>
    <s v="VIP15"/>
    <s v="VIP15"/>
    <n v="4.2"/>
    <n v="4.2"/>
    <s v="Number"/>
    <n v="5.99"/>
    <n v="5.99"/>
    <n v="29.78"/>
    <n v="29.78"/>
    <n v="29.78"/>
    <s v="True"/>
    <s v="Normal"/>
    <s v="Credit Card"/>
    <s v="Online Store"/>
    <s v="pending"/>
    <s v="Canada"/>
    <m/>
    <s v="Not Required"/>
    <s v="Port Mandyville"/>
  </r>
  <r>
    <s v="#3000"/>
    <n v="1"/>
    <d v="2026-08-04T14:02:45"/>
    <d v="2026-08-04T14:02:45"/>
    <s v="Stacey Johnson"/>
    <s v="Email Available"/>
    <s v="stacey.johnson95@gmail.com"/>
    <x v="6"/>
    <s v="Toys"/>
    <x v="7"/>
    <n v="1"/>
    <n v="27.99"/>
    <n v="27.99"/>
    <s v="VIP15"/>
    <s v="VIP15"/>
    <s v="$4.20"/>
    <n v="4.2"/>
    <s v="Number"/>
    <n v="7.99"/>
    <n v="7.99"/>
    <s v="$31.78"/>
    <n v="31.78"/>
    <n v="31.78"/>
    <s v="True"/>
    <s v="Normal"/>
    <s v="PayPal"/>
    <s v="Online Store"/>
    <s v="fulfilled"/>
    <s v="Germany"/>
    <m/>
    <s v="Not Required"/>
    <s v="Port Amy"/>
  </r>
  <r>
    <s v="#1010"/>
    <n v="1"/>
    <d v="2026-08-04T00:00:00"/>
    <s v="04-08-2026 14:06"/>
    <s v="Robert Miller"/>
    <s v="Email Available"/>
    <s v="robert.miller69@yahoo.com"/>
    <x v="7"/>
    <s v="Accessories"/>
    <x v="8"/>
    <n v="1"/>
    <n v="19.989999999999998"/>
    <n v="19.989999999999998"/>
    <s v="WELCOME10"/>
    <s v="WELCOME10"/>
    <n v="2"/>
    <n v="2"/>
    <s v="Number"/>
    <n v="4.99"/>
    <n v="4.99"/>
    <n v="22.98"/>
    <n v="22.98"/>
    <n v="22.979999999999997"/>
    <s v="True"/>
    <s v="Normal"/>
    <s v="PayPal"/>
    <s v="Online Store"/>
    <s v="refunded"/>
    <s v="Australia"/>
    <m/>
    <s v="Not Required"/>
    <s v="Ortizview"/>
  </r>
  <r>
    <s v="#1086"/>
    <n v="1"/>
    <d v="2026-08-04T13:57:52"/>
    <d v="2026-08-04T13:57:52"/>
    <s v="Joshua Chavez"/>
    <s v="Email Available"/>
    <s v="joshua.chavez332@outlook.com"/>
    <x v="7"/>
    <s v="Accessories"/>
    <x v="8"/>
    <n v="1"/>
    <s v="$19.99"/>
    <n v="19.989999999999998"/>
    <m/>
    <s v=""/>
    <n v="0"/>
    <n v="0"/>
    <s v="Number"/>
    <n v="4.99"/>
    <n v="4.99"/>
    <n v="24.98"/>
    <n v="24.98"/>
    <n v="24.979999999999997"/>
    <s v="True"/>
    <s v="Normal"/>
    <s v="PayPal"/>
    <s v="Facebook"/>
    <s v="fulfilled"/>
    <s v="United States"/>
    <s v="California"/>
    <s v="Valid"/>
    <s v="Newmanborough"/>
  </r>
  <r>
    <s v="#1087"/>
    <n v="1"/>
    <d v="2026-08-04T13:53:58"/>
    <d v="2026-08-04T13:53:58"/>
    <s v="Deborah Wilson"/>
    <s v="Email Available"/>
    <s v="deborah.wilson691@icloud.com"/>
    <x v="7"/>
    <s v="Accessories"/>
    <x v="8"/>
    <n v="2"/>
    <n v="19.989999999999998"/>
    <n v="19.989999999999998"/>
    <s v="VIP15"/>
    <s v="VIP15"/>
    <n v="6"/>
    <n v="6"/>
    <s v="Number"/>
    <n v="7.99"/>
    <n v="7.99"/>
    <s v="$41.97"/>
    <n v="41.97"/>
    <n v="41.97"/>
    <s v="True"/>
    <s v="Normal"/>
    <s v="Apple Pay"/>
    <s v="Online Store"/>
    <s v="refunded"/>
    <s v="United Kingdom"/>
    <m/>
    <s v="Not Required"/>
    <s v="Lake Gary"/>
  </r>
  <r>
    <s v="#1143"/>
    <n v="1"/>
    <d v="2026-08-04T14:06:32"/>
    <d v="2026-08-04T14:06:32"/>
    <s v="Donald Davis"/>
    <s v="Email Available"/>
    <s v="donald.davis404@icloud.com"/>
    <x v="7"/>
    <s v="Accessories"/>
    <x v="8"/>
    <n v="3"/>
    <n v="19.989999999999998"/>
    <n v="19.989999999999998"/>
    <s v="SAVE20"/>
    <s v="SAVE20"/>
    <n v="11.99"/>
    <n v="11.99"/>
    <s v="Number"/>
    <n v="5.99"/>
    <n v="5.99"/>
    <n v="53.97"/>
    <n v="53.97"/>
    <n v="53.97"/>
    <s v="True"/>
    <s v="Normal"/>
    <s v="Shopify Payments"/>
    <s v="Online Store"/>
    <s v="fulfilled"/>
    <s v="Canada"/>
    <m/>
    <s v="Not Required"/>
    <s v="Lake David"/>
  </r>
  <r>
    <s v="#1151"/>
    <n v="1"/>
    <d v="2026-08-04T13:59:32"/>
    <d v="2026-08-04T13:59:32"/>
    <s v="Amanda Robinson"/>
    <s v="Email Available"/>
    <s v="amanda.robinson263@icloud.com"/>
    <x v="7"/>
    <s v="Accessories"/>
    <x v="8"/>
    <n v="1"/>
    <n v="19.989999999999998"/>
    <n v="19.989999999999998"/>
    <s v="FREESHIP"/>
    <s v="FREESHIP"/>
    <n v="0"/>
    <n v="0"/>
    <s v="Number"/>
    <n v="0"/>
    <n v="0"/>
    <n v="19.989999999999998"/>
    <n v="19.989999999999998"/>
    <n v="19.989999999999998"/>
    <s v="True"/>
    <s v="Normal"/>
    <s v="PayPal"/>
    <s v="Online Store"/>
    <s v="cancelled"/>
    <s v="United States"/>
    <s v="Washington"/>
    <s v="Valid"/>
    <s v="Manuelview"/>
  </r>
  <r>
    <s v="#1172"/>
    <n v="1"/>
    <d v="2026-08-04T14:01:00"/>
    <d v="2026-08-04T14:01:00"/>
    <s v="Tina Singh"/>
    <s v="Email Available"/>
    <s v="tina.singh98@icloud.com"/>
    <x v="7"/>
    <s v="Accessories"/>
    <x v="8"/>
    <n v="1"/>
    <n v="19.989999999999998"/>
    <n v="19.989999999999998"/>
    <m/>
    <s v=""/>
    <n v="0"/>
    <n v="0"/>
    <s v="Number"/>
    <n v="5.99"/>
    <n v="5.99"/>
    <n v="25.98"/>
    <n v="25.98"/>
    <n v="25.979999999999997"/>
    <s v="True"/>
    <s v="Normal"/>
    <s v="Credit Card"/>
    <s v="Online Store"/>
    <s v="fulfilled"/>
    <s v="United States"/>
    <s v="Washington"/>
    <s v="Valid"/>
    <s v="East Heathertown"/>
  </r>
  <r>
    <s v="#1229"/>
    <n v="1"/>
    <d v="2026-08-04T14:05:50"/>
    <d v="2026-08-04T14:05:50"/>
    <s v="Randy Wheeler"/>
    <s v="Email Available"/>
    <s v="randy.wheeler304@icloud.com"/>
    <x v="7"/>
    <s v="Accessories"/>
    <x v="8"/>
    <n v="1"/>
    <n v="19.989999999999998"/>
    <n v="19.989999999999998"/>
    <m/>
    <s v=""/>
    <n v="0"/>
    <n v="0"/>
    <s v="Number"/>
    <n v="4.99"/>
    <n v="4.99"/>
    <s v="$24.98"/>
    <n v="24.98"/>
    <n v="24.979999999999997"/>
    <s v="True"/>
    <s v="Normal"/>
    <s v="Credit Card"/>
    <s v="Online Store"/>
    <s v="fulfilled"/>
    <s v="United States"/>
    <s v="North Carolina"/>
    <s v="Valid"/>
    <s v="East Michelleside"/>
  </r>
  <r>
    <s v="#1259"/>
    <n v="1"/>
    <d v="2026-08-04T14:01:00"/>
    <d v="2026-08-04T14:01:00"/>
    <s v="Erika Maxwell"/>
    <s v="Email Available"/>
    <s v="erika.maxwell281@gmail.com"/>
    <x v="7"/>
    <s v="Accessories"/>
    <x v="8"/>
    <n v="2"/>
    <n v="19.989999999999998"/>
    <n v="19.989999999999998"/>
    <m/>
    <s v=""/>
    <n v="0"/>
    <n v="0"/>
    <s v="Number"/>
    <n v="4.99"/>
    <n v="4.99"/>
    <n v="44.97"/>
    <n v="44.97"/>
    <n v="44.97"/>
    <s v="True"/>
    <s v="Normal"/>
    <s v="Google Pay"/>
    <s v="Online Store"/>
    <s v="cancelled"/>
    <s v="United States"/>
    <s v="Washington"/>
    <s v="Valid"/>
    <s v="Owensland"/>
  </r>
  <r>
    <s v="#1280"/>
    <n v="1"/>
    <d v="2026-08-04T13:59:59"/>
    <d v="2026-08-04T13:59:59"/>
    <s v="Corey Hudson"/>
    <s v="Email Available"/>
    <s v="corey.hudson168@gmail.com"/>
    <x v="7"/>
    <s v="Accessories"/>
    <x v="8"/>
    <n v="1"/>
    <n v="19.989999999999998"/>
    <n v="19.989999999999998"/>
    <s v="FREESHIP"/>
    <s v="FREESHIP"/>
    <n v="0"/>
    <n v="0"/>
    <s v="Number"/>
    <n v="0"/>
    <n v="0"/>
    <n v="19.989999999999998"/>
    <n v="19.989999999999998"/>
    <n v="19.989999999999998"/>
    <s v="True"/>
    <s v="Normal"/>
    <s v="PayPal"/>
    <s v="Online Store"/>
    <s v="fulfilled"/>
    <s v="United States"/>
    <s v="Georgia"/>
    <s v="Valid"/>
    <s v="Jonathanfort"/>
  </r>
  <r>
    <s v="#1284"/>
    <n v="1"/>
    <d v="2026-08-04T14:04:15"/>
    <d v="2026-08-04T14:04:15"/>
    <s v="Jesus Mason"/>
    <s v="Email Available"/>
    <s v="jesus.mason798@icloud.com"/>
    <x v="7"/>
    <s v="Accessories"/>
    <x v="8"/>
    <n v="4"/>
    <n v="19.989999999999998"/>
    <n v="19.989999999999998"/>
    <m/>
    <s v=""/>
    <n v="0"/>
    <n v="0"/>
    <s v="Number"/>
    <n v="0"/>
    <n v="0"/>
    <s v="$79.96"/>
    <n v="79.959999999999994"/>
    <n v="79.959999999999994"/>
    <s v="True"/>
    <s v="Normal"/>
    <s v="Apple Pay"/>
    <s v="Online Store"/>
    <s v="cancelled"/>
    <s v="United States"/>
    <s v="California"/>
    <s v="Valid"/>
    <s v="Kevinmouth"/>
  </r>
  <r>
    <s v="#1313"/>
    <n v="1"/>
    <d v="2026-08-04T00:00:00"/>
    <s v="04-08-2026 14:01"/>
    <s v="Joshua Owens"/>
    <s v="Email Available"/>
    <s v="joshua.owens56@icloud.com"/>
    <x v="7"/>
    <s v="Accessories"/>
    <x v="8"/>
    <n v="1"/>
    <s v="$19.99"/>
    <n v="19.989999999999998"/>
    <s v="VIP15"/>
    <s v="VIP15"/>
    <n v="3"/>
    <n v="3"/>
    <s v="Number"/>
    <n v="4.99"/>
    <n v="4.99"/>
    <n v="21.98"/>
    <n v="21.98"/>
    <n v="21.979999999999997"/>
    <s v="True"/>
    <s v="Normal"/>
    <s v="Shopify Payments"/>
    <s v="Online Store"/>
    <s v="cancelled"/>
    <s v="United States"/>
    <s v="North Carolina"/>
    <s v="Valid"/>
    <s v="West Raymondbury"/>
  </r>
  <r>
    <s v="#1399"/>
    <n v="1"/>
    <d v="2026-08-04T14:00:49"/>
    <d v="2026-08-04T14:00:49"/>
    <s v="vicki johnson"/>
    <s v="Email Available"/>
    <s v="vicki.johnson369@outlook.com"/>
    <x v="7"/>
    <s v="Accessories"/>
    <x v="8"/>
    <n v="1"/>
    <n v="19.989999999999998"/>
    <n v="19.989999999999998"/>
    <s v="FREESHIP"/>
    <s v="FREESHIP"/>
    <n v="0"/>
    <n v="0"/>
    <s v="Number"/>
    <n v="0"/>
    <n v="0"/>
    <n v="19.989999999999998"/>
    <n v="19.989999999999998"/>
    <n v="19.989999999999998"/>
    <s v="True"/>
    <s v="Normal"/>
    <s v="Google Pay"/>
    <s v="Instagram"/>
    <s v="fulfilled"/>
    <s v="Canada"/>
    <m/>
    <s v="Not Required"/>
    <s v="Jamesmouth"/>
  </r>
  <r>
    <s v="#1424"/>
    <n v="1"/>
    <d v="2026-08-04T14:01:12"/>
    <d v="2026-08-04T14:01:12"/>
    <s v="Patricia Townsend"/>
    <s v="Email Available"/>
    <s v="patricia.townsend96@yahoo.com"/>
    <x v="7"/>
    <s v="Accessories"/>
    <x v="8"/>
    <n v="1"/>
    <n v="19.989999999999998"/>
    <n v="19.989999999999998"/>
    <s v="WELCOME10"/>
    <s v="WELCOME10"/>
    <n v="2"/>
    <n v="2"/>
    <s v="Number"/>
    <n v="4.99"/>
    <n v="4.99"/>
    <n v="22.98"/>
    <n v="22.98"/>
    <n v="22.979999999999997"/>
    <s v="True"/>
    <s v="Normal"/>
    <s v="Shopify Payments"/>
    <s v="Online Store"/>
    <s v="fulfilled"/>
    <s v="United States"/>
    <s v="Georgia"/>
    <s v="Valid"/>
    <s v="Lisamouth"/>
  </r>
  <r>
    <s v="#1476"/>
    <n v="1"/>
    <d v="2026-08-04T14:00:56"/>
    <d v="2026-08-04T14:00:56"/>
    <s v="Lauren Nguyen"/>
    <s v="Email Available"/>
    <s v="lauren.nguyen819@outlook.com"/>
    <x v="7"/>
    <s v="Accessories"/>
    <x v="8"/>
    <n v="1"/>
    <n v="19.989999999999998"/>
    <n v="19.989999999999998"/>
    <s v="WELCOME10"/>
    <s v="WELCOME10"/>
    <n v="2"/>
    <n v="2"/>
    <s v="Number"/>
    <n v="7.99"/>
    <n v="7.99"/>
    <n v="25.98"/>
    <n v="25.98"/>
    <n v="25.979999999999997"/>
    <s v="True"/>
    <s v="Normal"/>
    <s v="Apple Pay"/>
    <s v="POS"/>
    <s v="fulfilled"/>
    <s v="United Kingdom"/>
    <m/>
    <s v="Not Required"/>
    <s v="Garzachester"/>
  </r>
  <r>
    <s v="#1486"/>
    <n v="1"/>
    <d v="2026-08-04T14:02:07"/>
    <d v="2026-08-04T14:02:07"/>
    <s v="Glenn Smith"/>
    <s v="Email Available"/>
    <s v="glenn.smith305@gmail.com"/>
    <x v="7"/>
    <s v="Accessories"/>
    <x v="8"/>
    <n v="3"/>
    <n v="19.989999999999998"/>
    <n v="19.989999999999998"/>
    <s v="FREESHIP"/>
    <s v="FREESHIP"/>
    <n v="0"/>
    <n v="0"/>
    <s v="Number"/>
    <n v="0"/>
    <n v="0"/>
    <n v="59.97"/>
    <n v="59.97"/>
    <n v="59.97"/>
    <s v="True"/>
    <s v="Normal"/>
    <s v="PayPal"/>
    <s v="POS"/>
    <s v="fulfilled"/>
    <s v="Canada"/>
    <m/>
    <s v="Not Required"/>
    <s v="Markport"/>
  </r>
  <r>
    <s v="#1540"/>
    <n v="1"/>
    <d v="2026-08-04T14:07:01"/>
    <d v="2026-08-04T14:07:01"/>
    <s v="Natalie Dixon"/>
    <s v="Email Available"/>
    <s v="natalie.dixon388@outlook.com"/>
    <x v="7"/>
    <s v="Accessories"/>
    <x v="8"/>
    <n v="1"/>
    <n v="19.989999999999998"/>
    <n v="19.989999999999998"/>
    <s v="VIP15"/>
    <s v="VIP15"/>
    <n v="3"/>
    <n v="3"/>
    <s v="Number"/>
    <n v="4.99"/>
    <n v="4.99"/>
    <n v="21.98"/>
    <n v="21.98"/>
    <n v="21.979999999999997"/>
    <s v="True"/>
    <s v="Normal"/>
    <s v="Google Pay"/>
    <s v="Online Store"/>
    <s v="refunded"/>
    <s v="United States"/>
    <s v="Canada"/>
    <s v="Valid"/>
    <s v="Port Richardfurt"/>
  </r>
  <r>
    <s v="#1607"/>
    <n v="1"/>
    <d v="2026-08-04T14:02:11"/>
    <d v="2026-08-04T14:02:11"/>
    <s v="Brooke Crawford"/>
    <s v="Email Available"/>
    <s v="brooke.crawford896@outlook.com"/>
    <x v="7"/>
    <s v="Accessories"/>
    <x v="8"/>
    <n v="1"/>
    <n v="19.989999999999998"/>
    <n v="19.989999999999998"/>
    <m/>
    <s v=""/>
    <n v="0"/>
    <n v="0"/>
    <s v="Number"/>
    <n v="4.99"/>
    <n v="4.99"/>
    <n v="24.98"/>
    <n v="24.98"/>
    <n v="24.979999999999997"/>
    <s v="True"/>
    <s v="Normal"/>
    <s v="Shopify Payments"/>
    <s v="Facebook"/>
    <s v="cancelled"/>
    <s v="Pakistan"/>
    <m/>
    <s v="Not Required"/>
    <s v="Allentown"/>
  </r>
  <r>
    <s v="#1612"/>
    <n v="1"/>
    <d v="2026-08-04T14:05:18"/>
    <d v="2026-08-04T14:05:18"/>
    <s v="Timothy Weaver"/>
    <s v="Email Available"/>
    <s v="timothy.weaver591@gmail.com"/>
    <x v="7"/>
    <s v="Accessories"/>
    <x v="8"/>
    <n v="2"/>
    <n v="19.989999999999998"/>
    <n v="19.989999999999998"/>
    <m/>
    <s v=""/>
    <n v="0"/>
    <n v="0"/>
    <s v="Number"/>
    <n v="7.99"/>
    <n v="7.99"/>
    <n v="47.97"/>
    <n v="47.97"/>
    <n v="47.97"/>
    <s v="True"/>
    <s v="Normal"/>
    <s v="Apple Pay"/>
    <s v="POS"/>
    <s v="refunded"/>
    <s v="Australia"/>
    <m/>
    <s v="Not Required"/>
    <s v="Billyton"/>
  </r>
  <r>
    <s v="#1633"/>
    <n v="1"/>
    <d v="2026-08-04T13:58:56"/>
    <d v="2026-08-04T13:58:56"/>
    <s v="Gloria Ballard"/>
    <s v="Email Available"/>
    <s v="gloria.ballard194@outlook.com"/>
    <x v="7"/>
    <s v="Accessories"/>
    <x v="8"/>
    <n v="1"/>
    <n v="19.989999999999998"/>
    <n v="19.989999999999998"/>
    <s v="VIP15"/>
    <s v="VIP15"/>
    <n v="3"/>
    <n v="3"/>
    <s v="Number"/>
    <n v="5.99"/>
    <n v="5.99"/>
    <n v="22.98"/>
    <n v="22.98"/>
    <n v="22.979999999999997"/>
    <s v="True"/>
    <s v="Normal"/>
    <s v="Credit Card"/>
    <s v="Instagram"/>
    <s v="refunded"/>
    <s v="Germany"/>
    <m/>
    <s v="Not Required"/>
    <s v="East Jenniferport"/>
  </r>
  <r>
    <s v="#1703"/>
    <n v="1"/>
    <d v="2026-08-04T13:57:19"/>
    <d v="2026-08-04T13:57:19"/>
    <s v="Luke Keller"/>
    <s v="Email Available"/>
    <s v="luke.keller471@icloud.com"/>
    <x v="7"/>
    <s v="Accessories"/>
    <x v="8"/>
    <n v="1"/>
    <n v="19.989999999999998"/>
    <n v="19.989999999999998"/>
    <s v="FREESHIP"/>
    <s v="FREESHIP"/>
    <n v="0"/>
    <n v="0"/>
    <s v="Number"/>
    <n v="0"/>
    <n v="0"/>
    <n v="19.989999999999998"/>
    <n v="19.989999999999998"/>
    <n v="19.989999999999998"/>
    <s v="True"/>
    <s v="Normal"/>
    <s v="Shopify Payments"/>
    <s v="Instagram"/>
    <s v="pending"/>
    <s v="United States"/>
    <s v="Georgia"/>
    <s v="Valid"/>
    <s v="Port Crystalmouth"/>
  </r>
  <r>
    <s v="#1705"/>
    <n v="1"/>
    <d v="2026-08-04T13:59:37"/>
    <d v="2026-08-04T13:59:37"/>
    <s v="Sandra Wilson"/>
    <s v="Missing Email"/>
    <m/>
    <x v="7"/>
    <s v="Accessories"/>
    <x v="8"/>
    <n v="1"/>
    <n v="19.989999999999998"/>
    <n v="19.989999999999998"/>
    <s v="VIP15"/>
    <s v="VIP15"/>
    <n v="3"/>
    <n v="3"/>
    <s v="Number"/>
    <n v="4.99"/>
    <n v="4.99"/>
    <n v="21.98"/>
    <n v="21.98"/>
    <n v="21.979999999999997"/>
    <s v="True"/>
    <s v="Normal"/>
    <s v="Google Pay"/>
    <s v="Online Store"/>
    <s v="fulfilled"/>
    <s v="Canada"/>
    <m/>
    <s v="Not Required"/>
    <s v="Erichaven"/>
  </r>
  <r>
    <s v="#1708"/>
    <n v="1"/>
    <d v="2026-08-04T14:07:09"/>
    <d v="2026-08-04T14:07:09"/>
    <s v="William Houston"/>
    <s v="Email Available"/>
    <s v="william.houston340@outlook.com"/>
    <x v="7"/>
    <s v="Accessories"/>
    <x v="8"/>
    <n v="1"/>
    <n v="19.989999999999998"/>
    <n v="19.989999999999998"/>
    <m/>
    <s v=""/>
    <n v="0"/>
    <n v="0"/>
    <s v="Number"/>
    <n v="7.99"/>
    <n v="7.99"/>
    <n v="27.98"/>
    <n v="27.98"/>
    <n v="27.979999999999997"/>
    <s v="True"/>
    <s v="Normal"/>
    <s v="Shopify Payments"/>
    <s v="Online Store"/>
    <s v="refunded"/>
    <s v="United States"/>
    <s v="TX"/>
    <s v="Valid"/>
    <s v="Mariaport"/>
  </r>
  <r>
    <s v="#1771"/>
    <n v="1"/>
    <d v="2026-08-04T14:06:36"/>
    <d v="2026-08-04T14:06:36"/>
    <s v="Adam Krause"/>
    <s v="Email Available"/>
    <s v="adam.krause31@yahoo.com"/>
    <x v="7"/>
    <s v="Accessories"/>
    <x v="8"/>
    <n v="1"/>
    <n v="19.989999999999998"/>
    <n v="19.989999999999998"/>
    <m/>
    <s v=""/>
    <n v="0"/>
    <n v="0"/>
    <s v="Number"/>
    <n v="5.99"/>
    <n v="5.99"/>
    <s v="$25.98"/>
    <n v="25.98"/>
    <n v="25.979999999999997"/>
    <s v="True"/>
    <s v="Normal"/>
    <s v="PayPal"/>
    <s v="Online Store"/>
    <s v="refunded"/>
    <s v="United States"/>
    <s v="Illinois"/>
    <s v="Valid"/>
    <s v="East Aaron"/>
  </r>
  <r>
    <s v="#1787"/>
    <n v="1"/>
    <d v="2026-08-04T14:07:21"/>
    <d v="2026-08-04T14:07:21"/>
    <s v="Sandra Wilson"/>
    <s v="Email Available"/>
    <s v="sandra.wilson554@outlook.com"/>
    <x v="7"/>
    <s v="Accessories"/>
    <x v="8"/>
    <n v="1"/>
    <n v="19.989999999999998"/>
    <n v="19.989999999999998"/>
    <m/>
    <s v=""/>
    <n v="0"/>
    <n v="0"/>
    <s v="Number"/>
    <n v="4.99"/>
    <n v="4.99"/>
    <n v="24.98"/>
    <n v="24.98"/>
    <n v="24.979999999999997"/>
    <s v="True"/>
    <s v="Normal"/>
    <s v="Shopify Payments"/>
    <s v="Online Store"/>
    <s v="fulfilled"/>
    <s v="Canada"/>
    <m/>
    <s v="Not Required"/>
    <s v="New Melissashire"/>
  </r>
  <r>
    <s v="#1834"/>
    <n v="1"/>
    <d v="2026-08-04T14:06:45"/>
    <d v="2026-08-04T14:06:45"/>
    <s v="Natalie Dixon"/>
    <s v="Email Available"/>
    <s v="natalie.dixon388@outlook.com"/>
    <x v="7"/>
    <s v="Accessories"/>
    <x v="8"/>
    <n v="4"/>
    <n v="19.989999999999998"/>
    <n v="19.989999999999998"/>
    <m/>
    <s v=""/>
    <n v="0"/>
    <n v="0"/>
    <s v="Number"/>
    <n v="0"/>
    <n v="0"/>
    <n v="79.959999999999994"/>
    <n v="79.959999999999994"/>
    <n v="79.959999999999994"/>
    <s v="True"/>
    <s v="Normal"/>
    <s v="PayPal"/>
    <s v="Facebook"/>
    <s v="fulfilled"/>
    <s v="United States"/>
    <s v="TX"/>
    <s v="Valid"/>
    <s v="Jennyfurt"/>
  </r>
  <r>
    <s v="#1862"/>
    <n v="1"/>
    <d v="2026-08-04T13:57:23"/>
    <d v="2026-08-04T13:57:23"/>
    <s v="Jennifer Burke"/>
    <s v="Email Available"/>
    <s v="jennifer.burke472@icloud.com"/>
    <x v="7"/>
    <s v="Accessories"/>
    <x v="8"/>
    <n v="1"/>
    <n v="19.989999999999998"/>
    <n v="19.989999999999998"/>
    <m/>
    <s v=""/>
    <n v="0"/>
    <n v="0"/>
    <s v="Number"/>
    <n v="7.99"/>
    <n v="7.99"/>
    <n v="27.98"/>
    <n v="27.98"/>
    <n v="27.979999999999997"/>
    <s v="True"/>
    <s v="Normal"/>
    <s v="Google Pay"/>
    <s v="POS"/>
    <s v="fulfilled"/>
    <s v="Pakistan"/>
    <m/>
    <s v="Not Required"/>
    <s v="Port Jason"/>
  </r>
  <r>
    <s v="#1896"/>
    <n v="1"/>
    <d v="2026-04-08T00:00:00"/>
    <s v="08/04/2026"/>
    <s v="Linda Scott"/>
    <s v="Email Available"/>
    <s v="linda.scott2@icloud.com"/>
    <x v="7"/>
    <s v="Accessories"/>
    <x v="8"/>
    <n v="1"/>
    <n v="19.989999999999998"/>
    <n v="19.989999999999998"/>
    <s v="BFCM25"/>
    <s v="BFCM25"/>
    <n v="5"/>
    <n v="5"/>
    <s v="Number"/>
    <n v="7.99"/>
    <n v="7.99"/>
    <n v="22.98"/>
    <n v="22.98"/>
    <n v="22.979999999999997"/>
    <s v="True"/>
    <s v="Normal"/>
    <s v="Credit Card"/>
    <s v="POS"/>
    <s v="refunded"/>
    <s v="Canada"/>
    <m/>
    <s v="Not Required"/>
    <s v="Lake Brentland"/>
  </r>
  <r>
    <s v="#1898"/>
    <n v="1"/>
    <d v="2026-08-04T14:01:57"/>
    <d v="2026-08-04T14:01:57"/>
    <s v="David Hayden"/>
    <s v="Email Available"/>
    <s v="david.hayden411@outlook.com"/>
    <x v="7"/>
    <s v="Accessories"/>
    <x v="8"/>
    <n v="1"/>
    <n v="19.989999999999998"/>
    <n v="19.989999999999998"/>
    <m/>
    <s v=""/>
    <n v="0"/>
    <n v="0"/>
    <s v="Number"/>
    <n v="5.99"/>
    <n v="5.99"/>
    <n v="25.98"/>
    <n v="25.98"/>
    <n v="25.979999999999997"/>
    <s v="True"/>
    <s v="Normal"/>
    <s v="Shopify Payments"/>
    <s v="Instagram"/>
    <s v="fulfilled"/>
    <s v="Australia"/>
    <m/>
    <s v="Not Required"/>
    <s v="Westfurt"/>
  </r>
  <r>
    <s v="#1904"/>
    <n v="1"/>
    <d v="2026-04-08T00:00:00"/>
    <s v="08/04/2026"/>
    <s v="christopher osborne"/>
    <s v="Email Available"/>
    <s v="christopher.osborne481@yahoo.com"/>
    <x v="7"/>
    <s v="Accessories"/>
    <x v="8"/>
    <n v="1"/>
    <n v="19.989999999999998"/>
    <n v="19.989999999999998"/>
    <m/>
    <s v=""/>
    <n v="0"/>
    <n v="0"/>
    <s v="Number"/>
    <n v="7.99"/>
    <n v="7.99"/>
    <n v="27.98"/>
    <n v="27.98"/>
    <n v="27.979999999999997"/>
    <s v="True"/>
    <s v="Normal"/>
    <s v="Credit Card"/>
    <s v="POS"/>
    <s v="fulfilled"/>
    <s v="United States"/>
    <s v="Canada"/>
    <s v="Valid"/>
    <s v="West Adamport"/>
  </r>
  <r>
    <s v="#1940"/>
    <n v="1"/>
    <d v="2026-08-04T14:05:10"/>
    <d v="2026-08-04T14:05:10"/>
    <s v="Andrew Wheeler"/>
    <s v="Email Available"/>
    <s v="andrew.wheeler379@yahoo.com"/>
    <x v="7"/>
    <s v="Accessories"/>
    <x v="8"/>
    <n v="1"/>
    <n v="19.989999999999998"/>
    <n v="19.989999999999998"/>
    <s v="VIP15"/>
    <s v="VIP15"/>
    <n v="3"/>
    <n v="3"/>
    <s v="Number"/>
    <n v="7.99"/>
    <n v="7.99"/>
    <n v="24.98"/>
    <n v="24.98"/>
    <n v="24.979999999999997"/>
    <s v="True"/>
    <s v="Normal"/>
    <s v="Google Pay"/>
    <s v="Facebook"/>
    <s v="pending"/>
    <s v="United States"/>
    <s v="New York"/>
    <s v="Valid"/>
    <s v="New Chad"/>
  </r>
  <r>
    <s v="#1943"/>
    <n v="1"/>
    <d v="2026-08-04T13:55:41"/>
    <d v="2026-08-04T13:55:41"/>
    <s v="William Young"/>
    <s v="Email Available"/>
    <s v="william.young346@outlook.com"/>
    <x v="7"/>
    <s v="Accessories"/>
    <x v="8"/>
    <n v="1"/>
    <n v="19.989999999999998"/>
    <n v="19.989999999999998"/>
    <s v="FREESHIP"/>
    <s v="FREESHIP"/>
    <n v="0"/>
    <n v="0"/>
    <s v="Number"/>
    <n v="0"/>
    <n v="0"/>
    <s v="$19.99"/>
    <n v="19.989999999999998"/>
    <n v="19.989999999999998"/>
    <s v="True"/>
    <s v="Normal"/>
    <s v="Credit Card"/>
    <s v="Facebook"/>
    <s v="pending"/>
    <s v="United States"/>
    <s v="New York"/>
    <s v="Valid"/>
    <s v="Martinezmouth"/>
  </r>
  <r>
    <s v="#2030"/>
    <n v="1"/>
    <d v="2026-08-04T13:56:04"/>
    <d v="2026-08-04T13:56:04"/>
    <s v="Charles Franco"/>
    <s v="Email Available"/>
    <s v="charles.franco761@outlook.com"/>
    <x v="7"/>
    <s v="Accessories"/>
    <x v="8"/>
    <n v="2"/>
    <n v="19.989999999999998"/>
    <n v="19.989999999999998"/>
    <m/>
    <s v=""/>
    <n v="0"/>
    <n v="0"/>
    <s v="Number"/>
    <n v="5.99"/>
    <n v="5.99"/>
    <n v="45.97"/>
    <n v="45.97"/>
    <n v="45.97"/>
    <s v="True"/>
    <s v="Normal"/>
    <s v="Google Pay"/>
    <s v="Online Store"/>
    <s v="fulfilled"/>
    <s v="United States"/>
    <s v="Florida"/>
    <s v="Valid"/>
    <s v="Alexanderville"/>
  </r>
  <r>
    <s v="#2074"/>
    <n v="1"/>
    <d v="2026-08-04T14:07:28"/>
    <d v="2026-08-04T14:07:28"/>
    <s v="Carrie Boyd"/>
    <s v="Email Available"/>
    <s v="carrie.boyd968@gmail.com"/>
    <x v="7"/>
    <s v="Accessories"/>
    <x v="8"/>
    <n v="1"/>
    <n v="19.989999999999998"/>
    <n v="19.989999999999998"/>
    <m/>
    <s v=""/>
    <n v="0"/>
    <n v="0"/>
    <s v="Number"/>
    <n v="5.99"/>
    <n v="5.99"/>
    <n v="25.98"/>
    <n v="25.98"/>
    <n v="25.979999999999997"/>
    <s v="True"/>
    <s v="Normal"/>
    <s v="Google Pay"/>
    <s v="Online Store"/>
    <s v="fulfilled"/>
    <s v="United States"/>
    <s v="Illinois"/>
    <s v="Valid"/>
    <s v="Allenport"/>
  </r>
  <r>
    <s v="#2096"/>
    <n v="1"/>
    <d v="2026-04-08T00:00:00"/>
    <s v="08/04/2026"/>
    <s v="Bryan, Cynthia"/>
    <s v="Email Available"/>
    <s v="cynthia.bryan502@icloud.com"/>
    <x v="7"/>
    <s v="Accessories"/>
    <x v="8"/>
    <n v="2"/>
    <n v="19.989999999999998"/>
    <n v="19.989999999999998"/>
    <m/>
    <s v=""/>
    <n v="0"/>
    <n v="0"/>
    <s v="Number"/>
    <n v="7.99"/>
    <n v="7.99"/>
    <n v="47.97"/>
    <n v="47.97"/>
    <n v="47.97"/>
    <s v="True"/>
    <s v="Normal"/>
    <s v="Credit Card"/>
    <s v="Online Store"/>
    <s v="fulfilled"/>
    <s v="United States"/>
    <s v="Illinois"/>
    <s v="Valid"/>
    <s v="Hendersonville"/>
  </r>
  <r>
    <s v="#2131"/>
    <n v="1"/>
    <d v="2026-08-04T14:05:49"/>
    <d v="2026-08-04T14:05:49"/>
    <s v="Amanda Rodriguez"/>
    <s v="Email Available"/>
    <s v="amanda.rodriguez770@yahoo.com"/>
    <x v="7"/>
    <s v="Accessories"/>
    <x v="8"/>
    <n v="1"/>
    <n v="19.989999999999998"/>
    <n v="19.989999999999998"/>
    <s v="SAVE20"/>
    <s v="SAVE20"/>
    <n v="4"/>
    <n v="4"/>
    <s v="Number"/>
    <n v="5.99"/>
    <n v="5.99"/>
    <n v="21.98"/>
    <n v="21.98"/>
    <n v="21.979999999999997"/>
    <s v="True"/>
    <s v="Normal"/>
    <s v="Apple Pay"/>
    <s v="Online Store"/>
    <s v="refunded"/>
    <s v="United States"/>
    <s v="Washington"/>
    <s v="Valid"/>
    <s v="New Cynthia"/>
  </r>
  <r>
    <s v="#2155"/>
    <n v="1"/>
    <d v="2026-08-04T14:01:49"/>
    <d v="2026-08-04T14:01:49"/>
    <s v="Christopher Lopez"/>
    <s v="Missing Email"/>
    <m/>
    <x v="7"/>
    <s v="Accessories"/>
    <x v="8"/>
    <n v="2"/>
    <n v="19.989999999999998"/>
    <n v="19.989999999999998"/>
    <s v="BFCM25"/>
    <s v="BFCM25"/>
    <n v="9.99"/>
    <n v="9.99"/>
    <s v="Number"/>
    <n v="7.99"/>
    <n v="7.99"/>
    <n v="37.979999999999997"/>
    <n v="37.979999999999997"/>
    <n v="37.979999999999997"/>
    <s v="True"/>
    <s v="Normal"/>
    <s v="Shopify Payments"/>
    <s v="POS"/>
    <s v="cancelled"/>
    <s v="Pakistan"/>
    <m/>
    <s v="Not Required"/>
    <s v="New Annamouth"/>
  </r>
  <r>
    <s v="#2188"/>
    <n v="1"/>
    <d v="2026-08-04T14:04:27"/>
    <d v="2026-08-04T14:04:27"/>
    <s v="Thomas Rojas"/>
    <s v="Email Available"/>
    <s v="thomas.rojas667@icloud.com"/>
    <x v="7"/>
    <s v="Accessories"/>
    <x v="8"/>
    <n v="2"/>
    <n v="19.989999999999998"/>
    <n v="19.989999999999998"/>
    <m/>
    <s v=""/>
    <n v="0"/>
    <n v="0"/>
    <s v="Number"/>
    <n v="7.99"/>
    <n v="7.99"/>
    <n v="47.97"/>
    <n v="47.97"/>
    <n v="47.97"/>
    <s v="True"/>
    <s v="Normal"/>
    <s v="Credit Card"/>
    <s v="Facebook"/>
    <s v="fulfilled"/>
    <s v="United States"/>
    <s v="Georgia"/>
    <s v="Valid"/>
    <s v="Rodriguezbury"/>
  </r>
  <r>
    <s v="#2205"/>
    <n v="1"/>
    <d v="2026-08-04T14:04:10"/>
    <d v="2026-08-04T14:04:10"/>
    <s v="Rebecca Watts"/>
    <s v="Email Available"/>
    <s v="rebecca.watts779@gmail.com"/>
    <x v="7"/>
    <s v="Accessories"/>
    <x v="8"/>
    <n v="1"/>
    <n v="19.989999999999998"/>
    <n v="19.989999999999998"/>
    <s v="SAVE20"/>
    <s v="SAVE20"/>
    <n v="4"/>
    <n v="4"/>
    <s v="Number"/>
    <n v="5.99"/>
    <n v="5.99"/>
    <n v="21.98"/>
    <n v="21.98"/>
    <n v="21.979999999999997"/>
    <s v="True"/>
    <s v="Normal"/>
    <s v="PayPal"/>
    <s v="Facebook"/>
    <s v="fulfilled"/>
    <s v="United States"/>
    <s v="Arizona"/>
    <s v="Valid"/>
    <s v="New Thomaston"/>
  </r>
  <r>
    <s v="#2220"/>
    <n v="1"/>
    <d v="2026-08-04T14:07:26"/>
    <d v="2026-08-04T14:07:26"/>
    <s v="Brian Shaffer"/>
    <s v="Email Available"/>
    <s v="brian.shaffer90@yahoo.com"/>
    <x v="7"/>
    <s v="Accessories"/>
    <x v="8"/>
    <n v="1"/>
    <n v="19.989999999999998"/>
    <n v="19.989999999999998"/>
    <m/>
    <s v=""/>
    <n v="0"/>
    <n v="0"/>
    <s v="Number"/>
    <n v="5.99"/>
    <n v="5.99"/>
    <n v="25.98"/>
    <n v="25.98"/>
    <n v="25.979999999999997"/>
    <s v="True"/>
    <s v="Normal"/>
    <s v="Credit Card"/>
    <s v="Online Store"/>
    <s v="fulfilled"/>
    <s v="United States"/>
    <s v="California"/>
    <s v="Valid"/>
    <s v="East Williamport"/>
  </r>
  <r>
    <s v="#2224"/>
    <n v="1"/>
    <d v="2026-08-04T14:00:44"/>
    <d v="2026-08-04T14:00:44"/>
    <s v="Jasmine Parker"/>
    <s v="Email Available"/>
    <s v="jasmine.parker47@icloud.com"/>
    <x v="7"/>
    <s v="Accessories"/>
    <x v="8"/>
    <n v="2"/>
    <n v="19.989999999999998"/>
    <n v="19.989999999999998"/>
    <s v="BFCM25"/>
    <s v="BFCM25"/>
    <n v="9.99"/>
    <n v="9.99"/>
    <s v="Number"/>
    <n v="7.99"/>
    <n v="7.99"/>
    <n v="37.979999999999997"/>
    <n v="37.979999999999997"/>
    <n v="37.979999999999997"/>
    <s v="True"/>
    <s v="Normal"/>
    <s v="PayPal"/>
    <s v="Facebook"/>
    <s v="fulfilled"/>
    <s v="Pakistan"/>
    <m/>
    <s v="Not Required"/>
    <s v="East Jennifer"/>
  </r>
  <r>
    <s v="#2241"/>
    <n v="1"/>
    <d v="2026-08-04T13:56:10"/>
    <d v="2026-08-04T13:56:10"/>
    <s v="Kayla Morris"/>
    <s v="Email Available"/>
    <s v="kayla.morris339@outlook.com"/>
    <x v="7"/>
    <s v="Accessories"/>
    <x v="8"/>
    <n v="1"/>
    <n v="19.989999999999998"/>
    <n v="19.989999999999998"/>
    <m/>
    <s v=""/>
    <n v="0"/>
    <n v="0"/>
    <s v="Number"/>
    <n v="4.99"/>
    <n v="4.99"/>
    <s v="$24.98"/>
    <n v="24.98"/>
    <n v="24.979999999999997"/>
    <s v="True"/>
    <s v="Normal"/>
    <s v="Credit Card"/>
    <s v="POS"/>
    <s v="pending"/>
    <s v="Canada"/>
    <m/>
    <s v="Not Required"/>
    <s v="South Thomas"/>
  </r>
  <r>
    <s v="#2242"/>
    <n v="1"/>
    <d v="2026-08-04T13:54:59"/>
    <d v="2026-08-04T13:54:59"/>
    <s v="James Castro"/>
    <s v="Email Available"/>
    <s v="james.castro923@icloud.com"/>
    <x v="7"/>
    <s v="Accessories"/>
    <x v="8"/>
    <n v="1"/>
    <n v="19.989999999999998"/>
    <n v="19.989999999999998"/>
    <s v="VIP15"/>
    <s v="VIP15"/>
    <n v="3"/>
    <n v="3"/>
    <s v="Number"/>
    <n v="7.99"/>
    <n v="7.99"/>
    <n v="24.98"/>
    <n v="24.98"/>
    <n v="24.979999999999997"/>
    <s v="True"/>
    <s v="Normal"/>
    <s v="Credit Card"/>
    <s v="POS"/>
    <s v="cancelled"/>
    <s v="Pakistan"/>
    <m/>
    <s v="Not Required"/>
    <s v="Bishopland"/>
  </r>
  <r>
    <s v="#2247"/>
    <n v="1"/>
    <d v="2026-08-04T13:57:50"/>
    <d v="2026-08-04T13:57:50"/>
    <s v="Timothy Sanchez"/>
    <s v="Missing Email"/>
    <m/>
    <x v="7"/>
    <s v="Accessories"/>
    <x v="8"/>
    <n v="1"/>
    <n v="19.989999999999998"/>
    <n v="19.989999999999998"/>
    <m/>
    <s v=""/>
    <n v="0"/>
    <n v="0"/>
    <s v="Number"/>
    <n v="5.99"/>
    <n v="5.99"/>
    <s v="$25.98"/>
    <n v="25.98"/>
    <n v="25.979999999999997"/>
    <s v="True"/>
    <s v="Normal"/>
    <s v="Credit Card"/>
    <s v="Online Store"/>
    <s v="cancelled"/>
    <s v="United States"/>
    <s v="Arizona"/>
    <s v="Valid"/>
    <s v="Walkershire"/>
  </r>
  <r>
    <s v="#2260"/>
    <n v="1"/>
    <d v="2026-08-04T13:56:15"/>
    <d v="2026-08-04T13:56:15"/>
    <s v="  Stacey Johnson"/>
    <s v="Email Available"/>
    <s v="stacey.johnson95@gmail.com"/>
    <x v="7"/>
    <s v="Accessories"/>
    <x v="8"/>
    <n v="1"/>
    <n v="19.989999999999998"/>
    <n v="19.989999999999998"/>
    <s v="BFCM25"/>
    <s v="BFCM25"/>
    <n v="5"/>
    <n v="5"/>
    <s v="Number"/>
    <n v="5.99"/>
    <n v="5.99"/>
    <n v="20.98"/>
    <n v="20.98"/>
    <n v="20.979999999999997"/>
    <s v="True"/>
    <s v="Normal"/>
    <s v="Credit Card"/>
    <s v="Instagram"/>
    <s v="refunded"/>
    <s v="Germany"/>
    <m/>
    <s v="Not Required"/>
    <s v="Simonchester"/>
  </r>
  <r>
    <s v="#2386"/>
    <n v="1"/>
    <d v="2026-08-04T13:58:05"/>
    <d v="2026-08-04T13:58:05"/>
    <s v="Donald Davis"/>
    <s v="Email Available"/>
    <s v="donald.davis404@icloud.com"/>
    <x v="7"/>
    <s v="Accessories"/>
    <x v="8"/>
    <n v="1"/>
    <n v="19.989999999999998"/>
    <n v="19.989999999999998"/>
    <s v="BFCM25"/>
    <s v="BFCM25"/>
    <n v="5"/>
    <n v="5"/>
    <s v="Number"/>
    <n v="5.99"/>
    <n v="5.99"/>
    <n v="20.98"/>
    <n v="20.98"/>
    <n v="20.979999999999997"/>
    <s v="True"/>
    <s v="Normal"/>
    <s v="Shopify Payments"/>
    <s v="POS"/>
    <s v="refunded"/>
    <s v="Canada"/>
    <m/>
    <s v="Not Required"/>
    <s v="West Katherine"/>
  </r>
  <r>
    <s v="#2393"/>
    <n v="1"/>
    <d v="2026-08-04T00:00:00"/>
    <s v="2026-08-04"/>
    <s v="BRYAN BARNES"/>
    <s v="Email Available"/>
    <s v="bryan.barnes666@yahoo.com"/>
    <x v="7"/>
    <s v="Accessories"/>
    <x v="8"/>
    <n v="1"/>
    <n v="19.989999999999998"/>
    <n v="19.989999999999998"/>
    <s v="SAVE20"/>
    <s v="SAVE20"/>
    <n v="4"/>
    <n v="4"/>
    <s v="Number"/>
    <n v="7.99"/>
    <n v="7.99"/>
    <n v="23.98"/>
    <n v="23.98"/>
    <n v="23.979999999999997"/>
    <s v="True"/>
    <s v="Normal"/>
    <s v="Google Pay"/>
    <s v="Online Store"/>
    <s v="pending"/>
    <s v="United States"/>
    <s v="Illinois"/>
    <s v="Valid"/>
    <s v="South Angel"/>
  </r>
  <r>
    <s v="#2416"/>
    <n v="1"/>
    <d v="2026-08-04T14:03:27"/>
    <d v="2026-08-04T14:03:27"/>
    <s v="Aimee Smith"/>
    <s v="Email Available"/>
    <s v="aimee.smith857@icloud.com"/>
    <x v="7"/>
    <s v="Accessories"/>
    <x v="8"/>
    <n v="2"/>
    <n v="19.989999999999998"/>
    <n v="19.989999999999998"/>
    <m/>
    <s v=""/>
    <n v="0"/>
    <n v="0"/>
    <s v="Number"/>
    <n v="7.99"/>
    <n v="7.99"/>
    <n v="47.97"/>
    <n v="47.97"/>
    <n v="47.97"/>
    <s v="True"/>
    <s v="Normal"/>
    <s v="Credit Card"/>
    <s v="Online Store"/>
    <s v="refunded"/>
    <s v="United Kingdom"/>
    <m/>
    <s v="Not Required"/>
    <s v="East Robertburgh"/>
  </r>
  <r>
    <s v="#2466"/>
    <n v="1"/>
    <d v="2026-08-04T13:55:12"/>
    <d v="2026-08-04T13:55:12"/>
    <s v="Sandra Wilson"/>
    <s v="Missing Email"/>
    <m/>
    <x v="7"/>
    <s v="Accessories"/>
    <x v="8"/>
    <n v="2"/>
    <n v="19.989999999999998"/>
    <n v="19.989999999999998"/>
    <s v="BFCM25"/>
    <s v="BFCM25"/>
    <n v="9.99"/>
    <n v="9.99"/>
    <s v="Number"/>
    <n v="5.99"/>
    <n v="5.99"/>
    <n v="35.979999999999997"/>
    <n v="35.979999999999997"/>
    <n v="35.979999999999997"/>
    <s v="True"/>
    <s v="Normal"/>
    <s v="PayPal"/>
    <s v="Online Store"/>
    <s v="fulfilled"/>
    <s v="Canada"/>
    <m/>
    <s v="Not Required"/>
    <s v="Port Haydentown"/>
  </r>
  <r>
    <s v="#2549"/>
    <n v="1"/>
    <d v="2026-08-04T13:59:54"/>
    <d v="2026-08-04T13:59:54"/>
    <s v="Amanda Harris"/>
    <s v="Email Available"/>
    <s v="amanda.harris197@gmail.com"/>
    <x v="7"/>
    <s v="Accessories"/>
    <x v="8"/>
    <n v="1"/>
    <n v="19.989999999999998"/>
    <n v="19.989999999999998"/>
    <m/>
    <s v=""/>
    <n v="0"/>
    <n v="0"/>
    <s v="Number"/>
    <n v="4.99"/>
    <n v="4.99"/>
    <n v="24.98"/>
    <n v="24.98"/>
    <n v="24.979999999999997"/>
    <s v="True"/>
    <s v="Normal"/>
    <s v="PayPal"/>
    <s v="POS"/>
    <s v="fulfilled"/>
    <s v="United States"/>
    <s v="North Carolina"/>
    <s v="Valid"/>
    <s v="Buchananchester"/>
  </r>
  <r>
    <s v="#2575"/>
    <n v="1"/>
    <d v="2026-08-04T00:00:00"/>
    <s v="2026-08-04"/>
    <s v="Carrie Boyd"/>
    <s v="Email Available"/>
    <s v="carrie.boyd968@gmail.com"/>
    <x v="7"/>
    <s v="Accessories"/>
    <x v="8"/>
    <n v="1"/>
    <n v="19.989999999999998"/>
    <n v="19.989999999999998"/>
    <s v="BFCM25"/>
    <s v="BFCM25"/>
    <s v="$5.00"/>
    <n v="5"/>
    <s v="Number"/>
    <n v="4.99"/>
    <n v="4.99"/>
    <n v="19.98"/>
    <n v="19.98"/>
    <n v="19.979999999999997"/>
    <s v="True"/>
    <s v="Normal"/>
    <s v="Credit Card"/>
    <s v="Online Store"/>
    <s v="fulfilled"/>
    <s v="United States"/>
    <s v="Washington"/>
    <s v="Valid"/>
    <s v="Craigborough"/>
  </r>
  <r>
    <s v="#2581"/>
    <n v="1"/>
    <d v="2026-08-04T14:04:33"/>
    <d v="2026-08-04T14:04:33"/>
    <s v="Lindsay Shaw"/>
    <s v="Email Available"/>
    <s v="lindsay.shaw178@icloud.com"/>
    <x v="7"/>
    <s v="Accessories"/>
    <x v="8"/>
    <n v="1"/>
    <n v="19.989999999999998"/>
    <n v="19.989999999999998"/>
    <m/>
    <s v=""/>
    <n v="0"/>
    <n v="0"/>
    <s v="Number"/>
    <n v="4.99"/>
    <n v="4.99"/>
    <n v="24.98"/>
    <n v="24.98"/>
    <n v="24.979999999999997"/>
    <s v="True"/>
    <s v="Normal"/>
    <s v="Google Pay"/>
    <s v="Online Store"/>
    <s v="refunded"/>
    <s v="United Kingdom"/>
    <m/>
    <s v="Not Required"/>
    <s v="Campbellmouth"/>
  </r>
  <r>
    <s v="#2597"/>
    <n v="1"/>
    <d v="2026-08-04T14:05:13"/>
    <d v="2026-08-04T14:05:13"/>
    <s v="Joe Duran"/>
    <s v="Email Available"/>
    <s v="joe.duran923@icloud.com"/>
    <x v="7"/>
    <s v="Accessories"/>
    <x v="8"/>
    <n v="2"/>
    <n v="19.989999999999998"/>
    <n v="19.989999999999998"/>
    <s v="WELCOME10"/>
    <s v="WELCOME10"/>
    <n v="4"/>
    <n v="4"/>
    <s v="Number"/>
    <n v="7.99"/>
    <n v="7.99"/>
    <n v="43.97"/>
    <n v="43.97"/>
    <n v="43.97"/>
    <s v="True"/>
    <s v="Normal"/>
    <s v="PayPal"/>
    <s v="POS"/>
    <s v="fulfilled"/>
    <s v="United States"/>
    <s v="Florida"/>
    <s v="Valid"/>
    <s v="Mcclainfurt"/>
  </r>
  <r>
    <s v="#2718"/>
    <n v="1"/>
    <d v="2026-08-04T14:06:15"/>
    <d v="2026-08-04T14:06:15"/>
    <s v="Margaret Conley"/>
    <s v="Email Available"/>
    <s v="margaret.conley327@icloud.com"/>
    <x v="7"/>
    <s v="Accessories"/>
    <x v="8"/>
    <n v="1"/>
    <n v="19.989999999999998"/>
    <n v="19.989999999999998"/>
    <s v="VIP15"/>
    <s v="VIP15"/>
    <n v="3"/>
    <n v="3"/>
    <s v="Number"/>
    <n v="4.99"/>
    <n v="4.99"/>
    <n v="21.98"/>
    <n v="21.98"/>
    <n v="21.979999999999997"/>
    <s v="True"/>
    <s v="Normal"/>
    <s v="PayPal"/>
    <s v="POS"/>
    <s v="fulfilled"/>
    <s v="Australia"/>
    <m/>
    <s v="Not Required"/>
    <s v="North Patricialand"/>
  </r>
  <r>
    <s v="#2728"/>
    <n v="1"/>
    <d v="2026-08-04T14:07:45"/>
    <d v="2026-08-04T14:07:45"/>
    <s v="Cody Murray"/>
    <s v="Email Available"/>
    <s v="cody.murray456@gmail.com"/>
    <x v="7"/>
    <s v="Accessories"/>
    <x v="8"/>
    <n v="1"/>
    <n v="19.989999999999998"/>
    <n v="19.989999999999998"/>
    <m/>
    <s v=""/>
    <s v="$0.00"/>
    <n v="0"/>
    <s v="Number"/>
    <n v="7.99"/>
    <n v="7.99"/>
    <n v="27.98"/>
    <n v="27.98"/>
    <n v="27.979999999999997"/>
    <s v="True"/>
    <s v="Normal"/>
    <s v="Credit Card"/>
    <s v="Facebook"/>
    <s v="cancelled"/>
    <s v="United Kingdom"/>
    <m/>
    <s v="Not Required"/>
    <s v="Darrylfort"/>
  </r>
  <r>
    <s v="#2764"/>
    <n v="1"/>
    <d v="2026-08-04T14:00:30"/>
    <d v="2026-08-04T14:00:30"/>
    <s v="Shelly Griffith"/>
    <s v="Email Available"/>
    <s v="shelly.griffith342@icloud.com"/>
    <x v="7"/>
    <s v="Accessories"/>
    <x v="8"/>
    <n v="1"/>
    <n v="19.989999999999998"/>
    <n v="19.989999999999998"/>
    <s v="WELCOME10"/>
    <s v="WELCOME10"/>
    <n v="2"/>
    <n v="2"/>
    <s v="Number"/>
    <n v="5.99"/>
    <n v="5.99"/>
    <n v="23.98"/>
    <n v="23.98"/>
    <n v="23.979999999999997"/>
    <s v="True"/>
    <s v="Normal"/>
    <s v="Google Pay"/>
    <s v="Instagram"/>
    <s v="fulfilled"/>
    <s v="Australia"/>
    <m/>
    <s v="Not Required"/>
    <s v="Calhountown"/>
  </r>
  <r>
    <s v="#2766"/>
    <n v="1"/>
    <d v="2026-08-04T00:00:00"/>
    <s v="2026-08-04"/>
    <s v="Donald Davis"/>
    <s v="Email Available"/>
    <s v="donald.davis404@icloud.com"/>
    <x v="7"/>
    <s v="Accessories"/>
    <x v="8"/>
    <n v="1"/>
    <n v="19.989999999999998"/>
    <n v="19.989999999999998"/>
    <m/>
    <s v=""/>
    <n v="0"/>
    <n v="0"/>
    <s v="Number"/>
    <n v="4.99"/>
    <n v="4.99"/>
    <n v="24.98"/>
    <n v="24.98"/>
    <n v="24.979999999999997"/>
    <s v="True"/>
    <s v="Normal"/>
    <s v="Credit Card"/>
    <s v="Facebook"/>
    <s v="cancelled"/>
    <s v="Canada"/>
    <m/>
    <s v="Not Required"/>
    <s v="West Gabrielside"/>
  </r>
  <r>
    <s v="#2780"/>
    <n v="1"/>
    <d v="2026-08-04T14:04:55"/>
    <d v="2026-08-04T14:04:55"/>
    <s v="Ian Morris"/>
    <s v="Email Available"/>
    <s v="ian.morris90@outlook.com"/>
    <x v="7"/>
    <s v="Accessories"/>
    <x v="8"/>
    <n v="1"/>
    <n v="19.989999999999998"/>
    <n v="19.989999999999998"/>
    <s v="VIP15"/>
    <s v="VIP15"/>
    <n v="3"/>
    <n v="3"/>
    <s v="Number"/>
    <n v="7.99"/>
    <n v="7.99"/>
    <n v="24.98"/>
    <n v="24.98"/>
    <n v="24.979999999999997"/>
    <s v="True"/>
    <s v="Normal"/>
    <s v="Credit Card"/>
    <s v="Online Store"/>
    <s v="refunded"/>
    <s v="Pakistan"/>
    <m/>
    <s v="Not Required"/>
    <s v="North Matthewfurt"/>
  </r>
  <r>
    <s v="#2819"/>
    <n v="1"/>
    <d v="2026-08-04T14:04:01"/>
    <d v="2026-08-04T14:04:01"/>
    <s v="Amy Barnett"/>
    <s v="Email Available"/>
    <s v="amy.barnett396@icloud.com"/>
    <x v="7"/>
    <s v="Accessories"/>
    <x v="8"/>
    <n v="2"/>
    <s v="$19.99"/>
    <n v="19.989999999999998"/>
    <m/>
    <s v=""/>
    <n v="0"/>
    <n v="0"/>
    <s v="Number"/>
    <n v="7.99"/>
    <n v="7.99"/>
    <n v="47.97"/>
    <n v="47.97"/>
    <n v="47.97"/>
    <s v="True"/>
    <s v="Normal"/>
    <s v="Shopify Payments"/>
    <s v="POS"/>
    <s v="fulfilled"/>
    <s v="Pakistan"/>
    <m/>
    <s v="Not Required"/>
    <s v="East Michellefurt"/>
  </r>
  <r>
    <s v="#2835"/>
    <n v="1"/>
    <d v="2026-08-04T13:55:41"/>
    <d v="2026-08-04T13:55:41"/>
    <s v="Tara Jackson"/>
    <s v="Email Available"/>
    <s v="tara.jackson708@outlook.com"/>
    <x v="7"/>
    <s v="Accessories"/>
    <x v="8"/>
    <n v="1"/>
    <n v="19.989999999999998"/>
    <n v="19.989999999999998"/>
    <m/>
    <s v=""/>
    <n v="0"/>
    <n v="0"/>
    <s v="Number"/>
    <n v="4.99"/>
    <n v="4.99"/>
    <n v="24.98"/>
    <n v="24.98"/>
    <n v="24.979999999999997"/>
    <s v="True"/>
    <s v="Normal"/>
    <s v="Shopify Payments"/>
    <s v="Online Store"/>
    <s v="fulfilled"/>
    <s v="Canada"/>
    <m/>
    <s v="Not Required"/>
    <s v="West Heathershire"/>
  </r>
  <r>
    <s v="#2849"/>
    <n v="1"/>
    <d v="2026-08-04T14:05:36"/>
    <d v="2026-08-04T14:05:36"/>
    <s v="alexandria miller"/>
    <s v="Email Available"/>
    <s v="alexandria.miller414@outlook.com"/>
    <x v="7"/>
    <s v="Accessories"/>
    <x v="8"/>
    <n v="1"/>
    <n v="19.989999999999998"/>
    <n v="19.989999999999998"/>
    <s v="BFCM25"/>
    <s v="BFCM25"/>
    <n v="5"/>
    <n v="5"/>
    <s v="Number"/>
    <n v="4.99"/>
    <n v="4.99"/>
    <n v="19.98"/>
    <n v="19.98"/>
    <n v="19.979999999999997"/>
    <s v="True"/>
    <s v="Normal"/>
    <s v="Google Pay"/>
    <s v="Facebook"/>
    <s v="fulfilled"/>
    <s v="Australia"/>
    <m/>
    <s v="Not Required"/>
    <s v="Youngshire"/>
  </r>
  <r>
    <s v="#2888"/>
    <n v="1"/>
    <d v="2026-08-04T13:59:49"/>
    <d v="2026-08-04T13:59:49"/>
    <s v="Frederick Bean"/>
    <s v="Email Available"/>
    <s v="frederick.bean141@outlook.com"/>
    <x v="7"/>
    <s v="Accessories"/>
    <x v="8"/>
    <n v="2"/>
    <n v="19.989999999999998"/>
    <n v="19.989999999999998"/>
    <m/>
    <s v=""/>
    <n v="0"/>
    <n v="0"/>
    <s v="Number"/>
    <n v="7.99"/>
    <n v="7.99"/>
    <n v="47.97"/>
    <n v="47.97"/>
    <n v="47.97"/>
    <s v="True"/>
    <s v="Normal"/>
    <s v="Google Pay"/>
    <s v="Online Store"/>
    <s v="pending"/>
    <s v="United States"/>
    <s v="California"/>
    <s v="Valid"/>
    <s v="Barnesville"/>
  </r>
  <r>
    <s v="#2890"/>
    <n v="1"/>
    <d v="2026-08-04T14:00:35"/>
    <d v="2026-08-04T14:00:35"/>
    <s v="Lindsay Shaw"/>
    <s v="Email Available"/>
    <s v="lindsay.shaw178@icloud.com"/>
    <x v="7"/>
    <s v="Accessories"/>
    <x v="8"/>
    <n v="2"/>
    <n v="19.989999999999998"/>
    <n v="19.989999999999998"/>
    <s v="FREESHIP"/>
    <s v="FREESHIP"/>
    <n v="0"/>
    <n v="0"/>
    <s v="Number"/>
    <n v="0"/>
    <n v="0"/>
    <n v="39.979999999999997"/>
    <n v="39.979999999999997"/>
    <n v="39.979999999999997"/>
    <s v="True"/>
    <s v="Normal"/>
    <s v="Credit Card"/>
    <s v="Online Store"/>
    <s v="pending"/>
    <s v="United Kingdom"/>
    <m/>
    <s v="Not Required"/>
    <s v="South Earlburgh"/>
  </r>
  <r>
    <s v="#2930"/>
    <n v="1"/>
    <d v="2026-08-04T13:57:46"/>
    <d v="2026-08-04T13:57:46"/>
    <s v="Morgan Johnson"/>
    <s v="Email Available"/>
    <s v="morgan.johnson938@outlook.com"/>
    <x v="7"/>
    <s v="Accessories"/>
    <x v="8"/>
    <n v="1"/>
    <n v="19.989999999999998"/>
    <n v="19.989999999999998"/>
    <s v="SAVE20"/>
    <s v="SAVE20"/>
    <n v="4"/>
    <n v="4"/>
    <s v="Number"/>
    <n v="7.99"/>
    <n v="7.99"/>
    <n v="23.98"/>
    <n v="23.98"/>
    <n v="23.979999999999997"/>
    <s v="True"/>
    <s v="Normal"/>
    <s v="Apple Pay"/>
    <s v="Online Store"/>
    <s v="fulfilled"/>
    <s v="Canada"/>
    <m/>
    <s v="Not Required"/>
    <s v="North Tonybury"/>
  </r>
  <r>
    <s v="#2934"/>
    <n v="1"/>
    <d v="2026-08-04T13:55:01"/>
    <d v="2026-08-04T13:55:01"/>
    <s v="Tracy Adams"/>
    <s v="Email Available"/>
    <s v="tracy.adams712@icloud.com"/>
    <x v="7"/>
    <s v="Accessories"/>
    <x v="8"/>
    <n v="1"/>
    <n v="19.989999999999998"/>
    <n v="19.989999999999998"/>
    <s v="VIP15"/>
    <s v="VIP15"/>
    <n v="3"/>
    <n v="3"/>
    <s v="Number"/>
    <n v="7.99"/>
    <n v="7.99"/>
    <n v="24.98"/>
    <n v="24.98"/>
    <n v="24.979999999999997"/>
    <s v="True"/>
    <s v="Normal"/>
    <s v="Google Pay"/>
    <s v="Online Store"/>
    <s v="cancelled"/>
    <s v="United States"/>
    <s v="Illinois"/>
    <s v="Valid"/>
    <s v="South Antonio"/>
  </r>
  <r>
    <s v="#2947"/>
    <n v="1"/>
    <d v="2026-08-04T13:53:34"/>
    <d v="2026-08-04T13:53:34"/>
    <s v="Joel Davidson"/>
    <s v="Email Available"/>
    <s v="joel.davidson94@icloud.com"/>
    <x v="7"/>
    <s v="Accessories"/>
    <x v="8"/>
    <n v="1"/>
    <n v="19.989999999999998"/>
    <n v="19.989999999999998"/>
    <m/>
    <s v=""/>
    <n v="0"/>
    <n v="0"/>
    <s v="Number"/>
    <n v="7.99"/>
    <n v="7.99"/>
    <n v="27.98"/>
    <n v="27.98"/>
    <n v="27.979999999999997"/>
    <s v="True"/>
    <s v="Normal"/>
    <s v="Apple Pay"/>
    <s v="Facebook"/>
    <s v="fulfilled"/>
    <s v="United States"/>
    <s v="Arizona"/>
    <s v="Valid"/>
    <s v="Martinezfurt"/>
  </r>
  <r>
    <s v="#2948"/>
    <n v="1"/>
    <d v="2026-08-04T14:01:19"/>
    <d v="2026-08-04T14:01:19"/>
    <s v="Jacqueline Wiley"/>
    <s v="Email Available"/>
    <s v="jacqueline.wiley718@icloud.com"/>
    <x v="7"/>
    <s v="Accessories"/>
    <x v="8"/>
    <n v="3"/>
    <n v="19.989999999999998"/>
    <n v="19.989999999999998"/>
    <m/>
    <s v=""/>
    <n v="0"/>
    <n v="0"/>
    <s v="Number"/>
    <n v="5.99"/>
    <n v="5.99"/>
    <n v="65.959999999999994"/>
    <n v="65.959999999999994"/>
    <n v="65.959999999999994"/>
    <s v="True"/>
    <s v="Normal"/>
    <s v="Apple Pay"/>
    <s v="Online Store"/>
    <s v="fulfilled"/>
    <s v="United States"/>
    <s v="Illinois"/>
    <s v="Valid"/>
    <s v="New John"/>
  </r>
  <r>
    <s v="#2954"/>
    <n v="1"/>
    <d v="2026-08-04T14:07:48"/>
    <d v="2026-08-04T14:07:48"/>
    <s v="Sarah Williams"/>
    <s v="Email Available"/>
    <s v="sarah.williams329@icloud.com"/>
    <x v="7"/>
    <s v="Accessories"/>
    <x v="8"/>
    <n v="1"/>
    <n v="19.989999999999998"/>
    <n v="19.989999999999998"/>
    <m/>
    <s v=""/>
    <n v="0"/>
    <n v="0"/>
    <s v="Number"/>
    <n v="4.99"/>
    <n v="4.99"/>
    <n v="24.98"/>
    <n v="24.98"/>
    <n v="24.979999999999997"/>
    <s v="True"/>
    <s v="Normal"/>
    <s v="PayPal"/>
    <s v="Online Store"/>
    <s v="fulfilled"/>
    <s v="Canada"/>
    <m/>
    <s v="Not Required"/>
    <s v="Smithton"/>
  </r>
  <r>
    <s v="#2958"/>
    <n v="1"/>
    <d v="2026-08-04T14:06:38"/>
    <d v="2026-08-04T14:06:38"/>
    <s v="Walker, Douglas"/>
    <s v="Email Available"/>
    <s v="douglas.walker28@outlook.com"/>
    <x v="7"/>
    <s v="Accessories"/>
    <x v="8"/>
    <n v="1"/>
    <n v="19.989999999999998"/>
    <n v="19.989999999999998"/>
    <m/>
    <s v=""/>
    <n v="0"/>
    <n v="0"/>
    <s v="Number"/>
    <n v="7.99"/>
    <n v="7.99"/>
    <n v="27.98"/>
    <n v="27.98"/>
    <n v="27.979999999999997"/>
    <s v="True"/>
    <s v="Normal"/>
    <s v="Apple Pay"/>
    <s v="Online Store"/>
    <s v="refunded"/>
    <s v="United Kingdom"/>
    <m/>
    <s v="Not Required"/>
    <s v="Hallton"/>
  </r>
  <r>
    <s v="#2982"/>
    <n v="1"/>
    <d v="2026-08-04T13:58:04"/>
    <d v="2026-08-04T13:58:04"/>
    <s v="Bradley Farmer"/>
    <s v="Email Available"/>
    <s v="bradley.farmer290@icloud.com"/>
    <x v="7"/>
    <s v="Accessories"/>
    <x v="8"/>
    <n v="1"/>
    <n v="19.989999999999998"/>
    <n v="19.989999999999998"/>
    <s v="VIP15"/>
    <s v="VIP15"/>
    <s v="$3.00"/>
    <n v="3"/>
    <s v="Number"/>
    <n v="7.99"/>
    <n v="7.99"/>
    <n v="24.98"/>
    <n v="24.98"/>
    <n v="24.979999999999997"/>
    <s v="True"/>
    <s v="Normal"/>
    <s v="Credit Card"/>
    <s v="Facebook"/>
    <s v="fulfilled"/>
    <s v="United Kingdom"/>
    <m/>
    <s v="Not Required"/>
    <s v="Port Darryl"/>
  </r>
  <r>
    <s v="#2996"/>
    <n v="1"/>
    <d v="2026-08-04T14:01:20"/>
    <d v="2026-08-04T14:01:20"/>
    <s v="Jack Bryant"/>
    <s v="Email Available"/>
    <s v="jack.bryant173@gmail.com"/>
    <x v="7"/>
    <s v="Accessories"/>
    <x v="8"/>
    <n v="1"/>
    <n v="19.989999999999998"/>
    <n v="19.989999999999998"/>
    <s v="BFCM25"/>
    <s v="BFCM25"/>
    <n v="5"/>
    <n v="5"/>
    <s v="Number"/>
    <n v="7.99"/>
    <n v="7.99"/>
    <s v="$22.98"/>
    <n v="22.98"/>
    <n v="22.979999999999997"/>
    <s v="True"/>
    <s v="Normal"/>
    <s v="Google Pay"/>
    <s v="Online Store"/>
    <s v="fulfilled"/>
    <s v="Germany"/>
    <m/>
    <s v="Not Required"/>
    <s v="New Denise"/>
  </r>
  <r>
    <s v="#1858"/>
    <n v="1"/>
    <d v="2026-08-04T13:54:44"/>
    <d v="2026-08-04T13:54:44"/>
    <s v="Lisa Zuniga"/>
    <s v="Email Available"/>
    <s v="lisa.zuniga825@outlook.com"/>
    <x v="7"/>
    <s v="Accessories"/>
    <x v="8"/>
    <n v="1"/>
    <n v="19.989999999999998"/>
    <n v="19.989999999999998"/>
    <s v="WELCOME10"/>
    <s v="WELCOME10"/>
    <n v="2"/>
    <n v="2"/>
    <s v="Number"/>
    <n v="5.99"/>
    <n v="5.99"/>
    <n v="23.98"/>
    <n v="23.98"/>
    <n v="23.979999999999997"/>
    <s v="True"/>
    <s v="Normal"/>
    <s v="PayPal"/>
    <s v="POS"/>
    <s v="fulfilled"/>
    <s v="Germany"/>
    <m/>
    <s v="Not Required"/>
    <s v="East William"/>
  </r>
  <r>
    <s v="#2161"/>
    <n v="1"/>
    <d v="2026-08-04T13:57:22"/>
    <d v="2026-08-04T13:57:22"/>
    <s v="Victoria Wilson"/>
    <s v="Email Available"/>
    <s v="victoria.wilson114@gmail.com"/>
    <x v="8"/>
    <s v="Home &amp; Kitchen"/>
    <x v="9"/>
    <n v="1"/>
    <n v="24.99"/>
    <n v="24.99"/>
    <m/>
    <s v=""/>
    <n v="0"/>
    <n v="0"/>
    <s v="Number"/>
    <n v="5.99"/>
    <n v="5.99"/>
    <n v="30.98"/>
    <n v="30.98"/>
    <n v="30.979999999999997"/>
    <s v="True"/>
    <s v="Normal"/>
    <s v="Google Pay"/>
    <s v="Facebook"/>
    <s v="fulfilled"/>
    <s v="Canada"/>
    <m/>
    <s v="Not Required"/>
    <s v="West Austin"/>
  </r>
  <r>
    <s v="#1044"/>
    <n v="1"/>
    <d v="2026-08-04T13:54:21"/>
    <d v="2026-08-04T13:54:21"/>
    <s v="Angela Carr"/>
    <s v="Email Available"/>
    <s v="angela.carr488@yahoo.com"/>
    <x v="8"/>
    <s v="Home &amp; Kitchen"/>
    <x v="9"/>
    <n v="1"/>
    <n v="24.99"/>
    <n v="24.99"/>
    <s v="SAVE20"/>
    <s v="SAVE20"/>
    <n v="5"/>
    <n v="5"/>
    <s v="Number"/>
    <n v="7.99"/>
    <n v="7.99"/>
    <n v="27.98"/>
    <n v="27.98"/>
    <n v="27.979999999999997"/>
    <s v="True"/>
    <s v="Normal"/>
    <s v="Credit Card"/>
    <s v="Facebook"/>
    <s v="cancelled"/>
    <s v="United States"/>
    <s v="Georgia"/>
    <s v="Valid"/>
    <s v="Bakerborough"/>
  </r>
  <r>
    <s v="#1089"/>
    <n v="1"/>
    <d v="2026-08-04T13:55:06"/>
    <d v="2026-08-04T13:55:06"/>
    <s v="Kimberly Cordova"/>
    <s v="Email Available"/>
    <s v="kimberly.cordova508@icloud.com"/>
    <x v="8"/>
    <s v="Home &amp; Kitchen"/>
    <x v="9"/>
    <n v="1"/>
    <n v="24.99"/>
    <n v="24.99"/>
    <s v="BFCM25"/>
    <s v="BFCM25"/>
    <n v="6.25"/>
    <n v="6.25"/>
    <s v="Number"/>
    <n v="7.99"/>
    <n v="7.99"/>
    <n v="26.73"/>
    <n v="26.73"/>
    <n v="26.729999999999997"/>
    <s v="True"/>
    <s v="Normal"/>
    <s v="PayPal"/>
    <s v="Online Store"/>
    <s v="refunded"/>
    <s v="Pakistan"/>
    <m/>
    <s v="Not Required"/>
    <s v="Brendaside"/>
  </r>
  <r>
    <s v="#1118"/>
    <n v="1"/>
    <d v="2026-08-04T14:00:39"/>
    <d v="2026-08-04T14:00:39"/>
    <s v="David Torres"/>
    <s v="Missing Email"/>
    <m/>
    <x v="8"/>
    <s v="Home &amp; Kitchen"/>
    <x v="9"/>
    <n v="1"/>
    <n v="24.99"/>
    <n v="24.99"/>
    <m/>
    <s v=""/>
    <n v="0"/>
    <n v="0"/>
    <s v="Number"/>
    <n v="4.99"/>
    <n v="4.99"/>
    <n v="29.98"/>
    <n v="29.98"/>
    <n v="29.979999999999997"/>
    <s v="True"/>
    <s v="Normal"/>
    <s v="PayPal"/>
    <s v="Online Store"/>
    <s v="fulfilled"/>
    <s v="United States"/>
    <s v="Florida"/>
    <s v="Valid"/>
    <s v="Donaldborough"/>
  </r>
  <r>
    <s v="#1125"/>
    <n v="1"/>
    <d v="2026-04-08T00:00:00"/>
    <s v="08/04/2026"/>
    <s v="James Castro"/>
    <s v="Email Available"/>
    <s v="james.castro923@icloud.com"/>
    <x v="8"/>
    <s v="Home &amp; Kitchen"/>
    <x v="9"/>
    <n v="1"/>
    <n v="24.99"/>
    <n v="24.99"/>
    <s v="VIP15"/>
    <s v="VIP15"/>
    <n v="3.75"/>
    <n v="3.75"/>
    <s v="Number"/>
    <n v="4.99"/>
    <n v="4.99"/>
    <n v="26.23"/>
    <n v="26.23"/>
    <n v="26.229999999999997"/>
    <s v="True"/>
    <s v="Normal"/>
    <s v="Apple Pay"/>
    <s v="POS"/>
    <s v="pending"/>
    <s v="Pakistan"/>
    <m/>
    <s v="Not Required"/>
    <s v="West Debrabury"/>
  </r>
  <r>
    <s v="#1196"/>
    <n v="1"/>
    <d v="2026-08-04T13:59:55"/>
    <d v="2026-08-04T13:59:55"/>
    <s v="Carrie Boyd"/>
    <s v="Email Available"/>
    <s v="carrie.boyd968@gmail.com"/>
    <x v="8"/>
    <s v="Home &amp; Kitchen"/>
    <x v="9"/>
    <n v="1"/>
    <n v="24.99"/>
    <n v="24.99"/>
    <m/>
    <s v=""/>
    <s v="$0.00"/>
    <n v="0"/>
    <s v="Number"/>
    <n v="7.99"/>
    <n v="7.99"/>
    <n v="32.979999999999997"/>
    <n v="32.979999999999997"/>
    <n v="32.979999999999997"/>
    <s v="True"/>
    <s v="Normal"/>
    <s v="Shopify Payments"/>
    <s v="Online Store"/>
    <s v="fulfilled"/>
    <s v="United States"/>
    <s v="California"/>
    <s v="Valid"/>
    <s v="Nathanberg"/>
  </r>
  <r>
    <s v="#1204"/>
    <n v="1"/>
    <d v="2026-08-04T14:05:31"/>
    <d v="2026-08-04T14:05:31"/>
    <s v="Chad Smith"/>
    <s v="Email Available"/>
    <s v="chad.smith773@icloud.com"/>
    <x v="8"/>
    <s v="Home &amp; Kitchen"/>
    <x v="9"/>
    <n v="2"/>
    <n v="24.99"/>
    <n v="24.99"/>
    <m/>
    <s v=""/>
    <s v="$0.00"/>
    <n v="0"/>
    <s v="Number"/>
    <n v="4.99"/>
    <n v="4.99"/>
    <n v="54.97"/>
    <n v="54.97"/>
    <n v="54.97"/>
    <s v="True"/>
    <s v="Normal"/>
    <s v="Credit Card"/>
    <s v="Online Store"/>
    <s v="cancelled"/>
    <s v="Pakistan"/>
    <m/>
    <s v="Not Required"/>
    <s v="Padillamouth"/>
  </r>
  <r>
    <s v="#1224"/>
    <n v="1"/>
    <d v="2026-04-08T00:00:00"/>
    <s v="08/04/2026"/>
    <s v="Tina Singh"/>
    <s v="Email Available"/>
    <s v="tina.singh98@icloud.com"/>
    <x v="8"/>
    <s v="Home &amp; Kitchen"/>
    <x v="9"/>
    <n v="2"/>
    <n v="24.99"/>
    <n v="24.99"/>
    <m/>
    <s v=""/>
    <n v="0"/>
    <n v="0"/>
    <s v="Number"/>
    <n v="4.99"/>
    <n v="4.99"/>
    <s v="$54.97"/>
    <n v="54.97"/>
    <n v="54.97"/>
    <s v="True"/>
    <s v="Normal"/>
    <s v="Shopify Payments"/>
    <s v="Online Store"/>
    <s v="fulfilled"/>
    <s v="United States"/>
    <s v="FL"/>
    <s v="Valid"/>
    <s v="West Laceyberg"/>
  </r>
  <r>
    <s v="#1225"/>
    <n v="1"/>
    <d v="2026-08-04T14:07:19"/>
    <d v="2026-08-04T14:07:19"/>
    <s v="Christopher Harrington"/>
    <s v="Email Available"/>
    <s v="christopher.harrington960@gmail.com"/>
    <x v="8"/>
    <s v="Home &amp; Kitchen"/>
    <x v="9"/>
    <n v="1"/>
    <n v="24.99"/>
    <n v="24.99"/>
    <m/>
    <s v=""/>
    <n v="0"/>
    <n v="0"/>
    <s v="Number"/>
    <n v="5.99"/>
    <n v="5.99"/>
    <n v="30.98"/>
    <n v="30.98"/>
    <n v="30.979999999999997"/>
    <s v="True"/>
    <s v="Normal"/>
    <s v="Google Pay"/>
    <s v="Instagram"/>
    <s v="fulfilled"/>
    <s v="Australia"/>
    <m/>
    <s v="Not Required"/>
    <s v="Lake Christopherside"/>
  </r>
  <r>
    <s v="#1236"/>
    <n v="1"/>
    <d v="2026-08-04T14:02:17"/>
    <d v="2026-08-04T14:02:17"/>
    <s v="Suzanne Robertson"/>
    <s v="Email Available"/>
    <s v="suzanne.robertson435@gmail.com"/>
    <x v="8"/>
    <s v="Home &amp; Kitchen"/>
    <x v="9"/>
    <n v="1"/>
    <n v="24.99"/>
    <n v="24.99"/>
    <s v="BFCM25"/>
    <s v="BFCM25"/>
    <n v="6.25"/>
    <n v="6.25"/>
    <s v="Number"/>
    <n v="7.99"/>
    <n v="7.99"/>
    <n v="26.73"/>
    <n v="26.73"/>
    <n v="26.729999999999997"/>
    <s v="True"/>
    <s v="Normal"/>
    <s v="PayPal"/>
    <s v="Instagram"/>
    <s v="cancelled"/>
    <s v="Australia"/>
    <m/>
    <s v="Not Required"/>
    <s v="New Austinfort"/>
  </r>
  <r>
    <s v="#1253"/>
    <n v="1"/>
    <d v="2026-08-04T13:58:01"/>
    <d v="2026-08-04T13:58:01"/>
    <s v="Anthony Patterson"/>
    <s v="Missing Email"/>
    <m/>
    <x v="8"/>
    <s v="Home &amp; Kitchen"/>
    <x v="9"/>
    <n v="1"/>
    <n v="24.99"/>
    <n v="24.99"/>
    <m/>
    <s v=""/>
    <n v="0"/>
    <n v="0"/>
    <s v="Number"/>
    <n v="4.99"/>
    <n v="4.99"/>
    <n v="29.98"/>
    <n v="29.98"/>
    <n v="29.979999999999997"/>
    <s v="True"/>
    <s v="Normal"/>
    <s v="Google Pay"/>
    <s v="POS"/>
    <s v="fulfilled"/>
    <s v="Pakistan"/>
    <m/>
    <s v="Not Required"/>
    <s v="East Mirandashire"/>
  </r>
  <r>
    <s v="#1273"/>
    <n v="1"/>
    <d v="2026-08-04T13:56:13"/>
    <d v="2026-08-04T13:56:13"/>
    <s v="Jason Miller"/>
    <s v="Email Available"/>
    <s v="jason.miller334@outlook.com"/>
    <x v="8"/>
    <s v="Home &amp; Kitchen"/>
    <x v="9"/>
    <n v="1"/>
    <n v="24.99"/>
    <n v="24.99"/>
    <m/>
    <s v=""/>
    <n v="0"/>
    <n v="0"/>
    <s v="Number"/>
    <n v="4.99"/>
    <n v="4.99"/>
    <n v="29.98"/>
    <n v="29.98"/>
    <n v="29.979999999999997"/>
    <s v="True"/>
    <s v="Normal"/>
    <s v="Apple Pay"/>
    <s v="Online Store"/>
    <s v="cancelled"/>
    <s v="Australia"/>
    <m/>
    <s v="Not Required"/>
    <s v="West Curtis"/>
  </r>
  <r>
    <s v="#1303"/>
    <n v="1"/>
    <d v="2026-04-08T00:00:00"/>
    <s v="08/04/2026"/>
    <s v="Aimee Smith"/>
    <s v="Email Available"/>
    <s v="aimee.smith857@icloud.com"/>
    <x v="8"/>
    <s v="Home &amp; Kitchen"/>
    <x v="9"/>
    <n v="1"/>
    <n v="24.99"/>
    <n v="24.99"/>
    <s v="VIP15"/>
    <s v="VIP15"/>
    <n v="3.75"/>
    <n v="3.75"/>
    <s v="Number"/>
    <n v="4.99"/>
    <n v="4.99"/>
    <n v="26.23"/>
    <n v="26.23"/>
    <n v="26.229999999999997"/>
    <s v="True"/>
    <s v="Normal"/>
    <s v="PayPal"/>
    <s v="Online Store"/>
    <s v="fulfilled"/>
    <s v="United Kingdom"/>
    <m/>
    <s v="Not Required"/>
    <s v="Port Sarah"/>
  </r>
  <r>
    <s v="#1317"/>
    <n v="1"/>
    <d v="2026-08-04T14:05:13"/>
    <d v="2026-08-04T14:05:13"/>
    <s v="David Duke"/>
    <s v="Email Available"/>
    <s v="david.duke814@icloud.com"/>
    <x v="8"/>
    <s v="Home &amp; Kitchen"/>
    <x v="9"/>
    <n v="1"/>
    <s v="$24.99"/>
    <n v="24.99"/>
    <m/>
    <s v=""/>
    <n v="0"/>
    <n v="0"/>
    <s v="Number"/>
    <n v="5.99"/>
    <n v="5.99"/>
    <s v="$30.98"/>
    <n v="30.98"/>
    <n v="30.979999999999997"/>
    <s v="True"/>
    <s v="Normal"/>
    <s v="Apple Pay"/>
    <s v="Online Store"/>
    <s v="fulfilled"/>
    <s v="United States"/>
    <s v="North Carolina"/>
    <s v="Valid"/>
    <s v="Jenniferfort"/>
  </r>
  <r>
    <s v="#1319"/>
    <n v="1"/>
    <d v="2026-08-04T14:06:49"/>
    <d v="2026-08-04T14:06:49"/>
    <s v="Joshua Owens"/>
    <s v="Email Available"/>
    <s v="joshua.owens56@icloud.com"/>
    <x v="8"/>
    <s v="Home &amp; Kitchen"/>
    <x v="9"/>
    <n v="1"/>
    <n v="24.99"/>
    <n v="24.99"/>
    <s v="WELCOME10"/>
    <s v="WELCOME10"/>
    <n v="2.5"/>
    <n v="2.5"/>
    <s v="Number"/>
    <n v="5.99"/>
    <n v="5.99"/>
    <n v="28.48"/>
    <n v="28.48"/>
    <n v="28.479999999999997"/>
    <s v="True"/>
    <s v="Normal"/>
    <s v="Google Pay"/>
    <s v="Instagram"/>
    <s v="fulfilled"/>
    <s v="United States"/>
    <s v="California"/>
    <s v="Valid"/>
    <s v="Lake Johnmouth"/>
  </r>
  <r>
    <s v="#1320"/>
    <n v="1"/>
    <d v="2026-04-08T00:00:00"/>
    <s v="08/04/2026"/>
    <s v="Richard Weber"/>
    <s v="Email Available"/>
    <s v="richard.weber156@yahoo.com"/>
    <x v="8"/>
    <s v="Home &amp; Kitchen"/>
    <x v="9"/>
    <n v="4"/>
    <n v="24.99"/>
    <n v="24.99"/>
    <m/>
    <s v=""/>
    <n v="0"/>
    <n v="0"/>
    <s v="Number"/>
    <n v="0"/>
    <n v="0"/>
    <n v="99.96"/>
    <n v="99.96"/>
    <n v="99.96"/>
    <s v="True"/>
    <s v="Outlier"/>
    <s v="Shopify Payments"/>
    <s v="Facebook"/>
    <s v="fulfilled"/>
    <s v="United States"/>
    <s v="New York"/>
    <s v="Valid"/>
    <s v="Barronside"/>
  </r>
  <r>
    <s v="#1442"/>
    <n v="1"/>
    <d v="2026-08-04T14:03:43"/>
    <d v="2026-08-04T14:03:43"/>
    <s v="Kenneth Davis"/>
    <s v="Email Available"/>
    <s v="kenneth.davis106@yahoo.com"/>
    <x v="8"/>
    <s v="Home &amp; Kitchen"/>
    <x v="9"/>
    <n v="2"/>
    <n v="24.99"/>
    <n v="24.99"/>
    <s v="VIP15"/>
    <s v="VIP15"/>
    <n v="7.5"/>
    <n v="7.5"/>
    <s v="Number"/>
    <n v="5.99"/>
    <n v="5.99"/>
    <n v="48.47"/>
    <n v="48.47"/>
    <n v="48.47"/>
    <s v="True"/>
    <s v="Normal"/>
    <s v="Credit Card"/>
    <s v="Instagram"/>
    <s v="pending"/>
    <s v="United States"/>
    <s v="Arizona"/>
    <s v="Valid"/>
    <s v="Schmidtchester"/>
  </r>
  <r>
    <s v="#1453"/>
    <n v="1"/>
    <d v="2026-08-04T13:59:35"/>
    <d v="2026-08-04T13:59:35"/>
    <s v="Laura Pruitt"/>
    <s v="Email Available"/>
    <s v="laura.pruitt212@yahoo.com"/>
    <x v="8"/>
    <s v="Home &amp; Kitchen"/>
    <x v="9"/>
    <n v="1"/>
    <n v="24.99"/>
    <n v="24.99"/>
    <s v="WELCOME10"/>
    <s v="WELCOME10"/>
    <n v="2.5"/>
    <n v="2.5"/>
    <s v="Number"/>
    <n v="7.99"/>
    <n v="7.99"/>
    <n v="30.48"/>
    <n v="30.48"/>
    <n v="30.479999999999997"/>
    <s v="True"/>
    <s v="Normal"/>
    <s v="Apple Pay"/>
    <s v="Online Store"/>
    <s v="pending"/>
    <s v="United States"/>
    <s v="Texas"/>
    <s v="Valid"/>
    <s v="East Amberbury"/>
  </r>
  <r>
    <s v="#1482"/>
    <n v="1"/>
    <d v="2026-08-04T14:07:20"/>
    <d v="2026-08-04T14:07:20"/>
    <s v="Natalie Dixon"/>
    <s v="Email Available"/>
    <s v="natalie.dixon388@outlook.com"/>
    <x v="8"/>
    <s v="Home &amp; Kitchen"/>
    <x v="9"/>
    <n v="1"/>
    <n v="24.99"/>
    <n v="24.99"/>
    <s v="VIP15"/>
    <s v="VIP15"/>
    <n v="3.75"/>
    <n v="3.75"/>
    <s v="Number"/>
    <n v="5.99"/>
    <n v="5.99"/>
    <n v="27.23"/>
    <n v="27.23"/>
    <n v="27.229999999999997"/>
    <s v="True"/>
    <s v="Normal"/>
    <s v="Credit Card"/>
    <s v="Instagram"/>
    <s v="refunded"/>
    <s v="United States"/>
    <s v="FL"/>
    <s v="Valid"/>
    <s v="Kristinastad"/>
  </r>
  <r>
    <s v="#1493"/>
    <n v="1"/>
    <d v="2026-08-04T00:00:00"/>
    <s v="04-08-2026 14:03"/>
    <s v="Jesus Mason"/>
    <s v="Email Available"/>
    <s v="jesus.mason798@icloud.com"/>
    <x v="8"/>
    <s v="Home &amp; Kitchen"/>
    <x v="9"/>
    <n v="3"/>
    <n v="24.99"/>
    <n v="24.99"/>
    <m/>
    <s v=""/>
    <n v="0"/>
    <n v="0"/>
    <s v="Number"/>
    <n v="7.99"/>
    <n v="7.99"/>
    <n v="82.96"/>
    <n v="82.96"/>
    <n v="82.96"/>
    <s v="True"/>
    <s v="Outlier"/>
    <s v="Google Pay"/>
    <s v="POS"/>
    <s v="fulfilled"/>
    <s v="United States"/>
    <s v="California"/>
    <s v="Valid"/>
    <s v="Carriestad"/>
  </r>
  <r>
    <s v="#1494"/>
    <n v="1"/>
    <d v="2026-08-04T13:55:30"/>
    <d v="2026-08-04T13:55:30"/>
    <s v="Lauren Nguyen"/>
    <s v="Email Available"/>
    <s v="lauren.nguyen819@outlook.com"/>
    <x v="8"/>
    <s v="Home &amp; Kitchen"/>
    <x v="9"/>
    <n v="1"/>
    <n v="24.99"/>
    <n v="24.99"/>
    <m/>
    <s v=""/>
    <n v="0"/>
    <n v="0"/>
    <s v="Number"/>
    <n v="7.99"/>
    <n v="7.99"/>
    <n v="32.979999999999997"/>
    <n v="32.979999999999997"/>
    <n v="32.979999999999997"/>
    <s v="True"/>
    <s v="Normal"/>
    <s v="Apple Pay"/>
    <s v="Facebook"/>
    <s v="fulfilled"/>
    <s v="United Kingdom"/>
    <m/>
    <s v="Not Required"/>
    <s v="Kaylastad"/>
  </r>
  <r>
    <s v="#1497"/>
    <n v="1"/>
    <d v="2026-08-04T13:56:27"/>
    <d v="2026-08-04T13:56:27"/>
    <s v="Joshua Owens"/>
    <s v="Email Available"/>
    <s v="joshua.owens56@icloud.com"/>
    <x v="8"/>
    <s v="Home &amp; Kitchen"/>
    <x v="9"/>
    <n v="1"/>
    <n v="24.99"/>
    <n v="24.99"/>
    <s v="FREESHIP"/>
    <s v="FREESHIP"/>
    <s v="$0.00"/>
    <n v="0"/>
    <s v="Number"/>
    <n v="0"/>
    <n v="0"/>
    <n v="24.99"/>
    <n v="24.99"/>
    <n v="24.99"/>
    <s v="True"/>
    <s v="Normal"/>
    <s v="PayPal"/>
    <s v="Online Store"/>
    <s v="pending"/>
    <s v="United States"/>
    <s v="Washington"/>
    <s v="Valid"/>
    <s v="Margarethaven"/>
  </r>
  <r>
    <s v="#1504"/>
    <n v="1"/>
    <d v="2026-08-04T00:00:00"/>
    <s v="04-08-2026 14:03"/>
    <s v="Williams, Tyler"/>
    <s v="Email Available"/>
    <s v="tyler.williams938@outlook.com"/>
    <x v="8"/>
    <s v="Home &amp; Kitchen"/>
    <x v="9"/>
    <n v="1"/>
    <n v="24.99"/>
    <n v="24.99"/>
    <s v="WELCOME10"/>
    <s v="WELCOME10"/>
    <s v="$2.50"/>
    <n v="2.5"/>
    <s v="Number"/>
    <n v="4.99"/>
    <n v="4.99"/>
    <n v="27.48"/>
    <n v="27.48"/>
    <n v="27.479999999999997"/>
    <s v="True"/>
    <s v="Normal"/>
    <s v="Shopify Payments"/>
    <s v="Online Store"/>
    <s v="fulfilled"/>
    <s v="Australia"/>
    <m/>
    <s v="Not Required"/>
    <s v="Wallaceberg"/>
  </r>
  <r>
    <s v="#1548"/>
    <n v="1"/>
    <d v="2026-08-04T00:00:00"/>
    <s v="04-08-2026 14:03"/>
    <s v="Timothy Maldonado"/>
    <s v="Email Available"/>
    <s v="timothy.maldonado551@gmail.com"/>
    <x v="8"/>
    <s v="Home &amp; Kitchen"/>
    <x v="9"/>
    <n v="2"/>
    <n v="24.99"/>
    <n v="24.99"/>
    <s v="SAVE20"/>
    <s v="SAVE20"/>
    <n v="10"/>
    <n v="10"/>
    <s v="Number"/>
    <n v="5.99"/>
    <n v="5.99"/>
    <n v="45.97"/>
    <n v="45.97"/>
    <n v="45.97"/>
    <s v="True"/>
    <s v="Normal"/>
    <s v="Credit Card"/>
    <s v="Online Store"/>
    <s v="refunded"/>
    <s v="United States"/>
    <s v="California"/>
    <s v="Valid"/>
    <s v="Andrewfurt"/>
  </r>
  <r>
    <s v="#1561"/>
    <n v="1"/>
    <d v="2026-08-04T14:05:59"/>
    <d v="2026-08-04T14:05:59"/>
    <s v="Sandra Wilson"/>
    <s v="Email Available"/>
    <s v="sandra.wilson554@outlook.com"/>
    <x v="8"/>
    <s v="Home &amp; Kitchen"/>
    <x v="9"/>
    <n v="1"/>
    <n v="24.99"/>
    <n v="24.99"/>
    <s v="FREESHIP"/>
    <s v="FREESHIP"/>
    <n v="0"/>
    <n v="0"/>
    <s v="Number"/>
    <n v="0"/>
    <n v="0"/>
    <n v="24.99"/>
    <n v="24.99"/>
    <n v="24.99"/>
    <s v="True"/>
    <s v="Normal"/>
    <s v="PayPal"/>
    <s v="POS"/>
    <s v="cancelled"/>
    <s v="Canada"/>
    <m/>
    <s v="Not Required"/>
    <s v="Port Jordan"/>
  </r>
  <r>
    <s v="#1580"/>
    <n v="1"/>
    <d v="2026-08-04T00:00:00"/>
    <s v="Aug 04, 2026"/>
    <s v="Brian Ruiz"/>
    <s v="Email Available"/>
    <s v="brian.ruiz246@gmail.com"/>
    <x v="8"/>
    <s v="Home &amp; Kitchen"/>
    <x v="9"/>
    <n v="1"/>
    <n v="24.99"/>
    <n v="24.99"/>
    <s v="WELCOME10"/>
    <s v="WELCOME10"/>
    <n v="2.5"/>
    <n v="2.5"/>
    <s v="Number"/>
    <n v="5.99"/>
    <n v="5.99"/>
    <s v="$28.48"/>
    <n v="28.48"/>
    <n v="28.479999999999997"/>
    <s v="True"/>
    <s v="Normal"/>
    <s v="PayPal"/>
    <s v="Facebook"/>
    <s v="fulfilled"/>
    <s v="Germany"/>
    <m/>
    <s v="Not Required"/>
    <s v="Hermanbury"/>
  </r>
  <r>
    <s v="#1643"/>
    <n v="1"/>
    <d v="2026-08-04T13:53:44"/>
    <d v="2026-08-04T13:53:44"/>
    <s v="David Duke"/>
    <s v="Email Available"/>
    <s v="david.duke814@icloud.com"/>
    <x v="8"/>
    <s v="Home &amp; Kitchen"/>
    <x v="9"/>
    <n v="2"/>
    <n v="24.99"/>
    <n v="24.99"/>
    <s v="WELCOME10"/>
    <s v="WELCOME10"/>
    <n v="5"/>
    <n v="5"/>
    <s v="Number"/>
    <n v="4.99"/>
    <n v="4.99"/>
    <n v="49.97"/>
    <n v="49.97"/>
    <n v="49.97"/>
    <s v="True"/>
    <s v="Normal"/>
    <s v="Google Pay"/>
    <s v="Online Store"/>
    <s v="fulfilled"/>
    <s v="United States"/>
    <s v="NY"/>
    <s v="Valid"/>
    <s v="Lake Patriciamouth"/>
  </r>
  <r>
    <s v="#1660"/>
    <n v="1"/>
    <d v="2026-08-04T14:06:55"/>
    <d v="2026-08-04T14:06:55"/>
    <s v="Christy Phillips"/>
    <s v="Email Available"/>
    <s v="christy.phillips291@gmail.com"/>
    <x v="8"/>
    <s v="Home &amp; Kitchen"/>
    <x v="9"/>
    <n v="1"/>
    <n v="24.99"/>
    <n v="24.99"/>
    <m/>
    <s v=""/>
    <n v="0"/>
    <n v="0"/>
    <s v="Number"/>
    <n v="5.99"/>
    <n v="5.99"/>
    <n v="30.98"/>
    <n v="30.98"/>
    <n v="30.979999999999997"/>
    <s v="True"/>
    <s v="Normal"/>
    <s v="Apple Pay"/>
    <s v="Instagram"/>
    <s v="fulfilled"/>
    <s v="Pakistan"/>
    <m/>
    <s v="Not Required"/>
    <s v="Davidchester"/>
  </r>
  <r>
    <s v="#1762"/>
    <n v="1"/>
    <d v="2026-08-04T13:56:37"/>
    <d v="2026-08-04T13:56:37"/>
    <s v="Nicole Taylor"/>
    <s v="Email Available"/>
    <s v="nicole.taylor607@icloud.com"/>
    <x v="8"/>
    <s v="Home &amp; Kitchen"/>
    <x v="9"/>
    <n v="1"/>
    <n v="24.99"/>
    <n v="24.99"/>
    <s v="SAVE20"/>
    <s v="SAVE20"/>
    <n v="5"/>
    <n v="5"/>
    <s v="Number"/>
    <n v="4.99"/>
    <n v="4.99"/>
    <n v="24.98"/>
    <n v="24.98"/>
    <n v="24.979999999999997"/>
    <s v="True"/>
    <s v="Normal"/>
    <s v="Apple Pay"/>
    <s v="Online Store"/>
    <s v="cancelled"/>
    <s v="United States"/>
    <s v="Arizona"/>
    <s v="Valid"/>
    <s v="Caseyhaven"/>
  </r>
  <r>
    <s v="#1775"/>
    <n v="1"/>
    <d v="2026-08-04T14:06:22"/>
    <d v="2026-08-04T14:06:22"/>
    <s v="Kaitlyn Hernandez"/>
    <s v="Missing Email"/>
    <m/>
    <x v="8"/>
    <s v="Home &amp; Kitchen"/>
    <x v="9"/>
    <n v="4"/>
    <n v="24.99"/>
    <n v="24.99"/>
    <s v="WELCOME10"/>
    <s v="WELCOME10"/>
    <n v="10"/>
    <n v="10"/>
    <s v="Number"/>
    <n v="0"/>
    <n v="0"/>
    <n v="89.96"/>
    <n v="89.96"/>
    <n v="89.96"/>
    <s v="True"/>
    <s v="Outlier"/>
    <s v="Apple Pay"/>
    <s v="Online Store"/>
    <s v="fulfilled"/>
    <s v="Pakistan"/>
    <m/>
    <s v="Not Required"/>
    <s v="East Patricia"/>
  </r>
  <r>
    <s v="#1789"/>
    <n v="1"/>
    <d v="2026-08-04T14:01:56"/>
    <d v="2026-08-04T14:01:56"/>
    <s v="Chad Smith"/>
    <s v="Email Available"/>
    <s v="chad.smith773@icloud.com"/>
    <x v="8"/>
    <s v="Home &amp; Kitchen"/>
    <x v="9"/>
    <n v="1"/>
    <n v="24.99"/>
    <n v="24.99"/>
    <s v="BFCM25"/>
    <s v="BFCM25"/>
    <n v="6.25"/>
    <n v="6.25"/>
    <s v="Number"/>
    <n v="7.99"/>
    <n v="7.99"/>
    <n v="26.73"/>
    <n v="26.73"/>
    <n v="26.729999999999997"/>
    <s v="True"/>
    <s v="Normal"/>
    <s v="Credit Card"/>
    <s v="Online Store"/>
    <s v="fulfilled"/>
    <s v="Pakistan"/>
    <m/>
    <s v="Not Required"/>
    <s v="Port Martin"/>
  </r>
  <r>
    <s v="#1790"/>
    <n v="1"/>
    <d v="2026-08-04T14:00:40"/>
    <d v="2026-08-04T14:00:40"/>
    <s v="James Miller"/>
    <s v="Email Available"/>
    <s v="james.miller866@yahoo.com"/>
    <x v="8"/>
    <s v="Home &amp; Kitchen"/>
    <x v="9"/>
    <n v="1"/>
    <n v="24.99"/>
    <n v="24.99"/>
    <s v="SAVE20"/>
    <s v="SAVE20"/>
    <n v="5"/>
    <n v="5"/>
    <s v="Number"/>
    <n v="4.99"/>
    <n v="4.99"/>
    <n v="24.98"/>
    <n v="24.98"/>
    <n v="24.979999999999997"/>
    <s v="True"/>
    <s v="Normal"/>
    <s v="Apple Pay"/>
    <s v="POS"/>
    <s v="fulfilled"/>
    <s v="Pakistan"/>
    <m/>
    <s v="Not Required"/>
    <s v="Carrstad"/>
  </r>
  <r>
    <s v="#1802"/>
    <n v="1"/>
    <d v="2026-08-04T13:53:51"/>
    <d v="2026-08-04T13:53:51"/>
    <s v="Ronald Davis"/>
    <s v="Email Available"/>
    <s v="ronald.davis995@yahoo.com"/>
    <x v="8"/>
    <s v="Home &amp; Kitchen"/>
    <x v="9"/>
    <n v="1"/>
    <n v="24.99"/>
    <n v="24.99"/>
    <s v="VIP15"/>
    <s v="VIP15"/>
    <n v="3.75"/>
    <n v="3.75"/>
    <s v="Number"/>
    <n v="4.99"/>
    <n v="4.99"/>
    <n v="26.23"/>
    <n v="26.23"/>
    <n v="26.229999999999997"/>
    <s v="True"/>
    <s v="Normal"/>
    <s v="PayPal"/>
    <s v="Instagram"/>
    <s v="fulfilled"/>
    <s v="Pakistan"/>
    <m/>
    <s v="Not Required"/>
    <s v="Nicoletown"/>
  </r>
  <r>
    <s v="#1823"/>
    <n v="1"/>
    <d v="2026-04-08T00:00:00"/>
    <s v="08/04/2026"/>
    <s v="Kathryn Robinson"/>
    <s v="Email Available"/>
    <s v="kathryn.robinson965@gmail.com"/>
    <x v="8"/>
    <s v="Home &amp; Kitchen"/>
    <x v="9"/>
    <n v="2"/>
    <n v="24.99"/>
    <n v="24.99"/>
    <m/>
    <s v=""/>
    <n v="0"/>
    <n v="0"/>
    <s v="Number"/>
    <n v="4.99"/>
    <n v="4.99"/>
    <n v="54.97"/>
    <n v="54.97"/>
    <n v="54.97"/>
    <s v="True"/>
    <s v="Normal"/>
    <s v="PayPal"/>
    <s v="Instagram"/>
    <s v="fulfilled"/>
    <s v="United Kingdom"/>
    <m/>
    <s v="Not Required"/>
    <s v="Port Rebecca"/>
  </r>
  <r>
    <s v="#1844"/>
    <n v="1"/>
    <d v="2026-08-04T14:07:19"/>
    <d v="2026-08-04T14:07:19"/>
    <s v="Rebecca Watts"/>
    <s v="Email Available"/>
    <s v="rebecca.watts779@gmail.com"/>
    <x v="8"/>
    <s v="Home &amp; Kitchen"/>
    <x v="9"/>
    <n v="1"/>
    <n v="24.99"/>
    <n v="24.99"/>
    <s v="WELCOME10"/>
    <s v="WELCOME10"/>
    <n v="2.5"/>
    <n v="2.5"/>
    <s v="Number"/>
    <n v="4.99"/>
    <n v="4.99"/>
    <n v="27.48"/>
    <n v="27.48"/>
    <n v="27.479999999999997"/>
    <s v="True"/>
    <s v="Normal"/>
    <s v="PayPal"/>
    <s v="Instagram"/>
    <s v="fulfilled"/>
    <s v="United States"/>
    <s v="Arizona"/>
    <s v="Valid"/>
    <s v="Katherinestad"/>
  </r>
  <r>
    <s v="#1897"/>
    <n v="1"/>
    <d v="2026-08-04T13:58:08"/>
    <d v="2026-08-04T13:58:08"/>
    <s v="Anthony Patterson"/>
    <s v="Email Available"/>
    <s v="anthony.patterson944@gmail.com"/>
    <x v="8"/>
    <s v="Home &amp; Kitchen"/>
    <x v="9"/>
    <n v="1"/>
    <n v="24.99"/>
    <n v="24.99"/>
    <m/>
    <s v=""/>
    <n v="0"/>
    <n v="0"/>
    <s v="Number"/>
    <n v="5.99"/>
    <n v="5.99"/>
    <n v="30.98"/>
    <n v="30.98"/>
    <n v="30.979999999999997"/>
    <s v="True"/>
    <s v="Normal"/>
    <s v="Credit Card"/>
    <s v="Instagram"/>
    <s v="fulfilled"/>
    <s v="Pakistan"/>
    <m/>
    <s v="Not Required"/>
    <s v="Wilkersonberg"/>
  </r>
  <r>
    <s v="#1958"/>
    <n v="1"/>
    <d v="2026-08-04T13:54:41"/>
    <d v="2026-08-04T13:54:41"/>
    <s v="Angela Carr"/>
    <s v="Email Available"/>
    <s v="angela.carr488@yahoo.com"/>
    <x v="8"/>
    <s v="Home &amp; Kitchen"/>
    <x v="9"/>
    <n v="2"/>
    <n v="24.99"/>
    <n v="24.99"/>
    <s v="FREESHIP"/>
    <s v="FREESHIP"/>
    <n v="0"/>
    <n v="0"/>
    <s v="Number"/>
    <n v="0"/>
    <n v="0"/>
    <n v="49.98"/>
    <n v="49.98"/>
    <n v="49.98"/>
    <s v="True"/>
    <s v="Normal"/>
    <s v="Credit Card"/>
    <s v="POS"/>
    <s v="fulfilled"/>
    <s v="United States"/>
    <s v="NC"/>
    <s v="Valid"/>
    <s v="Lake Erica"/>
  </r>
  <r>
    <s v="#1964"/>
    <n v="1"/>
    <d v="2026-08-04T14:03:49"/>
    <d v="2026-08-04T14:03:49"/>
    <s v="Julia Atkinson"/>
    <s v="Email Available"/>
    <s v="julia.atkinson939@gmail.com"/>
    <x v="8"/>
    <s v="Home &amp; Kitchen"/>
    <x v="9"/>
    <n v="1"/>
    <n v="24.99"/>
    <n v="24.99"/>
    <s v="WELCOME10"/>
    <s v="WELCOME10"/>
    <n v="2.5"/>
    <n v="2.5"/>
    <s v="Number"/>
    <n v="4.99"/>
    <n v="4.99"/>
    <n v="27.48"/>
    <n v="27.48"/>
    <n v="27.479999999999997"/>
    <s v="True"/>
    <s v="Normal"/>
    <s v="Credit Card"/>
    <s v="Online Store"/>
    <s v="pending"/>
    <s v="Canada"/>
    <m/>
    <s v="Not Required"/>
    <s v="New Devin"/>
  </r>
  <r>
    <s v="#1989"/>
    <n v="1"/>
    <d v="2026-08-04T13:53:47"/>
    <d v="2026-08-04T13:53:47"/>
    <s v="Amanda Harris"/>
    <s v="Email Available"/>
    <s v="amanda.harris197@gmail.com"/>
    <x v="8"/>
    <s v="Home &amp; Kitchen"/>
    <x v="9"/>
    <n v="2"/>
    <n v="24.99"/>
    <n v="24.99"/>
    <s v="FREESHIP"/>
    <s v="FREESHIP"/>
    <n v="0"/>
    <n v="0"/>
    <s v="Number"/>
    <n v="0"/>
    <n v="0"/>
    <s v="$49.98"/>
    <n v="49.98"/>
    <n v="49.98"/>
    <s v="True"/>
    <s v="Normal"/>
    <s v="Google Pay"/>
    <s v="Facebook"/>
    <s v="fulfilled"/>
    <s v="United States"/>
    <s v="New York"/>
    <s v="Valid"/>
    <s v="North James"/>
  </r>
  <r>
    <s v="#2038"/>
    <n v="1"/>
    <d v="2026-08-04T13:59:23"/>
    <d v="2026-08-04T13:59:23"/>
    <s v="Heather Davis"/>
    <s v="Email Available"/>
    <s v="heather.davis117@icloud.com"/>
    <x v="8"/>
    <s v="Home &amp; Kitchen"/>
    <x v="9"/>
    <n v="3"/>
    <n v="24.99"/>
    <n v="24.99"/>
    <m/>
    <s v=""/>
    <n v="0"/>
    <n v="0"/>
    <s v="Number"/>
    <n v="7.99"/>
    <n v="7.99"/>
    <n v="82.96"/>
    <n v="82.96"/>
    <n v="82.96"/>
    <s v="True"/>
    <s v="Outlier"/>
    <s v="Google Pay"/>
    <s v="Instagram"/>
    <s v="fulfilled"/>
    <s v="Germany"/>
    <m/>
    <s v="Not Required"/>
    <s v="Donovanburgh"/>
  </r>
  <r>
    <s v="#2110"/>
    <n v="1"/>
    <d v="2026-08-04T14:00:46"/>
    <d v="2026-08-04T14:00:46"/>
    <s v="Zachary Hanson"/>
    <s v="Email Available"/>
    <s v="zachary.hanson261@outlook.com"/>
    <x v="8"/>
    <s v="Home &amp; Kitchen"/>
    <x v="9"/>
    <n v="1"/>
    <n v="24.99"/>
    <n v="24.99"/>
    <s v="BFCM25"/>
    <s v="BFCM25"/>
    <n v="6.25"/>
    <n v="6.25"/>
    <s v="Number"/>
    <n v="4.99"/>
    <n v="4.99"/>
    <n v="23.73"/>
    <n v="23.73"/>
    <n v="23.729999999999997"/>
    <s v="True"/>
    <s v="Normal"/>
    <s v="Apple Pay"/>
    <s v="Facebook"/>
    <s v="pending"/>
    <s v="United States"/>
    <s v="WA"/>
    <s v="Valid"/>
    <s v="West Lesliefurt"/>
  </r>
  <r>
    <s v="#2144"/>
    <n v="1"/>
    <d v="2026-08-04T13:57:05"/>
    <d v="2026-08-04T13:57:05"/>
    <s v="Alan Davis"/>
    <s v="Email Available"/>
    <s v="alan.davis483@icloud.com"/>
    <x v="8"/>
    <s v="Home &amp; Kitchen"/>
    <x v="9"/>
    <n v="1"/>
    <n v="24.99"/>
    <n v="24.99"/>
    <m/>
    <s v=""/>
    <n v="0"/>
    <n v="0"/>
    <s v="Number"/>
    <n v="4.99"/>
    <n v="4.99"/>
    <s v="$29.98"/>
    <n v="29.98"/>
    <n v="29.979999999999997"/>
    <s v="True"/>
    <s v="Normal"/>
    <s v="Credit Card"/>
    <s v="Facebook"/>
    <s v="cancelled"/>
    <s v="Canada"/>
    <m/>
    <s v="Not Required"/>
    <s v="East Margaret"/>
  </r>
  <r>
    <s v="#2159"/>
    <n v="1"/>
    <d v="2026-08-04T13:59:37"/>
    <d v="2026-08-04T13:59:37"/>
    <s v="Angela Rose"/>
    <s v="Email Available"/>
    <s v="angela.rose740@outlook.com"/>
    <x v="8"/>
    <s v="Home &amp; Kitchen"/>
    <x v="9"/>
    <n v="1"/>
    <n v="24.99"/>
    <n v="24.99"/>
    <m/>
    <s v=""/>
    <n v="0"/>
    <n v="0"/>
    <s v="Number"/>
    <n v="4.99"/>
    <n v="4.99"/>
    <n v="29.98"/>
    <n v="29.98"/>
    <n v="29.979999999999997"/>
    <s v="True"/>
    <s v="Normal"/>
    <s v="Shopify Payments"/>
    <s v="POS"/>
    <s v="fulfilled"/>
    <s v="United States"/>
    <s v="Georgia"/>
    <s v="Valid"/>
    <s v="Lake Jameston"/>
  </r>
  <r>
    <s v="#2162"/>
    <n v="1"/>
    <d v="2026-08-04T13:55:46"/>
    <d v="2026-08-04T13:55:46"/>
    <s v="Anthony Krueger"/>
    <s v="Email Available"/>
    <s v="anthony.krueger812@yahoo.com"/>
    <x v="8"/>
    <s v="Home &amp; Kitchen"/>
    <x v="9"/>
    <n v="2"/>
    <n v="24.99"/>
    <n v="24.99"/>
    <s v="SAVE20"/>
    <s v="SAVE20"/>
    <n v="10"/>
    <n v="10"/>
    <s v="Number"/>
    <n v="5.99"/>
    <n v="5.99"/>
    <n v="45.97"/>
    <n v="45.97"/>
    <n v="45.97"/>
    <s v="True"/>
    <s v="Normal"/>
    <s v="Shopify Payments"/>
    <s v="Instagram"/>
    <s v="fulfilled"/>
    <s v="Pakistan"/>
    <m/>
    <s v="Not Required"/>
    <s v="Joditon"/>
  </r>
  <r>
    <s v="#2184"/>
    <n v="1"/>
    <d v="2026-08-04T14:04:43"/>
    <d v="2026-08-04T14:04:43"/>
    <s v="AMANDA ROBINSON"/>
    <s v="Email Available"/>
    <s v="amanda.robinson263@icloud.com"/>
    <x v="8"/>
    <s v="Home &amp; Kitchen"/>
    <x v="9"/>
    <n v="2"/>
    <n v="24.99"/>
    <n v="24.99"/>
    <s v="FREESHIP"/>
    <s v="FREESHIP"/>
    <n v="0"/>
    <n v="0"/>
    <s v="Number"/>
    <n v="0"/>
    <n v="0"/>
    <n v="49.98"/>
    <n v="49.98"/>
    <n v="49.98"/>
    <s v="True"/>
    <s v="Normal"/>
    <s v="Shopify Payments"/>
    <s v="Instagram"/>
    <s v="fulfilled"/>
    <s v="United States"/>
    <s v="Ohio"/>
    <s v="Valid"/>
    <s v="New Jameschester"/>
  </r>
  <r>
    <s v="#2190"/>
    <n v="1"/>
    <d v="2026-08-04T13:54:42"/>
    <d v="2026-08-04T13:54:42"/>
    <s v="marie rose"/>
    <s v="Email Available"/>
    <s v="marie.rose93@gmail.com"/>
    <x v="8"/>
    <s v="Home &amp; Kitchen"/>
    <x v="9"/>
    <n v="1"/>
    <s v="$24.99"/>
    <n v="24.99"/>
    <s v="BFCM25"/>
    <s v="BFCM25"/>
    <n v="6.25"/>
    <n v="6.25"/>
    <s v="Number"/>
    <n v="5.99"/>
    <n v="5.99"/>
    <n v="24.73"/>
    <n v="24.73"/>
    <n v="24.729999999999997"/>
    <s v="True"/>
    <s v="Normal"/>
    <s v="Apple Pay"/>
    <s v="Instagram"/>
    <s v="fulfilled"/>
    <s v="United States"/>
    <s v="Georgia"/>
    <s v="Valid"/>
    <s v="Shannonfort"/>
  </r>
  <r>
    <s v="#2229"/>
    <n v="1"/>
    <d v="2026-08-04T14:04:28"/>
    <d v="2026-08-04T14:04:28"/>
    <s v="Diane Harper"/>
    <s v="Email Available"/>
    <s v="diane.harper925@gmail.com"/>
    <x v="8"/>
    <s v="Home &amp; Kitchen"/>
    <x v="9"/>
    <n v="2"/>
    <n v="24.99"/>
    <n v="24.99"/>
    <s v="VIP15"/>
    <s v="VIP15"/>
    <n v="7.5"/>
    <n v="7.5"/>
    <s v="Number"/>
    <n v="5.99"/>
    <n v="5.99"/>
    <n v="48.47"/>
    <n v="48.47"/>
    <n v="48.47"/>
    <s v="True"/>
    <s v="Normal"/>
    <s v="PayPal"/>
    <s v="Instagram"/>
    <s v="cancelled"/>
    <s v="United States"/>
    <s v="Washington"/>
    <s v="Valid"/>
    <s v="North Jennifer"/>
  </r>
  <r>
    <s v="#2240"/>
    <n v="1"/>
    <d v="2026-08-04T14:01:53"/>
    <d v="2026-08-04T14:01:53"/>
    <s v="Rose English"/>
    <s v="Email Available"/>
    <s v="rose.english118@icloud.com"/>
    <x v="8"/>
    <s v="Home &amp; Kitchen"/>
    <x v="9"/>
    <n v="1"/>
    <n v="24.99"/>
    <n v="24.99"/>
    <s v="WELCOME10"/>
    <s v="WELCOME10"/>
    <n v="2.5"/>
    <n v="2.5"/>
    <s v="Number"/>
    <n v="5.99"/>
    <n v="5.99"/>
    <n v="28.48"/>
    <n v="28.48"/>
    <n v="28.479999999999997"/>
    <s v="True"/>
    <s v="Normal"/>
    <s v="Credit Card"/>
    <s v="POS"/>
    <s v="fulfilled"/>
    <s v="Germany"/>
    <m/>
    <s v="Not Required"/>
    <s v="North Lisa"/>
  </r>
  <r>
    <s v="#2251"/>
    <n v="1"/>
    <d v="2026-08-04T14:02:49"/>
    <d v="2026-08-04T14:02:49"/>
    <s v="Ian Morris"/>
    <s v="Email Available"/>
    <s v="ian.morris90@outlook.com"/>
    <x v="8"/>
    <s v="Home &amp; Kitchen"/>
    <x v="9"/>
    <n v="1"/>
    <n v="24.99"/>
    <n v="24.99"/>
    <m/>
    <s v=""/>
    <n v="0"/>
    <n v="0"/>
    <s v="Number"/>
    <n v="7.99"/>
    <n v="7.99"/>
    <n v="32.979999999999997"/>
    <n v="32.979999999999997"/>
    <n v="32.979999999999997"/>
    <s v="True"/>
    <s v="Normal"/>
    <s v="Shopify Payments"/>
    <s v="Online Store"/>
    <s v="refunded"/>
    <s v="Pakistan"/>
    <m/>
    <s v="Not Required"/>
    <s v="East Patriciaborough"/>
  </r>
  <r>
    <s v="#2255"/>
    <n v="1"/>
    <d v="2026-08-04T14:03:36"/>
    <d v="2026-08-04T14:03:36"/>
    <s v="Angela Carr"/>
    <s v="Email Available"/>
    <s v="angela.carr488@yahoo.com"/>
    <x v="8"/>
    <s v="Home &amp; Kitchen"/>
    <x v="9"/>
    <n v="1"/>
    <n v="24.99"/>
    <n v="24.99"/>
    <m/>
    <s v=""/>
    <n v="0"/>
    <n v="0"/>
    <s v="Number"/>
    <n v="5.99"/>
    <n v="5.99"/>
    <n v="30.98"/>
    <n v="30.98"/>
    <n v="30.979999999999997"/>
    <s v="True"/>
    <s v="Normal"/>
    <s v="PayPal"/>
    <s v="Online Store"/>
    <s v="fulfilled"/>
    <s v="United States"/>
    <s v="California"/>
    <s v="Valid"/>
    <s v="East Tammybury"/>
  </r>
  <r>
    <s v="#2275"/>
    <n v="1"/>
    <d v="2026-08-04T14:02:08"/>
    <d v="2026-08-04T14:02:08"/>
    <s v="Tiffany Jones"/>
    <s v="Email Available"/>
    <s v="tiffany.jones564@outlook.com"/>
    <x v="8"/>
    <s v="Home &amp; Kitchen"/>
    <x v="9"/>
    <n v="2"/>
    <n v="24.99"/>
    <n v="24.99"/>
    <s v="FREESHIP"/>
    <s v="FREESHIP"/>
    <s v="$0.00"/>
    <n v="0"/>
    <s v="Number"/>
    <n v="0"/>
    <n v="0"/>
    <n v="49.98"/>
    <n v="49.98"/>
    <n v="49.98"/>
    <s v="True"/>
    <s v="Normal"/>
    <s v="Apple Pay"/>
    <s v="Instagram"/>
    <s v="refunded"/>
    <s v="Germany"/>
    <m/>
    <s v="Not Required"/>
    <s v="East Patriciahaven"/>
  </r>
  <r>
    <s v="#2299"/>
    <n v="1"/>
    <d v="2026-08-04T14:08:06"/>
    <d v="2026-08-04T14:08:06"/>
    <s v="Tina Singh"/>
    <s v="Email Available"/>
    <s v="tina.singh98@icloud.com"/>
    <x v="8"/>
    <s v="Home &amp; Kitchen"/>
    <x v="9"/>
    <n v="1"/>
    <n v="24.99"/>
    <n v="24.99"/>
    <m/>
    <s v=""/>
    <n v="0"/>
    <n v="0"/>
    <s v="Number"/>
    <n v="7.99"/>
    <n v="7.99"/>
    <n v="32.979999999999997"/>
    <n v="32.979999999999997"/>
    <n v="32.979999999999997"/>
    <s v="True"/>
    <s v="Normal"/>
    <s v="PayPal"/>
    <s v="Online Store"/>
    <s v="fulfilled"/>
    <s v="United States"/>
    <s v="Georgia"/>
    <s v="Valid"/>
    <s v="Port Alejandrohaven"/>
  </r>
  <r>
    <s v="#2306"/>
    <n v="1"/>
    <d v="2026-08-04T14:03:23"/>
    <d v="2026-08-04T14:03:23"/>
    <s v="Kimberly Estrada"/>
    <s v="Email Available"/>
    <s v="kimberly.estrada858@gmail.com"/>
    <x v="8"/>
    <s v="Home &amp; Kitchen"/>
    <x v="9"/>
    <n v="2"/>
    <n v="24.99"/>
    <n v="24.99"/>
    <s v="VIP15"/>
    <s v="VIP15"/>
    <n v="7.5"/>
    <n v="7.5"/>
    <s v="Number"/>
    <n v="4.99"/>
    <n v="4.99"/>
    <n v="47.47"/>
    <n v="47.47"/>
    <n v="47.47"/>
    <s v="True"/>
    <s v="Normal"/>
    <s v="Google Pay"/>
    <s v="POS"/>
    <s v="pending"/>
    <s v="Canada"/>
    <m/>
    <s v="Not Required"/>
    <s v="Grimesport"/>
  </r>
  <r>
    <s v="#2330"/>
    <n v="1"/>
    <d v="2026-04-08T00:00:00"/>
    <s v="08/04/2026"/>
    <s v="Mary Garcia"/>
    <s v="Email Available"/>
    <s v="mary.garcia899@icloud.com"/>
    <x v="8"/>
    <s v="Home &amp; Kitchen"/>
    <x v="9"/>
    <n v="1"/>
    <n v="24.99"/>
    <n v="24.99"/>
    <m/>
    <s v=""/>
    <n v="0"/>
    <n v="0"/>
    <s v="Number"/>
    <n v="5.99"/>
    <n v="5.99"/>
    <n v="30.98"/>
    <n v="30.98"/>
    <n v="30.979999999999997"/>
    <s v="True"/>
    <s v="Normal"/>
    <s v="Apple Pay"/>
    <s v="Facebook"/>
    <s v="fulfilled"/>
    <s v="Canada"/>
    <m/>
    <s v="Not Required"/>
    <s v="Rossland"/>
  </r>
  <r>
    <s v="#2364"/>
    <n v="1"/>
    <d v="2026-08-04T13:55:33"/>
    <d v="2026-08-04T13:55:33"/>
    <s v="Lauren Nguyen"/>
    <s v="Email Available"/>
    <s v="lauren.nguyen819@outlook.com"/>
    <x v="8"/>
    <s v="Home &amp; Kitchen"/>
    <x v="9"/>
    <n v="1"/>
    <n v="24.99"/>
    <n v="24.99"/>
    <s v="WELCOME10"/>
    <s v="WELCOME10"/>
    <n v="2.5"/>
    <n v="2.5"/>
    <s v="Number"/>
    <n v="4.99"/>
    <n v="4.99"/>
    <n v="27.48"/>
    <n v="27.48"/>
    <n v="27.479999999999997"/>
    <s v="True"/>
    <s v="Normal"/>
    <s v="PayPal"/>
    <s v="Instagram"/>
    <s v="fulfilled"/>
    <s v="United Kingdom"/>
    <m/>
    <s v="Not Required"/>
    <s v="New Alyssa"/>
  </r>
  <r>
    <s v="#2368"/>
    <n v="1"/>
    <d v="2026-08-04T13:57:06"/>
    <d v="2026-08-04T13:57:06"/>
    <s v="James Miller"/>
    <s v="Email Available"/>
    <s v="james.miller866@yahoo.com"/>
    <x v="8"/>
    <s v="Home &amp; Kitchen"/>
    <x v="9"/>
    <n v="1"/>
    <n v="24.99"/>
    <n v="24.99"/>
    <s v="SAVE20"/>
    <s v="SAVE20"/>
    <n v="5"/>
    <n v="5"/>
    <s v="Number"/>
    <n v="7.99"/>
    <n v="7.99"/>
    <n v="27.98"/>
    <n v="27.98"/>
    <n v="27.979999999999997"/>
    <s v="True"/>
    <s v="Normal"/>
    <s v="Google Pay"/>
    <s v="Online Store"/>
    <s v="refunded"/>
    <s v="Pakistan"/>
    <m/>
    <s v="Not Required"/>
    <s v="South Marciafurt"/>
  </r>
  <r>
    <s v="#2411"/>
    <n v="1"/>
    <d v="2026-08-04T14:07:54"/>
    <d v="2026-08-04T14:07:54"/>
    <s v="  Cheryl Coleman"/>
    <s v="Email Available"/>
    <s v="cheryl.coleman261@icloud.com"/>
    <x v="8"/>
    <s v="Home &amp; Kitchen"/>
    <x v="9"/>
    <n v="2"/>
    <n v="24.99"/>
    <n v="24.99"/>
    <s v="WELCOME10"/>
    <s v="WELCOME10"/>
    <n v="5"/>
    <n v="5"/>
    <s v="Number"/>
    <n v="7.99"/>
    <n v="7.99"/>
    <n v="52.97"/>
    <n v="52.97"/>
    <n v="52.97"/>
    <s v="True"/>
    <s v="Normal"/>
    <s v="Credit Card"/>
    <s v="POS"/>
    <s v="fulfilled"/>
    <s v="Pakistan"/>
    <m/>
    <s v="Not Required"/>
    <s v="West Jasonborough"/>
  </r>
  <r>
    <s v="#2427"/>
    <n v="1"/>
    <d v="2026-08-04T00:00:00"/>
    <s v="04-08-2026 14:00"/>
    <s v="Mary Garcia"/>
    <s v="Email Available"/>
    <s v="mary.garcia899@icloud.com"/>
    <x v="8"/>
    <s v="Home &amp; Kitchen"/>
    <x v="9"/>
    <n v="1"/>
    <n v="24.99"/>
    <n v="24.99"/>
    <s v="BFCM25"/>
    <s v="BFCM25"/>
    <n v="6.25"/>
    <n v="6.25"/>
    <s v="Number"/>
    <n v="5.99"/>
    <n v="5.99"/>
    <n v="24.73"/>
    <n v="24.73"/>
    <n v="24.729999999999997"/>
    <s v="True"/>
    <s v="Normal"/>
    <s v="Credit Card"/>
    <s v="Instagram"/>
    <s v="pending"/>
    <s v="Canada"/>
    <m/>
    <s v="Not Required"/>
    <s v="South Garyside"/>
  </r>
  <r>
    <s v="#2442"/>
    <n v="1"/>
    <d v="2026-08-04T13:58:48"/>
    <d v="2026-08-04T13:58:48"/>
    <s v="David Duke"/>
    <s v="Email Available"/>
    <s v="david.duke814@icloud.com"/>
    <x v="8"/>
    <s v="Home &amp; Kitchen"/>
    <x v="9"/>
    <n v="2"/>
    <n v="24.99"/>
    <n v="24.99"/>
    <s v="FREESHIP"/>
    <s v="FREESHIP"/>
    <n v="0"/>
    <n v="0"/>
    <s v="Number"/>
    <n v="0"/>
    <n v="0"/>
    <n v="49.98"/>
    <n v="49.98"/>
    <n v="49.98"/>
    <s v="True"/>
    <s v="Normal"/>
    <s v="Google Pay"/>
    <s v="Instagram"/>
    <s v="fulfilled"/>
    <s v="United States"/>
    <s v="Texas"/>
    <s v="Valid"/>
    <s v="Martinezshire"/>
  </r>
  <r>
    <s v="#2450"/>
    <n v="1"/>
    <d v="2026-08-04T14:03:06"/>
    <d v="2026-08-04T14:03:06"/>
    <s v="Glenn Smith"/>
    <s v="Email Available"/>
    <s v="glenn.smith305@gmail.com"/>
    <x v="8"/>
    <s v="Home &amp; Kitchen"/>
    <x v="9"/>
    <n v="2"/>
    <n v="24.99"/>
    <n v="24.99"/>
    <s v="FREESHIP"/>
    <s v="FREESHIP"/>
    <n v="0"/>
    <n v="0"/>
    <s v="Number"/>
    <n v="0"/>
    <n v="0"/>
    <n v="49.98"/>
    <n v="49.98"/>
    <n v="49.98"/>
    <s v="True"/>
    <s v="Normal"/>
    <s v="PayPal"/>
    <s v="Online Store"/>
    <s v="fulfilled"/>
    <s v="Canada"/>
    <m/>
    <s v="Not Required"/>
    <s v="Rebeccamouth"/>
  </r>
  <r>
    <s v="#2461"/>
    <n v="1"/>
    <d v="2026-04-08T00:00:00"/>
    <s v="08/04/2026"/>
    <s v="Megan Dickson"/>
    <s v="Email Available"/>
    <s v="megan.dickson508@gmail.com"/>
    <x v="8"/>
    <s v="Home &amp; Kitchen"/>
    <x v="9"/>
    <n v="1"/>
    <n v="24.99"/>
    <n v="24.99"/>
    <m/>
    <s v=""/>
    <s v="$0.00"/>
    <n v="0"/>
    <s v="Number"/>
    <n v="4.99"/>
    <n v="4.99"/>
    <s v="$29.98"/>
    <n v="29.98"/>
    <n v="29.979999999999997"/>
    <s v="True"/>
    <s v="Normal"/>
    <s v="Google Pay"/>
    <s v="Facebook"/>
    <s v="cancelled"/>
    <s v="United Kingdom"/>
    <m/>
    <s v="Not Required"/>
    <s v="Pearsonchester"/>
  </r>
  <r>
    <s v="#2498"/>
    <n v="1"/>
    <d v="2026-08-04T13:57:19"/>
    <d v="2026-08-04T13:57:19"/>
    <s v="Linda Byrd"/>
    <s v="Email Available"/>
    <s v="linda.byrd87@outlook.com"/>
    <x v="8"/>
    <s v="Home &amp; Kitchen"/>
    <x v="9"/>
    <n v="1"/>
    <n v="24.99"/>
    <n v="24.99"/>
    <m/>
    <s v=""/>
    <n v="0"/>
    <n v="0"/>
    <s v="Number"/>
    <n v="7.99"/>
    <n v="7.99"/>
    <n v="32.979999999999997"/>
    <n v="32.979999999999997"/>
    <n v="32.979999999999997"/>
    <s v="True"/>
    <s v="Normal"/>
    <s v="Shopify Payments"/>
    <s v="POS"/>
    <s v="fulfilled"/>
    <s v="United States"/>
    <s v="Illinois"/>
    <s v="Valid"/>
    <s v="Cooperchester"/>
  </r>
  <r>
    <s v="#2506"/>
    <n v="1"/>
    <d v="2026-08-04T14:05:04"/>
    <d v="2026-08-04T14:05:04"/>
    <s v="Monica Becker"/>
    <s v="Email Available"/>
    <s v="monica.becker291@outlook.com"/>
    <x v="8"/>
    <s v="Home &amp; Kitchen"/>
    <x v="9"/>
    <n v="1"/>
    <n v="24.99"/>
    <n v="24.99"/>
    <m/>
    <s v=""/>
    <n v="0"/>
    <n v="0"/>
    <s v="Number"/>
    <n v="5.99"/>
    <n v="5.99"/>
    <n v="30.98"/>
    <n v="30.98"/>
    <n v="30.979999999999997"/>
    <s v="True"/>
    <s v="Normal"/>
    <s v="PayPal"/>
    <s v="Online Store"/>
    <s v="fulfilled"/>
    <s v="Canada"/>
    <m/>
    <s v="Not Required"/>
    <s v="Ryanshire"/>
  </r>
  <r>
    <s v="#2511"/>
    <n v="1"/>
    <d v="2026-08-04T13:55:21"/>
    <d v="2026-08-04T13:55:21"/>
    <s v="Paul Mills"/>
    <s v="Email Available"/>
    <s v="paul.mills467@gmail.com"/>
    <x v="8"/>
    <s v="Home &amp; Kitchen"/>
    <x v="9"/>
    <n v="1"/>
    <n v="24.99"/>
    <n v="24.99"/>
    <s v="WELCOME10"/>
    <s v="WELCOME10"/>
    <n v="2.5"/>
    <n v="2.5"/>
    <s v="Number"/>
    <n v="4.99"/>
    <n v="4.99"/>
    <n v="27.48"/>
    <n v="27.48"/>
    <n v="27.479999999999997"/>
    <s v="True"/>
    <s v="Normal"/>
    <s v="Credit Card"/>
    <s v="Online Store"/>
    <s v="fulfilled"/>
    <s v="United States"/>
    <s v="Ohio"/>
    <s v="Valid"/>
    <s v="West Tabithamouth"/>
  </r>
  <r>
    <s v="#2521"/>
    <n v="1"/>
    <d v="2026-08-04T13:57:44"/>
    <d v="2026-08-04T13:57:44"/>
    <s v="Aimee Smith"/>
    <s v="Email Available"/>
    <s v="aimee.smith857@icloud.com"/>
    <x v="8"/>
    <s v="Home &amp; Kitchen"/>
    <x v="9"/>
    <n v="1"/>
    <n v="24.99"/>
    <n v="24.99"/>
    <m/>
    <s v=""/>
    <n v="0"/>
    <n v="0"/>
    <s v="Number"/>
    <n v="4.99"/>
    <n v="4.99"/>
    <n v="29.98"/>
    <n v="29.98"/>
    <n v="29.979999999999997"/>
    <s v="True"/>
    <s v="Normal"/>
    <s v="Credit Card"/>
    <s v="POS"/>
    <s v="pending"/>
    <s v="United Kingdom"/>
    <m/>
    <s v="Not Required"/>
    <s v="Frenchbury"/>
  </r>
  <r>
    <s v="#2523"/>
    <n v="1"/>
    <d v="2026-08-04T14:04:00"/>
    <d v="2026-08-04T14:04:00"/>
    <s v="Kenneth Coleman"/>
    <s v="Email Available"/>
    <s v="kenneth.coleman447@icloud.com"/>
    <x v="8"/>
    <s v="Home &amp; Kitchen"/>
    <x v="9"/>
    <n v="1"/>
    <n v="24.99"/>
    <n v="24.99"/>
    <m/>
    <s v=""/>
    <n v="0"/>
    <n v="0"/>
    <s v="Number"/>
    <n v="7.99"/>
    <n v="7.99"/>
    <n v="32.979999999999997"/>
    <n v="32.979999999999997"/>
    <n v="32.979999999999997"/>
    <s v="True"/>
    <s v="Normal"/>
    <s v="Shopify Payments"/>
    <s v="Facebook"/>
    <s v="fulfilled"/>
    <s v="United States"/>
    <s v="OH"/>
    <s v="Valid"/>
    <s v="New Carolyn"/>
  </r>
  <r>
    <s v="#2570"/>
    <n v="1"/>
    <d v="2026-08-04T14:08:05"/>
    <d v="2026-08-04T14:08:05"/>
    <s v="Michael Hays"/>
    <s v="Email Available"/>
    <s v="michael.hays590@gmail.com"/>
    <x v="8"/>
    <s v="Home &amp; Kitchen"/>
    <x v="9"/>
    <n v="1"/>
    <n v="24.99"/>
    <n v="24.99"/>
    <s v="VIP15"/>
    <s v="VIP15"/>
    <n v="3.75"/>
    <n v="3.75"/>
    <s v="Number"/>
    <n v="5.99"/>
    <n v="5.99"/>
    <n v="27.23"/>
    <n v="27.23"/>
    <n v="27.229999999999997"/>
    <s v="True"/>
    <s v="Normal"/>
    <s v="PayPal"/>
    <s v="POS"/>
    <s v="pending"/>
    <s v="United States"/>
    <s v="AZ"/>
    <s v="Valid"/>
    <s v="South Andrew"/>
  </r>
  <r>
    <s v="#2580"/>
    <n v="1"/>
    <d v="2026-08-04T13:59:57"/>
    <d v="2026-08-04T13:59:57"/>
    <s v="Oliver, Shawn"/>
    <s v="Email Available"/>
    <s v="shawn.oliver540@icloud.com"/>
    <x v="8"/>
    <s v="Home &amp; Kitchen"/>
    <x v="9"/>
    <n v="1"/>
    <n v="24.99"/>
    <n v="24.99"/>
    <m/>
    <s v=""/>
    <s v="$0.00"/>
    <n v="0"/>
    <s v="Number"/>
    <n v="5.99"/>
    <n v="5.99"/>
    <n v="30.98"/>
    <n v="30.98"/>
    <n v="30.979999999999997"/>
    <s v="True"/>
    <s v="Normal"/>
    <s v="Credit Card"/>
    <s v="Online Store"/>
    <s v="pending"/>
    <s v="Canada"/>
    <m/>
    <s v="Not Required"/>
    <s v="Rivasmouth"/>
  </r>
  <r>
    <s v="#2614"/>
    <n v="1"/>
    <d v="2026-08-04T13:59:05"/>
    <d v="2026-08-04T13:59:05"/>
    <s v="Christopher Harrington"/>
    <s v="Email Available"/>
    <s v="christopher.harrington960@gmail.com"/>
    <x v="8"/>
    <s v="Home &amp; Kitchen"/>
    <x v="9"/>
    <n v="2"/>
    <n v="24.99"/>
    <n v="24.99"/>
    <m/>
    <s v=""/>
    <n v="0"/>
    <n v="0"/>
    <s v="Number"/>
    <n v="4.99"/>
    <n v="4.99"/>
    <n v="54.97"/>
    <n v="54.97"/>
    <n v="54.97"/>
    <s v="True"/>
    <s v="Normal"/>
    <s v="Google Pay"/>
    <s v="Online Store"/>
    <s v="refunded"/>
    <s v="Australia"/>
    <m/>
    <s v="Not Required"/>
    <s v="South Douglas"/>
  </r>
  <r>
    <s v="#2654"/>
    <n v="1"/>
    <d v="2026-08-04T13:53:51"/>
    <d v="2026-08-04T13:53:51"/>
    <s v="Amy Thompson"/>
    <s v="Email Available"/>
    <s v="amy.thompson410@outlook.com"/>
    <x v="8"/>
    <s v="Home &amp; Kitchen"/>
    <x v="9"/>
    <n v="1"/>
    <n v="24.99"/>
    <n v="24.99"/>
    <s v="BFCM25"/>
    <s v="BFCM25"/>
    <n v="6.25"/>
    <n v="6.25"/>
    <s v="Number"/>
    <n v="5.99"/>
    <n v="5.99"/>
    <n v="24.73"/>
    <n v="24.73"/>
    <n v="24.729999999999997"/>
    <s v="True"/>
    <s v="Normal"/>
    <s v="PayPal"/>
    <s v="POS"/>
    <s v="fulfilled"/>
    <s v="United States"/>
    <s v="Arizona"/>
    <s v="Valid"/>
    <s v="Aguilarmouth"/>
  </r>
  <r>
    <s v="#2663"/>
    <n v="1"/>
    <d v="2026-08-04T14:08:19"/>
    <d v="2026-08-04T14:08:19"/>
    <s v="  Dustin Griffin"/>
    <s v="Email Available"/>
    <s v="dustin.griffin434@gmail.com"/>
    <x v="8"/>
    <s v="Home &amp; Kitchen"/>
    <x v="9"/>
    <n v="1"/>
    <n v="24.99"/>
    <n v="24.99"/>
    <s v="BFCM25"/>
    <s v="BFCM25"/>
    <n v="6.25"/>
    <n v="6.25"/>
    <s v="Number"/>
    <n v="7.99"/>
    <n v="7.99"/>
    <n v="26.73"/>
    <n v="26.73"/>
    <n v="26.729999999999997"/>
    <s v="True"/>
    <s v="Normal"/>
    <s v="PayPal"/>
    <s v="Instagram"/>
    <s v="refunded"/>
    <s v="United States"/>
    <s v="North Carolina"/>
    <s v="Valid"/>
    <s v="Lauraburgh"/>
  </r>
  <r>
    <s v="#2693"/>
    <n v="1"/>
    <d v="2026-08-04T14:06:36"/>
    <d v="2026-08-04T14:06:36"/>
    <s v="Christy Phillips"/>
    <s v="Email Available"/>
    <s v="christy.phillips291@gmail.com"/>
    <x v="8"/>
    <s v="Home &amp; Kitchen"/>
    <x v="9"/>
    <n v="1"/>
    <n v="24.99"/>
    <n v="24.99"/>
    <s v="WELCOME10"/>
    <s v="WELCOME10"/>
    <n v="2.5"/>
    <n v="2.5"/>
    <s v="Number"/>
    <n v="4.99"/>
    <n v="4.99"/>
    <n v="27.48"/>
    <n v="27.48"/>
    <n v="27.479999999999997"/>
    <s v="True"/>
    <s v="Normal"/>
    <s v="Apple Pay"/>
    <s v="Facebook"/>
    <s v="fulfilled"/>
    <s v="Pakistan"/>
    <m/>
    <s v="Not Required"/>
    <s v="Glennmouth"/>
  </r>
  <r>
    <s v="#2713"/>
    <n v="1"/>
    <d v="2026-08-04T14:02:22"/>
    <d v="2026-08-04T14:02:22"/>
    <s v="Amanda Robinson"/>
    <s v="Email Available"/>
    <s v="amanda.robinson263@icloud.com"/>
    <x v="8"/>
    <s v="Home &amp; Kitchen"/>
    <x v="9"/>
    <n v="1"/>
    <n v="24.99"/>
    <n v="24.99"/>
    <m/>
    <s v=""/>
    <n v="0"/>
    <n v="0"/>
    <s v="Number"/>
    <n v="7.99"/>
    <n v="7.99"/>
    <n v="32.979999999999997"/>
    <n v="32.979999999999997"/>
    <n v="32.979999999999997"/>
    <s v="True"/>
    <s v="Normal"/>
    <s v="Google Pay"/>
    <s v="Facebook"/>
    <s v="pending"/>
    <s v="United States"/>
    <s v="GA"/>
    <s v="Valid"/>
    <s v="Carmenland"/>
  </r>
  <r>
    <s v="#2744"/>
    <n v="1"/>
    <d v="2026-08-04T13:58:17"/>
    <d v="2026-08-04T13:58:17"/>
    <s v="Jennifer Burke"/>
    <s v="Email Available"/>
    <s v="jennifer.burke472@icloud.com"/>
    <x v="8"/>
    <s v="Home &amp; Kitchen"/>
    <x v="9"/>
    <n v="2"/>
    <n v="24.99"/>
    <n v="24.99"/>
    <m/>
    <s v=""/>
    <n v="0"/>
    <n v="0"/>
    <s v="Number"/>
    <n v="5.99"/>
    <n v="5.99"/>
    <s v="$55.97"/>
    <n v="55.97"/>
    <n v="55.97"/>
    <s v="True"/>
    <s v="Normal"/>
    <s v="PayPal"/>
    <s v="Online Store"/>
    <s v="pending"/>
    <s v="Pakistan"/>
    <m/>
    <s v="Not Required"/>
    <s v="Fosterview"/>
  </r>
  <r>
    <s v="#2760"/>
    <n v="1"/>
    <d v="2026-08-04T14:05:44"/>
    <d v="2026-08-04T14:05:44"/>
    <s v="JACQUELINE RICHMOND"/>
    <s v="Email Available"/>
    <s v="jacqueline.richmond595@outlook.com"/>
    <x v="8"/>
    <s v="Home &amp; Kitchen"/>
    <x v="9"/>
    <n v="1"/>
    <n v="24.99"/>
    <n v="24.99"/>
    <m/>
    <s v=""/>
    <n v="0"/>
    <n v="0"/>
    <s v="Number"/>
    <n v="4.99"/>
    <n v="4.99"/>
    <n v="29.98"/>
    <n v="29.98"/>
    <n v="29.979999999999997"/>
    <s v="True"/>
    <s v="Normal"/>
    <s v="Apple Pay"/>
    <s v="POS"/>
    <s v="fulfilled"/>
    <s v="United States"/>
    <s v="Texas"/>
    <s v="Valid"/>
    <s v="West Annaport"/>
  </r>
  <r>
    <s v="#2763"/>
    <n v="1"/>
    <d v="2026-08-04T00:00:00"/>
    <s v="2026-08-04"/>
    <s v="Duncan, Ruth"/>
    <s v="Email Available"/>
    <s v="ruth.duncan434@icloud.com"/>
    <x v="8"/>
    <s v="Home &amp; Kitchen"/>
    <x v="9"/>
    <n v="2"/>
    <s v="$24.99"/>
    <n v="24.99"/>
    <m/>
    <s v=""/>
    <n v="0"/>
    <n v="0"/>
    <s v="Number"/>
    <n v="4.99"/>
    <n v="4.99"/>
    <n v="54.97"/>
    <n v="54.97"/>
    <n v="54.97"/>
    <s v="True"/>
    <s v="Normal"/>
    <s v="Credit Card"/>
    <s v="Facebook"/>
    <s v="cancelled"/>
    <s v="Australia"/>
    <m/>
    <s v="Not Required"/>
    <s v="New Frances"/>
  </r>
  <r>
    <s v="#2786"/>
    <n v="1"/>
    <d v="2026-08-04T14:00:17"/>
    <d v="2026-08-04T14:00:17"/>
    <s v="Vincent Rosales"/>
    <s v="Missing Email"/>
    <m/>
    <x v="8"/>
    <s v="Home &amp; Kitchen"/>
    <x v="9"/>
    <n v="1"/>
    <n v="24.99"/>
    <n v="24.99"/>
    <s v="FREESHIP"/>
    <s v="FREESHIP"/>
    <n v="0"/>
    <n v="0"/>
    <s v="Number"/>
    <n v="0"/>
    <n v="0"/>
    <n v="24.99"/>
    <n v="24.99"/>
    <n v="24.99"/>
    <s v="True"/>
    <s v="Normal"/>
    <s v="Apple Pay"/>
    <s v="Instagram"/>
    <s v="cancelled"/>
    <s v="United States"/>
    <s v="Illinois"/>
    <s v="Valid"/>
    <s v="North Teresa"/>
  </r>
  <r>
    <s v="#2793"/>
    <n v="1"/>
    <d v="2026-08-04T14:05:54"/>
    <d v="2026-08-04T14:05:54"/>
    <s v="Jesus Mason"/>
    <s v="Email Available"/>
    <s v="jesus.mason798@icloud.com"/>
    <x v="8"/>
    <s v="Home &amp; Kitchen"/>
    <x v="9"/>
    <n v="1"/>
    <n v="24.99"/>
    <n v="24.99"/>
    <s v="BFCM25"/>
    <s v="BFCM25"/>
    <n v="6.25"/>
    <n v="6.25"/>
    <s v="Number"/>
    <n v="7.99"/>
    <n v="7.99"/>
    <n v="26.73"/>
    <n v="26.73"/>
    <n v="26.729999999999997"/>
    <s v="True"/>
    <s v="Normal"/>
    <s v="Google Pay"/>
    <s v="Instagram"/>
    <s v="pending"/>
    <s v="United States"/>
    <s v="GA"/>
    <s v="Valid"/>
    <s v="South Danielshire"/>
  </r>
  <r>
    <s v="#2856"/>
    <n v="1"/>
    <d v="2026-08-04T13:59:00"/>
    <d v="2026-08-04T13:59:00"/>
    <s v="Sarah Mendoza"/>
    <s v="Email Available"/>
    <s v="sarah.mendoza691@outlook.com"/>
    <x v="8"/>
    <s v="Home &amp; Kitchen"/>
    <x v="9"/>
    <n v="1"/>
    <n v="24.99"/>
    <n v="24.99"/>
    <s v="FREESHIP"/>
    <s v="FREESHIP"/>
    <n v="0"/>
    <n v="0"/>
    <s v="Number"/>
    <n v="0"/>
    <n v="0"/>
    <n v="24.99"/>
    <n v="24.99"/>
    <n v="24.99"/>
    <s v="True"/>
    <s v="Normal"/>
    <s v="Apple Pay"/>
    <s v="POS"/>
    <s v="fulfilled"/>
    <s v="United States"/>
    <s v="Florida"/>
    <s v="Valid"/>
    <s v="Burnsbury"/>
  </r>
  <r>
    <s v="#2915"/>
    <n v="1"/>
    <d v="2026-08-04T14:01:54"/>
    <d v="2026-08-04T14:01:54"/>
    <s v="Philip Stevens"/>
    <s v="Email Available"/>
    <s v="philip.stevens908@outlook.com"/>
    <x v="8"/>
    <s v="Home &amp; Kitchen"/>
    <x v="9"/>
    <n v="1"/>
    <n v="24.99"/>
    <n v="24.99"/>
    <m/>
    <s v=""/>
    <n v="0"/>
    <n v="0"/>
    <s v="Number"/>
    <n v="5.99"/>
    <n v="5.99"/>
    <n v="30.98"/>
    <n v="30.98"/>
    <n v="30.979999999999997"/>
    <s v="True"/>
    <s v="Normal"/>
    <s v="PayPal"/>
    <s v="Instagram"/>
    <s v="fulfilled"/>
    <s v="United States"/>
    <s v="Georgia"/>
    <s v="Valid"/>
    <s v="Port Courtney"/>
  </r>
  <r>
    <s v="#2928"/>
    <n v="1"/>
    <d v="2026-08-04T14:06:22"/>
    <d v="2026-08-04T14:06:22"/>
    <s v="Rebecca Watts"/>
    <s v="Email Available"/>
    <s v="rebecca.watts779@gmail.com"/>
    <x v="8"/>
    <s v="Home &amp; Kitchen"/>
    <x v="9"/>
    <n v="2"/>
    <n v="24.99"/>
    <n v="24.99"/>
    <m/>
    <s v=""/>
    <n v="0"/>
    <n v="0"/>
    <s v="Number"/>
    <n v="7.99"/>
    <n v="7.99"/>
    <n v="57.97"/>
    <n v="57.97"/>
    <n v="57.97"/>
    <s v="True"/>
    <s v="Normal"/>
    <s v="Apple Pay"/>
    <s v="Instagram"/>
    <s v="fulfilled"/>
    <s v="United States"/>
    <s v="California"/>
    <s v="Valid"/>
    <s v="North Jamesbury"/>
  </r>
  <r>
    <s v="#2932"/>
    <n v="1"/>
    <d v="2026-08-04T14:06:29"/>
    <d v="2026-08-04T14:06:29"/>
    <s v="Chad Pierce"/>
    <s v="Email Available"/>
    <s v="chad.pierce440@outlook.com"/>
    <x v="8"/>
    <s v="Home &amp; Kitchen"/>
    <x v="9"/>
    <n v="1"/>
    <n v="24.99"/>
    <n v="24.99"/>
    <s v="VIP15"/>
    <s v="VIP15"/>
    <n v="3.75"/>
    <n v="3.75"/>
    <s v="Number"/>
    <n v="5.99"/>
    <n v="5.99"/>
    <n v="27.23"/>
    <n v="27.23"/>
    <n v="27.229999999999997"/>
    <s v="True"/>
    <s v="Normal"/>
    <s v="Apple Pay"/>
    <s v="Online Store"/>
    <s v="fulfilled"/>
    <s v="United States"/>
    <s v="Ohio"/>
    <s v="Valid"/>
    <s v="West Benjamin"/>
  </r>
  <r>
    <s v="#2986"/>
    <n v="1"/>
    <d v="2026-08-04T00:00:00"/>
    <s v="2026-08-04"/>
    <s v="melissa smith"/>
    <s v="Missing Email"/>
    <m/>
    <x v="8"/>
    <s v="Home &amp; Kitchen"/>
    <x v="9"/>
    <n v="2"/>
    <n v="24.99"/>
    <n v="24.99"/>
    <s v="WELCOME10"/>
    <s v="WELCOME10"/>
    <n v="5"/>
    <n v="5"/>
    <s v="Number"/>
    <n v="5.99"/>
    <n v="5.99"/>
    <n v="50.97"/>
    <n v="50.97"/>
    <n v="50.97"/>
    <s v="True"/>
    <s v="Normal"/>
    <s v="Credit Card"/>
    <s v="Online Store"/>
    <s v="cancelled"/>
    <s v="Pakistan"/>
    <m/>
    <s v="Not Required"/>
    <s v="Jacobmouth"/>
  </r>
  <r>
    <s v="#2989"/>
    <n v="1"/>
    <d v="2026-08-04T14:03:16"/>
    <d v="2026-08-04T14:03:16"/>
    <s v="Jennifer Burke"/>
    <s v="Email Available"/>
    <s v="jennifer.burke472@icloud.com"/>
    <x v="8"/>
    <s v="Home &amp; Kitchen"/>
    <x v="9"/>
    <n v="1"/>
    <n v="24.99"/>
    <n v="24.99"/>
    <s v="SAVE20"/>
    <s v="SAVE20"/>
    <n v="5"/>
    <n v="5"/>
    <s v="Number"/>
    <n v="7.99"/>
    <n v="7.99"/>
    <n v="27.98"/>
    <n v="27.98"/>
    <n v="27.979999999999997"/>
    <s v="True"/>
    <s v="Normal"/>
    <s v="Apple Pay"/>
    <s v="Online Store"/>
    <s v="cancelled"/>
    <s v="Pakistan"/>
    <m/>
    <s v="Not Required"/>
    <s v="Ramoshaven"/>
  </r>
  <r>
    <s v="#1051"/>
    <n v="1"/>
    <d v="2026-08-04T13:59:15"/>
    <d v="2026-08-04T13:59:15"/>
    <s v="Paul Dillon"/>
    <s v="Email Available"/>
    <s v="paul.dillon750@icloud.com"/>
    <x v="9"/>
    <s v="Electronics"/>
    <x v="10"/>
    <n v="1"/>
    <n v="8.99"/>
    <n v="8.99"/>
    <s v="BFCM25"/>
    <s v="BFCM25"/>
    <n v="2.25"/>
    <n v="2.25"/>
    <s v="Number"/>
    <n v="7.99"/>
    <n v="7.99"/>
    <n v="14.73"/>
    <n v="14.73"/>
    <n v="14.73"/>
    <s v="True"/>
    <s v="Normal"/>
    <s v="PayPal"/>
    <s v="Online Store"/>
    <s v="fulfilled"/>
    <s v="Australia"/>
    <m/>
    <s v="Not Required"/>
    <s v="Comptonstad"/>
  </r>
  <r>
    <s v="#1061"/>
    <n v="1"/>
    <d v="2026-08-04T14:03:34"/>
    <d v="2026-08-04T14:03:34"/>
    <s v="Stacey Johnson"/>
    <s v="Email Available"/>
    <s v="stacey.johnson95@gmail.com"/>
    <x v="9"/>
    <s v="Electronics"/>
    <x v="10"/>
    <n v="2"/>
    <n v="8.99"/>
    <n v="8.99"/>
    <s v="FREESHIP"/>
    <s v="FREESHIP"/>
    <n v="0"/>
    <n v="0"/>
    <s v="Number"/>
    <n v="0"/>
    <n v="0"/>
    <n v="17.98"/>
    <n v="17.98"/>
    <n v="17.98"/>
    <s v="True"/>
    <s v="Normal"/>
    <s v="Credit Card"/>
    <s v="Online Store"/>
    <s v="cancelled"/>
    <s v="Germany"/>
    <m/>
    <s v="Not Required"/>
    <s v="West Charles"/>
  </r>
  <r>
    <s v="#1072"/>
    <n v="1"/>
    <d v="2026-04-08T00:00:00"/>
    <s v="08/04/2026"/>
    <s v="Katie Coleman"/>
    <s v="Email Available"/>
    <s v="katie.coleman262@outlook.com"/>
    <x v="9"/>
    <s v="Electronics"/>
    <x v="10"/>
    <n v="1"/>
    <n v="8.99"/>
    <n v="8.99"/>
    <m/>
    <s v=""/>
    <n v="0"/>
    <n v="0"/>
    <s v="Number"/>
    <n v="5.99"/>
    <n v="5.99"/>
    <n v="14.98"/>
    <n v="14.98"/>
    <n v="14.98"/>
    <s v="True"/>
    <s v="Normal"/>
    <s v="Apple Pay"/>
    <s v="Online Store"/>
    <s v="refunded"/>
    <s v="Canada"/>
    <m/>
    <s v="Not Required"/>
    <s v="Kennethfurt"/>
  </r>
  <r>
    <s v="#1078"/>
    <n v="1"/>
    <d v="2026-08-04T14:02:46"/>
    <d v="2026-08-04T14:02:46"/>
    <s v="Sandra Potter"/>
    <s v="Email Available"/>
    <s v="sandra.potter166@yahoo.com"/>
    <x v="9"/>
    <s v="Electronics"/>
    <x v="10"/>
    <n v="1"/>
    <n v="8.99"/>
    <n v="8.99"/>
    <m/>
    <s v=""/>
    <n v="0"/>
    <n v="0"/>
    <s v="Number"/>
    <n v="4.99"/>
    <n v="4.99"/>
    <n v="13.98"/>
    <n v="13.98"/>
    <n v="13.98"/>
    <s v="True"/>
    <s v="Normal"/>
    <s v="Google Pay"/>
    <s v="Online Store"/>
    <s v="cancelled"/>
    <s v="United States"/>
    <s v="North Carolina"/>
    <s v="Valid"/>
    <s v="South Moniquehaven"/>
  </r>
  <r>
    <s v="#1119"/>
    <n v="1"/>
    <d v="2026-08-04T13:53:46"/>
    <d v="2026-08-04T13:53:46"/>
    <s v="Justin Smith"/>
    <s v="Email Available"/>
    <s v="justin.smith204@yahoo.com"/>
    <x v="9"/>
    <s v="Electronics"/>
    <x v="10"/>
    <n v="2"/>
    <n v="8.99"/>
    <n v="8.99"/>
    <s v="BFCM25"/>
    <s v="BFCM25"/>
    <n v="4.5"/>
    <n v="4.5"/>
    <s v="Number"/>
    <n v="5.99"/>
    <n v="5.99"/>
    <n v="19.47"/>
    <n v="19.47"/>
    <n v="19.47"/>
    <s v="True"/>
    <s v="Normal"/>
    <s v="Apple Pay"/>
    <s v="Facebook"/>
    <s v="fulfilled"/>
    <s v="United Kingdom"/>
    <m/>
    <s v="Not Required"/>
    <s v="Butlerhaven"/>
  </r>
  <r>
    <s v="#1163"/>
    <n v="1"/>
    <d v="2026-08-04T13:56:40"/>
    <d v="2026-08-04T13:56:40"/>
    <s v="nancy nichols"/>
    <s v="Email Available"/>
    <s v="nancy.nichols189@yahoo.com"/>
    <x v="9"/>
    <s v="Electronics"/>
    <x v="10"/>
    <n v="1"/>
    <n v="8.99"/>
    <n v="8.99"/>
    <m/>
    <s v=""/>
    <n v="0"/>
    <n v="0"/>
    <s v="Number"/>
    <n v="7.99"/>
    <n v="7.99"/>
    <n v="16.98"/>
    <n v="16.98"/>
    <n v="16.98"/>
    <s v="True"/>
    <s v="Normal"/>
    <s v="Shopify Payments"/>
    <s v="Facebook"/>
    <s v="fulfilled"/>
    <s v="United States"/>
    <s v="Georgia"/>
    <s v="Valid"/>
    <s v="Shafferchester"/>
  </r>
  <r>
    <s v="#1208"/>
    <n v="1"/>
    <d v="2026-08-04T14:02:16"/>
    <d v="2026-08-04T14:02:16"/>
    <s v="Cody Murray"/>
    <s v="Email Available"/>
    <s v="cody.murray456@gmail.com"/>
    <x v="9"/>
    <s v="Electronics"/>
    <x v="10"/>
    <n v="1"/>
    <n v="8.99"/>
    <n v="8.99"/>
    <s v="SAVE20"/>
    <s v="SAVE20"/>
    <n v="1.8"/>
    <n v="1.8"/>
    <s v="Number"/>
    <n v="5.99"/>
    <n v="5.99"/>
    <n v="13.18"/>
    <n v="13.18"/>
    <n v="13.18"/>
    <s v="True"/>
    <s v="Normal"/>
    <s v="Apple Pay"/>
    <s v="Facebook"/>
    <s v="refunded"/>
    <s v="United Kingdom"/>
    <m/>
    <s v="Not Required"/>
    <s v="West Codyberg"/>
  </r>
  <r>
    <s v="#1265"/>
    <n v="1"/>
    <d v="2026-08-04T14:06:38"/>
    <d v="2026-08-04T14:06:38"/>
    <s v="Tracy Adams"/>
    <s v="Email Available"/>
    <s v="tracy.adams712@icloud.com"/>
    <x v="9"/>
    <s v="Electronics"/>
    <x v="10"/>
    <n v="1"/>
    <n v="8.99"/>
    <n v="8.99"/>
    <s v="BFCM25"/>
    <s v="BFCM25"/>
    <n v="2.25"/>
    <n v="2.25"/>
    <s v="Number"/>
    <n v="7.99"/>
    <n v="7.99"/>
    <n v="14.73"/>
    <n v="14.73"/>
    <n v="14.73"/>
    <s v="True"/>
    <s v="Normal"/>
    <s v="Credit Card"/>
    <s v="POS"/>
    <s v="cancelled"/>
    <s v="United States"/>
    <s v="New York"/>
    <s v="Valid"/>
    <s v="New Danielshire"/>
  </r>
  <r>
    <s v="#1279"/>
    <n v="1"/>
    <d v="2026-04-08T00:00:00"/>
    <s v="08/04/2026"/>
    <s v="Sharon Brown"/>
    <s v="Email Available"/>
    <s v="sharon.brown14@gmail.com"/>
    <x v="9"/>
    <s v="Electronics"/>
    <x v="10"/>
    <n v="1"/>
    <n v="8.99"/>
    <n v="8.99"/>
    <s v="BFCM25"/>
    <s v="BFCM25"/>
    <n v="2.25"/>
    <n v="2.25"/>
    <s v="Number"/>
    <n v="5.99"/>
    <n v="5.99"/>
    <n v="12.73"/>
    <n v="12.73"/>
    <n v="12.73"/>
    <s v="True"/>
    <s v="Normal"/>
    <s v="PayPal"/>
    <s v="Instagram"/>
    <s v="fulfilled"/>
    <s v="United States"/>
    <s v="Florida"/>
    <s v="Valid"/>
    <s v="Marcusfurt"/>
  </r>
  <r>
    <s v="#1281"/>
    <n v="1"/>
    <d v="2026-08-04T14:07:05"/>
    <d v="2026-08-04T14:07:05"/>
    <s v="Charles Franco"/>
    <s v="Email Available"/>
    <s v="charles.franco761@outlook.com"/>
    <x v="9"/>
    <s v="Electronics"/>
    <x v="10"/>
    <n v="1"/>
    <n v="8.99"/>
    <n v="8.99"/>
    <s v="VIP15"/>
    <s v="VIP15"/>
    <n v="1.35"/>
    <n v="1.35"/>
    <s v="Number"/>
    <n v="5.99"/>
    <n v="5.99"/>
    <n v="13.63"/>
    <n v="13.63"/>
    <n v="13.63"/>
    <s v="True"/>
    <s v="Normal"/>
    <s v="Credit Card"/>
    <s v="Facebook"/>
    <s v="fulfilled"/>
    <s v="United States"/>
    <s v="Canada"/>
    <s v="Valid"/>
    <s v="Dawnberg"/>
  </r>
  <r>
    <s v="#1307"/>
    <n v="1"/>
    <d v="2026-08-04T13:55:05"/>
    <d v="2026-08-04T13:55:05"/>
    <s v="James Miller"/>
    <s v="Email Available"/>
    <s v="james.miller866@yahoo.com"/>
    <x v="9"/>
    <s v="Electronics"/>
    <x v="10"/>
    <n v="1"/>
    <n v="8.99"/>
    <n v="8.99"/>
    <m/>
    <s v=""/>
    <n v="0"/>
    <n v="0"/>
    <s v="Number"/>
    <n v="7.99"/>
    <n v="7.99"/>
    <n v="16.98"/>
    <n v="16.98"/>
    <n v="16.98"/>
    <s v="True"/>
    <s v="Normal"/>
    <s v="Shopify Payments"/>
    <s v="Instagram"/>
    <s v="cancelled"/>
    <s v="Pakistan"/>
    <m/>
    <s v="Not Required"/>
    <s v="Samanthaview"/>
  </r>
  <r>
    <s v="#1381"/>
    <n v="1"/>
    <d v="2026-08-04T00:00:00"/>
    <s v="04-08-2026 14:00"/>
    <s v="Sandra Potter"/>
    <s v="Email Available"/>
    <s v="sandra.potter166@yahoo.com"/>
    <x v="9"/>
    <s v="Electronics"/>
    <x v="10"/>
    <n v="1"/>
    <n v="8.99"/>
    <n v="8.99"/>
    <s v="WELCOME10"/>
    <s v="WELCOME10"/>
    <n v="0.9"/>
    <n v="0.9"/>
    <s v="Number"/>
    <n v="7.99"/>
    <n v="7.99"/>
    <s v="$16.08"/>
    <n v="16.079999999999998"/>
    <n v="16.079999999999998"/>
    <s v="True"/>
    <s v="Normal"/>
    <s v="PayPal"/>
    <s v="Facebook"/>
    <s v="fulfilled"/>
    <s v="United States"/>
    <s v="WA"/>
    <s v="Valid"/>
    <s v="South Justintown"/>
  </r>
  <r>
    <s v="#1389"/>
    <n v="1"/>
    <d v="2026-08-04T13:53:54"/>
    <d v="2026-08-04T13:53:54"/>
    <s v="Andrew Jones"/>
    <s v="Email Available"/>
    <s v="andrew.jones338@icloud.com"/>
    <x v="9"/>
    <s v="Electronics"/>
    <x v="10"/>
    <n v="1"/>
    <n v="8.99"/>
    <n v="8.99"/>
    <s v="WELCOME10"/>
    <s v="WELCOME10"/>
    <n v="0.9"/>
    <n v="0.9"/>
    <s v="Number"/>
    <n v="5.99"/>
    <n v="5.99"/>
    <n v="14.08"/>
    <n v="14.08"/>
    <n v="14.08"/>
    <s v="True"/>
    <s v="Normal"/>
    <s v="Google Pay"/>
    <s v="Online Store"/>
    <s v="fulfilled"/>
    <s v="United Kingdom"/>
    <m/>
    <s v="Not Required"/>
    <s v="Melissastad"/>
  </r>
  <r>
    <s v="#1403"/>
    <n v="1"/>
    <d v="2026-08-04T14:00:36"/>
    <d v="2026-08-04T14:00:36"/>
    <s v="Vincent Rosales"/>
    <s v="Email Available"/>
    <s v="vincent.rosales30@icloud.com"/>
    <x v="9"/>
    <s v="Electronics"/>
    <x v="10"/>
    <n v="3"/>
    <n v="8.99"/>
    <n v="8.99"/>
    <m/>
    <s v=""/>
    <n v="0"/>
    <n v="0"/>
    <s v="Number"/>
    <n v="7.99"/>
    <n v="7.99"/>
    <n v="34.96"/>
    <n v="34.96"/>
    <n v="34.96"/>
    <s v="True"/>
    <s v="Normal"/>
    <s v="Shopify Payments"/>
    <s v="POS"/>
    <s v="cancelled"/>
    <s v="United States"/>
    <s v="Illinois"/>
    <s v="Valid"/>
    <s v="Port Nicoleberg"/>
  </r>
  <r>
    <s v="#1418"/>
    <n v="1"/>
    <d v="2026-08-04T14:04:33"/>
    <d v="2026-08-04T14:04:33"/>
    <s v="Walter Rodriguez"/>
    <s v="Email Available"/>
    <s v="walter.rodriguez829@gmail.com"/>
    <x v="9"/>
    <s v="Electronics"/>
    <x v="10"/>
    <n v="1"/>
    <n v="8.99"/>
    <n v="8.99"/>
    <s v="SAVE20"/>
    <s v="SAVE20"/>
    <n v="1.8"/>
    <n v="1.8"/>
    <s v="Number"/>
    <n v="4.99"/>
    <n v="4.99"/>
    <n v="12.18"/>
    <n v="12.18"/>
    <n v="12.18"/>
    <s v="True"/>
    <s v="Normal"/>
    <s v="PayPal"/>
    <s v="Online Store"/>
    <s v="cancelled"/>
    <s v="Australia"/>
    <m/>
    <s v="Not Required"/>
    <s v="Riversport"/>
  </r>
  <r>
    <s v="#1511"/>
    <n v="1"/>
    <d v="2026-08-04T14:03:30"/>
    <d v="2026-08-04T14:03:30"/>
    <s v="Alec Chambers"/>
    <s v="Email Available"/>
    <s v="alec.chambers767@outlook.com"/>
    <x v="9"/>
    <s v="Electronics"/>
    <x v="10"/>
    <n v="1"/>
    <n v="8.99"/>
    <n v="8.99"/>
    <m/>
    <s v=""/>
    <n v="0"/>
    <n v="0"/>
    <s v="Number"/>
    <n v="5.99"/>
    <n v="5.99"/>
    <n v="14.98"/>
    <n v="14.98"/>
    <n v="14.98"/>
    <s v="True"/>
    <s v="Normal"/>
    <s v="Apple Pay"/>
    <s v="Facebook"/>
    <s v="fulfilled"/>
    <s v="Canada"/>
    <m/>
    <s v="Not Required"/>
    <s v="Loganmouth"/>
  </r>
  <r>
    <s v="#1521"/>
    <n v="1"/>
    <d v="2026-08-04T14:05:33"/>
    <d v="2026-08-04T14:05:33"/>
    <s v="Peter Alvarez"/>
    <s v="Email Available"/>
    <s v="peter.alvarez465@yahoo.com"/>
    <x v="9"/>
    <s v="Electronics"/>
    <x v="10"/>
    <n v="2"/>
    <n v="8.99"/>
    <n v="8.99"/>
    <m/>
    <s v=""/>
    <n v="0"/>
    <n v="0"/>
    <s v="Number"/>
    <n v="5.99"/>
    <n v="5.99"/>
    <n v="23.97"/>
    <n v="23.97"/>
    <n v="23.97"/>
    <s v="True"/>
    <s v="Normal"/>
    <s v="Google Pay"/>
    <s v="Online Store"/>
    <s v="fulfilled"/>
    <s v="United States"/>
    <s v="Arizona"/>
    <s v="Valid"/>
    <s v="Perezhaven"/>
  </r>
  <r>
    <s v="#1564"/>
    <n v="1"/>
    <d v="2026-08-04T14:03:42"/>
    <d v="2026-08-04T14:03:42"/>
    <s v="Nicholas Jarvis"/>
    <s v="Email Available"/>
    <s v="nicholas.jarvis112@icloud.com"/>
    <x v="9"/>
    <s v="Electronics"/>
    <x v="10"/>
    <n v="1"/>
    <n v="8.99"/>
    <n v="8.99"/>
    <m/>
    <s v=""/>
    <n v="0"/>
    <n v="0"/>
    <s v="Number"/>
    <n v="5.99"/>
    <n v="5.99"/>
    <n v="14.98"/>
    <n v="14.98"/>
    <n v="14.98"/>
    <s v="True"/>
    <s v="Normal"/>
    <s v="Google Pay"/>
    <s v="Online Store"/>
    <s v="fulfilled"/>
    <s v="Canada"/>
    <m/>
    <s v="Not Required"/>
    <s v="North Anthonyland"/>
  </r>
  <r>
    <s v="#1619"/>
    <n v="1"/>
    <d v="2026-04-08T00:00:00"/>
    <s v="08/04/2026"/>
    <s v="Peter Alvarez"/>
    <s v="Email Available"/>
    <s v="peter.alvarez465@yahoo.com"/>
    <x v="9"/>
    <s v="Electronics"/>
    <x v="10"/>
    <n v="1"/>
    <n v="8.99"/>
    <n v="8.99"/>
    <s v="BFCM25"/>
    <s v="BFCM25"/>
    <n v="2.25"/>
    <n v="2.25"/>
    <s v="Number"/>
    <n v="5.99"/>
    <n v="5.99"/>
    <n v="12.73"/>
    <n v="12.73"/>
    <n v="12.73"/>
    <s v="True"/>
    <s v="Normal"/>
    <s v="Credit Card"/>
    <s v="Instagram"/>
    <s v="fulfilled"/>
    <s v="United States"/>
    <s v="Illinois"/>
    <s v="Valid"/>
    <s v="Vincentborough"/>
  </r>
  <r>
    <s v="#1647"/>
    <n v="1"/>
    <d v="2026-08-04T14:03:12"/>
    <d v="2026-08-04T14:03:12"/>
    <s v="James Castro"/>
    <s v="Email Available"/>
    <s v="james.castro923@icloud.com"/>
    <x v="9"/>
    <s v="Electronics"/>
    <x v="10"/>
    <n v="1"/>
    <n v="8.99"/>
    <n v="8.99"/>
    <s v="FREESHIP"/>
    <s v="FREESHIP"/>
    <n v="0"/>
    <n v="0"/>
    <s v="Number"/>
    <n v="0"/>
    <n v="0"/>
    <n v="8.99"/>
    <n v="8.99"/>
    <n v="8.99"/>
    <s v="True"/>
    <s v="Normal"/>
    <s v="Google Pay"/>
    <s v="Online Store"/>
    <s v="fulfilled"/>
    <s v="Pakistan"/>
    <m/>
    <s v="Not Required"/>
    <s v="Thomasburgh"/>
  </r>
  <r>
    <s v="#1668"/>
    <n v="1"/>
    <d v="2026-08-04T14:04:02"/>
    <d v="2026-08-04T14:04:02"/>
    <s v="Diane Campos"/>
    <s v="Email Available"/>
    <s v="diane.campos325@gmail.com"/>
    <x v="9"/>
    <s v="Electronics"/>
    <x v="10"/>
    <n v="1"/>
    <n v="8.99"/>
    <n v="8.99"/>
    <s v="VIP15"/>
    <s v="VIP15"/>
    <n v="1.35"/>
    <n v="1.35"/>
    <s v="Number"/>
    <n v="5.99"/>
    <n v="5.99"/>
    <n v="13.63"/>
    <n v="13.63"/>
    <n v="13.63"/>
    <s v="True"/>
    <s v="Normal"/>
    <s v="Google Pay"/>
    <s v="Online Store"/>
    <s v="pending"/>
    <s v="United States"/>
    <s v="GA"/>
    <s v="Valid"/>
    <s v="Matthewberg"/>
  </r>
  <r>
    <s v="#1692"/>
    <n v="1"/>
    <d v="2026-08-04T14:06:23"/>
    <d v="2026-08-04T14:06:23"/>
    <s v="Jason Miller"/>
    <s v="Email Available"/>
    <s v="jason.miller334@outlook.com"/>
    <x v="9"/>
    <s v="Electronics"/>
    <x v="10"/>
    <n v="2"/>
    <s v="$8.99"/>
    <n v="8.99"/>
    <s v="BFCM25"/>
    <s v="BFCM25"/>
    <n v="4.5"/>
    <n v="4.5"/>
    <s v="Number"/>
    <n v="5.99"/>
    <n v="5.99"/>
    <n v="19.47"/>
    <n v="19.47"/>
    <n v="19.47"/>
    <s v="True"/>
    <s v="Normal"/>
    <s v="Credit Card"/>
    <s v="Online Store"/>
    <s v="fulfilled"/>
    <s v="Australia"/>
    <m/>
    <s v="Not Required"/>
    <s v="Lake Andrewshire"/>
  </r>
  <r>
    <s v="#1693"/>
    <n v="1"/>
    <d v="2026-08-04T14:00:16"/>
    <d v="2026-08-04T14:00:16"/>
    <s v="Jack Bryant"/>
    <s v="Email Available"/>
    <s v="jack.bryant173@gmail.com"/>
    <x v="9"/>
    <s v="Electronics"/>
    <x v="10"/>
    <n v="1"/>
    <n v="8.99"/>
    <n v="8.99"/>
    <s v="SAVE20"/>
    <s v="SAVE20"/>
    <n v="1.8"/>
    <n v="1.8"/>
    <s v="Number"/>
    <n v="4.99"/>
    <n v="4.99"/>
    <n v="12.18"/>
    <n v="12.18"/>
    <n v="12.18"/>
    <s v="True"/>
    <s v="Normal"/>
    <s v="Credit Card"/>
    <s v="Instagram"/>
    <s v="fulfilled"/>
    <s v="Germany"/>
    <m/>
    <s v="Not Required"/>
    <s v="Ambertown"/>
  </r>
  <r>
    <s v="#1740"/>
    <n v="1"/>
    <d v="2026-08-04T14:03:47"/>
    <d v="2026-08-04T14:03:47"/>
    <s v="Kayla Lee"/>
    <s v="Email Available"/>
    <s v="kayla.lee278@yahoo.com"/>
    <x v="9"/>
    <s v="Electronics"/>
    <x v="10"/>
    <n v="1"/>
    <n v="8.99"/>
    <n v="8.99"/>
    <m/>
    <s v=""/>
    <n v="0"/>
    <n v="0"/>
    <s v="Number"/>
    <n v="4.99"/>
    <n v="4.99"/>
    <n v="13.98"/>
    <n v="13.98"/>
    <n v="13.98"/>
    <s v="True"/>
    <s v="Normal"/>
    <s v="Credit Card"/>
    <s v="Online Store"/>
    <s v="cancelled"/>
    <s v="United Kingdom"/>
    <m/>
    <s v="Not Required"/>
    <s v="Port Markport"/>
  </r>
  <r>
    <s v="#1759"/>
    <n v="1"/>
    <d v="2026-08-04T14:02:48"/>
    <d v="2026-08-04T14:02:48"/>
    <s v="Nicholas Jarvis"/>
    <s v="Email Available"/>
    <s v="nicholas.jarvis112@icloud.com"/>
    <x v="9"/>
    <s v="Electronics"/>
    <x v="10"/>
    <n v="1"/>
    <n v="8.99"/>
    <n v="8.99"/>
    <s v="FREESHIP"/>
    <s v="FREESHIP"/>
    <s v="$0.00"/>
    <n v="0"/>
    <s v="Number"/>
    <n v="0"/>
    <n v="0"/>
    <n v="8.99"/>
    <n v="8.99"/>
    <n v="8.99"/>
    <s v="True"/>
    <s v="Normal"/>
    <s v="Credit Card"/>
    <s v="Online Store"/>
    <s v="fulfilled"/>
    <s v="Canada"/>
    <m/>
    <s v="Not Required"/>
    <s v="Danaport"/>
  </r>
  <r>
    <s v="#1791"/>
    <n v="1"/>
    <d v="2026-08-04T13:58:09"/>
    <d v="2026-08-04T13:58:09"/>
    <s v="Kathleen Mayer"/>
    <s v="Email Available"/>
    <s v="kathleen.mayer237@outlook.com"/>
    <x v="9"/>
    <s v="Electronics"/>
    <x v="10"/>
    <n v="1"/>
    <n v="8.99"/>
    <n v="8.99"/>
    <s v="VIP15"/>
    <s v="VIP15"/>
    <n v="1.35"/>
    <n v="1.35"/>
    <s v="Number"/>
    <n v="4.99"/>
    <n v="4.99"/>
    <n v="12.63"/>
    <n v="12.63"/>
    <n v="12.63"/>
    <s v="True"/>
    <s v="Normal"/>
    <s v="Credit Card"/>
    <s v="Facebook"/>
    <s v="cancelled"/>
    <s v="United States"/>
    <s v="North Carolina"/>
    <s v="Valid"/>
    <s v="North Thomasmouth"/>
  </r>
  <r>
    <s v="#1806"/>
    <n v="1"/>
    <d v="2026-08-04T14:06:30"/>
    <d v="2026-08-04T14:06:30"/>
    <s v="Diane Campos"/>
    <s v="Email Available"/>
    <s v="diane.campos325@gmail.com"/>
    <x v="9"/>
    <s v="Electronics"/>
    <x v="10"/>
    <n v="1"/>
    <n v="8.99"/>
    <n v="8.99"/>
    <m/>
    <s v=""/>
    <n v="0"/>
    <n v="0"/>
    <s v="Number"/>
    <n v="4.99"/>
    <n v="4.99"/>
    <n v="13.98"/>
    <n v="13.98"/>
    <n v="13.98"/>
    <s v="True"/>
    <s v="Normal"/>
    <s v="Shopify Payments"/>
    <s v="Online Store"/>
    <s v="cancelled"/>
    <s v="United States"/>
    <s v="Canada"/>
    <s v="Valid"/>
    <s v="Yangville"/>
  </r>
  <r>
    <s v="#1822"/>
    <n v="1"/>
    <d v="2026-08-04T13:58:58"/>
    <d v="2026-08-04T13:58:58"/>
    <s v="Christopher Osborne"/>
    <s v="Email Available"/>
    <s v="christopher.osborne481@yahoo.com"/>
    <x v="9"/>
    <s v="Electronics"/>
    <x v="10"/>
    <n v="2"/>
    <n v="8.99"/>
    <n v="8.99"/>
    <s v="FREESHIP"/>
    <s v="FREESHIP"/>
    <s v="$0.00"/>
    <n v="0"/>
    <s v="Number"/>
    <n v="0"/>
    <n v="0"/>
    <n v="17.98"/>
    <n v="17.98"/>
    <n v="17.98"/>
    <s v="True"/>
    <s v="Normal"/>
    <s v="Shopify Payments"/>
    <s v="POS"/>
    <s v="pending"/>
    <s v="United States"/>
    <s v="New York"/>
    <s v="Valid"/>
    <s v="West Gabrielland"/>
  </r>
  <r>
    <s v="#1886"/>
    <n v="1"/>
    <d v="2026-08-04T13:53:49"/>
    <d v="2026-08-04T13:53:49"/>
    <s v="Jennifer Martin"/>
    <s v="Missing Email"/>
    <m/>
    <x v="9"/>
    <s v="Electronics"/>
    <x v="10"/>
    <n v="1"/>
    <n v="8.99"/>
    <n v="8.99"/>
    <m/>
    <s v=""/>
    <n v="0"/>
    <n v="0"/>
    <s v="Number"/>
    <n v="4.99"/>
    <n v="4.99"/>
    <n v="13.98"/>
    <n v="13.98"/>
    <n v="13.98"/>
    <s v="True"/>
    <s v="Normal"/>
    <s v="PayPal"/>
    <s v="Online Store"/>
    <s v="refunded"/>
    <s v="United States"/>
    <s v="Illinois"/>
    <s v="Valid"/>
    <s v="Brianmouth"/>
  </r>
  <r>
    <s v="#1982"/>
    <n v="1"/>
    <d v="2026-08-04T13:58:09"/>
    <d v="2026-08-04T13:58:09"/>
    <s v="Amanda Rodriguez"/>
    <s v="Email Available"/>
    <s v="amanda.rodriguez770@yahoo.com"/>
    <x v="9"/>
    <s v="Electronics"/>
    <x v="10"/>
    <n v="1"/>
    <n v="8.99"/>
    <n v="8.99"/>
    <s v="FREESHIP"/>
    <s v="FREESHIP"/>
    <n v="0"/>
    <n v="0"/>
    <s v="Number"/>
    <n v="0"/>
    <n v="0"/>
    <n v="8.99"/>
    <n v="8.99"/>
    <n v="8.99"/>
    <s v="True"/>
    <s v="Normal"/>
    <s v="Google Pay"/>
    <s v="Instagram"/>
    <s v="fulfilled"/>
    <s v="United States"/>
    <s v="North Carolina"/>
    <s v="Valid"/>
    <s v="Ericmouth"/>
  </r>
  <r>
    <s v="#2023"/>
    <n v="1"/>
    <d v="2026-08-04T00:00:00"/>
    <s v="2026-08-04"/>
    <s v="Anthony Krueger"/>
    <s v="Email Available"/>
    <s v="anthony.krueger812@yahoo.com"/>
    <x v="9"/>
    <s v="Electronics"/>
    <x v="10"/>
    <n v="1"/>
    <s v="$8.99"/>
    <n v="8.99"/>
    <s v="BFCM25"/>
    <s v="BFCM25"/>
    <n v="2.25"/>
    <n v="2.25"/>
    <s v="Number"/>
    <n v="5.99"/>
    <n v="5.99"/>
    <n v="12.73"/>
    <n v="12.73"/>
    <n v="12.73"/>
    <s v="True"/>
    <s v="Normal"/>
    <s v="Credit Card"/>
    <s v="Instagram"/>
    <s v="fulfilled"/>
    <s v="Pakistan"/>
    <m/>
    <s v="Not Required"/>
    <s v="Wardview"/>
  </r>
  <r>
    <s v="#2043"/>
    <n v="1"/>
    <d v="2026-08-04T13:53:29"/>
    <d v="2026-08-04T13:53:29"/>
    <s v="Charles Franco"/>
    <s v="Email Available"/>
    <s v="charles.franco761@outlook.com"/>
    <x v="9"/>
    <s v="Electronics"/>
    <x v="10"/>
    <n v="2"/>
    <n v="8.99"/>
    <n v="8.99"/>
    <m/>
    <s v=""/>
    <s v="$0.00"/>
    <n v="0"/>
    <s v="Number"/>
    <n v="5.99"/>
    <n v="5.99"/>
    <n v="23.97"/>
    <n v="23.97"/>
    <n v="23.97"/>
    <s v="True"/>
    <s v="Normal"/>
    <s v="PayPal"/>
    <s v="Instagram"/>
    <s v="fulfilled"/>
    <s v="United States"/>
    <s v="Ohio"/>
    <s v="Valid"/>
    <s v="Charlesburgh"/>
  </r>
  <r>
    <s v="#2082"/>
    <n v="1"/>
    <d v="2026-08-04T14:01:20"/>
    <d v="2026-08-04T14:01:20"/>
    <s v="Ronald Davis"/>
    <s v="Email Available"/>
    <s v="ronald.davis995@yahoo.com"/>
    <x v="9"/>
    <s v="Electronics"/>
    <x v="10"/>
    <n v="1"/>
    <n v="8.99"/>
    <n v="8.99"/>
    <m/>
    <s v=""/>
    <n v="0"/>
    <n v="0"/>
    <s v="Number"/>
    <n v="5.99"/>
    <n v="5.99"/>
    <n v="14.98"/>
    <n v="14.98"/>
    <n v="14.98"/>
    <s v="True"/>
    <s v="Normal"/>
    <s v="Google Pay"/>
    <s v="Online Store"/>
    <s v="fulfilled"/>
    <s v="Pakistan"/>
    <m/>
    <s v="Not Required"/>
    <s v="Lake Karen"/>
  </r>
  <r>
    <s v="#2130"/>
    <n v="1"/>
    <d v="2026-08-04T14:04:01"/>
    <d v="2026-08-04T14:04:01"/>
    <s v="Jacqueline Graham"/>
    <s v="Email Available"/>
    <s v="jacqueline.graham958@gmail.com"/>
    <x v="9"/>
    <s v="Electronics"/>
    <x v="10"/>
    <n v="1"/>
    <n v="8.99"/>
    <n v="8.99"/>
    <m/>
    <s v=""/>
    <n v="0"/>
    <n v="0"/>
    <s v="Number"/>
    <n v="5.99"/>
    <n v="5.99"/>
    <n v="14.98"/>
    <n v="14.98"/>
    <n v="14.98"/>
    <s v="True"/>
    <s v="Normal"/>
    <s v="Shopify Payments"/>
    <s v="POS"/>
    <s v="refunded"/>
    <s v="Australia"/>
    <m/>
    <s v="Not Required"/>
    <s v="West Jeffreystad"/>
  </r>
  <r>
    <s v="#2151"/>
    <n v="1"/>
    <d v="2026-08-04T14:08:25"/>
    <d v="2026-08-04T14:08:25"/>
    <s v="Marcus Sloan"/>
    <s v="Email Available"/>
    <s v="marcus.sloan49@icloud.com"/>
    <x v="9"/>
    <s v="Electronics"/>
    <x v="10"/>
    <n v="1"/>
    <n v="8.99"/>
    <n v="8.99"/>
    <s v="WELCOME10"/>
    <s v="WELCOME10"/>
    <n v="0.9"/>
    <n v="0.9"/>
    <s v="Number"/>
    <n v="4.99"/>
    <n v="4.99"/>
    <n v="13.08"/>
    <n v="13.08"/>
    <n v="13.08"/>
    <s v="True"/>
    <s v="Normal"/>
    <s v="Google Pay"/>
    <s v="POS"/>
    <s v="fulfilled"/>
    <s v="United States"/>
    <s v="North Carolina"/>
    <s v="Valid"/>
    <s v="Woodardton"/>
  </r>
  <r>
    <s v="#2153"/>
    <n v="1"/>
    <d v="2026-08-04T13:58:18"/>
    <d v="2026-08-04T13:58:18"/>
    <s v="Gerald Li"/>
    <s v="Missing Email"/>
    <m/>
    <x v="9"/>
    <s v="Electronics"/>
    <x v="10"/>
    <n v="1"/>
    <n v="8.99"/>
    <n v="8.99"/>
    <s v="FREESHIP"/>
    <s v="FREESHIP"/>
    <n v="0"/>
    <n v="0"/>
    <s v="Number"/>
    <n v="0"/>
    <n v="0"/>
    <n v="8.99"/>
    <n v="8.99"/>
    <n v="8.99"/>
    <s v="True"/>
    <s v="Normal"/>
    <s v="Shopify Payments"/>
    <s v="Online Store"/>
    <s v="fulfilled"/>
    <s v="United States"/>
    <s v="Ohio"/>
    <s v="Valid"/>
    <s v="Lewisland"/>
  </r>
  <r>
    <s v="#2172"/>
    <n v="1"/>
    <d v="2026-08-04T13:53:46"/>
    <d v="2026-08-04T13:53:46"/>
    <s v="Natalie Dixon"/>
    <s v="Email Available"/>
    <s v="natalie.dixon388@outlook.com"/>
    <x v="9"/>
    <s v="Electronics"/>
    <x v="10"/>
    <n v="1"/>
    <n v="8.99"/>
    <n v="8.99"/>
    <s v="FREESHIP"/>
    <s v="FREESHIP"/>
    <n v="0"/>
    <n v="0"/>
    <s v="Number"/>
    <n v="0"/>
    <n v="0"/>
    <n v="8.99"/>
    <n v="8.99"/>
    <n v="8.99"/>
    <s v="True"/>
    <s v="Normal"/>
    <s v="Google Pay"/>
    <s v="Online Store"/>
    <s v="fulfilled"/>
    <s v="United States"/>
    <s v="North Carolina"/>
    <s v="Valid"/>
    <s v="Bushberg"/>
  </r>
  <r>
    <s v="#2192"/>
    <n v="1"/>
    <d v="2026-08-04T13:54:54"/>
    <d v="2026-08-04T13:54:54"/>
    <s v="Megan Dickson"/>
    <s v="Email Available"/>
    <s v="megan.dickson508@gmail.com"/>
    <x v="9"/>
    <s v="Electronics"/>
    <x v="10"/>
    <n v="1"/>
    <n v="8.99"/>
    <n v="8.99"/>
    <m/>
    <s v=""/>
    <n v="0"/>
    <n v="0"/>
    <s v="Number"/>
    <n v="4.99"/>
    <n v="4.99"/>
    <n v="13.98"/>
    <n v="13.98"/>
    <n v="13.98"/>
    <s v="True"/>
    <s v="Normal"/>
    <s v="Apple Pay"/>
    <s v="POS"/>
    <s v="refunded"/>
    <s v="United Kingdom"/>
    <m/>
    <s v="Not Required"/>
    <s v="New Franciscoberg"/>
  </r>
  <r>
    <s v="#2213"/>
    <n v="1"/>
    <d v="2026-08-04T14:02:10"/>
    <d v="2026-08-04T14:02:10"/>
    <s v="Victor Herrera"/>
    <s v="Email Available"/>
    <s v="victor.herrera394@outlook.com"/>
    <x v="9"/>
    <s v="Electronics"/>
    <x v="10"/>
    <n v="1"/>
    <s v="$8.99"/>
    <n v="8.99"/>
    <s v="FREESHIP"/>
    <s v="FREESHIP"/>
    <n v="0"/>
    <n v="0"/>
    <s v="Number"/>
    <n v="0"/>
    <n v="0"/>
    <n v="8.99"/>
    <n v="8.99"/>
    <n v="8.99"/>
    <s v="True"/>
    <s v="Normal"/>
    <s v="Shopify Payments"/>
    <s v="Online Store"/>
    <s v="fulfilled"/>
    <s v="Pakistan"/>
    <m/>
    <s v="Not Required"/>
    <s v="Bradshawshire"/>
  </r>
  <r>
    <s v="#2223"/>
    <n v="1"/>
    <d v="2026-08-04T13:54:26"/>
    <d v="2026-08-04T13:54:26"/>
    <s v="Jesus Mason"/>
    <s v="Email Available"/>
    <s v="jesus.mason798@icloud.com"/>
    <x v="9"/>
    <s v="Electronics"/>
    <x v="10"/>
    <n v="1"/>
    <n v="8.99"/>
    <n v="8.99"/>
    <s v="BFCM25"/>
    <s v="BFCM25"/>
    <n v="2.25"/>
    <n v="2.25"/>
    <s v="Number"/>
    <n v="5.99"/>
    <n v="5.99"/>
    <n v="12.73"/>
    <n v="12.73"/>
    <n v="12.73"/>
    <s v="True"/>
    <s v="Normal"/>
    <s v="Apple Pay"/>
    <s v="POS"/>
    <s v="pending"/>
    <s v="United States"/>
    <s v="Illinois"/>
    <s v="Valid"/>
    <s v="West Angela"/>
  </r>
  <r>
    <s v="#2227"/>
    <n v="1"/>
    <d v="2026-08-04T13:56:25"/>
    <d v="2026-08-04T13:56:25"/>
    <s v="Miranda Gray"/>
    <s v="Email Available"/>
    <s v="miranda.gray649@yahoo.com"/>
    <x v="9"/>
    <s v="Electronics"/>
    <x v="10"/>
    <n v="1"/>
    <n v="8.99"/>
    <n v="8.99"/>
    <m/>
    <s v=""/>
    <n v="0"/>
    <n v="0"/>
    <s v="Number"/>
    <n v="7.99"/>
    <n v="7.99"/>
    <n v="16.98"/>
    <n v="16.98"/>
    <n v="16.98"/>
    <s v="True"/>
    <s v="Normal"/>
    <s v="Shopify Payments"/>
    <s v="Facebook"/>
    <s v="refunded"/>
    <s v="Pakistan"/>
    <m/>
    <s v="Not Required"/>
    <s v="Lake Wendyshire"/>
  </r>
  <r>
    <s v="#2289"/>
    <n v="1"/>
    <d v="2026-08-04T13:59:11"/>
    <d v="2026-08-04T13:59:11"/>
    <s v="Alan Davis"/>
    <s v="Email Available"/>
    <s v="alan.davis483@icloud.com"/>
    <x v="9"/>
    <s v="Electronics"/>
    <x v="10"/>
    <n v="1"/>
    <n v="8.99"/>
    <n v="8.99"/>
    <m/>
    <s v=""/>
    <n v="0"/>
    <n v="0"/>
    <s v="Number"/>
    <n v="7.99"/>
    <n v="7.99"/>
    <n v="16.98"/>
    <n v="16.98"/>
    <n v="16.98"/>
    <s v="True"/>
    <s v="Normal"/>
    <s v="Google Pay"/>
    <s v="Instagram"/>
    <s v="cancelled"/>
    <s v="Canada"/>
    <m/>
    <s v="Not Required"/>
    <s v="West Donald"/>
  </r>
  <r>
    <s v="#2338"/>
    <n v="1"/>
    <d v="2026-04-08T00:00:00"/>
    <s v="08/04/2026"/>
    <s v="Anthony Patterson"/>
    <s v="Email Available"/>
    <s v="anthony.patterson944@gmail.com"/>
    <x v="9"/>
    <s v="Electronics"/>
    <x v="10"/>
    <n v="1"/>
    <n v="8.99"/>
    <n v="8.99"/>
    <s v="FREESHIP"/>
    <s v="FREESHIP"/>
    <n v="0"/>
    <n v="0"/>
    <s v="Number"/>
    <n v="0"/>
    <n v="0"/>
    <n v="8.99"/>
    <n v="8.99"/>
    <n v="8.99"/>
    <s v="True"/>
    <s v="Normal"/>
    <s v="Apple Pay"/>
    <s v="Instagram"/>
    <s v="fulfilled"/>
    <s v="Pakistan"/>
    <m/>
    <s v="Not Required"/>
    <s v="East Donaldfort"/>
  </r>
  <r>
    <s v="#2361"/>
    <n v="1"/>
    <d v="2026-04-08T00:00:00"/>
    <s v="08/04/2026"/>
    <s v="Heather Rivers"/>
    <s v="Email Available"/>
    <s v="heather.rivers451@icloud.com"/>
    <x v="9"/>
    <s v="Electronics"/>
    <x v="10"/>
    <n v="1"/>
    <n v="8.99"/>
    <n v="8.99"/>
    <m/>
    <s v=""/>
    <n v="0"/>
    <n v="0"/>
    <s v="Number"/>
    <n v="4.99"/>
    <n v="4.99"/>
    <n v="13.98"/>
    <n v="13.98"/>
    <n v="13.98"/>
    <s v="True"/>
    <s v="Normal"/>
    <s v="PayPal"/>
    <s v="Facebook"/>
    <s v="cancelled"/>
    <s v="United States"/>
    <s v="Texas"/>
    <s v="Valid"/>
    <s v="New Steven"/>
  </r>
  <r>
    <s v="#2372"/>
    <n v="1"/>
    <d v="2026-08-04T14:05:00"/>
    <d v="2026-08-04T14:05:00"/>
    <s v="Lisa Cook"/>
    <s v="Email Available"/>
    <s v="lisa.cook622@gmail.com"/>
    <x v="9"/>
    <s v="Electronics"/>
    <x v="10"/>
    <n v="1"/>
    <n v="8.99"/>
    <n v="8.99"/>
    <s v="VIP15"/>
    <s v="VIP15"/>
    <n v="1.35"/>
    <n v="1.35"/>
    <s v="Number"/>
    <n v="7.99"/>
    <n v="7.99"/>
    <n v="15.63"/>
    <n v="15.63"/>
    <n v="15.63"/>
    <s v="True"/>
    <s v="Normal"/>
    <s v="Shopify Payments"/>
    <s v="POS"/>
    <s v="fulfilled"/>
    <s v="Germany"/>
    <m/>
    <s v="Not Required"/>
    <s v="East Jennifer"/>
  </r>
  <r>
    <s v="#2385"/>
    <n v="1"/>
    <d v="2026-08-04T14:00:51"/>
    <d v="2026-08-04T14:00:51"/>
    <s v="Sandra Potter"/>
    <s v="Email Available"/>
    <s v="sandra.potter166@yahoo.com"/>
    <x v="9"/>
    <s v="Electronics"/>
    <x v="10"/>
    <n v="1"/>
    <n v="8.99"/>
    <n v="8.99"/>
    <m/>
    <s v=""/>
    <n v="0"/>
    <n v="0"/>
    <s v="Number"/>
    <n v="5.99"/>
    <n v="5.99"/>
    <n v="14.98"/>
    <n v="14.98"/>
    <n v="14.98"/>
    <s v="True"/>
    <s v="Normal"/>
    <s v="Apple Pay"/>
    <s v="Online Store"/>
    <s v="fulfilled"/>
    <s v="United States"/>
    <s v="Illinois"/>
    <s v="Valid"/>
    <s v="Lake Nancyside"/>
  </r>
  <r>
    <s v="#2424"/>
    <n v="1"/>
    <d v="2026-08-04T13:55:50"/>
    <d v="2026-08-04T13:55:50"/>
    <s v="Thomas Rojas"/>
    <s v="Email Available"/>
    <s v="thomas.rojas667@icloud.com"/>
    <x v="9"/>
    <s v="Electronics"/>
    <x v="10"/>
    <n v="3"/>
    <n v="8.99"/>
    <n v="8.99"/>
    <s v="FREESHIP"/>
    <s v="FREESHIP"/>
    <n v="0"/>
    <n v="0"/>
    <s v="Number"/>
    <n v="0"/>
    <n v="0"/>
    <n v="26.97"/>
    <n v="26.97"/>
    <n v="26.97"/>
    <s v="True"/>
    <s v="Normal"/>
    <s v="Apple Pay"/>
    <s v="Facebook"/>
    <s v="fulfilled"/>
    <s v="United States"/>
    <s v="NC"/>
    <s v="Valid"/>
    <s v="Matthewland"/>
  </r>
  <r>
    <s v="#2487"/>
    <n v="1"/>
    <d v="2026-08-04T14:03:38"/>
    <d v="2026-08-04T14:03:38"/>
    <s v="Dustin Ward"/>
    <s v="Email Available"/>
    <s v="dustin.ward756@icloud.com"/>
    <x v="9"/>
    <s v="Electronics"/>
    <x v="10"/>
    <n v="1"/>
    <n v="8.99"/>
    <n v="8.99"/>
    <s v="WELCOME10"/>
    <s v="WELCOME10"/>
    <n v="0.9"/>
    <n v="0.9"/>
    <s v="Number"/>
    <n v="5.99"/>
    <n v="5.99"/>
    <n v="14.08"/>
    <n v="14.08"/>
    <n v="14.08"/>
    <s v="True"/>
    <s v="Normal"/>
    <s v="Shopify Payments"/>
    <s v="Online Store"/>
    <s v="fulfilled"/>
    <s v="United States"/>
    <s v="Canada"/>
    <s v="Valid"/>
    <s v="Lawrenceshire"/>
  </r>
  <r>
    <s v="#2519"/>
    <n v="1"/>
    <d v="2026-08-04T14:05:27"/>
    <d v="2026-08-04T14:05:27"/>
    <s v="NATALIE DIXON"/>
    <s v="Email Available"/>
    <s v="natalie.dixon388@outlook.com"/>
    <x v="9"/>
    <s v="Electronics"/>
    <x v="10"/>
    <n v="1"/>
    <n v="8.99"/>
    <n v="8.99"/>
    <s v="SAVE20"/>
    <s v="SAVE20"/>
    <s v="$1.80"/>
    <n v="1.8"/>
    <s v="Number"/>
    <n v="4.99"/>
    <n v="4.99"/>
    <n v="12.18"/>
    <n v="12.18"/>
    <n v="12.18"/>
    <s v="True"/>
    <s v="Normal"/>
    <s v="Shopify Payments"/>
    <s v="Facebook"/>
    <s v="fulfilled"/>
    <s v="United States"/>
    <s v="Arizona"/>
    <s v="Valid"/>
    <s v="Lake Veronica"/>
  </r>
  <r>
    <s v="#2529"/>
    <n v="1"/>
    <d v="2026-08-04T13:53:47"/>
    <d v="2026-08-04T13:53:47"/>
    <s v="Barbara Brown"/>
    <s v="Email Available"/>
    <s v="barbara.brown26@gmail.com"/>
    <x v="9"/>
    <s v="Electronics"/>
    <x v="10"/>
    <n v="1"/>
    <s v="$8.99"/>
    <n v="8.99"/>
    <m/>
    <s v=""/>
    <n v="0"/>
    <n v="0"/>
    <s v="Number"/>
    <n v="5.99"/>
    <n v="5.99"/>
    <n v="14.98"/>
    <n v="14.98"/>
    <n v="14.98"/>
    <s v="True"/>
    <s v="Normal"/>
    <s v="Apple Pay"/>
    <s v="POS"/>
    <s v="fulfilled"/>
    <s v="United States"/>
    <s v="Georgia"/>
    <s v="Valid"/>
    <s v="South Troychester"/>
  </r>
  <r>
    <s v="#2538"/>
    <n v="1"/>
    <d v="2026-08-04T14:05:23"/>
    <d v="2026-08-04T14:05:23"/>
    <s v="Kenneth Davis"/>
    <s v="Email Available"/>
    <s v="kenneth.davis106@yahoo.com"/>
    <x v="9"/>
    <s v="Electronics"/>
    <x v="10"/>
    <n v="2"/>
    <s v="$8.99"/>
    <n v="8.99"/>
    <s v="BFCM25"/>
    <s v="BFCM25"/>
    <n v="4.5"/>
    <n v="4.5"/>
    <s v="Number"/>
    <n v="5.99"/>
    <n v="5.99"/>
    <n v="19.47"/>
    <n v="19.47"/>
    <n v="19.47"/>
    <s v="True"/>
    <s v="Normal"/>
    <s v="Google Pay"/>
    <s v="Online Store"/>
    <s v="fulfilled"/>
    <s v="United States"/>
    <s v="Ohio"/>
    <s v="Valid"/>
    <s v="New Brandi"/>
  </r>
  <r>
    <s v="#2602"/>
    <n v="1"/>
    <d v="2026-08-04T14:02:13"/>
    <d v="2026-08-04T14:02:13"/>
    <s v="Ian Morris"/>
    <s v="Email Available"/>
    <s v="ian.morris90@outlook.com"/>
    <x v="9"/>
    <s v="Electronics"/>
    <x v="10"/>
    <n v="1"/>
    <n v="8.99"/>
    <n v="8.99"/>
    <s v="FREESHIP"/>
    <s v="FREESHIP"/>
    <n v="0"/>
    <n v="0"/>
    <s v="Number"/>
    <n v="0"/>
    <n v="0"/>
    <n v="8.99"/>
    <n v="8.99"/>
    <n v="8.99"/>
    <s v="True"/>
    <s v="Normal"/>
    <s v="Shopify Payments"/>
    <s v="Online Store"/>
    <s v="pending"/>
    <s v="Pakistan"/>
    <m/>
    <s v="Not Required"/>
    <s v="East Leah"/>
  </r>
  <r>
    <s v="#2626"/>
    <n v="1"/>
    <d v="2026-08-04T14:03:45"/>
    <d v="2026-08-04T14:03:45"/>
    <s v="Christy Phillips"/>
    <s v="Missing Email"/>
    <m/>
    <x v="9"/>
    <s v="Electronics"/>
    <x v="10"/>
    <n v="1"/>
    <n v="8.99"/>
    <n v="8.99"/>
    <m/>
    <s v=""/>
    <n v="0"/>
    <n v="0"/>
    <s v="Number"/>
    <n v="5.99"/>
    <n v="5.99"/>
    <n v="14.98"/>
    <n v="14.98"/>
    <n v="14.98"/>
    <s v="True"/>
    <s v="Normal"/>
    <s v="Shopify Payments"/>
    <s v="Online Store"/>
    <s v="pending"/>
    <s v="Pakistan"/>
    <m/>
    <s v="Not Required"/>
    <s v="Port Ashleyview"/>
  </r>
  <r>
    <s v="#2628"/>
    <n v="1"/>
    <d v="2026-08-04T13:58:47"/>
    <d v="2026-08-04T13:58:47"/>
    <s v="Rhonda Chapman"/>
    <s v="Email Available"/>
    <s v="rhonda.chapman481@yahoo.com"/>
    <x v="9"/>
    <s v="Electronics"/>
    <x v="10"/>
    <n v="2"/>
    <n v="8.99"/>
    <n v="8.99"/>
    <s v="SAVE20"/>
    <s v="SAVE20"/>
    <n v="3.6"/>
    <n v="3.6"/>
    <s v="Number"/>
    <n v="7.99"/>
    <n v="7.99"/>
    <n v="22.37"/>
    <n v="22.37"/>
    <n v="22.37"/>
    <s v="True"/>
    <s v="Normal"/>
    <s v="Apple Pay"/>
    <s v="Instagram"/>
    <s v="fulfilled"/>
    <s v="United States"/>
    <s v="Florida"/>
    <s v="Valid"/>
    <s v="Jillmouth"/>
  </r>
  <r>
    <s v="#2679"/>
    <n v="1"/>
    <d v="2026-08-04T14:05:54"/>
    <d v="2026-08-04T14:05:54"/>
    <s v="Dustin Mccoy"/>
    <s v="Email Available"/>
    <s v="dustin.mccoy570@gmail.com"/>
    <x v="9"/>
    <s v="Electronics"/>
    <x v="10"/>
    <n v="2"/>
    <n v="8.99"/>
    <n v="8.99"/>
    <s v="FREESHIP"/>
    <s v="FREESHIP"/>
    <s v="$0.00"/>
    <n v="0"/>
    <s v="Number"/>
    <n v="0"/>
    <n v="0"/>
    <n v="17.98"/>
    <n v="17.98"/>
    <n v="17.98"/>
    <s v="True"/>
    <s v="Normal"/>
    <s v="Credit Card"/>
    <s v="Instagram"/>
    <s v="fulfilled"/>
    <s v="Canada"/>
    <m/>
    <s v="Not Required"/>
    <s v="West Ryanville"/>
  </r>
  <r>
    <s v="#2702"/>
    <n v="1"/>
    <d v="2026-08-04T13:54:06"/>
    <d v="2026-08-04T13:54:06"/>
    <s v="Shelly Griffith"/>
    <s v="Email Available"/>
    <s v="shelly.griffith342@icloud.com"/>
    <x v="9"/>
    <s v="Electronics"/>
    <x v="10"/>
    <n v="1"/>
    <n v="8.99"/>
    <n v="8.99"/>
    <s v="SAVE20"/>
    <s v="SAVE20"/>
    <n v="1.8"/>
    <n v="1.8"/>
    <s v="Number"/>
    <n v="5.99"/>
    <n v="5.99"/>
    <n v="13.18"/>
    <n v="13.18"/>
    <n v="13.18"/>
    <s v="True"/>
    <s v="Normal"/>
    <s v="Credit Card"/>
    <s v="Facebook"/>
    <s v="fulfilled"/>
    <s v="Australia"/>
    <m/>
    <s v="Not Required"/>
    <s v="North Karenchester"/>
  </r>
  <r>
    <s v="#2712"/>
    <n v="1"/>
    <d v="2026-08-04T13:57:19"/>
    <d v="2026-08-04T13:57:19"/>
    <s v="Anthony Krueger"/>
    <s v="Email Available"/>
    <s v="anthony.krueger812@yahoo.com"/>
    <x v="9"/>
    <s v="Electronics"/>
    <x v="10"/>
    <n v="1"/>
    <n v="8.99"/>
    <n v="8.99"/>
    <s v="SAVE20"/>
    <s v="SAVE20"/>
    <n v="1.8"/>
    <n v="1.8"/>
    <s v="Number"/>
    <n v="4.99"/>
    <n v="4.99"/>
    <n v="12.18"/>
    <n v="12.18"/>
    <n v="12.18"/>
    <s v="True"/>
    <s v="Normal"/>
    <s v="Shopify Payments"/>
    <s v="Online Store"/>
    <s v="refunded"/>
    <s v="Pakistan"/>
    <m/>
    <s v="Not Required"/>
    <s v="East Christine"/>
  </r>
  <r>
    <s v="#2749"/>
    <n v="1"/>
    <d v="2026-08-04T14:05:46"/>
    <d v="2026-08-04T14:05:46"/>
    <s v="Thomas Rojas"/>
    <s v="Email Available"/>
    <s v="thomas.rojas667@icloud.com"/>
    <x v="9"/>
    <s v="Electronics"/>
    <x v="10"/>
    <n v="1"/>
    <n v="8.99"/>
    <n v="8.99"/>
    <s v="BFCM25"/>
    <s v="BFCM25"/>
    <n v="2.25"/>
    <n v="2.25"/>
    <s v="Number"/>
    <n v="5.99"/>
    <n v="5.99"/>
    <n v="12.73"/>
    <n v="12.73"/>
    <n v="12.73"/>
    <s v="True"/>
    <s v="Normal"/>
    <s v="Google Pay"/>
    <s v="Online Store"/>
    <s v="fulfilled"/>
    <s v="United States"/>
    <s v="Ohio"/>
    <s v="Valid"/>
    <s v="Mortonview"/>
  </r>
  <r>
    <s v="#2802"/>
    <n v="1"/>
    <d v="2026-08-04T13:56:57"/>
    <d v="2026-08-04T13:56:57"/>
    <s v="Amanda Rodriguez"/>
    <s v="Email Available"/>
    <s v="amanda.rodriguez770@yahoo.com"/>
    <x v="9"/>
    <s v="Electronics"/>
    <x v="10"/>
    <n v="1"/>
    <n v="8.99"/>
    <n v="8.99"/>
    <s v="VIP15"/>
    <s v="VIP15"/>
    <n v="1.35"/>
    <n v="1.35"/>
    <s v="Number"/>
    <n v="7.99"/>
    <n v="7.99"/>
    <n v="15.63"/>
    <n v="15.63"/>
    <n v="15.63"/>
    <s v="True"/>
    <s v="Normal"/>
    <s v="PayPal"/>
    <s v="Facebook"/>
    <s v="cancelled"/>
    <s v="United States"/>
    <s v="North Carolina"/>
    <s v="Valid"/>
    <s v="Johnsontown"/>
  </r>
  <r>
    <s v="#2806"/>
    <n v="1"/>
    <d v="2026-08-04T13:57:26"/>
    <d v="2026-08-04T13:57:26"/>
    <s v="Michael Hays"/>
    <s v="Email Available"/>
    <s v="michael.hays590@gmail.com"/>
    <x v="9"/>
    <s v="Electronics"/>
    <x v="10"/>
    <n v="1"/>
    <n v="8.99"/>
    <n v="8.99"/>
    <s v="VIP15"/>
    <s v="VIP15"/>
    <n v="1.35"/>
    <n v="1.35"/>
    <s v="Number"/>
    <n v="7.99"/>
    <n v="7.99"/>
    <n v="15.63"/>
    <n v="15.63"/>
    <n v="15.63"/>
    <s v="True"/>
    <s v="Normal"/>
    <s v="Shopify Payments"/>
    <s v="POS"/>
    <s v="fulfilled"/>
    <s v="United States"/>
    <s v="Florida"/>
    <s v="Valid"/>
    <s v="Bennettside"/>
  </r>
  <r>
    <s v="#2833"/>
    <n v="1"/>
    <d v="2026-08-04T00:00:00"/>
    <s v="04-08-2026 13:59"/>
    <s v="Karen Bautista"/>
    <s v="Email Available"/>
    <s v="karen.bautista779@icloud.com"/>
    <x v="9"/>
    <s v="Electronics"/>
    <x v="10"/>
    <n v="1"/>
    <n v="8.99"/>
    <n v="8.99"/>
    <s v="FREESHIP"/>
    <s v="FREESHIP"/>
    <n v="0"/>
    <n v="0"/>
    <s v="Number"/>
    <n v="0"/>
    <n v="0"/>
    <n v="8.99"/>
    <n v="8.99"/>
    <n v="8.99"/>
    <s v="True"/>
    <s v="Normal"/>
    <s v="Apple Pay"/>
    <s v="Facebook"/>
    <s v="cancelled"/>
    <s v="United States"/>
    <s v="Illinois"/>
    <s v="Valid"/>
    <s v="North Theresaton"/>
  </r>
  <r>
    <s v="#2839"/>
    <n v="1"/>
    <d v="2026-08-04T14:06:54"/>
    <d v="2026-08-04T14:06:54"/>
    <s v="Michele Davis"/>
    <s v="Email Available"/>
    <s v="michele.davis844@gmail.com"/>
    <x v="9"/>
    <s v="Electronics"/>
    <x v="10"/>
    <n v="2"/>
    <s v="$8.99"/>
    <n v="8.99"/>
    <m/>
    <s v=""/>
    <n v="0"/>
    <n v="0"/>
    <s v="Number"/>
    <n v="5.99"/>
    <n v="5.99"/>
    <n v="23.97"/>
    <n v="23.97"/>
    <n v="23.97"/>
    <s v="True"/>
    <s v="Normal"/>
    <s v="Apple Pay"/>
    <s v="Online Store"/>
    <s v="pending"/>
    <s v="Australia"/>
    <m/>
    <s v="Not Required"/>
    <s v="Port Michael"/>
  </r>
  <r>
    <s v="#2873"/>
    <n v="1"/>
    <d v="2026-04-08T00:00:00"/>
    <s v="08/04/2026"/>
    <s v="Timothy Weaver"/>
    <s v="Email Available"/>
    <s v="timothy.weaver591@gmail.com"/>
    <x v="9"/>
    <s v="Electronics"/>
    <x v="10"/>
    <n v="1"/>
    <n v="8.99"/>
    <n v="8.99"/>
    <s v="FREESHIP"/>
    <s v="FREESHIP"/>
    <n v="0"/>
    <n v="0"/>
    <s v="Number"/>
    <n v="0"/>
    <n v="0"/>
    <n v="8.99"/>
    <n v="8.99"/>
    <n v="8.99"/>
    <s v="True"/>
    <s v="Normal"/>
    <s v="Google Pay"/>
    <s v="Facebook"/>
    <s v="refunded"/>
    <s v="Australia"/>
    <m/>
    <s v="Not Required"/>
    <s v="Lake Cynthialand"/>
  </r>
  <r>
    <s v="#2923"/>
    <n v="1"/>
    <d v="2026-08-04T14:04:36"/>
    <d v="2026-08-04T14:04:36"/>
    <s v="Walter Rodriguez"/>
    <s v="Email Available"/>
    <s v="walter.rodriguez829@gmail.com"/>
    <x v="9"/>
    <s v="Electronics"/>
    <x v="10"/>
    <n v="1"/>
    <n v="8.99"/>
    <n v="8.99"/>
    <s v="SAVE20"/>
    <s v="SAVE20"/>
    <n v="1.8"/>
    <n v="1.8"/>
    <s v="Number"/>
    <n v="4.99"/>
    <n v="4.99"/>
    <n v="12.18"/>
    <n v="12.18"/>
    <n v="12.18"/>
    <s v="True"/>
    <s v="Normal"/>
    <s v="Shopify Payments"/>
    <s v="POS"/>
    <s v="pending"/>
    <s v="Australia"/>
    <m/>
    <s v="Not Required"/>
    <s v="Rivasborough"/>
  </r>
  <r>
    <s v="#2972"/>
    <n v="1"/>
    <d v="2026-04-08T00:00:00"/>
    <s v="08/04/2026"/>
    <s v="Sara Hernandez"/>
    <s v="Missing Email"/>
    <m/>
    <x v="9"/>
    <s v="Electronics"/>
    <x v="10"/>
    <n v="1"/>
    <s v="$8.99"/>
    <n v="8.99"/>
    <s v="BFCM25"/>
    <s v="BFCM25"/>
    <n v="2.25"/>
    <n v="2.25"/>
    <s v="Number"/>
    <n v="7.99"/>
    <n v="7.99"/>
    <n v="14.73"/>
    <n v="14.73"/>
    <n v="14.73"/>
    <s v="True"/>
    <s v="Normal"/>
    <s v="Credit Card"/>
    <s v="Online Store"/>
    <s v="cancelled"/>
    <s v="United States"/>
    <s v="NY"/>
    <s v="Valid"/>
    <s v="Catherinefurt"/>
  </r>
  <r>
    <s v="#2973"/>
    <n v="1"/>
    <d v="2026-08-04T00:00:00"/>
    <s v="2026-08-04"/>
    <s v="Rose English"/>
    <s v="Email Available"/>
    <s v="rose.english118@icloud.com"/>
    <x v="9"/>
    <s v="Electronics"/>
    <x v="10"/>
    <n v="1"/>
    <n v="8.99"/>
    <n v="8.99"/>
    <m/>
    <s v=""/>
    <n v="0"/>
    <n v="0"/>
    <s v="Number"/>
    <n v="5.99"/>
    <n v="5.99"/>
    <n v="14.98"/>
    <n v="14.98"/>
    <n v="14.98"/>
    <s v="True"/>
    <s v="Normal"/>
    <s v="PayPal"/>
    <s v="Facebook"/>
    <s v="pending"/>
    <s v="Germany"/>
    <m/>
    <s v="Not Required"/>
    <s v="Port Janetville"/>
  </r>
  <r>
    <s v="#2979"/>
    <n v="1"/>
    <d v="2026-04-08T00:00:00"/>
    <s v="08/04/2026"/>
    <s v="Monica Hicks"/>
    <s v="Email Available"/>
    <s v="monica.hicks473@yahoo.com"/>
    <x v="9"/>
    <s v="Electronics"/>
    <x v="10"/>
    <n v="4"/>
    <n v="8.99"/>
    <n v="8.99"/>
    <m/>
    <s v=""/>
    <n v="0"/>
    <n v="0"/>
    <s v="Number"/>
    <n v="7.99"/>
    <n v="7.99"/>
    <n v="43.95"/>
    <n v="43.95"/>
    <n v="43.95"/>
    <s v="True"/>
    <s v="Normal"/>
    <s v="Shopify Payments"/>
    <s v="Online Store"/>
    <s v="fulfilled"/>
    <s v="United States"/>
    <s v="North Carolina"/>
    <s v="Valid"/>
    <s v="Joycebury"/>
  </r>
  <r>
    <s v="#1325"/>
    <n v="1"/>
    <d v="2026-08-04T13:56:34"/>
    <d v="2026-08-04T13:56:34"/>
    <s v="Christopher Hayes"/>
    <s v="Email Available"/>
    <s v="christopher.hayes809@icloud.com"/>
    <x v="9"/>
    <s v="Electronics"/>
    <x v="10"/>
    <n v="1"/>
    <n v="8.99"/>
    <n v="8.99"/>
    <m/>
    <s v=""/>
    <n v="0"/>
    <n v="0"/>
    <s v="Number"/>
    <n v="5.99"/>
    <n v="5.99"/>
    <n v="14.98"/>
    <n v="14.98"/>
    <n v="14.98"/>
    <s v="True"/>
    <s v="Normal"/>
    <s v="Google Pay"/>
    <s v="POS"/>
    <s v="fulfilled"/>
    <s v="United States"/>
    <s v="Georgia"/>
    <s v="Valid"/>
    <s v="South Aaronburgh"/>
  </r>
  <r>
    <s v="#2395"/>
    <n v="1"/>
    <d v="2026-08-04T13:54:13"/>
    <d v="2026-08-04T13:54:13"/>
    <s v="Michael Jacobson"/>
    <s v="Email Available"/>
    <s v="michael.jacobson69@outlook.com"/>
    <x v="9"/>
    <s v="Electronics"/>
    <x v="10"/>
    <n v="1"/>
    <n v="8.99"/>
    <n v="8.99"/>
    <m/>
    <s v=""/>
    <s v="$0.00"/>
    <n v="0"/>
    <s v="Number"/>
    <n v="7.99"/>
    <n v="7.99"/>
    <n v="16.98"/>
    <n v="16.98"/>
    <n v="16.98"/>
    <s v="True"/>
    <s v="Normal"/>
    <s v="PayPal"/>
    <s v="Online Store"/>
    <s v="fulfilled"/>
    <s v="Germany"/>
    <m/>
    <s v="Not Required"/>
    <s v="Christinachester"/>
  </r>
  <r>
    <s v="#1014"/>
    <n v="1"/>
    <d v="2026-08-04T14:02:11"/>
    <d v="2026-08-04T14:02:11"/>
    <s v="Frederick Bean"/>
    <s v="Email Available"/>
    <s v="frederick.bean141@outlook.com"/>
    <x v="10"/>
    <s v="Accessories"/>
    <x v="11"/>
    <n v="1"/>
    <n v="16.989999999999998"/>
    <n v="16.989999999999998"/>
    <m/>
    <s v=""/>
    <n v="0"/>
    <n v="0"/>
    <s v="Number"/>
    <n v="5.99"/>
    <n v="5.99"/>
    <n v="22.98"/>
    <n v="22.98"/>
    <n v="22.979999999999997"/>
    <s v="True"/>
    <s v="Normal"/>
    <s v="Credit Card"/>
    <s v="Online Store"/>
    <s v="fulfilled"/>
    <s v="United States"/>
    <s v="Florida"/>
    <s v="Valid"/>
    <s v="Kimberlychester"/>
  </r>
  <r>
    <s v="#1023"/>
    <n v="1"/>
    <d v="2026-08-04T13:57:14"/>
    <d v="2026-08-04T13:57:14"/>
    <s v="Angela Carr"/>
    <s v="Email Available"/>
    <s v="angela.carr488@yahoo.com"/>
    <x v="10"/>
    <s v="Accessories"/>
    <x v="11"/>
    <n v="1"/>
    <n v="16.989999999999998"/>
    <n v="16.989999999999998"/>
    <s v="BFCM25"/>
    <s v="BFCM25"/>
    <n v="4.25"/>
    <n v="4.25"/>
    <s v="Number"/>
    <n v="7.99"/>
    <n v="7.99"/>
    <n v="20.73"/>
    <n v="20.73"/>
    <n v="20.729999999999997"/>
    <s v="True"/>
    <s v="Normal"/>
    <s v="Shopify Payments"/>
    <s v="POS"/>
    <s v="pending"/>
    <s v="United States"/>
    <s v="Canada"/>
    <s v="Valid"/>
    <s v="Hansenberg"/>
  </r>
  <r>
    <s v="#1104"/>
    <n v="1"/>
    <d v="2026-08-04T14:04:01"/>
    <d v="2026-08-04T14:04:01"/>
    <s v="Julia Atkinson"/>
    <s v="Email Available"/>
    <s v="julia.atkinson939@gmail.com"/>
    <x v="10"/>
    <s v="Accessories"/>
    <x v="11"/>
    <n v="1"/>
    <n v="16.989999999999998"/>
    <n v="16.989999999999998"/>
    <m/>
    <s v=""/>
    <n v="0"/>
    <n v="0"/>
    <s v="Number"/>
    <n v="5.99"/>
    <n v="5.99"/>
    <n v="22.98"/>
    <n v="22.98"/>
    <n v="22.979999999999997"/>
    <s v="True"/>
    <s v="Normal"/>
    <s v="PayPal"/>
    <s v="Facebook"/>
    <s v="pending"/>
    <s v="Canada"/>
    <m/>
    <s v="Not Required"/>
    <s v="Lake Williamstad"/>
  </r>
  <r>
    <s v="#1121"/>
    <n v="1"/>
    <d v="2026-08-04T14:07:32"/>
    <d v="2026-08-04T14:07:32"/>
    <s v="  Barbara Brown"/>
    <s v="Email Available"/>
    <s v="barbara.brown26@gmail.com"/>
    <x v="10"/>
    <s v="Accessories"/>
    <x v="11"/>
    <n v="1"/>
    <n v="16.989999999999998"/>
    <n v="16.989999999999998"/>
    <s v="VIP15"/>
    <s v="VIP15"/>
    <n v="2.5499999999999998"/>
    <n v="2.5499999999999998"/>
    <s v="Number"/>
    <n v="7.99"/>
    <n v="7.99"/>
    <n v="22.43"/>
    <n v="22.43"/>
    <n v="22.43"/>
    <s v="True"/>
    <s v="Normal"/>
    <s v="PayPal"/>
    <s v="Online Store"/>
    <s v="fulfilled"/>
    <s v="United States"/>
    <s v="Georgia"/>
    <s v="Valid"/>
    <s v="Doughertyport"/>
  </r>
  <r>
    <s v="#1165"/>
    <n v="1"/>
    <d v="2026-08-04T14:02:59"/>
    <d v="2026-08-04T14:02:59"/>
    <s v="Stacey Johnson"/>
    <s v="Email Available"/>
    <s v="stacey.johnson95@gmail.com"/>
    <x v="10"/>
    <s v="Accessories"/>
    <x v="11"/>
    <n v="2"/>
    <n v="16.989999999999998"/>
    <n v="16.989999999999998"/>
    <m/>
    <s v=""/>
    <n v="0"/>
    <n v="0"/>
    <s v="Number"/>
    <n v="7.99"/>
    <n v="7.99"/>
    <n v="41.97"/>
    <n v="41.97"/>
    <n v="41.97"/>
    <s v="True"/>
    <s v="Normal"/>
    <s v="Google Pay"/>
    <s v="Instagram"/>
    <s v="fulfilled"/>
    <s v="Germany"/>
    <m/>
    <s v="Not Required"/>
    <s v="Traceyberg"/>
  </r>
  <r>
    <s v="#1216"/>
    <n v="1"/>
    <d v="2026-08-04T14:04:35"/>
    <d v="2026-08-04T14:04:35"/>
    <s v="Kayla Cruz"/>
    <s v="Email Available"/>
    <s v="kayla.cruz151@outlook.com"/>
    <x v="10"/>
    <s v="Accessories"/>
    <x v="11"/>
    <n v="2"/>
    <n v="16.989999999999998"/>
    <n v="16.989999999999998"/>
    <s v="SAVE20"/>
    <s v="SAVE20"/>
    <n v="6.8"/>
    <n v="6.8"/>
    <s v="Number"/>
    <n v="7.99"/>
    <n v="7.99"/>
    <n v="35.17"/>
    <n v="35.17"/>
    <n v="35.169999999999995"/>
    <s v="True"/>
    <s v="Normal"/>
    <s v="Credit Card"/>
    <s v="Instagram"/>
    <s v="refunded"/>
    <s v="Pakistan"/>
    <m/>
    <s v="Not Required"/>
    <s v="Port Natalieview"/>
  </r>
  <r>
    <s v="#1219"/>
    <n v="1"/>
    <d v="2026-08-04T13:54:00"/>
    <d v="2026-08-04T13:54:00"/>
    <s v="Veronica Price"/>
    <s v="Missing Email"/>
    <m/>
    <x v="10"/>
    <s v="Accessories"/>
    <x v="11"/>
    <n v="1"/>
    <n v="16.989999999999998"/>
    <n v="16.989999999999998"/>
    <m/>
    <s v=""/>
    <n v="0"/>
    <n v="0"/>
    <s v="Number"/>
    <n v="4.99"/>
    <n v="4.99"/>
    <n v="21.98"/>
    <n v="21.98"/>
    <n v="21.979999999999997"/>
    <s v="True"/>
    <s v="Normal"/>
    <s v="Shopify Payments"/>
    <s v="Facebook"/>
    <s v="fulfilled"/>
    <s v="Canada"/>
    <m/>
    <s v="Not Required"/>
    <s v="North Matthewstad"/>
  </r>
  <r>
    <s v="#1243"/>
    <n v="1"/>
    <d v="2026-08-04T13:59:21"/>
    <d v="2026-08-04T13:59:21"/>
    <s v="Jaime Vargas"/>
    <s v="Email Available"/>
    <s v="jaime.vargas795@outlook.com"/>
    <x v="10"/>
    <s v="Accessories"/>
    <x v="11"/>
    <n v="2"/>
    <s v="$16.99"/>
    <n v="16.989999999999998"/>
    <s v="FREESHIP"/>
    <s v="FREESHIP"/>
    <n v="0"/>
    <n v="0"/>
    <s v="Number"/>
    <n v="0"/>
    <n v="0"/>
    <n v="33.979999999999997"/>
    <n v="33.979999999999997"/>
    <n v="33.979999999999997"/>
    <s v="True"/>
    <s v="Normal"/>
    <s v="Google Pay"/>
    <s v="Online Store"/>
    <s v="fulfilled"/>
    <s v="United Kingdom"/>
    <m/>
    <s v="Not Required"/>
    <s v="South Benjaminstad"/>
  </r>
  <r>
    <s v="#1250"/>
    <n v="1"/>
    <d v="2026-08-04T14:04:19"/>
    <d v="2026-08-04T14:04:19"/>
    <s v="Debra Thomas"/>
    <s v="Email Available"/>
    <s v="debra.thomas509@icloud.com"/>
    <x v="10"/>
    <s v="Accessories"/>
    <x v="11"/>
    <n v="1"/>
    <n v="16.989999999999998"/>
    <n v="16.989999999999998"/>
    <s v="WELCOME10"/>
    <s v="WELCOME10"/>
    <n v="1.7"/>
    <n v="1.7"/>
    <s v="Number"/>
    <n v="7.99"/>
    <n v="7.99"/>
    <n v="23.28"/>
    <n v="23.28"/>
    <n v="23.28"/>
    <s v="True"/>
    <s v="Normal"/>
    <s v="PayPal"/>
    <s v="Online Store"/>
    <s v="fulfilled"/>
    <s v="United States"/>
    <s v="Georgia"/>
    <s v="Valid"/>
    <s v="Richardside"/>
  </r>
  <r>
    <s v="#1256"/>
    <n v="1"/>
    <d v="2026-08-04T00:00:00"/>
    <s v="04-08-2026 13:55"/>
    <s v="Andrew Mora"/>
    <s v="Email Available"/>
    <s v="andrew.mora959@outlook.com"/>
    <x v="10"/>
    <s v="Accessories"/>
    <x v="11"/>
    <n v="1"/>
    <n v="16.989999999999998"/>
    <n v="16.989999999999998"/>
    <m/>
    <s v=""/>
    <n v="0"/>
    <n v="0"/>
    <s v="Number"/>
    <n v="7.99"/>
    <n v="7.99"/>
    <n v="24.98"/>
    <n v="24.98"/>
    <n v="24.979999999999997"/>
    <s v="True"/>
    <s v="Normal"/>
    <s v="Shopify Payments"/>
    <s v="Instagram"/>
    <s v="fulfilled"/>
    <s v="Australia"/>
    <m/>
    <s v="Not Required"/>
    <s v="New Allison"/>
  </r>
  <r>
    <s v="#1282"/>
    <n v="1"/>
    <d v="2026-08-04T14:07:28"/>
    <d v="2026-08-04T14:07:28"/>
    <m/>
    <s v="Email Available"/>
    <s v="ruth.duncan434@icloud.com"/>
    <x v="10"/>
    <s v="Accessories"/>
    <x v="11"/>
    <n v="2"/>
    <n v="16.989999999999998"/>
    <n v="16.989999999999998"/>
    <m/>
    <s v=""/>
    <n v="0"/>
    <n v="0"/>
    <s v="Number"/>
    <n v="5.99"/>
    <n v="5.99"/>
    <n v="39.97"/>
    <n v="39.97"/>
    <n v="39.97"/>
    <s v="True"/>
    <s v="Normal"/>
    <s v="Credit Card"/>
    <s v="Online Store"/>
    <s v="cancelled"/>
    <s v="Australia"/>
    <m/>
    <s v="Not Required"/>
    <s v="South Susan"/>
  </r>
  <r>
    <s v="#1305"/>
    <n v="1"/>
    <d v="2026-08-04T14:04:15"/>
    <d v="2026-08-04T14:04:15"/>
    <s v="Amy Maldonado"/>
    <s v="Email Available"/>
    <s v="amy.maldonado44@gmail.com"/>
    <x v="10"/>
    <s v="Accessories"/>
    <x v="11"/>
    <n v="1"/>
    <n v="16.989999999999998"/>
    <n v="16.989999999999998"/>
    <m/>
    <s v=""/>
    <n v="0"/>
    <n v="0"/>
    <s v="Number"/>
    <n v="5.99"/>
    <n v="5.99"/>
    <n v="22.98"/>
    <n v="22.98"/>
    <n v="22.979999999999997"/>
    <s v="True"/>
    <s v="Normal"/>
    <s v="PayPal"/>
    <s v="Online Store"/>
    <s v="fulfilled"/>
    <s v="Pakistan"/>
    <m/>
    <s v="Not Required"/>
    <s v="Matthewstad"/>
  </r>
  <r>
    <s v="#1312"/>
    <n v="1"/>
    <d v="2026-08-04T00:00:00"/>
    <s v="04-08-2026 13:59"/>
    <s v="David Hernandez"/>
    <s v="Email Available"/>
    <s v="david.hernandez260@yahoo.com"/>
    <x v="10"/>
    <s v="Accessories"/>
    <x v="11"/>
    <n v="1"/>
    <n v="16.989999999999998"/>
    <n v="16.989999999999998"/>
    <s v="BFCM25"/>
    <s v="BFCM25"/>
    <n v="4.25"/>
    <n v="4.25"/>
    <s v="Number"/>
    <n v="5.99"/>
    <n v="5.99"/>
    <n v="18.73"/>
    <n v="18.73"/>
    <n v="18.729999999999997"/>
    <s v="True"/>
    <s v="Normal"/>
    <s v="Shopify Payments"/>
    <s v="POS"/>
    <s v="fulfilled"/>
    <s v="Australia"/>
    <m/>
    <s v="Not Required"/>
    <s v="South Marissa"/>
  </r>
  <r>
    <s v="#1316"/>
    <n v="1"/>
    <d v="2026-08-04T13:58:16"/>
    <d v="2026-08-04T13:58:16"/>
    <s v="Angela Carr"/>
    <s v="Email Available"/>
    <s v="angela.carr488@yahoo.com"/>
    <x v="10"/>
    <s v="Accessories"/>
    <x v="11"/>
    <n v="1"/>
    <n v="16.989999999999998"/>
    <n v="16.989999999999998"/>
    <s v="WELCOME10"/>
    <s v="WELCOME10"/>
    <n v="1.7"/>
    <n v="1.7"/>
    <s v="Number"/>
    <n v="5.99"/>
    <n v="5.99"/>
    <n v="21.28"/>
    <n v="21.28"/>
    <n v="21.28"/>
    <s v="True"/>
    <s v="Normal"/>
    <s v="Google Pay"/>
    <s v="Online Store"/>
    <s v="cancelled"/>
    <s v="United States"/>
    <s v="New York"/>
    <s v="Valid"/>
    <s v="Hansenberg"/>
  </r>
  <r>
    <s v="#1379"/>
    <n v="1"/>
    <d v="2026-04-08T00:00:00"/>
    <s v="08/04/2026"/>
    <s v="Melissa James"/>
    <s v="Email Available"/>
    <s v="melissa.james674@outlook.com"/>
    <x v="10"/>
    <s v="Accessories"/>
    <x v="11"/>
    <n v="1"/>
    <n v="16.989999999999998"/>
    <n v="16.989999999999998"/>
    <s v="BFCM25"/>
    <s v="BFCM25"/>
    <n v="4.25"/>
    <n v="4.25"/>
    <s v="Number"/>
    <n v="4.99"/>
    <n v="4.99"/>
    <n v="17.73"/>
    <n v="17.73"/>
    <n v="17.729999999999997"/>
    <s v="True"/>
    <s v="Normal"/>
    <s v="PayPal"/>
    <s v="POS"/>
    <s v="cancelled"/>
    <s v="United States"/>
    <s v="GA"/>
    <s v="Valid"/>
    <s v="East Courtneyport"/>
  </r>
  <r>
    <s v="#1397"/>
    <n v="1"/>
    <d v="2026-08-04T13:54:13"/>
    <d v="2026-08-04T13:54:13"/>
    <s v="Kristina Thompson"/>
    <s v="Email Available"/>
    <s v="kristina.thompson501@icloud.com"/>
    <x v="10"/>
    <s v="Accessories"/>
    <x v="11"/>
    <n v="1"/>
    <n v="16.989999999999998"/>
    <n v="16.989999999999998"/>
    <s v="VIP15"/>
    <s v="VIP15"/>
    <n v="2.5499999999999998"/>
    <n v="2.5499999999999998"/>
    <s v="Number"/>
    <n v="4.99"/>
    <n v="4.99"/>
    <n v="19.43"/>
    <n v="19.43"/>
    <n v="19.43"/>
    <s v="True"/>
    <s v="Normal"/>
    <s v="PayPal"/>
    <s v="Online Store"/>
    <s v="fulfilled"/>
    <s v="United States"/>
    <s v="North Carolina"/>
    <s v="Valid"/>
    <s v="New Dennis"/>
  </r>
  <r>
    <s v="#1426"/>
    <n v="1"/>
    <d v="2026-08-04T14:07:39"/>
    <d v="2026-08-04T14:07:39"/>
    <s v="Alan Davis"/>
    <s v="Email Available"/>
    <s v="alan.davis483@icloud.com"/>
    <x v="10"/>
    <s v="Accessories"/>
    <x v="11"/>
    <n v="2"/>
    <n v="16.989999999999998"/>
    <n v="16.989999999999998"/>
    <m/>
    <s v=""/>
    <n v="0"/>
    <n v="0"/>
    <s v="Number"/>
    <n v="5.99"/>
    <n v="5.99"/>
    <n v="39.97"/>
    <n v="39.97"/>
    <n v="39.97"/>
    <s v="True"/>
    <s v="Normal"/>
    <s v="Shopify Payments"/>
    <s v="Online Store"/>
    <s v="fulfilled"/>
    <s v="Canada"/>
    <m/>
    <s v="Not Required"/>
    <s v="Manningview"/>
  </r>
  <r>
    <s v="#1457"/>
    <n v="1"/>
    <d v="2026-08-04T14:04:00"/>
    <d v="2026-08-04T14:04:00"/>
    <s v="Anthony Mullen"/>
    <s v="Email Available"/>
    <s v="anthony.mullen523@yahoo.com"/>
    <x v="10"/>
    <s v="Accessories"/>
    <x v="11"/>
    <n v="1"/>
    <n v="16.989999999999998"/>
    <n v="16.989999999999998"/>
    <m/>
    <s v=""/>
    <n v="0"/>
    <n v="0"/>
    <s v="Number"/>
    <n v="7.99"/>
    <n v="7.99"/>
    <n v="24.98"/>
    <n v="24.98"/>
    <n v="24.979999999999997"/>
    <s v="True"/>
    <s v="Normal"/>
    <s v="Shopify Payments"/>
    <s v="Online Store"/>
    <s v="fulfilled"/>
    <s v="United States"/>
    <s v="New York"/>
    <s v="Valid"/>
    <s v="Alisonville"/>
  </r>
  <r>
    <s v="#1509"/>
    <n v="1"/>
    <d v="2026-08-04T14:01:06"/>
    <d v="2026-08-04T14:01:06"/>
    <s v="Joshua Miller"/>
    <s v="Email Available"/>
    <s v="joshua.miller362@gmail.com"/>
    <x v="10"/>
    <s v="Accessories"/>
    <x v="11"/>
    <n v="1"/>
    <n v="16.989999999999998"/>
    <n v="16.989999999999998"/>
    <s v="WELCOME10"/>
    <s v="WELCOME10"/>
    <s v="$1.70"/>
    <n v="1.7"/>
    <s v="Number"/>
    <n v="5.99"/>
    <n v="5.99"/>
    <n v="21.28"/>
    <n v="21.28"/>
    <n v="21.28"/>
    <s v="True"/>
    <s v="Normal"/>
    <s v="Google Pay"/>
    <s v="Online Store"/>
    <s v="cancelled"/>
    <s v="Canada"/>
    <m/>
    <s v="Not Required"/>
    <s v="Lake Andrewbury"/>
  </r>
  <r>
    <s v="#1527"/>
    <n v="1"/>
    <d v="2026-08-04T13:55:29"/>
    <d v="2026-08-04T13:55:29"/>
    <s v="Ian Morris"/>
    <s v="Email Available"/>
    <s v="ian.morris90@outlook.com"/>
    <x v="10"/>
    <s v="Accessories"/>
    <x v="11"/>
    <n v="1"/>
    <n v="16.989999999999998"/>
    <n v="16.989999999999998"/>
    <s v="WELCOME10"/>
    <s v="WELCOME10"/>
    <n v="1.7"/>
    <n v="1.7"/>
    <s v="Number"/>
    <n v="7.99"/>
    <n v="7.99"/>
    <n v="23.28"/>
    <n v="23.28"/>
    <n v="23.28"/>
    <s v="True"/>
    <s v="Normal"/>
    <s v="PayPal"/>
    <s v="Online Store"/>
    <s v="fulfilled"/>
    <s v="Pakistan"/>
    <m/>
    <s v="Not Required"/>
    <s v="New Benjamin"/>
  </r>
  <r>
    <s v="#1531"/>
    <n v="1"/>
    <d v="2026-08-04T13:58:06"/>
    <d v="2026-08-04T13:58:06"/>
    <s v="Julie Hoffman"/>
    <s v="Email Available"/>
    <s v="julie.hoffman913@gmail.com"/>
    <x v="10"/>
    <s v="Accessories"/>
    <x v="11"/>
    <n v="2"/>
    <n v="16.989999999999998"/>
    <n v="16.989999999999998"/>
    <s v="FREESHIP"/>
    <s v="FREESHIP"/>
    <s v="$0.00"/>
    <n v="0"/>
    <s v="Number"/>
    <n v="0"/>
    <n v="0"/>
    <n v="33.979999999999997"/>
    <n v="33.979999999999997"/>
    <n v="33.979999999999997"/>
    <s v="True"/>
    <s v="Normal"/>
    <s v="Credit Card"/>
    <s v="Instagram"/>
    <s v="fulfilled"/>
    <s v="United States"/>
    <s v="Washington"/>
    <s v="Valid"/>
    <s v="Gallaghermouth"/>
  </r>
  <r>
    <s v="#1542"/>
    <n v="1"/>
    <d v="2026-08-04T13:54:23"/>
    <d v="2026-08-04T13:54:23"/>
    <s v="Megan Dickson"/>
    <s v="Email Available"/>
    <s v="megan.dickson508@gmail.com"/>
    <x v="10"/>
    <s v="Accessories"/>
    <x v="11"/>
    <n v="1"/>
    <n v="16.989999999999998"/>
    <n v="16.989999999999998"/>
    <s v="WELCOME10"/>
    <s v="WELCOME10"/>
    <s v="$1.70"/>
    <n v="1.7"/>
    <s v="Number"/>
    <n v="5.99"/>
    <n v="5.99"/>
    <s v="$21.28"/>
    <n v="21.28"/>
    <n v="21.28"/>
    <s v="True"/>
    <s v="Normal"/>
    <s v="Apple Pay"/>
    <s v="Online Store"/>
    <s v="fulfilled"/>
    <s v="United Kingdom"/>
    <m/>
    <s v="Not Required"/>
    <s v="Port Darrylville"/>
  </r>
  <r>
    <s v="#1581"/>
    <n v="1"/>
    <d v="2026-08-04T13:58:53"/>
    <d v="2026-08-04T13:58:53"/>
    <s v="Darin Alvarez"/>
    <s v="Email Available"/>
    <s v="darin.alvarez843@gmail.com"/>
    <x v="10"/>
    <s v="Accessories"/>
    <x v="11"/>
    <n v="1"/>
    <n v="16.989999999999998"/>
    <n v="16.989999999999998"/>
    <s v="BFCM25"/>
    <s v="BFCM25"/>
    <n v="4.25"/>
    <n v="4.25"/>
    <s v="Number"/>
    <n v="7.99"/>
    <n v="7.99"/>
    <n v="20.73"/>
    <n v="20.73"/>
    <n v="20.729999999999997"/>
    <s v="True"/>
    <s v="Normal"/>
    <s v="Shopify Payments"/>
    <s v="Online Store"/>
    <s v="refunded"/>
    <s v="Canada"/>
    <m/>
    <s v="Not Required"/>
    <s v="Alanfort"/>
  </r>
  <r>
    <s v="#1582"/>
    <n v="1"/>
    <d v="2026-08-04T13:59:49"/>
    <d v="2026-08-04T13:59:49"/>
    <s v="mary phillips"/>
    <s v="Missing Email"/>
    <m/>
    <x v="10"/>
    <s v="Accessories"/>
    <x v="11"/>
    <n v="2"/>
    <n v="16.989999999999998"/>
    <n v="16.989999999999998"/>
    <s v="SAVE20"/>
    <s v="SAVE20"/>
    <n v="6.8"/>
    <n v="6.8"/>
    <s v="Number"/>
    <n v="4.99"/>
    <n v="4.99"/>
    <n v="32.17"/>
    <n v="32.17"/>
    <n v="32.169999999999995"/>
    <s v="True"/>
    <s v="Normal"/>
    <s v="Shopify Payments"/>
    <s v="POS"/>
    <s v="fulfilled"/>
    <s v="United States"/>
    <s v="New York"/>
    <s v="Valid"/>
    <s v="East Thomasview"/>
  </r>
  <r>
    <s v="#1606"/>
    <n v="1"/>
    <d v="2026-08-04T13:58:13"/>
    <d v="2026-08-04T13:58:13"/>
    <s v="Christopher Harrington"/>
    <s v="Email Available"/>
    <s v="christopher.harrington960@gmail.com"/>
    <x v="10"/>
    <s v="Accessories"/>
    <x v="11"/>
    <n v="2"/>
    <n v="16.989999999999998"/>
    <n v="16.989999999999998"/>
    <s v="FREESHIP"/>
    <s v="FREESHIP"/>
    <s v="$0.00"/>
    <n v="0"/>
    <s v="Number"/>
    <n v="0"/>
    <n v="0"/>
    <n v="33.979999999999997"/>
    <n v="33.979999999999997"/>
    <n v="33.979999999999997"/>
    <s v="True"/>
    <s v="Normal"/>
    <s v="Shopify Payments"/>
    <s v="Online Store"/>
    <s v="pending"/>
    <s v="Australia"/>
    <m/>
    <s v="Not Required"/>
    <s v="Dalestad"/>
  </r>
  <r>
    <s v="#1678"/>
    <n v="1"/>
    <d v="2026-08-04T13:59:14"/>
    <d v="2026-08-04T13:59:14"/>
    <s v="Ruth Duncan"/>
    <s v="Email Available"/>
    <s v="ruth.duncan434@icloud.com"/>
    <x v="10"/>
    <s v="Accessories"/>
    <x v="11"/>
    <n v="2"/>
    <n v="16.989999999999998"/>
    <n v="16.989999999999998"/>
    <s v="BFCM25"/>
    <s v="BFCM25"/>
    <n v="8.49"/>
    <n v="8.49"/>
    <s v="Number"/>
    <n v="7.99"/>
    <n v="7.99"/>
    <s v="$33.48"/>
    <n v="33.479999999999997"/>
    <n v="33.479999999999997"/>
    <s v="True"/>
    <s v="Normal"/>
    <s v="Credit Card"/>
    <s v="Instagram"/>
    <s v="fulfilled"/>
    <s v="Australia"/>
    <m/>
    <s v="Not Required"/>
    <s v="West Deborahshire"/>
  </r>
  <r>
    <s v="#1686"/>
    <n v="1"/>
    <d v="2026-08-04T14:03:47"/>
    <d v="2026-08-04T14:03:47"/>
    <s v="Tyler Williams"/>
    <s v="Email Available"/>
    <s v="tyler.williams938@outlook.com"/>
    <x v="10"/>
    <s v="Accessories"/>
    <x v="11"/>
    <n v="1"/>
    <s v="$16.99"/>
    <n v="16.989999999999998"/>
    <m/>
    <s v=""/>
    <n v="0"/>
    <n v="0"/>
    <s v="Number"/>
    <n v="7.99"/>
    <n v="7.99"/>
    <s v="$24.98"/>
    <n v="24.98"/>
    <n v="24.979999999999997"/>
    <s v="True"/>
    <s v="Normal"/>
    <s v="PayPal"/>
    <s v="Instagram"/>
    <s v="cancelled"/>
    <s v="Australia"/>
    <m/>
    <s v="Not Required"/>
    <s v="Garnerborough"/>
  </r>
  <r>
    <s v="#1702"/>
    <n v="1"/>
    <d v="2026-08-04T13:54:01"/>
    <d v="2026-08-04T13:54:01"/>
    <m/>
    <s v="Email Available"/>
    <s v="rose.english118@icloud.com"/>
    <x v="10"/>
    <s v="Accessories"/>
    <x v="11"/>
    <n v="1"/>
    <n v="16.989999999999998"/>
    <n v="16.989999999999998"/>
    <m/>
    <s v=""/>
    <n v="0"/>
    <n v="0"/>
    <s v="Number"/>
    <n v="7.99"/>
    <n v="7.99"/>
    <n v="24.98"/>
    <n v="24.98"/>
    <n v="24.979999999999997"/>
    <s v="True"/>
    <s v="Normal"/>
    <s v="Apple Pay"/>
    <s v="Online Store"/>
    <s v="pending"/>
    <s v="Germany"/>
    <m/>
    <s v="Not Required"/>
    <s v="New Richard"/>
  </r>
  <r>
    <s v="#1714"/>
    <n v="1"/>
    <d v="2026-08-04T14:03:27"/>
    <d v="2026-08-04T14:03:27"/>
    <s v="Julie Hoffman"/>
    <s v="Email Available"/>
    <s v="julie.hoffman913@gmail.com"/>
    <x v="10"/>
    <s v="Accessories"/>
    <x v="11"/>
    <n v="1"/>
    <n v="16.989999999999998"/>
    <n v="16.989999999999998"/>
    <s v="BFCM25"/>
    <s v="BFCM25"/>
    <n v="4.25"/>
    <n v="4.25"/>
    <s v="Number"/>
    <n v="5.99"/>
    <n v="5.99"/>
    <n v="18.73"/>
    <n v="18.73"/>
    <n v="18.729999999999997"/>
    <s v="True"/>
    <s v="Normal"/>
    <s v="Credit Card"/>
    <s v="Instagram"/>
    <s v="fulfilled"/>
    <s v="United States"/>
    <s v="Arizona"/>
    <s v="Valid"/>
    <s v="New Jefferyton"/>
  </r>
  <r>
    <s v="#1727"/>
    <n v="1"/>
    <d v="2026-08-04T14:07:44"/>
    <d v="2026-08-04T14:07:44"/>
    <s v="Joshua Chavez"/>
    <s v="Missing Email"/>
    <m/>
    <x v="10"/>
    <s v="Accessories"/>
    <x v="11"/>
    <n v="3"/>
    <n v="16.989999999999998"/>
    <n v="16.989999999999998"/>
    <s v="WELCOME10"/>
    <s v="WELCOME10"/>
    <n v="5.0999999999999996"/>
    <n v="5.0999999999999996"/>
    <s v="Number"/>
    <n v="4.99"/>
    <n v="4.99"/>
    <n v="50.86"/>
    <n v="50.86"/>
    <n v="50.86"/>
    <s v="True"/>
    <s v="Normal"/>
    <s v="Apple Pay"/>
    <s v="Facebook"/>
    <s v="fulfilled"/>
    <s v="United States"/>
    <s v="Georgia"/>
    <s v="Valid"/>
    <s v="Boyerfort"/>
  </r>
  <r>
    <s v="#1742"/>
    <n v="1"/>
    <d v="2026-08-04T14:00:54"/>
    <d v="2026-08-04T14:00:54"/>
    <s v="Rodney Lamb"/>
    <s v="Email Available"/>
    <s v="rodney.lamb872@icloud.com"/>
    <x v="10"/>
    <s v="Accessories"/>
    <x v="11"/>
    <n v="1"/>
    <n v="16.989999999999998"/>
    <n v="16.989999999999998"/>
    <s v="BFCM25"/>
    <s v="BFCM25"/>
    <n v="4.25"/>
    <n v="4.25"/>
    <s v="Number"/>
    <n v="7.99"/>
    <n v="7.99"/>
    <n v="20.73"/>
    <n v="20.73"/>
    <n v="20.729999999999997"/>
    <s v="True"/>
    <s v="Normal"/>
    <s v="Google Pay"/>
    <s v="Facebook"/>
    <s v="cancelled"/>
    <s v="Australia"/>
    <m/>
    <s v="Not Required"/>
    <s v="East Corey"/>
  </r>
  <r>
    <s v="#1784"/>
    <n v="1"/>
    <d v="2026-08-04T00:00:00"/>
    <s v="04-08-2026 14:04"/>
    <s v="Austin Norris"/>
    <s v="Email Available"/>
    <s v="austin.norris15@gmail.com"/>
    <x v="10"/>
    <s v="Accessories"/>
    <x v="11"/>
    <n v="2"/>
    <n v="16.989999999999998"/>
    <n v="16.989999999999998"/>
    <m/>
    <s v=""/>
    <n v="0"/>
    <n v="0"/>
    <s v="Number"/>
    <n v="7.99"/>
    <n v="7.99"/>
    <n v="41.97"/>
    <n v="41.97"/>
    <n v="41.97"/>
    <s v="True"/>
    <s v="Normal"/>
    <s v="Credit Card"/>
    <s v="Online Store"/>
    <s v="pending"/>
    <s v="United States"/>
    <s v="Washington"/>
    <s v="Valid"/>
    <s v="Rebeccaland"/>
  </r>
  <r>
    <s v="#1812"/>
    <n v="1"/>
    <d v="2026-08-04T13:53:54"/>
    <d v="2026-08-04T13:53:54"/>
    <s v="Tyler Williams"/>
    <s v="Email Available"/>
    <s v="tyler.williams938@outlook.com"/>
    <x v="10"/>
    <s v="Accessories"/>
    <x v="11"/>
    <n v="1"/>
    <n v="16.989999999999998"/>
    <n v="16.989999999999998"/>
    <s v="SAVE20"/>
    <s v="SAVE20"/>
    <n v="3.4"/>
    <n v="3.4"/>
    <s v="Number"/>
    <n v="5.99"/>
    <n v="5.99"/>
    <n v="19.579999999999998"/>
    <n v="19.579999999999998"/>
    <n v="19.579999999999998"/>
    <s v="True"/>
    <s v="Normal"/>
    <s v="Credit Card"/>
    <s v="Online Store"/>
    <s v="fulfilled"/>
    <s v="Australia"/>
    <m/>
    <s v="Not Required"/>
    <s v="Kathyshire"/>
  </r>
  <r>
    <s v="#1870"/>
    <n v="1"/>
    <d v="2026-04-08T00:00:00"/>
    <s v="08/04/2026"/>
    <s v="Christopher Harrington"/>
    <s v="Email Available"/>
    <s v="christopher.harrington960@gmail.com"/>
    <x v="10"/>
    <s v="Accessories"/>
    <x v="11"/>
    <n v="1"/>
    <n v="16.989999999999998"/>
    <n v="16.989999999999998"/>
    <s v="SAVE20"/>
    <s v="SAVE20"/>
    <n v="3.4"/>
    <n v="3.4"/>
    <s v="Number"/>
    <n v="7.99"/>
    <n v="7.99"/>
    <n v="21.58"/>
    <n v="21.58"/>
    <n v="21.58"/>
    <s v="True"/>
    <s v="Normal"/>
    <s v="PayPal"/>
    <s v="Online Store"/>
    <s v="fulfilled"/>
    <s v="Australia"/>
    <m/>
    <s v="Not Required"/>
    <s v="Danaton"/>
  </r>
  <r>
    <s v="#1875"/>
    <n v="1"/>
    <d v="2026-08-04T00:00:00"/>
    <s v="2026-08-04"/>
    <s v="Jaime Vargas"/>
    <s v="Email Available"/>
    <s v="jaime.vargas795@outlook.com"/>
    <x v="10"/>
    <s v="Accessories"/>
    <x v="11"/>
    <n v="1"/>
    <n v="16.989999999999998"/>
    <n v="16.989999999999998"/>
    <m/>
    <s v=""/>
    <n v="0"/>
    <n v="0"/>
    <s v="Number"/>
    <n v="5.99"/>
    <n v="5.99"/>
    <n v="22.98"/>
    <n v="22.98"/>
    <n v="22.979999999999997"/>
    <s v="True"/>
    <s v="Normal"/>
    <s v="Credit Card"/>
    <s v="Online Store"/>
    <s v="fulfilled"/>
    <s v="United Kingdom"/>
    <m/>
    <s v="Not Required"/>
    <s v="Youngmouth"/>
  </r>
  <r>
    <s v="#1914"/>
    <n v="1"/>
    <d v="2026-08-04T13:53:56"/>
    <d v="2026-08-04T13:53:56"/>
    <s v="Emily Hicks"/>
    <s v="Email Available"/>
    <s v="emily.hicks49@outlook.com"/>
    <x v="10"/>
    <s v="Accessories"/>
    <x v="11"/>
    <n v="2"/>
    <n v="16.989999999999998"/>
    <n v="16.989999999999998"/>
    <s v="WELCOME10"/>
    <s v="WELCOME10"/>
    <n v="3.4"/>
    <n v="3.4"/>
    <s v="Number"/>
    <n v="4.99"/>
    <n v="4.99"/>
    <n v="35.57"/>
    <n v="35.57"/>
    <n v="35.57"/>
    <s v="True"/>
    <s v="Normal"/>
    <s v="Apple Pay"/>
    <s v="Facebook"/>
    <s v="fulfilled"/>
    <s v="Germany"/>
    <m/>
    <s v="Not Required"/>
    <s v="Lake Ashleyton"/>
  </r>
  <r>
    <s v="#1915"/>
    <n v="1"/>
    <d v="2026-08-04T13:54:08"/>
    <d v="2026-08-04T13:54:08"/>
    <s v="George Green"/>
    <s v="Email Available"/>
    <s v="george.green694@icloud.com"/>
    <x v="10"/>
    <s v="Accessories"/>
    <x v="11"/>
    <n v="2"/>
    <n v="16.989999999999998"/>
    <n v="16.989999999999998"/>
    <s v="WELCOME10"/>
    <s v="WELCOME10"/>
    <n v="3.4"/>
    <n v="3.4"/>
    <s v="Number"/>
    <n v="4.99"/>
    <n v="4.99"/>
    <n v="35.57"/>
    <n v="35.57"/>
    <n v="35.57"/>
    <s v="True"/>
    <s v="Normal"/>
    <s v="Credit Card"/>
    <s v="Facebook"/>
    <s v="cancelled"/>
    <s v="United States"/>
    <s v="North Carolina"/>
    <s v="Valid"/>
    <s v="West Kathryn"/>
  </r>
  <r>
    <s v="#2000"/>
    <n v="1"/>
    <d v="2026-08-04T14:08:01"/>
    <d v="2026-08-04T14:08:01"/>
    <s v="Denise Phillips"/>
    <s v="Email Available"/>
    <s v="denise.phillips810@gmail.com"/>
    <x v="10"/>
    <s v="Accessories"/>
    <x v="11"/>
    <n v="1"/>
    <n v="16.989999999999998"/>
    <n v="16.989999999999998"/>
    <s v="FREESHIP"/>
    <s v="FREESHIP"/>
    <n v="0"/>
    <n v="0"/>
    <s v="Number"/>
    <n v="0"/>
    <n v="0"/>
    <n v="16.989999999999998"/>
    <n v="16.989999999999998"/>
    <n v="16.989999999999998"/>
    <s v="True"/>
    <s v="Normal"/>
    <s v="Apple Pay"/>
    <s v="Instagram"/>
    <s v="fulfilled"/>
    <s v="United States"/>
    <s v="Florida"/>
    <s v="Valid"/>
    <s v="Kimberlytown"/>
  </r>
  <r>
    <s v="#2018"/>
    <n v="1"/>
    <d v="2026-08-04T13:56:50"/>
    <d v="2026-08-04T13:56:50"/>
    <s v="Maria Leon"/>
    <s v="Email Available"/>
    <s v="maria.leon163@outlook.com"/>
    <x v="10"/>
    <s v="Accessories"/>
    <x v="11"/>
    <n v="1"/>
    <n v="16.989999999999998"/>
    <n v="16.989999999999998"/>
    <s v="FREESHIP"/>
    <s v="FREESHIP"/>
    <n v="0"/>
    <n v="0"/>
    <s v="Number"/>
    <n v="0"/>
    <n v="0"/>
    <s v="$16.99"/>
    <n v="16.989999999999998"/>
    <n v="16.989999999999998"/>
    <s v="True"/>
    <s v="Normal"/>
    <s v="Shopify Payments"/>
    <s v="POS"/>
    <s v="pending"/>
    <s v="Canada"/>
    <m/>
    <s v="Not Required"/>
    <s v="East Dawn"/>
  </r>
  <r>
    <s v="#2034"/>
    <n v="1"/>
    <d v="2026-08-04T14:07:13"/>
    <d v="2026-08-04T14:07:13"/>
    <s v="David Hayden"/>
    <s v="Email Available"/>
    <s v="david.hayden411@outlook.com"/>
    <x v="10"/>
    <s v="Accessories"/>
    <x v="11"/>
    <n v="1"/>
    <n v="16.989999999999998"/>
    <n v="16.989999999999998"/>
    <m/>
    <s v=""/>
    <n v="0"/>
    <n v="0"/>
    <s v="Number"/>
    <n v="5.99"/>
    <n v="5.99"/>
    <n v="22.98"/>
    <n v="22.98"/>
    <n v="22.979999999999997"/>
    <s v="True"/>
    <s v="Normal"/>
    <s v="Google Pay"/>
    <s v="Online Store"/>
    <s v="cancelled"/>
    <s v="Australia"/>
    <m/>
    <s v="Not Required"/>
    <s v="Thomastown"/>
  </r>
  <r>
    <s v="#2117"/>
    <n v="1"/>
    <d v="2026-08-04T13:58:41"/>
    <d v="2026-08-04T13:58:41"/>
    <s v="Murray, Cody"/>
    <s v="Email Available"/>
    <s v="cody.murray456@gmail.com"/>
    <x v="10"/>
    <s v="Accessories"/>
    <x v="11"/>
    <n v="3"/>
    <n v="16.989999999999998"/>
    <n v="16.989999999999998"/>
    <m/>
    <s v=""/>
    <n v="0"/>
    <n v="0"/>
    <s v="Number"/>
    <n v="4.99"/>
    <n v="4.99"/>
    <n v="55.96"/>
    <n v="55.96"/>
    <n v="55.96"/>
    <s v="True"/>
    <s v="Normal"/>
    <s v="Apple Pay"/>
    <s v="Online Store"/>
    <s v="fulfilled"/>
    <s v="United Kingdom"/>
    <m/>
    <s v="Not Required"/>
    <s v="East Nicholasshire"/>
  </r>
  <r>
    <s v="#2200"/>
    <n v="1"/>
    <d v="2026-08-04T13:57:05"/>
    <d v="2026-08-04T13:57:05"/>
    <s v="Donald Davis"/>
    <s v="Missing Email"/>
    <m/>
    <x v="10"/>
    <s v="Accessories"/>
    <x v="11"/>
    <n v="1"/>
    <n v="16.989999999999998"/>
    <n v="16.989999999999998"/>
    <m/>
    <s v=""/>
    <n v="0"/>
    <n v="0"/>
    <s v="Number"/>
    <n v="7.99"/>
    <n v="7.99"/>
    <n v="24.98"/>
    <n v="24.98"/>
    <n v="24.979999999999997"/>
    <s v="True"/>
    <s v="Normal"/>
    <s v="Shopify Payments"/>
    <s v="Facebook"/>
    <s v="cancelled"/>
    <s v="Canada"/>
    <m/>
    <s v="Not Required"/>
    <s v="West David"/>
  </r>
  <r>
    <s v="#2226"/>
    <n v="1"/>
    <d v="2026-04-08T00:00:00"/>
    <s v="08/04/2026"/>
    <s v="Jon Lambert"/>
    <s v="Email Available"/>
    <s v="jon.lambert231@icloud.com"/>
    <x v="10"/>
    <s v="Accessories"/>
    <x v="11"/>
    <n v="1"/>
    <n v="16.989999999999998"/>
    <n v="16.989999999999998"/>
    <m/>
    <s v=""/>
    <n v="0"/>
    <n v="0"/>
    <s v="Number"/>
    <n v="4.99"/>
    <n v="4.99"/>
    <n v="21.98"/>
    <n v="21.98"/>
    <n v="21.979999999999997"/>
    <s v="True"/>
    <s v="Normal"/>
    <s v="Apple Pay"/>
    <s v="Instagram"/>
    <s v="fulfilled"/>
    <s v="United States"/>
    <s v="California"/>
    <s v="Valid"/>
    <s v="Elizabethside"/>
  </r>
  <r>
    <s v="#2230"/>
    <n v="1"/>
    <d v="2026-08-04T00:00:00"/>
    <s v="04-08-2026 13:55"/>
    <s v="Christopher Osborne"/>
    <s v="Email Available"/>
    <s v="christopher.osborne481@yahoo.com"/>
    <x v="10"/>
    <s v="Accessories"/>
    <x v="11"/>
    <n v="1"/>
    <n v="16.989999999999998"/>
    <n v="16.989999999999998"/>
    <m/>
    <s v=""/>
    <n v="0"/>
    <n v="0"/>
    <s v="Number"/>
    <n v="7.99"/>
    <n v="7.99"/>
    <n v="24.98"/>
    <n v="24.98"/>
    <n v="24.979999999999997"/>
    <s v="True"/>
    <s v="Normal"/>
    <s v="PayPal"/>
    <s v="Online Store"/>
    <s v="cancelled"/>
    <s v="United States"/>
    <s v="California"/>
    <s v="Valid"/>
    <s v="South Chadside"/>
  </r>
  <r>
    <s v="#2233"/>
    <n v="1"/>
    <d v="2026-08-04T13:57:09"/>
    <d v="2026-08-04T13:57:09"/>
    <s v="Matthew Riley"/>
    <s v="Email Available"/>
    <s v="matthew.riley309@yahoo.com"/>
    <x v="10"/>
    <s v="Accessories"/>
    <x v="11"/>
    <n v="1"/>
    <n v="16.989999999999998"/>
    <n v="16.989999999999998"/>
    <s v="WELCOME10"/>
    <s v="WELCOME10"/>
    <n v="1.7"/>
    <n v="1.7"/>
    <s v="Number"/>
    <n v="7.99"/>
    <n v="7.99"/>
    <n v="23.28"/>
    <n v="23.28"/>
    <n v="23.28"/>
    <s v="True"/>
    <s v="Normal"/>
    <s v="Google Pay"/>
    <s v="Online Store"/>
    <s v="fulfilled"/>
    <s v="Canada"/>
    <m/>
    <s v="Not Required"/>
    <s v="Port Scottfurt"/>
  </r>
  <r>
    <s v="#2234"/>
    <n v="1"/>
    <d v="2026-08-04T14:01:05"/>
    <d v="2026-08-04T14:01:05"/>
    <s v="Stacey Morales"/>
    <s v="Email Available"/>
    <s v="stacey.morales538@yahoo.com"/>
    <x v="10"/>
    <s v="Accessories"/>
    <x v="11"/>
    <n v="1"/>
    <n v="16.989999999999998"/>
    <n v="16.989999999999998"/>
    <m/>
    <s v=""/>
    <n v="0"/>
    <n v="0"/>
    <s v="Number"/>
    <n v="7.99"/>
    <n v="7.99"/>
    <s v="$24.98"/>
    <n v="24.98"/>
    <n v="24.979999999999997"/>
    <s v="True"/>
    <s v="Normal"/>
    <s v="Google Pay"/>
    <s v="Instagram"/>
    <s v="pending"/>
    <s v="Australia"/>
    <m/>
    <s v="Not Required"/>
    <s v="Pettytown"/>
  </r>
  <r>
    <s v="#2246"/>
    <n v="1"/>
    <d v="2026-08-04T14:06:42"/>
    <d v="2026-08-04T14:06:42"/>
    <s v="Brady Garcia"/>
    <s v="Email Available"/>
    <s v="brady.garcia57@yahoo.com"/>
    <x v="10"/>
    <s v="Accessories"/>
    <x v="11"/>
    <n v="1"/>
    <s v="$16.99"/>
    <n v="16.989999999999998"/>
    <m/>
    <s v=""/>
    <n v="0"/>
    <n v="0"/>
    <s v="Number"/>
    <n v="4.99"/>
    <n v="4.99"/>
    <s v="$21.98"/>
    <n v="21.98"/>
    <n v="21.979999999999997"/>
    <s v="True"/>
    <s v="Normal"/>
    <s v="PayPal"/>
    <s v="Online Store"/>
    <s v="cancelled"/>
    <s v="Australia"/>
    <m/>
    <s v="Not Required"/>
    <s v="Hernandezhaven"/>
  </r>
  <r>
    <s v="#2254"/>
    <n v="1"/>
    <d v="2026-08-04T13:58:18"/>
    <d v="2026-08-04T13:58:18"/>
    <s v="Misty Martin"/>
    <s v="Email Available"/>
    <s v="misty.martin667@gmail.com"/>
    <x v="10"/>
    <s v="Accessories"/>
    <x v="11"/>
    <n v="1"/>
    <n v="16.989999999999998"/>
    <n v="16.989999999999998"/>
    <s v=" SAVE20 "/>
    <s v="SAVE20"/>
    <n v="3.4"/>
    <n v="3.4"/>
    <s v="Number"/>
    <n v="4.99"/>
    <n v="4.99"/>
    <n v="18.579999999999998"/>
    <n v="18.579999999999998"/>
    <n v="18.579999999999998"/>
    <s v="True"/>
    <s v="Normal"/>
    <s v="Google Pay"/>
    <s v="POS"/>
    <s v="fulfilled"/>
    <s v="United States"/>
    <s v="Texas"/>
    <s v="Valid"/>
    <s v="Jimeneztown"/>
  </r>
  <r>
    <s v="#2262"/>
    <n v="1"/>
    <d v="2026-04-08T00:00:00"/>
    <s v="08/04/2026"/>
    <s v="David Duke"/>
    <s v="Email Available"/>
    <s v="david.duke814@icloud.com"/>
    <x v="10"/>
    <s v="Accessories"/>
    <x v="11"/>
    <n v="1"/>
    <n v="16.989999999999998"/>
    <n v="16.989999999999998"/>
    <s v="BFCM25"/>
    <s v="BFCM25"/>
    <n v="4.25"/>
    <n v="4.25"/>
    <s v="Number"/>
    <n v="4.99"/>
    <n v="4.99"/>
    <n v="17.73"/>
    <n v="17.73"/>
    <n v="17.729999999999997"/>
    <s v="True"/>
    <s v="Normal"/>
    <s v="Google Pay"/>
    <s v="Instagram"/>
    <s v="refunded"/>
    <s v="United States"/>
    <s v="IL"/>
    <s v="Valid"/>
    <s v="West Laura"/>
  </r>
  <r>
    <s v="#2291"/>
    <n v="1"/>
    <d v="2026-08-04T13:59:56"/>
    <d v="2026-08-04T13:59:56"/>
    <s v="Andrea Martinez"/>
    <s v="Email Available"/>
    <s v="andrea.martinez756@yahoo.com"/>
    <x v="10"/>
    <s v="Accessories"/>
    <x v="11"/>
    <n v="1"/>
    <n v="16.989999999999998"/>
    <n v="16.989999999999998"/>
    <s v="BFCM25"/>
    <s v="BFCM25"/>
    <n v="4.25"/>
    <n v="4.25"/>
    <s v="Number"/>
    <n v="5.99"/>
    <n v="5.99"/>
    <n v="18.73"/>
    <n v="18.73"/>
    <n v="18.729999999999997"/>
    <s v="True"/>
    <s v="Normal"/>
    <s v="Shopify Payments"/>
    <s v="POS"/>
    <s v="pending"/>
    <s v="Australia"/>
    <m/>
    <s v="Not Required"/>
    <s v="Christopherland"/>
  </r>
  <r>
    <s v="#2314"/>
    <n v="1"/>
    <d v="2026-08-04T13:59:12"/>
    <d v="2026-08-04T13:59:12"/>
    <s v="darin alvarez"/>
    <s v="Email Available"/>
    <s v="darin.alvarez843@gmail.com"/>
    <x v="10"/>
    <s v="Accessories"/>
    <x v="11"/>
    <n v="1"/>
    <n v="16.989999999999998"/>
    <n v="16.989999999999998"/>
    <s v="VIP15"/>
    <s v="VIP15"/>
    <n v="2.5499999999999998"/>
    <n v="2.5499999999999998"/>
    <s v="Number"/>
    <n v="5.99"/>
    <n v="5.99"/>
    <n v="20.43"/>
    <n v="20.43"/>
    <n v="20.43"/>
    <s v="True"/>
    <s v="Normal"/>
    <s v="Apple Pay"/>
    <s v="Instagram"/>
    <s v="fulfilled"/>
    <s v="Canada"/>
    <m/>
    <s v="Not Required"/>
    <s v="Port Russellstad"/>
  </r>
  <r>
    <s v="#2318"/>
    <n v="1"/>
    <d v="2026-08-04T00:00:00"/>
    <s v="Aug 04, 2026"/>
    <s v="Stephanie Miller"/>
    <s v="Email Available"/>
    <s v="stephanie.miller962@yahoo.com"/>
    <x v="10"/>
    <s v="Accessories"/>
    <x v="11"/>
    <n v="2"/>
    <n v="16.989999999999998"/>
    <n v="16.989999999999998"/>
    <s v="SAVE20"/>
    <s v="SAVE20"/>
    <n v="6.8"/>
    <n v="6.8"/>
    <s v="Number"/>
    <n v="5.99"/>
    <n v="5.99"/>
    <n v="33.17"/>
    <n v="33.17"/>
    <n v="33.169999999999995"/>
    <s v="True"/>
    <s v="Normal"/>
    <s v="Google Pay"/>
    <s v="POS"/>
    <s v="fulfilled"/>
    <s v="United Kingdom"/>
    <m/>
    <s v="Not Required"/>
    <s v="South Michealfort"/>
  </r>
  <r>
    <s v="#2326"/>
    <n v="1"/>
    <d v="2026-08-04T14:01:01"/>
    <d v="2026-08-04T14:01:01"/>
    <s v="Kevin Williams"/>
    <s v="Email Available"/>
    <s v="kevin.williams971@yahoo.com"/>
    <x v="10"/>
    <s v="Accessories"/>
    <x v="11"/>
    <n v="4"/>
    <n v="16.989999999999998"/>
    <n v="16.989999999999998"/>
    <m/>
    <s v=""/>
    <n v="0"/>
    <n v="0"/>
    <s v="Number"/>
    <n v="7.99"/>
    <n v="7.99"/>
    <n v="75.95"/>
    <n v="75.95"/>
    <n v="75.949999999999989"/>
    <s v="True"/>
    <s v="Normal"/>
    <s v="Apple Pay"/>
    <s v="Online Store"/>
    <s v="fulfilled"/>
    <s v="Pakistan"/>
    <m/>
    <s v="Not Required"/>
    <s v="New Darius"/>
  </r>
  <r>
    <s v="#2328"/>
    <n v="1"/>
    <d v="2026-08-04T14:00:11"/>
    <d v="2026-08-04T14:00:11"/>
    <s v="Mary Meza"/>
    <s v="Email Available"/>
    <s v="mary.meza759@gmail.com"/>
    <x v="10"/>
    <s v="Accessories"/>
    <x v="11"/>
    <n v="2"/>
    <n v="16.989999999999998"/>
    <n v="16.989999999999998"/>
    <s v="BFCM25"/>
    <s v="BFCM25"/>
    <n v="8.49"/>
    <n v="8.49"/>
    <s v="Number"/>
    <n v="4.99"/>
    <n v="4.99"/>
    <s v="$30.48"/>
    <n v="30.48"/>
    <n v="30.479999999999997"/>
    <s v="True"/>
    <s v="Normal"/>
    <s v="Credit Card"/>
    <s v="Online Store"/>
    <s v="fulfilled"/>
    <s v="Canada"/>
    <m/>
    <s v="Not Required"/>
    <s v="South Holly"/>
  </r>
  <r>
    <s v="#2399"/>
    <n v="1"/>
    <d v="2026-04-08T00:00:00"/>
    <s v="08/04/2026"/>
    <s v="Julie Terrell"/>
    <s v="Email Available"/>
    <s v="julie.terrell409@icloud.com"/>
    <x v="10"/>
    <s v="Accessories"/>
    <x v="11"/>
    <n v="3"/>
    <n v="16.989999999999998"/>
    <n v="16.989999999999998"/>
    <s v="VIP15"/>
    <s v="VIP15"/>
    <n v="7.65"/>
    <n v="7.65"/>
    <s v="Number"/>
    <n v="5.99"/>
    <n v="5.99"/>
    <s v="$49.31"/>
    <n v="49.31"/>
    <n v="49.31"/>
    <s v="True"/>
    <s v="Normal"/>
    <s v="Google Pay"/>
    <s v="Online Store"/>
    <s v="fulfilled"/>
    <s v="Australia"/>
    <m/>
    <s v="Not Required"/>
    <s v="Port Marvinport"/>
  </r>
  <r>
    <s v="#2428"/>
    <n v="1"/>
    <d v="2026-08-04T14:00:32"/>
    <d v="2026-08-04T14:00:32"/>
    <s v="Megan Dickson"/>
    <s v="Email Available"/>
    <s v="megan.dickson508@gmail.com"/>
    <x v="10"/>
    <s v="Accessories"/>
    <x v="11"/>
    <n v="1"/>
    <n v="16.989999999999998"/>
    <n v="16.989999999999998"/>
    <s v="WELCOME10"/>
    <s v="WELCOME10"/>
    <n v="1.7"/>
    <n v="1.7"/>
    <s v="Number"/>
    <n v="4.99"/>
    <n v="4.99"/>
    <n v="20.28"/>
    <n v="20.28"/>
    <n v="20.28"/>
    <s v="True"/>
    <s v="Normal"/>
    <s v="Apple Pay"/>
    <s v="Facebook"/>
    <s v="fulfilled"/>
    <s v="United Kingdom"/>
    <m/>
    <s v="Not Required"/>
    <s v="Jessicafort"/>
  </r>
  <r>
    <s v="#2432"/>
    <n v="1"/>
    <d v="2026-08-04T00:00:00"/>
    <s v="04-08-2026 13:58"/>
    <s v="Robert Boyd"/>
    <s v="Missing Email"/>
    <m/>
    <x v="10"/>
    <s v="Accessories"/>
    <x v="11"/>
    <n v="1"/>
    <n v="16.989999999999998"/>
    <n v="16.989999999999998"/>
    <s v="VIP15"/>
    <s v="VIP15"/>
    <s v="$2.55"/>
    <n v="2.5499999999999998"/>
    <s v="Number"/>
    <n v="7.99"/>
    <n v="7.99"/>
    <n v="22.43"/>
    <n v="22.43"/>
    <n v="22.43"/>
    <s v="True"/>
    <s v="Normal"/>
    <s v="PayPal"/>
    <s v="Online Store"/>
    <s v="pending"/>
    <s v="Canada"/>
    <m/>
    <s v="Not Required"/>
    <s v="Port Michaelton"/>
  </r>
  <r>
    <s v="#2489"/>
    <n v="1"/>
    <d v="2026-08-04T14:01:19"/>
    <d v="2026-08-04T14:01:19"/>
    <s v="Christopher Osborne"/>
    <s v="Email Available"/>
    <s v="christopher.osborne481@yahoo.com"/>
    <x v="10"/>
    <s v="Accessories"/>
    <x v="11"/>
    <n v="2"/>
    <n v="16.989999999999998"/>
    <n v="16.989999999999998"/>
    <m/>
    <s v=""/>
    <n v="0"/>
    <n v="0"/>
    <s v="Number"/>
    <n v="7.99"/>
    <n v="7.99"/>
    <n v="41.97"/>
    <n v="41.97"/>
    <n v="41.97"/>
    <s v="True"/>
    <s v="Normal"/>
    <s v="Credit Card"/>
    <s v="Online Store"/>
    <s v="fulfilled"/>
    <s v="United States"/>
    <s v="Florida"/>
    <s v="Valid"/>
    <s v="North Carla"/>
  </r>
  <r>
    <s v="#2496"/>
    <n v="1"/>
    <d v="2026-08-04T13:58:02"/>
    <d v="2026-08-04T13:58:02"/>
    <s v="Christopher Harris"/>
    <s v="Email Available"/>
    <s v="christopher.harris618@yahoo.com"/>
    <x v="10"/>
    <s v="Accessories"/>
    <x v="11"/>
    <n v="1"/>
    <n v="16.989999999999998"/>
    <n v="16.989999999999998"/>
    <m/>
    <s v=""/>
    <n v="0"/>
    <n v="0"/>
    <s v="Number"/>
    <n v="4.99"/>
    <n v="4.99"/>
    <n v="21.98"/>
    <n v="21.98"/>
    <n v="21.979999999999997"/>
    <s v="True"/>
    <s v="Normal"/>
    <s v="Apple Pay"/>
    <s v="Online Store"/>
    <s v="fulfilled"/>
    <s v="Australia"/>
    <m/>
    <s v="Not Required"/>
    <s v="Port Kristina"/>
  </r>
  <r>
    <s v="#2534"/>
    <n v="1"/>
    <d v="2026-08-04T14:06:06"/>
    <d v="2026-08-04T14:06:06"/>
    <s v="James Miller"/>
    <s v="Email Available"/>
    <s v="james.miller866@yahoo.com"/>
    <x v="10"/>
    <s v="Accessories"/>
    <x v="11"/>
    <n v="3"/>
    <n v="16.989999999999998"/>
    <n v="16.989999999999998"/>
    <s v="SAVE20"/>
    <s v="SAVE20"/>
    <n v="10.19"/>
    <n v="10.19"/>
    <s v="Number"/>
    <n v="5.99"/>
    <n v="5.99"/>
    <n v="46.77"/>
    <n v="46.77"/>
    <n v="46.77"/>
    <s v="True"/>
    <s v="Normal"/>
    <s v="Google Pay"/>
    <s v="POS"/>
    <s v="pending"/>
    <s v="Pakistan"/>
    <m/>
    <s v="Not Required"/>
    <s v="South Hector"/>
  </r>
  <r>
    <s v="#2582"/>
    <n v="1"/>
    <d v="2026-08-04T14:03:06"/>
    <d v="2026-08-04T14:03:06"/>
    <s v="Kayla Cruz"/>
    <s v="Email Available"/>
    <s v="kayla.cruz151@outlook.com"/>
    <x v="10"/>
    <s v="Accessories"/>
    <x v="11"/>
    <n v="1"/>
    <n v="16.989999999999998"/>
    <n v="16.989999999999998"/>
    <s v="BFCM25"/>
    <s v="BFCM25"/>
    <n v="4.25"/>
    <n v="4.25"/>
    <s v="Number"/>
    <n v="7.99"/>
    <n v="7.99"/>
    <n v="20.73"/>
    <n v="20.73"/>
    <n v="20.729999999999997"/>
    <s v="True"/>
    <s v="Normal"/>
    <s v="PayPal"/>
    <s v="Instagram"/>
    <s v="fulfilled"/>
    <s v="Pakistan"/>
    <m/>
    <s v="Not Required"/>
    <s v="East Raymondview"/>
  </r>
  <r>
    <s v="#2595"/>
    <n v="1"/>
    <d v="2026-08-04T14:04:56"/>
    <d v="2026-08-04T14:04:56"/>
    <s v="Dustin Mccoy"/>
    <s v="Email Available"/>
    <s v="dustin.mccoy570@gmail.com"/>
    <x v="10"/>
    <s v="Accessories"/>
    <x v="11"/>
    <n v="1"/>
    <n v="16.989999999999998"/>
    <n v="16.989999999999998"/>
    <s v="FREESHIP"/>
    <s v="FREESHIP"/>
    <n v="0"/>
    <n v="0"/>
    <s v="Number"/>
    <n v="0"/>
    <n v="0"/>
    <n v="16.989999999999998"/>
    <n v="16.989999999999998"/>
    <n v="16.989999999999998"/>
    <s v="True"/>
    <s v="Normal"/>
    <s v="Shopify Payments"/>
    <s v="Online Store"/>
    <s v="fulfilled"/>
    <s v="Canada"/>
    <m/>
    <s v="Not Required"/>
    <s v="New Malloryburgh"/>
  </r>
  <r>
    <s v="#2603"/>
    <n v="1"/>
    <d v="2026-08-04T14:01:58"/>
    <d v="2026-08-04T14:01:58"/>
    <s v="Amanda Harris"/>
    <s v="Email Available"/>
    <s v="amanda.harris197@gmail.com"/>
    <x v="10"/>
    <s v="Accessories"/>
    <x v="11"/>
    <n v="1"/>
    <n v="16.989999999999998"/>
    <n v="16.989999999999998"/>
    <m/>
    <s v=""/>
    <n v="0"/>
    <n v="0"/>
    <s v="Number"/>
    <n v="7.99"/>
    <n v="7.99"/>
    <n v="24.98"/>
    <n v="24.98"/>
    <n v="24.979999999999997"/>
    <s v="True"/>
    <s v="Normal"/>
    <s v="Apple Pay"/>
    <s v="POS"/>
    <s v="cancelled"/>
    <s v="United States"/>
    <s v="New York"/>
    <s v="Valid"/>
    <s v="Lake Steven"/>
  </r>
  <r>
    <s v="#2641"/>
    <n v="1"/>
    <d v="2026-08-04T14:00:13"/>
    <d v="2026-08-04T14:00:13"/>
    <s v="John Carson"/>
    <s v="Email Available"/>
    <s v="john.carson203@yahoo.com"/>
    <x v="10"/>
    <s v="Accessories"/>
    <x v="11"/>
    <n v="1"/>
    <n v="16.989999999999998"/>
    <n v="16.989999999999998"/>
    <s v="FREESHIP"/>
    <s v="FREESHIP"/>
    <n v="0"/>
    <n v="0"/>
    <s v="Number"/>
    <n v="0"/>
    <n v="0"/>
    <n v="16.989999999999998"/>
    <n v="16.989999999999998"/>
    <n v="16.989999999999998"/>
    <s v="True"/>
    <s v="Normal"/>
    <s v="PayPal"/>
    <s v="POS"/>
    <s v="cancelled"/>
    <s v="United States"/>
    <s v="New York"/>
    <s v="Valid"/>
    <s v="Port Heathertown"/>
  </r>
  <r>
    <s v="#2650"/>
    <n v="1"/>
    <d v="2026-08-04T13:59:57"/>
    <d v="2026-08-04T13:59:57"/>
    <s v="Lauren Howard"/>
    <s v="Email Available"/>
    <s v="lauren.howard163@icloud.com"/>
    <x v="10"/>
    <s v="Accessories"/>
    <x v="11"/>
    <n v="2"/>
    <n v="16.989999999999998"/>
    <n v="16.989999999999998"/>
    <m/>
    <s v=""/>
    <n v="0"/>
    <n v="0"/>
    <s v="Number"/>
    <n v="7.99"/>
    <n v="7.99"/>
    <n v="41.97"/>
    <n v="41.97"/>
    <n v="41.97"/>
    <s v="True"/>
    <s v="Normal"/>
    <s v="Apple Pay"/>
    <s v="Instagram"/>
    <s v="fulfilled"/>
    <s v="United States"/>
    <s v="California"/>
    <s v="Valid"/>
    <s v="Sullivanhaven"/>
  </r>
  <r>
    <s v="#2724"/>
    <n v="1"/>
    <d v="2026-08-04T13:56:29"/>
    <d v="2026-08-04T13:56:29"/>
    <s v="Amanda Harris"/>
    <s v="Email Available"/>
    <s v="amanda.harris197@gmail.com"/>
    <x v="10"/>
    <s v="Accessories"/>
    <x v="11"/>
    <n v="1"/>
    <n v="16.989999999999998"/>
    <n v="16.989999999999998"/>
    <m/>
    <s v=""/>
    <s v="$0.00"/>
    <n v="0"/>
    <s v="Number"/>
    <n v="7.99"/>
    <n v="7.99"/>
    <n v="24.98"/>
    <n v="24.98"/>
    <n v="24.979999999999997"/>
    <s v="True"/>
    <s v="Normal"/>
    <s v="Apple Pay"/>
    <s v="POS"/>
    <s v="fulfilled"/>
    <s v="United States"/>
    <s v="California"/>
    <s v="Valid"/>
    <s v="New Hectormouth"/>
  </r>
  <r>
    <s v="#2733"/>
    <n v="1"/>
    <d v="2026-08-04T14:08:06"/>
    <d v="2026-08-04T14:08:06"/>
    <s v="Angela Martin"/>
    <s v="Missing Email"/>
    <m/>
    <x v="10"/>
    <s v="Accessories"/>
    <x v="11"/>
    <n v="1"/>
    <n v="16.989999999999998"/>
    <n v="16.989999999999998"/>
    <s v="BFCM25"/>
    <s v="BFCM25"/>
    <n v="4.25"/>
    <n v="4.25"/>
    <s v="Number"/>
    <n v="5.99"/>
    <n v="5.99"/>
    <n v="18.73"/>
    <n v="18.73"/>
    <n v="18.729999999999997"/>
    <s v="True"/>
    <s v="Normal"/>
    <s v="PayPal"/>
    <s v="Online Store"/>
    <s v="refunded"/>
    <s v="Canada"/>
    <m/>
    <s v="Not Required"/>
    <s v="Garciaville"/>
  </r>
  <r>
    <s v="#2750"/>
    <n v="1"/>
    <d v="2026-08-04T14:04:31"/>
    <d v="2026-08-04T14:04:31"/>
    <s v="Mary Garcia"/>
    <s v="Email Available"/>
    <s v="mary.garcia899@icloud.com"/>
    <x v="10"/>
    <s v="Accessories"/>
    <x v="11"/>
    <n v="4"/>
    <n v="16.989999999999998"/>
    <n v="16.989999999999998"/>
    <s v="BFCM25"/>
    <s v="BFCM25"/>
    <n v="16.989999999999998"/>
    <n v="16.989999999999998"/>
    <s v="Number"/>
    <n v="7.99"/>
    <n v="7.99"/>
    <n v="58.96"/>
    <n v="58.96"/>
    <n v="58.96"/>
    <s v="True"/>
    <s v="Normal"/>
    <s v="Shopify Payments"/>
    <s v="Instagram"/>
    <s v="fulfilled"/>
    <s v="Canada"/>
    <m/>
    <s v="Not Required"/>
    <s v="Danielsfurt"/>
  </r>
  <r>
    <s v="#2769"/>
    <n v="1"/>
    <d v="2026-08-04T13:56:29"/>
    <d v="2026-08-04T13:56:29"/>
    <s v="Christopher Martin"/>
    <s v="Email Available"/>
    <s v="christopher.martin10@gmail.com"/>
    <x v="10"/>
    <s v="Accessories"/>
    <x v="11"/>
    <n v="1"/>
    <n v="16.989999999999998"/>
    <n v="16.989999999999998"/>
    <m/>
    <s v=""/>
    <n v="0"/>
    <n v="0"/>
    <s v="Number"/>
    <n v="7.99"/>
    <n v="7.99"/>
    <n v="24.98"/>
    <n v="24.98"/>
    <n v="24.979999999999997"/>
    <s v="True"/>
    <s v="Normal"/>
    <s v="Credit Card"/>
    <s v="POS"/>
    <s v="fulfilled"/>
    <s v="United States"/>
    <s v="Arizona"/>
    <s v="Valid"/>
    <s v="Ramosberg"/>
  </r>
  <r>
    <s v="#2770"/>
    <n v="1"/>
    <d v="2026-08-04T14:02:15"/>
    <d v="2026-08-04T14:02:15"/>
    <s v="Elizabeth Carter"/>
    <s v="Email Available"/>
    <s v="elizabeth.carter304@icloud.com"/>
    <x v="10"/>
    <s v="Accessories"/>
    <x v="11"/>
    <n v="1"/>
    <n v="16.989999999999998"/>
    <n v="16.989999999999998"/>
    <m/>
    <s v=""/>
    <n v="0"/>
    <n v="0"/>
    <s v="Number"/>
    <n v="5.99"/>
    <n v="5.99"/>
    <n v="22.98"/>
    <n v="22.98"/>
    <n v="22.979999999999997"/>
    <s v="True"/>
    <s v="Normal"/>
    <s v="PayPal"/>
    <s v="Facebook"/>
    <s v="fulfilled"/>
    <s v="Canada"/>
    <m/>
    <s v="Not Required"/>
    <s v="West Lynn"/>
  </r>
  <r>
    <s v="#2773"/>
    <n v="1"/>
    <d v="2026-08-04T00:00:00"/>
    <s v="Aug 04, 2026"/>
    <s v="Zachary Hanson"/>
    <s v="Missing Email"/>
    <m/>
    <x v="10"/>
    <s v="Accessories"/>
    <x v="11"/>
    <n v="1"/>
    <n v="16.989999999999998"/>
    <n v="16.989999999999998"/>
    <s v="BFCM25"/>
    <s v="BFCM25"/>
    <n v="4.25"/>
    <n v="4.25"/>
    <s v="Number"/>
    <n v="4.99"/>
    <n v="4.99"/>
    <n v="17.73"/>
    <n v="17.73"/>
    <n v="17.729999999999997"/>
    <s v="True"/>
    <s v="Normal"/>
    <s v="Credit Card"/>
    <s v="Facebook"/>
    <s v="pending"/>
    <s v="United States"/>
    <s v="Georgia"/>
    <s v="Valid"/>
    <s v="Gregoryland"/>
  </r>
  <r>
    <s v="#2787"/>
    <n v="1"/>
    <d v="2026-08-04T14:04:53"/>
    <d v="2026-08-04T14:04:53"/>
    <s v="Christopher Harrington"/>
    <s v="Email Available"/>
    <s v="christopher.harrington960@gmail.com"/>
    <x v="10"/>
    <s v="Accessories"/>
    <x v="11"/>
    <n v="1"/>
    <n v="16.989999999999998"/>
    <n v="16.989999999999998"/>
    <s v="BFCM25"/>
    <s v="BFCM25"/>
    <n v="4.25"/>
    <n v="4.25"/>
    <s v="Number"/>
    <n v="7.99"/>
    <n v="7.99"/>
    <n v="20.73"/>
    <n v="20.73"/>
    <n v="20.729999999999997"/>
    <s v="True"/>
    <s v="Normal"/>
    <s v="Google Pay"/>
    <s v="POS"/>
    <s v="fulfilled"/>
    <s v="Australia"/>
    <m/>
    <s v="Not Required"/>
    <s v="South Stacie"/>
  </r>
  <r>
    <s v="#2790"/>
    <n v="1"/>
    <d v="2026-08-04T13:55:21"/>
    <d v="2026-08-04T13:55:21"/>
    <s v="Nancy Nichols"/>
    <s v="Email Available"/>
    <s v="nancy.nichols189@yahoo.com"/>
    <x v="10"/>
    <s v="Accessories"/>
    <x v="11"/>
    <n v="1"/>
    <n v="16.989999999999998"/>
    <n v="16.989999999999998"/>
    <s v="SAVE20"/>
    <s v="SAVE20"/>
    <n v="3.4"/>
    <n v="3.4"/>
    <s v="Number"/>
    <n v="7.99"/>
    <n v="7.99"/>
    <n v="21.58"/>
    <n v="21.58"/>
    <n v="21.58"/>
    <s v="True"/>
    <s v="Normal"/>
    <s v="Apple Pay"/>
    <s v="Facebook"/>
    <s v="cancelled"/>
    <s v="United States"/>
    <s v="North Carolina"/>
    <s v="Valid"/>
    <s v="Thompsonton"/>
  </r>
  <r>
    <s v="#2822"/>
    <n v="1"/>
    <d v="2026-08-04T14:04:28"/>
    <d v="2026-08-04T14:04:28"/>
    <s v="Christopher Osborne"/>
    <s v="Email Available"/>
    <s v="christopher.osborne481@yahoo.com"/>
    <x v="10"/>
    <s v="Accessories"/>
    <x v="11"/>
    <n v="3"/>
    <n v="16.989999999999998"/>
    <n v="16.989999999999998"/>
    <s v="FREESHIP"/>
    <s v="FREESHIP"/>
    <n v="0"/>
    <n v="0"/>
    <s v="Number"/>
    <n v="0"/>
    <n v="0"/>
    <n v="50.97"/>
    <n v="50.97"/>
    <n v="50.97"/>
    <s v="True"/>
    <s v="Normal"/>
    <s v="Google Pay"/>
    <s v="Facebook"/>
    <s v="fulfilled"/>
    <s v="United States"/>
    <s v="California"/>
    <s v="Valid"/>
    <s v="Smithhaven"/>
  </r>
  <r>
    <s v="#2909"/>
    <n v="1"/>
    <d v="2026-08-04T13:55:03"/>
    <d v="2026-08-04T13:55:03"/>
    <s v="Kristina Cook"/>
    <s v="Email Available"/>
    <s v="kristina.cook392@outlook.com"/>
    <x v="10"/>
    <s v="Accessories"/>
    <x v="11"/>
    <n v="1"/>
    <n v="16.989999999999998"/>
    <n v="16.989999999999998"/>
    <m/>
    <s v=""/>
    <n v="0"/>
    <n v="0"/>
    <s v="Number"/>
    <n v="4.99"/>
    <n v="4.99"/>
    <n v="21.98"/>
    <n v="21.98"/>
    <n v="21.979999999999997"/>
    <s v="True"/>
    <s v="Normal"/>
    <s v="Apple Pay"/>
    <s v="Instagram"/>
    <s v="fulfilled"/>
    <s v="United States"/>
    <s v="New York"/>
    <s v="Valid"/>
    <s v="Port Melissa"/>
  </r>
  <r>
    <s v="#2936"/>
    <n v="1"/>
    <d v="2026-08-04T14:06:12"/>
    <d v="2026-08-04T14:06:12"/>
    <s v="Karen Bautista"/>
    <s v="Email Available"/>
    <s v="karen.bautista779@icloud.com"/>
    <x v="10"/>
    <s v="Accessories"/>
    <x v="11"/>
    <n v="2"/>
    <n v="16.989999999999998"/>
    <n v="16.989999999999998"/>
    <s v="WELCOME10"/>
    <s v="WELCOME10"/>
    <n v="3.4"/>
    <n v="3.4"/>
    <s v="Number"/>
    <n v="5.99"/>
    <n v="5.99"/>
    <n v="36.57"/>
    <n v="36.57"/>
    <n v="36.57"/>
    <s v="True"/>
    <s v="Normal"/>
    <s v="Credit Card"/>
    <s v="POS"/>
    <s v="pending"/>
    <s v="United States"/>
    <s v="TX"/>
    <s v="Valid"/>
    <s v="Pennymouth"/>
  </r>
  <r>
    <s v="#2974"/>
    <n v="1"/>
    <d v="2026-04-08T00:00:00"/>
    <s v="08/04/2026"/>
    <s v="Dawn Randolph"/>
    <s v="Email Available"/>
    <s v="dawn.randolph179@icloud.com"/>
    <x v="10"/>
    <s v="Accessories"/>
    <x v="11"/>
    <n v="2"/>
    <n v="16.989999999999998"/>
    <n v="16.989999999999998"/>
    <s v="SAVE20"/>
    <s v="SAVE20"/>
    <n v="6.8"/>
    <n v="6.8"/>
    <s v="Number"/>
    <n v="5.99"/>
    <n v="5.99"/>
    <n v="33.17"/>
    <n v="33.17"/>
    <n v="33.169999999999995"/>
    <s v="True"/>
    <s v="Normal"/>
    <s v="Credit Card"/>
    <s v="Instagram"/>
    <s v="fulfilled"/>
    <s v="Pakistan"/>
    <m/>
    <s v="Not Required"/>
    <s v="Meganhaven"/>
  </r>
  <r>
    <s v="#2975"/>
    <n v="1"/>
    <d v="2026-08-04T14:06:14"/>
    <d v="2026-08-04T14:06:14"/>
    <s v="Timothy Hodges"/>
    <s v="Email Available"/>
    <s v="timothy.hodges687@icloud.com"/>
    <x v="10"/>
    <s v="Accessories"/>
    <x v="11"/>
    <n v="1"/>
    <n v="16.989999999999998"/>
    <n v="16.989999999999998"/>
    <s v="FREESHIP"/>
    <s v="FREESHIP"/>
    <n v="0"/>
    <n v="0"/>
    <s v="Number"/>
    <n v="0"/>
    <n v="0"/>
    <n v="16.989999999999998"/>
    <n v="16.989999999999998"/>
    <n v="16.989999999999998"/>
    <s v="True"/>
    <s v="Normal"/>
    <s v="PayPal"/>
    <s v="Instagram"/>
    <s v="fulfilled"/>
    <s v="Australia"/>
    <m/>
    <s v="Not Required"/>
    <s v="Neilburgh"/>
  </r>
  <r>
    <s v="#1002"/>
    <n v="1"/>
    <d v="2026-08-04T14:00:14"/>
    <d v="2026-08-04T14:00:14"/>
    <s v="Miranda Gray"/>
    <s v="Email Available"/>
    <s v="miranda.gray649@yahoo.com"/>
    <x v="11"/>
    <s v="Electronics"/>
    <x v="12"/>
    <n v="1"/>
    <n v="21.99"/>
    <n v="21.99"/>
    <s v="FREESHIP"/>
    <s v="FREESHIP"/>
    <n v="0"/>
    <n v="0"/>
    <s v="Number"/>
    <n v="0"/>
    <n v="0"/>
    <n v="21.99"/>
    <n v="21.99"/>
    <n v="21.99"/>
    <s v="True"/>
    <s v="Normal"/>
    <s v="Shopify Payments"/>
    <s v="Facebook"/>
    <s v="refunded"/>
    <s v="Pakistan"/>
    <m/>
    <s v="Not Required"/>
    <s v="Port Davidshire"/>
  </r>
  <r>
    <s v="#1066"/>
    <n v="1"/>
    <d v="2026-08-04T14:01:57"/>
    <d v="2026-08-04T14:01:57"/>
    <s v="Kristen Aguirre"/>
    <s v="Email Available"/>
    <s v="kristen.aguirre898@gmail.com"/>
    <x v="11"/>
    <s v="Electronics"/>
    <x v="12"/>
    <n v="2"/>
    <n v="21.99"/>
    <n v="21.99"/>
    <s v="FREESHIP"/>
    <s v="FREESHIP"/>
    <n v="0"/>
    <n v="0"/>
    <s v="Number"/>
    <n v="0"/>
    <n v="0"/>
    <n v="43.98"/>
    <n v="43.98"/>
    <n v="43.98"/>
    <s v="True"/>
    <s v="Normal"/>
    <s v="Credit Card"/>
    <s v="Online Store"/>
    <s v="fulfilled"/>
    <s v="Germany"/>
    <m/>
    <s v="Not Required"/>
    <s v="Dennisborough"/>
  </r>
  <r>
    <s v="#1102"/>
    <n v="1"/>
    <d v="2026-08-04T13:57:18"/>
    <d v="2026-08-04T13:57:18"/>
    <s v="Michele Davis"/>
    <s v="Email Available"/>
    <s v="michele.davis844@gmail.com"/>
    <x v="11"/>
    <s v="Electronics"/>
    <x v="12"/>
    <n v="1"/>
    <n v="21.99"/>
    <n v="21.99"/>
    <m/>
    <s v=""/>
    <n v="0"/>
    <n v="0"/>
    <s v="Number"/>
    <n v="5.99"/>
    <n v="5.99"/>
    <n v="27.98"/>
    <n v="27.98"/>
    <n v="27.979999999999997"/>
    <s v="True"/>
    <s v="Normal"/>
    <s v="PayPal"/>
    <s v="Instagram"/>
    <s v="refunded"/>
    <s v="Australia"/>
    <m/>
    <s v="Not Required"/>
    <s v="Port Melissa"/>
  </r>
  <r>
    <s v="#1109"/>
    <n v="1"/>
    <d v="2026-08-04T13:57:49"/>
    <d v="2026-08-04T13:57:49"/>
    <s v="Emily Hicks"/>
    <s v="Email Available"/>
    <s v="emily.hicks49@outlook.com"/>
    <x v="11"/>
    <s v="Electronics"/>
    <x v="12"/>
    <n v="2"/>
    <n v="21.99"/>
    <n v="21.99"/>
    <s v="FREESHIP"/>
    <s v="FREESHIP"/>
    <n v="0"/>
    <n v="0"/>
    <s v="Number"/>
    <n v="0"/>
    <n v="0"/>
    <s v="$43.98"/>
    <n v="43.98"/>
    <n v="43.98"/>
    <s v="True"/>
    <s v="Normal"/>
    <s v="Google Pay"/>
    <s v="Online Store"/>
    <s v="pending"/>
    <s v="Germany"/>
    <m/>
    <s v="Not Required"/>
    <s v="Kendrafurt"/>
  </r>
  <r>
    <s v="#1115"/>
    <n v="1"/>
    <d v="2026-08-04T13:56:20"/>
    <d v="2026-08-04T13:56:20"/>
    <s v="Tina Crane"/>
    <s v="Email Available"/>
    <s v="tina.crane554@gmail.com"/>
    <x v="11"/>
    <s v="Electronics"/>
    <x v="12"/>
    <n v="2"/>
    <s v="$21.99"/>
    <n v="21.99"/>
    <s v="FREESHIP"/>
    <s v="FREESHIP"/>
    <n v="0"/>
    <n v="0"/>
    <s v="Number"/>
    <n v="0"/>
    <n v="0"/>
    <n v="43.98"/>
    <n v="43.98"/>
    <n v="43.98"/>
    <s v="True"/>
    <s v="Normal"/>
    <s v="Google Pay"/>
    <s v="Online Store"/>
    <s v="fulfilled"/>
    <s v="United Kingdom"/>
    <m/>
    <s v="Not Required"/>
    <s v="Elizabethhaven"/>
  </r>
  <r>
    <s v="#1166"/>
    <n v="1"/>
    <d v="2026-04-08T00:00:00"/>
    <s v="08/04/2026"/>
    <s v="Mary Garcia"/>
    <s v="Missing Email"/>
    <m/>
    <x v="11"/>
    <s v="Electronics"/>
    <x v="12"/>
    <n v="1"/>
    <s v="$21.99"/>
    <n v="21.99"/>
    <s v="SAVE20"/>
    <s v="SAVE20"/>
    <n v="4.4000000000000004"/>
    <n v="4.4000000000000004"/>
    <s v="Number"/>
    <n v="7.99"/>
    <n v="7.99"/>
    <n v="25.58"/>
    <n v="25.58"/>
    <n v="25.58"/>
    <s v="True"/>
    <s v="Normal"/>
    <s v="Shopify Payments"/>
    <s v="Online Store"/>
    <s v="refunded"/>
    <s v="Canada"/>
    <m/>
    <s v="Not Required"/>
    <s v="Hawkinsborough"/>
  </r>
  <r>
    <s v="#1170"/>
    <n v="1"/>
    <d v="2026-04-08T00:00:00"/>
    <s v="08/04/2026"/>
    <s v="Philip Stevens"/>
    <s v="Email Available"/>
    <s v="philip.stevens908@outlook.com"/>
    <x v="11"/>
    <s v="Electronics"/>
    <x v="12"/>
    <n v="3"/>
    <n v="21.99"/>
    <n v="21.99"/>
    <m/>
    <s v=""/>
    <n v="0"/>
    <n v="0"/>
    <s v="Number"/>
    <n v="7.99"/>
    <n v="7.99"/>
    <n v="73.959999999999994"/>
    <n v="73.959999999999994"/>
    <n v="73.959999999999994"/>
    <s v="True"/>
    <s v="Normal"/>
    <s v="Shopify Payments"/>
    <s v="POS"/>
    <s v="fulfilled"/>
    <s v="United States"/>
    <s v="Georgia"/>
    <s v="Valid"/>
    <s v="Jessicaville"/>
  </r>
  <r>
    <s v="#1179"/>
    <n v="1"/>
    <d v="2026-08-04T14:01:28"/>
    <d v="2026-08-04T14:01:28"/>
    <s v="Cody Murray"/>
    <s v="Email Available"/>
    <s v="cody.murray456@gmail.com"/>
    <x v="11"/>
    <s v="Electronics"/>
    <x v="12"/>
    <n v="1"/>
    <n v="21.99"/>
    <n v="21.99"/>
    <m/>
    <s v=""/>
    <n v="0"/>
    <n v="0"/>
    <s v="Number"/>
    <n v="4.99"/>
    <n v="4.99"/>
    <n v="26.98"/>
    <n v="26.98"/>
    <n v="26.979999999999997"/>
    <s v="True"/>
    <s v="Normal"/>
    <s v="Apple Pay"/>
    <s v="Instagram"/>
    <s v="fulfilled"/>
    <s v="United Kingdom"/>
    <m/>
    <s v="Not Required"/>
    <s v="Bellfurt"/>
  </r>
  <r>
    <s v="#1186"/>
    <n v="1"/>
    <d v="2026-08-04T14:06:44"/>
    <d v="2026-08-04T14:06:44"/>
    <s v="Patrick Richardson"/>
    <s v="Email Available"/>
    <s v="patrick.richardson270@icloud.com"/>
    <x v="11"/>
    <s v="Electronics"/>
    <x v="12"/>
    <n v="1"/>
    <n v="21.99"/>
    <n v="21.99"/>
    <m/>
    <s v=""/>
    <n v="0"/>
    <n v="0"/>
    <s v="Number"/>
    <n v="4.99"/>
    <n v="4.99"/>
    <n v="26.98"/>
    <n v="26.98"/>
    <n v="26.979999999999997"/>
    <s v="True"/>
    <s v="Normal"/>
    <s v="Shopify Payments"/>
    <s v="Online Store"/>
    <s v="refunded"/>
    <s v="United States"/>
    <s v="Illinois"/>
    <s v="Valid"/>
    <s v="Timothyhaven"/>
  </r>
  <r>
    <s v="#1190"/>
    <n v="1"/>
    <d v="2026-04-08T00:00:00"/>
    <s v="08/04/2026"/>
    <s v="John Hoffman"/>
    <s v="Email Available"/>
    <s v="john.hoffman175@gmail.com"/>
    <x v="11"/>
    <s v="Electronics"/>
    <x v="12"/>
    <n v="1"/>
    <n v="21.99"/>
    <n v="21.99"/>
    <s v="WELCOME10"/>
    <s v="WELCOME10"/>
    <n v="2.2000000000000002"/>
    <n v="2.2000000000000002"/>
    <s v="Number"/>
    <n v="7.99"/>
    <n v="7.99"/>
    <n v="27.78"/>
    <n v="27.78"/>
    <n v="27.78"/>
    <s v="True"/>
    <s v="Normal"/>
    <s v="Credit Card"/>
    <s v="Instagram"/>
    <s v="fulfilled"/>
    <s v="United States"/>
    <s v="California"/>
    <s v="Valid"/>
    <s v="West Jenniferfurt"/>
  </r>
  <r>
    <s v="#1258"/>
    <n v="1"/>
    <d v="2026-08-04T14:03:50"/>
    <d v="2026-08-04T14:03:50"/>
    <s v="Samuel Padilla"/>
    <s v="Email Available"/>
    <s v="samuel.padilla79@gmail.com"/>
    <x v="11"/>
    <s v="Electronics"/>
    <x v="12"/>
    <n v="1"/>
    <n v="21.99"/>
    <n v="21.99"/>
    <m/>
    <s v=""/>
    <n v="0"/>
    <n v="0"/>
    <s v="Number"/>
    <n v="5.99"/>
    <n v="5.99"/>
    <n v="27.98"/>
    <n v="27.98"/>
    <n v="27.979999999999997"/>
    <s v="True"/>
    <s v="Normal"/>
    <s v="Shopify Payments"/>
    <s v="Online Store"/>
    <s v="fulfilled"/>
    <s v="United States"/>
    <s v="Arizona"/>
    <s v="Valid"/>
    <s v="Collinsborough"/>
  </r>
  <r>
    <s v="#1266"/>
    <n v="1"/>
    <d v="2026-08-04T14:01:32"/>
    <d v="2026-08-04T14:01:32"/>
    <s v="  Laura Pruitt"/>
    <s v="Missing Email"/>
    <m/>
    <x v="11"/>
    <s v="Electronics"/>
    <x v="12"/>
    <n v="1"/>
    <n v="21.99"/>
    <n v="21.99"/>
    <s v="VIP15"/>
    <s v="VIP15"/>
    <n v="3.3"/>
    <n v="3.3"/>
    <s v="Number"/>
    <n v="4.99"/>
    <n v="4.99"/>
    <s v="$23.68"/>
    <n v="23.68"/>
    <n v="23.68"/>
    <s v="True"/>
    <s v="Normal"/>
    <s v="Google Pay"/>
    <s v="Online Store"/>
    <s v="fulfilled"/>
    <s v="United States"/>
    <s v="Florida"/>
    <s v="Valid"/>
    <s v="Steveshire"/>
  </r>
  <r>
    <s v="#1318"/>
    <n v="1"/>
    <d v="2026-04-08T00:00:00"/>
    <s v="08/04/2026"/>
    <s v="Sarah Webb"/>
    <s v="Email Available"/>
    <s v="sarah.webb997@outlook.com"/>
    <x v="11"/>
    <s v="Electronics"/>
    <x v="12"/>
    <n v="1"/>
    <n v="21.99"/>
    <n v="21.99"/>
    <s v="WELCOME10"/>
    <s v="WELCOME10"/>
    <n v="2.2000000000000002"/>
    <n v="2.2000000000000002"/>
    <s v="Number"/>
    <n v="7.99"/>
    <n v="7.99"/>
    <n v="27.78"/>
    <n v="27.78"/>
    <n v="27.78"/>
    <s v="True"/>
    <s v="Normal"/>
    <s v="Google Pay"/>
    <s v="Online Store"/>
    <s v="fulfilled"/>
    <s v="Germany"/>
    <m/>
    <s v="Not Required"/>
    <s v="Lake Ariel"/>
  </r>
  <r>
    <s v="#1349"/>
    <n v="1"/>
    <d v="2026-08-04T13:54:43"/>
    <d v="2026-08-04T13:54:43"/>
    <s v="Alison Schroeder"/>
    <s v="Email Available"/>
    <s v="alison.schroeder943@icloud.com"/>
    <x v="11"/>
    <s v="Electronics"/>
    <x v="12"/>
    <n v="1"/>
    <n v="21.99"/>
    <n v="21.99"/>
    <s v="SAVE20"/>
    <s v="SAVE20"/>
    <n v="4.4000000000000004"/>
    <n v="4.4000000000000004"/>
    <s v="Number"/>
    <n v="5.99"/>
    <n v="5.99"/>
    <n v="23.58"/>
    <n v="23.58"/>
    <n v="23.58"/>
    <s v="True"/>
    <s v="Normal"/>
    <s v="PayPal"/>
    <s v="Facebook"/>
    <s v="fulfilled"/>
    <s v="Australia"/>
    <m/>
    <s v="Not Required"/>
    <s v="Terranceburgh"/>
  </r>
  <r>
    <s v="#1352"/>
    <n v="1"/>
    <d v="2026-08-04T13:59:27"/>
    <d v="2026-08-04T13:59:27"/>
    <s v="Jon Lambert"/>
    <s v="Email Available"/>
    <s v="jon.lambert231@icloud.com"/>
    <x v="11"/>
    <s v="Electronics"/>
    <x v="12"/>
    <n v="2"/>
    <n v="21.99"/>
    <n v="21.99"/>
    <m/>
    <s v=""/>
    <n v="0"/>
    <n v="0"/>
    <s v="Number"/>
    <n v="5.99"/>
    <n v="5.99"/>
    <n v="49.97"/>
    <n v="49.97"/>
    <n v="49.97"/>
    <s v="True"/>
    <s v="Normal"/>
    <s v="Google Pay"/>
    <s v="Online Store"/>
    <s v="refunded"/>
    <s v="United States"/>
    <s v="California"/>
    <s v="Valid"/>
    <s v="Alexanderfort"/>
  </r>
  <r>
    <s v="#1360"/>
    <n v="1"/>
    <d v="2026-08-04T14:05:32"/>
    <d v="2026-08-04T14:05:32"/>
    <s v="Christopher Harris"/>
    <s v="Email Available"/>
    <s v="christopher.harris618@yahoo.com"/>
    <x v="11"/>
    <s v="Electronics"/>
    <x v="12"/>
    <n v="1"/>
    <n v="21.99"/>
    <n v="21.99"/>
    <m/>
    <s v=""/>
    <n v="0"/>
    <n v="0"/>
    <s v="Number"/>
    <n v="5.99"/>
    <n v="5.99"/>
    <n v="27.98"/>
    <n v="27.98"/>
    <n v="27.979999999999997"/>
    <s v="True"/>
    <s v="Normal"/>
    <s v="Google Pay"/>
    <s v="Online Store"/>
    <s v="fulfilled"/>
    <s v="Australia"/>
    <m/>
    <s v="Not Required"/>
    <s v="Barnesmouth"/>
  </r>
  <r>
    <s v="#1365"/>
    <n v="1"/>
    <d v="2026-04-08T00:00:00"/>
    <s v="08/04/2026"/>
    <s v="James Miller"/>
    <s v="Email Available"/>
    <s v="james.miller866@yahoo.com"/>
    <x v="11"/>
    <s v="Electronics"/>
    <x v="12"/>
    <n v="1"/>
    <n v="21.99"/>
    <n v="21.99"/>
    <s v="WELCOME10"/>
    <s v="WELCOME10"/>
    <n v="2.2000000000000002"/>
    <n v="2.2000000000000002"/>
    <s v="Number"/>
    <n v="7.99"/>
    <n v="7.99"/>
    <n v="27.78"/>
    <n v="27.78"/>
    <n v="27.78"/>
    <s v="True"/>
    <s v="Normal"/>
    <s v="Credit Card"/>
    <s v="Facebook"/>
    <s v="pending"/>
    <s v="Pakistan"/>
    <m/>
    <s v="Not Required"/>
    <s v="Lake Kaitlyn"/>
  </r>
  <r>
    <s v="#1386"/>
    <n v="1"/>
    <d v="2026-08-04T14:03:21"/>
    <d v="2026-08-04T14:03:21"/>
    <s v="Vincent Rosales"/>
    <s v="Email Available"/>
    <s v="vincent.rosales30@icloud.com"/>
    <x v="11"/>
    <s v="Electronics"/>
    <x v="12"/>
    <n v="1"/>
    <n v="21.99"/>
    <n v="21.99"/>
    <s v="BFCM25"/>
    <s v="BFCM25"/>
    <n v="5.5"/>
    <n v="5.5"/>
    <s v="Number"/>
    <n v="7.99"/>
    <n v="7.99"/>
    <n v="24.48"/>
    <n v="24.48"/>
    <n v="24.479999999999997"/>
    <s v="True"/>
    <s v="Normal"/>
    <s v="PayPal"/>
    <s v="Facebook"/>
    <s v="fulfilled"/>
    <s v="United States"/>
    <s v="Texas"/>
    <s v="Valid"/>
    <s v="North Wendyview"/>
  </r>
  <r>
    <s v="#1388"/>
    <n v="1"/>
    <d v="2026-04-08T00:00:00"/>
    <s v="08/04/2026"/>
    <s v="kimberly estrada"/>
    <s v="Missing Email"/>
    <m/>
    <x v="11"/>
    <s v="Electronics"/>
    <x v="12"/>
    <n v="3"/>
    <n v="21.99"/>
    <n v="21.99"/>
    <m/>
    <s v=""/>
    <n v="0"/>
    <n v="0"/>
    <s v="Number"/>
    <n v="4.99"/>
    <n v="4.99"/>
    <n v="70.959999999999994"/>
    <n v="70.959999999999994"/>
    <n v="70.959999999999994"/>
    <s v="True"/>
    <s v="Normal"/>
    <s v="Apple Pay"/>
    <s v="POS"/>
    <s v="fulfilled"/>
    <s v="Canada"/>
    <m/>
    <s v="Not Required"/>
    <s v="Josephbury"/>
  </r>
  <r>
    <s v="#1394"/>
    <n v="1"/>
    <d v="2026-08-04T14:04:13"/>
    <d v="2026-08-04T14:04:13"/>
    <s v="Michael Hays"/>
    <s v="Email Available"/>
    <s v="michael.hays590@gmail.com"/>
    <x v="11"/>
    <s v="Electronics"/>
    <x v="12"/>
    <n v="4"/>
    <n v="21.99"/>
    <n v="21.99"/>
    <m/>
    <s v=""/>
    <n v="0"/>
    <n v="0"/>
    <s v="Number"/>
    <n v="0"/>
    <n v="0"/>
    <n v="87.96"/>
    <n v="87.96"/>
    <n v="87.96"/>
    <s v="True"/>
    <s v="Outlier"/>
    <s v="Google Pay"/>
    <s v="Online Store"/>
    <s v="refunded"/>
    <s v="United States"/>
    <s v="North Carolina"/>
    <s v="Valid"/>
    <s v="New Richard"/>
  </r>
  <r>
    <s v="#1417"/>
    <n v="1"/>
    <d v="2026-08-04T14:03:39"/>
    <d v="2026-08-04T14:03:39"/>
    <s v="Barbara Brown"/>
    <s v="Email Available"/>
    <s v="barbara.brown26@gmail.com"/>
    <x v="11"/>
    <s v="Electronics"/>
    <x v="12"/>
    <n v="1"/>
    <n v="21.99"/>
    <n v="21.99"/>
    <s v="BFCM25"/>
    <s v="BFCM25"/>
    <s v="$5.50"/>
    <n v="5.5"/>
    <s v="Number"/>
    <n v="7.99"/>
    <n v="7.99"/>
    <n v="24.48"/>
    <n v="24.48"/>
    <n v="24.479999999999997"/>
    <s v="True"/>
    <s v="Normal"/>
    <s v="PayPal"/>
    <s v="Instagram"/>
    <s v="fulfilled"/>
    <s v="United States"/>
    <s v="Georgia"/>
    <s v="Valid"/>
    <s v="South John"/>
  </r>
  <r>
    <s v="#1466"/>
    <n v="1"/>
    <d v="2026-08-04T13:57:03"/>
    <d v="2026-08-04T13:57:03"/>
    <s v="Joshua Miller"/>
    <s v="Email Available"/>
    <s v="joshua.miller362@gmail.com"/>
    <x v="11"/>
    <s v="Electronics"/>
    <x v="12"/>
    <n v="1"/>
    <n v="21.99"/>
    <n v="21.99"/>
    <m/>
    <s v=""/>
    <n v="0"/>
    <n v="0"/>
    <s v="Number"/>
    <n v="7.99"/>
    <n v="7.99"/>
    <n v="29.98"/>
    <n v="29.98"/>
    <n v="29.979999999999997"/>
    <s v="True"/>
    <s v="Normal"/>
    <s v="Shopify Payments"/>
    <s v="Instagram"/>
    <s v="cancelled"/>
    <s v="Canada"/>
    <m/>
    <s v="Not Required"/>
    <s v="Ramirezland"/>
  </r>
  <r>
    <s v="#1490"/>
    <n v="1"/>
    <d v="2026-08-04T14:03:30"/>
    <d v="2026-08-04T14:03:30"/>
    <s v="Sandra Wilson"/>
    <s v="Email Available"/>
    <s v="sandra.wilson840@outlook.com"/>
    <x v="11"/>
    <s v="Electronics"/>
    <x v="12"/>
    <n v="3"/>
    <n v="21.99"/>
    <n v="21.99"/>
    <m/>
    <s v=""/>
    <n v="0"/>
    <n v="0"/>
    <s v="Number"/>
    <n v="4.99"/>
    <n v="4.99"/>
    <n v="70.959999999999994"/>
    <n v="70.959999999999994"/>
    <n v="70.959999999999994"/>
    <s v="True"/>
    <s v="Normal"/>
    <s v="PayPal"/>
    <s v="Online Store"/>
    <s v="fulfilled"/>
    <s v="United States"/>
    <s v="Canada"/>
    <s v="Valid"/>
    <s v="Owenside"/>
  </r>
  <r>
    <s v="#1569"/>
    <n v="1"/>
    <d v="2026-08-04T13:54:17"/>
    <d v="2026-08-04T13:54:17"/>
    <s v="Robert Boyd"/>
    <s v="Email Available"/>
    <s v="robert.boyd184@yahoo.com"/>
    <x v="11"/>
    <s v="Electronics"/>
    <x v="12"/>
    <n v="1"/>
    <n v="21.99"/>
    <n v="21.99"/>
    <s v="WELCOME10"/>
    <s v="WELCOME10"/>
    <n v="2.2000000000000002"/>
    <n v="2.2000000000000002"/>
    <s v="Number"/>
    <n v="5.99"/>
    <n v="5.99"/>
    <n v="25.78"/>
    <n v="25.78"/>
    <n v="25.78"/>
    <s v="True"/>
    <s v="Normal"/>
    <s v="Google Pay"/>
    <s v="Online Store"/>
    <s v="pending"/>
    <s v="Canada"/>
    <m/>
    <s v="Not Required"/>
    <s v="New Davidmouth"/>
  </r>
  <r>
    <s v="#1602"/>
    <n v="1"/>
    <d v="2026-08-04T14:04:05"/>
    <d v="2026-08-04T14:04:05"/>
    <s v="Sarah Hart"/>
    <s v="Email Available"/>
    <s v="sarah.hart267@yahoo.com"/>
    <x v="11"/>
    <s v="Electronics"/>
    <x v="12"/>
    <n v="1"/>
    <s v="$21.99"/>
    <n v="21.99"/>
    <s v="SAVE20"/>
    <s v="SAVE20"/>
    <n v="4.4000000000000004"/>
    <n v="4.4000000000000004"/>
    <s v="Number"/>
    <n v="4.99"/>
    <n v="4.99"/>
    <n v="22.58"/>
    <n v="22.58"/>
    <n v="22.58"/>
    <s v="True"/>
    <s v="Normal"/>
    <s v="Shopify Payments"/>
    <s v="Online Store"/>
    <s v="fulfilled"/>
    <s v="United Kingdom"/>
    <m/>
    <s v="Not Required"/>
    <s v="Alexisville"/>
  </r>
  <r>
    <s v="#1626"/>
    <n v="1"/>
    <d v="2026-04-08T00:00:00"/>
    <s v="08/04/2026"/>
    <s v="AMANDA HARRIS"/>
    <s v="Email Available"/>
    <s v="amanda.harris197@gmail.com"/>
    <x v="11"/>
    <s v="Electronics"/>
    <x v="12"/>
    <n v="2"/>
    <n v="21.99"/>
    <n v="21.99"/>
    <m/>
    <s v=""/>
    <n v="0"/>
    <n v="0"/>
    <s v="Number"/>
    <n v="4.99"/>
    <n v="4.99"/>
    <n v="48.97"/>
    <n v="48.97"/>
    <n v="48.97"/>
    <s v="True"/>
    <s v="Normal"/>
    <s v="Apple Pay"/>
    <s v="Instagram"/>
    <s v="fulfilled"/>
    <s v="United States"/>
    <s v="Illinois"/>
    <s v="Valid"/>
    <s v="Jenniferborough"/>
  </r>
  <r>
    <s v="#1657"/>
    <n v="1"/>
    <d v="2026-08-04T14:04:28"/>
    <d v="2026-08-04T14:04:28"/>
    <s v="George Green"/>
    <s v="Missing Email"/>
    <m/>
    <x v="11"/>
    <s v="Electronics"/>
    <x v="12"/>
    <n v="1"/>
    <n v="21.99"/>
    <n v="21.99"/>
    <m/>
    <s v=""/>
    <n v="0"/>
    <n v="0"/>
    <s v="Number"/>
    <n v="7.99"/>
    <n v="7.99"/>
    <n v="29.98"/>
    <n v="29.98"/>
    <n v="29.979999999999997"/>
    <s v="True"/>
    <s v="Normal"/>
    <s v="Google Pay"/>
    <s v="POS"/>
    <s v="fulfilled"/>
    <s v="United States"/>
    <s v="North Carolina"/>
    <s v="Valid"/>
    <s v="Port Williamstad"/>
  </r>
  <r>
    <s v="#1713"/>
    <n v="1"/>
    <d v="2026-08-04T14:03:19"/>
    <d v="2026-08-04T14:03:19"/>
    <s v="Christian Leonard"/>
    <s v="Email Available"/>
    <s v="christian.leonard732@gmail.com"/>
    <x v="11"/>
    <s v="Electronics"/>
    <x v="12"/>
    <n v="1"/>
    <n v="21.99"/>
    <n v="21.99"/>
    <m/>
    <s v=""/>
    <n v="0"/>
    <n v="0"/>
    <s v="Number"/>
    <n v="7.99"/>
    <n v="7.99"/>
    <n v="29.98"/>
    <n v="29.98"/>
    <n v="29.979999999999997"/>
    <s v="True"/>
    <s v="Normal"/>
    <s v="Shopify Payments"/>
    <s v="POS"/>
    <s v="fulfilled"/>
    <s v="United States"/>
    <s v="Florida"/>
    <s v="Valid"/>
    <s v="Katietown"/>
  </r>
  <r>
    <s v="#1729"/>
    <n v="1"/>
    <d v="2026-08-04T14:08:05"/>
    <d v="2026-08-04T14:08:05"/>
    <s v="Amanda Rodriguez"/>
    <s v="Email Available"/>
    <s v="amanda.rodriguez770@yahoo.com"/>
    <x v="11"/>
    <s v="Electronics"/>
    <x v="12"/>
    <n v="1"/>
    <n v="21.99"/>
    <n v="21.99"/>
    <m/>
    <s v=""/>
    <n v="0"/>
    <n v="0"/>
    <s v="Number"/>
    <n v="4.99"/>
    <n v="4.99"/>
    <n v="26.98"/>
    <n v="26.98"/>
    <n v="26.979999999999997"/>
    <s v="True"/>
    <s v="Normal"/>
    <s v="PayPal"/>
    <s v="Facebook"/>
    <s v="fulfilled"/>
    <s v="United States"/>
    <s v="New York"/>
    <s v="Valid"/>
    <s v="Houstonstad"/>
  </r>
  <r>
    <s v="#1757"/>
    <n v="1"/>
    <d v="2026-08-04T14:03:18"/>
    <d v="2026-08-04T14:03:18"/>
    <s v="Anthony Parker"/>
    <s v="Email Available"/>
    <s v="anthony.parker256@icloud.com"/>
    <x v="11"/>
    <s v="Electronics"/>
    <x v="12"/>
    <n v="1"/>
    <n v="21.99"/>
    <n v="21.99"/>
    <s v="BFCM25"/>
    <s v="BFCM25"/>
    <n v="5.5"/>
    <n v="5.5"/>
    <s v="Number"/>
    <n v="5.99"/>
    <n v="5.99"/>
    <n v="22.48"/>
    <n v="22.48"/>
    <n v="22.479999999999997"/>
    <s v="True"/>
    <s v="Normal"/>
    <s v="Apple Pay"/>
    <s v="Instagram"/>
    <s v="fulfilled"/>
    <s v="United Kingdom"/>
    <m/>
    <s v="Not Required"/>
    <s v="Justinberg"/>
  </r>
  <r>
    <s v="#1760"/>
    <n v="1"/>
    <d v="2026-08-04T13:57:12"/>
    <d v="2026-08-04T13:57:12"/>
    <s v="Christy Phillips"/>
    <s v="Email Available"/>
    <s v="christy.phillips291@gmail.com"/>
    <x v="11"/>
    <s v="Electronics"/>
    <x v="12"/>
    <n v="1"/>
    <n v="21.99"/>
    <n v="21.99"/>
    <s v="SAVE20"/>
    <s v="SAVE20"/>
    <n v="4.4000000000000004"/>
    <n v="4.4000000000000004"/>
    <s v="Number"/>
    <n v="7.99"/>
    <n v="7.99"/>
    <n v="25.58"/>
    <n v="25.58"/>
    <n v="25.58"/>
    <s v="True"/>
    <s v="Normal"/>
    <s v="PayPal"/>
    <s v="Facebook"/>
    <s v="refunded"/>
    <s v="Pakistan"/>
    <m/>
    <s v="Not Required"/>
    <s v="South Aaronstad"/>
  </r>
  <r>
    <s v="#1768"/>
    <n v="1"/>
    <d v="2026-08-04T14:08:14"/>
    <d v="2026-08-04T14:08:14"/>
    <s v="Sandra Potter"/>
    <s v="Email Available"/>
    <s v="sandra.potter166@yahoo.com"/>
    <x v="11"/>
    <s v="Electronics"/>
    <x v="12"/>
    <n v="1"/>
    <n v="21.99"/>
    <n v="21.99"/>
    <m/>
    <s v=""/>
    <n v="0"/>
    <n v="0"/>
    <s v="Number"/>
    <n v="4.99"/>
    <n v="4.99"/>
    <s v="$26.98"/>
    <n v="26.98"/>
    <n v="26.979999999999997"/>
    <s v="True"/>
    <s v="Normal"/>
    <s v="Shopify Payments"/>
    <s v="Online Store"/>
    <s v="fulfilled"/>
    <s v="United States"/>
    <s v="Illinois"/>
    <s v="Valid"/>
    <s v="Port Melinda"/>
  </r>
  <r>
    <s v="#1783"/>
    <n v="1"/>
    <d v="2026-08-04T13:58:35"/>
    <d v="2026-08-04T13:58:35"/>
    <s v="Autumn Stewart"/>
    <s v="Email Available"/>
    <s v="autumn.stewart565@outlook.com"/>
    <x v="11"/>
    <s v="Electronics"/>
    <x v="12"/>
    <n v="1"/>
    <n v="21.99"/>
    <n v="21.99"/>
    <m/>
    <s v=""/>
    <n v="0"/>
    <n v="0"/>
    <s v="Number"/>
    <n v="7.99"/>
    <n v="7.99"/>
    <n v="29.98"/>
    <n v="29.98"/>
    <n v="29.979999999999997"/>
    <s v="True"/>
    <s v="Normal"/>
    <s v="Apple Pay"/>
    <s v="Online Store"/>
    <s v="fulfilled"/>
    <s v="United Kingdom"/>
    <m/>
    <s v="Not Required"/>
    <s v="Kimberlymouth"/>
  </r>
  <r>
    <s v="#1853"/>
    <n v="1"/>
    <d v="2026-08-04T14:05:51"/>
    <d v="2026-08-04T14:05:51"/>
    <s v="Maria Patterson"/>
    <s v="Email Available"/>
    <s v="maria.patterson62@icloud.com"/>
    <x v="11"/>
    <s v="Electronics"/>
    <x v="12"/>
    <n v="1"/>
    <n v="21.99"/>
    <n v="21.99"/>
    <m/>
    <s v=""/>
    <n v="0"/>
    <n v="0"/>
    <s v="Number"/>
    <n v="5.99"/>
    <n v="5.99"/>
    <n v="27.98"/>
    <n v="27.98"/>
    <n v="27.979999999999997"/>
    <s v="True"/>
    <s v="Normal"/>
    <s v="Shopify Payments"/>
    <s v="Online Store"/>
    <s v="refunded"/>
    <s v="United States"/>
    <s v="Florida"/>
    <s v="Valid"/>
    <s v="Lake Lindaport"/>
  </r>
  <r>
    <s v="#1854"/>
    <n v="1"/>
    <d v="2026-08-04T13:59:36"/>
    <d v="2026-08-04T13:59:36"/>
    <s v="Maria Patterson"/>
    <s v="Email Available"/>
    <s v="maria.patterson62@icloud.com"/>
    <x v="11"/>
    <s v="Electronics"/>
    <x v="12"/>
    <n v="1"/>
    <n v="21.99"/>
    <n v="21.99"/>
    <m/>
    <s v=""/>
    <n v="0"/>
    <n v="0"/>
    <s v="Number"/>
    <n v="7.99"/>
    <n v="7.99"/>
    <n v="29.98"/>
    <n v="29.98"/>
    <n v="29.979999999999997"/>
    <s v="True"/>
    <s v="Normal"/>
    <s v="Google Pay"/>
    <s v="Facebook"/>
    <s v="fulfilled"/>
    <s v="United States"/>
    <s v="Ohio"/>
    <s v="Valid"/>
    <s v="Tonybury"/>
  </r>
  <r>
    <s v="#1871"/>
    <n v="1"/>
    <d v="2026-08-04T14:01:24"/>
    <d v="2026-08-04T14:01:24"/>
    <s v="Ronald Stanley"/>
    <s v="Email Available"/>
    <s v="ronald.stanley7@yahoo.com"/>
    <x v="11"/>
    <s v="Electronics"/>
    <x v="12"/>
    <n v="2"/>
    <n v="21.99"/>
    <n v="21.99"/>
    <s v="SAVE20"/>
    <s v="SAVE20"/>
    <n v="8.8000000000000007"/>
    <n v="8.8000000000000007"/>
    <s v="Number"/>
    <n v="7.99"/>
    <n v="7.99"/>
    <n v="43.17"/>
    <n v="43.17"/>
    <n v="43.169999999999995"/>
    <s v="True"/>
    <s v="Normal"/>
    <s v="Apple Pay"/>
    <s v="POS"/>
    <s v="pending"/>
    <s v="United States"/>
    <s v="Arizona"/>
    <s v="Valid"/>
    <s v="West Laura"/>
  </r>
  <r>
    <s v="#1876"/>
    <n v="1"/>
    <d v="2026-04-08T00:00:00"/>
    <s v="08/04/2026"/>
    <s v="Tasha Morales"/>
    <s v="Email Available"/>
    <s v="tasha.morales378@outlook.com"/>
    <x v="11"/>
    <s v="Electronics"/>
    <x v="12"/>
    <n v="1"/>
    <n v="21.99"/>
    <n v="21.99"/>
    <m/>
    <s v=""/>
    <n v="0"/>
    <n v="0"/>
    <s v="Number"/>
    <n v="4.99"/>
    <n v="4.99"/>
    <n v="26.98"/>
    <n v="26.98"/>
    <n v="26.979999999999997"/>
    <s v="True"/>
    <s v="Normal"/>
    <s v="Google Pay"/>
    <s v="Instagram"/>
    <s v="fulfilled"/>
    <s v="United States"/>
    <s v="Ohio"/>
    <s v="Valid"/>
    <s v="New James"/>
  </r>
  <r>
    <s v="#1885"/>
    <n v="1"/>
    <d v="2026-08-04T13:55:43"/>
    <d v="2026-08-04T13:55:43"/>
    <s v="Anthony Hunt"/>
    <s v="Email Available"/>
    <s v="anthony.hunt521@outlook.com"/>
    <x v="11"/>
    <s v="Electronics"/>
    <x v="12"/>
    <n v="1"/>
    <n v="21.99"/>
    <n v="21.99"/>
    <m/>
    <s v=""/>
    <n v="0"/>
    <n v="0"/>
    <s v="Number"/>
    <n v="7.99"/>
    <n v="7.99"/>
    <s v="$29.98"/>
    <n v="29.98"/>
    <n v="29.979999999999997"/>
    <s v="True"/>
    <s v="Normal"/>
    <s v="Google Pay"/>
    <s v="Online Store"/>
    <s v="pending"/>
    <s v="United States"/>
    <s v="TX"/>
    <s v="Valid"/>
    <s v="Loweland"/>
  </r>
  <r>
    <s v="#1890"/>
    <n v="1"/>
    <d v="2026-08-04T00:00:00"/>
    <s v="04-08-2026 13:56"/>
    <s v="Kristina Cook"/>
    <s v="Email Available"/>
    <s v="kristina.cook392@outlook.com"/>
    <x v="11"/>
    <s v="Electronics"/>
    <x v="12"/>
    <n v="1"/>
    <n v="21.99"/>
    <n v="21.99"/>
    <s v="BFCM25"/>
    <s v="BFCM25"/>
    <n v="5.5"/>
    <n v="5.5"/>
    <s v="Number"/>
    <n v="4.99"/>
    <n v="4.99"/>
    <n v="21.48"/>
    <n v="21.48"/>
    <n v="21.479999999999997"/>
    <s v="True"/>
    <s v="Normal"/>
    <s v="Apple Pay"/>
    <s v="Online Store"/>
    <s v="fulfilled"/>
    <s v="United States"/>
    <s v="WA"/>
    <s v="Valid"/>
    <s v="New Brendaville"/>
  </r>
  <r>
    <s v="#1911"/>
    <n v="1"/>
    <d v="2026-08-04T00:00:00"/>
    <s v="Aug 04, 2026"/>
    <s v="Daniel Contreras"/>
    <s v="Missing Email"/>
    <m/>
    <x v="11"/>
    <s v="Electronics"/>
    <x v="12"/>
    <n v="1"/>
    <n v="21.99"/>
    <n v="21.99"/>
    <m/>
    <s v=""/>
    <n v="0"/>
    <n v="0"/>
    <s v="Number"/>
    <n v="4.99"/>
    <n v="4.99"/>
    <n v="26.98"/>
    <n v="26.98"/>
    <n v="26.979999999999997"/>
    <s v="True"/>
    <s v="Normal"/>
    <s v="PayPal"/>
    <s v="POS"/>
    <s v="cancelled"/>
    <s v="Australia"/>
    <m/>
    <s v="Not Required"/>
    <s v="Veronicafort"/>
  </r>
  <r>
    <s v="#1927"/>
    <n v="1"/>
    <d v="2026-08-04T14:05:50"/>
    <d v="2026-08-04T14:05:50"/>
    <s v="Alan Davis"/>
    <s v="Email Available"/>
    <s v="alan.davis483@icloud.com"/>
    <x v="11"/>
    <s v="Electronics"/>
    <x v="12"/>
    <n v="2"/>
    <n v="21.99"/>
    <n v="21.99"/>
    <s v="SAVE20"/>
    <s v="SAVE20"/>
    <n v="8.8000000000000007"/>
    <n v="8.8000000000000007"/>
    <s v="Number"/>
    <n v="5.99"/>
    <n v="5.99"/>
    <n v="41.17"/>
    <n v="41.17"/>
    <n v="41.169999999999995"/>
    <s v="True"/>
    <s v="Normal"/>
    <s v="Shopify Payments"/>
    <s v="Instagram"/>
    <s v="pending"/>
    <s v="Canada"/>
    <m/>
    <s v="Not Required"/>
    <s v="Erinburgh"/>
  </r>
  <r>
    <s v="#2025"/>
    <n v="1"/>
    <d v="2026-08-04T13:58:05"/>
    <d v="2026-08-04T13:58:05"/>
    <s v="Kenneth Coleman"/>
    <s v="Email Available"/>
    <s v="kenneth.coleman447@icloud.com"/>
    <x v="11"/>
    <s v="Electronics"/>
    <x v="12"/>
    <n v="1"/>
    <n v="21.99"/>
    <n v="21.99"/>
    <s v="WELCOME10"/>
    <s v="WELCOME10"/>
    <s v="$2.20"/>
    <n v="2.2000000000000002"/>
    <s v="Number"/>
    <n v="7.99"/>
    <n v="7.99"/>
    <n v="27.78"/>
    <n v="27.78"/>
    <n v="27.78"/>
    <s v="True"/>
    <s v="Normal"/>
    <s v="Google Pay"/>
    <s v="Facebook"/>
    <s v="fulfilled"/>
    <s v="United States"/>
    <s v="California"/>
    <s v="Valid"/>
    <s v="East Stephenville"/>
  </r>
  <r>
    <s v="#2026"/>
    <n v="1"/>
    <d v="2026-08-04T13:56:59"/>
    <d v="2026-08-04T13:56:59"/>
    <m/>
    <s v="Missing Email"/>
    <m/>
    <x v="11"/>
    <s v="Electronics"/>
    <x v="12"/>
    <n v="1"/>
    <n v="21.99"/>
    <n v="21.99"/>
    <s v="FREESHIP"/>
    <s v="FREESHIP"/>
    <n v="0"/>
    <n v="0"/>
    <s v="Number"/>
    <n v="0"/>
    <n v="0"/>
    <n v="21.99"/>
    <n v="21.99"/>
    <n v="21.99"/>
    <s v="True"/>
    <s v="Normal"/>
    <s v="Apple Pay"/>
    <s v="POS"/>
    <s v="fulfilled"/>
    <s v="United States"/>
    <s v="California"/>
    <s v="Valid"/>
    <s v="Lake Jennifer"/>
  </r>
  <r>
    <s v="#2031"/>
    <n v="1"/>
    <d v="2026-08-04T13:54:14"/>
    <d v="2026-08-04T13:54:14"/>
    <s v="Julia Atkinson"/>
    <s v="Email Available"/>
    <s v="julia.atkinson939@gmail.com"/>
    <x v="11"/>
    <s v="Electronics"/>
    <x v="12"/>
    <n v="2"/>
    <n v="21.99"/>
    <n v="21.99"/>
    <s v="VIP15"/>
    <s v="VIP15"/>
    <n v="6.6"/>
    <n v="6.6"/>
    <s v="Number"/>
    <n v="7.99"/>
    <n v="7.99"/>
    <n v="45.37"/>
    <n v="45.37"/>
    <n v="45.37"/>
    <s v="True"/>
    <s v="Normal"/>
    <s v="Shopify Payments"/>
    <s v="Online Store"/>
    <s v="fulfilled"/>
    <s v="Canada"/>
    <m/>
    <s v="Not Required"/>
    <s v="Calderonton"/>
  </r>
  <r>
    <s v="#2053"/>
    <n v="1"/>
    <d v="2026-08-04T13:59:51"/>
    <d v="2026-08-04T13:59:51"/>
    <s v="Vincent Rosales"/>
    <s v="Email Available"/>
    <s v="vincent.rosales30@icloud.com"/>
    <x v="11"/>
    <s v="Electronics"/>
    <x v="12"/>
    <n v="1"/>
    <n v="21.99"/>
    <n v="21.99"/>
    <m/>
    <s v=""/>
    <s v="$0.00"/>
    <n v="0"/>
    <s v="Number"/>
    <n v="7.99"/>
    <n v="7.99"/>
    <n v="29.98"/>
    <n v="29.98"/>
    <n v="29.979999999999997"/>
    <s v="True"/>
    <s v="Normal"/>
    <s v="Shopify Payments"/>
    <s v="Online Store"/>
    <s v="fulfilled"/>
    <s v="United States"/>
    <s v="Georgia"/>
    <s v="Valid"/>
    <s v="North Anthonyville"/>
  </r>
  <r>
    <s v="#2069"/>
    <n v="1"/>
    <d v="2026-08-04T14:00:14"/>
    <d v="2026-08-04T14:00:14"/>
    <s v="  Jeffrey Myers"/>
    <s v="Email Available"/>
    <s v="jeffrey.myers692@icloud.com"/>
    <x v="11"/>
    <s v="Electronics"/>
    <x v="12"/>
    <n v="1"/>
    <n v="21.99"/>
    <n v="21.99"/>
    <s v="VIP15"/>
    <s v="VIP15"/>
    <n v="3.3"/>
    <n v="3.3"/>
    <s v="Number"/>
    <n v="4.99"/>
    <n v="4.99"/>
    <n v="23.68"/>
    <n v="23.68"/>
    <n v="23.68"/>
    <s v="True"/>
    <s v="Normal"/>
    <s v="Google Pay"/>
    <s v="Instagram"/>
    <s v="fulfilled"/>
    <s v="Pakistan"/>
    <m/>
    <s v="Not Required"/>
    <s v="Freemanborough"/>
  </r>
  <r>
    <s v="#2073"/>
    <n v="1"/>
    <d v="2026-08-04T14:08:13"/>
    <d v="2026-08-04T14:08:13"/>
    <s v="Sara Hernandez"/>
    <s v="Email Available"/>
    <s v="sara.hernandez651@icloud.com"/>
    <x v="11"/>
    <s v="Electronics"/>
    <x v="12"/>
    <n v="2"/>
    <n v="21.99"/>
    <n v="21.99"/>
    <m/>
    <s v=""/>
    <n v="0"/>
    <n v="0"/>
    <s v="Number"/>
    <n v="7.99"/>
    <n v="7.99"/>
    <n v="51.97"/>
    <n v="51.97"/>
    <n v="51.97"/>
    <s v="True"/>
    <s v="Normal"/>
    <s v="Shopify Payments"/>
    <s v="Instagram"/>
    <s v="cancelled"/>
    <s v="United States"/>
    <s v="Texas"/>
    <s v="Valid"/>
    <s v="North Dustinborough"/>
  </r>
  <r>
    <s v="#2191"/>
    <n v="1"/>
    <d v="2026-08-04T13:54:32"/>
    <d v="2026-08-04T13:54:32"/>
    <s v="Amanda Robinson"/>
    <s v="Email Available"/>
    <s v="amanda.robinson263@icloud.com"/>
    <x v="11"/>
    <s v="Electronics"/>
    <x v="12"/>
    <n v="4"/>
    <n v="21.99"/>
    <n v="21.99"/>
    <s v="VIP15"/>
    <s v="VIP15"/>
    <n v="13.19"/>
    <n v="13.19"/>
    <s v="Number"/>
    <n v="0"/>
    <n v="0"/>
    <s v="$74.77"/>
    <n v="74.77"/>
    <n v="74.77"/>
    <s v="True"/>
    <s v="Normal"/>
    <s v="Shopify Payments"/>
    <s v="Instagram"/>
    <s v="fulfilled"/>
    <s v="United States"/>
    <s v="Illinois"/>
    <s v="Valid"/>
    <s v="Lake Mariaberg"/>
  </r>
  <r>
    <s v="#2199"/>
    <n v="1"/>
    <d v="2026-08-04T14:06:32"/>
    <d v="2026-08-04T14:06:32"/>
    <s v="Christopher Osborne"/>
    <s v="Email Available"/>
    <s v="christopher.osborne481@yahoo.com"/>
    <x v="11"/>
    <s v="Electronics"/>
    <x v="12"/>
    <n v="1"/>
    <n v="21.99"/>
    <n v="21.99"/>
    <s v="VIP15"/>
    <s v="VIP15"/>
    <n v="3.3"/>
    <n v="3.3"/>
    <s v="Number"/>
    <n v="5.99"/>
    <n v="5.99"/>
    <n v="24.68"/>
    <n v="24.68"/>
    <n v="24.68"/>
    <s v="True"/>
    <s v="Normal"/>
    <s v="Google Pay"/>
    <s v="Online Store"/>
    <s v="fulfilled"/>
    <s v="United States"/>
    <s v="Florida"/>
    <s v="Valid"/>
    <s v="Davidshire"/>
  </r>
  <r>
    <s v="#2271"/>
    <n v="1"/>
    <d v="2026-08-04T13:56:45"/>
    <d v="2026-08-04T13:56:45"/>
    <s v="Brian Ruiz"/>
    <s v="Email Available"/>
    <s v="brian.ruiz246@gmail.com"/>
    <x v="11"/>
    <s v="Electronics"/>
    <x v="12"/>
    <n v="1"/>
    <n v="21.99"/>
    <n v="21.99"/>
    <m/>
    <s v=""/>
    <n v="0"/>
    <n v="0"/>
    <s v="Number"/>
    <n v="7.99"/>
    <n v="7.99"/>
    <n v="29.98"/>
    <n v="29.98"/>
    <n v="29.979999999999997"/>
    <s v="True"/>
    <s v="Normal"/>
    <s v="Credit Card"/>
    <s v="Facebook"/>
    <s v="fulfilled"/>
    <s v="Germany"/>
    <m/>
    <s v="Not Required"/>
    <s v="Chelseatown"/>
  </r>
  <r>
    <s v="#2276"/>
    <n v="1"/>
    <d v="2026-08-04T00:00:00"/>
    <s v="Aug 04, 2026"/>
    <s v="Tracy Adams"/>
    <s v="Email Available"/>
    <s v="tracy.adams712@icloud.com"/>
    <x v="11"/>
    <s v="Electronics"/>
    <x v="12"/>
    <n v="1"/>
    <n v="21.99"/>
    <n v="21.99"/>
    <s v="BFCM25"/>
    <s v="BFCM25"/>
    <n v="5.5"/>
    <n v="5.5"/>
    <s v="Number"/>
    <n v="5.99"/>
    <n v="5.99"/>
    <n v="22.48"/>
    <n v="22.48"/>
    <n v="22.479999999999997"/>
    <s v="True"/>
    <s v="Normal"/>
    <s v="Apple Pay"/>
    <s v="Online Store"/>
    <s v="refunded"/>
    <s v="United States"/>
    <s v="California"/>
    <s v="Valid"/>
    <s v="North Katherine"/>
  </r>
  <r>
    <s v="#2287"/>
    <n v="1"/>
    <d v="2026-08-04T14:01:06"/>
    <d v="2026-08-04T14:01:06"/>
    <s v="David Hernandez"/>
    <s v="Email Available"/>
    <s v="david.hernandez260@yahoo.com"/>
    <x v="11"/>
    <s v="Electronics"/>
    <x v="12"/>
    <n v="1"/>
    <n v="21.99"/>
    <n v="21.99"/>
    <m/>
    <s v=""/>
    <n v="0"/>
    <n v="0"/>
    <s v="Number"/>
    <n v="5.99"/>
    <n v="5.99"/>
    <n v="27.98"/>
    <n v="27.98"/>
    <n v="27.979999999999997"/>
    <s v="True"/>
    <s v="Normal"/>
    <s v="Apple Pay"/>
    <s v="Online Store"/>
    <s v="refunded"/>
    <s v="Australia"/>
    <m/>
    <s v="Not Required"/>
    <s v="Barbaraland"/>
  </r>
  <r>
    <s v="#2303"/>
    <n v="1"/>
    <d v="2026-04-08T00:00:00"/>
    <s v="08/04/2026"/>
    <s v="Sharon Brown"/>
    <s v="Email Available"/>
    <s v="sharon.brown14@gmail.com"/>
    <x v="11"/>
    <s v="Electronics"/>
    <x v="12"/>
    <n v="1"/>
    <n v="21.99"/>
    <n v="21.99"/>
    <m/>
    <s v=""/>
    <n v="0"/>
    <n v="0"/>
    <s v="Number"/>
    <n v="7.99"/>
    <n v="7.99"/>
    <n v="29.98"/>
    <n v="29.98"/>
    <n v="29.979999999999997"/>
    <s v="True"/>
    <s v="Normal"/>
    <s v="Shopify Payments"/>
    <s v="POS"/>
    <s v="refunded"/>
    <s v="United States"/>
    <s v="Texas"/>
    <s v="Valid"/>
    <s v="Port Traceyton"/>
  </r>
  <r>
    <s v="#2322"/>
    <n v="1"/>
    <d v="2026-08-04T14:04:43"/>
    <d v="2026-08-04T14:04:43"/>
    <s v="Jamie Brown"/>
    <s v="Email Available"/>
    <s v="jamie.brown582@icloud.com"/>
    <x v="11"/>
    <s v="Electronics"/>
    <x v="12"/>
    <n v="1"/>
    <n v="21.99"/>
    <n v="21.99"/>
    <s v="VIP15"/>
    <s v="VIP15"/>
    <n v="3.3"/>
    <n v="3.3"/>
    <s v="Number"/>
    <n v="7.99"/>
    <n v="7.99"/>
    <n v="26.68"/>
    <n v="26.68"/>
    <n v="26.68"/>
    <s v="True"/>
    <s v="Normal"/>
    <s v="Apple Pay"/>
    <s v="POS"/>
    <s v="pending"/>
    <s v="United States"/>
    <s v="California"/>
    <s v="Valid"/>
    <s v="Scottfort"/>
  </r>
  <r>
    <s v="#2340"/>
    <n v="1"/>
    <d v="2026-08-04T13:58:06"/>
    <d v="2026-08-04T13:58:06"/>
    <s v="Joshua Ayers"/>
    <s v="Email Available"/>
    <s v="joshua.ayers935@yahoo.com"/>
    <x v="11"/>
    <s v="Electronics"/>
    <x v="12"/>
    <n v="1"/>
    <n v="21.99"/>
    <n v="21.99"/>
    <s v="VIP15"/>
    <s v="VIP15"/>
    <n v="3.3"/>
    <n v="3.3"/>
    <s v="Number"/>
    <n v="7.99"/>
    <n v="7.99"/>
    <n v="26.68"/>
    <n v="26.68"/>
    <n v="26.68"/>
    <s v="True"/>
    <s v="Normal"/>
    <s v="PayPal"/>
    <s v="Online Store"/>
    <s v="refunded"/>
    <s v="Germany"/>
    <m/>
    <s v="Not Required"/>
    <s v="South Loganbury"/>
  </r>
  <r>
    <s v="#2362"/>
    <n v="1"/>
    <d v="2026-08-04T14:00:25"/>
    <d v="2026-08-04T14:00:25"/>
    <s v="Kayla Cruz"/>
    <s v="Email Available"/>
    <s v="kayla.cruz151@outlook.com"/>
    <x v="11"/>
    <s v="Electronics"/>
    <x v="12"/>
    <n v="1"/>
    <n v="21.99"/>
    <n v="21.99"/>
    <s v="SAVE20"/>
    <s v="SAVE20"/>
    <n v="4.4000000000000004"/>
    <n v="4.4000000000000004"/>
    <s v="Number"/>
    <n v="5.99"/>
    <n v="5.99"/>
    <n v="23.58"/>
    <n v="23.58"/>
    <n v="23.58"/>
    <s v="True"/>
    <s v="Normal"/>
    <s v="Credit Card"/>
    <s v="Online Store"/>
    <s v="fulfilled"/>
    <s v="Pakistan"/>
    <m/>
    <s v="Not Required"/>
    <s v="West Beth"/>
  </r>
  <r>
    <s v="#2365"/>
    <n v="1"/>
    <d v="2026-08-04T14:02:18"/>
    <d v="2026-08-04T14:02:18"/>
    <s v="Darin Alvarez"/>
    <s v="Email Available"/>
    <s v="darin.alvarez843@gmail.com"/>
    <x v="11"/>
    <s v="Electronics"/>
    <x v="12"/>
    <n v="1"/>
    <s v="$21.99"/>
    <n v="21.99"/>
    <s v="FREESHIP"/>
    <s v="FREESHIP"/>
    <n v="0"/>
    <n v="0"/>
    <s v="Number"/>
    <n v="0"/>
    <n v="0"/>
    <n v="21.99"/>
    <n v="21.99"/>
    <n v="21.99"/>
    <s v="True"/>
    <s v="Normal"/>
    <s v="Apple Pay"/>
    <s v="POS"/>
    <s v="cancelled"/>
    <s v="Canada"/>
    <m/>
    <s v="Not Required"/>
    <s v="Lake Charlesview"/>
  </r>
  <r>
    <s v="#2388"/>
    <n v="1"/>
    <d v="2026-08-04T13:57:45"/>
    <d v="2026-08-04T13:57:45"/>
    <s v="Sandra Potter"/>
    <s v="Email Available"/>
    <s v="sandra.potter166@yahoo.com"/>
    <x v="11"/>
    <s v="Electronics"/>
    <x v="12"/>
    <n v="1"/>
    <n v="21.99"/>
    <n v="21.99"/>
    <s v="VIP15"/>
    <s v="VIP15"/>
    <n v="3.3"/>
    <n v="3.3"/>
    <s v="Number"/>
    <n v="7.99"/>
    <n v="7.99"/>
    <n v="26.68"/>
    <n v="26.68"/>
    <n v="26.68"/>
    <s v="True"/>
    <s v="Normal"/>
    <s v="PayPal"/>
    <s v="Online Store"/>
    <s v="fulfilled"/>
    <s v="United States"/>
    <s v="Georgia"/>
    <s v="Valid"/>
    <s v="New Crystalside"/>
  </r>
  <r>
    <s v="#2403"/>
    <n v="1"/>
    <d v="2026-08-04T14:02:54"/>
    <d v="2026-08-04T14:02:54"/>
    <s v="James Castro"/>
    <s v="Email Available"/>
    <s v="james.castro923@icloud.com"/>
    <x v="11"/>
    <s v="Electronics"/>
    <x v="12"/>
    <n v="1"/>
    <n v="21.99"/>
    <n v="21.99"/>
    <s v="BFCM25"/>
    <s v="BFCM25"/>
    <n v="5.5"/>
    <n v="5.5"/>
    <s v="Number"/>
    <n v="7.99"/>
    <n v="7.99"/>
    <n v="24.48"/>
    <n v="24.48"/>
    <n v="24.479999999999997"/>
    <s v="True"/>
    <s v="Normal"/>
    <s v="Google Pay"/>
    <s v="Online Store"/>
    <s v="fulfilled"/>
    <s v="Pakistan"/>
    <m/>
    <s v="Not Required"/>
    <s v="Hansenmouth"/>
  </r>
  <r>
    <s v="#2413"/>
    <n v="1"/>
    <d v="2026-08-04T14:05:45"/>
    <d v="2026-08-04T14:05:45"/>
    <s v="Karen Lewis"/>
    <s v="Email Available"/>
    <s v="karen.lewis137@icloud.com"/>
    <x v="11"/>
    <s v="Electronics"/>
    <x v="12"/>
    <n v="1"/>
    <n v="21.99"/>
    <n v="21.99"/>
    <m/>
    <s v=""/>
    <n v="0"/>
    <n v="0"/>
    <s v="Number"/>
    <n v="4.99"/>
    <n v="4.99"/>
    <n v="26.98"/>
    <n v="26.98"/>
    <n v="26.979999999999997"/>
    <s v="True"/>
    <s v="Normal"/>
    <s v="Shopify Payments"/>
    <s v="Online Store"/>
    <s v="cancelled"/>
    <s v="Australia"/>
    <m/>
    <s v="Not Required"/>
    <s v="Greerhaven"/>
  </r>
  <r>
    <s v="#2420"/>
    <n v="1"/>
    <d v="2026-08-04T14:01:36"/>
    <d v="2026-08-04T14:01:36"/>
    <s v="Samuel Padilla"/>
    <s v="Email Available"/>
    <s v="samuel.padilla79@gmail.com"/>
    <x v="11"/>
    <s v="Electronics"/>
    <x v="12"/>
    <n v="2"/>
    <n v="21.99"/>
    <n v="21.99"/>
    <s v="SAVE20"/>
    <s v="SAVE20"/>
    <n v="8.8000000000000007"/>
    <n v="8.8000000000000007"/>
    <s v="Number"/>
    <n v="4.99"/>
    <n v="4.99"/>
    <n v="40.17"/>
    <n v="40.17"/>
    <n v="40.169999999999995"/>
    <s v="True"/>
    <s v="Normal"/>
    <s v="Google Pay"/>
    <s v="Online Store"/>
    <s v="fulfilled"/>
    <s v="United States"/>
    <s v="Washington"/>
    <s v="Valid"/>
    <s v="Myerschester"/>
  </r>
  <r>
    <s v="#2484"/>
    <n v="1"/>
    <d v="2026-04-08T00:00:00"/>
    <s v="08/04/2026"/>
    <s v="CORY WALTON"/>
    <s v="Email Available"/>
    <s v="cory.walton975@outlook.com"/>
    <x v="11"/>
    <s v="Electronics"/>
    <x v="12"/>
    <n v="1"/>
    <n v="21.99"/>
    <n v="21.99"/>
    <s v="BFCM25"/>
    <s v="BFCM25"/>
    <n v="5.5"/>
    <n v="5.5"/>
    <s v="Number"/>
    <n v="7.99"/>
    <n v="7.99"/>
    <n v="24.48"/>
    <n v="24.48"/>
    <n v="24.479999999999997"/>
    <s v="True"/>
    <s v="Normal"/>
    <s v="Apple Pay"/>
    <s v="Online Store"/>
    <s v="pending"/>
    <s v="Canada"/>
    <m/>
    <s v="Not Required"/>
    <s v="Derekville"/>
  </r>
  <r>
    <s v="#2493"/>
    <n v="1"/>
    <d v="2026-08-04T14:07:07"/>
    <d v="2026-08-04T14:07:07"/>
    <s v="Michele Davis"/>
    <s v="Email Available"/>
    <s v="michele.davis844@gmail.com"/>
    <x v="11"/>
    <s v="Electronics"/>
    <x v="12"/>
    <n v="1"/>
    <n v="21.99"/>
    <n v="21.99"/>
    <s v="WELCOME10"/>
    <s v="WELCOME10"/>
    <n v="2.2000000000000002"/>
    <n v="2.2000000000000002"/>
    <s v="Number"/>
    <n v="4.99"/>
    <n v="4.99"/>
    <n v="24.78"/>
    <n v="24.78"/>
    <n v="24.78"/>
    <s v="True"/>
    <s v="Normal"/>
    <s v="Credit Card"/>
    <s v="Instagram"/>
    <s v="fulfilled"/>
    <s v="Australia"/>
    <m/>
    <s v="Not Required"/>
    <s v="South Jesse"/>
  </r>
  <r>
    <s v="#2500"/>
    <n v="1"/>
    <d v="2026-08-04T13:54:04"/>
    <d v="2026-08-04T13:54:04"/>
    <s v="kayla lee"/>
    <s v="Email Available"/>
    <s v="kayla.lee278@yahoo.com"/>
    <x v="11"/>
    <s v="Electronics"/>
    <x v="12"/>
    <n v="1"/>
    <n v="21.99"/>
    <n v="21.99"/>
    <m/>
    <s v=""/>
    <n v="0"/>
    <n v="0"/>
    <s v="Number"/>
    <n v="4.99"/>
    <n v="4.99"/>
    <n v="26.98"/>
    <n v="26.98"/>
    <n v="26.979999999999997"/>
    <s v="True"/>
    <s v="Normal"/>
    <s v="Google Pay"/>
    <s v="Facebook"/>
    <s v="refunded"/>
    <s v="United Kingdom"/>
    <m/>
    <s v="Not Required"/>
    <s v="Duncanport"/>
  </r>
  <r>
    <s v="#2505"/>
    <n v="1"/>
    <d v="2026-08-04T14:01:00"/>
    <d v="2026-08-04T14:01:00"/>
    <s v="Tracy Kennedy"/>
    <s v="Email Available"/>
    <s v="tracy.kennedy796@outlook.com"/>
    <x v="11"/>
    <s v="Electronics"/>
    <x v="12"/>
    <n v="3"/>
    <n v="21.99"/>
    <n v="21.99"/>
    <m/>
    <s v=""/>
    <n v="0"/>
    <n v="0"/>
    <s v="Number"/>
    <n v="4.99"/>
    <n v="4.99"/>
    <n v="70.959999999999994"/>
    <n v="70.959999999999994"/>
    <n v="70.959999999999994"/>
    <s v="True"/>
    <s v="Normal"/>
    <s v="Apple Pay"/>
    <s v="Online Store"/>
    <s v="fulfilled"/>
    <s v="Pakistan"/>
    <m/>
    <s v="Not Required"/>
    <s v="Nelsontown"/>
  </r>
  <r>
    <s v="#2532"/>
    <n v="1"/>
    <d v="2026-08-04T13:58:32"/>
    <d v="2026-08-04T13:58:32"/>
    <s v="Joseph Phillips"/>
    <s v="Email Available"/>
    <s v="joseph.phillips672@yahoo.com"/>
    <x v="11"/>
    <s v="Electronics"/>
    <x v="12"/>
    <n v="1"/>
    <n v="21.99"/>
    <n v="21.99"/>
    <s v="BFCM25"/>
    <s v="BFCM25"/>
    <n v="5.5"/>
    <n v="5.5"/>
    <s v="Number"/>
    <n v="5.99"/>
    <n v="5.99"/>
    <n v="22.48"/>
    <n v="22.48"/>
    <n v="22.479999999999997"/>
    <s v="True"/>
    <s v="Normal"/>
    <s v="Credit Card"/>
    <s v="Facebook"/>
    <s v="refunded"/>
    <s v="Pakistan"/>
    <m/>
    <s v="Not Required"/>
    <s v="West Ebony"/>
  </r>
  <r>
    <s v="#2546"/>
    <n v="1"/>
    <d v="2026-08-04T14:03:35"/>
    <d v="2026-08-04T14:03:35"/>
    <s v="Devin Jones"/>
    <s v="Email Available"/>
    <s v="devin.jones807@yahoo.com"/>
    <x v="11"/>
    <s v="Electronics"/>
    <x v="12"/>
    <n v="1"/>
    <n v="21.99"/>
    <n v="21.99"/>
    <s v="VIP15"/>
    <s v="VIP15"/>
    <n v="3.3"/>
    <n v="3.3"/>
    <s v="Number"/>
    <n v="5.99"/>
    <n v="5.99"/>
    <s v="$24.68"/>
    <n v="24.68"/>
    <n v="24.68"/>
    <s v="True"/>
    <s v="Normal"/>
    <s v="Apple Pay"/>
    <s v="Online Store"/>
    <s v="refunded"/>
    <s v="Pakistan"/>
    <m/>
    <s v="Not Required"/>
    <s v="East Karla"/>
  </r>
  <r>
    <s v="#2548"/>
    <n v="1"/>
    <d v="2026-08-04T13:54:00"/>
    <d v="2026-08-04T13:54:00"/>
    <s v="Christopher Osborne"/>
    <s v="Email Available"/>
    <s v="christopher.osborne481@yahoo.com"/>
    <x v="11"/>
    <s v="Electronics"/>
    <x v="12"/>
    <n v="1"/>
    <n v="21.99"/>
    <n v="21.99"/>
    <s v="WELCOME10"/>
    <s v="WELCOME10"/>
    <n v="2.2000000000000002"/>
    <n v="2.2000000000000002"/>
    <s v="Number"/>
    <n v="7.99"/>
    <n v="7.99"/>
    <n v="27.78"/>
    <n v="27.78"/>
    <n v="27.78"/>
    <s v="True"/>
    <s v="Normal"/>
    <s v="Google Pay"/>
    <s v="Online Store"/>
    <s v="fulfilled"/>
    <s v="United States"/>
    <s v="NC"/>
    <s v="Valid"/>
    <s v="New Melissaview"/>
  </r>
  <r>
    <s v="#2564"/>
    <n v="1"/>
    <d v="2026-08-04T00:00:00"/>
    <s v="04-08-2026 14:00"/>
    <s v="Jessica Garcia"/>
    <s v="Email Available"/>
    <s v="jessica.garcia931@gmail.com"/>
    <x v="11"/>
    <s v="Electronics"/>
    <x v="12"/>
    <n v="2"/>
    <n v="21.99"/>
    <n v="21.99"/>
    <s v="WELCOME10"/>
    <s v="WELCOME10"/>
    <n v="4.4000000000000004"/>
    <n v="4.4000000000000004"/>
    <s v="Number"/>
    <n v="5.99"/>
    <n v="5.99"/>
    <n v="45.57"/>
    <n v="45.57"/>
    <n v="45.57"/>
    <s v="True"/>
    <s v="Normal"/>
    <s v="Google Pay"/>
    <s v="Instagram"/>
    <s v="fulfilled"/>
    <s v="United States"/>
    <s v="North Carolina"/>
    <s v="Valid"/>
    <s v="Jodyport"/>
  </r>
  <r>
    <s v="#2578"/>
    <n v="1"/>
    <d v="2026-08-04T14:03:20"/>
    <d v="2026-08-04T14:03:20"/>
    <s v="TYLER WILLIAMS"/>
    <s v="Email Available"/>
    <s v="tyler.williams938@outlook.com"/>
    <x v="11"/>
    <s v="Electronics"/>
    <x v="12"/>
    <n v="1"/>
    <n v="21.99"/>
    <n v="21.99"/>
    <m/>
    <s v=""/>
    <n v="0"/>
    <n v="0"/>
    <s v="Number"/>
    <n v="5.99"/>
    <n v="5.99"/>
    <n v="27.98"/>
    <n v="27.98"/>
    <n v="27.979999999999997"/>
    <s v="True"/>
    <s v="Normal"/>
    <s v="PayPal"/>
    <s v="Facebook"/>
    <s v="pending"/>
    <s v="Australia"/>
    <m/>
    <s v="Not Required"/>
    <s v="Jackfurt"/>
  </r>
  <r>
    <s v="#2588"/>
    <n v="1"/>
    <d v="2026-08-04T13:56:02"/>
    <d v="2026-08-04T13:56:02"/>
    <s v="Seth Price"/>
    <s v="Email Available"/>
    <s v="seth.price179@gmail.com"/>
    <x v="11"/>
    <s v="Electronics"/>
    <x v="12"/>
    <n v="1"/>
    <n v="21.99"/>
    <n v="21.99"/>
    <m/>
    <s v=""/>
    <n v="0"/>
    <n v="0"/>
    <s v="Number"/>
    <n v="7.99"/>
    <n v="7.99"/>
    <n v="29.98"/>
    <n v="29.98"/>
    <n v="29.979999999999997"/>
    <s v="True"/>
    <s v="Normal"/>
    <s v="Shopify Payments"/>
    <s v="Online Store"/>
    <s v="fulfilled"/>
    <s v="United States"/>
    <s v="New York"/>
    <s v="Valid"/>
    <s v="Port Jackville"/>
  </r>
  <r>
    <s v="#2592"/>
    <n v="1"/>
    <d v="2026-08-04T14:01:07"/>
    <d v="2026-08-04T14:01:07"/>
    <s v="Linda Byrd"/>
    <s v="Email Available"/>
    <s v="linda.byrd87@outlook.com"/>
    <x v="11"/>
    <s v="Electronics"/>
    <x v="12"/>
    <n v="1"/>
    <n v="21.99"/>
    <n v="21.99"/>
    <m/>
    <s v=""/>
    <s v="$0.00"/>
    <n v="0"/>
    <s v="Number"/>
    <n v="5.99"/>
    <n v="5.99"/>
    <n v="27.98"/>
    <n v="27.98"/>
    <n v="27.979999999999997"/>
    <s v="True"/>
    <s v="Normal"/>
    <s v="Shopify Payments"/>
    <s v="Online Store"/>
    <s v="fulfilled"/>
    <s v="United States"/>
    <s v="Washington"/>
    <s v="Valid"/>
    <s v="Riceborough"/>
  </r>
  <r>
    <s v="#2608"/>
    <n v="1"/>
    <d v="2026-08-04T14:06:09"/>
    <d v="2026-08-04T14:06:09"/>
    <s v="Perez, Joanne"/>
    <s v="Email Available"/>
    <s v="joanne.perez120@gmail.com"/>
    <x v="11"/>
    <s v="Electronics"/>
    <x v="12"/>
    <n v="1"/>
    <n v="21.99"/>
    <n v="21.99"/>
    <s v="VIP15"/>
    <s v="VIP15"/>
    <n v="3.3"/>
    <n v="3.3"/>
    <s v="Number"/>
    <n v="5.99"/>
    <n v="5.99"/>
    <n v="24.68"/>
    <n v="24.68"/>
    <n v="24.68"/>
    <s v="True"/>
    <s v="Normal"/>
    <s v="Apple Pay"/>
    <s v="POS"/>
    <s v="fulfilled"/>
    <s v="United States"/>
    <s v="California"/>
    <s v="Valid"/>
    <s v="Rossville"/>
  </r>
  <r>
    <s v="#2612"/>
    <n v="1"/>
    <d v="2026-08-04T13:56:39"/>
    <d v="2026-08-04T13:56:39"/>
    <m/>
    <s v="Email Available"/>
    <s v="george.green694@icloud.com"/>
    <x v="11"/>
    <s v="Electronics"/>
    <x v="12"/>
    <n v="1"/>
    <n v="21.99"/>
    <n v="21.99"/>
    <s v="SAVE20"/>
    <s v="SAVE20"/>
    <n v="4.4000000000000004"/>
    <n v="4.4000000000000004"/>
    <s v="Number"/>
    <n v="4.99"/>
    <n v="4.99"/>
    <n v="22.58"/>
    <n v="22.58"/>
    <n v="22.58"/>
    <s v="True"/>
    <s v="Normal"/>
    <s v="Apple Pay"/>
    <s v="Instagram"/>
    <s v="fulfilled"/>
    <s v="United States"/>
    <s v="Georgia"/>
    <s v="Valid"/>
    <s v="North Laurenville"/>
  </r>
  <r>
    <s v="#2625"/>
    <n v="1"/>
    <d v="2026-08-04T14:08:24"/>
    <d v="2026-08-04T14:08:24"/>
    <s v="NICHOLAS PARKER"/>
    <s v="Email Available"/>
    <s v="nicholas.parker656@yahoo.com"/>
    <x v="11"/>
    <s v="Electronics"/>
    <x v="12"/>
    <n v="1"/>
    <n v="21.99"/>
    <n v="21.99"/>
    <s v="FREESHIP"/>
    <s v="FREESHIP"/>
    <n v="0"/>
    <n v="0"/>
    <s v="Number"/>
    <n v="0"/>
    <n v="0"/>
    <n v="21.99"/>
    <n v="21.99"/>
    <n v="21.99"/>
    <s v="True"/>
    <s v="Normal"/>
    <s v="Credit Card"/>
    <s v="Instagram"/>
    <s v="fulfilled"/>
    <s v="United States"/>
    <s v="Florida"/>
    <s v="Valid"/>
    <s v="East William"/>
  </r>
  <r>
    <s v="#2638"/>
    <n v="1"/>
    <d v="2026-08-04T14:04:29"/>
    <d v="2026-08-04T14:04:29"/>
    <s v="Daniel Parsons"/>
    <s v="Email Available"/>
    <s v="daniel.parsons636@gmail.com"/>
    <x v="11"/>
    <s v="Electronics"/>
    <x v="12"/>
    <n v="1"/>
    <n v="21.99"/>
    <n v="21.99"/>
    <m/>
    <s v=""/>
    <n v="0"/>
    <n v="0"/>
    <s v="Number"/>
    <n v="7.99"/>
    <n v="7.99"/>
    <n v="29.98"/>
    <n v="29.98"/>
    <n v="29.979999999999997"/>
    <s v="True"/>
    <s v="Normal"/>
    <s v="Google Pay"/>
    <s v="Online Store"/>
    <s v="fulfilled"/>
    <s v="United States"/>
    <s v="California"/>
    <s v="Valid"/>
    <s v="South Bobberg"/>
  </r>
  <r>
    <s v="#2656"/>
    <n v="1"/>
    <d v="2026-08-04T14:07:03"/>
    <d v="2026-08-04T14:07:03"/>
    <s v="Andrea Martinez"/>
    <s v="Email Available"/>
    <s v="andrea.martinez756@yahoo.com"/>
    <x v="11"/>
    <s v="Electronics"/>
    <x v="12"/>
    <n v="2"/>
    <n v="21.99"/>
    <n v="21.99"/>
    <s v="BFCM25"/>
    <s v="BFCM25"/>
    <n v="10.99"/>
    <n v="10.99"/>
    <s v="Number"/>
    <n v="7.99"/>
    <n v="7.99"/>
    <n v="40.98"/>
    <n v="40.98"/>
    <n v="40.98"/>
    <s v="True"/>
    <s v="Normal"/>
    <s v="Apple Pay"/>
    <s v="Online Store"/>
    <s v="pending"/>
    <s v="Australia"/>
    <m/>
    <s v="Not Required"/>
    <s v="Lake Brittneyton"/>
  </r>
  <r>
    <s v="#2664"/>
    <n v="1"/>
    <d v="2026-08-04T14:02:06"/>
    <d v="2026-08-04T14:02:06"/>
    <s v="Tyler Williams"/>
    <s v="Missing Email"/>
    <m/>
    <x v="11"/>
    <s v="Electronics"/>
    <x v="12"/>
    <n v="4"/>
    <n v="21.99"/>
    <n v="21.99"/>
    <m/>
    <s v=""/>
    <n v="0"/>
    <n v="0"/>
    <s v="Number"/>
    <n v="0"/>
    <n v="0"/>
    <n v="87.96"/>
    <n v="87.96"/>
    <n v="87.96"/>
    <s v="True"/>
    <s v="Outlier"/>
    <s v="Shopify Payments"/>
    <s v="POS"/>
    <s v="fulfilled"/>
    <s v="Australia"/>
    <m/>
    <s v="Not Required"/>
    <s v="Michelleland"/>
  </r>
  <r>
    <s v="#2677"/>
    <n v="1"/>
    <d v="2026-08-04T13:53:53"/>
    <d v="2026-08-04T13:53:53"/>
    <s v="DEREK RICHARDSON"/>
    <s v="Email Available"/>
    <s v="derek.richardson414@outlook.com"/>
    <x v="11"/>
    <s v="Electronics"/>
    <x v="12"/>
    <n v="1"/>
    <n v="21.99"/>
    <n v="21.99"/>
    <m/>
    <s v=""/>
    <n v="0"/>
    <n v="0"/>
    <s v="Number"/>
    <n v="4.99"/>
    <n v="4.99"/>
    <n v="26.98"/>
    <n v="26.98"/>
    <n v="26.979999999999997"/>
    <s v="True"/>
    <s v="Normal"/>
    <s v="PayPal"/>
    <s v="Facebook"/>
    <s v="refunded"/>
    <s v="United Kingdom"/>
    <m/>
    <s v="Not Required"/>
    <s v="South Raymond"/>
  </r>
  <r>
    <s v="#2709"/>
    <n v="1"/>
    <d v="2026-08-04T14:07:48"/>
    <d v="2026-08-04T14:07:48"/>
    <s v="Christy Phillips"/>
    <s v="Email Available"/>
    <s v="christy.phillips291@gmail.com"/>
    <x v="11"/>
    <s v="Electronics"/>
    <x v="12"/>
    <n v="1"/>
    <n v="21.99"/>
    <n v="21.99"/>
    <s v="WELCOME10"/>
    <s v="WELCOME10"/>
    <n v="2.2000000000000002"/>
    <n v="2.2000000000000002"/>
    <s v="Number"/>
    <n v="5.99"/>
    <n v="5.99"/>
    <n v="25.78"/>
    <n v="25.78"/>
    <n v="25.78"/>
    <s v="True"/>
    <s v="Normal"/>
    <s v="Credit Card"/>
    <s v="Online Store"/>
    <s v="fulfilled"/>
    <s v="Pakistan"/>
    <m/>
    <s v="Not Required"/>
    <s v="Port Sherry"/>
  </r>
  <r>
    <s v="#2730"/>
    <n v="1"/>
    <d v="2026-08-04T14:07:35"/>
    <d v="2026-08-04T14:07:35"/>
    <s v="Kathryn Robinson"/>
    <s v="Email Available"/>
    <s v="kathryn.robinson965@gmail.com"/>
    <x v="11"/>
    <s v="Electronics"/>
    <x v="12"/>
    <n v="1"/>
    <n v="21.99"/>
    <n v="21.99"/>
    <m/>
    <s v=""/>
    <n v="0"/>
    <n v="0"/>
    <s v="Number"/>
    <n v="4.99"/>
    <n v="4.99"/>
    <s v="$26.98"/>
    <n v="26.98"/>
    <n v="26.979999999999997"/>
    <s v="True"/>
    <s v="Normal"/>
    <s v="Google Pay"/>
    <s v="Online Store"/>
    <s v="cancelled"/>
    <s v="United Kingdom"/>
    <m/>
    <s v="Not Required"/>
    <s v="Melaniehaven"/>
  </r>
  <r>
    <s v="#2826"/>
    <n v="1"/>
    <d v="2026-08-04T14:06:21"/>
    <d v="2026-08-04T14:06:21"/>
    <s v="Heather Davis"/>
    <s v="Missing Email"/>
    <m/>
    <x v="11"/>
    <s v="Electronics"/>
    <x v="12"/>
    <n v="1"/>
    <n v="21.99"/>
    <n v="21.99"/>
    <m/>
    <s v=""/>
    <n v="0"/>
    <n v="0"/>
    <s v="Number"/>
    <n v="7.99"/>
    <n v="7.99"/>
    <n v="29.98"/>
    <n v="29.98"/>
    <n v="29.979999999999997"/>
    <s v="True"/>
    <s v="Normal"/>
    <s v="Shopify Payments"/>
    <s v="Instagram"/>
    <s v="fulfilled"/>
    <s v="Germany"/>
    <m/>
    <s v="Not Required"/>
    <s v="Jonburgh"/>
  </r>
  <r>
    <s v="#2848"/>
    <n v="1"/>
    <d v="2026-08-04T13:54:14"/>
    <d v="2026-08-04T13:54:14"/>
    <s v="Kristina Thompson"/>
    <s v="Email Available"/>
    <s v="kristina.thompson501@icloud.com"/>
    <x v="11"/>
    <s v="Electronics"/>
    <x v="12"/>
    <n v="1"/>
    <n v="21.99"/>
    <n v="21.99"/>
    <s v="WELCOME10"/>
    <s v="WELCOME10"/>
    <n v="2.2000000000000002"/>
    <n v="2.2000000000000002"/>
    <s v="Number"/>
    <n v="5.99"/>
    <n v="5.99"/>
    <n v="25.78"/>
    <n v="25.78"/>
    <n v="25.78"/>
    <s v="True"/>
    <s v="Normal"/>
    <s v="Shopify Payments"/>
    <s v="Online Store"/>
    <s v="refunded"/>
    <s v="United States"/>
    <s v="Illinois"/>
    <s v="Valid"/>
    <s v="East Tamaraberg"/>
  </r>
  <r>
    <s v="#2905"/>
    <n v="1"/>
    <d v="2026-08-04T14:08:13"/>
    <d v="2026-08-04T14:08:13"/>
    <s v="Jeremy Tucker"/>
    <s v="Missing Email"/>
    <m/>
    <x v="11"/>
    <s v="Electronics"/>
    <x v="12"/>
    <n v="1"/>
    <n v="21.99"/>
    <n v="21.99"/>
    <s v="VIP15"/>
    <s v="VIP15"/>
    <n v="3.3"/>
    <n v="3.3"/>
    <s v="Number"/>
    <n v="4.99"/>
    <n v="4.99"/>
    <n v="23.68"/>
    <n v="23.68"/>
    <n v="23.68"/>
    <s v="True"/>
    <s v="Normal"/>
    <s v="Google Pay"/>
    <s v="Online Store"/>
    <s v="fulfilled"/>
    <s v="United States"/>
    <s v="Georgia"/>
    <s v="Valid"/>
    <s v="Prattfurt"/>
  </r>
  <r>
    <s v="#2918"/>
    <n v="1"/>
    <d v="2026-08-04T00:00:00"/>
    <s v="04-08-2026 14:02"/>
    <s v="Dustin Mccoy"/>
    <s v="Email Available"/>
    <s v="dustin.mccoy570@gmail.com"/>
    <x v="11"/>
    <s v="Electronics"/>
    <x v="12"/>
    <n v="1"/>
    <n v="21.99"/>
    <n v="21.99"/>
    <m/>
    <s v=""/>
    <n v="0"/>
    <n v="0"/>
    <s v="Number"/>
    <n v="5.99"/>
    <n v="5.99"/>
    <n v="27.98"/>
    <n v="27.98"/>
    <n v="27.979999999999997"/>
    <s v="True"/>
    <s v="Normal"/>
    <s v="Credit Card"/>
    <s v="Online Store"/>
    <s v="fulfilled"/>
    <s v="Canada"/>
    <m/>
    <s v="Not Required"/>
    <s v="New Justin"/>
  </r>
  <r>
    <s v="#2938"/>
    <n v="1"/>
    <d v="2026-08-04T14:05:43"/>
    <d v="2026-08-04T14:05:43"/>
    <s v="Barbara Brown"/>
    <s v="Email Available"/>
    <s v="barbara.brown26@gmail.com"/>
    <x v="11"/>
    <s v="Electronics"/>
    <x v="12"/>
    <n v="1"/>
    <s v="$21.99"/>
    <n v="21.99"/>
    <s v="WELCOME10"/>
    <s v="WELCOME10"/>
    <n v="2.2000000000000002"/>
    <n v="2.2000000000000002"/>
    <s v="Number"/>
    <n v="7.99"/>
    <n v="7.99"/>
    <n v="27.78"/>
    <n v="27.78"/>
    <n v="27.78"/>
    <s v="True"/>
    <s v="Normal"/>
    <s v="Shopify Payments"/>
    <s v="Online Store"/>
    <s v="fulfilled"/>
    <s v="United States"/>
    <s v="Georgia"/>
    <s v="Valid"/>
    <s v="Rogersborough"/>
  </r>
  <r>
    <s v="#2967"/>
    <n v="1"/>
    <d v="2026-08-04T14:07:13"/>
    <d v="2026-08-04T14:07:13"/>
    <s v="Rebecca Watts"/>
    <s v="Email Available"/>
    <s v="rebecca.watts779@gmail.com"/>
    <x v="11"/>
    <s v="Electronics"/>
    <x v="12"/>
    <n v="1"/>
    <n v="21.99"/>
    <n v="21.99"/>
    <s v="FREESHIP"/>
    <s v="FREESHIP"/>
    <n v="0"/>
    <n v="0"/>
    <s v="Number"/>
    <n v="0"/>
    <n v="0"/>
    <n v="21.99"/>
    <n v="21.99"/>
    <n v="21.99"/>
    <s v="True"/>
    <s v="Normal"/>
    <s v="Credit Card"/>
    <s v="Online Store"/>
    <s v="pending"/>
    <s v="United States"/>
    <s v="Arizona"/>
    <s v="Valid"/>
    <s v="South Donna"/>
  </r>
  <r>
    <s v="#2993"/>
    <n v="1"/>
    <d v="2026-08-04T13:58:10"/>
    <d v="2026-08-04T13:58:10"/>
    <s v="Rebecca Watts"/>
    <s v="Email Available"/>
    <s v="rebecca.watts779@gmail.com"/>
    <x v="11"/>
    <s v="Electronics"/>
    <x v="12"/>
    <n v="1"/>
    <n v="21.99"/>
    <n v="21.99"/>
    <m/>
    <s v=""/>
    <n v="0"/>
    <n v="0"/>
    <s v="Number"/>
    <n v="4.99"/>
    <n v="4.99"/>
    <n v="26.98"/>
    <n v="26.98"/>
    <n v="26.979999999999997"/>
    <s v="True"/>
    <s v="Normal"/>
    <s v="Apple Pay"/>
    <s v="Online Store"/>
    <s v="pending"/>
    <s v="United States"/>
    <s v="FL"/>
    <s v="Valid"/>
    <s v="Smithmouth"/>
  </r>
  <r>
    <s v="#1013"/>
    <n v="1"/>
    <d v="2026-08-04T14:02:41"/>
    <d v="2026-08-04T14:02:41"/>
    <s v="Anthony Patterson"/>
    <s v="Email Available"/>
    <s v="anthony.patterson944@gmail.com"/>
    <x v="12"/>
    <s v="Sports &amp; Outdoors"/>
    <x v="13"/>
    <n v="1"/>
    <n v="13.99"/>
    <n v="13.99"/>
    <s v="SAVE20"/>
    <s v="SAVE20"/>
    <n v="2.8"/>
    <n v="2.8"/>
    <s v="Number"/>
    <n v="5.99"/>
    <n v="5.99"/>
    <n v="17.18"/>
    <n v="17.18"/>
    <n v="17.18"/>
    <s v="True"/>
    <s v="Normal"/>
    <s v="Apple Pay"/>
    <s v="Instagram"/>
    <s v="cancelled"/>
    <s v="Pakistan"/>
    <m/>
    <s v="Not Required"/>
    <s v="West Denisemouth"/>
  </r>
  <r>
    <s v="#1034"/>
    <n v="1"/>
    <d v="2026-08-04T13:55:46"/>
    <d v="2026-08-04T13:55:46"/>
    <s v="Amy Barnett"/>
    <s v="Missing Email"/>
    <m/>
    <x v="12"/>
    <s v="Sports &amp; Outdoors"/>
    <x v="13"/>
    <n v="2"/>
    <n v="13.99"/>
    <n v="13.99"/>
    <s v="WELCOME10"/>
    <s v="WELCOME10"/>
    <n v="2.8"/>
    <n v="2.8"/>
    <s v="Number"/>
    <n v="4.99"/>
    <n v="4.99"/>
    <n v="30.17"/>
    <n v="30.17"/>
    <n v="30.17"/>
    <s v="True"/>
    <s v="Normal"/>
    <s v="Shopify Payments"/>
    <s v="Online Store"/>
    <s v="fulfilled"/>
    <s v="Pakistan"/>
    <m/>
    <s v="Not Required"/>
    <s v="Joshuaborough"/>
  </r>
  <r>
    <s v="#1050"/>
    <n v="1"/>
    <d v="2026-08-04T14:01:55"/>
    <d v="2026-08-04T14:01:55"/>
    <s v="Tina Singh"/>
    <s v="Email Available"/>
    <s v="tina.singh98@icloud.com"/>
    <x v="12"/>
    <s v="Sports &amp; Outdoors"/>
    <x v="13"/>
    <n v="1"/>
    <n v="13.99"/>
    <n v="13.99"/>
    <s v="BFCM25"/>
    <s v="BFCM25"/>
    <n v="3.5"/>
    <n v="3.5"/>
    <s v="Number"/>
    <n v="4.99"/>
    <n v="4.99"/>
    <n v="15.48"/>
    <n v="15.48"/>
    <n v="15.48"/>
    <s v="True"/>
    <s v="Normal"/>
    <s v="Shopify Payments"/>
    <s v="Online Store"/>
    <s v="fulfilled"/>
    <s v="United States"/>
    <s v="Texas"/>
    <s v="Valid"/>
    <s v="Port Angela"/>
  </r>
  <r>
    <s v="#1139"/>
    <n v="1"/>
    <d v="2026-04-08T00:00:00"/>
    <s v="08/04/2026"/>
    <s v="Rose Campos"/>
    <s v="Email Available"/>
    <s v="rose.campos542@gmail.com"/>
    <x v="12"/>
    <s v="Sports &amp; Outdoors"/>
    <x v="13"/>
    <n v="1"/>
    <n v="13.99"/>
    <n v="13.99"/>
    <s v="BFCM25"/>
    <s v="BFCM25"/>
    <n v="3.5"/>
    <n v="3.5"/>
    <s v="Number"/>
    <n v="5.99"/>
    <n v="5.99"/>
    <n v="16.48"/>
    <n v="16.48"/>
    <n v="16.48"/>
    <s v="True"/>
    <s v="Normal"/>
    <s v="PayPal"/>
    <s v="Online Store"/>
    <s v="fulfilled"/>
    <s v="Canada"/>
    <m/>
    <s v="Not Required"/>
    <s v="Williamside"/>
  </r>
  <r>
    <s v="#1142"/>
    <n v="1"/>
    <d v="2026-08-04T14:00:03"/>
    <d v="2026-08-04T14:00:03"/>
    <m/>
    <s v="Email Available"/>
    <s v="karen.bautista779@icloud.com"/>
    <x v="12"/>
    <s v="Sports &amp; Outdoors"/>
    <x v="13"/>
    <n v="2"/>
    <n v="13.99"/>
    <n v="13.99"/>
    <s v="FREESHIP"/>
    <s v="FREESHIP"/>
    <n v="0"/>
    <n v="0"/>
    <s v="Number"/>
    <n v="0"/>
    <n v="0"/>
    <n v="27.98"/>
    <n v="27.98"/>
    <n v="27.98"/>
    <s v="True"/>
    <s v="Normal"/>
    <s v="Credit Card"/>
    <s v="POS"/>
    <s v="fulfilled"/>
    <s v="United States"/>
    <s v="TX"/>
    <s v="Valid"/>
    <s v="Lake Katherine"/>
  </r>
  <r>
    <s v="#1145"/>
    <n v="1"/>
    <d v="2026-08-04T00:00:00"/>
    <s v="2026-08-04"/>
    <s v="Jose Ingram"/>
    <s v="Email Available"/>
    <s v="jose.ingram37@gmail.com"/>
    <x v="12"/>
    <s v="Sports &amp; Outdoors"/>
    <x v="13"/>
    <n v="1"/>
    <n v="13.99"/>
    <n v="13.99"/>
    <s v="SAVE20"/>
    <s v="SAVE20"/>
    <n v="2.8"/>
    <n v="2.8"/>
    <s v="Number"/>
    <n v="7.99"/>
    <n v="7.99"/>
    <n v="19.18"/>
    <n v="19.18"/>
    <n v="19.18"/>
    <s v="True"/>
    <s v="Normal"/>
    <s v="Apple Pay"/>
    <s v="Instagram"/>
    <s v="fulfilled"/>
    <s v="United States"/>
    <s v="California"/>
    <s v="Valid"/>
    <s v="Sandersstad"/>
  </r>
  <r>
    <s v="#1171"/>
    <n v="1"/>
    <d v="2026-08-04T14:07:11"/>
    <d v="2026-08-04T14:07:11"/>
    <s v="Lori Davis"/>
    <s v="Email Available"/>
    <s v="lori.davis757@yahoo.com"/>
    <x v="12"/>
    <s v="Sports &amp; Outdoors"/>
    <x v="13"/>
    <n v="1"/>
    <n v="13.99"/>
    <n v="13.99"/>
    <m/>
    <s v=""/>
    <n v="0"/>
    <n v="0"/>
    <s v="Number"/>
    <n v="5.99"/>
    <n v="5.99"/>
    <n v="19.98"/>
    <n v="19.98"/>
    <n v="19.98"/>
    <s v="True"/>
    <s v="Normal"/>
    <s v="Google Pay"/>
    <s v="Facebook"/>
    <s v="fulfilled"/>
    <s v="Germany"/>
    <m/>
    <s v="Not Required"/>
    <s v="Amyburgh"/>
  </r>
  <r>
    <s v="#1277"/>
    <n v="1"/>
    <d v="2026-08-04T14:00:01"/>
    <d v="2026-08-04T14:00:01"/>
    <s v="Vincent Rosales"/>
    <s v="Email Available"/>
    <s v="vincent.rosales30@icloud.com"/>
    <x v="12"/>
    <s v="Sports &amp; Outdoors"/>
    <x v="13"/>
    <n v="1"/>
    <s v="$13.99"/>
    <n v="13.99"/>
    <m/>
    <s v=""/>
    <n v="0"/>
    <n v="0"/>
    <s v="Number"/>
    <n v="7.99"/>
    <n v="7.99"/>
    <n v="21.98"/>
    <n v="21.98"/>
    <n v="21.98"/>
    <s v="True"/>
    <s v="Normal"/>
    <s v="Credit Card"/>
    <s v="Instagram"/>
    <s v="fulfilled"/>
    <s v="United States"/>
    <s v="Ohio"/>
    <s v="Valid"/>
    <s v="Mcdonaldhaven"/>
  </r>
  <r>
    <s v="#1299"/>
    <n v="1"/>
    <d v="2026-08-04T13:54:08"/>
    <d v="2026-08-04T13:54:08"/>
    <s v="Devin Jones"/>
    <s v="Email Available"/>
    <s v="devin.jones807@yahoo.com"/>
    <x v="12"/>
    <s v="Sports &amp; Outdoors"/>
    <x v="13"/>
    <n v="1"/>
    <s v="$13.99"/>
    <n v="13.99"/>
    <m/>
    <s v=""/>
    <n v="0"/>
    <n v="0"/>
    <s v="Number"/>
    <n v="4.99"/>
    <n v="4.99"/>
    <n v="18.98"/>
    <n v="18.98"/>
    <n v="18.98"/>
    <s v="True"/>
    <s v="Normal"/>
    <s v="Credit Card"/>
    <s v="POS"/>
    <s v="fulfilled"/>
    <s v="Pakistan"/>
    <m/>
    <s v="Not Required"/>
    <s v="Huffmanfurt"/>
  </r>
  <r>
    <s v="#1367"/>
    <n v="1"/>
    <d v="2026-04-08T00:00:00"/>
    <s v="08/04/2026"/>
    <s v="Andrew Cross"/>
    <s v="Email Available"/>
    <s v="andrew.cross512@yahoo.com"/>
    <x v="12"/>
    <s v="Sports &amp; Outdoors"/>
    <x v="13"/>
    <n v="1"/>
    <n v="13.99"/>
    <n v="13.99"/>
    <m/>
    <s v=""/>
    <n v="0"/>
    <n v="0"/>
    <s v="Number"/>
    <n v="4.99"/>
    <n v="4.99"/>
    <n v="18.98"/>
    <n v="18.98"/>
    <n v="18.98"/>
    <s v="True"/>
    <s v="Normal"/>
    <s v="PayPal"/>
    <s v="Online Store"/>
    <s v="refunded"/>
    <s v="United States"/>
    <s v="North Carolina"/>
    <s v="Valid"/>
    <s v="New Melissabury"/>
  </r>
  <r>
    <s v="#1422"/>
    <n v="1"/>
    <d v="2026-08-04T13:56:26"/>
    <d v="2026-08-04T13:56:26"/>
    <s v="Charles Franco"/>
    <s v="Email Available"/>
    <s v="charles.franco761@outlook.com"/>
    <x v="12"/>
    <s v="Sports &amp; Outdoors"/>
    <x v="13"/>
    <n v="1"/>
    <n v="13.99"/>
    <n v="13.99"/>
    <m/>
    <s v=""/>
    <n v="0"/>
    <n v="0"/>
    <s v="Number"/>
    <n v="4.99"/>
    <n v="4.99"/>
    <n v="18.98"/>
    <n v="18.98"/>
    <n v="18.98"/>
    <s v="True"/>
    <s v="Normal"/>
    <s v="Apple Pay"/>
    <s v="Online Store"/>
    <s v="cancelled"/>
    <s v="United States"/>
    <s v="California"/>
    <s v="Valid"/>
    <s v="Nicolestad"/>
  </r>
  <r>
    <s v="#1433"/>
    <n v="1"/>
    <d v="2026-08-04T00:00:00"/>
    <s v="04-08-2026 14:07"/>
    <s v="Timothy Weaver"/>
    <s v="Email Available"/>
    <s v="timothy.weaver591@gmail.com"/>
    <x v="12"/>
    <s v="Sports &amp; Outdoors"/>
    <x v="13"/>
    <n v="1"/>
    <n v="13.99"/>
    <n v="13.99"/>
    <s v="VIP15"/>
    <s v="VIP15"/>
    <n v="2.1"/>
    <n v="2.1"/>
    <s v="Number"/>
    <n v="4.99"/>
    <n v="4.99"/>
    <n v="16.88"/>
    <n v="16.88"/>
    <n v="16.880000000000003"/>
    <s v="True"/>
    <s v="Normal"/>
    <s v="Credit Card"/>
    <s v="Instagram"/>
    <s v="fulfilled"/>
    <s v="Australia"/>
    <m/>
    <s v="Not Required"/>
    <s v="North Reginaside"/>
  </r>
  <r>
    <s v="#1461"/>
    <n v="1"/>
    <d v="2026-08-04T14:02:10"/>
    <d v="2026-08-04T14:02:10"/>
    <s v="Matthew Newman"/>
    <s v="Email Available"/>
    <s v="matthew.newman714@gmail.com"/>
    <x v="12"/>
    <s v="Sports &amp; Outdoors"/>
    <x v="13"/>
    <n v="1"/>
    <n v="13.99"/>
    <n v="13.99"/>
    <s v="WELCOME10"/>
    <s v="WELCOME10"/>
    <s v="$1.40"/>
    <n v="1.4"/>
    <s v="Number"/>
    <n v="4.99"/>
    <n v="4.99"/>
    <n v="17.579999999999998"/>
    <n v="17.579999999999998"/>
    <n v="17.579999999999998"/>
    <s v="True"/>
    <s v="Normal"/>
    <s v="Shopify Payments"/>
    <s v="Online Store"/>
    <s v="fulfilled"/>
    <s v="Germany"/>
    <m/>
    <s v="Not Required"/>
    <s v="Michaelborough"/>
  </r>
  <r>
    <s v="#1501"/>
    <n v="1"/>
    <d v="2026-08-04T13:56:31"/>
    <d v="2026-08-04T13:56:31"/>
    <s v="Darin Alvarez"/>
    <s v="Email Available"/>
    <s v="darin.alvarez843@gmail.com"/>
    <x v="12"/>
    <s v="Sports &amp; Outdoors"/>
    <x v="13"/>
    <n v="2"/>
    <s v="$13.99"/>
    <n v="13.99"/>
    <s v="SAVE20"/>
    <s v="SAVE20"/>
    <n v="5.6"/>
    <n v="5.6"/>
    <s v="Number"/>
    <n v="7.99"/>
    <n v="7.99"/>
    <n v="30.37"/>
    <n v="30.37"/>
    <n v="30.370000000000005"/>
    <s v="True"/>
    <s v="Normal"/>
    <s v="Apple Pay"/>
    <s v="Facebook"/>
    <s v="fulfilled"/>
    <s v="Canada"/>
    <m/>
    <s v="Not Required"/>
    <s v="East Taylorfurt"/>
  </r>
  <r>
    <s v="#1506"/>
    <n v="1"/>
    <d v="2026-08-04T13:58:39"/>
    <d v="2026-08-04T13:58:39"/>
    <s v="Patrick Richardson"/>
    <s v="Email Available"/>
    <s v="patrick.richardson270@icloud.com"/>
    <x v="12"/>
    <s v="Sports &amp; Outdoors"/>
    <x v="13"/>
    <n v="2"/>
    <n v="13.99"/>
    <n v="13.99"/>
    <s v="SAVE20"/>
    <s v="SAVE20"/>
    <n v="5.6"/>
    <n v="5.6"/>
    <s v="Number"/>
    <n v="7.99"/>
    <n v="7.99"/>
    <n v="30.37"/>
    <n v="30.37"/>
    <n v="30.370000000000005"/>
    <s v="True"/>
    <s v="Normal"/>
    <s v="Apple Pay"/>
    <s v="Online Store"/>
    <s v="fulfilled"/>
    <s v="United States"/>
    <s v="Ohio"/>
    <s v="Valid"/>
    <s v="New Stephen"/>
  </r>
  <r>
    <s v="#1517"/>
    <n v="1"/>
    <d v="2026-08-04T00:00:00"/>
    <s v="04-08-2026 14:00"/>
    <s v="Justin Mcguire"/>
    <s v="Email Available"/>
    <s v="justin.mcguire224@icloud.com"/>
    <x v="12"/>
    <s v="Sports &amp; Outdoors"/>
    <x v="13"/>
    <n v="1"/>
    <s v="$13.99"/>
    <n v="13.99"/>
    <m/>
    <s v=""/>
    <n v="0"/>
    <n v="0"/>
    <s v="Number"/>
    <n v="4.99"/>
    <n v="4.99"/>
    <n v="18.98"/>
    <n v="18.98"/>
    <n v="18.98"/>
    <s v="True"/>
    <s v="Normal"/>
    <s v="Google Pay"/>
    <s v="Online Store"/>
    <s v="pending"/>
    <s v="United States"/>
    <s v="Georgia"/>
    <s v="Valid"/>
    <s v="Lake Lisa"/>
  </r>
  <r>
    <s v="#1528"/>
    <n v="1"/>
    <d v="2026-08-04T14:03:12"/>
    <d v="2026-08-04T14:03:12"/>
    <s v="Nicole Taylor"/>
    <s v="Email Available"/>
    <s v="nicole.taylor607@icloud.com"/>
    <x v="12"/>
    <s v="Sports &amp; Outdoors"/>
    <x v="13"/>
    <n v="1"/>
    <n v="13.99"/>
    <n v="13.99"/>
    <m/>
    <s v=""/>
    <n v="0"/>
    <n v="0"/>
    <s v="Number"/>
    <n v="5.99"/>
    <n v="5.99"/>
    <s v="$19.98"/>
    <n v="19.98"/>
    <n v="19.98"/>
    <s v="True"/>
    <s v="Normal"/>
    <s v="Google Pay"/>
    <s v="Instagram"/>
    <s v="refunded"/>
    <s v="United States"/>
    <s v="Florida"/>
    <s v="Valid"/>
    <s v="Phillipsmouth"/>
  </r>
  <r>
    <s v="#1536"/>
    <n v="1"/>
    <d v="2026-08-04T14:02:52"/>
    <d v="2026-08-04T14:02:52"/>
    <s v="Nicholas Jarvis"/>
    <s v="Email Available"/>
    <s v="nicholas.jarvis112@icloud.com"/>
    <x v="12"/>
    <s v="Sports &amp; Outdoors"/>
    <x v="13"/>
    <n v="1"/>
    <n v="13.99"/>
    <n v="13.99"/>
    <s v="SAVE20"/>
    <s v="SAVE20"/>
    <n v="2.8"/>
    <n v="2.8"/>
    <s v="Number"/>
    <n v="7.99"/>
    <n v="7.99"/>
    <n v="19.18"/>
    <n v="19.18"/>
    <n v="19.18"/>
    <s v="True"/>
    <s v="Normal"/>
    <s v="Shopify Payments"/>
    <s v="POS"/>
    <s v="pending"/>
    <s v="Canada"/>
    <m/>
    <s v="Not Required"/>
    <s v="Angelatown"/>
  </r>
  <r>
    <s v="#1555"/>
    <n v="1"/>
    <d v="2026-08-04T14:08:10"/>
    <d v="2026-08-04T14:08:10"/>
    <s v="Samantha Robinson"/>
    <s v="Email Available"/>
    <s v="samantha.robinson35@icloud.com"/>
    <x v="12"/>
    <s v="Sports &amp; Outdoors"/>
    <x v="13"/>
    <n v="2"/>
    <n v="13.99"/>
    <n v="13.99"/>
    <m/>
    <s v=""/>
    <n v="0"/>
    <n v="0"/>
    <s v="Number"/>
    <n v="5.99"/>
    <n v="5.99"/>
    <s v="$33.97"/>
    <n v="33.97"/>
    <n v="33.97"/>
    <s v="True"/>
    <s v="Normal"/>
    <s v="Apple Pay"/>
    <s v="Online Store"/>
    <s v="pending"/>
    <s v="Australia"/>
    <m/>
    <s v="Not Required"/>
    <s v="Lake Kaylee"/>
  </r>
  <r>
    <s v="#1584"/>
    <n v="1"/>
    <d v="2026-08-04T14:04:11"/>
    <d v="2026-08-04T14:04:11"/>
    <s v="Brian Ruiz"/>
    <s v="Email Available"/>
    <s v="brian.ruiz246@gmail.com"/>
    <x v="12"/>
    <s v="Sports &amp; Outdoors"/>
    <x v="13"/>
    <n v="2"/>
    <n v="13.99"/>
    <n v="13.99"/>
    <m/>
    <s v=""/>
    <n v="0"/>
    <n v="0"/>
    <s v="Number"/>
    <n v="4.99"/>
    <n v="4.99"/>
    <n v="32.97"/>
    <n v="32.97"/>
    <n v="32.97"/>
    <s v="True"/>
    <s v="Normal"/>
    <s v="Credit Card"/>
    <s v="Facebook"/>
    <s v="fulfilled"/>
    <s v="Germany"/>
    <m/>
    <s v="Not Required"/>
    <s v="Leahfort"/>
  </r>
  <r>
    <s v="#1585"/>
    <n v="1"/>
    <d v="2026-08-04T14:03:26"/>
    <d v="2026-08-04T14:03:26"/>
    <s v="Ronald Johnson"/>
    <s v="Email Available"/>
    <s v="ronald.johnson972@icloud.com"/>
    <x v="12"/>
    <s v="Sports &amp; Outdoors"/>
    <x v="13"/>
    <n v="1"/>
    <n v="13.99"/>
    <n v="13.99"/>
    <s v="SAVE20"/>
    <s v="SAVE20"/>
    <n v="2.8"/>
    <n v="2.8"/>
    <s v="Number"/>
    <n v="4.99"/>
    <n v="4.99"/>
    <n v="16.18"/>
    <n v="16.18"/>
    <n v="16.18"/>
    <s v="True"/>
    <s v="Normal"/>
    <s v="Credit Card"/>
    <s v="Online Store"/>
    <s v="fulfilled"/>
    <s v="Germany"/>
    <m/>
    <s v="Not Required"/>
    <s v="Hamptonbury"/>
  </r>
  <r>
    <s v="#1587"/>
    <n v="1"/>
    <d v="2026-04-08T00:00:00"/>
    <s v="08/04/2026"/>
    <s v="Lauren Nguyen"/>
    <s v="Email Available"/>
    <s v="lauren.nguyen819@outlook.com"/>
    <x v="12"/>
    <s v="Sports &amp; Outdoors"/>
    <x v="13"/>
    <n v="1"/>
    <n v="13.99"/>
    <n v="13.99"/>
    <m/>
    <s v=""/>
    <n v="0"/>
    <n v="0"/>
    <s v="Number"/>
    <n v="4.99"/>
    <n v="4.99"/>
    <n v="18.98"/>
    <n v="18.98"/>
    <n v="18.98"/>
    <s v="True"/>
    <s v="Normal"/>
    <s v="Google Pay"/>
    <s v="Instagram"/>
    <s v="refunded"/>
    <s v="United Kingdom"/>
    <m/>
    <s v="Not Required"/>
    <s v="Lake Ashley"/>
  </r>
  <r>
    <s v="#1601"/>
    <n v="1"/>
    <d v="2026-08-04T14:07:21"/>
    <d v="2026-08-04T14:07:21"/>
    <s v="Tasha Morales"/>
    <s v="Email Available"/>
    <s v="tasha.morales378@outlook.com"/>
    <x v="12"/>
    <s v="Sports &amp; Outdoors"/>
    <x v="13"/>
    <n v="1"/>
    <n v="13.99"/>
    <n v="13.99"/>
    <s v="WELCOME10"/>
    <s v="WELCOME10"/>
    <n v="1.4"/>
    <n v="1.4"/>
    <s v="Number"/>
    <n v="5.99"/>
    <n v="5.99"/>
    <n v="18.579999999999998"/>
    <n v="18.579999999999998"/>
    <n v="18.579999999999998"/>
    <s v="True"/>
    <s v="Normal"/>
    <s v="PayPal"/>
    <s v="Online Store"/>
    <s v="cancelled"/>
    <s v="United States"/>
    <s v="Arizona"/>
    <s v="Valid"/>
    <s v="New Katherine"/>
  </r>
  <r>
    <s v="#1654"/>
    <n v="1"/>
    <d v="2026-04-08T00:00:00"/>
    <s v="08/04/2026"/>
    <s v="Cheryl Coleman"/>
    <s v="Email Available"/>
    <s v="cheryl.coleman261@icloud.com"/>
    <x v="12"/>
    <s v="Sports &amp; Outdoors"/>
    <x v="13"/>
    <n v="1"/>
    <n v="13.99"/>
    <n v="13.99"/>
    <m/>
    <s v=""/>
    <n v="0"/>
    <n v="0"/>
    <s v="Number"/>
    <n v="4.99"/>
    <n v="4.99"/>
    <n v="18.98"/>
    <n v="18.98"/>
    <n v="18.98"/>
    <s v="True"/>
    <s v="Normal"/>
    <s v="Shopify Payments"/>
    <s v="Instagram"/>
    <s v="pending"/>
    <s v="Pakistan"/>
    <m/>
    <s v="Not Required"/>
    <s v="Meganfort"/>
  </r>
  <r>
    <s v="#1662"/>
    <n v="1"/>
    <d v="2026-08-04T14:07:23"/>
    <d v="2026-08-04T14:07:23"/>
    <s v="Johnathan Sloan"/>
    <s v="Email Available"/>
    <s v="johnathan.sloan721@outlook.com"/>
    <x v="12"/>
    <s v="Sports &amp; Outdoors"/>
    <x v="13"/>
    <n v="1"/>
    <n v="13.99"/>
    <n v="13.99"/>
    <s v="SAVE20 "/>
    <s v="SAVE20"/>
    <n v="2.8"/>
    <n v="2.8"/>
    <s v="Number"/>
    <n v="7.99"/>
    <n v="7.99"/>
    <n v="19.18"/>
    <n v="19.18"/>
    <n v="19.18"/>
    <s v="True"/>
    <s v="Normal"/>
    <s v="Google Pay"/>
    <s v="Online Store"/>
    <s v="fulfilled"/>
    <s v="Pakistan"/>
    <m/>
    <s v="Not Required"/>
    <s v="North Jefferyberg"/>
  </r>
  <r>
    <s v="#1664"/>
    <n v="1"/>
    <d v="2026-08-04T13:57:52"/>
    <d v="2026-08-04T13:57:52"/>
    <s v="Dustin Mccoy"/>
    <s v="Email Available"/>
    <s v="dustin.mccoy570@gmail.com"/>
    <x v="12"/>
    <s v="Sports &amp; Outdoors"/>
    <x v="13"/>
    <n v="1"/>
    <n v="13.99"/>
    <n v="13.99"/>
    <s v="BFCM25"/>
    <s v="BFCM25"/>
    <n v="3.5"/>
    <n v="3.5"/>
    <s v="Number"/>
    <n v="4.99"/>
    <n v="4.99"/>
    <n v="15.48"/>
    <n v="15.48"/>
    <n v="15.48"/>
    <s v="True"/>
    <s v="Normal"/>
    <s v="Apple Pay"/>
    <s v="Online Store"/>
    <s v="fulfilled"/>
    <s v="Canada"/>
    <m/>
    <s v="Not Required"/>
    <s v="Larryfort"/>
  </r>
  <r>
    <s v="#1712"/>
    <n v="1"/>
    <d v="2026-08-04T13:59:48"/>
    <d v="2026-08-04T13:59:48"/>
    <s v="David Hayden"/>
    <s v="Email Available"/>
    <s v="david.hayden411@outlook.com"/>
    <x v="12"/>
    <s v="Sports &amp; Outdoors"/>
    <x v="13"/>
    <n v="1"/>
    <n v="13.99"/>
    <n v="13.99"/>
    <s v="SAVE20"/>
    <s v="SAVE20"/>
    <n v="2.8"/>
    <n v="2.8"/>
    <s v="Number"/>
    <n v="5.99"/>
    <n v="5.99"/>
    <n v="17.18"/>
    <n v="17.18"/>
    <n v="17.18"/>
    <s v="True"/>
    <s v="Normal"/>
    <s v="Apple Pay"/>
    <s v="Facebook"/>
    <s v="cancelled"/>
    <s v="Australia"/>
    <m/>
    <s v="Not Required"/>
    <s v="New Daniel"/>
  </r>
  <r>
    <s v="#1739"/>
    <n v="1"/>
    <d v="2026-08-04T14:01:23"/>
    <d v="2026-08-04T14:01:23"/>
    <s v="Joshua Medina"/>
    <s v="Email Available"/>
    <s v="joshua.medina38@yahoo.com"/>
    <x v="12"/>
    <s v="Sports &amp; Outdoors"/>
    <x v="13"/>
    <n v="1"/>
    <n v="13.99"/>
    <n v="13.99"/>
    <m/>
    <s v=""/>
    <n v="0"/>
    <n v="0"/>
    <s v="Number"/>
    <n v="4.99"/>
    <n v="4.99"/>
    <n v="18.98"/>
    <n v="18.98"/>
    <n v="18.98"/>
    <s v="True"/>
    <s v="Normal"/>
    <s v="Apple Pay"/>
    <s v="Online Store"/>
    <s v="refunded"/>
    <s v="United Kingdom"/>
    <m/>
    <s v="Not Required"/>
    <s v="Lake Jamesbury"/>
  </r>
  <r>
    <s v="#1792"/>
    <n v="1"/>
    <d v="2026-04-08T00:00:00"/>
    <s v="08/04/2026"/>
    <s v="Karen Bautista"/>
    <s v="Email Available"/>
    <s v="karen.bautista779@icloud.com"/>
    <x v="12"/>
    <s v="Sports &amp; Outdoors"/>
    <x v="13"/>
    <n v="1"/>
    <n v="13.99"/>
    <n v="13.99"/>
    <s v="BFCM25"/>
    <s v="BFCM25"/>
    <n v="3.5"/>
    <n v="3.5"/>
    <s v="Number"/>
    <n v="7.99"/>
    <n v="7.99"/>
    <n v="18.48"/>
    <n v="18.48"/>
    <n v="18.48"/>
    <s v="True"/>
    <s v="Normal"/>
    <s v="Credit Card"/>
    <s v="Online Store"/>
    <s v="fulfilled"/>
    <s v="United States"/>
    <s v="Arizona"/>
    <s v="Valid"/>
    <s v="Boylechester"/>
  </r>
  <r>
    <s v="#1820"/>
    <n v="1"/>
    <d v="2026-08-04T00:00:00"/>
    <s v="Aug 04, 2026"/>
    <s v="Albert Phillips"/>
    <s v="Email Available"/>
    <s v="albert.phillips237@gmail.com"/>
    <x v="12"/>
    <s v="Sports &amp; Outdoors"/>
    <x v="13"/>
    <n v="1"/>
    <n v="13.99"/>
    <n v="13.99"/>
    <s v="WELCOME10"/>
    <s v="WELCOME10"/>
    <s v="$1.40"/>
    <n v="1.4"/>
    <s v="Number"/>
    <n v="7.99"/>
    <n v="7.99"/>
    <s v="$20.58"/>
    <n v="20.58"/>
    <n v="20.58"/>
    <s v="True"/>
    <s v="Normal"/>
    <s v="Apple Pay"/>
    <s v="Online Store"/>
    <s v="fulfilled"/>
    <s v="United States"/>
    <s v="North Carolina"/>
    <s v="Valid"/>
    <s v="Berrystad"/>
  </r>
  <r>
    <s v="#1851"/>
    <n v="1"/>
    <d v="2026-08-04T14:01:08"/>
    <d v="2026-08-04T14:01:08"/>
    <s v="Joshua Miller"/>
    <s v="Email Available"/>
    <s v="joshua.miller362@gmail.com"/>
    <x v="12"/>
    <s v="Sports &amp; Outdoors"/>
    <x v="13"/>
    <n v="2"/>
    <n v="13.99"/>
    <n v="13.99"/>
    <s v="SAVE20"/>
    <s v="SAVE20"/>
    <n v="5.6"/>
    <n v="5.6"/>
    <s v="Number"/>
    <n v="7.99"/>
    <n v="7.99"/>
    <n v="30.37"/>
    <n v="30.37"/>
    <n v="30.370000000000005"/>
    <s v="True"/>
    <s v="Normal"/>
    <s v="PayPal"/>
    <s v="POS"/>
    <s v="cancelled"/>
    <s v="Canada"/>
    <m/>
    <s v="Not Required"/>
    <s v="Jonesfort"/>
  </r>
  <r>
    <s v="#1868"/>
    <n v="1"/>
    <d v="2026-08-04T00:00:00"/>
    <s v="2026-08-04"/>
    <s v="Kayla Cruz"/>
    <s v="Email Available"/>
    <s v="kayla.cruz151@outlook.com"/>
    <x v="12"/>
    <s v="Sports &amp; Outdoors"/>
    <x v="13"/>
    <n v="1"/>
    <n v="13.99"/>
    <n v="13.99"/>
    <s v="SAVE20"/>
    <s v="SAVE20"/>
    <s v="$2.80"/>
    <n v="2.8"/>
    <s v="Number"/>
    <n v="4.99"/>
    <n v="4.99"/>
    <n v="16.18"/>
    <n v="16.18"/>
    <n v="16.18"/>
    <s v="True"/>
    <s v="Normal"/>
    <s v="Google Pay"/>
    <s v="Online Store"/>
    <s v="fulfilled"/>
    <s v="Pakistan"/>
    <m/>
    <s v="Not Required"/>
    <s v="West Amber"/>
  </r>
  <r>
    <s v="#1922"/>
    <n v="1"/>
    <d v="2026-08-04T14:03:00"/>
    <d v="2026-08-04T14:03:00"/>
    <s v="Brian Ruiz"/>
    <s v="Email Available"/>
    <s v="brian.ruiz246@gmail.com"/>
    <x v="12"/>
    <s v="Sports &amp; Outdoors"/>
    <x v="13"/>
    <n v="1"/>
    <n v="13.99"/>
    <n v="13.99"/>
    <s v="SAVE20"/>
    <s v="SAVE20"/>
    <n v="2.8"/>
    <n v="2.8"/>
    <s v="Number"/>
    <n v="5.99"/>
    <n v="5.99"/>
    <s v="$17.18"/>
    <n v="17.18"/>
    <n v="17.18"/>
    <s v="True"/>
    <s v="Normal"/>
    <s v="Google Pay"/>
    <s v="Online Store"/>
    <s v="pending"/>
    <s v="Germany"/>
    <m/>
    <s v="Not Required"/>
    <s v="Lake Jodi"/>
  </r>
  <r>
    <s v="#1956"/>
    <n v="1"/>
    <d v="2026-08-04T13:56:36"/>
    <d v="2026-08-04T13:56:36"/>
    <s v="Jacob Gibbs"/>
    <s v="Email Available"/>
    <s v="jacob.gibbs527@gmail.com"/>
    <x v="12"/>
    <s v="Sports &amp; Outdoors"/>
    <x v="13"/>
    <n v="3"/>
    <n v="13.99"/>
    <n v="13.99"/>
    <m/>
    <s v=""/>
    <n v="0"/>
    <n v="0"/>
    <s v="Number"/>
    <n v="7.99"/>
    <n v="7.99"/>
    <n v="49.96"/>
    <n v="49.96"/>
    <n v="49.96"/>
    <s v="True"/>
    <s v="Normal"/>
    <s v="Credit Card"/>
    <s v="Online Store"/>
    <s v="fulfilled"/>
    <s v="United States"/>
    <s v="Washington"/>
    <s v="Valid"/>
    <s v="Danielstad"/>
  </r>
  <r>
    <s v="#1971"/>
    <n v="1"/>
    <d v="2026-08-04T00:00:00"/>
    <s v="04-08-2026 13:57"/>
    <s v="Brady Garcia"/>
    <s v="Email Available"/>
    <s v="brady.garcia57@yahoo.com"/>
    <x v="12"/>
    <s v="Sports &amp; Outdoors"/>
    <x v="13"/>
    <n v="1"/>
    <n v="13.99"/>
    <n v="13.99"/>
    <s v="SAVE20"/>
    <s v="SAVE20"/>
    <n v="2.8"/>
    <n v="2.8"/>
    <s v="Number"/>
    <n v="7.99"/>
    <n v="7.99"/>
    <n v="19.18"/>
    <n v="19.18"/>
    <n v="19.18"/>
    <s v="True"/>
    <s v="Normal"/>
    <s v="Apple Pay"/>
    <s v="POS"/>
    <s v="fulfilled"/>
    <s v="Australia"/>
    <m/>
    <s v="Not Required"/>
    <s v="Ryanhaven"/>
  </r>
  <r>
    <s v="#1972"/>
    <n v="1"/>
    <d v="2026-08-04T14:02:19"/>
    <d v="2026-08-04T14:02:19"/>
    <s v="Gerald Li"/>
    <s v="Email Available"/>
    <s v="gerald.li856@icloud.com"/>
    <x v="12"/>
    <s v="Sports &amp; Outdoors"/>
    <x v="13"/>
    <n v="1"/>
    <n v="13.99"/>
    <n v="13.99"/>
    <s v="VIP15"/>
    <s v="VIP15"/>
    <n v="2.1"/>
    <n v="2.1"/>
    <s v="Number"/>
    <n v="4.99"/>
    <n v="4.99"/>
    <n v="16.88"/>
    <n v="16.88"/>
    <n v="16.880000000000003"/>
    <s v="True"/>
    <s v="Normal"/>
    <s v="Google Pay"/>
    <s v="Online Store"/>
    <s v="fulfilled"/>
    <s v="United States"/>
    <s v="Ohio"/>
    <s v="Valid"/>
    <s v="Timothymouth"/>
  </r>
  <r>
    <s v="#1985"/>
    <n v="1"/>
    <d v="2026-08-04T14:07:22"/>
    <d v="2026-08-04T14:07:22"/>
    <s v="Taylor Davis"/>
    <s v="Email Available"/>
    <s v="taylor.davis403@outlook.com"/>
    <x v="12"/>
    <s v="Sports &amp; Outdoors"/>
    <x v="13"/>
    <n v="1"/>
    <n v="13.99"/>
    <n v="13.99"/>
    <m/>
    <s v=""/>
    <n v="0"/>
    <n v="0"/>
    <s v="Number"/>
    <n v="7.99"/>
    <n v="7.99"/>
    <n v="21.98"/>
    <n v="21.98"/>
    <n v="21.98"/>
    <s v="True"/>
    <s v="Normal"/>
    <s v="Shopify Payments"/>
    <s v="Online Store"/>
    <s v="fulfilled"/>
    <s v="United States"/>
    <s v="Georgia"/>
    <s v="Valid"/>
    <s v="Thompsontown"/>
  </r>
  <r>
    <s v="#2032"/>
    <n v="1"/>
    <d v="2026-08-04T14:00:39"/>
    <d v="2026-08-04T14:00:39"/>
    <s v="David Mcknight"/>
    <s v="Email Available"/>
    <s v="david.mcknight827@gmail.com"/>
    <x v="12"/>
    <s v="Sports &amp; Outdoors"/>
    <x v="13"/>
    <n v="1"/>
    <n v="13.99"/>
    <n v="13.99"/>
    <s v="SAVE20"/>
    <s v="SAVE20"/>
    <n v="2.8"/>
    <n v="2.8"/>
    <s v="Number"/>
    <n v="4.99"/>
    <n v="4.99"/>
    <n v="16.18"/>
    <n v="16.18"/>
    <n v="16.18"/>
    <s v="True"/>
    <s v="Normal"/>
    <s v="Credit Card"/>
    <s v="Online Store"/>
    <s v="fulfilled"/>
    <s v="United States"/>
    <s v="Washington"/>
    <s v="Valid"/>
    <s v="West Peter"/>
  </r>
  <r>
    <s v="#2047"/>
    <n v="1"/>
    <d v="2026-08-04T00:00:00"/>
    <s v="2026-08-04"/>
    <s v="Samuel Padilla"/>
    <s v="Email Available"/>
    <s v="samuel.padilla79@gmail.com"/>
    <x v="12"/>
    <s v="Sports &amp; Outdoors"/>
    <x v="13"/>
    <n v="2"/>
    <n v="13.99"/>
    <n v="13.99"/>
    <s v="VIP15"/>
    <s v="VIP15"/>
    <n v="4.2"/>
    <n v="4.2"/>
    <s v="Number"/>
    <n v="7.99"/>
    <n v="7.99"/>
    <n v="31.77"/>
    <n v="31.77"/>
    <n v="31.770000000000003"/>
    <s v="True"/>
    <s v="Normal"/>
    <s v="Apple Pay"/>
    <s v="Online Store"/>
    <s v="cancelled"/>
    <s v="United States"/>
    <s v="Arizona"/>
    <s v="Valid"/>
    <s v="Meganville"/>
  </r>
  <r>
    <s v="#2084"/>
    <n v="1"/>
    <d v="2026-08-04T14:02:40"/>
    <d v="2026-08-04T14:02:40"/>
    <s v="John Dunlap"/>
    <s v="Email Available"/>
    <s v="john.dunlap479@outlook.com"/>
    <x v="12"/>
    <s v="Sports &amp; Outdoors"/>
    <x v="13"/>
    <n v="3"/>
    <n v="13.99"/>
    <n v="13.99"/>
    <s v="SAVE20"/>
    <s v="SAVE20"/>
    <n v="8.39"/>
    <n v="8.39"/>
    <s v="Number"/>
    <n v="7.99"/>
    <n v="7.99"/>
    <n v="41.57"/>
    <n v="41.57"/>
    <n v="41.57"/>
    <s v="True"/>
    <s v="Normal"/>
    <s v="Credit Card"/>
    <s v="Instagram"/>
    <s v="fulfilled"/>
    <s v="Australia"/>
    <m/>
    <s v="Not Required"/>
    <s v="Luisstad"/>
  </r>
  <r>
    <s v="#2118"/>
    <n v="1"/>
    <d v="2026-08-04T00:00:00"/>
    <s v="04-08-2026 14:08"/>
    <s v="Mary Garcia"/>
    <s v="Email Available"/>
    <s v="mary.garcia899@icloud.com"/>
    <x v="12"/>
    <s v="Sports &amp; Outdoors"/>
    <x v="13"/>
    <n v="1"/>
    <n v="13.99"/>
    <n v="13.99"/>
    <s v="VIP15"/>
    <s v="VIP15"/>
    <n v="2.1"/>
    <n v="2.1"/>
    <s v="Number"/>
    <n v="5.99"/>
    <n v="5.99"/>
    <n v="17.88"/>
    <n v="17.88"/>
    <n v="17.880000000000003"/>
    <s v="True"/>
    <s v="Normal"/>
    <s v="Shopify Payments"/>
    <s v="Facebook"/>
    <s v="fulfilled"/>
    <s v="Canada"/>
    <m/>
    <s v="Not Required"/>
    <s v="East Robertmouth"/>
  </r>
  <r>
    <s v="#2259"/>
    <n v="1"/>
    <d v="2026-08-04T14:02:17"/>
    <d v="2026-08-04T14:02:17"/>
    <s v="Karen Lewis"/>
    <s v="Email Available"/>
    <s v="karen.lewis137@icloud.com"/>
    <x v="12"/>
    <s v="Sports &amp; Outdoors"/>
    <x v="13"/>
    <n v="1"/>
    <n v="13.99"/>
    <n v="13.99"/>
    <m/>
    <s v=""/>
    <n v="0"/>
    <n v="0"/>
    <s v="Number"/>
    <n v="5.99"/>
    <n v="5.99"/>
    <n v="19.98"/>
    <n v="19.98"/>
    <n v="19.98"/>
    <s v="True"/>
    <s v="Normal"/>
    <s v="Google Pay"/>
    <s v="POS"/>
    <s v="fulfilled"/>
    <s v="Australia"/>
    <m/>
    <s v="Not Required"/>
    <s v="Port Tylerstad"/>
  </r>
  <r>
    <s v="#2273"/>
    <n v="1"/>
    <d v="2026-08-04T14:07:38"/>
    <d v="2026-08-04T14:07:38"/>
    <s v="Christopher Harrington"/>
    <s v="Email Available"/>
    <s v="christopher.harrington960@gmail.com"/>
    <x v="12"/>
    <s v="Sports &amp; Outdoors"/>
    <x v="13"/>
    <n v="2"/>
    <n v="13.99"/>
    <n v="13.99"/>
    <m/>
    <s v=""/>
    <n v="0"/>
    <n v="0"/>
    <s v="Number"/>
    <n v="7.99"/>
    <n v="7.99"/>
    <n v="35.97"/>
    <n v="35.97"/>
    <n v="35.97"/>
    <s v="True"/>
    <s v="Normal"/>
    <s v="PayPal"/>
    <s v="POS"/>
    <s v="fulfilled"/>
    <s v="Australia"/>
    <m/>
    <s v="Not Required"/>
    <s v="Wrighttown"/>
  </r>
  <r>
    <s v="#2307"/>
    <n v="1"/>
    <d v="2026-08-04T14:01:36"/>
    <d v="2026-08-04T14:01:36"/>
    <s v="Natalie Dixon"/>
    <s v="Email Available"/>
    <s v="natalie.dixon388@outlook.com"/>
    <x v="12"/>
    <s v="Sports &amp; Outdoors"/>
    <x v="13"/>
    <n v="1"/>
    <n v="13.99"/>
    <n v="13.99"/>
    <m/>
    <s v=""/>
    <n v="0"/>
    <n v="0"/>
    <s v="Number"/>
    <n v="5.99"/>
    <n v="5.99"/>
    <n v="19.98"/>
    <n v="19.98"/>
    <n v="19.98"/>
    <s v="True"/>
    <s v="Normal"/>
    <s v="Google Pay"/>
    <s v="Online Store"/>
    <s v="fulfilled"/>
    <s v="United States"/>
    <s v="WA"/>
    <s v="Valid"/>
    <s v="Jennifershire"/>
  </r>
  <r>
    <s v="#2312"/>
    <n v="1"/>
    <d v="2026-08-04T14:05:46"/>
    <d v="2026-08-04T14:05:46"/>
    <s v="Matthew Riley"/>
    <s v="Email Available"/>
    <s v="matthew.riley309@yahoo.com"/>
    <x v="12"/>
    <s v="Sports &amp; Outdoors"/>
    <x v="13"/>
    <n v="1"/>
    <n v="13.99"/>
    <n v="13.99"/>
    <s v="FREESHIP"/>
    <s v="FREESHIP"/>
    <n v="0"/>
    <n v="0"/>
    <s v="Number"/>
    <n v="0"/>
    <n v="0"/>
    <n v="13.99"/>
    <n v="13.99"/>
    <n v="13.99"/>
    <s v="True"/>
    <s v="Normal"/>
    <s v="Google Pay"/>
    <s v="POS"/>
    <s v="fulfilled"/>
    <s v="Canada"/>
    <m/>
    <s v="Not Required"/>
    <s v="Velezshire"/>
  </r>
  <r>
    <s v="#2345"/>
    <n v="1"/>
    <d v="2026-08-04T13:58:15"/>
    <d v="2026-08-04T13:58:15"/>
    <s v="David Duke"/>
    <s v="Email Available"/>
    <s v="david.duke814@icloud.com"/>
    <x v="12"/>
    <s v="Sports &amp; Outdoors"/>
    <x v="13"/>
    <n v="1"/>
    <n v="13.99"/>
    <n v="13.99"/>
    <s v="WELCOME10"/>
    <s v="WELCOME10"/>
    <n v="1.4"/>
    <n v="1.4"/>
    <s v="Number"/>
    <n v="7.99"/>
    <n v="7.99"/>
    <n v="20.58"/>
    <n v="20.58"/>
    <n v="20.58"/>
    <s v="True"/>
    <s v="Normal"/>
    <s v="Credit Card"/>
    <s v="Online Store"/>
    <s v="fulfilled"/>
    <s v="United States"/>
    <s v="Florida"/>
    <s v="Valid"/>
    <s v="South Erik"/>
  </r>
  <r>
    <s v="#2363"/>
    <n v="1"/>
    <d v="2026-08-04T14:00:00"/>
    <d v="2026-08-04T14:00:00"/>
    <s v="Tyler Williams"/>
    <s v="Email Available"/>
    <s v="tyler.williams938@outlook.com"/>
    <x v="12"/>
    <s v="Sports &amp; Outdoors"/>
    <x v="13"/>
    <n v="1"/>
    <n v="13.99"/>
    <n v="13.99"/>
    <s v="BFCM25"/>
    <s v="BFCM25"/>
    <n v="3.5"/>
    <n v="3.5"/>
    <s v="Number"/>
    <n v="7.99"/>
    <n v="7.99"/>
    <n v="18.48"/>
    <n v="18.48"/>
    <n v="18.48"/>
    <s v="True"/>
    <s v="Normal"/>
    <s v="PayPal"/>
    <s v="Online Store"/>
    <s v="fulfilled"/>
    <s v="Australia"/>
    <m/>
    <s v="Not Required"/>
    <s v="Rebeccaton"/>
  </r>
  <r>
    <s v="#2378"/>
    <n v="1"/>
    <d v="2026-08-04T14:00:03"/>
    <d v="2026-08-04T14:00:03"/>
    <s v="Sheryl Nguyen"/>
    <s v="Email Available"/>
    <s v="sheryl.nguyen272@outlook.com"/>
    <x v="12"/>
    <s v="Sports &amp; Outdoors"/>
    <x v="13"/>
    <n v="1"/>
    <s v="$13.99"/>
    <n v="13.99"/>
    <s v="BFCM25"/>
    <s v="BFCM25"/>
    <n v="3.5"/>
    <n v="3.5"/>
    <s v="Number"/>
    <n v="4.99"/>
    <n v="4.99"/>
    <n v="15.48"/>
    <n v="15.48"/>
    <n v="15.48"/>
    <s v="True"/>
    <s v="Normal"/>
    <s v="PayPal"/>
    <s v="POS"/>
    <s v="fulfilled"/>
    <s v="United States"/>
    <s v="California"/>
    <s v="Valid"/>
    <s v="Turnerchester"/>
  </r>
  <r>
    <s v="#2426"/>
    <n v="1"/>
    <d v="2026-08-04T14:01:17"/>
    <d v="2026-08-04T14:01:17"/>
    <s v="Christopher Harrington"/>
    <s v="Email Available"/>
    <s v="christopher.harrington960@gmail.com"/>
    <x v="12"/>
    <s v="Sports &amp; Outdoors"/>
    <x v="13"/>
    <n v="2"/>
    <n v="13.99"/>
    <n v="13.99"/>
    <s v="BFCM25"/>
    <s v="BFCM25"/>
    <n v="7"/>
    <n v="7"/>
    <s v="Number"/>
    <n v="7.99"/>
    <n v="7.99"/>
    <n v="28.97"/>
    <n v="28.97"/>
    <n v="28.97"/>
    <s v="True"/>
    <s v="Normal"/>
    <s v="PayPal"/>
    <s v="Facebook"/>
    <s v="fulfilled"/>
    <s v="Australia"/>
    <m/>
    <s v="Not Required"/>
    <s v="Brownmouth"/>
  </r>
  <r>
    <s v="#2539"/>
    <n v="1"/>
    <d v="2026-04-08T00:00:00"/>
    <s v="08/04/2026"/>
    <s v="David Duke"/>
    <s v="Email Available"/>
    <s v="david.duke814@icloud.com"/>
    <x v="12"/>
    <s v="Sports &amp; Outdoors"/>
    <x v="13"/>
    <n v="1"/>
    <n v="13.99"/>
    <n v="13.99"/>
    <m/>
    <s v=""/>
    <n v="0"/>
    <n v="0"/>
    <s v="Number"/>
    <n v="5.99"/>
    <n v="5.99"/>
    <n v="19.98"/>
    <n v="19.98"/>
    <n v="19.98"/>
    <s v="True"/>
    <s v="Normal"/>
    <s v="Apple Pay"/>
    <s v="Instagram"/>
    <s v="fulfilled"/>
    <s v="United States"/>
    <s v="Georgia"/>
    <s v="Valid"/>
    <s v="Lake George"/>
  </r>
  <r>
    <s v="#2543"/>
    <n v="1"/>
    <d v="2026-08-04T14:03:11"/>
    <d v="2026-08-04T14:03:11"/>
    <s v="Monica Hicks"/>
    <s v="Email Available"/>
    <s v="monica.hicks473@yahoo.com"/>
    <x v="12"/>
    <s v="Sports &amp; Outdoors"/>
    <x v="13"/>
    <n v="1"/>
    <n v="13.99"/>
    <n v="13.99"/>
    <s v="BFCM25"/>
    <s v="BFCM25"/>
    <n v="3.5"/>
    <n v="3.5"/>
    <s v="Number"/>
    <n v="4.99"/>
    <n v="4.99"/>
    <n v="15.48"/>
    <n v="15.48"/>
    <n v="15.48"/>
    <s v="True"/>
    <s v="Normal"/>
    <s v="PayPal"/>
    <s v="Online Store"/>
    <s v="pending"/>
    <s v="United States"/>
    <s v="Florida"/>
    <s v="Valid"/>
    <s v="Brownchester"/>
  </r>
  <r>
    <s v="#2558"/>
    <n v="1"/>
    <d v="2026-08-04T14:00:15"/>
    <d v="2026-08-04T14:00:15"/>
    <s v="Lauren Nguyen"/>
    <s v="Missing Email"/>
    <m/>
    <x v="12"/>
    <s v="Sports &amp; Outdoors"/>
    <x v="13"/>
    <n v="2"/>
    <n v="13.99"/>
    <n v="13.99"/>
    <s v="BFCM25"/>
    <s v="BFCM25"/>
    <n v="7"/>
    <n v="7"/>
    <s v="Number"/>
    <n v="5.99"/>
    <n v="5.99"/>
    <n v="26.97"/>
    <n v="26.97"/>
    <n v="26.97"/>
    <s v="True"/>
    <s v="Normal"/>
    <s v="Apple Pay"/>
    <s v="Online Store"/>
    <s v="fulfilled"/>
    <s v="United Kingdom"/>
    <m/>
    <s v="Not Required"/>
    <s v="North Lauraburgh"/>
  </r>
  <r>
    <s v="#2644"/>
    <n v="1"/>
    <d v="2026-08-04T14:02:37"/>
    <d v="2026-08-04T14:02:37"/>
    <s v="Tracy Dominguez"/>
    <s v="Email Available"/>
    <s v="tracy.dominguez23@gmail.com"/>
    <x v="12"/>
    <s v="Sports &amp; Outdoors"/>
    <x v="13"/>
    <n v="3"/>
    <n v="13.99"/>
    <n v="13.99"/>
    <s v="FREESHIP"/>
    <s v="FREESHIP"/>
    <s v="$0.00"/>
    <n v="0"/>
    <s v="Number"/>
    <n v="0"/>
    <n v="0"/>
    <n v="41.97"/>
    <n v="41.97"/>
    <n v="41.97"/>
    <s v="True"/>
    <s v="Normal"/>
    <s v="PayPal"/>
    <s v="Instagram"/>
    <s v="refunded"/>
    <s v="United States"/>
    <s v="Illinois"/>
    <s v="Valid"/>
    <s v="West Ashleyside"/>
  </r>
  <r>
    <s v="#2662"/>
    <n v="1"/>
    <d v="2026-08-04T14:05:08"/>
    <d v="2026-08-04T14:05:08"/>
    <s v="Denise Phillips"/>
    <s v="Email Available"/>
    <s v="denise.phillips810@gmail.com"/>
    <x v="12"/>
    <s v="Sports &amp; Outdoors"/>
    <x v="13"/>
    <n v="1"/>
    <s v="$13.99"/>
    <n v="13.99"/>
    <s v="SAVE20"/>
    <s v="SAVE20"/>
    <s v="$2.80"/>
    <n v="2.8"/>
    <s v="Number"/>
    <n v="4.99"/>
    <n v="4.99"/>
    <n v="16.18"/>
    <n v="16.18"/>
    <n v="16.18"/>
    <s v="True"/>
    <s v="Normal"/>
    <s v="Shopify Payments"/>
    <s v="Facebook"/>
    <s v="refunded"/>
    <s v="United States"/>
    <s v="Florida"/>
    <s v="Valid"/>
    <s v="Perkinsville"/>
  </r>
  <r>
    <s v="#2666"/>
    <n v="1"/>
    <d v="2026-08-04T14:01:38"/>
    <d v="2026-08-04T14:01:38"/>
    <s v="Glenn Smith"/>
    <s v="Email Available"/>
    <s v="glenn.smith305@gmail.com"/>
    <x v="12"/>
    <s v="Sports &amp; Outdoors"/>
    <x v="13"/>
    <n v="1"/>
    <n v="13.99"/>
    <n v="13.99"/>
    <m/>
    <s v=""/>
    <n v="0"/>
    <n v="0"/>
    <s v="Number"/>
    <n v="5.99"/>
    <n v="5.99"/>
    <n v="19.98"/>
    <n v="19.98"/>
    <n v="19.98"/>
    <s v="True"/>
    <s v="Normal"/>
    <s v="Google Pay"/>
    <s v="Online Store"/>
    <s v="refunded"/>
    <s v="Canada"/>
    <m/>
    <s v="Not Required"/>
    <s v="Port Jasminefort"/>
  </r>
  <r>
    <s v="#2735"/>
    <n v="1"/>
    <d v="2026-08-04T13:59:33"/>
    <d v="2026-08-04T13:59:33"/>
    <s v="Sandra Wilson"/>
    <s v="Email Available"/>
    <s v="sandra.wilson554@outlook.com"/>
    <x v="12"/>
    <s v="Sports &amp; Outdoors"/>
    <x v="13"/>
    <n v="1"/>
    <s v="$13.99"/>
    <n v="13.99"/>
    <m/>
    <s v=""/>
    <n v="0"/>
    <n v="0"/>
    <s v="Number"/>
    <n v="4.99"/>
    <n v="4.99"/>
    <n v="18.98"/>
    <n v="18.98"/>
    <n v="18.98"/>
    <s v="True"/>
    <s v="Normal"/>
    <s v="Apple Pay"/>
    <s v="Online Store"/>
    <s v="fulfilled"/>
    <s v="Canada"/>
    <m/>
    <s v="Not Required"/>
    <s v="North Deborah"/>
  </r>
  <r>
    <s v="#2740"/>
    <n v="1"/>
    <d v="2026-08-04T14:03:34"/>
    <d v="2026-08-04T14:03:34"/>
    <s v="Peter Alvarez"/>
    <s v="Email Available"/>
    <s v="peter.alvarez465@yahoo.com"/>
    <x v="12"/>
    <s v="Sports &amp; Outdoors"/>
    <x v="13"/>
    <n v="1"/>
    <n v="13.99"/>
    <n v="13.99"/>
    <m/>
    <s v=""/>
    <n v="0"/>
    <n v="0"/>
    <s v="Number"/>
    <n v="7.99"/>
    <n v="7.99"/>
    <n v="21.98"/>
    <n v="21.98"/>
    <n v="21.98"/>
    <s v="True"/>
    <s v="Normal"/>
    <s v="Apple Pay"/>
    <s v="Instagram"/>
    <s v="fulfilled"/>
    <s v="United States"/>
    <s v="Texas"/>
    <s v="Valid"/>
    <s v="North Christopher"/>
  </r>
  <r>
    <s v="#2745"/>
    <n v="1"/>
    <d v="2026-08-04T13:56:08"/>
    <d v="2026-08-04T13:56:08"/>
    <s v="Christopher Harrington"/>
    <s v="Email Available"/>
    <s v="christopher.harrington960@gmail.com"/>
    <x v="12"/>
    <s v="Sports &amp; Outdoors"/>
    <x v="13"/>
    <n v="2"/>
    <n v="13.99"/>
    <n v="13.99"/>
    <s v="BFCM25"/>
    <s v="BFCM25"/>
    <n v="7"/>
    <n v="7"/>
    <s v="Number"/>
    <n v="4.99"/>
    <n v="4.99"/>
    <n v="25.97"/>
    <n v="25.97"/>
    <n v="25.97"/>
    <s v="True"/>
    <s v="Normal"/>
    <s v="Google Pay"/>
    <s v="Online Store"/>
    <s v="fulfilled"/>
    <s v="Australia"/>
    <m/>
    <s v="Not Required"/>
    <s v="Madisonfort"/>
  </r>
  <r>
    <s v="#2758"/>
    <n v="1"/>
    <d v="2026-08-04T13:59:35"/>
    <d v="2026-08-04T13:59:35"/>
    <s v="Elizabeth Johnston"/>
    <s v="Email Available"/>
    <s v="elizabeth.johnston946@gmail.com"/>
    <x v="12"/>
    <s v="Sports &amp; Outdoors"/>
    <x v="13"/>
    <n v="1"/>
    <n v="13.99"/>
    <n v="13.99"/>
    <m/>
    <s v=""/>
    <n v="0"/>
    <n v="0"/>
    <s v="Number"/>
    <n v="5.99"/>
    <n v="5.99"/>
    <n v="19.98"/>
    <n v="19.98"/>
    <n v="19.98"/>
    <s v="True"/>
    <s v="Normal"/>
    <s v="Google Pay"/>
    <s v="Facebook"/>
    <s v="fulfilled"/>
    <s v="United Kingdom"/>
    <m/>
    <s v="Not Required"/>
    <s v="Gibbsfurt"/>
  </r>
  <r>
    <s v="#2761"/>
    <n v="1"/>
    <d v="2026-08-04T14:03:16"/>
    <d v="2026-08-04T14:03:16"/>
    <s v="Victoria Wilson"/>
    <s v="Email Available"/>
    <s v="victoria.wilson114@gmail.com"/>
    <x v="12"/>
    <s v="Sports &amp; Outdoors"/>
    <x v="13"/>
    <n v="2"/>
    <n v="13.99"/>
    <n v="13.99"/>
    <s v="BFCM25"/>
    <s v="BFCM25"/>
    <n v="7"/>
    <n v="7"/>
    <s v="Number"/>
    <n v="7.99"/>
    <n v="7.99"/>
    <n v="28.97"/>
    <n v="28.97"/>
    <n v="28.97"/>
    <s v="True"/>
    <s v="Normal"/>
    <s v="Shopify Payments"/>
    <s v="POS"/>
    <s v="pending"/>
    <s v="Canada"/>
    <m/>
    <s v="Not Required"/>
    <s v="East Sarahstad"/>
  </r>
  <r>
    <s v="#2771"/>
    <n v="1"/>
    <d v="2026-08-04T13:59:27"/>
    <d v="2026-08-04T13:59:27"/>
    <s v="Kenneth Davis"/>
    <s v="Email Available"/>
    <s v="kenneth.davis106@yahoo.com"/>
    <x v="12"/>
    <s v="Sports &amp; Outdoors"/>
    <x v="13"/>
    <n v="1"/>
    <n v="13.99"/>
    <n v="13.99"/>
    <m/>
    <s v=""/>
    <n v="0"/>
    <n v="0"/>
    <s v="Number"/>
    <n v="5.99"/>
    <n v="5.99"/>
    <n v="19.98"/>
    <n v="19.98"/>
    <n v="19.98"/>
    <s v="True"/>
    <s v="Normal"/>
    <s v="Google Pay"/>
    <s v="POS"/>
    <s v="fulfilled"/>
    <s v="United States"/>
    <s v="Georgia"/>
    <s v="Valid"/>
    <s v="Roseton"/>
  </r>
  <r>
    <s v="#2772"/>
    <n v="1"/>
    <d v="2026-08-04T13:58:04"/>
    <d v="2026-08-04T13:58:04"/>
    <s v="Mary Garcia"/>
    <s v="Email Available"/>
    <s v="mary.garcia899@icloud.com"/>
    <x v="12"/>
    <s v="Sports &amp; Outdoors"/>
    <x v="13"/>
    <n v="2"/>
    <s v="$13.99"/>
    <n v="13.99"/>
    <s v="VIP15"/>
    <s v="VIP15"/>
    <n v="4.2"/>
    <n v="4.2"/>
    <s v="Number"/>
    <n v="4.99"/>
    <n v="4.99"/>
    <n v="28.77"/>
    <n v="28.77"/>
    <n v="28.770000000000003"/>
    <s v="True"/>
    <s v="Normal"/>
    <s v="Shopify Payments"/>
    <s v="Online Store"/>
    <s v="fulfilled"/>
    <s v="Canada"/>
    <m/>
    <s v="Not Required"/>
    <s v="West Sarahchester"/>
  </r>
  <r>
    <s v="#2788"/>
    <n v="1"/>
    <d v="2026-08-04T13:53:44"/>
    <d v="2026-08-04T13:53:44"/>
    <s v="Charles Franco"/>
    <s v="Email Available"/>
    <s v="charles.franco761@outlook.com"/>
    <x v="12"/>
    <s v="Sports &amp; Outdoors"/>
    <x v="13"/>
    <n v="1"/>
    <n v="13.99"/>
    <n v="13.99"/>
    <s v="SAVE20"/>
    <s v="SAVE20"/>
    <n v="2.8"/>
    <n v="2.8"/>
    <s v="Number"/>
    <n v="4.99"/>
    <n v="4.99"/>
    <n v="16.18"/>
    <n v="16.18"/>
    <n v="16.18"/>
    <s v="True"/>
    <s v="Normal"/>
    <s v="PayPal"/>
    <s v="Online Store"/>
    <s v="fulfilled"/>
    <s v="United States"/>
    <s v="Florida"/>
    <s v="Valid"/>
    <s v="West Dawn"/>
  </r>
  <r>
    <s v="#2815"/>
    <n v="1"/>
    <d v="2026-08-04T00:00:00"/>
    <s v="2026-08-04"/>
    <s v="Danielle Franco"/>
    <s v="Email Available"/>
    <s v="danielle.franco952@yahoo.com"/>
    <x v="12"/>
    <s v="Sports &amp; Outdoors"/>
    <x v="13"/>
    <n v="1"/>
    <n v="13.99"/>
    <n v="13.99"/>
    <s v="WELCOME10"/>
    <s v="WELCOME10"/>
    <n v="1.4"/>
    <n v="1.4"/>
    <s v="Number"/>
    <n v="7.99"/>
    <n v="7.99"/>
    <n v="20.58"/>
    <n v="20.58"/>
    <n v="20.58"/>
    <s v="True"/>
    <s v="Normal"/>
    <s v="Credit Card"/>
    <s v="Online Store"/>
    <s v="refunded"/>
    <s v="Germany"/>
    <m/>
    <s v="Not Required"/>
    <s v="Port Daniel"/>
  </r>
  <r>
    <s v="#2861"/>
    <n v="1"/>
    <d v="2026-08-04T00:00:00"/>
    <s v="Aug 04, 2026"/>
    <s v="Dawn Randolph"/>
    <s v="Missing Email"/>
    <m/>
    <x v="12"/>
    <s v="Sports &amp; Outdoors"/>
    <x v="13"/>
    <n v="1"/>
    <n v="13.99"/>
    <n v="13.99"/>
    <s v="SAVE20"/>
    <s v="SAVE20"/>
    <n v="2.8"/>
    <n v="2.8"/>
    <s v="Number"/>
    <n v="7.99"/>
    <n v="7.99"/>
    <n v="19.18"/>
    <n v="19.18"/>
    <n v="19.18"/>
    <s v="True"/>
    <s v="Normal"/>
    <s v="Google Pay"/>
    <s v="Online Store"/>
    <s v="fulfilled"/>
    <s v="Pakistan"/>
    <m/>
    <s v="Not Required"/>
    <s v="West Brittanyborough"/>
  </r>
  <r>
    <s v="#2876"/>
    <n v="1"/>
    <d v="2026-08-04T14:01:02"/>
    <d v="2026-08-04T14:01:02"/>
    <s v="Heather Davis"/>
    <s v="Email Available"/>
    <s v="heather.davis117@icloud.com"/>
    <x v="12"/>
    <s v="Sports &amp; Outdoors"/>
    <x v="13"/>
    <n v="1"/>
    <n v="13.99"/>
    <n v="13.99"/>
    <m/>
    <s v=""/>
    <n v="0"/>
    <n v="0"/>
    <s v="Number"/>
    <n v="4.99"/>
    <n v="4.99"/>
    <n v="18.98"/>
    <n v="18.98"/>
    <n v="18.98"/>
    <s v="True"/>
    <s v="Normal"/>
    <s v="PayPal"/>
    <s v="Facebook"/>
    <s v="fulfilled"/>
    <s v="Germany"/>
    <m/>
    <s v="Not Required"/>
    <s v="Richardville"/>
  </r>
  <r>
    <s v="#2883"/>
    <n v="1"/>
    <d v="2026-08-04T00:00:00"/>
    <s v="2026-08-04"/>
    <s v="Kenneth Davis"/>
    <s v="Missing Email"/>
    <m/>
    <x v="12"/>
    <s v="Sports &amp; Outdoors"/>
    <x v="13"/>
    <n v="3"/>
    <n v="13.99"/>
    <n v="13.99"/>
    <s v="SAVE20"/>
    <s v="SAVE20"/>
    <n v="8.39"/>
    <n v="8.39"/>
    <s v="Number"/>
    <n v="7.99"/>
    <n v="7.99"/>
    <n v="41.57"/>
    <n v="41.57"/>
    <n v="41.57"/>
    <s v="True"/>
    <s v="Normal"/>
    <s v="Apple Pay"/>
    <s v="Online Store"/>
    <s v="cancelled"/>
    <s v="United States"/>
    <s v="Georgia"/>
    <s v="Valid"/>
    <s v="Teresaton"/>
  </r>
  <r>
    <s v="#2891"/>
    <n v="1"/>
    <d v="2026-08-04T13:53:44"/>
    <d v="2026-08-04T13:53:44"/>
    <s v="Austin Norris"/>
    <s v="Email Available"/>
    <s v="austin.norris15@gmail.com"/>
    <x v="12"/>
    <s v="Sports &amp; Outdoors"/>
    <x v="13"/>
    <n v="2"/>
    <n v="13.99"/>
    <n v="13.99"/>
    <m/>
    <s v=""/>
    <n v="0"/>
    <n v="0"/>
    <s v="Number"/>
    <n v="7.99"/>
    <n v="7.99"/>
    <s v="$35.97"/>
    <n v="35.97"/>
    <n v="35.97"/>
    <s v="True"/>
    <s v="Normal"/>
    <s v="Credit Card"/>
    <s v="Instagram"/>
    <s v="cancelled"/>
    <s v="United States"/>
    <s v="FL"/>
    <s v="Valid"/>
    <s v="Angelicamouth"/>
  </r>
  <r>
    <s v="#2898"/>
    <n v="1"/>
    <d v="2026-08-04T14:02:01"/>
    <d v="2026-08-04T14:02:01"/>
    <s v="Allison Byrd"/>
    <s v="Email Available"/>
    <s v="allison.byrd266@yahoo.com"/>
    <x v="12"/>
    <s v="Sports &amp; Outdoors"/>
    <x v="13"/>
    <n v="1"/>
    <n v="13.99"/>
    <n v="13.99"/>
    <m/>
    <s v=""/>
    <n v="0"/>
    <n v="0"/>
    <s v="Number"/>
    <n v="4.99"/>
    <n v="4.99"/>
    <n v="18.98"/>
    <n v="18.98"/>
    <n v="18.98"/>
    <s v="True"/>
    <s v="Normal"/>
    <s v="Apple Pay"/>
    <s v="POS"/>
    <s v="pending"/>
    <s v="United States"/>
    <s v="Washington"/>
    <s v="Valid"/>
    <s v="Pruittshire"/>
  </r>
  <r>
    <s v="#2922"/>
    <n v="1"/>
    <d v="2026-04-08T00:00:00"/>
    <s v="08/04/2026"/>
    <s v="Devin Jones"/>
    <s v="Email Available"/>
    <s v="devin.jones807@yahoo.com"/>
    <x v="12"/>
    <s v="Sports &amp; Outdoors"/>
    <x v="13"/>
    <n v="1"/>
    <n v="13.99"/>
    <n v="13.99"/>
    <s v="BFCM25"/>
    <s v="BFCM25"/>
    <n v="3.5"/>
    <n v="3.5"/>
    <s v="Number"/>
    <n v="4.99"/>
    <n v="4.99"/>
    <n v="15.48"/>
    <n v="15.48"/>
    <n v="15.48"/>
    <s v="True"/>
    <s v="Normal"/>
    <s v="Credit Card"/>
    <s v="Online Store"/>
    <s v="fulfilled"/>
    <s v="Pakistan"/>
    <m/>
    <s v="Not Required"/>
    <s v="Shawnbury"/>
  </r>
  <r>
    <s v="#2935"/>
    <n v="1"/>
    <d v="2026-08-04T14:03:04"/>
    <d v="2026-08-04T14:03:04"/>
    <s v="Jeremy Hicks"/>
    <s v="Email Available"/>
    <s v="jeremy.hicks984@yahoo.com"/>
    <x v="12"/>
    <s v="Sports &amp; Outdoors"/>
    <x v="13"/>
    <n v="1"/>
    <n v="13.99"/>
    <n v="13.99"/>
    <s v="SAVE20"/>
    <s v="SAVE20"/>
    <n v="2.8"/>
    <n v="2.8"/>
    <s v="Number"/>
    <n v="4.99"/>
    <n v="4.99"/>
    <n v="16.18"/>
    <n v="16.18"/>
    <n v="16.18"/>
    <s v="True"/>
    <s v="Normal"/>
    <s v="Credit Card"/>
    <s v="Online Store"/>
    <s v="refunded"/>
    <s v="United Kingdom"/>
    <m/>
    <s v="Not Required"/>
    <s v="Christopherside"/>
  </r>
  <r>
    <s v="#2937"/>
    <n v="1"/>
    <d v="2026-08-04T13:57:48"/>
    <d v="2026-08-04T13:57:48"/>
    <s v="Angel Clark"/>
    <s v="Email Available"/>
    <s v="angel.clark280@yahoo.com"/>
    <x v="12"/>
    <s v="Sports &amp; Outdoors"/>
    <x v="13"/>
    <n v="2"/>
    <n v="13.99"/>
    <n v="13.99"/>
    <s v=" SAVE20 "/>
    <s v="SAVE20"/>
    <n v="5.6"/>
    <n v="5.6"/>
    <s v="Number"/>
    <n v="5.99"/>
    <n v="5.99"/>
    <n v="28.37"/>
    <n v="28.37"/>
    <n v="28.370000000000005"/>
    <s v="True"/>
    <s v="Normal"/>
    <s v="Google Pay"/>
    <s v="Online Store"/>
    <s v="fulfilled"/>
    <s v="Germany"/>
    <m/>
    <s v="Not Required"/>
    <s v="East Melissa"/>
  </r>
  <r>
    <s v="#2961"/>
    <n v="1"/>
    <d v="2026-08-04T14:08:18"/>
    <d v="2026-08-04T14:08:18"/>
    <s v="Erika Maxwell"/>
    <s v="Email Available"/>
    <s v="erika.maxwell281@gmail.com"/>
    <x v="12"/>
    <s v="Sports &amp; Outdoors"/>
    <x v="13"/>
    <n v="1"/>
    <n v="13.99"/>
    <n v="13.99"/>
    <m/>
    <s v=""/>
    <n v="0"/>
    <n v="0"/>
    <s v="Number"/>
    <n v="4.99"/>
    <n v="4.99"/>
    <s v="$18.98"/>
    <n v="18.98"/>
    <n v="18.98"/>
    <s v="True"/>
    <s v="Normal"/>
    <s v="Credit Card"/>
    <s v="POS"/>
    <s v="cancelled"/>
    <s v="United States"/>
    <s v="Ohio"/>
    <s v="Valid"/>
    <s v="New Raymond"/>
  </r>
  <r>
    <s v="#2977"/>
    <n v="1"/>
    <d v="2026-08-04T14:04:19"/>
    <d v="2026-08-04T14:04:19"/>
    <s v="William Houston"/>
    <s v="Email Available"/>
    <s v="william.houston340@outlook.com"/>
    <x v="12"/>
    <s v="Sports &amp; Outdoors"/>
    <x v="13"/>
    <n v="1"/>
    <n v="13.99"/>
    <n v="13.99"/>
    <s v="SAVE20"/>
    <s v="SAVE20"/>
    <n v="2.8"/>
    <n v="2.8"/>
    <s v="Number"/>
    <n v="7.99"/>
    <n v="7.99"/>
    <n v="19.18"/>
    <n v="19.18"/>
    <n v="19.18"/>
    <s v="True"/>
    <s v="Normal"/>
    <s v="Apple Pay"/>
    <s v="Online Store"/>
    <s v="fulfilled"/>
    <s v="United States"/>
    <s v="North Carolina"/>
    <s v="Valid"/>
    <s v="West Brian"/>
  </r>
  <r>
    <s v="#1064"/>
    <n v="1"/>
    <d v="2026-08-04T14:08:12"/>
    <d v="2026-08-04T14:08:12"/>
    <s v="Jennifer Burke"/>
    <s v="Email Available"/>
    <s v="jennifer.burke472@icloud.com"/>
    <x v="13"/>
    <s v="Footwear"/>
    <x v="14"/>
    <n v="2"/>
    <s v="$54.99"/>
    <n v="54.99"/>
    <m/>
    <s v=""/>
    <n v="0"/>
    <n v="0"/>
    <s v="Number"/>
    <n v="0"/>
    <n v="0"/>
    <n v="109.98"/>
    <n v="109.98"/>
    <n v="109.98"/>
    <s v="True"/>
    <s v="Outlier"/>
    <s v="Apple Pay"/>
    <s v="Online Store"/>
    <s v="cancelled"/>
    <s v="Pakistan"/>
    <m/>
    <s v="Not Required"/>
    <s v="Arroyomouth"/>
  </r>
  <r>
    <s v="#1083"/>
    <n v="1"/>
    <d v="2026-08-04T13:54:56"/>
    <d v="2026-08-04T13:54:56"/>
    <s v="Johnathan Sloan"/>
    <s v="Email Available"/>
    <s v="johnathan.sloan721@outlook.com"/>
    <x v="13"/>
    <s v="Footwear"/>
    <x v="14"/>
    <n v="1"/>
    <n v="54.99"/>
    <n v="54.99"/>
    <s v="SAVE20"/>
    <s v="SAVE20"/>
    <s v="$11.00"/>
    <n v="11"/>
    <s v="Number"/>
    <n v="5.99"/>
    <n v="5.99"/>
    <n v="49.98"/>
    <n v="49.98"/>
    <n v="49.980000000000004"/>
    <s v="True"/>
    <s v="Normal"/>
    <s v="Apple Pay"/>
    <s v="Online Store"/>
    <s v="fulfilled"/>
    <s v="Pakistan"/>
    <m/>
    <s v="Not Required"/>
    <s v="Robertborough"/>
  </r>
  <r>
    <s v="#1147"/>
    <n v="1"/>
    <d v="2026-08-04T14:00:13"/>
    <d v="2026-08-04T14:00:13"/>
    <s v="Donald Davis"/>
    <s v="Email Available"/>
    <s v="donald.davis404@icloud.com"/>
    <x v="13"/>
    <s v="Footwear"/>
    <x v="14"/>
    <n v="1"/>
    <n v="54.99"/>
    <n v="54.99"/>
    <m/>
    <s v=""/>
    <n v="0"/>
    <n v="0"/>
    <s v="Number"/>
    <n v="7.99"/>
    <n v="7.99"/>
    <n v="62.98"/>
    <n v="62.98"/>
    <n v="62.980000000000004"/>
    <s v="True"/>
    <s v="Normal"/>
    <s v="PayPal"/>
    <s v="POS"/>
    <s v="fulfilled"/>
    <s v="Canada"/>
    <m/>
    <s v="Not Required"/>
    <s v="South Joelstad"/>
  </r>
  <r>
    <s v="#1158"/>
    <n v="1"/>
    <d v="2026-08-04T14:00:28"/>
    <d v="2026-08-04T14:00:28"/>
    <s v="Samuel Padilla"/>
    <s v="Missing Email"/>
    <m/>
    <x v="13"/>
    <s v="Footwear"/>
    <x v="14"/>
    <n v="1"/>
    <n v="54.99"/>
    <n v="54.99"/>
    <m/>
    <s v=""/>
    <n v="0"/>
    <n v="0"/>
    <s v="Number"/>
    <n v="7.99"/>
    <n v="7.99"/>
    <n v="62.98"/>
    <n v="62.98"/>
    <n v="62.980000000000004"/>
    <s v="True"/>
    <s v="Normal"/>
    <s v="Credit Card"/>
    <s v="Online Store"/>
    <s v="fulfilled"/>
    <s v="United States"/>
    <s v="Illinois"/>
    <s v="Valid"/>
    <s v="South Rebecca"/>
  </r>
  <r>
    <s v="#1161"/>
    <n v="1"/>
    <d v="2026-08-04T14:00:30"/>
    <d v="2026-08-04T14:00:30"/>
    <s v="Omar Sanders"/>
    <s v="Email Available"/>
    <s v="omar.sanders208@outlook.com"/>
    <x v="13"/>
    <s v="Footwear"/>
    <x v="14"/>
    <n v="1"/>
    <n v="54.99"/>
    <n v="54.99"/>
    <s v="WELCOME10"/>
    <s v="WELCOME10"/>
    <n v="5.5"/>
    <n v="5.5"/>
    <s v="Number"/>
    <n v="5.99"/>
    <n v="5.99"/>
    <n v="55.48"/>
    <n v="55.48"/>
    <n v="55.480000000000004"/>
    <s v="True"/>
    <s v="Normal"/>
    <s v="Apple Pay"/>
    <s v="Instagram"/>
    <s v="fulfilled"/>
    <s v="United Kingdom"/>
    <m/>
    <s v="Not Required"/>
    <s v="Port Sonya"/>
  </r>
  <r>
    <s v="#1167"/>
    <n v="1"/>
    <d v="2026-08-04T14:01:50"/>
    <d v="2026-08-04T14:01:50"/>
    <s v="Anthony Hunt"/>
    <s v="Email Available"/>
    <s v="anthony.hunt521@outlook.com"/>
    <x v="13"/>
    <s v="Footwear"/>
    <x v="14"/>
    <n v="1"/>
    <s v="$54.99"/>
    <n v="54.99"/>
    <s v="BFCM25"/>
    <s v="BFCM25"/>
    <n v="13.75"/>
    <n v="13.75"/>
    <s v="Number"/>
    <n v="4.99"/>
    <n v="4.99"/>
    <n v="46.23"/>
    <n v="46.23"/>
    <n v="46.230000000000004"/>
    <s v="True"/>
    <s v="Normal"/>
    <s v="Credit Card"/>
    <s v="Online Store"/>
    <s v="fulfilled"/>
    <s v="United States"/>
    <s v="Arizona"/>
    <s v="Valid"/>
    <s v="Evansburgh"/>
  </r>
  <r>
    <s v="#1168"/>
    <n v="1"/>
    <d v="2026-08-04T13:53:50"/>
    <d v="2026-08-04T13:53:50"/>
    <s v="Lisa Williams"/>
    <s v="Email Available"/>
    <s v="lisa.williams715@yahoo.com"/>
    <x v="13"/>
    <s v="Footwear"/>
    <x v="14"/>
    <n v="1"/>
    <n v="54.99"/>
    <n v="54.99"/>
    <s v="VIP15"/>
    <s v="VIP15"/>
    <n v="8.25"/>
    <n v="8.25"/>
    <s v="Number"/>
    <n v="7.99"/>
    <n v="7.99"/>
    <n v="54.73"/>
    <n v="54.73"/>
    <n v="54.730000000000004"/>
    <s v="True"/>
    <s v="Normal"/>
    <s v="Shopify Payments"/>
    <s v="Facebook"/>
    <s v="fulfilled"/>
    <s v="United States"/>
    <s v="North Carolina"/>
    <s v="Valid"/>
    <s v="Jacksonborough"/>
  </r>
  <r>
    <s v="#1205"/>
    <n v="1"/>
    <d v="2026-08-04T13:58:18"/>
    <d v="2026-08-04T13:58:18"/>
    <s v="James Miller"/>
    <s v="Email Available"/>
    <s v="james.miller866@yahoo.com"/>
    <x v="13"/>
    <s v="Footwear"/>
    <x v="14"/>
    <n v="1"/>
    <n v="54.99"/>
    <n v="54.99"/>
    <m/>
    <s v=""/>
    <n v="0"/>
    <n v="0"/>
    <s v="Number"/>
    <n v="5.99"/>
    <n v="5.99"/>
    <n v="60.98"/>
    <n v="60.98"/>
    <n v="60.980000000000004"/>
    <s v="True"/>
    <s v="Normal"/>
    <s v="Credit Card"/>
    <s v="Online Store"/>
    <s v="pending"/>
    <s v="Pakistan"/>
    <m/>
    <s v="Not Required"/>
    <s v="Gibsontown"/>
  </r>
  <r>
    <s v="#1228"/>
    <n v="1"/>
    <d v="2026-08-04T13:53:57"/>
    <d v="2026-08-04T13:53:57"/>
    <s v="Andrew Cross"/>
    <s v="Email Available"/>
    <s v="andrew.cross512@yahoo.com"/>
    <x v="13"/>
    <s v="Footwear"/>
    <x v="14"/>
    <n v="1"/>
    <n v="54.99"/>
    <n v="54.99"/>
    <s v="WELCOME10"/>
    <s v="WELCOME10"/>
    <n v="5.5"/>
    <n v="5.5"/>
    <s v="Number"/>
    <n v="5.99"/>
    <n v="5.99"/>
    <n v="55.48"/>
    <n v="55.48"/>
    <n v="55.480000000000004"/>
    <s v="True"/>
    <s v="Normal"/>
    <s v="Apple Pay"/>
    <s v="Online Store"/>
    <s v="fulfilled"/>
    <s v="United States"/>
    <s v="TX"/>
    <s v="Valid"/>
    <s v="New Kelly"/>
  </r>
  <r>
    <s v="#1232"/>
    <n v="1"/>
    <d v="2026-08-04T14:08:09"/>
    <d v="2026-08-04T14:08:09"/>
    <s v="Patrick Richardson"/>
    <s v="Email Available"/>
    <s v="patrick.richardson270@icloud.com"/>
    <x v="13"/>
    <s v="Footwear"/>
    <x v="14"/>
    <n v="2"/>
    <n v="54.99"/>
    <n v="54.99"/>
    <s v="FREESHIP"/>
    <s v="FREESHIP"/>
    <n v="0"/>
    <n v="0"/>
    <s v="Number"/>
    <n v="0"/>
    <n v="0"/>
    <n v="109.98"/>
    <n v="109.98"/>
    <n v="109.98"/>
    <s v="True"/>
    <s v="Outlier"/>
    <s v="Credit Card"/>
    <s v="Online Store"/>
    <s v="fulfilled"/>
    <s v="United States"/>
    <s v="New York"/>
    <s v="Valid"/>
    <s v="South Malloryview"/>
  </r>
  <r>
    <s v="#1237"/>
    <n v="1"/>
    <d v="2026-08-04T14:05:14"/>
    <d v="2026-08-04T14:05:14"/>
    <s v="  Shawn Oliver"/>
    <s v="Email Available"/>
    <s v="shawn.oliver540@icloud.com"/>
    <x v="13"/>
    <s v="Footwear"/>
    <x v="14"/>
    <n v="2"/>
    <n v="54.99"/>
    <n v="54.99"/>
    <m/>
    <s v=""/>
    <n v="0"/>
    <n v="0"/>
    <s v="Number"/>
    <n v="0"/>
    <n v="0"/>
    <n v="109.98"/>
    <n v="109.98"/>
    <n v="109.98"/>
    <s v="True"/>
    <s v="Outlier"/>
    <s v="Google Pay"/>
    <s v="Online Store"/>
    <s v="cancelled"/>
    <s v="Canada"/>
    <m/>
    <s v="Not Required"/>
    <s v="East April"/>
  </r>
  <r>
    <s v="#1274"/>
    <n v="1"/>
    <d v="2026-08-04T13:59:18"/>
    <d v="2026-08-04T13:59:18"/>
    <s v="Barbara Brown"/>
    <s v="Email Available"/>
    <s v="barbara.brown26@gmail.com"/>
    <x v="13"/>
    <s v="Footwear"/>
    <x v="14"/>
    <n v="1"/>
    <n v="54.99"/>
    <n v="54.99"/>
    <s v="FREESHIP"/>
    <s v="FREESHIP"/>
    <n v="0"/>
    <n v="0"/>
    <s v="Number"/>
    <n v="0"/>
    <n v="0"/>
    <n v="54.99"/>
    <n v="54.99"/>
    <n v="54.99"/>
    <s v="True"/>
    <s v="Normal"/>
    <s v="Apple Pay"/>
    <s v="Online Store"/>
    <s v="pending"/>
    <s v="United States"/>
    <s v="Ohio"/>
    <s v="Valid"/>
    <s v="Port Troy"/>
  </r>
  <r>
    <s v="#1300"/>
    <n v="1"/>
    <d v="2026-08-04T14:00:39"/>
    <d v="2026-08-04T14:00:39"/>
    <s v="Heather Davis"/>
    <s v="Email Available"/>
    <s v="heather.davis117@icloud.com"/>
    <x v="13"/>
    <s v="Footwear"/>
    <x v="14"/>
    <n v="1"/>
    <n v="54.99"/>
    <n v="54.99"/>
    <m/>
    <s v=""/>
    <n v="0"/>
    <n v="0"/>
    <s v="Number"/>
    <n v="7.99"/>
    <n v="7.99"/>
    <n v="62.98"/>
    <n v="62.98"/>
    <n v="62.980000000000004"/>
    <s v="True"/>
    <s v="Normal"/>
    <s v="Shopify Payments"/>
    <s v="Instagram"/>
    <s v="cancelled"/>
    <s v="Germany"/>
    <m/>
    <s v="Not Required"/>
    <s v="South Michaelmouth"/>
  </r>
  <r>
    <s v="#1372"/>
    <n v="1"/>
    <d v="2026-08-04T14:02:01"/>
    <d v="2026-08-04T14:02:01"/>
    <s v="Jane Gregory"/>
    <s v="Email Available"/>
    <s v="jane.gregory935@icloud.com"/>
    <x v="13"/>
    <s v="Footwear"/>
    <x v="14"/>
    <n v="1"/>
    <n v="54.99"/>
    <n v="54.99"/>
    <s v="BFCM25"/>
    <s v="BFCM25"/>
    <n v="13.75"/>
    <n v="13.75"/>
    <s v="Number"/>
    <n v="7.99"/>
    <n v="7.99"/>
    <n v="49.23"/>
    <n v="49.23"/>
    <n v="49.230000000000004"/>
    <s v="True"/>
    <s v="Normal"/>
    <s v="Credit Card"/>
    <s v="Online Store"/>
    <s v="fulfilled"/>
    <s v="Germany"/>
    <m/>
    <s v="Not Required"/>
    <s v="Fletcherberg"/>
  </r>
  <r>
    <s v="#1375"/>
    <n v="1"/>
    <d v="2026-08-04T14:01:21"/>
    <d v="2026-08-04T14:01:21"/>
    <s v="Cody Murray"/>
    <s v="Email Available"/>
    <s v="cody.murray456@gmail.com"/>
    <x v="13"/>
    <s v="Footwear"/>
    <x v="14"/>
    <n v="2"/>
    <n v="54.99"/>
    <n v="54.99"/>
    <s v="WELCOME10"/>
    <s v="WELCOME10"/>
    <n v="11"/>
    <n v="11"/>
    <s v="Number"/>
    <n v="0"/>
    <n v="0"/>
    <n v="98.98"/>
    <n v="98.98"/>
    <n v="98.98"/>
    <s v="True"/>
    <s v="Outlier"/>
    <s v="Credit Card"/>
    <s v="Instagram"/>
    <s v="fulfilled"/>
    <s v="United Kingdom"/>
    <m/>
    <s v="Not Required"/>
    <s v="Medinaville"/>
  </r>
  <r>
    <s v="#1410"/>
    <n v="1"/>
    <d v="2026-08-04T13:55:04"/>
    <d v="2026-08-04T13:55:04"/>
    <s v="Jesse Hammond"/>
    <s v="Email Available"/>
    <s v="jesse.hammond987@gmail.com"/>
    <x v="13"/>
    <s v="Footwear"/>
    <x v="14"/>
    <n v="3"/>
    <n v="54.99"/>
    <n v="54.99"/>
    <s v="SAVE20"/>
    <s v="SAVE20"/>
    <n v="32.99"/>
    <n v="32.99"/>
    <s v="Number"/>
    <n v="0"/>
    <n v="0"/>
    <n v="131.97999999999999"/>
    <n v="131.97999999999999"/>
    <n v="131.97999999999999"/>
    <s v="True"/>
    <s v="Outlier"/>
    <s v="Google Pay"/>
    <s v="Online Store"/>
    <s v="fulfilled"/>
    <s v="United States"/>
    <s v="IL"/>
    <s v="Valid"/>
    <s v="Cynthiatown"/>
  </r>
  <r>
    <s v="#1414"/>
    <n v="1"/>
    <d v="2026-04-08T00:00:00"/>
    <s v="08/04/2026"/>
    <s v="Kenneth Davis"/>
    <s v="Email Available"/>
    <s v="kenneth.davis106@yahoo.com"/>
    <x v="13"/>
    <s v="Footwear"/>
    <x v="14"/>
    <n v="1"/>
    <n v="54.99"/>
    <n v="54.99"/>
    <s v="SAVE20"/>
    <s v="SAVE20"/>
    <n v="11"/>
    <n v="11"/>
    <s v="Number"/>
    <n v="5.99"/>
    <n v="5.99"/>
    <n v="49.98"/>
    <n v="49.98"/>
    <n v="49.980000000000004"/>
    <s v="True"/>
    <s v="Normal"/>
    <s v="Credit Card"/>
    <s v="Online Store"/>
    <s v="fulfilled"/>
    <s v="United States"/>
    <s v="North Carolina"/>
    <s v="Valid"/>
    <s v="North Dustin"/>
  </r>
  <r>
    <s v="#1416"/>
    <n v="1"/>
    <d v="2026-08-04T13:56:38"/>
    <d v="2026-08-04T13:56:38"/>
    <s v="Tammy Hawkins"/>
    <s v="Email Available"/>
    <s v="tammy.hawkins461@outlook.com"/>
    <x v="13"/>
    <s v="Footwear"/>
    <x v="14"/>
    <n v="1"/>
    <n v="54.99"/>
    <n v="54.99"/>
    <s v="FREESHIP"/>
    <s v="FREESHIP"/>
    <n v="0"/>
    <n v="0"/>
    <s v="Number"/>
    <n v="0"/>
    <n v="0"/>
    <n v="54.99"/>
    <n v="54.99"/>
    <n v="54.99"/>
    <s v="True"/>
    <s v="Normal"/>
    <s v="Credit Card"/>
    <s v="Online Store"/>
    <s v="pending"/>
    <s v="United States"/>
    <s v="WA"/>
    <s v="Valid"/>
    <s v="South Williamhaven"/>
  </r>
  <r>
    <s v="#1464"/>
    <n v="1"/>
    <d v="2026-08-04T14:07:11"/>
    <d v="2026-08-04T14:07:11"/>
    <s v="Melinda Henderson"/>
    <s v="Email Available"/>
    <s v="melinda.henderson831@gmail.com"/>
    <x v="13"/>
    <s v="Footwear"/>
    <x v="14"/>
    <n v="1"/>
    <n v="54.99"/>
    <n v="54.99"/>
    <m/>
    <s v=""/>
    <n v="0"/>
    <n v="0"/>
    <s v="Number"/>
    <n v="5.99"/>
    <n v="5.99"/>
    <n v="60.98"/>
    <n v="60.98"/>
    <n v="60.980000000000004"/>
    <s v="True"/>
    <s v="Normal"/>
    <s v="Shopify Payments"/>
    <s v="Instagram"/>
    <s v="pending"/>
    <s v="United Kingdom"/>
    <m/>
    <s v="Not Required"/>
    <s v="New Scottberg"/>
  </r>
  <r>
    <s v="#1469"/>
    <n v="1"/>
    <d v="2026-08-04T00:00:00"/>
    <s v="04-08-2026 13:54"/>
    <s v="Melissa Thompson"/>
    <s v="Email Available"/>
    <s v="melissa.thompson241@yahoo.com"/>
    <x v="13"/>
    <s v="Footwear"/>
    <x v="14"/>
    <n v="1"/>
    <n v="54.99"/>
    <n v="54.99"/>
    <m/>
    <s v=""/>
    <n v="0"/>
    <n v="0"/>
    <s v="Number"/>
    <n v="4.99"/>
    <n v="4.99"/>
    <n v="2999"/>
    <n v="2999"/>
    <n v="59.980000000000004"/>
    <s v="False"/>
    <s v="Normal"/>
    <s v="Shopify Payments"/>
    <s v="Online Store"/>
    <s v="fulfilled"/>
    <s v="United States"/>
    <s v="Florida"/>
    <s v="Valid"/>
    <s v="Noblehaven"/>
  </r>
  <r>
    <s v="#1479"/>
    <n v="1"/>
    <d v="2026-08-04T13:57:56"/>
    <d v="2026-08-04T13:57:56"/>
    <s v="Angel Clark"/>
    <s v="Email Available"/>
    <s v="angel.clark280@yahoo.com"/>
    <x v="13"/>
    <s v="Footwear"/>
    <x v="14"/>
    <n v="2"/>
    <n v="54.99"/>
    <n v="54.99"/>
    <s v="VIP15"/>
    <s v="VIP15"/>
    <n v="16.5"/>
    <n v="16.5"/>
    <s v="Number"/>
    <n v="0"/>
    <n v="0"/>
    <n v="93.48"/>
    <n v="93.48"/>
    <n v="93.48"/>
    <s v="True"/>
    <s v="Outlier"/>
    <s v="Apple Pay"/>
    <s v="Instagram"/>
    <s v="pending"/>
    <s v="Germany"/>
    <m/>
    <s v="Not Required"/>
    <s v="Davidshire"/>
  </r>
  <r>
    <s v="#1532"/>
    <n v="1"/>
    <d v="2026-08-04T13:53:52"/>
    <d v="2026-08-04T13:53:52"/>
    <s v="Timothy Sanchez"/>
    <s v="Email Available"/>
    <s v="timothy.sanchez728@gmail.com"/>
    <x v="13"/>
    <s v="Footwear"/>
    <x v="14"/>
    <n v="1"/>
    <n v="54.99"/>
    <n v="54.99"/>
    <s v="WELCOME10"/>
    <s v="WELCOME10"/>
    <n v="5.5"/>
    <n v="5.5"/>
    <s v="Number"/>
    <n v="5.99"/>
    <n v="5.99"/>
    <n v="55.48"/>
    <n v="55.48"/>
    <n v="55.480000000000004"/>
    <s v="True"/>
    <s v="Normal"/>
    <s v="Apple Pay"/>
    <s v="POS"/>
    <s v="fulfilled"/>
    <s v="United States"/>
    <s v="Illinois"/>
    <s v="Valid"/>
    <s v="North Joseph"/>
  </r>
  <r>
    <s v="#1558"/>
    <n v="1"/>
    <d v="2026-08-04T13:56:12"/>
    <d v="2026-08-04T13:56:12"/>
    <s v="Frank White"/>
    <s v="Email Available"/>
    <s v="frank.white670@icloud.com"/>
    <x v="13"/>
    <s v="Footwear"/>
    <x v="14"/>
    <n v="1"/>
    <n v="54.99"/>
    <n v="54.99"/>
    <s v="VIP15"/>
    <s v="VIP15"/>
    <n v="8.25"/>
    <n v="8.25"/>
    <s v="Number"/>
    <n v="5.99"/>
    <n v="5.99"/>
    <n v="52.73"/>
    <n v="52.73"/>
    <n v="52.730000000000004"/>
    <s v="True"/>
    <s v="Normal"/>
    <s v="Credit Card"/>
    <s v="Online Store"/>
    <s v="fulfilled"/>
    <s v="United States"/>
    <s v="Georgia"/>
    <s v="Valid"/>
    <s v="Port Cherylhaven"/>
  </r>
  <r>
    <s v="#1572"/>
    <n v="1"/>
    <d v="2026-08-04T14:00:14"/>
    <d v="2026-08-04T14:00:14"/>
    <s v="Andrea Gallegos"/>
    <s v="Missing Email"/>
    <m/>
    <x v="13"/>
    <s v="Footwear"/>
    <x v="14"/>
    <n v="1"/>
    <n v="54.99"/>
    <n v="54.99"/>
    <s v="FREESHIP"/>
    <s v="FREESHIP"/>
    <s v="$0.00"/>
    <n v="0"/>
    <s v="Number"/>
    <n v="0"/>
    <n v="0"/>
    <n v="54.99"/>
    <n v="54.99"/>
    <n v="54.99"/>
    <s v="True"/>
    <s v="Normal"/>
    <s v="PayPal"/>
    <s v="Online Store"/>
    <s v="pending"/>
    <s v="Germany"/>
    <m/>
    <s v="Not Required"/>
    <s v="Ashleybury"/>
  </r>
  <r>
    <s v="#1615"/>
    <n v="1"/>
    <d v="2026-08-04T14:03:37"/>
    <d v="2026-08-04T14:03:37"/>
    <s v="Matthew Riley"/>
    <s v="Email Available"/>
    <s v="matthew.riley309@yahoo.com"/>
    <x v="13"/>
    <s v="Footwear"/>
    <x v="14"/>
    <n v="1"/>
    <n v="54.99"/>
    <n v="54.99"/>
    <m/>
    <s v=""/>
    <n v="0"/>
    <n v="0"/>
    <s v="Number"/>
    <n v="4.99"/>
    <n v="4.99"/>
    <n v="59.98"/>
    <n v="59.98"/>
    <n v="59.980000000000004"/>
    <s v="True"/>
    <s v="Normal"/>
    <s v="Shopify Payments"/>
    <s v="Instagram"/>
    <s v="pending"/>
    <s v="Canada"/>
    <m/>
    <s v="Not Required"/>
    <s v="Millerton"/>
  </r>
  <r>
    <s v="#1637"/>
    <n v="1"/>
    <d v="2026-08-04T13:59:08"/>
    <d v="2026-08-04T13:59:08"/>
    <s v="Kaitlyn Hernandez"/>
    <s v="Email Available"/>
    <s v="kaitlyn.hernandez192@gmail.com"/>
    <x v="13"/>
    <s v="Footwear"/>
    <x v="14"/>
    <n v="1"/>
    <n v="54.99"/>
    <n v="54.99"/>
    <m/>
    <s v=""/>
    <n v="0"/>
    <n v="0"/>
    <s v="Number"/>
    <n v="7.99"/>
    <n v="7.99"/>
    <n v="62.98"/>
    <n v="62.98"/>
    <n v="62.980000000000004"/>
    <s v="True"/>
    <s v="Normal"/>
    <s v="PayPal"/>
    <s v="Online Store"/>
    <s v="pending"/>
    <s v="Pakistan"/>
    <m/>
    <s v="Not Required"/>
    <s v="East Seanbury"/>
  </r>
  <r>
    <s v="#1676"/>
    <n v="1"/>
    <d v="2026-08-04T14:01:42"/>
    <d v="2026-08-04T14:01:42"/>
    <s v="Jesus Mason"/>
    <s v="Email Available"/>
    <s v="jesus.mason798@icloud.com"/>
    <x v="13"/>
    <s v="Footwear"/>
    <x v="14"/>
    <n v="1"/>
    <s v="$54.99"/>
    <n v="54.99"/>
    <m/>
    <s v=""/>
    <n v="0"/>
    <n v="0"/>
    <s v="Number"/>
    <n v="4.99"/>
    <n v="4.99"/>
    <n v="59.98"/>
    <n v="59.98"/>
    <n v="59.980000000000004"/>
    <s v="True"/>
    <s v="Normal"/>
    <s v="Credit Card"/>
    <s v="Online Store"/>
    <s v="pending"/>
    <s v="United States"/>
    <s v="IL"/>
    <s v="Valid"/>
    <s v="North Derek"/>
  </r>
  <r>
    <s v="#1698"/>
    <n v="1"/>
    <d v="2026-08-04T00:00:00"/>
    <s v="2026-08-04"/>
    <s v="Donald Davis"/>
    <s v="Email Available"/>
    <s v="donald.davis404@icloud.com"/>
    <x v="13"/>
    <s v="Footwear"/>
    <x v="14"/>
    <n v="1"/>
    <n v="54.99"/>
    <n v="54.99"/>
    <m/>
    <s v=""/>
    <n v="0"/>
    <n v="0"/>
    <s v="Number"/>
    <n v="7.99"/>
    <n v="7.99"/>
    <n v="62.98"/>
    <n v="62.98"/>
    <n v="62.980000000000004"/>
    <s v="True"/>
    <s v="Normal"/>
    <s v="Apple Pay"/>
    <s v="Online Store"/>
    <s v="fulfilled"/>
    <s v="Canada"/>
    <m/>
    <s v="Not Required"/>
    <s v="South Madison"/>
  </r>
  <r>
    <s v="#1745"/>
    <n v="1"/>
    <d v="2026-08-04T13:56:11"/>
    <d v="2026-08-04T13:56:11"/>
    <s v="Samuel Smith"/>
    <s v="Email Available"/>
    <s v="samuel.smith76@outlook.com"/>
    <x v="13"/>
    <s v="Footwear"/>
    <x v="14"/>
    <n v="1"/>
    <n v="54.99"/>
    <n v="54.99"/>
    <s v="SAVE20"/>
    <s v="SAVE20"/>
    <n v="11"/>
    <n v="11"/>
    <s v="Number"/>
    <n v="5.99"/>
    <n v="5.99"/>
    <n v="49.98"/>
    <n v="49.98"/>
    <n v="49.980000000000004"/>
    <s v="True"/>
    <s v="Normal"/>
    <s v="Credit Card"/>
    <s v="Online Store"/>
    <s v="pending"/>
    <s v="United Kingdom"/>
    <m/>
    <s v="Not Required"/>
    <s v="Richardshire"/>
  </r>
  <r>
    <s v="#1766"/>
    <n v="1"/>
    <d v="2026-08-04T14:04:05"/>
    <d v="2026-08-04T14:04:05"/>
    <s v="Cody Murray"/>
    <s v="Email Available"/>
    <s v="cody.murray456@gmail.com"/>
    <x v="13"/>
    <s v="Footwear"/>
    <x v="14"/>
    <n v="2"/>
    <s v="$54.99"/>
    <n v="54.99"/>
    <s v="SAVE20"/>
    <s v="SAVE20"/>
    <n v="22"/>
    <n v="22"/>
    <s v="Number"/>
    <n v="0"/>
    <n v="0"/>
    <n v="87.98"/>
    <n v="87.98"/>
    <n v="87.98"/>
    <s v="True"/>
    <s v="Outlier"/>
    <s v="Apple Pay"/>
    <s v="POS"/>
    <s v="cancelled"/>
    <s v="United Kingdom"/>
    <m/>
    <s v="Not Required"/>
    <s v="East David"/>
  </r>
  <r>
    <s v="#1778"/>
    <n v="1"/>
    <d v="2026-08-04T13:56:45"/>
    <d v="2026-08-04T13:56:45"/>
    <s v="Matthew Perez"/>
    <s v="Email Available"/>
    <s v="matthew.perez875@gmail.com"/>
    <x v="13"/>
    <s v="Footwear"/>
    <x v="14"/>
    <n v="2"/>
    <n v="54.99"/>
    <n v="54.99"/>
    <s v="SAVE20"/>
    <s v="SAVE20"/>
    <n v="22"/>
    <n v="22"/>
    <s v="Number"/>
    <n v="0"/>
    <n v="0"/>
    <n v="87.98"/>
    <n v="87.98"/>
    <n v="87.98"/>
    <s v="True"/>
    <s v="Outlier"/>
    <s v="Apple Pay"/>
    <s v="Instagram"/>
    <s v="fulfilled"/>
    <s v="Pakistan"/>
    <m/>
    <s v="Not Required"/>
    <s v="West Drewland"/>
  </r>
  <r>
    <s v="#1781"/>
    <n v="1"/>
    <d v="2026-08-04T13:55:08"/>
    <d v="2026-08-04T13:55:08"/>
    <s v="  Sharon Brown"/>
    <s v="Email Available"/>
    <s v="sharon.brown14@gmail.com"/>
    <x v="13"/>
    <s v="Footwear"/>
    <x v="14"/>
    <n v="1"/>
    <n v="54.99"/>
    <n v="54.99"/>
    <m/>
    <s v=""/>
    <n v="0"/>
    <n v="0"/>
    <s v="Number"/>
    <n v="4.99"/>
    <n v="4.99"/>
    <n v="59.98"/>
    <n v="59.98"/>
    <n v="59.980000000000004"/>
    <s v="True"/>
    <s v="Normal"/>
    <s v="Shopify Payments"/>
    <s v="POS"/>
    <s v="fulfilled"/>
    <s v="United States"/>
    <s v="Arizona"/>
    <s v="Valid"/>
    <s v="Clarkmouth"/>
  </r>
  <r>
    <s v="#1782"/>
    <n v="1"/>
    <d v="2026-08-04T13:59:00"/>
    <d v="2026-08-04T13:59:00"/>
    <s v="Charles Franco"/>
    <s v="Email Available"/>
    <s v="charles.franco761@outlook.com"/>
    <x v="13"/>
    <s v="Footwear"/>
    <x v="14"/>
    <n v="1"/>
    <n v="54.99"/>
    <n v="54.99"/>
    <m/>
    <s v=""/>
    <n v="0"/>
    <n v="0"/>
    <s v="Number"/>
    <n v="4.99"/>
    <n v="4.99"/>
    <n v="59.98"/>
    <n v="59.98"/>
    <n v="59.980000000000004"/>
    <s v="True"/>
    <s v="Normal"/>
    <s v="PayPal"/>
    <s v="Facebook"/>
    <s v="fulfilled"/>
    <s v="United States"/>
    <s v="Ohio"/>
    <s v="Valid"/>
    <s v="Peckstad"/>
  </r>
  <r>
    <s v="#1839"/>
    <n v="1"/>
    <d v="2026-08-04T00:00:00"/>
    <s v="04-08-2026 14:08"/>
    <s v="Matthew Riley"/>
    <s v="Email Available"/>
    <s v="matthew.riley309@yahoo.com"/>
    <x v="13"/>
    <s v="Footwear"/>
    <x v="14"/>
    <n v="1"/>
    <n v="54.99"/>
    <n v="54.99"/>
    <m/>
    <s v=""/>
    <s v="$0.00"/>
    <n v="0"/>
    <s v="Number"/>
    <n v="4.99"/>
    <n v="4.99"/>
    <n v="59.98"/>
    <n v="59.98"/>
    <n v="59.980000000000004"/>
    <s v="True"/>
    <s v="Normal"/>
    <s v="Apple Pay"/>
    <s v="Online Store"/>
    <s v="fulfilled"/>
    <s v="Canada"/>
    <m/>
    <s v="Not Required"/>
    <s v="West Albertton"/>
  </r>
  <r>
    <s v="#1840"/>
    <n v="1"/>
    <d v="2026-08-04T14:06:14"/>
    <d v="2026-08-04T14:06:14"/>
    <s v="Dustin Mccoy"/>
    <s v="Email Available"/>
    <s v="dustin.mccoy570@gmail.com"/>
    <x v="13"/>
    <s v="Footwear"/>
    <x v="14"/>
    <n v="1"/>
    <n v="54.99"/>
    <n v="54.99"/>
    <s v="SAVE20"/>
    <s v="SAVE20"/>
    <n v="11"/>
    <n v="11"/>
    <s v="Number"/>
    <n v="4.99"/>
    <n v="4.99"/>
    <n v="48.98"/>
    <n v="48.98"/>
    <n v="48.980000000000004"/>
    <s v="True"/>
    <s v="Normal"/>
    <s v="Apple Pay"/>
    <s v="POS"/>
    <s v="fulfilled"/>
    <s v="Canada"/>
    <m/>
    <s v="Not Required"/>
    <s v="West Donfurt"/>
  </r>
  <r>
    <s v="#1841"/>
    <n v="1"/>
    <d v="2026-08-04T14:02:59"/>
    <d v="2026-08-04T14:02:59"/>
    <s v="William Houston"/>
    <s v="Email Available"/>
    <s v="william.houston340@outlook.com"/>
    <x v="13"/>
    <s v="Footwear"/>
    <x v="14"/>
    <n v="1"/>
    <n v="54.99"/>
    <n v="54.99"/>
    <m/>
    <s v=""/>
    <n v="0"/>
    <n v="0"/>
    <s v="Number"/>
    <n v="5.99"/>
    <n v="5.99"/>
    <n v="60.98"/>
    <n v="60.98"/>
    <n v="60.980000000000004"/>
    <s v="True"/>
    <s v="Normal"/>
    <s v="Credit Card"/>
    <s v="POS"/>
    <s v="cancelled"/>
    <s v="United States"/>
    <s v="Ohio"/>
    <s v="Valid"/>
    <s v="Port Lynn"/>
  </r>
  <r>
    <s v="#1856"/>
    <n v="1"/>
    <d v="2026-08-04T13:56:18"/>
    <d v="2026-08-04T13:56:18"/>
    <s v="James Castro"/>
    <s v="Email Available"/>
    <s v="james.castro923@icloud.com"/>
    <x v="13"/>
    <s v="Footwear"/>
    <x v="14"/>
    <n v="1"/>
    <n v="54.99"/>
    <n v="54.99"/>
    <m/>
    <s v=""/>
    <n v="0"/>
    <n v="0"/>
    <s v="Number"/>
    <n v="5.99"/>
    <n v="5.99"/>
    <n v="60.98"/>
    <n v="60.98"/>
    <n v="60.980000000000004"/>
    <s v="True"/>
    <s v="Normal"/>
    <s v="Google Pay"/>
    <s v="POS"/>
    <s v="refunded"/>
    <s v="Pakistan"/>
    <m/>
    <s v="Not Required"/>
    <s v="South Leslie"/>
  </r>
  <r>
    <s v="#1891"/>
    <n v="1"/>
    <d v="2026-08-04T14:06:17"/>
    <d v="2026-08-04T14:06:17"/>
    <s v="Anthony Marshall"/>
    <s v="Email Available"/>
    <s v="anthony.marshall823@yahoo.com"/>
    <x v="13"/>
    <s v="Footwear"/>
    <x v="14"/>
    <n v="1"/>
    <n v="54.99"/>
    <n v="54.99"/>
    <s v="WELCOME10"/>
    <s v="WELCOME10"/>
    <n v="5.5"/>
    <n v="5.5"/>
    <s v="Number"/>
    <n v="7.99"/>
    <n v="7.99"/>
    <n v="57.48"/>
    <n v="57.48"/>
    <n v="57.480000000000004"/>
    <s v="True"/>
    <s v="Normal"/>
    <s v="PayPal"/>
    <s v="Online Store"/>
    <s v="fulfilled"/>
    <s v="United States"/>
    <s v="Arizona"/>
    <s v="Valid"/>
    <s v="West Alisonstad"/>
  </r>
  <r>
    <s v="#1936"/>
    <n v="1"/>
    <d v="2026-08-04T14:07:12"/>
    <d v="2026-08-04T14:07:12"/>
    <s v="Michael Hays"/>
    <s v="Email Available"/>
    <s v="michael.hays590@gmail.com"/>
    <x v="13"/>
    <s v="Footwear"/>
    <x v="14"/>
    <n v="1"/>
    <n v="54.99"/>
    <n v="54.99"/>
    <s v="WELCOME10"/>
    <s v="WELCOME10"/>
    <s v="$5.50"/>
    <n v="5.5"/>
    <s v="Number"/>
    <n v="7.99"/>
    <n v="7.99"/>
    <n v="57.48"/>
    <n v="57.48"/>
    <n v="57.480000000000004"/>
    <s v="True"/>
    <s v="Normal"/>
    <s v="Shopify Payments"/>
    <s v="Facebook"/>
    <s v="pending"/>
    <s v="United States"/>
    <s v="Georgia"/>
    <s v="Valid"/>
    <s v="West Derekborough"/>
  </r>
  <r>
    <s v="#1954"/>
    <n v="1"/>
    <d v="2026-08-04T13:58:44"/>
    <d v="2026-08-04T13:58:44"/>
    <s v="Debra Thomas"/>
    <s v="Email Available"/>
    <s v="debra.thomas509@icloud.com"/>
    <x v="13"/>
    <s v="Footwear"/>
    <x v="14"/>
    <n v="1"/>
    <n v="54.99"/>
    <n v="54.99"/>
    <s v="WELCOME10"/>
    <s v="WELCOME10"/>
    <n v="5.5"/>
    <n v="5.5"/>
    <s v="Number"/>
    <n v="4.99"/>
    <n v="4.99"/>
    <n v="54.48"/>
    <n v="54.48"/>
    <n v="54.480000000000004"/>
    <s v="True"/>
    <s v="Normal"/>
    <s v="PayPal"/>
    <s v="Facebook"/>
    <s v="fulfilled"/>
    <s v="United States"/>
    <s v="Florida"/>
    <s v="Valid"/>
    <s v="East Jonathanmouth"/>
  </r>
  <r>
    <s v="#1955"/>
    <n v="1"/>
    <d v="2026-08-04T13:58:49"/>
    <d v="2026-08-04T13:58:49"/>
    <s v="Jose Ingram"/>
    <s v="Email Available"/>
    <s v="jose.ingram37@gmail.com"/>
    <x v="13"/>
    <s v="Footwear"/>
    <x v="14"/>
    <n v="1"/>
    <n v="54.99"/>
    <n v="54.99"/>
    <m/>
    <s v=""/>
    <n v="0"/>
    <n v="0"/>
    <s v="Number"/>
    <n v="5.99"/>
    <n v="5.99"/>
    <n v="60.98"/>
    <n v="60.98"/>
    <n v="60.980000000000004"/>
    <s v="True"/>
    <s v="Normal"/>
    <s v="Credit Card"/>
    <s v="Online Store"/>
    <s v="fulfilled"/>
    <s v="United States"/>
    <s v="Georgia"/>
    <s v="Valid"/>
    <s v="Tiffanyfort"/>
  </r>
  <r>
    <s v="#1959"/>
    <n v="1"/>
    <d v="2026-04-08T00:00:00"/>
    <s v="08/04/2026"/>
    <s v="Kelly Wyatt"/>
    <s v="Email Available"/>
    <s v="kelly.wyatt277@yahoo.com"/>
    <x v="13"/>
    <s v="Footwear"/>
    <x v="14"/>
    <n v="2"/>
    <n v="54.99"/>
    <n v="54.99"/>
    <m/>
    <s v=""/>
    <n v="0"/>
    <n v="0"/>
    <s v="Number"/>
    <n v="0"/>
    <n v="0"/>
    <n v="109.98"/>
    <n v="109.98"/>
    <n v="109.98"/>
    <s v="True"/>
    <s v="Outlier"/>
    <s v="Google Pay"/>
    <s v="Online Store"/>
    <s v="fulfilled"/>
    <s v="Germany"/>
    <m/>
    <s v="Not Required"/>
    <s v="Reidbury"/>
  </r>
  <r>
    <s v="#1976"/>
    <n v="1"/>
    <d v="2026-08-04T00:00:00"/>
    <s v="Aug 04, 2026"/>
    <s v="Christy Long"/>
    <s v="Email Available"/>
    <s v="christy.long561@yahoo.com"/>
    <x v="13"/>
    <s v="Footwear"/>
    <x v="14"/>
    <n v="3"/>
    <n v="54.99"/>
    <n v="54.99"/>
    <m/>
    <s v=""/>
    <n v="0"/>
    <n v="0"/>
    <s v="Number"/>
    <n v="0"/>
    <n v="0"/>
    <n v="164.97"/>
    <n v="164.97"/>
    <n v="164.97"/>
    <s v="True"/>
    <s v="Outlier"/>
    <s v="Google Pay"/>
    <s v="Online Store"/>
    <s v="fulfilled"/>
    <s v="United Kingdom"/>
    <m/>
    <s v="Not Required"/>
    <s v="Murphystad"/>
  </r>
  <r>
    <s v="#2055"/>
    <n v="1"/>
    <d v="2026-08-04T13:58:11"/>
    <d v="2026-08-04T13:58:11"/>
    <s v="katelyn johnson"/>
    <s v="Email Available"/>
    <s v="katelyn.johnson502@outlook.com"/>
    <x v="13"/>
    <s v="Footwear"/>
    <x v="14"/>
    <n v="1"/>
    <n v="54.99"/>
    <n v="54.99"/>
    <s v="SAVE20"/>
    <s v="SAVE20"/>
    <n v="11"/>
    <n v="11"/>
    <s v="Number"/>
    <n v="7.99"/>
    <n v="7.99"/>
    <n v="51.98"/>
    <n v="51.98"/>
    <n v="51.980000000000004"/>
    <s v="True"/>
    <s v="Normal"/>
    <s v="Google Pay"/>
    <s v="Instagram"/>
    <s v="fulfilled"/>
    <s v="United States"/>
    <s v="New York"/>
    <s v="Valid"/>
    <s v="West Michelletown"/>
  </r>
  <r>
    <s v="#2056"/>
    <n v="1"/>
    <d v="2026-08-04T14:02:39"/>
    <d v="2026-08-04T14:02:39"/>
    <m/>
    <s v="Email Available"/>
    <s v="sarah.mendoza691@outlook.com"/>
    <x v="13"/>
    <s v="Footwear"/>
    <x v="14"/>
    <n v="1"/>
    <n v="54.99"/>
    <n v="54.99"/>
    <m/>
    <s v=""/>
    <n v="0"/>
    <n v="0"/>
    <s v="Number"/>
    <n v="4.99"/>
    <n v="4.99"/>
    <s v="$59.98"/>
    <n v="59.98"/>
    <n v="59.980000000000004"/>
    <s v="True"/>
    <s v="Normal"/>
    <s v="Apple Pay"/>
    <s v="POS"/>
    <s v="pending"/>
    <s v="United States"/>
    <s v="Arizona"/>
    <s v="Valid"/>
    <s v="Jenniferberg"/>
  </r>
  <r>
    <s v="#2143"/>
    <n v="1"/>
    <d v="2026-08-04T14:06:54"/>
    <d v="2026-08-04T14:06:54"/>
    <s v="Daniel Parsons"/>
    <s v="Email Available"/>
    <s v="daniel.parsons636@gmail.com"/>
    <x v="13"/>
    <s v="Footwear"/>
    <x v="14"/>
    <n v="2"/>
    <n v="54.99"/>
    <n v="54.99"/>
    <s v="FREESHIP"/>
    <s v="FREESHIP"/>
    <n v="0"/>
    <n v="0"/>
    <s v="Number"/>
    <n v="0"/>
    <n v="0"/>
    <s v="$109.98"/>
    <n v="109.98"/>
    <n v="109.98"/>
    <s v="True"/>
    <s v="Outlier"/>
    <s v="Apple Pay"/>
    <s v="POS"/>
    <s v="fulfilled"/>
    <s v="United States"/>
    <s v="NY"/>
    <s v="Valid"/>
    <s v="Sanchezmouth"/>
  </r>
  <r>
    <s v="#2202"/>
    <n v="1"/>
    <d v="2026-08-04T13:54:49"/>
    <d v="2026-08-04T13:54:49"/>
    <s v="Rebecca Watts"/>
    <s v="Email Available"/>
    <s v="rebecca.watts779@gmail.com"/>
    <x v="13"/>
    <s v="Footwear"/>
    <x v="14"/>
    <n v="1"/>
    <n v="54.99"/>
    <n v="54.99"/>
    <m/>
    <s v=""/>
    <s v="$0.00"/>
    <n v="0"/>
    <s v="Number"/>
    <n v="7.99"/>
    <n v="7.99"/>
    <n v="62.98"/>
    <n v="62.98"/>
    <n v="62.980000000000004"/>
    <s v="True"/>
    <s v="Normal"/>
    <s v="Credit Card"/>
    <s v="Online Store"/>
    <s v="refunded"/>
    <s v="United States"/>
    <s v="Arizona"/>
    <s v="Valid"/>
    <s v="New Jerry"/>
  </r>
  <r>
    <s v="#2221"/>
    <n v="1"/>
    <d v="2026-08-04T14:05:01"/>
    <d v="2026-08-04T14:05:01"/>
    <s v="Tammy Hawkins"/>
    <s v="Email Available"/>
    <s v="tammy.hawkins461@outlook.com"/>
    <x v="13"/>
    <s v="Footwear"/>
    <x v="14"/>
    <n v="1"/>
    <n v="54.99"/>
    <n v="54.99"/>
    <s v="BFCM25"/>
    <s v="BFCM25"/>
    <n v="13.75"/>
    <n v="13.75"/>
    <s v="Number"/>
    <n v="7.99"/>
    <n v="7.99"/>
    <n v="49.23"/>
    <n v="49.23"/>
    <n v="49.230000000000004"/>
    <s v="True"/>
    <s v="Normal"/>
    <s v="Credit Card"/>
    <s v="Instagram"/>
    <s v="fulfilled"/>
    <s v="United States"/>
    <s v="California"/>
    <s v="Valid"/>
    <s v="East Karen"/>
  </r>
  <r>
    <s v="#2237"/>
    <n v="1"/>
    <d v="2026-08-04T13:54:36"/>
    <d v="2026-08-04T13:54:36"/>
    <s v="Barbara Brown"/>
    <s v="Email Available"/>
    <s v="barbara.brown26@gmail.com"/>
    <x v="13"/>
    <s v="Footwear"/>
    <x v="14"/>
    <n v="1"/>
    <n v="54.99"/>
    <n v="54.99"/>
    <m/>
    <s v=""/>
    <n v="0"/>
    <n v="0"/>
    <s v="Number"/>
    <n v="7.99"/>
    <n v="7.99"/>
    <n v="62.98"/>
    <n v="62.98"/>
    <n v="62.980000000000004"/>
    <s v="True"/>
    <s v="Normal"/>
    <s v="Credit Card"/>
    <s v="POS"/>
    <s v="pending"/>
    <s v="United States"/>
    <s v="NY"/>
    <s v="Valid"/>
    <s v="Port Stephanieview"/>
  </r>
  <r>
    <s v="#2243"/>
    <n v="1"/>
    <d v="2026-08-04T14:06:19"/>
    <d v="2026-08-04T14:06:19"/>
    <s v="Samuel Lee"/>
    <s v="Email Available"/>
    <s v="samuel.lee63@icloud.com"/>
    <x v="13"/>
    <s v="Footwear"/>
    <x v="14"/>
    <n v="1"/>
    <s v="$54.99"/>
    <n v="54.99"/>
    <s v="SAVE20"/>
    <s v="SAVE20"/>
    <n v="11"/>
    <n v="11"/>
    <s v="Number"/>
    <n v="5.99"/>
    <n v="5.99"/>
    <n v="49.98"/>
    <n v="49.98"/>
    <n v="49.980000000000004"/>
    <s v="True"/>
    <s v="Normal"/>
    <s v="Google Pay"/>
    <s v="Facebook"/>
    <s v="fulfilled"/>
    <s v="Australia"/>
    <m/>
    <s v="Not Required"/>
    <s v="New Williamhaven"/>
  </r>
  <r>
    <s v="#2263"/>
    <n v="1"/>
    <d v="2026-08-04T14:05:44"/>
    <d v="2026-08-04T14:05:44"/>
    <s v="Vincent Rosales"/>
    <s v="Missing Email"/>
    <m/>
    <x v="13"/>
    <s v="Footwear"/>
    <x v="14"/>
    <n v="1"/>
    <n v="54.99"/>
    <n v="54.99"/>
    <m/>
    <s v=""/>
    <s v="$0.00"/>
    <n v="0"/>
    <s v="Number"/>
    <n v="7.99"/>
    <n v="7.99"/>
    <n v="62.98"/>
    <n v="62.98"/>
    <n v="62.980000000000004"/>
    <s v="True"/>
    <s v="Normal"/>
    <s v="Apple Pay"/>
    <s v="Instagram"/>
    <s v="pending"/>
    <s v="United States"/>
    <s v="Georgia"/>
    <s v="Valid"/>
    <s v="Joeview"/>
  </r>
  <r>
    <s v="#2267"/>
    <n v="1"/>
    <d v="2026-08-04T13:56:47"/>
    <d v="2026-08-04T13:56:47"/>
    <s v="Natalie Dixon"/>
    <s v="Email Available"/>
    <s v="natalie.dixon388@outlook.com"/>
    <x v="13"/>
    <s v="Footwear"/>
    <x v="14"/>
    <n v="1"/>
    <n v="54.99"/>
    <n v="54.99"/>
    <m/>
    <s v=""/>
    <s v="$0.00"/>
    <n v="0"/>
    <s v="Number"/>
    <n v="5.99"/>
    <n v="5.99"/>
    <n v="60.98"/>
    <n v="60.98"/>
    <n v="60.980000000000004"/>
    <s v="True"/>
    <s v="Normal"/>
    <s v="PayPal"/>
    <s v="Online Store"/>
    <s v="fulfilled"/>
    <s v="United States"/>
    <s v="Ohio"/>
    <s v="Valid"/>
    <s v="Port Megan"/>
  </r>
  <r>
    <s v="#2286"/>
    <n v="1"/>
    <d v="2026-08-04T00:00:00"/>
    <s v="04-08-2026 13:57"/>
    <s v="Joshua Chavez"/>
    <s v="Missing Email"/>
    <m/>
    <x v="13"/>
    <s v="Footwear"/>
    <x v="14"/>
    <n v="1"/>
    <n v="54.99"/>
    <n v="54.99"/>
    <s v="SAVE20"/>
    <s v="SAVE20"/>
    <n v="11"/>
    <n v="11"/>
    <s v="Number"/>
    <n v="4.99"/>
    <n v="4.99"/>
    <n v="48.98"/>
    <n v="48.98"/>
    <n v="48.980000000000004"/>
    <s v="True"/>
    <s v="Normal"/>
    <s v="Credit Card"/>
    <s v="POS"/>
    <s v="fulfilled"/>
    <s v="United States"/>
    <s v="Texas"/>
    <s v="Valid"/>
    <s v="Kathrynshire"/>
  </r>
  <r>
    <s v="#2402"/>
    <n v="1"/>
    <d v="2026-08-04T14:05:27"/>
    <d v="2026-08-04T14:05:27"/>
    <s v="Dustin Mccoy"/>
    <s v="Email Available"/>
    <s v="dustin.mccoy570@gmail.com"/>
    <x v="13"/>
    <s v="Footwear"/>
    <x v="14"/>
    <n v="1"/>
    <n v="54.99"/>
    <n v="54.99"/>
    <m/>
    <s v=""/>
    <n v="0"/>
    <n v="0"/>
    <s v="Number"/>
    <n v="5.99"/>
    <n v="5.99"/>
    <n v="60.98"/>
    <n v="60.98"/>
    <n v="60.980000000000004"/>
    <s v="True"/>
    <s v="Normal"/>
    <s v="PayPal"/>
    <s v="Online Store"/>
    <s v="fulfilled"/>
    <s v="Canada"/>
    <m/>
    <s v="Not Required"/>
    <s v="Lake Mariatown"/>
  </r>
  <r>
    <s v="#2452"/>
    <n v="1"/>
    <d v="2026-08-04T13:56:48"/>
    <d v="2026-08-04T13:56:48"/>
    <s v="Andrea Gallegos"/>
    <s v="Email Available"/>
    <s v="andrea.gallegos495@gmail.com"/>
    <x v="13"/>
    <s v="Footwear"/>
    <x v="14"/>
    <n v="1"/>
    <n v="54.99"/>
    <n v="54.99"/>
    <s v="WELCOME10"/>
    <s v="WELCOME10"/>
    <n v="5.5"/>
    <n v="5.5"/>
    <s v="Number"/>
    <n v="4.99"/>
    <n v="4.99"/>
    <n v="54.48"/>
    <n v="54.48"/>
    <n v="54.480000000000004"/>
    <s v="True"/>
    <s v="Normal"/>
    <s v="Shopify Payments"/>
    <s v="POS"/>
    <s v="pending"/>
    <s v="Germany"/>
    <m/>
    <s v="Not Required"/>
    <s v="New Eric"/>
  </r>
  <r>
    <s v="#2480"/>
    <n v="1"/>
    <d v="2026-08-04T13:55:13"/>
    <d v="2026-08-04T13:55:13"/>
    <s v="Stacey Johnson"/>
    <s v="Email Available"/>
    <s v="stacey.johnson444@outlook.com"/>
    <x v="13"/>
    <s v="Footwear"/>
    <x v="14"/>
    <n v="1"/>
    <n v="54.99"/>
    <n v="54.99"/>
    <s v="BFCM25"/>
    <s v="BFCM25"/>
    <n v="13.75"/>
    <n v="13.75"/>
    <s v="Number"/>
    <n v="4.99"/>
    <n v="4.99"/>
    <n v="46.23"/>
    <n v="46.23"/>
    <n v="46.230000000000004"/>
    <s v="True"/>
    <s v="Normal"/>
    <s v="Shopify Payments"/>
    <s v="Online Store"/>
    <s v="fulfilled"/>
    <s v="United States"/>
    <s v="North Carolina"/>
    <s v="Valid"/>
    <s v="Kimberlyberg"/>
  </r>
  <r>
    <s v="#2514"/>
    <n v="1"/>
    <d v="2026-04-08T00:00:00"/>
    <s v="08/04/2026"/>
    <s v="Russell Walton"/>
    <s v="Email Available"/>
    <s v="russell.walton605@icloud.com"/>
    <x v="13"/>
    <s v="Footwear"/>
    <x v="14"/>
    <n v="1"/>
    <n v="54.99"/>
    <n v="54.99"/>
    <m/>
    <s v=""/>
    <n v="0"/>
    <n v="0"/>
    <s v="Number"/>
    <n v="5.99"/>
    <n v="5.99"/>
    <n v="60.98"/>
    <n v="60.98"/>
    <n v="60.980000000000004"/>
    <s v="True"/>
    <s v="Normal"/>
    <s v="PayPal"/>
    <s v="Facebook"/>
    <s v="fulfilled"/>
    <s v="United States"/>
    <s v="Texas"/>
    <s v="Valid"/>
    <s v="New Kyle"/>
  </r>
  <r>
    <s v="#2537"/>
    <n v="1"/>
    <d v="2026-08-04T14:05:36"/>
    <d v="2026-08-04T14:05:36"/>
    <s v="Nancy Nichols"/>
    <s v="Missing Email"/>
    <m/>
    <x v="13"/>
    <s v="Footwear"/>
    <x v="14"/>
    <n v="1"/>
    <n v="54.99"/>
    <n v="54.99"/>
    <s v="SAVE20"/>
    <s v="SAVE20"/>
    <n v="11"/>
    <n v="11"/>
    <s v="Number"/>
    <n v="5.99"/>
    <n v="5.99"/>
    <n v="49.98"/>
    <n v="49.98"/>
    <n v="49.980000000000004"/>
    <s v="True"/>
    <s v="Normal"/>
    <s v="Apple Pay"/>
    <s v="Instagram"/>
    <s v="fulfilled"/>
    <s v="United States"/>
    <s v="Florida"/>
    <s v="Valid"/>
    <s v="East Joseph"/>
  </r>
  <r>
    <s v="#2552"/>
    <n v="1"/>
    <d v="2026-04-08T00:00:00"/>
    <s v="08/04/2026"/>
    <s v="michael jacobson"/>
    <s v="Email Available"/>
    <s v="michael.jacobson69@outlook.com"/>
    <x v="13"/>
    <s v="Footwear"/>
    <x v="14"/>
    <n v="1"/>
    <n v="54.99"/>
    <n v="54.99"/>
    <s v="VIP15"/>
    <s v="VIP15"/>
    <n v="8.25"/>
    <n v="8.25"/>
    <s v="Number"/>
    <n v="4.99"/>
    <n v="4.99"/>
    <n v="51.73"/>
    <n v="51.73"/>
    <n v="51.730000000000004"/>
    <s v="True"/>
    <s v="Normal"/>
    <s v="Apple Pay"/>
    <s v="Facebook"/>
    <s v="cancelled"/>
    <s v="Germany"/>
    <m/>
    <s v="Not Required"/>
    <s v="Nathanport"/>
  </r>
  <r>
    <s v="#2610"/>
    <n v="1"/>
    <d v="2026-04-08T00:00:00"/>
    <s v="08/04/2026"/>
    <s v="Christy Long"/>
    <s v="Email Available"/>
    <s v="christy.long561@yahoo.com"/>
    <x v="13"/>
    <s v="Footwear"/>
    <x v="14"/>
    <n v="1"/>
    <s v="$54.99"/>
    <n v="54.99"/>
    <s v="WELCOME10"/>
    <s v="WELCOME10"/>
    <n v="5.5"/>
    <n v="5.5"/>
    <s v="Number"/>
    <n v="5.99"/>
    <n v="5.99"/>
    <n v="55.48"/>
    <n v="55.48"/>
    <n v="55.480000000000004"/>
    <s v="True"/>
    <s v="Normal"/>
    <s v="Apple Pay"/>
    <s v="Online Store"/>
    <s v="pending"/>
    <s v="United Kingdom"/>
    <m/>
    <s v="Not Required"/>
    <s v="South Roy"/>
  </r>
  <r>
    <s v="#2636"/>
    <n v="1"/>
    <d v="2026-08-04T00:00:00"/>
    <s v="04-08-2026 13:54"/>
    <s v="Michael Hays"/>
    <s v="Email Available"/>
    <s v="michael.hays590@gmail.com"/>
    <x v="13"/>
    <s v="Footwear"/>
    <x v="14"/>
    <n v="1"/>
    <n v="54.99"/>
    <n v="54.99"/>
    <s v="SAVE20"/>
    <s v="SAVE20"/>
    <n v="11"/>
    <n v="11"/>
    <s v="Number"/>
    <n v="5.99"/>
    <n v="5.99"/>
    <n v="49.98"/>
    <n v="49.98"/>
    <n v="49.980000000000004"/>
    <s v="True"/>
    <s v="Normal"/>
    <s v="Apple Pay"/>
    <s v="Instagram"/>
    <s v="fulfilled"/>
    <s v="United States"/>
    <s v="NY"/>
    <s v="Valid"/>
    <s v="Gutierrezville"/>
  </r>
  <r>
    <s v="#2649"/>
    <n v="1"/>
    <d v="2026-08-04T13:54:29"/>
    <d v="2026-08-04T13:54:29"/>
    <s v="Kimberly Mitchell"/>
    <s v="Email Available"/>
    <s v="kimberly.mitchell299@gmail.com"/>
    <x v="13"/>
    <s v="Footwear"/>
    <x v="14"/>
    <n v="1"/>
    <n v="54.99"/>
    <n v="54.99"/>
    <s v="FREESHIP"/>
    <s v="FREESHIP"/>
    <n v="0"/>
    <n v="0"/>
    <s v="Number"/>
    <n v="0"/>
    <n v="0"/>
    <n v="54.99"/>
    <n v="54.99"/>
    <n v="54.99"/>
    <s v="True"/>
    <s v="Normal"/>
    <s v="Apple Pay"/>
    <s v="Instagram"/>
    <s v="refunded"/>
    <s v="United States"/>
    <s v="New York"/>
    <s v="Valid"/>
    <s v="Garyton"/>
  </r>
  <r>
    <s v="#2676"/>
    <n v="1"/>
    <d v="2026-08-04T13:59:43"/>
    <d v="2026-08-04T13:59:43"/>
    <s v="Samuel Padilla"/>
    <s v="Email Available"/>
    <s v="samuel.padilla79@gmail.com"/>
    <x v="13"/>
    <s v="Footwear"/>
    <x v="14"/>
    <n v="2"/>
    <n v="54.99"/>
    <n v="54.99"/>
    <s v="SAVE20"/>
    <s v="SAVE20"/>
    <n v="22"/>
    <n v="22"/>
    <s v="Number"/>
    <n v="0"/>
    <n v="0"/>
    <n v="87.98"/>
    <n v="87.98"/>
    <n v="87.98"/>
    <s v="True"/>
    <s v="Outlier"/>
    <s v="Credit Card"/>
    <s v="POS"/>
    <s v="fulfilled"/>
    <s v="United States"/>
    <s v="Washington"/>
    <s v="Valid"/>
    <s v="Luisbury"/>
  </r>
  <r>
    <s v="#2681"/>
    <n v="1"/>
    <d v="2026-08-04T13:59:46"/>
    <d v="2026-08-04T13:59:46"/>
    <s v="Bradley Farmer"/>
    <s v="Email Available"/>
    <s v="bradley.farmer290@icloud.com"/>
    <x v="13"/>
    <s v="Footwear"/>
    <x v="14"/>
    <n v="1"/>
    <n v="54.99"/>
    <n v="54.99"/>
    <m/>
    <s v=""/>
    <n v="0"/>
    <n v="0"/>
    <s v="Number"/>
    <n v="7.99"/>
    <n v="7.99"/>
    <n v="62.98"/>
    <n v="62.98"/>
    <n v="62.980000000000004"/>
    <s v="True"/>
    <s v="Normal"/>
    <s v="PayPal"/>
    <s v="Instagram"/>
    <s v="fulfilled"/>
    <s v="United Kingdom"/>
    <m/>
    <s v="Not Required"/>
    <s v="Kimberlyview"/>
  </r>
  <r>
    <s v="#2731"/>
    <n v="1"/>
    <d v="2026-04-08T00:00:00"/>
    <s v="08/04/2026"/>
    <s v="Elizabeth Johnston"/>
    <s v="Email Available"/>
    <s v="elizabeth.johnston946@gmail.com"/>
    <x v="13"/>
    <s v="Footwear"/>
    <x v="14"/>
    <n v="1"/>
    <n v="54.99"/>
    <n v="54.99"/>
    <s v="BFCM25"/>
    <s v="BFCM25"/>
    <n v="13.75"/>
    <n v="13.75"/>
    <s v="Number"/>
    <n v="4.99"/>
    <n v="4.99"/>
    <n v="46.23"/>
    <n v="46.23"/>
    <n v="46.230000000000004"/>
    <s v="True"/>
    <s v="Normal"/>
    <s v="Apple Pay"/>
    <s v="Facebook"/>
    <s v="fulfilled"/>
    <s v="United Kingdom"/>
    <m/>
    <s v="Not Required"/>
    <s v="Batesborough"/>
  </r>
  <r>
    <s v="#2757"/>
    <n v="1"/>
    <d v="2026-08-04T13:58:34"/>
    <d v="2026-08-04T13:58:34"/>
    <s v="  Amy West"/>
    <s v="Email Available"/>
    <s v="amy.west811@icloud.com"/>
    <x v="13"/>
    <s v="Footwear"/>
    <x v="14"/>
    <n v="2"/>
    <n v="54.99"/>
    <n v="54.99"/>
    <m/>
    <s v=""/>
    <n v="0"/>
    <n v="0"/>
    <s v="Number"/>
    <n v="0"/>
    <n v="0"/>
    <n v="109.98"/>
    <n v="109.98"/>
    <n v="109.98"/>
    <s v="True"/>
    <s v="Outlier"/>
    <s v="Shopify Payments"/>
    <s v="Online Store"/>
    <s v="fulfilled"/>
    <s v="Australia"/>
    <m/>
    <s v="Not Required"/>
    <s v="Cunninghamland"/>
  </r>
  <r>
    <s v="#2775"/>
    <n v="1"/>
    <d v="2026-08-04T14:03:53"/>
    <d v="2026-08-04T14:03:53"/>
    <s v="Charles Franco"/>
    <s v="Email Available"/>
    <s v="charles.franco761@outlook.com"/>
    <x v="13"/>
    <s v="Footwear"/>
    <x v="14"/>
    <n v="2"/>
    <n v="54.99"/>
    <n v="54.99"/>
    <s v="VIP15"/>
    <s v="VIP15"/>
    <n v="16.5"/>
    <n v="16.5"/>
    <s v="Number"/>
    <n v="0"/>
    <n v="0"/>
    <n v="93.48"/>
    <n v="93.48"/>
    <n v="93.48"/>
    <s v="True"/>
    <s v="Outlier"/>
    <s v="Apple Pay"/>
    <s v="Facebook"/>
    <s v="fulfilled"/>
    <s v="United States"/>
    <s v="Georgia"/>
    <s v="Valid"/>
    <s v="Jacobton"/>
  </r>
  <r>
    <s v="#2824"/>
    <n v="1"/>
    <d v="2026-08-04T13:56:28"/>
    <d v="2026-08-04T13:56:28"/>
    <s v="Devon Rodriguez"/>
    <s v="Email Available"/>
    <s v="devon.rodriguez635@outlook.com"/>
    <x v="13"/>
    <s v="Footwear"/>
    <x v="14"/>
    <n v="1"/>
    <n v="54.99"/>
    <n v="54.99"/>
    <m/>
    <s v=""/>
    <n v="0"/>
    <n v="0"/>
    <s v="Number"/>
    <n v="7.99"/>
    <n v="7.99"/>
    <n v="62.98"/>
    <n v="62.98"/>
    <n v="62.980000000000004"/>
    <s v="True"/>
    <s v="Normal"/>
    <s v="Apple Pay"/>
    <s v="POS"/>
    <s v="refunded"/>
    <s v="United States"/>
    <s v="Texas"/>
    <s v="Valid"/>
    <s v="South Nicholasberg"/>
  </r>
  <r>
    <s v="#2880"/>
    <n v="1"/>
    <d v="2026-08-04T14:01:13"/>
    <d v="2026-08-04T14:01:13"/>
    <s v="Brianna Hicks"/>
    <s v="Email Available"/>
    <s v="brianna.hicks972@icloud.com"/>
    <x v="13"/>
    <s v="Footwear"/>
    <x v="14"/>
    <n v="1"/>
    <n v="54.99"/>
    <n v="54.99"/>
    <s v="WELCOME10"/>
    <s v="WELCOME10"/>
    <n v="5.5"/>
    <n v="5.5"/>
    <s v="Number"/>
    <n v="5.99"/>
    <n v="5.99"/>
    <n v="55.48"/>
    <n v="55.48"/>
    <n v="55.480000000000004"/>
    <s v="True"/>
    <s v="Normal"/>
    <s v="Credit Card"/>
    <s v="Online Store"/>
    <s v="pending"/>
    <s v="United States"/>
    <s v="TX"/>
    <s v="Valid"/>
    <s v="Shawnshire"/>
  </r>
  <r>
    <s v="#2886"/>
    <n v="1"/>
    <d v="2026-08-04T14:00:20"/>
    <d v="2026-08-04T14:00:20"/>
    <s v="Jaime Vargas"/>
    <s v="Email Available"/>
    <s v="jaime.vargas795@outlook.com"/>
    <x v="13"/>
    <s v="Footwear"/>
    <x v="14"/>
    <n v="1"/>
    <s v="$54.99"/>
    <n v="54.99"/>
    <m/>
    <s v=""/>
    <n v="0"/>
    <n v="0"/>
    <s v="Number"/>
    <n v="5.99"/>
    <n v="5.99"/>
    <n v="60.98"/>
    <n v="60.98"/>
    <n v="60.980000000000004"/>
    <s v="True"/>
    <s v="Normal"/>
    <s v="PayPal"/>
    <s v="Online Store"/>
    <s v="refunded"/>
    <s v="United Kingdom"/>
    <m/>
    <s v="Not Required"/>
    <s v="Hernandezbury"/>
  </r>
  <r>
    <s v="#2913"/>
    <n v="1"/>
    <d v="2026-08-04T14:00:54"/>
    <d v="2026-08-04T14:00:54"/>
    <s v="JAMES MILLER"/>
    <s v="Email Available"/>
    <s v="james.miller866@yahoo.com"/>
    <x v="13"/>
    <s v="Footwear"/>
    <x v="14"/>
    <n v="1"/>
    <n v="54.99"/>
    <n v="54.99"/>
    <s v="BFCM25"/>
    <s v="BFCM25"/>
    <n v="13.75"/>
    <n v="13.75"/>
    <s v="Number"/>
    <n v="4.99"/>
    <n v="4.99"/>
    <n v="46.23"/>
    <n v="46.23"/>
    <n v="46.230000000000004"/>
    <s v="True"/>
    <s v="Normal"/>
    <s v="Credit Card"/>
    <s v="Facebook"/>
    <s v="cancelled"/>
    <s v="Pakistan"/>
    <m/>
    <s v="Not Required"/>
    <s v="Mercadostad"/>
  </r>
  <r>
    <s v="#2940"/>
    <n v="1"/>
    <d v="2026-08-04T14:02:40"/>
    <d v="2026-08-04T14:02:40"/>
    <s v="Maria Leon"/>
    <s v="Email Available"/>
    <s v="maria.leon163@outlook.com"/>
    <x v="13"/>
    <s v="Footwear"/>
    <x v="14"/>
    <n v="2"/>
    <n v="54.99"/>
    <n v="54.99"/>
    <m/>
    <s v=""/>
    <n v="0"/>
    <n v="0"/>
    <s v="Number"/>
    <n v="0"/>
    <n v="0"/>
    <n v="109.98"/>
    <n v="109.98"/>
    <n v="109.98"/>
    <s v="True"/>
    <s v="Outlier"/>
    <s v="Google Pay"/>
    <s v="Online Store"/>
    <s v="cancelled"/>
    <s v="Canada"/>
    <m/>
    <s v="Not Required"/>
    <s v="New Alejandra"/>
  </r>
  <r>
    <s v="#2959"/>
    <n v="1"/>
    <d v="2026-08-04T14:00:40"/>
    <d v="2026-08-04T14:00:40"/>
    <s v="Mary Garcia"/>
    <s v="Email Available"/>
    <s v="mary.garcia899@icloud.com"/>
    <x v="13"/>
    <s v="Footwear"/>
    <x v="14"/>
    <n v="2"/>
    <n v="54.99"/>
    <n v="54.99"/>
    <s v="WELCOME10"/>
    <s v="WELCOME10"/>
    <s v="$11.00"/>
    <n v="11"/>
    <s v="Number"/>
    <n v="0"/>
    <n v="0"/>
    <n v="98.98"/>
    <n v="98.98"/>
    <n v="98.98"/>
    <s v="True"/>
    <s v="Outlier"/>
    <s v="PayPal"/>
    <s v="Online Store"/>
    <s v="cancelled"/>
    <s v="Canada"/>
    <m/>
    <s v="Not Required"/>
    <s v="Campbellfurt"/>
  </r>
  <r>
    <s v="#2963"/>
    <n v="1"/>
    <d v="2026-08-04T13:54:29"/>
    <d v="2026-08-04T13:54:29"/>
    <s v="John Carson"/>
    <s v="Email Available"/>
    <s v="john.carson203@yahoo.com"/>
    <x v="13"/>
    <s v="Footwear"/>
    <x v="14"/>
    <n v="1"/>
    <n v="54.99"/>
    <n v="54.99"/>
    <s v="BFCM25"/>
    <s v="BFCM25"/>
    <n v="13.75"/>
    <n v="13.75"/>
    <s v="Number"/>
    <n v="5.99"/>
    <n v="5.99"/>
    <n v="47.23"/>
    <n v="47.23"/>
    <n v="47.230000000000004"/>
    <s v="True"/>
    <s v="Normal"/>
    <s v="Credit Card"/>
    <s v="Online Store"/>
    <s v="cancelled"/>
    <s v="United States"/>
    <s v="North Carolina"/>
    <s v="Valid"/>
    <s v="Keithfort"/>
  </r>
  <r>
    <s v="#2983"/>
    <n v="1"/>
    <d v="2026-08-04T14:07:27"/>
    <d v="2026-08-04T14:07:27"/>
    <s v="Sarah Webb"/>
    <s v="Email Available"/>
    <s v="sarah.webb997@outlook.com"/>
    <x v="13"/>
    <s v="Footwear"/>
    <x v="14"/>
    <n v="1"/>
    <n v="54.99"/>
    <n v="54.99"/>
    <s v="WELCOME10"/>
    <s v="WELCOME10"/>
    <s v="$5.50"/>
    <n v="5.5"/>
    <s v="Number"/>
    <n v="7.99"/>
    <n v="7.99"/>
    <n v="57.48"/>
    <n v="57.48"/>
    <n v="57.480000000000004"/>
    <s v="True"/>
    <s v="Normal"/>
    <s v="Apple Pay"/>
    <s v="POS"/>
    <s v="pending"/>
    <s v="Germany"/>
    <m/>
    <s v="Not Required"/>
    <s v="Smithside"/>
  </r>
  <r>
    <s v="#2997"/>
    <n v="1"/>
    <d v="2026-08-04T13:53:57"/>
    <d v="2026-08-04T13:53:57"/>
    <s v="Teresa Campbell"/>
    <s v="Email Available"/>
    <s v="teresa.campbell610@icloud.com"/>
    <x v="13"/>
    <s v="Footwear"/>
    <x v="14"/>
    <n v="2"/>
    <n v="54.99"/>
    <n v="54.99"/>
    <s v="WELCOME10"/>
    <s v="WELCOME10"/>
    <n v="11"/>
    <n v="11"/>
    <s v="Number"/>
    <n v="0"/>
    <n v="0"/>
    <n v="98.98"/>
    <n v="98.98"/>
    <n v="98.98"/>
    <s v="True"/>
    <s v="Outlier"/>
    <s v="Google Pay"/>
    <s v="Online Store"/>
    <s v="fulfilled"/>
    <s v="United Kingdom"/>
    <m/>
    <s v="Not Required"/>
    <s v="Moorefurt"/>
  </r>
  <r>
    <s v="#1220"/>
    <n v="1"/>
    <d v="2026-08-04T00:00:00"/>
    <s v="04-08-2026 13:53"/>
    <s v="  Megan Dickson"/>
    <s v="Email Available"/>
    <s v="megan.dickson508@gmail.com"/>
    <x v="14"/>
    <s v="Footwear"/>
    <x v="15"/>
    <n v="1"/>
    <n v="54.99"/>
    <n v="54.99"/>
    <s v="BFCM25"/>
    <s v="BFCM25"/>
    <n v="13.75"/>
    <n v="13.75"/>
    <s v="Number"/>
    <n v="7.99"/>
    <n v="7.99"/>
    <n v="49.23"/>
    <n v="49.23"/>
    <n v="49.230000000000004"/>
    <s v="True"/>
    <s v="Normal"/>
    <s v="Google Pay"/>
    <s v="Online Store"/>
    <s v="fulfilled"/>
    <s v="United Kingdom"/>
    <m/>
    <s v="Not Required"/>
    <s v="Lake Joe"/>
  </r>
  <r>
    <s v="#1770"/>
    <n v="1"/>
    <d v="2026-08-04T14:08:16"/>
    <d v="2026-08-04T14:08:16"/>
    <s v="Richard Ward"/>
    <s v="Email Available"/>
    <s v="richard.ward894@icloud.com"/>
    <x v="14"/>
    <s v="Footwear"/>
    <x v="15"/>
    <n v="1"/>
    <n v="54.99"/>
    <n v="54.99"/>
    <s v="VIP15"/>
    <s v="VIP15"/>
    <n v="8.25"/>
    <n v="8.25"/>
    <s v="Number"/>
    <n v="4.99"/>
    <n v="4.99"/>
    <n v="51.73"/>
    <n v="51.73"/>
    <n v="51.730000000000004"/>
    <s v="True"/>
    <s v="Normal"/>
    <s v="Google Pay"/>
    <s v="POS"/>
    <s v="cancelled"/>
    <s v="Pakistan"/>
    <m/>
    <s v="Not Required"/>
    <s v="Lake Aprilstad"/>
  </r>
  <r>
    <s v="#2674"/>
    <n v="1"/>
    <d v="2026-08-04T13:53:51"/>
    <d v="2026-08-04T13:53:51"/>
    <s v="Kendra Price"/>
    <s v="Missing Email"/>
    <m/>
    <x v="14"/>
    <s v="Footwear"/>
    <x v="15"/>
    <n v="1"/>
    <n v="54.99"/>
    <n v="54.99"/>
    <m/>
    <s v=""/>
    <n v="0"/>
    <n v="0"/>
    <s v="Number"/>
    <n v="7.99"/>
    <n v="7.99"/>
    <n v="62.98"/>
    <n v="62.98"/>
    <n v="62.980000000000004"/>
    <s v="True"/>
    <s v="Normal"/>
    <s v="Credit Card"/>
    <s v="Online Store"/>
    <s v="fulfilled"/>
    <s v="Germany"/>
    <m/>
    <s v="Not Required"/>
    <s v="Jonathanville"/>
  </r>
  <r>
    <s v="#1008"/>
    <n v="1"/>
    <d v="2026-08-04T13:55:20"/>
    <d v="2026-08-04T13:55:20"/>
    <s v="austin norris"/>
    <s v="Email Available"/>
    <s v="austin.norris15@gmail.com"/>
    <x v="14"/>
    <s v="Footwear"/>
    <x v="15"/>
    <n v="1"/>
    <n v="54.99"/>
    <n v="54.99"/>
    <m/>
    <s v=""/>
    <n v="0"/>
    <n v="0"/>
    <s v="Number"/>
    <n v="4.99"/>
    <n v="4.99"/>
    <n v="59.98"/>
    <n v="59.98"/>
    <n v="59.980000000000004"/>
    <s v="True"/>
    <s v="Normal"/>
    <s v="Credit Card"/>
    <s v="Instagram"/>
    <s v="fulfilled"/>
    <s v="United States"/>
    <s v="Florida"/>
    <s v="Valid"/>
    <s v="South Kaitlyn"/>
  </r>
  <r>
    <s v="#1009"/>
    <n v="1"/>
    <d v="2026-08-04T14:06:48"/>
    <d v="2026-08-04T14:06:48"/>
    <s v="Jennifer Burke"/>
    <s v="Email Available"/>
    <s v="jennifer.burke472@icloud.com"/>
    <x v="14"/>
    <s v="Footwear"/>
    <x v="15"/>
    <n v="3"/>
    <n v="54.99"/>
    <n v="54.99"/>
    <s v="SAVE20"/>
    <s v="SAVE20"/>
    <n v="32.99"/>
    <n v="32.99"/>
    <s v="Number"/>
    <n v="0"/>
    <n v="0"/>
    <s v="$131.98"/>
    <n v="131.97999999999999"/>
    <n v="131.97999999999999"/>
    <s v="True"/>
    <s v="Outlier"/>
    <s v="Google Pay"/>
    <s v="Online Store"/>
    <s v="cancelled"/>
    <s v="Pakistan"/>
    <m/>
    <s v="Not Required"/>
    <s v="Reneemouth"/>
  </r>
  <r>
    <s v="#1022"/>
    <n v="1"/>
    <d v="2026-08-04T00:00:00"/>
    <s v="Aug 04, 2026"/>
    <s v="Rebecca Watts"/>
    <s v="Email Available"/>
    <s v="rebecca.watts779@gmail.com"/>
    <x v="14"/>
    <s v="Footwear"/>
    <x v="15"/>
    <n v="2"/>
    <n v="54.99"/>
    <n v="54.99"/>
    <m/>
    <s v=""/>
    <n v="0"/>
    <n v="0"/>
    <s v="Number"/>
    <n v="0"/>
    <n v="0"/>
    <n v="109.98"/>
    <n v="109.98"/>
    <n v="109.98"/>
    <s v="True"/>
    <s v="Outlier"/>
    <s v="Shopify Payments"/>
    <s v="Instagram"/>
    <s v="fulfilled"/>
    <s v="United States"/>
    <s v="Illinois"/>
    <s v="Valid"/>
    <s v="Tammystad"/>
  </r>
  <r>
    <s v="#1042"/>
    <n v="1"/>
    <d v="2026-08-04T13:55:24"/>
    <d v="2026-08-04T13:55:24"/>
    <s v="Angie Martin"/>
    <s v="Email Available"/>
    <s v="angie.martin506@icloud.com"/>
    <x v="14"/>
    <s v="Footwear"/>
    <x v="15"/>
    <n v="1"/>
    <n v="54.99"/>
    <n v="54.99"/>
    <s v="VIP15"/>
    <s v="VIP15"/>
    <n v="8.25"/>
    <n v="8.25"/>
    <s v="Number"/>
    <n v="5.99"/>
    <n v="5.99"/>
    <n v="52.73"/>
    <n v="52.73"/>
    <n v="52.730000000000004"/>
    <s v="True"/>
    <s v="Normal"/>
    <s v="PayPal"/>
    <s v="Online Store"/>
    <s v="fulfilled"/>
    <s v="Pakistan"/>
    <m/>
    <s v="Not Required"/>
    <s v="West Travis"/>
  </r>
  <r>
    <s v="#1046"/>
    <n v="1"/>
    <d v="2026-08-04T14:03:04"/>
    <d v="2026-08-04T14:03:04"/>
    <s v="Kristen Lewis"/>
    <s v="Email Available"/>
    <s v="kristen.lewis649@icloud.com"/>
    <x v="14"/>
    <s v="Footwear"/>
    <x v="15"/>
    <n v="1"/>
    <n v="54.99"/>
    <n v="54.99"/>
    <s v="VIP15"/>
    <s v="VIP15"/>
    <n v="8.25"/>
    <n v="8.25"/>
    <s v="Number"/>
    <n v="7.99"/>
    <n v="7.99"/>
    <n v="54.73"/>
    <n v="54.73"/>
    <n v="54.730000000000004"/>
    <s v="True"/>
    <s v="Normal"/>
    <s v="Credit Card"/>
    <s v="Online Store"/>
    <s v="fulfilled"/>
    <s v="United States"/>
    <s v="WA"/>
    <s v="Valid"/>
    <s v="North Jacqueline"/>
  </r>
  <r>
    <s v="#1099"/>
    <n v="1"/>
    <d v="2026-08-04T14:00:01"/>
    <d v="2026-08-04T14:00:01"/>
    <s v="Michael Davis"/>
    <s v="Email Available"/>
    <s v="michael.davis313@outlook.com"/>
    <x v="14"/>
    <s v="Footwear"/>
    <x v="15"/>
    <n v="1"/>
    <n v="54.99"/>
    <n v="54.99"/>
    <s v="BFCM25"/>
    <s v="BFCM25"/>
    <n v="13.75"/>
    <n v="13.75"/>
    <s v="Number"/>
    <n v="5.99"/>
    <n v="5.99"/>
    <n v="47.23"/>
    <n v="47.23"/>
    <n v="47.230000000000004"/>
    <s v="True"/>
    <s v="Normal"/>
    <s v="Shopify Payments"/>
    <s v="POS"/>
    <s v="fulfilled"/>
    <s v="United States"/>
    <s v="California"/>
    <s v="Valid"/>
    <s v="Sarahborough"/>
  </r>
  <r>
    <s v="#1100"/>
    <n v="1"/>
    <d v="2026-08-04T13:56:47"/>
    <d v="2026-08-04T13:56:47"/>
    <s v="OMAR SANDERS"/>
    <s v="Email Available"/>
    <s v="omar.sanders208@outlook.com"/>
    <x v="14"/>
    <s v="Footwear"/>
    <x v="15"/>
    <n v="1"/>
    <n v="54.99"/>
    <n v="54.99"/>
    <s v="WELCOME10"/>
    <s v="WELCOME10"/>
    <n v="5.5"/>
    <n v="5.5"/>
    <s v="Number"/>
    <n v="7.99"/>
    <n v="7.99"/>
    <s v="$57.48"/>
    <n v="57.48"/>
    <n v="57.480000000000004"/>
    <s v="True"/>
    <s v="Normal"/>
    <s v="Credit Card"/>
    <s v="Facebook"/>
    <s v="fulfilled"/>
    <s v="United Kingdom"/>
    <m/>
    <s v="Not Required"/>
    <s v="Mclaughlinbury"/>
  </r>
  <r>
    <s v="#1130"/>
    <n v="1"/>
    <d v="2026-08-04T13:59:11"/>
    <d v="2026-08-04T13:59:11"/>
    <s v="Andrew Wheeler"/>
    <s v="Email Available"/>
    <s v="andrew.wheeler379@yahoo.com"/>
    <x v="14"/>
    <s v="Footwear"/>
    <x v="15"/>
    <n v="1"/>
    <n v="54.99"/>
    <n v="54.99"/>
    <s v="VIP15"/>
    <s v="VIP15"/>
    <n v="8.25"/>
    <n v="8.25"/>
    <s v="Number"/>
    <n v="4.99"/>
    <n v="4.99"/>
    <n v="51.73"/>
    <n v="51.73"/>
    <n v="51.730000000000004"/>
    <s v="True"/>
    <s v="Normal"/>
    <s v="PayPal"/>
    <s v="Instagram"/>
    <s v="fulfilled"/>
    <s v="United States"/>
    <s v="Ohio"/>
    <s v="Valid"/>
    <s v="Perezville"/>
  </r>
  <r>
    <s v="#1148"/>
    <n v="1"/>
    <d v="2026-08-04T14:01:58"/>
    <d v="2026-08-04T14:01:58"/>
    <s v="Johnathan Everett"/>
    <s v="Email Available"/>
    <s v="johnathan.everett6@outlook.com"/>
    <x v="14"/>
    <s v="Footwear"/>
    <x v="15"/>
    <n v="1"/>
    <n v="54.99"/>
    <n v="54.99"/>
    <s v="WELCOME10"/>
    <s v="WELCOME10"/>
    <n v="5.5"/>
    <n v="5.5"/>
    <s v="Number"/>
    <n v="5.99"/>
    <n v="5.99"/>
    <n v="55.48"/>
    <n v="55.48"/>
    <n v="55.480000000000004"/>
    <s v="True"/>
    <s v="Normal"/>
    <s v="Shopify Payments"/>
    <s v="Facebook"/>
    <s v="fulfilled"/>
    <s v="United States"/>
    <s v="WA"/>
    <s v="Valid"/>
    <s v="Davischester"/>
  </r>
  <r>
    <s v="#1150"/>
    <n v="1"/>
    <d v="2026-08-04T14:01:59"/>
    <d v="2026-08-04T14:01:59"/>
    <s v="Jaime Vargas"/>
    <s v="Email Available"/>
    <s v="jaime.vargas795@outlook.com"/>
    <x v="14"/>
    <s v="Footwear"/>
    <x v="15"/>
    <n v="1"/>
    <n v="54.99"/>
    <n v="54.99"/>
    <s v="BFCM25"/>
    <s v="BFCM25"/>
    <n v="13.75"/>
    <n v="13.75"/>
    <s v="Number"/>
    <n v="7.99"/>
    <n v="7.99"/>
    <n v="49.23"/>
    <n v="49.23"/>
    <n v="49.230000000000004"/>
    <s v="True"/>
    <s v="Normal"/>
    <s v="Credit Card"/>
    <s v="Online Store"/>
    <s v="refunded"/>
    <s v="United Kingdom"/>
    <m/>
    <s v="Not Required"/>
    <s v="Perryberg"/>
  </r>
  <r>
    <s v="#1173"/>
    <n v="1"/>
    <d v="2026-08-04T14:07:30"/>
    <d v="2026-08-04T14:07:30"/>
    <s v="Samuel Lee"/>
    <s v="Email Available"/>
    <s v="samuel.lee63@icloud.com"/>
    <x v="14"/>
    <s v="Footwear"/>
    <x v="15"/>
    <n v="1"/>
    <n v="54.99"/>
    <n v="54.99"/>
    <m/>
    <s v=""/>
    <n v="0"/>
    <n v="0"/>
    <s v="Number"/>
    <n v="4.99"/>
    <n v="4.99"/>
    <n v="59.98"/>
    <n v="59.98"/>
    <n v="59.980000000000004"/>
    <s v="True"/>
    <s v="Normal"/>
    <s v="Credit Card"/>
    <s v="Online Store"/>
    <s v="fulfilled"/>
    <s v="Australia"/>
    <m/>
    <s v="Not Required"/>
    <s v="South Ericburgh"/>
  </r>
  <r>
    <s v="#1177"/>
    <n v="1"/>
    <d v="2026-08-04T14:00:31"/>
    <d v="2026-08-04T14:00:31"/>
    <s v="Nicole Taylor"/>
    <s v="Email Available"/>
    <s v="nicole.taylor607@icloud.com"/>
    <x v="14"/>
    <s v="Footwear"/>
    <x v="15"/>
    <n v="1"/>
    <n v="54.99"/>
    <n v="54.99"/>
    <s v="BFCM25"/>
    <s v="BFCM25"/>
    <n v="13.75"/>
    <n v="13.75"/>
    <s v="Number"/>
    <n v="5.99"/>
    <n v="5.99"/>
    <n v="47.23"/>
    <n v="47.23"/>
    <n v="47.230000000000004"/>
    <s v="True"/>
    <s v="Normal"/>
    <s v="PayPal"/>
    <s v="Facebook"/>
    <s v="fulfilled"/>
    <s v="United States"/>
    <s v="Texas"/>
    <s v="Valid"/>
    <s v="Mcphersonmouth"/>
  </r>
  <r>
    <s v="#1248"/>
    <n v="1"/>
    <d v="2026-08-04T14:04:31"/>
    <d v="2026-08-04T14:04:31"/>
    <s v="Melissa Smith"/>
    <s v="Email Available"/>
    <s v="melissa.smith711@gmail.com"/>
    <x v="14"/>
    <s v="Footwear"/>
    <x v="15"/>
    <n v="2"/>
    <n v="54.99"/>
    <n v="54.99"/>
    <s v="BFCM25"/>
    <s v="BFCM25"/>
    <n v="27.5"/>
    <n v="27.5"/>
    <s v="Number"/>
    <n v="0"/>
    <n v="0"/>
    <n v="82.48"/>
    <n v="82.48"/>
    <n v="82.48"/>
    <s v="True"/>
    <s v="Outlier"/>
    <s v="Credit Card"/>
    <s v="Online Store"/>
    <s v="fulfilled"/>
    <s v="Pakistan"/>
    <m/>
    <s v="Not Required"/>
    <s v="Thompsonshire"/>
  </r>
  <r>
    <s v="#1261"/>
    <n v="1"/>
    <d v="2026-08-04T13:56:13"/>
    <d v="2026-08-04T13:56:13"/>
    <s v="Tyler Williams"/>
    <s v="Email Available"/>
    <s v="tyler.williams938@outlook.com"/>
    <x v="14"/>
    <s v="Footwear"/>
    <x v="15"/>
    <n v="1"/>
    <s v="$54.99"/>
    <n v="54.99"/>
    <m/>
    <s v=""/>
    <n v="0"/>
    <n v="0"/>
    <s v="Number"/>
    <n v="7.99"/>
    <n v="7.99"/>
    <n v="62.98"/>
    <n v="62.98"/>
    <n v="62.980000000000004"/>
    <s v="True"/>
    <s v="Normal"/>
    <s v="Credit Card"/>
    <s v="Online Store"/>
    <s v="cancelled"/>
    <s v="Australia"/>
    <m/>
    <s v="Not Required"/>
    <s v="South Jasonmouth"/>
  </r>
  <r>
    <s v="#1322"/>
    <n v="1"/>
    <d v="2026-08-04T00:00:00"/>
    <s v="04-08-2026 14:04"/>
    <s v="Timothy Hodges"/>
    <s v="Missing Email"/>
    <m/>
    <x v="14"/>
    <s v="Footwear"/>
    <x v="15"/>
    <n v="1"/>
    <n v="54.99"/>
    <n v="54.99"/>
    <s v="SAVE20"/>
    <s v="SAVE20"/>
    <n v="11"/>
    <n v="11"/>
    <s v="Number"/>
    <n v="5.99"/>
    <n v="5.99"/>
    <n v="49.98"/>
    <n v="49.98"/>
    <n v="49.980000000000004"/>
    <s v="True"/>
    <s v="Normal"/>
    <s v="Credit Card"/>
    <s v="POS"/>
    <s v="fulfilled"/>
    <s v="Australia"/>
    <m/>
    <s v="Not Required"/>
    <s v="Tammyshire"/>
  </r>
  <r>
    <s v="#1329"/>
    <n v="1"/>
    <d v="2026-08-04T14:07:03"/>
    <d v="2026-08-04T14:07:03"/>
    <s v="Christopher Harrington"/>
    <s v="Email Available"/>
    <s v="christopher.harrington960@gmail.com"/>
    <x v="14"/>
    <s v="Footwear"/>
    <x v="15"/>
    <n v="1"/>
    <n v="54.99"/>
    <n v="54.99"/>
    <s v="SAVE20"/>
    <s v="SAVE20"/>
    <n v="11"/>
    <n v="11"/>
    <s v="Number"/>
    <n v="7.99"/>
    <n v="7.99"/>
    <n v="51.98"/>
    <n v="51.98"/>
    <n v="51.980000000000004"/>
    <s v="True"/>
    <s v="Normal"/>
    <s v="Credit Card"/>
    <s v="Online Store"/>
    <s v="refunded"/>
    <s v="Australia"/>
    <m/>
    <s v="Not Required"/>
    <s v="West Andrew"/>
  </r>
  <r>
    <s v="#1363"/>
    <n v="1"/>
    <d v="2026-08-04T13:54:46"/>
    <d v="2026-08-04T13:54:46"/>
    <s v="William Houston"/>
    <s v="Email Available"/>
    <s v="william.houston340@outlook.com"/>
    <x v="14"/>
    <s v="Footwear"/>
    <x v="15"/>
    <n v="2"/>
    <n v="54.99"/>
    <n v="54.99"/>
    <s v="WELCOME10"/>
    <s v="WELCOME10"/>
    <n v="11"/>
    <n v="11"/>
    <s v="Number"/>
    <n v="0"/>
    <n v="0"/>
    <n v="98.98"/>
    <n v="98.98"/>
    <n v="98.98"/>
    <s v="True"/>
    <s v="Outlier"/>
    <s v="PayPal"/>
    <s v="Online Store"/>
    <s v="fulfilled"/>
    <s v="United States"/>
    <s v="Ohio"/>
    <s v="Valid"/>
    <s v="Adamhaven"/>
  </r>
  <r>
    <s v="#1396"/>
    <n v="1"/>
    <d v="2026-08-04T13:58:19"/>
    <d v="2026-08-04T13:58:19"/>
    <s v="  Peter Alvarez"/>
    <s v="Email Available"/>
    <s v="peter.alvarez465@yahoo.com"/>
    <x v="14"/>
    <s v="Footwear"/>
    <x v="15"/>
    <n v="1"/>
    <n v="54.99"/>
    <n v="54.99"/>
    <s v="SAVE20"/>
    <s v="SAVE20"/>
    <n v="11"/>
    <n v="11"/>
    <s v="Number"/>
    <n v="7.99"/>
    <n v="7.99"/>
    <n v="51.98"/>
    <n v="51.98"/>
    <n v="51.980000000000004"/>
    <s v="True"/>
    <s v="Normal"/>
    <s v="PayPal"/>
    <s v="Facebook"/>
    <s v="fulfilled"/>
    <s v="United States"/>
    <s v="OH"/>
    <s v="Valid"/>
    <s v="Ritterborough"/>
  </r>
  <r>
    <s v="#1405"/>
    <n v="1"/>
    <d v="2026-08-04T14:08:10"/>
    <d v="2026-08-04T14:08:10"/>
    <s v="David Duke"/>
    <s v="Email Available"/>
    <s v="david.duke814@icloud.com"/>
    <x v="14"/>
    <s v="Footwear"/>
    <x v="15"/>
    <n v="1"/>
    <n v="54.99"/>
    <n v="54.99"/>
    <m/>
    <s v=""/>
    <n v="0"/>
    <n v="0"/>
    <s v="Number"/>
    <n v="7.99"/>
    <n v="7.99"/>
    <n v="62.98"/>
    <n v="62.98"/>
    <n v="62.980000000000004"/>
    <s v="True"/>
    <s v="Normal"/>
    <s v="PayPal"/>
    <s v="Instagram"/>
    <s v="cancelled"/>
    <s v="United States"/>
    <s v="Ohio"/>
    <s v="Valid"/>
    <s v="Cynthiabury"/>
  </r>
  <r>
    <s v="#1439"/>
    <n v="1"/>
    <d v="2026-08-04T00:00:00"/>
    <s v="04-08-2026 13:54"/>
    <s v="Kayla Cruz"/>
    <s v="Email Available"/>
    <s v="kayla.cruz151@outlook.com"/>
    <x v="14"/>
    <s v="Footwear"/>
    <x v="15"/>
    <n v="1"/>
    <s v="$54.99"/>
    <n v="54.99"/>
    <s v="VIP15"/>
    <s v="VIP15"/>
    <n v="8.25"/>
    <n v="8.25"/>
    <s v="Number"/>
    <n v="7.99"/>
    <n v="7.99"/>
    <n v="54.73"/>
    <n v="54.73"/>
    <n v="54.730000000000004"/>
    <s v="True"/>
    <s v="Normal"/>
    <s v="Google Pay"/>
    <s v="Online Store"/>
    <s v="pending"/>
    <s v="Pakistan"/>
    <m/>
    <s v="Not Required"/>
    <s v="West Ashleyborough"/>
  </r>
  <r>
    <s v="#1460"/>
    <n v="1"/>
    <d v="2026-08-04T13:58:41"/>
    <d v="2026-08-04T13:58:41"/>
    <s v="Timothy Maldonado"/>
    <s v="Email Available"/>
    <s v="timothy.maldonado551@gmail.com"/>
    <x v="14"/>
    <s v="Footwear"/>
    <x v="15"/>
    <n v="1"/>
    <n v="54.99"/>
    <n v="54.99"/>
    <s v="BFCM25"/>
    <s v="BFCM25"/>
    <n v="13.75"/>
    <n v="13.75"/>
    <s v="Number"/>
    <n v="4.99"/>
    <n v="4.99"/>
    <n v="46.23"/>
    <n v="46.23"/>
    <n v="46.230000000000004"/>
    <s v="True"/>
    <s v="Normal"/>
    <s v="Shopify Payments"/>
    <s v="Online Store"/>
    <s v="cancelled"/>
    <s v="United States"/>
    <s v="FL"/>
    <s v="Valid"/>
    <s v="Simpsonburgh"/>
  </r>
  <r>
    <s v="#1518"/>
    <n v="1"/>
    <d v="2026-08-04T13:59:49"/>
    <d v="2026-08-04T13:59:49"/>
    <s v="Andrea Martinez"/>
    <s v="Email Available"/>
    <s v="andrea.martinez756@yahoo.com"/>
    <x v="14"/>
    <s v="Footwear"/>
    <x v="15"/>
    <n v="1"/>
    <n v="54.99"/>
    <n v="54.99"/>
    <s v="WELCOME10"/>
    <s v="WELCOME10"/>
    <n v="5.5"/>
    <n v="5.5"/>
    <s v="Number"/>
    <n v="4.99"/>
    <n v="4.99"/>
    <n v="54.48"/>
    <n v="54.48"/>
    <n v="54.480000000000004"/>
    <s v="True"/>
    <s v="Normal"/>
    <s v="Shopify Payments"/>
    <s v="Facebook"/>
    <s v="fulfilled"/>
    <s v="Australia"/>
    <m/>
    <s v="Not Required"/>
    <s v="Williamsport"/>
  </r>
  <r>
    <s v="#1520"/>
    <n v="1"/>
    <d v="2026-08-04T14:02:09"/>
    <d v="2026-08-04T14:02:09"/>
    <s v="Lisa Williams"/>
    <s v="Email Available"/>
    <s v="lisa.williams715@yahoo.com"/>
    <x v="14"/>
    <s v="Footwear"/>
    <x v="15"/>
    <n v="3"/>
    <n v="54.99"/>
    <n v="54.99"/>
    <s v="BFCM25"/>
    <s v="BFCM25"/>
    <n v="41.24"/>
    <n v="41.24"/>
    <s v="Number"/>
    <n v="0"/>
    <n v="0"/>
    <n v="123.73"/>
    <n v="123.73"/>
    <n v="123.72999999999999"/>
    <s v="True"/>
    <s v="Outlier"/>
    <s v="PayPal"/>
    <s v="Instagram"/>
    <s v="pending"/>
    <s v="United States"/>
    <s v="Ohio"/>
    <s v="Valid"/>
    <s v="Denniston"/>
  </r>
  <r>
    <s v="#1530"/>
    <n v="1"/>
    <d v="2026-08-04T00:00:00"/>
    <s v="Aug 04, 2026"/>
    <s v="Logan Fox"/>
    <s v="Email Available"/>
    <s v="logan.fox165@gmail.com"/>
    <x v="14"/>
    <s v="Footwear"/>
    <x v="15"/>
    <n v="1"/>
    <s v="$54.99"/>
    <n v="54.99"/>
    <m/>
    <s v=""/>
    <n v="0"/>
    <n v="0"/>
    <s v="Number"/>
    <n v="5.99"/>
    <n v="5.99"/>
    <n v="60.98"/>
    <n v="60.98"/>
    <n v="60.980000000000004"/>
    <s v="True"/>
    <s v="Normal"/>
    <s v="Google Pay"/>
    <s v="POS"/>
    <s v="fulfilled"/>
    <s v="Australia"/>
    <m/>
    <s v="Not Required"/>
    <s v="East Sheila"/>
  </r>
  <r>
    <s v="#1567"/>
    <n v="1"/>
    <d v="2026-08-04T13:57:47"/>
    <d v="2026-08-04T13:57:47"/>
    <s v="Timothy Hodges"/>
    <s v="Email Available"/>
    <s v="timothy.hodges687@icloud.com"/>
    <x v="14"/>
    <s v="Footwear"/>
    <x v="15"/>
    <n v="1"/>
    <s v="$54.99"/>
    <n v="54.99"/>
    <s v="VIP15"/>
    <s v="VIP15"/>
    <n v="8.25"/>
    <n v="8.25"/>
    <s v="Number"/>
    <n v="7.99"/>
    <n v="7.99"/>
    <n v="54.73"/>
    <n v="54.73"/>
    <n v="54.730000000000004"/>
    <s v="True"/>
    <s v="Normal"/>
    <s v="Apple Pay"/>
    <s v="Instagram"/>
    <s v="fulfilled"/>
    <s v="Australia"/>
    <m/>
    <s v="Not Required"/>
    <s v="Port Cynthia"/>
  </r>
  <r>
    <s v="#1621"/>
    <n v="1"/>
    <d v="2026-08-04T14:06:09"/>
    <d v="2026-08-04T14:06:09"/>
    <s v="Ryan Jones"/>
    <s v="Email Available"/>
    <s v="ryan.jones314@gmail.com"/>
    <x v="14"/>
    <s v="Footwear"/>
    <x v="15"/>
    <n v="3"/>
    <s v="$54.99"/>
    <n v="54.99"/>
    <m/>
    <s v=""/>
    <n v="0"/>
    <n v="0"/>
    <s v="Number"/>
    <n v="0"/>
    <n v="0"/>
    <n v="164.97"/>
    <n v="164.97"/>
    <n v="164.97"/>
    <s v="True"/>
    <s v="Outlier"/>
    <s v="Credit Card"/>
    <s v="Online Store"/>
    <s v="fulfilled"/>
    <s v="Australia"/>
    <m/>
    <s v="Not Required"/>
    <s v="Mariaport"/>
  </r>
  <r>
    <s v="#1646"/>
    <n v="1"/>
    <d v="2026-08-04T14:06:20"/>
    <d v="2026-08-04T14:06:20"/>
    <s v="Patrick Stevens"/>
    <s v="Email Available"/>
    <s v="patrick.stevens218@gmail.com"/>
    <x v="14"/>
    <s v="Footwear"/>
    <x v="15"/>
    <n v="1"/>
    <n v="54.99"/>
    <n v="54.99"/>
    <s v="VIP15"/>
    <s v="VIP15"/>
    <n v="8.25"/>
    <n v="8.25"/>
    <s v="Number"/>
    <n v="7.99"/>
    <n v="7.99"/>
    <n v="54.73"/>
    <n v="54.73"/>
    <n v="54.730000000000004"/>
    <s v="True"/>
    <s v="Normal"/>
    <s v="PayPal"/>
    <s v="Online Store"/>
    <s v="refunded"/>
    <s v="Pakistan"/>
    <m/>
    <s v="Not Required"/>
    <s v="Kylieside"/>
  </r>
  <r>
    <s v="#1674"/>
    <n v="1"/>
    <d v="2026-08-04T13:59:09"/>
    <d v="2026-08-04T13:59:09"/>
    <s v="Mary Meza"/>
    <s v="Email Available"/>
    <s v="mary.meza759@gmail.com"/>
    <x v="14"/>
    <s v="Footwear"/>
    <x v="15"/>
    <n v="1"/>
    <n v="54.99"/>
    <n v="54.99"/>
    <s v="WELCOME10"/>
    <s v="WELCOME10"/>
    <n v="5.5"/>
    <n v="5.5"/>
    <s v="Number"/>
    <n v="7.99"/>
    <n v="7.99"/>
    <n v="57.48"/>
    <n v="57.48"/>
    <n v="57.480000000000004"/>
    <s v="True"/>
    <s v="Normal"/>
    <s v="PayPal"/>
    <s v="Online Store"/>
    <s v="cancelled"/>
    <s v="Canada"/>
    <m/>
    <s v="Not Required"/>
    <s v="Lake Ashley"/>
  </r>
  <r>
    <s v="#1677"/>
    <n v="1"/>
    <d v="2026-08-04T14:01:03"/>
    <d v="2026-08-04T14:01:03"/>
    <s v="Andrea Martinez"/>
    <s v="Email Available"/>
    <s v="andrea.martinez756@yahoo.com"/>
    <x v="14"/>
    <s v="Footwear"/>
    <x v="15"/>
    <n v="2"/>
    <n v="54.99"/>
    <n v="54.99"/>
    <s v="SAVE20"/>
    <s v="SAVE20"/>
    <n v="22"/>
    <n v="22"/>
    <s v="Number"/>
    <n v="0"/>
    <n v="0"/>
    <s v="$87.98"/>
    <n v="87.98"/>
    <n v="87.98"/>
    <s v="True"/>
    <s v="Outlier"/>
    <s v="Shopify Payments"/>
    <s v="Online Store"/>
    <s v="fulfilled"/>
    <s v="Australia"/>
    <m/>
    <s v="Not Required"/>
    <s v="South Jeffrey"/>
  </r>
  <r>
    <s v="#1769"/>
    <n v="1"/>
    <d v="2026-08-04T14:02:15"/>
    <d v="2026-08-04T14:02:15"/>
    <s v="Timothy Hodges"/>
    <s v="Email Available"/>
    <s v="timothy.hodges687@icloud.com"/>
    <x v="14"/>
    <s v="Footwear"/>
    <x v="15"/>
    <n v="1"/>
    <n v="54.99"/>
    <n v="54.99"/>
    <s v="VIP15"/>
    <s v="VIP15"/>
    <n v="8.25"/>
    <n v="8.25"/>
    <s v="Number"/>
    <n v="7.99"/>
    <n v="7.99"/>
    <n v="54.73"/>
    <n v="54.73"/>
    <n v="54.730000000000004"/>
    <s v="True"/>
    <s v="Normal"/>
    <s v="Apple Pay"/>
    <s v="Online Store"/>
    <s v="fulfilled"/>
    <s v="Australia"/>
    <m/>
    <s v="Not Required"/>
    <s v="North William"/>
  </r>
  <r>
    <s v="#1779"/>
    <n v="1"/>
    <d v="2026-08-04T13:59:23"/>
    <d v="2026-08-04T13:59:23"/>
    <s v="Andrew Vargas"/>
    <s v="Email Available"/>
    <s v="andrew.vargas381@outlook.com"/>
    <x v="14"/>
    <s v="Footwear"/>
    <x v="15"/>
    <n v="1"/>
    <n v="54.99"/>
    <n v="54.99"/>
    <m/>
    <s v=""/>
    <n v="0"/>
    <n v="0"/>
    <s v="Number"/>
    <n v="5.99"/>
    <n v="5.99"/>
    <n v="60.98"/>
    <n v="60.98"/>
    <n v="60.980000000000004"/>
    <s v="True"/>
    <s v="Normal"/>
    <s v="Apple Pay"/>
    <s v="Online Store"/>
    <s v="pending"/>
    <s v="Canada"/>
    <m/>
    <s v="Not Required"/>
    <s v="Lake Joseph"/>
  </r>
  <r>
    <s v="#1797"/>
    <n v="1"/>
    <d v="2026-08-04T13:55:23"/>
    <d v="2026-08-04T13:55:23"/>
    <s v="Erika Maxwell"/>
    <s v="Email Available"/>
    <s v="erika.maxwell281@gmail.com"/>
    <x v="14"/>
    <s v="Footwear"/>
    <x v="15"/>
    <n v="2"/>
    <n v="54.99"/>
    <n v="54.99"/>
    <s v="WELCOME10"/>
    <s v="WELCOME10"/>
    <n v="11"/>
    <n v="11"/>
    <s v="Number"/>
    <n v="0"/>
    <n v="0"/>
    <n v="98.98"/>
    <n v="98.98"/>
    <n v="98.98"/>
    <s v="True"/>
    <s v="Outlier"/>
    <s v="Credit Card"/>
    <s v="Facebook"/>
    <s v="fulfilled"/>
    <s v="United States"/>
    <s v="NC"/>
    <s v="Valid"/>
    <s v="Melissahaven"/>
  </r>
  <r>
    <s v="#1860"/>
    <n v="1"/>
    <d v="2026-08-04T13:57:07"/>
    <d v="2026-08-04T13:57:07"/>
    <s v="Anthony Krueger"/>
    <s v="Email Available"/>
    <s v="anthony.krueger812@yahoo.com"/>
    <x v="14"/>
    <s v="Footwear"/>
    <x v="15"/>
    <n v="1"/>
    <n v="54.99"/>
    <n v="54.99"/>
    <s v="WELCOME10"/>
    <s v="WELCOME10"/>
    <n v="5.5"/>
    <n v="5.5"/>
    <s v="Number"/>
    <n v="5.99"/>
    <n v="5.99"/>
    <s v="$55.48"/>
    <n v="55.48"/>
    <n v="55.480000000000004"/>
    <s v="True"/>
    <s v="Normal"/>
    <s v="Google Pay"/>
    <s v="Online Store"/>
    <s v="fulfilled"/>
    <s v="Pakistan"/>
    <m/>
    <s v="Not Required"/>
    <s v="Simpsonstad"/>
  </r>
  <r>
    <s v="#1863"/>
    <n v="1"/>
    <d v="2026-04-08T00:00:00"/>
    <s v="08/04/2026"/>
    <s v="Chad Smith"/>
    <s v="Email Available"/>
    <s v="chad.smith773@icloud.com"/>
    <x v="14"/>
    <s v="Footwear"/>
    <x v="15"/>
    <n v="1"/>
    <n v="54.99"/>
    <n v="54.99"/>
    <s v="FREESHIP"/>
    <s v="FREESHIP"/>
    <n v="0"/>
    <n v="0"/>
    <s v="Number"/>
    <n v="0"/>
    <n v="0"/>
    <n v="54.99"/>
    <n v="54.99"/>
    <n v="54.99"/>
    <s v="True"/>
    <s v="Normal"/>
    <s v="PayPal"/>
    <s v="Online Store"/>
    <s v="cancelled"/>
    <s v="Pakistan"/>
    <m/>
    <s v="Not Required"/>
    <s v="Amandaland"/>
  </r>
  <r>
    <s v="#1878"/>
    <n v="1"/>
    <d v="2026-04-08T00:00:00"/>
    <s v="08/04/2026"/>
    <s v="Kaitlyn Hernandez"/>
    <s v="Email Available"/>
    <s v="kaitlyn.hernandez192@gmail.com"/>
    <x v="14"/>
    <s v="Footwear"/>
    <x v="15"/>
    <n v="1"/>
    <n v="54.99"/>
    <n v="54.99"/>
    <m/>
    <s v=""/>
    <s v="$0.00"/>
    <n v="0"/>
    <s v="Number"/>
    <n v="5.99"/>
    <n v="5.99"/>
    <n v="60.98"/>
    <n v="60.98"/>
    <n v="60.980000000000004"/>
    <s v="True"/>
    <s v="Normal"/>
    <s v="PayPal"/>
    <s v="Facebook"/>
    <s v="fulfilled"/>
    <s v="Pakistan"/>
    <m/>
    <s v="Not Required"/>
    <s v="North Lindseymouth"/>
  </r>
  <r>
    <s v="#1883"/>
    <n v="1"/>
    <d v="2026-04-08T00:00:00"/>
    <s v="08/04/2026"/>
    <s v="Jennifer Martin"/>
    <s v="Missing Email"/>
    <m/>
    <x v="14"/>
    <s v="Footwear"/>
    <x v="15"/>
    <n v="2"/>
    <n v="54.99"/>
    <n v="54.99"/>
    <s v="SAVE20"/>
    <s v="SAVE20"/>
    <n v="22"/>
    <n v="22"/>
    <s v="Number"/>
    <n v="0"/>
    <n v="0"/>
    <s v="$87.98"/>
    <n v="87.98"/>
    <n v="87.98"/>
    <s v="True"/>
    <s v="Outlier"/>
    <s v="Apple Pay"/>
    <s v="Facebook"/>
    <s v="fulfilled"/>
    <s v="United States"/>
    <s v="IL"/>
    <s v="Valid"/>
    <s v="Robertstad"/>
  </r>
  <r>
    <s v="#1894"/>
    <n v="1"/>
    <d v="2026-08-04T13:54:04"/>
    <d v="2026-08-04T13:54:04"/>
    <s v="Davis, Alan"/>
    <s v="Email Available"/>
    <s v="alan.davis483@icloud.com"/>
    <x v="14"/>
    <s v="Footwear"/>
    <x v="15"/>
    <n v="1"/>
    <n v="54.99"/>
    <n v="54.99"/>
    <s v="WELCOME10"/>
    <s v="WELCOME10"/>
    <n v="5.5"/>
    <n v="5.5"/>
    <s v="Number"/>
    <n v="4.99"/>
    <n v="4.99"/>
    <n v="54.48"/>
    <n v="54.48"/>
    <n v="54.480000000000004"/>
    <s v="True"/>
    <s v="Normal"/>
    <s v="Apple Pay"/>
    <s v="Online Store"/>
    <s v="cancelled"/>
    <s v="Canada"/>
    <m/>
    <s v="Not Required"/>
    <s v="West Joseph"/>
  </r>
  <r>
    <s v="#1944"/>
    <n v="1"/>
    <d v="2026-08-04T00:00:00"/>
    <s v="Aug 04, 2026"/>
    <s v="Cruz, Matthew"/>
    <s v="Email Available"/>
    <s v="matthew.cruz992@gmail.com"/>
    <x v="14"/>
    <s v="Footwear"/>
    <x v="15"/>
    <n v="1"/>
    <n v="54.99"/>
    <n v="54.99"/>
    <s v="BFCM25"/>
    <s v="BFCM25"/>
    <n v="13.75"/>
    <n v="13.75"/>
    <s v="Number"/>
    <n v="5.99"/>
    <n v="5.99"/>
    <n v="47.23"/>
    <n v="47.23"/>
    <n v="47.230000000000004"/>
    <s v="True"/>
    <s v="Normal"/>
    <s v="PayPal"/>
    <s v="Facebook"/>
    <s v="fulfilled"/>
    <s v="United States"/>
    <s v="New York"/>
    <s v="Valid"/>
    <s v="West Crystal"/>
  </r>
  <r>
    <s v="#2020"/>
    <n v="1"/>
    <d v="2026-08-04T13:56:55"/>
    <d v="2026-08-04T13:56:55"/>
    <s v="Tyler Williams"/>
    <s v="Email Available"/>
    <s v="tyler.williams938@outlook.com"/>
    <x v="14"/>
    <s v="Footwear"/>
    <x v="15"/>
    <n v="2"/>
    <n v="54.99"/>
    <n v="54.99"/>
    <m/>
    <s v=""/>
    <s v="$0.00"/>
    <n v="0"/>
    <s v="Number"/>
    <n v="0"/>
    <n v="0"/>
    <n v="109.98"/>
    <n v="109.98"/>
    <n v="109.98"/>
    <s v="True"/>
    <s v="Outlier"/>
    <s v="Apple Pay"/>
    <s v="Online Store"/>
    <s v="fulfilled"/>
    <s v="Australia"/>
    <m/>
    <s v="Not Required"/>
    <s v="Lake Caitlynbury"/>
  </r>
  <r>
    <s v="#2063"/>
    <n v="1"/>
    <d v="2026-08-04T00:00:00"/>
    <s v="04-08-2026 13:59"/>
    <s v="Kenneth Davis"/>
    <s v="Email Available"/>
    <s v="kenneth.davis106@yahoo.com"/>
    <x v="14"/>
    <s v="Footwear"/>
    <x v="15"/>
    <n v="1"/>
    <n v="54.99"/>
    <n v="54.99"/>
    <m/>
    <s v=""/>
    <n v="0"/>
    <n v="0"/>
    <s v="Number"/>
    <n v="4.99"/>
    <n v="4.99"/>
    <n v="59.98"/>
    <n v="59.98"/>
    <n v="59.980000000000004"/>
    <s v="True"/>
    <s v="Normal"/>
    <s v="Apple Pay"/>
    <s v="Facebook"/>
    <s v="pending"/>
    <s v="United States"/>
    <s v="Arizona"/>
    <s v="Valid"/>
    <s v="West Scott"/>
  </r>
  <r>
    <s v="#2098"/>
    <n v="1"/>
    <d v="2026-08-04T13:57:23"/>
    <d v="2026-08-04T13:57:23"/>
    <s v="Frank Diaz"/>
    <s v="Email Available"/>
    <s v="frank.diaz795@gmail.com"/>
    <x v="14"/>
    <s v="Footwear"/>
    <x v="15"/>
    <n v="1"/>
    <n v="54.99"/>
    <n v="54.99"/>
    <m/>
    <s v=""/>
    <n v="0"/>
    <n v="0"/>
    <s v="Number"/>
    <n v="7.99"/>
    <n v="7.99"/>
    <n v="62.98"/>
    <n v="62.98"/>
    <n v="62.980000000000004"/>
    <s v="True"/>
    <s v="Normal"/>
    <s v="Apple Pay"/>
    <s v="Facebook"/>
    <s v="pending"/>
    <s v="United States"/>
    <s v="California"/>
    <s v="Valid"/>
    <s v="Port Amberberg"/>
  </r>
  <r>
    <s v="#2106"/>
    <n v="1"/>
    <d v="2026-08-04T14:06:23"/>
    <d v="2026-08-04T14:06:23"/>
    <s v="Stacey Gonzales"/>
    <s v="Email Available"/>
    <s v="stacey.gonzales655@icloud.com"/>
    <x v="14"/>
    <s v="Footwear"/>
    <x v="15"/>
    <n v="1"/>
    <n v="54.99"/>
    <n v="54.99"/>
    <s v="VIP15"/>
    <s v="VIP15"/>
    <n v="8.25"/>
    <n v="8.25"/>
    <s v="Number"/>
    <n v="5.99"/>
    <n v="5.99"/>
    <n v="52.73"/>
    <n v="52.73"/>
    <n v="52.730000000000004"/>
    <s v="True"/>
    <s v="Normal"/>
    <s v="Google Pay"/>
    <s v="Online Store"/>
    <s v="fulfilled"/>
    <s v="United States"/>
    <s v="FL"/>
    <s v="Valid"/>
    <s v="Port Danielland"/>
  </r>
  <r>
    <s v="#2182"/>
    <n v="1"/>
    <d v="2026-08-04T14:01:55"/>
    <d v="2026-08-04T14:01:55"/>
    <s v="Robert Boyd"/>
    <s v="Email Available"/>
    <s v="robert.boyd184@yahoo.com"/>
    <x v="14"/>
    <s v="Footwear"/>
    <x v="15"/>
    <n v="1"/>
    <n v="54.99"/>
    <n v="54.99"/>
    <s v="SAVE20"/>
    <s v="SAVE20"/>
    <n v="11"/>
    <n v="11"/>
    <s v="Number"/>
    <n v="5.99"/>
    <n v="5.99"/>
    <n v="49.98"/>
    <n v="49.98"/>
    <n v="49.980000000000004"/>
    <s v="True"/>
    <s v="Normal"/>
    <s v="Apple Pay"/>
    <s v="POS"/>
    <s v="cancelled"/>
    <s v="Canada"/>
    <m/>
    <s v="Not Required"/>
    <s v="Joshuachester"/>
  </r>
  <r>
    <s v="#2208"/>
    <n v="1"/>
    <d v="2026-08-04T13:59:49"/>
    <d v="2026-08-04T13:59:49"/>
    <s v="Autumn Stewart"/>
    <s v="Email Available"/>
    <s v="autumn.stewart565@outlook.com"/>
    <x v="14"/>
    <s v="Footwear"/>
    <x v="15"/>
    <n v="2"/>
    <n v="54.99"/>
    <n v="54.99"/>
    <m/>
    <s v=""/>
    <n v="0"/>
    <n v="0"/>
    <s v="Number"/>
    <n v="0"/>
    <n v="0"/>
    <n v="109.98"/>
    <n v="109.98"/>
    <n v="109.98"/>
    <s v="True"/>
    <s v="Outlier"/>
    <s v="Shopify Payments"/>
    <s v="Online Store"/>
    <s v="cancelled"/>
    <s v="United Kingdom"/>
    <m/>
    <s v="Not Required"/>
    <s v="Lake Gina"/>
  </r>
  <r>
    <s v="#2209"/>
    <n v="1"/>
    <d v="2026-08-04T14:03:20"/>
    <d v="2026-08-04T14:03:20"/>
    <s v="Tiffany Jones"/>
    <s v="Email Available"/>
    <s v="tiffany.jones564@outlook.com"/>
    <x v="14"/>
    <s v="Footwear"/>
    <x v="15"/>
    <n v="1"/>
    <n v="54.99"/>
    <n v="54.99"/>
    <m/>
    <s v=""/>
    <n v="0"/>
    <n v="0"/>
    <s v="Number"/>
    <n v="5.99"/>
    <n v="5.99"/>
    <n v="60.98"/>
    <n v="60.98"/>
    <n v="60.980000000000004"/>
    <s v="True"/>
    <s v="Normal"/>
    <s v="Google Pay"/>
    <s v="Facebook"/>
    <s v="fulfilled"/>
    <s v="Germany"/>
    <m/>
    <s v="Not Required"/>
    <s v="Markfort"/>
  </r>
  <r>
    <s v="#2269"/>
    <n v="1"/>
    <d v="2026-08-04T14:06:36"/>
    <d v="2026-08-04T14:06:36"/>
    <s v="Kathleen Mayer"/>
    <s v="Email Available"/>
    <s v="kathleen.mayer237@outlook.com"/>
    <x v="14"/>
    <s v="Footwear"/>
    <x v="15"/>
    <n v="3"/>
    <n v="54.99"/>
    <n v="54.99"/>
    <s v="VIP15"/>
    <s v="VIP15"/>
    <n v="24.75"/>
    <n v="24.75"/>
    <s v="Number"/>
    <n v="0"/>
    <n v="0"/>
    <n v="140.22"/>
    <n v="140.22"/>
    <n v="140.22"/>
    <s v="True"/>
    <s v="Outlier"/>
    <s v="Credit Card"/>
    <s v="Instagram"/>
    <s v="fulfilled"/>
    <s v="United States"/>
    <s v="Illinois"/>
    <s v="Valid"/>
    <s v="Lake Elizabethside"/>
  </r>
  <r>
    <s v="#2284"/>
    <n v="1"/>
    <d v="2026-08-04T14:01:47"/>
    <d v="2026-08-04T14:01:47"/>
    <m/>
    <s v="Email Available"/>
    <s v="timothy.hodges687@icloud.com"/>
    <x v="14"/>
    <s v="Footwear"/>
    <x v="15"/>
    <n v="1"/>
    <n v="54.99"/>
    <n v="54.99"/>
    <s v="BFCM25"/>
    <s v="BFCM25"/>
    <n v="13.75"/>
    <n v="13.75"/>
    <s v="Number"/>
    <n v="5.99"/>
    <n v="5.99"/>
    <n v="47.23"/>
    <n v="47.23"/>
    <n v="47.230000000000004"/>
    <s v="True"/>
    <s v="Normal"/>
    <s v="PayPal"/>
    <s v="Online Store"/>
    <s v="refunded"/>
    <s v="Australia"/>
    <m/>
    <s v="Not Required"/>
    <s v="Simonton"/>
  </r>
  <r>
    <s v="#2301"/>
    <n v="1"/>
    <d v="2026-08-04T13:58:45"/>
    <d v="2026-08-04T13:58:45"/>
    <s v="Megan Dickson"/>
    <s v="Email Available"/>
    <s v="megan.dickson508@gmail.com"/>
    <x v="14"/>
    <s v="Footwear"/>
    <x v="15"/>
    <n v="2"/>
    <n v="54.99"/>
    <n v="54.99"/>
    <m/>
    <s v=""/>
    <n v="0"/>
    <n v="0"/>
    <s v="Number"/>
    <n v="0"/>
    <n v="0"/>
    <n v="109.98"/>
    <n v="109.98"/>
    <n v="109.98"/>
    <s v="True"/>
    <s v="Outlier"/>
    <s v="Credit Card"/>
    <s v="Online Store"/>
    <s v="refunded"/>
    <s v="United Kingdom"/>
    <m/>
    <s v="Not Required"/>
    <s v="Stanleyside"/>
  </r>
  <r>
    <s v="#2311"/>
    <n v="1"/>
    <d v="2026-08-04T14:02:25"/>
    <d v="2026-08-04T14:02:25"/>
    <s v="Amanda Robinson"/>
    <s v="Email Available"/>
    <s v="amanda.robinson263@icloud.com"/>
    <x v="14"/>
    <s v="Footwear"/>
    <x v="15"/>
    <n v="1"/>
    <n v="54.99"/>
    <n v="54.99"/>
    <s v="FREESHIP"/>
    <s v="FREESHIP"/>
    <n v="0"/>
    <n v="0"/>
    <s v="Number"/>
    <n v="0"/>
    <n v="0"/>
    <n v="54.99"/>
    <n v="54.99"/>
    <n v="54.99"/>
    <s v="True"/>
    <s v="Normal"/>
    <s v="Apple Pay"/>
    <s v="Instagram"/>
    <s v="fulfilled"/>
    <s v="United States"/>
    <s v="Arizona"/>
    <s v="Valid"/>
    <s v="Jenniferfurt"/>
  </r>
  <r>
    <s v="#2335"/>
    <n v="1"/>
    <d v="2026-08-04T14:05:17"/>
    <d v="2026-08-04T14:05:17"/>
    <s v="Barbara Brown"/>
    <s v="Email Available"/>
    <s v="barbara.brown26@gmail.com"/>
    <x v="14"/>
    <s v="Footwear"/>
    <x v="15"/>
    <n v="1"/>
    <n v="54.99"/>
    <n v="54.99"/>
    <m/>
    <s v=""/>
    <n v="0"/>
    <n v="0"/>
    <s v="Number"/>
    <n v="7.99"/>
    <n v="7.99"/>
    <n v="62.98"/>
    <n v="62.98"/>
    <n v="62.980000000000004"/>
    <s v="True"/>
    <s v="Normal"/>
    <s v="PayPal"/>
    <s v="POS"/>
    <s v="refunded"/>
    <s v="United States"/>
    <s v="California"/>
    <s v="Valid"/>
    <s v="Rileyborough"/>
  </r>
  <r>
    <s v="#2353"/>
    <n v="1"/>
    <d v="2026-08-04T14:07:10"/>
    <d v="2026-08-04T14:07:10"/>
    <s v="Jacqueline Wiley"/>
    <s v="Email Available"/>
    <s v="jacqueline.wiley718@icloud.com"/>
    <x v="14"/>
    <s v="Footwear"/>
    <x v="15"/>
    <n v="2"/>
    <n v="54.99"/>
    <n v="54.99"/>
    <s v="BFCM25"/>
    <s v="BFCM25"/>
    <n v="27.5"/>
    <n v="27.5"/>
    <s v="Number"/>
    <n v="0"/>
    <n v="0"/>
    <n v="82.48"/>
    <n v="82.48"/>
    <n v="82.48"/>
    <s v="True"/>
    <s v="Outlier"/>
    <s v="Apple Pay"/>
    <s v="Online Store"/>
    <s v="fulfilled"/>
    <s v="United States"/>
    <s v="Washington"/>
    <s v="Valid"/>
    <s v="East Desiree"/>
  </r>
  <r>
    <s v="#2354"/>
    <n v="1"/>
    <d v="2026-08-04T14:04:02"/>
    <d v="2026-08-04T14:04:02"/>
    <s v="Laura Pruitt"/>
    <s v="Email Available"/>
    <s v="laura.pruitt212@yahoo.com"/>
    <x v="14"/>
    <s v="Footwear"/>
    <x v="15"/>
    <n v="1"/>
    <n v="54.99"/>
    <n v="54.99"/>
    <s v="SAVE20"/>
    <s v="SAVE20"/>
    <n v="11"/>
    <n v="11"/>
    <s v="Number"/>
    <n v="7.99"/>
    <n v="7.99"/>
    <n v="51.98"/>
    <n v="51.98"/>
    <n v="51.980000000000004"/>
    <s v="True"/>
    <s v="Normal"/>
    <s v="Apple Pay"/>
    <s v="Instagram"/>
    <s v="refunded"/>
    <s v="United States"/>
    <s v="Texas"/>
    <s v="Valid"/>
    <s v="Racheltown"/>
  </r>
  <r>
    <s v="#2369"/>
    <n v="1"/>
    <d v="2026-08-04T14:03:47"/>
    <d v="2026-08-04T14:03:47"/>
    <s v="David Duke"/>
    <s v="Email Available"/>
    <s v="david.duke814@icloud.com"/>
    <x v="14"/>
    <s v="Footwear"/>
    <x v="15"/>
    <n v="2"/>
    <n v="54.99"/>
    <n v="54.99"/>
    <m/>
    <s v=""/>
    <n v="0"/>
    <n v="0"/>
    <s v="Number"/>
    <n v="0"/>
    <n v="0"/>
    <n v="109.98"/>
    <n v="109.98"/>
    <n v="109.98"/>
    <s v="True"/>
    <s v="Outlier"/>
    <s v="Credit Card"/>
    <s v="Online Store"/>
    <s v="fulfilled"/>
    <s v="United States"/>
    <s v="Washington"/>
    <s v="Valid"/>
    <s v="Jacksonside"/>
  </r>
  <r>
    <s v="#2418"/>
    <n v="1"/>
    <d v="2026-08-04T13:59:06"/>
    <d v="2026-08-04T13:59:06"/>
    <s v="Tracy Adams"/>
    <s v="Email Available"/>
    <s v="tracy.adams712@icloud.com"/>
    <x v="14"/>
    <s v="Footwear"/>
    <x v="15"/>
    <n v="1"/>
    <n v="54.99"/>
    <n v="54.99"/>
    <m/>
    <s v=""/>
    <n v="0"/>
    <n v="0"/>
    <s v="Number"/>
    <n v="7.99"/>
    <n v="7.99"/>
    <n v="62.98"/>
    <n v="62.98"/>
    <n v="62.980000000000004"/>
    <s v="True"/>
    <s v="Normal"/>
    <s v="Apple Pay"/>
    <s v="Online Store"/>
    <s v="cancelled"/>
    <s v="United States"/>
    <s v="Washington"/>
    <s v="Valid"/>
    <s v="Jenningsborough"/>
  </r>
  <r>
    <s v="#2423"/>
    <n v="1"/>
    <d v="2026-08-04T14:02:24"/>
    <d v="2026-08-04T14:02:24"/>
    <s v="Megan Dickson"/>
    <s v="Email Available"/>
    <s v="megan.dickson508@gmail.com"/>
    <x v="14"/>
    <s v="Footwear"/>
    <x v="15"/>
    <n v="1"/>
    <n v="54.99"/>
    <n v="54.99"/>
    <m/>
    <s v=""/>
    <n v="0"/>
    <n v="0"/>
    <s v="Number"/>
    <n v="4.99"/>
    <n v="4.99"/>
    <n v="59.98"/>
    <n v="59.98"/>
    <n v="59.980000000000004"/>
    <s v="True"/>
    <s v="Normal"/>
    <s v="Google Pay"/>
    <s v="Online Store"/>
    <s v="fulfilled"/>
    <s v="United Kingdom"/>
    <m/>
    <s v="Not Required"/>
    <s v="Washingtonburgh"/>
  </r>
  <r>
    <s v="#2473"/>
    <n v="1"/>
    <d v="2026-08-04T13:59:13"/>
    <d v="2026-08-04T13:59:13"/>
    <s v="Sharon Brown"/>
    <s v="Missing Email"/>
    <m/>
    <x v="14"/>
    <s v="Footwear"/>
    <x v="15"/>
    <n v="1"/>
    <n v="54.99"/>
    <n v="54.99"/>
    <s v="WELCOME10"/>
    <s v="WELCOME10"/>
    <n v="5.5"/>
    <n v="5.5"/>
    <s v="Number"/>
    <n v="7.99"/>
    <n v="7.99"/>
    <n v="57.48"/>
    <n v="57.48"/>
    <n v="57.480000000000004"/>
    <s v="True"/>
    <s v="Normal"/>
    <s v="Credit Card"/>
    <s v="Online Store"/>
    <s v="pending"/>
    <s v="United States"/>
    <s v="California"/>
    <s v="Valid"/>
    <s v="Lake Donna"/>
  </r>
  <r>
    <s v="#2485"/>
    <n v="1"/>
    <d v="2026-08-04T14:05:20"/>
    <d v="2026-08-04T14:05:20"/>
    <s v="George Gould"/>
    <s v="Email Available"/>
    <s v="george.gould10@yahoo.com"/>
    <x v="14"/>
    <s v="Footwear"/>
    <x v="15"/>
    <n v="1"/>
    <s v="$54.99"/>
    <n v="54.99"/>
    <m/>
    <s v=""/>
    <n v="0"/>
    <n v="0"/>
    <s v="Number"/>
    <n v="7.99"/>
    <n v="7.99"/>
    <n v="62.98"/>
    <n v="62.98"/>
    <n v="62.980000000000004"/>
    <s v="True"/>
    <s v="Normal"/>
    <s v="Google Pay"/>
    <s v="Online Store"/>
    <s v="fulfilled"/>
    <s v="Canada"/>
    <m/>
    <s v="Not Required"/>
    <s v="Port Jenniferburgh"/>
  </r>
  <r>
    <s v="#2518"/>
    <n v="1"/>
    <d v="2026-04-08T00:00:00"/>
    <s v="08/04/2026"/>
    <s v="  John Hoffman"/>
    <s v="Email Available"/>
    <s v="john.hoffman175@gmail.com"/>
    <x v="14"/>
    <s v="Footwear"/>
    <x v="15"/>
    <n v="1"/>
    <n v="54.99"/>
    <n v="54.99"/>
    <s v="SAVE20"/>
    <s v="SAVE20"/>
    <n v="11"/>
    <n v="11"/>
    <s v="Number"/>
    <n v="7.99"/>
    <n v="7.99"/>
    <n v="51.98"/>
    <n v="51.98"/>
    <n v="51.980000000000004"/>
    <s v="True"/>
    <s v="Normal"/>
    <s v="PayPal"/>
    <s v="Online Store"/>
    <s v="fulfilled"/>
    <s v="United States"/>
    <s v="Texas"/>
    <s v="Valid"/>
    <s v="West Peter"/>
  </r>
  <r>
    <s v="#2544"/>
    <n v="1"/>
    <d v="2026-08-04T14:00:10"/>
    <d v="2026-08-04T14:00:10"/>
    <s v="Erika Maxwell"/>
    <s v="Email Available"/>
    <s v="erika.maxwell281@gmail.com"/>
    <x v="14"/>
    <s v="Footwear"/>
    <x v="15"/>
    <n v="1"/>
    <n v="54.99"/>
    <n v="54.99"/>
    <m/>
    <s v=""/>
    <n v="0"/>
    <n v="0"/>
    <s v="Number"/>
    <n v="5.99"/>
    <n v="5.99"/>
    <n v="60.98"/>
    <n v="60.98"/>
    <n v="60.980000000000004"/>
    <s v="True"/>
    <s v="Normal"/>
    <s v="Apple Pay"/>
    <s v="Online Store"/>
    <s v="fulfilled"/>
    <s v="United States"/>
    <s v="Ohio"/>
    <s v="Valid"/>
    <s v="Lake Leah"/>
  </r>
  <r>
    <s v="#2569"/>
    <n v="1"/>
    <d v="2026-04-08T00:00:00"/>
    <s v="08/04/2026"/>
    <s v="Anthony Mullen"/>
    <s v="Email Available"/>
    <s v="anthony.mullen523@yahoo.com"/>
    <x v="14"/>
    <s v="Footwear"/>
    <x v="15"/>
    <n v="1"/>
    <n v="54.99"/>
    <n v="54.99"/>
    <s v="VIP15"/>
    <s v="VIP15"/>
    <n v="8.25"/>
    <n v="8.25"/>
    <s v="Number"/>
    <n v="4.99"/>
    <n v="4.99"/>
    <n v="51.73"/>
    <n v="51.73"/>
    <n v="51.730000000000004"/>
    <s v="True"/>
    <s v="Normal"/>
    <s v="Apple Pay"/>
    <s v="POS"/>
    <s v="refunded"/>
    <s v="United States"/>
    <s v="Illinois"/>
    <s v="Valid"/>
    <s v="West Sarahmouth"/>
  </r>
  <r>
    <s v="#2629"/>
    <n v="1"/>
    <d v="2026-04-08T00:00:00"/>
    <s v="08/04/2026"/>
    <s v="Anthony Parker"/>
    <s v="Email Available"/>
    <s v="anthony.parker256@icloud.com"/>
    <x v="14"/>
    <s v="Footwear"/>
    <x v="15"/>
    <n v="1"/>
    <n v="54.99"/>
    <n v="54.99"/>
    <s v="SAVE20"/>
    <s v="SAVE20"/>
    <n v="11"/>
    <n v="11"/>
    <s v="Number"/>
    <n v="5.99"/>
    <n v="5.99"/>
    <n v="49.98"/>
    <n v="49.98"/>
    <n v="49.980000000000004"/>
    <s v="True"/>
    <s v="Normal"/>
    <s v="Shopify Payments"/>
    <s v="POS"/>
    <s v="refunded"/>
    <s v="United Kingdom"/>
    <m/>
    <s v="Not Required"/>
    <s v="North Kevinbury"/>
  </r>
  <r>
    <s v="#2683"/>
    <n v="1"/>
    <d v="2026-08-04T14:03:49"/>
    <d v="2026-08-04T14:03:49"/>
    <s v="Chad Smith"/>
    <s v="Email Available"/>
    <s v="chad.smith773@icloud.com"/>
    <x v="14"/>
    <s v="Footwear"/>
    <x v="15"/>
    <n v="1"/>
    <n v="54.99"/>
    <n v="54.99"/>
    <m/>
    <s v=""/>
    <n v="0"/>
    <n v="0"/>
    <s v="Number"/>
    <n v="5.99"/>
    <n v="5.99"/>
    <s v="$60.98"/>
    <n v="60.98"/>
    <n v="60.980000000000004"/>
    <s v="True"/>
    <s v="Normal"/>
    <s v="Shopify Payments"/>
    <s v="Online Store"/>
    <s v="fulfilled"/>
    <s v="Pakistan"/>
    <m/>
    <s v="Not Required"/>
    <s v="Michelleview"/>
  </r>
  <r>
    <s v="#2686"/>
    <n v="1"/>
    <d v="2026-08-04T14:03:35"/>
    <d v="2026-08-04T14:03:35"/>
    <s v="erika maxwell"/>
    <s v="Email Available"/>
    <s v="erika.maxwell281@gmail.com"/>
    <x v="14"/>
    <s v="Footwear"/>
    <x v="15"/>
    <n v="2"/>
    <n v="54.99"/>
    <n v="54.99"/>
    <s v="FREESHIP"/>
    <s v="FREESHIP"/>
    <n v="0"/>
    <n v="0"/>
    <s v="Number"/>
    <n v="0"/>
    <n v="0"/>
    <n v="109.98"/>
    <n v="109.98"/>
    <n v="109.98"/>
    <s v="True"/>
    <s v="Outlier"/>
    <s v="Google Pay"/>
    <s v="Facebook"/>
    <s v="fulfilled"/>
    <s v="United States"/>
    <s v="Arizona"/>
    <s v="Valid"/>
    <s v="Wilsonview"/>
  </r>
  <r>
    <s v="#2705"/>
    <n v="1"/>
    <d v="2026-08-04T14:05:55"/>
    <d v="2026-08-04T14:05:55"/>
    <s v="Ronald Stanley"/>
    <s v="Email Available"/>
    <s v="ronald.stanley7@yahoo.com"/>
    <x v="14"/>
    <s v="Footwear"/>
    <x v="15"/>
    <n v="1"/>
    <n v="54.99"/>
    <n v="54.99"/>
    <s v="SAVE20"/>
    <s v="SAVE20"/>
    <n v="11"/>
    <n v="11"/>
    <s v="Number"/>
    <n v="4.99"/>
    <n v="4.99"/>
    <n v="48.98"/>
    <n v="48.98"/>
    <n v="48.980000000000004"/>
    <s v="True"/>
    <s v="Normal"/>
    <s v="Shopify Payments"/>
    <s v="Online Store"/>
    <s v="fulfilled"/>
    <s v="United States"/>
    <s v="Ohio"/>
    <s v="Valid"/>
    <s v="Castillostad"/>
  </r>
  <r>
    <s v="#2783"/>
    <n v="1"/>
    <d v="2026-04-08T00:00:00"/>
    <s v="08/04/2026"/>
    <s v="Amanda Robinson"/>
    <s v="Email Available"/>
    <s v="amanda.robinson263@icloud.com"/>
    <x v="14"/>
    <s v="Footwear"/>
    <x v="15"/>
    <n v="1"/>
    <n v="54.99"/>
    <n v="54.99"/>
    <m/>
    <s v=""/>
    <n v="0"/>
    <n v="0"/>
    <s v="Number"/>
    <n v="5.99"/>
    <n v="5.99"/>
    <n v="60.98"/>
    <n v="60.98"/>
    <n v="60.980000000000004"/>
    <s v="True"/>
    <s v="Normal"/>
    <s v="Apple Pay"/>
    <s v="Online Store"/>
    <s v="fulfilled"/>
    <s v="United States"/>
    <s v="Washington"/>
    <s v="Valid"/>
    <s v="New Cindy"/>
  </r>
  <r>
    <s v="#2820"/>
    <n v="1"/>
    <d v="2026-08-04T13:56:43"/>
    <d v="2026-08-04T13:56:43"/>
    <s v="Joshua Owens"/>
    <s v="Email Available"/>
    <s v="joshua.owens56@icloud.com"/>
    <x v="14"/>
    <s v="Footwear"/>
    <x v="15"/>
    <n v="1"/>
    <n v="54.99"/>
    <n v="54.99"/>
    <m/>
    <s v=""/>
    <n v="0"/>
    <n v="0"/>
    <s v="Number"/>
    <n v="5.99"/>
    <n v="5.99"/>
    <n v="60.98"/>
    <n v="60.98"/>
    <n v="60.980000000000004"/>
    <s v="True"/>
    <s v="Normal"/>
    <s v="PayPal"/>
    <s v="POS"/>
    <s v="fulfilled"/>
    <s v="United States"/>
    <s v="OH"/>
    <s v="Valid"/>
    <s v="New Dawn"/>
  </r>
  <r>
    <s v="#2830"/>
    <n v="1"/>
    <d v="2026-08-04T00:00:00"/>
    <s v="04-08-2026 13:57"/>
    <s v="Samuel Padilla"/>
    <s v="Email Available"/>
    <s v="samuel.padilla79@gmail.com"/>
    <x v="14"/>
    <s v="Footwear"/>
    <x v="15"/>
    <n v="1"/>
    <n v="54.99"/>
    <n v="54.99"/>
    <m/>
    <s v=""/>
    <n v="0"/>
    <n v="0"/>
    <s v="Number"/>
    <n v="7.99"/>
    <n v="7.99"/>
    <n v="62.98"/>
    <n v="62.98"/>
    <n v="62.980000000000004"/>
    <s v="True"/>
    <s v="Normal"/>
    <s v="Credit Card"/>
    <s v="Facebook"/>
    <s v="pending"/>
    <s v="United States"/>
    <s v="Texas"/>
    <s v="Valid"/>
    <s v="Branchberg"/>
  </r>
  <r>
    <s v="#2853"/>
    <n v="1"/>
    <d v="2026-08-04T14:03:49"/>
    <d v="2026-08-04T14:03:49"/>
    <s v="Logan Fox"/>
    <s v="Email Available"/>
    <s v="logan.fox165@gmail.com"/>
    <x v="14"/>
    <s v="Footwear"/>
    <x v="15"/>
    <n v="1"/>
    <n v="54.99"/>
    <n v="54.99"/>
    <s v="WELCOME10"/>
    <s v="WELCOME10"/>
    <n v="5.5"/>
    <n v="5.5"/>
    <s v="Number"/>
    <n v="7.99"/>
    <n v="7.99"/>
    <n v="57.48"/>
    <n v="57.48"/>
    <n v="57.480000000000004"/>
    <s v="True"/>
    <s v="Normal"/>
    <s v="Shopify Payments"/>
    <s v="Facebook"/>
    <s v="fulfilled"/>
    <s v="Australia"/>
    <m/>
    <s v="Not Required"/>
    <s v="Port Andrewburgh"/>
  </r>
  <r>
    <s v="#2868"/>
    <n v="1"/>
    <d v="2026-08-04T14:04:09"/>
    <d v="2026-08-04T14:04:09"/>
    <s v="Christopher Hayes"/>
    <s v="Email Available"/>
    <s v="christopher.hayes809@icloud.com"/>
    <x v="14"/>
    <s v="Footwear"/>
    <x v="15"/>
    <n v="1"/>
    <n v="54.99"/>
    <n v="54.99"/>
    <m/>
    <s v=""/>
    <n v="0"/>
    <n v="0"/>
    <s v="Number"/>
    <n v="5.99"/>
    <n v="5.99"/>
    <n v="60.98"/>
    <n v="60.98"/>
    <n v="60.980000000000004"/>
    <s v="True"/>
    <s v="Normal"/>
    <s v="Google Pay"/>
    <s v="POS"/>
    <s v="fulfilled"/>
    <s v="United States"/>
    <s v="NY"/>
    <s v="Valid"/>
    <s v="Reginafurt"/>
  </r>
  <r>
    <s v="#2872"/>
    <n v="1"/>
    <d v="2026-08-04T14:06:06"/>
    <d v="2026-08-04T14:06:06"/>
    <s v="Alison Schroeder"/>
    <s v="Email Available"/>
    <s v="alison.schroeder943@icloud.com"/>
    <x v="14"/>
    <s v="Footwear"/>
    <x v="15"/>
    <n v="1"/>
    <n v="54.99"/>
    <n v="54.99"/>
    <m/>
    <s v=""/>
    <n v="0"/>
    <n v="0"/>
    <s v="Number"/>
    <n v="5.99"/>
    <n v="5.99"/>
    <s v="$60.98"/>
    <n v="60.98"/>
    <n v="60.980000000000004"/>
    <s v="True"/>
    <s v="Normal"/>
    <s v="Credit Card"/>
    <s v="Online Store"/>
    <s v="fulfilled"/>
    <s v="Australia"/>
    <m/>
    <s v="Not Required"/>
    <s v="Crawfordland"/>
  </r>
  <r>
    <s v="#2952"/>
    <n v="1"/>
    <d v="2026-08-04T13:56:18"/>
    <d v="2026-08-04T13:56:18"/>
    <s v="Tracy Barr"/>
    <s v="Email Available"/>
    <s v="tracy.barr550@icloud.com"/>
    <x v="14"/>
    <s v="Footwear"/>
    <x v="15"/>
    <n v="2"/>
    <n v="54.99"/>
    <n v="54.99"/>
    <s v="FREESHIP"/>
    <s v="FREESHIP"/>
    <n v="0"/>
    <n v="0"/>
    <s v="Number"/>
    <n v="0"/>
    <n v="0"/>
    <n v="109.98"/>
    <n v="109.98"/>
    <n v="109.98"/>
    <s v="True"/>
    <s v="Outlier"/>
    <s v="Shopify Payments"/>
    <s v="Instagram"/>
    <s v="fulfilled"/>
    <s v="United States"/>
    <s v="Washington"/>
    <s v="Valid"/>
    <s v="South Drewport"/>
  </r>
  <r>
    <s v="#2966"/>
    <n v="1"/>
    <d v="2026-08-04T14:08:06"/>
    <d v="2026-08-04T14:08:06"/>
    <s v="Lauren Nguyen"/>
    <s v="Email Available"/>
    <s v="lauren.nguyen819@outlook.com"/>
    <x v="14"/>
    <s v="Footwear"/>
    <x v="15"/>
    <n v="1"/>
    <s v="$54.99"/>
    <n v="54.99"/>
    <s v="BFCM25"/>
    <s v="BFCM25"/>
    <n v="13.75"/>
    <n v="13.75"/>
    <s v="Number"/>
    <n v="4.99"/>
    <n v="4.99"/>
    <n v="46.23"/>
    <n v="46.23"/>
    <n v="46.230000000000004"/>
    <s v="True"/>
    <s v="Normal"/>
    <s v="PayPal"/>
    <s v="Online Store"/>
    <s v="fulfilled"/>
    <s v="United Kingdom"/>
    <m/>
    <s v="Not Required"/>
    <s v="New Amberbury"/>
  </r>
  <r>
    <s v="#2991"/>
    <n v="1"/>
    <d v="2026-08-04T14:02:24"/>
    <d v="2026-08-04T14:02:24"/>
    <s v="Amanda Harris"/>
    <s v="Email Available"/>
    <s v="amanda.harris197@gmail.com"/>
    <x v="14"/>
    <s v="Footwear"/>
    <x v="15"/>
    <n v="2"/>
    <n v="54.99"/>
    <n v="54.99"/>
    <s v="VIP15"/>
    <s v="VIP15"/>
    <n v="16.5"/>
    <n v="16.5"/>
    <s v="Number"/>
    <n v="0"/>
    <n v="0"/>
    <n v="93.48"/>
    <n v="93.48"/>
    <n v="93.48"/>
    <s v="True"/>
    <s v="Outlier"/>
    <s v="Apple Pay"/>
    <s v="Online Store"/>
    <s v="fulfilled"/>
    <s v="United States"/>
    <s v="Texas"/>
    <s v="Valid"/>
    <s v="East Adamville"/>
  </r>
  <r>
    <s v="#2994"/>
    <n v="1"/>
    <d v="2026-08-04T13:58:11"/>
    <d v="2026-08-04T13:58:11"/>
    <s v="Timothy Curry"/>
    <s v="Email Available"/>
    <s v="timothy.curry5@gmail.com"/>
    <x v="14"/>
    <s v="Footwear"/>
    <x v="15"/>
    <n v="1"/>
    <n v="54.99"/>
    <n v="54.99"/>
    <s v="FREESHIP"/>
    <s v="FREESHIP"/>
    <n v="0"/>
    <n v="0"/>
    <s v="Number"/>
    <n v="0"/>
    <n v="0"/>
    <n v="54.99"/>
    <n v="54.99"/>
    <n v="54.99"/>
    <s v="True"/>
    <s v="Normal"/>
    <s v="PayPal"/>
    <s v="Online Store"/>
    <s v="fulfilled"/>
    <s v="United States"/>
    <s v="New York"/>
    <s v="Valid"/>
    <s v="Boydhaven"/>
  </r>
  <r>
    <s v="#1586"/>
    <n v="1"/>
    <d v="2026-08-04T13:53:48"/>
    <d v="2026-08-04T13:53:48"/>
    <s v="Kenneth Davis"/>
    <s v="Missing Email"/>
    <m/>
    <x v="13"/>
    <s v="Footwear"/>
    <x v="14"/>
    <n v="2"/>
    <n v="54.99"/>
    <n v="54.99"/>
    <s v="SAVE20"/>
    <s v="SAVE20"/>
    <s v="$22.00"/>
    <n v="22"/>
    <s v="Number"/>
    <n v="0"/>
    <n v="0"/>
    <n v="87.98"/>
    <n v="87.98"/>
    <n v="87.98"/>
    <s v="True"/>
    <s v="Outlier"/>
    <s v="Google Pay"/>
    <s v="POS"/>
    <s v="fulfilled"/>
    <s v="United States"/>
    <s v="NY"/>
    <s v="Valid"/>
    <s v="South Jeremyside"/>
  </r>
  <r>
    <s v="#2742"/>
    <n v="1"/>
    <d v="2026-08-04T14:05:23"/>
    <d v="2026-08-04T14:05:23"/>
    <s v="Ian Morris"/>
    <s v="Email Available"/>
    <s v="ian.morris90@outlook.com"/>
    <x v="13"/>
    <s v="Footwear"/>
    <x v="14"/>
    <n v="1"/>
    <n v="54.99"/>
    <n v="54.99"/>
    <m/>
    <s v=""/>
    <n v="0"/>
    <n v="0"/>
    <s v="Number"/>
    <n v="5.99"/>
    <n v="5.99"/>
    <n v="60.98"/>
    <n v="60.98"/>
    <n v="60.980000000000004"/>
    <s v="True"/>
    <s v="Normal"/>
    <s v="Shopify Payments"/>
    <s v="Online Store"/>
    <s v="fulfilled"/>
    <s v="Pakistan"/>
    <m/>
    <s v="Not Required"/>
    <s v="Pamfurt"/>
  </r>
  <r>
    <s v="#1004"/>
    <n v="1"/>
    <d v="2026-08-04T14:06:42"/>
    <d v="2026-08-04T14:06:42"/>
    <s v="Robyn Hughes"/>
    <s v="Email Available"/>
    <s v="robyn.hughes771@gmail.com"/>
    <x v="15"/>
    <s v="Home &amp; Kitchen"/>
    <x v="16"/>
    <n v="1"/>
    <n v="9.99"/>
    <n v="9.99"/>
    <s v="FREESHIP"/>
    <s v="FREESHIP"/>
    <n v="0"/>
    <n v="0"/>
    <s v="Number"/>
    <n v="0"/>
    <n v="0"/>
    <n v="9.99"/>
    <n v="9.99"/>
    <n v="9.99"/>
    <s v="True"/>
    <s v="Normal"/>
    <s v="Google Pay"/>
    <s v="Facebook"/>
    <s v="fulfilled"/>
    <s v="United States"/>
    <s v="New York"/>
    <s v="Valid"/>
    <s v="New Debra"/>
  </r>
  <r>
    <s v="#1006"/>
    <n v="1"/>
    <d v="2026-08-04T14:00:26"/>
    <d v="2026-08-04T14:00:26"/>
    <s v="Joshua Anderson"/>
    <s v="Email Available"/>
    <s v="joshua.anderson662@gmail.com"/>
    <x v="15"/>
    <s v="Home &amp; Kitchen"/>
    <x v="16"/>
    <n v="2"/>
    <n v="9.99"/>
    <n v="9.99"/>
    <s v="WELCOME10"/>
    <s v="WELCOME10"/>
    <n v="2"/>
    <n v="2"/>
    <s v="Number"/>
    <n v="4.99"/>
    <n v="4.99"/>
    <n v="22.97"/>
    <n v="22.97"/>
    <n v="22.97"/>
    <s v="True"/>
    <s v="Normal"/>
    <s v="PayPal"/>
    <s v="Facebook"/>
    <s v="fulfilled"/>
    <s v="Canada"/>
    <m/>
    <s v="Not Required"/>
    <s v="Joshuastad"/>
  </r>
  <r>
    <s v="#1028"/>
    <n v="1"/>
    <d v="2026-08-04T13:53:56"/>
    <d v="2026-08-04T13:53:56"/>
    <s v="Andrea Martinez"/>
    <s v="Email Available"/>
    <s v="andrea.martinez756@yahoo.com"/>
    <x v="15"/>
    <s v="Home &amp; Kitchen"/>
    <x v="16"/>
    <n v="1"/>
    <s v="$9.99"/>
    <n v="9.99"/>
    <m/>
    <s v=""/>
    <n v="0"/>
    <n v="0"/>
    <s v="Number"/>
    <n v="7.99"/>
    <n v="7.99"/>
    <n v="17.98"/>
    <n v="17.98"/>
    <n v="17.98"/>
    <s v="True"/>
    <s v="Normal"/>
    <s v="Shopify Payments"/>
    <s v="POS"/>
    <s v="fulfilled"/>
    <s v="Australia"/>
    <m/>
    <s v="Not Required"/>
    <s v="East Sarah"/>
  </r>
  <r>
    <s v="#1043"/>
    <n v="1"/>
    <d v="2026-08-04T00:00:00"/>
    <s v="Aug 04, 2026"/>
    <s v="Linda Scott"/>
    <s v="Email Available"/>
    <s v="linda.scott2@icloud.com"/>
    <x v="15"/>
    <s v="Home &amp; Kitchen"/>
    <x v="16"/>
    <n v="2"/>
    <n v="9.99"/>
    <n v="9.99"/>
    <m/>
    <s v=""/>
    <n v="0"/>
    <n v="0"/>
    <s v="Number"/>
    <n v="5.99"/>
    <n v="5.99"/>
    <n v="25.97"/>
    <n v="25.97"/>
    <n v="25.97"/>
    <s v="True"/>
    <s v="Normal"/>
    <s v="PayPal"/>
    <s v="Online Store"/>
    <s v="refunded"/>
    <s v="Canada"/>
    <m/>
    <s v="Not Required"/>
    <s v="North Tonyfurt"/>
  </r>
  <r>
    <s v="#1071"/>
    <n v="1"/>
    <d v="2026-08-04T13:55:13"/>
    <d v="2026-08-04T13:55:13"/>
    <s v="Kathryn Robinson"/>
    <s v="Email Available"/>
    <s v="kathryn.robinson965@gmail.com"/>
    <x v="15"/>
    <s v="Home &amp; Kitchen"/>
    <x v="16"/>
    <n v="2"/>
    <n v="9.99"/>
    <n v="9.99"/>
    <s v="BFCM25 "/>
    <s v="BFCM25"/>
    <n v="5"/>
    <n v="5"/>
    <s v="Number"/>
    <n v="5.99"/>
    <n v="5.99"/>
    <n v="20.97"/>
    <n v="20.97"/>
    <n v="20.97"/>
    <s v="True"/>
    <s v="Normal"/>
    <s v="Shopify Payments"/>
    <s v="Instagram"/>
    <s v="fulfilled"/>
    <s v="United Kingdom"/>
    <m/>
    <s v="Not Required"/>
    <s v="South Katherine"/>
  </r>
  <r>
    <s v="#1191"/>
    <n v="1"/>
    <d v="2026-08-04T13:54:25"/>
    <d v="2026-08-04T13:54:25"/>
    <s v="Brittney Thomas"/>
    <s v="Email Available"/>
    <s v="brittney.thomas484@gmail.com"/>
    <x v="15"/>
    <s v="Home &amp; Kitchen"/>
    <x v="16"/>
    <n v="1"/>
    <n v="9.99"/>
    <n v="9.99"/>
    <m/>
    <s v=""/>
    <n v="0"/>
    <n v="0"/>
    <s v="Number"/>
    <n v="5.99"/>
    <n v="5.99"/>
    <n v="15.98"/>
    <n v="15.98"/>
    <n v="15.98"/>
    <s v="True"/>
    <s v="Normal"/>
    <s v="Credit Card"/>
    <s v="Facebook"/>
    <s v="fulfilled"/>
    <s v="United States"/>
    <s v="Texas"/>
    <s v="Valid"/>
    <s v="North Lance"/>
  </r>
  <r>
    <s v="#1192"/>
    <n v="1"/>
    <d v="2026-08-04T14:01:10"/>
    <d v="2026-08-04T14:01:10"/>
    <s v="Jennifer Burke"/>
    <s v="Email Available"/>
    <s v="jennifer.burke472@icloud.com"/>
    <x v="15"/>
    <s v="Home &amp; Kitchen"/>
    <x v="16"/>
    <n v="1"/>
    <n v="9.99"/>
    <n v="9.99"/>
    <s v="WELCOME10"/>
    <s v="WELCOME10"/>
    <n v="1"/>
    <n v="1"/>
    <s v="Number"/>
    <n v="4.99"/>
    <n v="4.99"/>
    <n v="13.98"/>
    <n v="13.98"/>
    <n v="13.98"/>
    <s v="True"/>
    <s v="Normal"/>
    <s v="Google Pay"/>
    <s v="Facebook"/>
    <s v="fulfilled"/>
    <s v="Pakistan"/>
    <m/>
    <s v="Not Required"/>
    <s v="Lake Susan"/>
  </r>
  <r>
    <s v="#1207"/>
    <n v="1"/>
    <d v="2026-08-04T14:01:29"/>
    <d v="2026-08-04T14:01:29"/>
    <s v="Natalie Roberts"/>
    <s v="Email Available"/>
    <s v="natalie.roberts628@yahoo.com"/>
    <x v="15"/>
    <s v="Home &amp; Kitchen"/>
    <x v="16"/>
    <n v="1"/>
    <s v="$9.99"/>
    <n v="9.99"/>
    <s v="VIP15"/>
    <s v="VIP15"/>
    <n v="1.5"/>
    <n v="1.5"/>
    <s v="Number"/>
    <n v="5.99"/>
    <n v="5.99"/>
    <n v="14.48"/>
    <n v="14.48"/>
    <n v="14.48"/>
    <s v="True"/>
    <s v="Normal"/>
    <s v="Apple Pay"/>
    <s v="Facebook"/>
    <s v="fulfilled"/>
    <s v="United States"/>
    <s v="New York"/>
    <s v="Valid"/>
    <s v="West Misty"/>
  </r>
  <r>
    <s v="#1210"/>
    <n v="1"/>
    <d v="2026-08-04T13:59:45"/>
    <d v="2026-08-04T13:59:45"/>
    <s v="Stacey Johnson"/>
    <s v="Email Available"/>
    <s v="stacey.johnson95@gmail.com"/>
    <x v="15"/>
    <s v="Home &amp; Kitchen"/>
    <x v="16"/>
    <n v="1"/>
    <s v="$9.99"/>
    <n v="9.99"/>
    <s v="BFCM25"/>
    <s v="BFCM25"/>
    <n v="2.5"/>
    <n v="2.5"/>
    <s v="Number"/>
    <n v="7.99"/>
    <n v="7.99"/>
    <n v="15.48"/>
    <n v="15.48"/>
    <n v="15.48"/>
    <s v="True"/>
    <s v="Normal"/>
    <s v="Shopify Payments"/>
    <s v="POS"/>
    <s v="fulfilled"/>
    <s v="Germany"/>
    <m/>
    <s v="Not Required"/>
    <s v="Port Josephmouth"/>
  </r>
  <r>
    <s v="#1218"/>
    <n v="1"/>
    <d v="2026-08-04T13:56:07"/>
    <d v="2026-08-04T13:56:07"/>
    <s v="Zachary Hanson"/>
    <s v="Email Available"/>
    <s v="zachary.hanson261@outlook.com"/>
    <x v="15"/>
    <s v="Home &amp; Kitchen"/>
    <x v="16"/>
    <n v="1"/>
    <n v="9.99"/>
    <n v="9.99"/>
    <m/>
    <s v=""/>
    <n v="0"/>
    <n v="0"/>
    <s v="Number"/>
    <n v="4.99"/>
    <n v="4.99"/>
    <n v="14.98"/>
    <n v="14.98"/>
    <n v="14.98"/>
    <s v="True"/>
    <s v="Normal"/>
    <s v="Shopify Payments"/>
    <s v="Instagram"/>
    <s v="fulfilled"/>
    <s v="United States"/>
    <s v="TX"/>
    <s v="Valid"/>
    <s v="Santosburgh"/>
  </r>
  <r>
    <s v="#1240"/>
    <n v="1"/>
    <d v="2026-04-08T00:00:00"/>
    <s v="08/04/2026"/>
    <s v="Anthony Parker"/>
    <s v="Email Available"/>
    <s v="anthony.parker256@icloud.com"/>
    <x v="15"/>
    <s v="Home &amp; Kitchen"/>
    <x v="16"/>
    <n v="1"/>
    <n v="9.99"/>
    <n v="9.99"/>
    <m/>
    <s v=""/>
    <n v="0"/>
    <n v="0"/>
    <s v="Number"/>
    <n v="4.99"/>
    <n v="4.99"/>
    <s v="$14.98"/>
    <n v="14.98"/>
    <n v="14.98"/>
    <s v="True"/>
    <s v="Normal"/>
    <s v="Credit Card"/>
    <s v="Instagram"/>
    <s v="cancelled"/>
    <s v="United Kingdom"/>
    <m/>
    <s v="Not Required"/>
    <s v="Oneillborough"/>
  </r>
  <r>
    <s v="#1286"/>
    <n v="1"/>
    <d v="2026-08-04T14:01:36"/>
    <d v="2026-08-04T14:01:36"/>
    <s v="Natalie Roberts"/>
    <s v="Email Available"/>
    <s v="natalie.roberts628@yahoo.com"/>
    <x v="15"/>
    <s v="Home &amp; Kitchen"/>
    <x v="16"/>
    <n v="1"/>
    <n v="9.99"/>
    <n v="9.99"/>
    <m/>
    <s v=""/>
    <n v="0"/>
    <n v="0"/>
    <s v="Number"/>
    <n v="5.99"/>
    <n v="5.99"/>
    <n v="15.98"/>
    <n v="15.98"/>
    <n v="15.98"/>
    <s v="True"/>
    <s v="Normal"/>
    <s v="Google Pay"/>
    <s v="POS"/>
    <s v="cancelled"/>
    <s v="United States"/>
    <s v="Texas"/>
    <s v="Valid"/>
    <s v="West Davidberg"/>
  </r>
  <r>
    <s v="#1292"/>
    <n v="1"/>
    <d v="2026-08-04T13:58:07"/>
    <d v="2026-08-04T13:58:07"/>
    <s v="Robert Miller"/>
    <s v="Email Available"/>
    <s v="robert.miller69@yahoo.com"/>
    <x v="15"/>
    <s v="Home &amp; Kitchen"/>
    <x v="16"/>
    <n v="1"/>
    <n v="9.99"/>
    <n v="9.99"/>
    <s v="WELCOME10"/>
    <s v="WELCOME10"/>
    <n v="1"/>
    <n v="1"/>
    <s v="Number"/>
    <n v="4.99"/>
    <n v="4.99"/>
    <s v="$13.98"/>
    <n v="13.98"/>
    <n v="13.98"/>
    <s v="True"/>
    <s v="Normal"/>
    <s v="Shopify Payments"/>
    <s v="Instagram"/>
    <s v="refunded"/>
    <s v="Australia"/>
    <m/>
    <s v="Not Required"/>
    <s v="East Victor"/>
  </r>
  <r>
    <s v="#1297"/>
    <n v="1"/>
    <d v="2026-08-04T14:04:28"/>
    <d v="2026-08-04T14:04:28"/>
    <s v="Nicholas Parker"/>
    <s v="Email Available"/>
    <s v="nicholas.parker656@yahoo.com"/>
    <x v="15"/>
    <s v="Home &amp; Kitchen"/>
    <x v="16"/>
    <n v="1"/>
    <n v="9.99"/>
    <n v="9.99"/>
    <s v="SAVE20"/>
    <s v="SAVE20"/>
    <n v="2"/>
    <n v="2"/>
    <s v="Number"/>
    <n v="4.99"/>
    <n v="4.99"/>
    <n v="12.98"/>
    <n v="12.98"/>
    <n v="12.98"/>
    <s v="True"/>
    <s v="Normal"/>
    <s v="Apple Pay"/>
    <s v="Online Store"/>
    <s v="fulfilled"/>
    <s v="United States"/>
    <s v="Ohio"/>
    <s v="Valid"/>
    <s v="Bennettbury"/>
  </r>
  <r>
    <s v="#1328"/>
    <n v="1"/>
    <d v="2026-04-08T00:00:00"/>
    <s v="08/04/2026"/>
    <s v="Kayla Cruz"/>
    <s v="Email Available"/>
    <s v="kayla.cruz151@outlook.com"/>
    <x v="15"/>
    <s v="Home &amp; Kitchen"/>
    <x v="16"/>
    <n v="1"/>
    <n v="9.99"/>
    <n v="9.99"/>
    <s v="VIP15"/>
    <s v="VIP15"/>
    <n v="1.5"/>
    <n v="1.5"/>
    <s v="Number"/>
    <n v="4.99"/>
    <n v="4.99"/>
    <n v="13.48"/>
    <n v="13.48"/>
    <n v="13.48"/>
    <s v="True"/>
    <s v="Normal"/>
    <s v="Apple Pay"/>
    <s v="POS"/>
    <s v="cancelled"/>
    <s v="Pakistan"/>
    <m/>
    <s v="Not Required"/>
    <s v="South Charlesland"/>
  </r>
  <r>
    <s v="#1338"/>
    <n v="1"/>
    <d v="2026-04-08T00:00:00"/>
    <s v="08/04/2026"/>
    <s v="Christopher Harris"/>
    <s v="Email Available"/>
    <s v="christopher.harris618@yahoo.com"/>
    <x v="15"/>
    <s v="Home &amp; Kitchen"/>
    <x v="16"/>
    <n v="1"/>
    <n v="9.99"/>
    <n v="9.99"/>
    <s v="VIP15"/>
    <s v="VIP15"/>
    <n v="1.5"/>
    <n v="1.5"/>
    <s v="Number"/>
    <n v="5.99"/>
    <n v="5.99"/>
    <n v="14.48"/>
    <n v="14.48"/>
    <n v="14.48"/>
    <s v="True"/>
    <s v="Normal"/>
    <s v="PayPal"/>
    <s v="Facebook"/>
    <s v="pending"/>
    <s v="Australia"/>
    <m/>
    <s v="Not Required"/>
    <s v="Lake Crystal"/>
  </r>
  <r>
    <s v="#1364"/>
    <n v="1"/>
    <d v="2026-08-04T13:57:54"/>
    <d v="2026-08-04T13:57:54"/>
    <s v="Anthony Krueger"/>
    <s v="Email Available"/>
    <s v="anthony.krueger812@yahoo.com"/>
    <x v="15"/>
    <s v="Home &amp; Kitchen"/>
    <x v="16"/>
    <n v="1"/>
    <n v="9.99"/>
    <n v="9.99"/>
    <s v="FREESHIP"/>
    <s v="FREESHIP"/>
    <n v="0"/>
    <n v="0"/>
    <s v="Number"/>
    <n v="0"/>
    <n v="0"/>
    <n v="9.99"/>
    <n v="9.99"/>
    <n v="9.99"/>
    <s v="True"/>
    <s v="Normal"/>
    <s v="PayPal"/>
    <s v="Instagram"/>
    <s v="fulfilled"/>
    <s v="Pakistan"/>
    <m/>
    <s v="Not Required"/>
    <s v="Jessicaberg"/>
  </r>
  <r>
    <s v="#1373"/>
    <n v="1"/>
    <d v="2026-08-04T14:05:06"/>
    <d v="2026-08-04T14:05:06"/>
    <s v="Amanda Robinson"/>
    <s v="Missing Email"/>
    <m/>
    <x v="15"/>
    <s v="Home &amp; Kitchen"/>
    <x v="16"/>
    <n v="2"/>
    <n v="9.99"/>
    <n v="9.99"/>
    <s v="SAVE20"/>
    <s v="SAVE20"/>
    <n v="4"/>
    <n v="4"/>
    <s v="Number"/>
    <n v="4.99"/>
    <n v="4.99"/>
    <n v="20.97"/>
    <n v="20.97"/>
    <n v="20.97"/>
    <s v="True"/>
    <s v="Normal"/>
    <s v="Credit Card"/>
    <s v="Online Store"/>
    <s v="pending"/>
    <s v="United States"/>
    <s v="Georgia"/>
    <s v="Valid"/>
    <s v="Calebstad"/>
  </r>
  <r>
    <s v="#1420"/>
    <n v="1"/>
    <d v="2026-08-04T00:00:00"/>
    <s v="Aug 04, 2026"/>
    <s v="Matthew Riley"/>
    <s v="Email Available"/>
    <s v="matthew.riley309@yahoo.com"/>
    <x v="15"/>
    <s v="Home &amp; Kitchen"/>
    <x v="16"/>
    <n v="1"/>
    <n v="9.99"/>
    <n v="9.99"/>
    <m/>
    <s v=""/>
    <n v="0"/>
    <n v="0"/>
    <s v="Number"/>
    <n v="5.99"/>
    <n v="5.99"/>
    <n v="15.98"/>
    <n v="15.98"/>
    <n v="15.98"/>
    <s v="True"/>
    <s v="Normal"/>
    <s v="Shopify Payments"/>
    <s v="POS"/>
    <s v="cancelled"/>
    <s v="Canada"/>
    <m/>
    <s v="Not Required"/>
    <s v="Allisonmouth"/>
  </r>
  <r>
    <s v="#1428"/>
    <n v="1"/>
    <d v="2026-08-04T13:53:28"/>
    <d v="2026-08-04T13:53:28"/>
    <s v="Christopher Harrington"/>
    <s v="Email Available"/>
    <s v="christopher.harrington960@gmail.com"/>
    <x v="15"/>
    <s v="Home &amp; Kitchen"/>
    <x v="16"/>
    <n v="1"/>
    <n v="9.99"/>
    <n v="9.99"/>
    <s v="BFCM25"/>
    <s v="BFCM25"/>
    <n v="2.5"/>
    <n v="2.5"/>
    <s v="Number"/>
    <n v="4.99"/>
    <n v="4.99"/>
    <n v="12.48"/>
    <n v="12.48"/>
    <n v="12.48"/>
    <s v="True"/>
    <s v="Normal"/>
    <s v="Shopify Payments"/>
    <s v="Facebook"/>
    <s v="fulfilled"/>
    <s v="Australia"/>
    <m/>
    <s v="Not Required"/>
    <s v="South Dana"/>
  </r>
  <r>
    <s v="#1440"/>
    <n v="1"/>
    <d v="2026-08-04T13:58:57"/>
    <d v="2026-08-04T13:58:57"/>
    <s v="William Houston"/>
    <s v="Email Available"/>
    <s v="william.houston340@outlook.com"/>
    <x v="15"/>
    <s v="Home &amp; Kitchen"/>
    <x v="16"/>
    <n v="2"/>
    <n v="9.99"/>
    <n v="9.99"/>
    <s v="VIP15"/>
    <s v="VIP15"/>
    <n v="3"/>
    <n v="3"/>
    <s v="Number"/>
    <n v="5.99"/>
    <n v="5.99"/>
    <n v="22.97"/>
    <n v="22.97"/>
    <n v="22.97"/>
    <s v="True"/>
    <s v="Normal"/>
    <s v="Credit Card"/>
    <s v="Online Store"/>
    <s v="fulfilled"/>
    <s v="United States"/>
    <s v="Florida"/>
    <s v="Valid"/>
    <s v="East Scottport"/>
  </r>
  <r>
    <s v="#1455"/>
    <n v="1"/>
    <d v="2026-08-04T14:06:48"/>
    <d v="2026-08-04T14:06:48"/>
    <s v="Samuel Padilla"/>
    <s v="Email Available"/>
    <s v="samuel.padilla79@gmail.com"/>
    <x v="15"/>
    <s v="Home &amp; Kitchen"/>
    <x v="16"/>
    <n v="2"/>
    <n v="9.99"/>
    <n v="9.99"/>
    <m/>
    <s v=""/>
    <n v="0"/>
    <n v="0"/>
    <s v="Number"/>
    <n v="5.99"/>
    <n v="5.99"/>
    <n v="25.97"/>
    <n v="25.97"/>
    <n v="25.97"/>
    <s v="True"/>
    <s v="Normal"/>
    <s v="Apple Pay"/>
    <s v="Instagram"/>
    <s v="fulfilled"/>
    <s v="United States"/>
    <s v="California"/>
    <s v="Valid"/>
    <s v="Henryview"/>
  </r>
  <r>
    <s v="#1467"/>
    <n v="1"/>
    <d v="2026-08-04T14:04:47"/>
    <d v="2026-08-04T14:04:47"/>
    <s v="Jeremy Tucker"/>
    <s v="Email Available"/>
    <s v="jeremy.tucker26@yahoo.com"/>
    <x v="15"/>
    <s v="Home &amp; Kitchen"/>
    <x v="16"/>
    <n v="1"/>
    <n v="9.99"/>
    <n v="9.99"/>
    <m/>
    <s v=""/>
    <n v="0"/>
    <n v="0"/>
    <s v="Number"/>
    <n v="4.99"/>
    <n v="4.99"/>
    <n v="14.98"/>
    <n v="14.98"/>
    <n v="14.98"/>
    <s v="True"/>
    <s v="Normal"/>
    <s v="Google Pay"/>
    <s v="Facebook"/>
    <s v="cancelled"/>
    <s v="United States"/>
    <s v="North Carolina"/>
    <s v="Valid"/>
    <s v="Hayleychester"/>
  </r>
  <r>
    <s v="#1470"/>
    <n v="1"/>
    <d v="2026-08-04T13:56:17"/>
    <d v="2026-08-04T13:56:17"/>
    <s v="Angela Carr"/>
    <s v="Email Available"/>
    <s v="angela.carr488@yahoo.com"/>
    <x v="15"/>
    <s v="Home &amp; Kitchen"/>
    <x v="16"/>
    <n v="1"/>
    <n v="9.99"/>
    <n v="9.99"/>
    <s v="SAVE20"/>
    <s v="SAVE20"/>
    <n v="2"/>
    <n v="2"/>
    <s v="Number"/>
    <n v="7.99"/>
    <n v="7.99"/>
    <n v="15.98"/>
    <n v="15.98"/>
    <n v="15.98"/>
    <s v="True"/>
    <s v="Normal"/>
    <s v="Credit Card"/>
    <s v="Online Store"/>
    <s v="fulfilled"/>
    <s v="United States"/>
    <s v="Canada"/>
    <s v="Valid"/>
    <s v="New Jennifer"/>
  </r>
  <r>
    <s v="#1485"/>
    <n v="1"/>
    <d v="2026-08-04T14:06:09"/>
    <d v="2026-08-04T14:06:09"/>
    <s v="Amanda Harris"/>
    <s v="Missing Email"/>
    <m/>
    <x v="15"/>
    <s v="Home &amp; Kitchen"/>
    <x v="16"/>
    <n v="1"/>
    <n v="9.99"/>
    <n v="9.99"/>
    <s v="FREESHIP"/>
    <s v="FREESHIP"/>
    <n v="0"/>
    <n v="0"/>
    <s v="Number"/>
    <n v="0"/>
    <n v="0"/>
    <n v="9.99"/>
    <n v="9.99"/>
    <n v="9.99"/>
    <s v="True"/>
    <s v="Normal"/>
    <s v="PayPal"/>
    <s v="Facebook"/>
    <s v="fulfilled"/>
    <s v="United States"/>
    <s v="Florida"/>
    <s v="Valid"/>
    <s v="East Stacyfurt"/>
  </r>
  <r>
    <s v="#1525"/>
    <n v="1"/>
    <d v="2026-08-04T14:05:27"/>
    <d v="2026-08-04T14:05:27"/>
    <s v="Vincent Rosales"/>
    <s v="Email Available"/>
    <s v="vincent.rosales30@icloud.com"/>
    <x v="15"/>
    <s v="Home &amp; Kitchen"/>
    <x v="16"/>
    <n v="1"/>
    <n v="9.99"/>
    <n v="9.99"/>
    <s v="BFCM25"/>
    <s v="BFCM25"/>
    <n v="2.5"/>
    <n v="2.5"/>
    <s v="Number"/>
    <n v="7.99"/>
    <n v="7.99"/>
    <n v="15.48"/>
    <n v="15.48"/>
    <n v="15.48"/>
    <s v="True"/>
    <s v="Normal"/>
    <s v="Google Pay"/>
    <s v="Online Store"/>
    <s v="fulfilled"/>
    <s v="United States"/>
    <s v="New York"/>
    <s v="Valid"/>
    <s v="West Sethport"/>
  </r>
  <r>
    <s v="#1545"/>
    <n v="1"/>
    <d v="2026-08-04T13:59:42"/>
    <d v="2026-08-04T13:59:42"/>
    <s v="Alec Chambers"/>
    <s v="Email Available"/>
    <s v="alec.chambers767@outlook.com"/>
    <x v="15"/>
    <s v="Home &amp; Kitchen"/>
    <x v="16"/>
    <n v="1"/>
    <n v="9.99"/>
    <n v="9.99"/>
    <s v="SAVE20"/>
    <s v="SAVE20"/>
    <n v="2"/>
    <n v="2"/>
    <s v="Number"/>
    <n v="7.99"/>
    <n v="7.99"/>
    <n v="15.98"/>
    <n v="15.98"/>
    <n v="15.98"/>
    <s v="True"/>
    <s v="Normal"/>
    <s v="Credit Card"/>
    <s v="Online Store"/>
    <s v="fulfilled"/>
    <s v="Canada"/>
    <m/>
    <s v="Not Required"/>
    <s v="Shawnton"/>
  </r>
  <r>
    <s v="#1553"/>
    <n v="1"/>
    <d v="2026-08-04T13:58:55"/>
    <d v="2026-08-04T13:58:55"/>
    <s v="SETH PRICE"/>
    <s v="Email Available"/>
    <s v="seth.price179@gmail.com"/>
    <x v="15"/>
    <s v="Home &amp; Kitchen"/>
    <x v="16"/>
    <n v="1"/>
    <n v="9.99"/>
    <n v="9.99"/>
    <m/>
    <s v=""/>
    <n v="0"/>
    <n v="0"/>
    <s v="Number"/>
    <n v="7.99"/>
    <n v="7.99"/>
    <n v="17.98"/>
    <n v="17.98"/>
    <n v="17.98"/>
    <s v="True"/>
    <s v="Normal"/>
    <s v="PayPal"/>
    <s v="Online Store"/>
    <s v="fulfilled"/>
    <s v="United States"/>
    <s v="Texas"/>
    <s v="Valid"/>
    <s v="Port Kimberlyborough"/>
  </r>
  <r>
    <s v="#1575"/>
    <n v="1"/>
    <d v="2026-08-04T13:56:43"/>
    <d v="2026-08-04T13:56:43"/>
    <s v="Timothy Curry"/>
    <s v="Email Available"/>
    <s v="timothy.curry5@gmail.com"/>
    <x v="15"/>
    <s v="Home &amp; Kitchen"/>
    <x v="16"/>
    <n v="1"/>
    <s v="$9.99"/>
    <n v="9.99"/>
    <s v="BFCM25"/>
    <s v="BFCM25"/>
    <n v="2.5"/>
    <n v="2.5"/>
    <s v="Number"/>
    <n v="4.99"/>
    <n v="4.99"/>
    <n v="12.48"/>
    <n v="12.48"/>
    <n v="12.48"/>
    <s v="True"/>
    <s v="Normal"/>
    <s v="Apple Pay"/>
    <s v="Instagram"/>
    <s v="refunded"/>
    <s v="United States"/>
    <s v="Ohio"/>
    <s v="Valid"/>
    <s v="Port Paigeview"/>
  </r>
  <r>
    <s v="#1610"/>
    <n v="1"/>
    <d v="2026-08-04T13:59:32"/>
    <d v="2026-08-04T13:59:32"/>
    <s v="Brittney Conway"/>
    <s v="Email Available"/>
    <s v="brittney.conway383@outlook.com"/>
    <x v="15"/>
    <s v="Home &amp; Kitchen"/>
    <x v="16"/>
    <n v="1"/>
    <n v="9.99"/>
    <n v="9.99"/>
    <m/>
    <s v=""/>
    <n v="0"/>
    <n v="0"/>
    <s v="Number"/>
    <n v="7.99"/>
    <n v="7.99"/>
    <n v="17.98"/>
    <n v="17.98"/>
    <n v="17.98"/>
    <s v="True"/>
    <s v="Normal"/>
    <s v="PayPal"/>
    <s v="Online Store"/>
    <s v="refunded"/>
    <s v="United States"/>
    <s v="Florida"/>
    <s v="Valid"/>
    <s v="Sullivanside"/>
  </r>
  <r>
    <s v="#1617"/>
    <n v="1"/>
    <d v="2026-04-08T00:00:00"/>
    <s v="08/04/2026"/>
    <s v="James Mason"/>
    <s v="Email Available"/>
    <s v="james.mason603@gmail.com"/>
    <x v="15"/>
    <s v="Home &amp; Kitchen"/>
    <x v="16"/>
    <n v="2"/>
    <n v="9.99"/>
    <n v="9.99"/>
    <m/>
    <s v=""/>
    <n v="0"/>
    <n v="0"/>
    <s v="Number"/>
    <n v="4.99"/>
    <n v="4.99"/>
    <n v="24.97"/>
    <n v="24.97"/>
    <n v="24.97"/>
    <s v="True"/>
    <s v="Normal"/>
    <s v="Apple Pay"/>
    <s v="POS"/>
    <s v="fulfilled"/>
    <s v="Pakistan"/>
    <m/>
    <s v="Not Required"/>
    <s v="Williamsshire"/>
  </r>
  <r>
    <s v="#1650"/>
    <n v="1"/>
    <d v="2026-04-08T00:00:00"/>
    <s v="08/04/2026"/>
    <s v="Alan Davis"/>
    <s v="Email Available"/>
    <s v="alan.davis483@icloud.com"/>
    <x v="15"/>
    <s v="Home &amp; Kitchen"/>
    <x v="16"/>
    <n v="1"/>
    <n v="9.99"/>
    <n v="9.99"/>
    <s v="FREESHIP"/>
    <s v="FREESHIP"/>
    <n v="0"/>
    <n v="0"/>
    <s v="Number"/>
    <n v="0"/>
    <n v="0"/>
    <n v="9.99"/>
    <n v="9.99"/>
    <n v="9.99"/>
    <s v="True"/>
    <s v="Normal"/>
    <s v="Shopify Payments"/>
    <s v="Online Store"/>
    <s v="cancelled"/>
    <s v="Canada"/>
    <m/>
    <s v="Not Required"/>
    <s v="South Justin"/>
  </r>
  <r>
    <s v="#1707"/>
    <n v="1"/>
    <d v="2026-08-04T14:02:45"/>
    <d v="2026-08-04T14:02:45"/>
    <s v="Jacqueline Richmond"/>
    <s v="Email Available"/>
    <s v="jacqueline.richmond595@outlook.com"/>
    <x v="15"/>
    <s v="Home &amp; Kitchen"/>
    <x v="16"/>
    <n v="1"/>
    <n v="9.99"/>
    <n v="9.99"/>
    <s v="BFCM25"/>
    <s v="BFCM25"/>
    <n v="2.5"/>
    <n v="2.5"/>
    <s v="Number"/>
    <n v="5.99"/>
    <n v="5.99"/>
    <n v="13.48"/>
    <n v="13.48"/>
    <n v="13.48"/>
    <s v="True"/>
    <s v="Normal"/>
    <s v="Credit Card"/>
    <s v="Online Store"/>
    <s v="fulfilled"/>
    <s v="United States"/>
    <s v="Georgia"/>
    <s v="Valid"/>
    <s v="East Heidi"/>
  </r>
  <r>
    <s v="#1758"/>
    <n v="1"/>
    <d v="2026-08-04T00:00:00"/>
    <s v="2026-08-04"/>
    <s v="Ian Morris"/>
    <s v="Email Available"/>
    <s v="ian.morris90@outlook.com"/>
    <x v="15"/>
    <s v="Home &amp; Kitchen"/>
    <x v="16"/>
    <n v="1"/>
    <n v="9.99"/>
    <n v="9.99"/>
    <s v="VIP15"/>
    <s v="VIP15"/>
    <n v="1.5"/>
    <n v="1.5"/>
    <s v="Number"/>
    <n v="4.99"/>
    <n v="4.99"/>
    <n v="13.48"/>
    <n v="13.48"/>
    <n v="13.48"/>
    <s v="True"/>
    <s v="Normal"/>
    <s v="Credit Card"/>
    <s v="POS"/>
    <s v="refunded"/>
    <s v="Pakistan"/>
    <m/>
    <s v="Not Required"/>
    <s v="Andersontown"/>
  </r>
  <r>
    <s v="#1764"/>
    <n v="1"/>
    <d v="2026-08-04T14:03:40"/>
    <d v="2026-08-04T14:03:40"/>
    <s v="Lindsay Shaw"/>
    <s v="Missing Email"/>
    <m/>
    <x v="15"/>
    <s v="Home &amp; Kitchen"/>
    <x v="16"/>
    <n v="1"/>
    <n v="9.99"/>
    <n v="9.99"/>
    <m/>
    <s v=""/>
    <n v="0"/>
    <n v="0"/>
    <s v="Number"/>
    <n v="4.99"/>
    <n v="4.99"/>
    <n v="14.98"/>
    <n v="14.98"/>
    <n v="14.98"/>
    <s v="True"/>
    <s v="Normal"/>
    <s v="Google Pay"/>
    <s v="Online Store"/>
    <s v="fulfilled"/>
    <s v="United Kingdom"/>
    <m/>
    <s v="Not Required"/>
    <s v="Lake Rhondaton"/>
  </r>
  <r>
    <s v="#1765"/>
    <n v="1"/>
    <d v="2026-08-04T13:55:01"/>
    <d v="2026-08-04T13:55:01"/>
    <s v="Brian Gardner"/>
    <s v="Email Available"/>
    <s v="brian.gardner260@outlook.com"/>
    <x v="15"/>
    <s v="Home &amp; Kitchen"/>
    <x v="16"/>
    <n v="1"/>
    <n v="9.99"/>
    <n v="9.99"/>
    <s v="VIP15"/>
    <s v="VIP15"/>
    <n v="1.5"/>
    <n v="1.5"/>
    <s v="Number"/>
    <n v="5.99"/>
    <n v="5.99"/>
    <n v="14.48"/>
    <n v="14.48"/>
    <n v="14.48"/>
    <s v="True"/>
    <s v="Normal"/>
    <s v="Apple Pay"/>
    <s v="Facebook"/>
    <s v="fulfilled"/>
    <s v="United States"/>
    <s v="Ohio"/>
    <s v="Valid"/>
    <s v="Chelseafurt"/>
  </r>
  <r>
    <s v="#1794"/>
    <n v="1"/>
    <d v="2026-08-04T14:08:03"/>
    <d v="2026-08-04T14:08:03"/>
    <s v="Carson, John"/>
    <s v="Email Available"/>
    <s v="john.carson203@yahoo.com"/>
    <x v="15"/>
    <s v="Home &amp; Kitchen"/>
    <x v="16"/>
    <n v="2"/>
    <s v="$9.99"/>
    <n v="9.99"/>
    <s v="FREESHIP"/>
    <s v="FREESHIP"/>
    <n v="0"/>
    <n v="0"/>
    <s v="Number"/>
    <n v="0"/>
    <n v="0"/>
    <n v="19.98"/>
    <n v="19.98"/>
    <n v="19.98"/>
    <s v="True"/>
    <s v="Normal"/>
    <s v="Credit Card"/>
    <s v="Online Store"/>
    <s v="fulfilled"/>
    <s v="United States"/>
    <s v="Arizona"/>
    <s v="Valid"/>
    <s v="Port Cindyhaven"/>
  </r>
  <r>
    <s v="#1808"/>
    <n v="1"/>
    <d v="2026-08-04T14:00:13"/>
    <d v="2026-08-04T14:00:13"/>
    <s v="jeremy tucker"/>
    <s v="Email Available"/>
    <s v="jeremy.tucker26@yahoo.com"/>
    <x v="15"/>
    <s v="Home &amp; Kitchen"/>
    <x v="16"/>
    <n v="1"/>
    <n v="9.99"/>
    <n v="9.99"/>
    <m/>
    <s v=""/>
    <n v="0"/>
    <n v="0"/>
    <s v="Number"/>
    <n v="5.99"/>
    <n v="5.99"/>
    <n v="15.98"/>
    <n v="15.98"/>
    <n v="15.98"/>
    <s v="True"/>
    <s v="Normal"/>
    <s v="Credit Card"/>
    <s v="Facebook"/>
    <s v="fulfilled"/>
    <s v="United States"/>
    <s v="Florida"/>
    <s v="Valid"/>
    <s v="Jessicafurt"/>
  </r>
  <r>
    <s v="#1816"/>
    <n v="1"/>
    <d v="2026-08-04T13:59:23"/>
    <d v="2026-08-04T13:59:23"/>
    <s v="Karen Bautista"/>
    <s v="Email Available"/>
    <s v="karen.bautista779@icloud.com"/>
    <x v="15"/>
    <s v="Home &amp; Kitchen"/>
    <x v="16"/>
    <n v="1"/>
    <n v="9.99"/>
    <n v="9.99"/>
    <s v="BFCM25"/>
    <s v="BFCM25"/>
    <n v="2.5"/>
    <n v="2.5"/>
    <s v="Number"/>
    <n v="4.99"/>
    <n v="4.99"/>
    <n v="12.48"/>
    <n v="12.48"/>
    <n v="12.48"/>
    <s v="True"/>
    <s v="Normal"/>
    <s v="Apple Pay"/>
    <s v="Instagram"/>
    <s v="fulfilled"/>
    <s v="United States"/>
    <s v="California"/>
    <s v="Valid"/>
    <s v="West Kyle"/>
  </r>
  <r>
    <s v="#1830"/>
    <n v="1"/>
    <d v="2026-08-04T14:03:15"/>
    <d v="2026-08-04T14:03:15"/>
    <s v="Tammy Hawkins"/>
    <s v="Email Available"/>
    <s v="tammy.hawkins461@outlook.com"/>
    <x v="15"/>
    <s v="Home &amp; Kitchen"/>
    <x v="16"/>
    <n v="1"/>
    <n v="9.99"/>
    <n v="9.99"/>
    <s v="SAVE20"/>
    <s v="SAVE20"/>
    <s v="$2.00"/>
    <n v="2"/>
    <s v="Number"/>
    <n v="7.99"/>
    <n v="7.99"/>
    <n v="15.98"/>
    <n v="15.98"/>
    <n v="15.98"/>
    <s v="True"/>
    <s v="Normal"/>
    <s v="Google Pay"/>
    <s v="Online Store"/>
    <s v="cancelled"/>
    <s v="United States"/>
    <s v="Georgia"/>
    <s v="Valid"/>
    <s v="Salazarland"/>
  </r>
  <r>
    <s v="#1846"/>
    <n v="1"/>
    <d v="2026-08-04T13:55:31"/>
    <d v="2026-08-04T13:55:31"/>
    <s v="Heather Davis"/>
    <s v="Email Available"/>
    <s v="heather.davis117@icloud.com"/>
    <x v="15"/>
    <s v="Home &amp; Kitchen"/>
    <x v="16"/>
    <n v="2"/>
    <n v="9.99"/>
    <n v="9.99"/>
    <m/>
    <s v=""/>
    <n v="0"/>
    <n v="0"/>
    <s v="Number"/>
    <n v="4.99"/>
    <n v="4.99"/>
    <s v="$24.97"/>
    <n v="24.97"/>
    <n v="24.97"/>
    <s v="True"/>
    <s v="Normal"/>
    <s v="Apple Pay"/>
    <s v="POS"/>
    <s v="fulfilled"/>
    <s v="Germany"/>
    <m/>
    <s v="Not Required"/>
    <s v="Humphreymouth"/>
  </r>
  <r>
    <s v="#1869"/>
    <n v="1"/>
    <d v="2026-08-04T14:05:01"/>
    <d v="2026-08-04T14:05:01"/>
    <s v="Jennifer Burke"/>
    <s v="Email Available"/>
    <s v="jennifer.burke472@icloud.com"/>
    <x v="15"/>
    <s v="Home &amp; Kitchen"/>
    <x v="16"/>
    <n v="1"/>
    <n v="9.99"/>
    <n v="9.99"/>
    <m/>
    <s v=""/>
    <n v="0"/>
    <n v="0"/>
    <s v="Number"/>
    <n v="7.99"/>
    <n v="7.99"/>
    <n v="17.98"/>
    <n v="17.98"/>
    <n v="17.98"/>
    <s v="True"/>
    <s v="Normal"/>
    <s v="Shopify Payments"/>
    <s v="Facebook"/>
    <s v="fulfilled"/>
    <s v="Pakistan"/>
    <m/>
    <s v="Not Required"/>
    <s v="Lake Thomasville"/>
  </r>
  <r>
    <s v="#1877"/>
    <n v="1"/>
    <d v="2026-08-04T13:56:03"/>
    <d v="2026-08-04T13:56:03"/>
    <s v="Chavez, Summer"/>
    <s v="Email Available"/>
    <s v="summer.chavez101@icloud.com"/>
    <x v="15"/>
    <s v="Home &amp; Kitchen"/>
    <x v="16"/>
    <n v="1"/>
    <n v="9.99"/>
    <n v="9.99"/>
    <s v="SAVE20"/>
    <s v="SAVE20"/>
    <n v="2"/>
    <n v="2"/>
    <s v="Number"/>
    <n v="7.99"/>
    <n v="7.99"/>
    <n v="15.98"/>
    <n v="15.98"/>
    <n v="15.98"/>
    <s v="True"/>
    <s v="Normal"/>
    <s v="Apple Pay"/>
    <s v="Online Store"/>
    <s v="pending"/>
    <s v="United States"/>
    <s v="Arizona"/>
    <s v="Valid"/>
    <s v="Port Colleen"/>
  </r>
  <r>
    <s v="#1889"/>
    <n v="1"/>
    <d v="2026-04-08T00:00:00"/>
    <s v="08/04/2026"/>
    <s v="Danielle Morrow"/>
    <s v="Email Available"/>
    <s v="danielle.morrow805@outlook.com"/>
    <x v="15"/>
    <s v="Home &amp; Kitchen"/>
    <x v="16"/>
    <n v="1"/>
    <n v="9.99"/>
    <n v="9.99"/>
    <s v="VIP15"/>
    <s v="VIP15"/>
    <n v="1.5"/>
    <n v="1.5"/>
    <s v="Number"/>
    <n v="4.99"/>
    <n v="4.99"/>
    <n v="13.48"/>
    <n v="13.48"/>
    <n v="13.48"/>
    <s v="True"/>
    <s v="Normal"/>
    <s v="Credit Card"/>
    <s v="Online Store"/>
    <s v="fulfilled"/>
    <s v="United Kingdom"/>
    <m/>
    <s v="Not Required"/>
    <s v="Johnchester"/>
  </r>
  <r>
    <s v="#1918"/>
    <n v="1"/>
    <d v="2026-08-04T14:02:45"/>
    <d v="2026-08-04T14:02:45"/>
    <s v="Tina Singh"/>
    <s v="Email Available"/>
    <s v="tina.singh98@icloud.com"/>
    <x v="15"/>
    <s v="Home &amp; Kitchen"/>
    <x v="16"/>
    <n v="1"/>
    <n v="9.99"/>
    <n v="9.99"/>
    <s v="SAVE20"/>
    <s v="SAVE20"/>
    <n v="2"/>
    <n v="2"/>
    <s v="Number"/>
    <n v="4.99"/>
    <n v="4.99"/>
    <n v="12.98"/>
    <n v="12.98"/>
    <n v="12.98"/>
    <s v="True"/>
    <s v="Normal"/>
    <s v="Shopify Payments"/>
    <s v="Online Store"/>
    <s v="fulfilled"/>
    <s v="United States"/>
    <s v="Arizona"/>
    <s v="Valid"/>
    <s v="West Stephenton"/>
  </r>
  <r>
    <s v="#1924"/>
    <n v="1"/>
    <d v="2026-08-04T14:06:53"/>
    <d v="2026-08-04T14:06:53"/>
    <s v="Timothy Hodges"/>
    <s v="Email Available"/>
    <s v="timothy.hodges687@icloud.com"/>
    <x v="15"/>
    <s v="Home &amp; Kitchen"/>
    <x v="16"/>
    <n v="1"/>
    <n v="9.99"/>
    <n v="9.99"/>
    <s v="WELCOME10"/>
    <s v="WELCOME10"/>
    <n v="1"/>
    <n v="1"/>
    <s v="Number"/>
    <n v="5.99"/>
    <n v="5.99"/>
    <n v="14.98"/>
    <n v="14.98"/>
    <n v="14.98"/>
    <s v="True"/>
    <s v="Normal"/>
    <s v="Google Pay"/>
    <s v="Online Store"/>
    <s v="refunded"/>
    <s v="Australia"/>
    <m/>
    <s v="Not Required"/>
    <s v="South Stephanie"/>
  </r>
  <r>
    <s v="#1969"/>
    <n v="1"/>
    <d v="2026-08-04T14:06:03"/>
    <d v="2026-08-04T14:06:03"/>
    <s v="Morgan Johnson"/>
    <s v="Email Available"/>
    <s v="morgan.johnson938@outlook.com"/>
    <x v="15"/>
    <s v="Home &amp; Kitchen"/>
    <x v="16"/>
    <n v="2"/>
    <n v="9.99"/>
    <n v="9.99"/>
    <s v="BFCM25"/>
    <s v="BFCM25"/>
    <n v="5"/>
    <n v="5"/>
    <s v="Number"/>
    <n v="4.99"/>
    <n v="4.99"/>
    <n v="19.97"/>
    <n v="19.97"/>
    <n v="19.97"/>
    <s v="True"/>
    <s v="Normal"/>
    <s v="Google Pay"/>
    <s v="Online Store"/>
    <s v="cancelled"/>
    <s v="Canada"/>
    <m/>
    <s v="Not Required"/>
    <s v="South Brad"/>
  </r>
  <r>
    <s v="#1980"/>
    <n v="1"/>
    <d v="2026-08-04T13:55:53"/>
    <d v="2026-08-04T13:55:53"/>
    <s v="Tammy Hawkins"/>
    <s v="Email Available"/>
    <s v="tammy.hawkins461@outlook.com"/>
    <x v="15"/>
    <s v="Home &amp; Kitchen"/>
    <x v="16"/>
    <n v="1"/>
    <n v="9.99"/>
    <n v="9.99"/>
    <m/>
    <s v=""/>
    <n v="0"/>
    <n v="0"/>
    <s v="Number"/>
    <n v="5.99"/>
    <n v="5.99"/>
    <n v="15.98"/>
    <n v="15.98"/>
    <n v="15.98"/>
    <s v="True"/>
    <s v="Normal"/>
    <s v="PayPal"/>
    <s v="Facebook"/>
    <s v="fulfilled"/>
    <s v="United States"/>
    <s v="Washington"/>
    <s v="Valid"/>
    <s v="Estradashire"/>
  </r>
  <r>
    <s v="#2012"/>
    <n v="1"/>
    <d v="2026-08-04T14:06:16"/>
    <d v="2026-08-04T14:06:16"/>
    <s v="Jordan Wilkins"/>
    <s v="Email Available"/>
    <s v="jordan.wilkins318@outlook.com"/>
    <x v="15"/>
    <s v="Home &amp; Kitchen"/>
    <x v="16"/>
    <n v="1"/>
    <n v="9.99"/>
    <n v="9.99"/>
    <m/>
    <s v=""/>
    <s v="$0.00"/>
    <n v="0"/>
    <s v="Number"/>
    <n v="5.99"/>
    <n v="5.99"/>
    <n v="15.98"/>
    <n v="15.98"/>
    <n v="15.98"/>
    <s v="True"/>
    <s v="Normal"/>
    <s v="Apple Pay"/>
    <s v="Online Store"/>
    <s v="cancelled"/>
    <s v="Pakistan"/>
    <m/>
    <s v="Not Required"/>
    <s v="Michaeltown"/>
  </r>
  <r>
    <s v="#2027"/>
    <n v="1"/>
    <d v="2026-08-04T13:59:00"/>
    <d v="2026-08-04T13:59:00"/>
    <s v="sandra potter"/>
    <s v="Email Available"/>
    <s v="sandra.potter166@yahoo.com"/>
    <x v="15"/>
    <s v="Home &amp; Kitchen"/>
    <x v="16"/>
    <n v="2"/>
    <n v="9.99"/>
    <n v="9.99"/>
    <m/>
    <s v=""/>
    <n v="0"/>
    <n v="0"/>
    <s v="Number"/>
    <n v="4.99"/>
    <n v="4.99"/>
    <s v="$24.97"/>
    <n v="24.97"/>
    <n v="24.97"/>
    <s v="True"/>
    <s v="Normal"/>
    <s v="Apple Pay"/>
    <s v="Online Store"/>
    <s v="fulfilled"/>
    <s v="United States"/>
    <s v="California"/>
    <s v="Valid"/>
    <s v="Port Ginaburgh"/>
  </r>
  <r>
    <s v="#2039"/>
    <n v="1"/>
    <d v="2026-08-04T14:02:56"/>
    <d v="2026-08-04T14:02:56"/>
    <s v="Amber Kennedy"/>
    <s v="Email Available"/>
    <s v="amber.kennedy723@icloud.com"/>
    <x v="15"/>
    <s v="Home &amp; Kitchen"/>
    <x v="16"/>
    <n v="1"/>
    <n v="9.99"/>
    <n v="9.99"/>
    <m/>
    <s v=""/>
    <n v="0"/>
    <n v="0"/>
    <s v="Number"/>
    <n v="4.99"/>
    <n v="4.99"/>
    <n v="14.98"/>
    <n v="14.98"/>
    <n v="14.98"/>
    <s v="True"/>
    <s v="Normal"/>
    <s v="Credit Card"/>
    <s v="Online Store"/>
    <s v="fulfilled"/>
    <s v="United States"/>
    <s v="Florida"/>
    <s v="Valid"/>
    <s v="Joshuamouth"/>
  </r>
  <r>
    <s v="#2046"/>
    <n v="1"/>
    <d v="2026-08-04T00:00:00"/>
    <s v="04-08-2026 13:59"/>
    <s v="Sandra Wilson"/>
    <s v="Email Available"/>
    <s v="sandra.wilson554@outlook.com"/>
    <x v="15"/>
    <s v="Home &amp; Kitchen"/>
    <x v="16"/>
    <n v="2"/>
    <n v="9.99"/>
    <n v="9.99"/>
    <s v="FREESHIP"/>
    <s v="FREESHIP"/>
    <n v="0"/>
    <n v="0"/>
    <s v="Number"/>
    <n v="0"/>
    <n v="0"/>
    <n v="19.98"/>
    <n v="19.98"/>
    <n v="19.98"/>
    <s v="True"/>
    <s v="Normal"/>
    <s v="Credit Card"/>
    <s v="Online Store"/>
    <s v="pending"/>
    <s v="Canada"/>
    <m/>
    <s v="Not Required"/>
    <s v="Brockville"/>
  </r>
  <r>
    <s v="#2049"/>
    <n v="1"/>
    <d v="2026-08-04T14:04:26"/>
    <d v="2026-08-04T14:04:26"/>
    <s v="Megan Herman"/>
    <s v="Email Available"/>
    <s v="megan.herman268@yahoo.com"/>
    <x v="15"/>
    <s v="Home &amp; Kitchen"/>
    <x v="16"/>
    <n v="1"/>
    <n v="9.99"/>
    <n v="9.99"/>
    <s v="VIP15"/>
    <s v="VIP15"/>
    <n v="1.5"/>
    <n v="1.5"/>
    <s v="Number"/>
    <n v="5.99"/>
    <n v="5.99"/>
    <n v="14.48"/>
    <n v="14.48"/>
    <n v="14.48"/>
    <s v="True"/>
    <s v="Normal"/>
    <s v="Shopify Payments"/>
    <s v="Online Store"/>
    <s v="fulfilled"/>
    <s v="United States"/>
    <s v="New York"/>
    <s v="Valid"/>
    <s v="Grayville"/>
  </r>
  <r>
    <s v="#2091"/>
    <n v="1"/>
    <d v="2026-08-04T00:00:00"/>
    <s v="2026-08-04"/>
    <s v="Peter Alvarez"/>
    <s v="Email Available"/>
    <s v="peter.alvarez465@yahoo.com"/>
    <x v="15"/>
    <s v="Home &amp; Kitchen"/>
    <x v="16"/>
    <n v="1"/>
    <n v="9.99"/>
    <n v="9.99"/>
    <m/>
    <s v=""/>
    <n v="0"/>
    <n v="0"/>
    <s v="Number"/>
    <n v="4.99"/>
    <n v="4.99"/>
    <n v="14.98"/>
    <n v="14.98"/>
    <n v="14.98"/>
    <s v="True"/>
    <s v="Normal"/>
    <s v="PayPal"/>
    <s v="Online Store"/>
    <s v="fulfilled"/>
    <s v="United States"/>
    <s v="Texas"/>
    <s v="Valid"/>
    <s v="East Matthew"/>
  </r>
  <r>
    <s v="#2109"/>
    <n v="1"/>
    <d v="2026-08-04T14:00:11"/>
    <d v="2026-08-04T14:00:11"/>
    <s v="Jennifer Burke"/>
    <s v="Email Available"/>
    <s v="jennifer.burke472@icloud.com"/>
    <x v="15"/>
    <s v="Home &amp; Kitchen"/>
    <x v="16"/>
    <n v="1"/>
    <n v="9.99"/>
    <n v="9.99"/>
    <m/>
    <s v=""/>
    <n v="0"/>
    <n v="0"/>
    <s v="Number"/>
    <n v="4.99"/>
    <n v="4.99"/>
    <n v="14.98"/>
    <n v="14.98"/>
    <n v="14.98"/>
    <s v="True"/>
    <s v="Normal"/>
    <s v="Google Pay"/>
    <s v="Facebook"/>
    <s v="fulfilled"/>
    <s v="Pakistan"/>
    <m/>
    <s v="Not Required"/>
    <s v="Stephenview"/>
  </r>
  <r>
    <s v="#2157"/>
    <n v="1"/>
    <d v="2026-08-04T14:05:11"/>
    <d v="2026-08-04T14:05:11"/>
    <s v="Tasha Morales"/>
    <s v="Missing Email"/>
    <m/>
    <x v="15"/>
    <s v="Home &amp; Kitchen"/>
    <x v="16"/>
    <n v="2"/>
    <n v="9.99"/>
    <n v="9.99"/>
    <s v="FREESHIP"/>
    <s v="FREESHIP"/>
    <n v="0"/>
    <n v="0"/>
    <s v="Number"/>
    <n v="0"/>
    <n v="0"/>
    <n v="19.98"/>
    <n v="19.98"/>
    <n v="19.98"/>
    <s v="True"/>
    <s v="Normal"/>
    <s v="Shopify Payments"/>
    <s v="Online Store"/>
    <s v="fulfilled"/>
    <s v="United States"/>
    <s v="North Carolina"/>
    <s v="Valid"/>
    <s v="East James"/>
  </r>
  <r>
    <s v="#2212"/>
    <n v="1"/>
    <d v="2026-08-04T14:01:47"/>
    <d v="2026-08-04T14:01:47"/>
    <s v="Anthony Patterson"/>
    <s v="Email Available"/>
    <s v="anthony.patterson944@gmail.com"/>
    <x v="15"/>
    <s v="Home &amp; Kitchen"/>
    <x v="16"/>
    <n v="1"/>
    <n v="9.99"/>
    <n v="9.99"/>
    <s v="BFCM25"/>
    <s v="BFCM25"/>
    <n v="2.5"/>
    <n v="2.5"/>
    <s v="Number"/>
    <n v="4.99"/>
    <n v="4.99"/>
    <n v="12.48"/>
    <n v="12.48"/>
    <n v="12.48"/>
    <s v="True"/>
    <s v="Normal"/>
    <s v="Shopify Payments"/>
    <s v="Instagram"/>
    <s v="refunded"/>
    <s v="Pakistan"/>
    <m/>
    <s v="Not Required"/>
    <s v="Josephbury"/>
  </r>
  <r>
    <s v="#2235"/>
    <n v="1"/>
    <d v="2026-08-04T14:07:46"/>
    <d v="2026-08-04T14:07:46"/>
    <s v="Heather Rivers"/>
    <s v="Email Available"/>
    <s v="heather.rivers451@icloud.com"/>
    <x v="15"/>
    <s v="Home &amp; Kitchen"/>
    <x v="16"/>
    <n v="1"/>
    <n v="9.99"/>
    <n v="9.99"/>
    <m/>
    <s v=""/>
    <n v="0"/>
    <n v="0"/>
    <s v="Number"/>
    <n v="5.99"/>
    <n v="5.99"/>
    <n v="15.98"/>
    <n v="15.98"/>
    <n v="15.98"/>
    <s v="True"/>
    <s v="Normal"/>
    <s v="Google Pay"/>
    <s v="Online Store"/>
    <s v="fulfilled"/>
    <s v="United States"/>
    <s v="Georgia"/>
    <s v="Valid"/>
    <s v="Lindastad"/>
  </r>
  <r>
    <s v="#2253"/>
    <n v="1"/>
    <d v="2026-08-04T13:58:28"/>
    <d v="2026-08-04T13:58:28"/>
    <s v="Sara Sims"/>
    <s v="Email Available"/>
    <s v="sara.sims992@icloud.com"/>
    <x v="15"/>
    <s v="Home &amp; Kitchen"/>
    <x v="16"/>
    <n v="1"/>
    <n v="9.99"/>
    <n v="9.99"/>
    <m/>
    <s v=""/>
    <n v="0"/>
    <n v="0"/>
    <s v="Number"/>
    <n v="5.99"/>
    <n v="5.99"/>
    <n v="15.98"/>
    <n v="15.98"/>
    <n v="15.98"/>
    <s v="True"/>
    <s v="Normal"/>
    <s v="Shopify Payments"/>
    <s v="Online Store"/>
    <s v="fulfilled"/>
    <s v="Germany"/>
    <m/>
    <s v="Not Required"/>
    <s v="Amychester"/>
  </r>
  <r>
    <s v="#2264"/>
    <n v="1"/>
    <d v="2026-08-04T00:00:00"/>
    <s v="2026-08-04"/>
    <s v="Chad Smith"/>
    <s v="Email Available"/>
    <s v="chad.smith773@icloud.com"/>
    <x v="15"/>
    <s v="Home &amp; Kitchen"/>
    <x v="16"/>
    <n v="1"/>
    <n v="9.99"/>
    <n v="9.99"/>
    <s v="SAVE20"/>
    <s v="SAVE20"/>
    <n v="2"/>
    <n v="2"/>
    <s v="Number"/>
    <n v="5.99"/>
    <n v="5.99"/>
    <n v="13.98"/>
    <n v="13.98"/>
    <n v="13.98"/>
    <s v="True"/>
    <s v="Normal"/>
    <s v="PayPal"/>
    <s v="POS"/>
    <s v="pending"/>
    <s v="Pakistan"/>
    <m/>
    <s v="Not Required"/>
    <s v="Richardsonview"/>
  </r>
  <r>
    <s v="#2268"/>
    <n v="1"/>
    <d v="2026-08-04T13:58:37"/>
    <d v="2026-08-04T13:58:37"/>
    <s v="Jeremy Hicks"/>
    <s v="Email Available"/>
    <s v="jeremy.hicks984@yahoo.com"/>
    <x v="15"/>
    <s v="Home &amp; Kitchen"/>
    <x v="16"/>
    <n v="1"/>
    <n v="9.99"/>
    <n v="9.99"/>
    <s v="BFCM25"/>
    <s v="BFCM25"/>
    <n v="2.5"/>
    <n v="2.5"/>
    <s v="Number"/>
    <n v="7.99"/>
    <n v="7.99"/>
    <n v="15.48"/>
    <n v="15.48"/>
    <n v="15.48"/>
    <s v="True"/>
    <s v="Normal"/>
    <s v="PayPal"/>
    <s v="Facebook"/>
    <s v="refunded"/>
    <s v="United Kingdom"/>
    <m/>
    <s v="Not Required"/>
    <s v="Port Patrickton"/>
  </r>
  <r>
    <s v="#2331"/>
    <n v="1"/>
    <d v="2026-08-04T13:55:08"/>
    <d v="2026-08-04T13:55:08"/>
    <s v="Taylor Davis"/>
    <s v="Email Available"/>
    <s v="taylor.davis403@outlook.com"/>
    <x v="15"/>
    <s v="Home &amp; Kitchen"/>
    <x v="16"/>
    <n v="2"/>
    <n v="9.99"/>
    <n v="9.99"/>
    <s v="FREESHIP"/>
    <s v="FREESHIP"/>
    <n v="0"/>
    <n v="0"/>
    <s v="Number"/>
    <n v="0"/>
    <n v="0"/>
    <n v="19.98"/>
    <n v="19.98"/>
    <n v="19.98"/>
    <s v="True"/>
    <s v="Normal"/>
    <s v="PayPal"/>
    <s v="Online Store"/>
    <s v="fulfilled"/>
    <s v="United States"/>
    <s v="Florida"/>
    <s v="Valid"/>
    <s v="East Rhonda"/>
  </r>
  <r>
    <s v="#2342"/>
    <n v="1"/>
    <d v="2026-08-04T14:06:14"/>
    <d v="2026-08-04T14:06:14"/>
    <s v="Gregory Vega"/>
    <s v="Email Available"/>
    <s v="gregory.vega882@outlook.com"/>
    <x v="15"/>
    <s v="Home &amp; Kitchen"/>
    <x v="16"/>
    <n v="4"/>
    <n v="9.99"/>
    <n v="9.99"/>
    <m/>
    <s v=""/>
    <n v="0"/>
    <n v="0"/>
    <s v="Number"/>
    <n v="7.99"/>
    <n v="7.99"/>
    <n v="47.95"/>
    <n v="47.95"/>
    <n v="47.95"/>
    <s v="True"/>
    <s v="Normal"/>
    <s v="Shopify Payments"/>
    <s v="Instagram"/>
    <s v="fulfilled"/>
    <s v="Pakistan"/>
    <m/>
    <s v="Not Required"/>
    <s v="West Paulamouth"/>
  </r>
  <r>
    <s v="#2351"/>
    <n v="1"/>
    <d v="2026-08-04T14:03:06"/>
    <d v="2026-08-04T14:03:06"/>
    <s v="Anthony Mullen"/>
    <s v="Email Available"/>
    <s v="anthony.mullen523@yahoo.com"/>
    <x v="15"/>
    <s v="Home &amp; Kitchen"/>
    <x v="16"/>
    <n v="1"/>
    <n v="9.99"/>
    <n v="9.99"/>
    <s v="WELCOME10"/>
    <s v="WELCOME10"/>
    <s v="$1.00"/>
    <n v="1"/>
    <s v="Number"/>
    <n v="5.99"/>
    <n v="5.99"/>
    <n v="14.98"/>
    <n v="14.98"/>
    <n v="14.98"/>
    <s v="True"/>
    <s v="Normal"/>
    <s v="Google Pay"/>
    <s v="Facebook"/>
    <s v="pending"/>
    <s v="United States"/>
    <s v="Ohio"/>
    <s v="Valid"/>
    <s v="Lisaton"/>
  </r>
  <r>
    <s v="#2379"/>
    <n v="1"/>
    <d v="2026-08-04T14:00:43"/>
    <d v="2026-08-04T14:00:43"/>
    <s v="Danielle Thornton"/>
    <s v="Email Available"/>
    <s v="danielle.thornton674@icloud.com"/>
    <x v="15"/>
    <s v="Home &amp; Kitchen"/>
    <x v="16"/>
    <n v="1"/>
    <n v="9.99"/>
    <n v="9.99"/>
    <s v="SAVE20"/>
    <s v="SAVE20"/>
    <n v="2"/>
    <n v="2"/>
    <s v="Number"/>
    <n v="7.99"/>
    <n v="7.99"/>
    <n v="15.98"/>
    <n v="15.98"/>
    <n v="15.98"/>
    <s v="True"/>
    <s v="Normal"/>
    <s v="Credit Card"/>
    <s v="Instagram"/>
    <s v="cancelled"/>
    <s v="United States"/>
    <s v="Ohio"/>
    <s v="Valid"/>
    <s v="West Tamara"/>
  </r>
  <r>
    <s v="#2384"/>
    <n v="1"/>
    <d v="2026-08-04T13:58:59"/>
    <d v="2026-08-04T13:58:59"/>
    <s v="Devin Jones"/>
    <s v="Email Available"/>
    <s v="devin.jones807@yahoo.com"/>
    <x v="15"/>
    <s v="Home &amp; Kitchen"/>
    <x v="16"/>
    <n v="1"/>
    <n v="9.99"/>
    <n v="9.99"/>
    <s v="WELCOME10"/>
    <s v="WELCOME10"/>
    <n v="1"/>
    <n v="1"/>
    <s v="Number"/>
    <n v="4.99"/>
    <n v="4.99"/>
    <n v="13.98"/>
    <n v="13.98"/>
    <n v="13.98"/>
    <s v="True"/>
    <s v="Normal"/>
    <s v="Apple Pay"/>
    <s v="Online Store"/>
    <s v="fulfilled"/>
    <s v="Pakistan"/>
    <m/>
    <s v="Not Required"/>
    <s v="New Patrick"/>
  </r>
  <r>
    <s v="#2415"/>
    <n v="1"/>
    <d v="2026-08-04T13:55:10"/>
    <d v="2026-08-04T13:55:10"/>
    <s v="Vincent Rosales"/>
    <s v="Email Available"/>
    <s v="vincent.rosales30@icloud.com"/>
    <x v="15"/>
    <s v="Home &amp; Kitchen"/>
    <x v="16"/>
    <n v="2"/>
    <n v="9.99"/>
    <n v="9.99"/>
    <s v="FREESHIP"/>
    <s v="FREESHIP"/>
    <n v="0"/>
    <n v="0"/>
    <s v="Number"/>
    <n v="0"/>
    <n v="0"/>
    <n v="19.98"/>
    <n v="19.98"/>
    <n v="19.98"/>
    <s v="True"/>
    <s v="Normal"/>
    <s v="PayPal"/>
    <s v="Online Store"/>
    <s v="pending"/>
    <s v="United States"/>
    <s v="Texas"/>
    <s v="Valid"/>
    <s v="Stephaniebury"/>
  </r>
  <r>
    <s v="#2464"/>
    <n v="1"/>
    <d v="2026-04-08T00:00:00"/>
    <s v="08/04/2026"/>
    <s v="  Sean Frank"/>
    <s v="Email Available"/>
    <s v="sean.frank587@icloud.com"/>
    <x v="15"/>
    <s v="Home &amp; Kitchen"/>
    <x v="16"/>
    <n v="2"/>
    <n v="9.99"/>
    <n v="9.99"/>
    <s v="FREESHIP"/>
    <s v="FREESHIP"/>
    <n v="0"/>
    <n v="0"/>
    <s v="Number"/>
    <n v="0"/>
    <n v="0"/>
    <n v="19.98"/>
    <n v="19.98"/>
    <n v="19.98"/>
    <s v="True"/>
    <s v="Normal"/>
    <s v="Credit Card"/>
    <s v="Online Store"/>
    <s v="refunded"/>
    <s v="Australia"/>
    <m/>
    <s v="Not Required"/>
    <s v="West Tiffanyfurt"/>
  </r>
  <r>
    <s v="#2503"/>
    <n v="1"/>
    <d v="2026-08-04T13:56:06"/>
    <d v="2026-08-04T13:56:06"/>
    <s v="Thomas Vazquez"/>
    <s v="Email Available"/>
    <s v="thomas.vazquez673@icloud.com"/>
    <x v="15"/>
    <s v="Home &amp; Kitchen"/>
    <x v="16"/>
    <n v="1"/>
    <n v="9.99"/>
    <n v="9.99"/>
    <s v="BFCM25"/>
    <s v="BFCM25"/>
    <n v="2.5"/>
    <n v="2.5"/>
    <s v="Number"/>
    <n v="4.99"/>
    <n v="4.99"/>
    <n v="12.48"/>
    <n v="12.48"/>
    <n v="12.48"/>
    <s v="True"/>
    <s v="Normal"/>
    <s v="PayPal"/>
    <s v="Instagram"/>
    <s v="fulfilled"/>
    <s v="Germany"/>
    <m/>
    <s v="Not Required"/>
    <s v="North Michaelside"/>
  </r>
  <r>
    <s v="#2556"/>
    <n v="1"/>
    <d v="2026-08-04T13:53:54"/>
    <d v="2026-08-04T13:53:54"/>
    <s v="Richard Zavala"/>
    <s v="Email Available"/>
    <s v="richard.zavala602@gmail.com"/>
    <x v="15"/>
    <s v="Home &amp; Kitchen"/>
    <x v="16"/>
    <n v="1"/>
    <n v="9.99"/>
    <n v="9.99"/>
    <s v="FREESHIP"/>
    <s v="FREESHIP"/>
    <s v="$0.00"/>
    <n v="0"/>
    <s v="Number"/>
    <n v="0"/>
    <n v="0"/>
    <n v="9.99"/>
    <n v="9.99"/>
    <n v="9.99"/>
    <s v="True"/>
    <s v="Normal"/>
    <s v="PayPal"/>
    <s v="POS"/>
    <s v="fulfilled"/>
    <s v="Canada"/>
    <m/>
    <s v="Not Required"/>
    <s v="Thomasside"/>
  </r>
  <r>
    <s v="#2571"/>
    <n v="1"/>
    <d v="2026-08-04T13:56:05"/>
    <d v="2026-08-04T13:56:05"/>
    <s v="Cheryl Coleman"/>
    <s v="Email Available"/>
    <s v="cheryl.coleman261@icloud.com"/>
    <x v="15"/>
    <s v="Home &amp; Kitchen"/>
    <x v="16"/>
    <n v="1"/>
    <n v="9.99"/>
    <n v="9.99"/>
    <s v="SAVE20"/>
    <s v="SAVE20"/>
    <n v="2"/>
    <n v="2"/>
    <s v="Number"/>
    <n v="4.99"/>
    <n v="4.99"/>
    <n v="12.98"/>
    <n v="12.98"/>
    <n v="12.98"/>
    <s v="True"/>
    <s v="Normal"/>
    <s v="PayPal"/>
    <s v="Online Store"/>
    <s v="refunded"/>
    <s v="Pakistan"/>
    <m/>
    <s v="Not Required"/>
    <s v="Camposville"/>
  </r>
  <r>
    <s v="#2572"/>
    <n v="1"/>
    <d v="2026-08-04T13:58:55"/>
    <d v="2026-08-04T13:58:55"/>
    <s v="John Jacobs"/>
    <s v="Email Available"/>
    <s v="john.jacobs137@yahoo.com"/>
    <x v="15"/>
    <s v="Home &amp; Kitchen"/>
    <x v="16"/>
    <n v="1"/>
    <n v="9.99"/>
    <n v="9.99"/>
    <s v="BFCM25"/>
    <s v="BFCM25"/>
    <n v="2.5"/>
    <n v="2.5"/>
    <s v="Number"/>
    <n v="4.99"/>
    <n v="4.99"/>
    <n v="12.48"/>
    <n v="12.48"/>
    <n v="12.48"/>
    <s v="True"/>
    <s v="Normal"/>
    <s v="Google Pay"/>
    <s v="Facebook"/>
    <s v="fulfilled"/>
    <s v="Australia"/>
    <m/>
    <s v="Not Required"/>
    <s v="South Daniel"/>
  </r>
  <r>
    <s v="#2585"/>
    <n v="1"/>
    <d v="2026-04-08T00:00:00"/>
    <s v="08/04/2026"/>
    <s v="Kristen Lewis"/>
    <s v="Email Available"/>
    <s v="kristen.lewis649@icloud.com"/>
    <x v="15"/>
    <s v="Home &amp; Kitchen"/>
    <x v="16"/>
    <n v="1"/>
    <n v="9.99"/>
    <n v="9.99"/>
    <s v="WELCOME10"/>
    <s v="WELCOME10"/>
    <n v="1"/>
    <n v="1"/>
    <s v="Number"/>
    <n v="7.99"/>
    <n v="7.99"/>
    <n v="16.98"/>
    <n v="16.98"/>
    <n v="16.98"/>
    <s v="True"/>
    <s v="Normal"/>
    <s v="Shopify Payments"/>
    <s v="Online Store"/>
    <s v="fulfilled"/>
    <s v="United States"/>
    <s v="California"/>
    <s v="Valid"/>
    <s v="Rachelfort"/>
  </r>
  <r>
    <s v="#2587"/>
    <n v="1"/>
    <d v="2026-08-04T13:59:08"/>
    <d v="2026-08-04T13:59:08"/>
    <s v="RONNIE JOHNSON"/>
    <s v="Email Available"/>
    <s v="ronnie.johnson454@outlook.com"/>
    <x v="15"/>
    <s v="Home &amp; Kitchen"/>
    <x v="16"/>
    <n v="1"/>
    <n v="9.99"/>
    <n v="9.99"/>
    <m/>
    <s v=""/>
    <n v="0"/>
    <n v="0"/>
    <s v="Number"/>
    <n v="5.99"/>
    <n v="5.99"/>
    <n v="15.98"/>
    <n v="15.98"/>
    <n v="15.98"/>
    <s v="True"/>
    <s v="Normal"/>
    <s v="Shopify Payments"/>
    <s v="Instagram"/>
    <s v="fulfilled"/>
    <s v="United States"/>
    <s v="Arizona"/>
    <s v="Valid"/>
    <s v="Patrickshire"/>
  </r>
  <r>
    <s v="#2618"/>
    <n v="1"/>
    <d v="2026-08-04T14:01:53"/>
    <d v="2026-08-04T14:01:53"/>
    <s v="Thomas Rojas"/>
    <s v="Missing Email"/>
    <m/>
    <x v="15"/>
    <s v="Home &amp; Kitchen"/>
    <x v="16"/>
    <n v="2"/>
    <n v="9.99"/>
    <n v="9.99"/>
    <s v="BFCM25"/>
    <s v="BFCM25"/>
    <n v="5"/>
    <n v="5"/>
    <s v="Number"/>
    <n v="7.99"/>
    <n v="7.99"/>
    <n v="22.97"/>
    <n v="22.97"/>
    <n v="22.97"/>
    <s v="True"/>
    <s v="Normal"/>
    <s v="PayPal"/>
    <s v="Facebook"/>
    <s v="cancelled"/>
    <s v="United States"/>
    <s v="TX"/>
    <s v="Valid"/>
    <s v="Harrisfurt"/>
  </r>
  <r>
    <s v="#2643"/>
    <n v="1"/>
    <d v="2026-08-04T13:56:17"/>
    <d v="2026-08-04T13:56:17"/>
    <s v="Logan Fox"/>
    <s v="Email Available"/>
    <s v="logan.fox165@gmail.com"/>
    <x v="15"/>
    <s v="Home &amp; Kitchen"/>
    <x v="16"/>
    <n v="2"/>
    <n v="9.99"/>
    <n v="9.99"/>
    <m/>
    <s v=""/>
    <n v="0"/>
    <n v="0"/>
    <s v="Number"/>
    <n v="5.99"/>
    <n v="5.99"/>
    <n v="25.97"/>
    <n v="25.97"/>
    <n v="25.97"/>
    <s v="True"/>
    <s v="Normal"/>
    <s v="PayPal"/>
    <s v="Online Store"/>
    <s v="fulfilled"/>
    <s v="Australia"/>
    <m/>
    <s v="Not Required"/>
    <s v="Smithmouth"/>
  </r>
  <r>
    <s v="#2661"/>
    <n v="1"/>
    <d v="2026-08-04T13:59:38"/>
    <d v="2026-08-04T13:59:38"/>
    <s v="Sarah Webb"/>
    <s v="Email Available"/>
    <s v="sarah.webb997@outlook.com"/>
    <x v="15"/>
    <s v="Home &amp; Kitchen"/>
    <x v="16"/>
    <n v="1"/>
    <n v="9.99"/>
    <n v="9.99"/>
    <s v="VIP15"/>
    <s v="VIP15"/>
    <n v="1.5"/>
    <n v="1.5"/>
    <s v="Number"/>
    <n v="4.99"/>
    <n v="4.99"/>
    <n v="13.48"/>
    <n v="13.48"/>
    <n v="13.48"/>
    <s v="True"/>
    <s v="Normal"/>
    <s v="Apple Pay"/>
    <s v="POS"/>
    <s v="cancelled"/>
    <s v="Germany"/>
    <m/>
    <s v="Not Required"/>
    <s v="Weaverborough"/>
  </r>
  <r>
    <s v="#2669"/>
    <n v="1"/>
    <d v="2026-08-04T14:08:19"/>
    <d v="2026-08-04T14:08:19"/>
    <s v="Peter Alvarez"/>
    <s v="Email Available"/>
    <s v="peter.alvarez465@yahoo.com"/>
    <x v="15"/>
    <s v="Home &amp; Kitchen"/>
    <x v="16"/>
    <n v="1"/>
    <n v="9.99"/>
    <n v="9.99"/>
    <m/>
    <s v=""/>
    <n v="0"/>
    <n v="0"/>
    <s v="Number"/>
    <n v="5.99"/>
    <n v="5.99"/>
    <n v="15.98"/>
    <n v="15.98"/>
    <n v="15.98"/>
    <s v="True"/>
    <s v="Normal"/>
    <s v="Credit Card"/>
    <s v="POS"/>
    <s v="fulfilled"/>
    <s v="United States"/>
    <s v="Washington"/>
    <s v="Valid"/>
    <s v="Lake Mark"/>
  </r>
  <r>
    <s v="#2673"/>
    <n v="1"/>
    <d v="2026-08-04T14:04:16"/>
    <d v="2026-08-04T14:04:16"/>
    <s v="Catherine Vang"/>
    <s v="Email Available"/>
    <s v="catherine.vang600@yahoo.com"/>
    <x v="15"/>
    <s v="Home &amp; Kitchen"/>
    <x v="16"/>
    <n v="1"/>
    <n v="9.99"/>
    <n v="9.99"/>
    <m/>
    <s v=""/>
    <s v="$0.00"/>
    <n v="0"/>
    <s v="Number"/>
    <n v="4.99"/>
    <n v="4.99"/>
    <n v="14.98"/>
    <n v="14.98"/>
    <n v="14.98"/>
    <s v="True"/>
    <s v="Normal"/>
    <s v="PayPal"/>
    <s v="POS"/>
    <s v="refunded"/>
    <s v="Australia"/>
    <m/>
    <s v="Not Required"/>
    <s v="Port Eileen"/>
  </r>
  <r>
    <s v="#2695"/>
    <n v="1"/>
    <d v="2026-08-04T14:00:08"/>
    <d v="2026-08-04T14:00:08"/>
    <s v="Ian Morris"/>
    <s v="Email Available"/>
    <s v="ian.morris90@outlook.com"/>
    <x v="15"/>
    <s v="Home &amp; Kitchen"/>
    <x v="16"/>
    <n v="1"/>
    <s v="$9.99"/>
    <n v="9.99"/>
    <m/>
    <s v=""/>
    <n v="0"/>
    <n v="0"/>
    <s v="Number"/>
    <n v="7.99"/>
    <n v="7.99"/>
    <n v="17.98"/>
    <n v="17.98"/>
    <n v="17.98"/>
    <s v="True"/>
    <s v="Normal"/>
    <s v="PayPal"/>
    <s v="Facebook"/>
    <s v="fulfilled"/>
    <s v="Pakistan"/>
    <m/>
    <s v="Not Required"/>
    <s v="Alimouth"/>
  </r>
  <r>
    <s v="#2697"/>
    <n v="1"/>
    <d v="2026-08-04T14:01:30"/>
    <d v="2026-08-04T14:01:30"/>
    <s v="Patrick Richardson"/>
    <s v="Email Available"/>
    <s v="patrick.richardson270@icloud.com"/>
    <x v="15"/>
    <s v="Home &amp; Kitchen"/>
    <x v="16"/>
    <n v="1"/>
    <n v="9.99"/>
    <n v="9.99"/>
    <m/>
    <s v=""/>
    <n v="0"/>
    <n v="0"/>
    <s v="Number"/>
    <n v="4.99"/>
    <n v="4.99"/>
    <n v="14.98"/>
    <n v="14.98"/>
    <n v="14.98"/>
    <s v="True"/>
    <s v="Normal"/>
    <s v="PayPal"/>
    <s v="Instagram"/>
    <s v="cancelled"/>
    <s v="United States"/>
    <s v="Texas"/>
    <s v="Valid"/>
    <s v="West Melissa"/>
  </r>
  <r>
    <s v="#2795"/>
    <n v="1"/>
    <d v="2026-08-04T00:00:00"/>
    <s v="2026-08-04"/>
    <s v="Jose Ingram"/>
    <s v="Missing Email"/>
    <m/>
    <x v="15"/>
    <s v="Home &amp; Kitchen"/>
    <x v="16"/>
    <n v="1"/>
    <n v="9.99"/>
    <n v="9.99"/>
    <s v=" WELCOME10 "/>
    <s v="WELCOME10"/>
    <n v="1"/>
    <n v="1"/>
    <s v="Number"/>
    <n v="5.99"/>
    <n v="5.99"/>
    <n v="14.98"/>
    <n v="14.98"/>
    <n v="14.98"/>
    <s v="True"/>
    <s v="Normal"/>
    <s v="Google Pay"/>
    <s v="Facebook"/>
    <s v="pending"/>
    <s v="United States"/>
    <s v="TX"/>
    <s v="Valid"/>
    <s v="Port Caitlin"/>
  </r>
  <r>
    <s v="#2834"/>
    <n v="1"/>
    <d v="2026-08-04T14:04:51"/>
    <d v="2026-08-04T14:04:51"/>
    <s v="Rachel Colon"/>
    <s v="Email Available"/>
    <s v="rachel.colon654@yahoo.com"/>
    <x v="15"/>
    <s v="Home &amp; Kitchen"/>
    <x v="16"/>
    <n v="1"/>
    <n v="9.99"/>
    <n v="9.99"/>
    <m/>
    <s v=""/>
    <n v="0"/>
    <n v="0"/>
    <s v="Number"/>
    <n v="5.99"/>
    <n v="5.99"/>
    <n v="15.98"/>
    <n v="15.98"/>
    <n v="15.98"/>
    <s v="True"/>
    <s v="Normal"/>
    <s v="Apple Pay"/>
    <s v="Online Store"/>
    <s v="fulfilled"/>
    <s v="Australia"/>
    <m/>
    <s v="Not Required"/>
    <s v="North Javier"/>
  </r>
  <r>
    <s v="#2885"/>
    <n v="1"/>
    <d v="2026-08-04T14:04:24"/>
    <d v="2026-08-04T14:04:24"/>
    <s v="Jessica Tucker"/>
    <s v="Email Available"/>
    <s v="jessica.tucker963@gmail.com"/>
    <x v="15"/>
    <s v="Home &amp; Kitchen"/>
    <x v="16"/>
    <n v="1"/>
    <n v="9.99"/>
    <n v="9.99"/>
    <m/>
    <s v=""/>
    <n v="0"/>
    <n v="0"/>
    <s v="Number"/>
    <n v="4.99"/>
    <n v="4.99"/>
    <n v="14.98"/>
    <n v="14.98"/>
    <n v="14.98"/>
    <s v="True"/>
    <s v="Normal"/>
    <s v="Google Pay"/>
    <s v="Online Store"/>
    <s v="fulfilled"/>
    <s v="Germany"/>
    <m/>
    <s v="Not Required"/>
    <s v="Ryantown"/>
  </r>
  <r>
    <s v="#2887"/>
    <n v="1"/>
    <d v="2026-08-04T14:07:13"/>
    <d v="2026-08-04T14:07:13"/>
    <s v="Kristina Thompson"/>
    <s v="Email Available"/>
    <s v="kristina.thompson501@icloud.com"/>
    <x v="15"/>
    <s v="Home &amp; Kitchen"/>
    <x v="16"/>
    <n v="2"/>
    <n v="9.99"/>
    <n v="9.99"/>
    <m/>
    <s v=""/>
    <n v="0"/>
    <n v="0"/>
    <s v="Number"/>
    <n v="7.99"/>
    <n v="7.99"/>
    <n v="27.97"/>
    <n v="27.97"/>
    <n v="27.97"/>
    <s v="True"/>
    <s v="Normal"/>
    <s v="PayPal"/>
    <s v="Facebook"/>
    <s v="cancelled"/>
    <s v="United States"/>
    <s v="New York"/>
    <s v="Valid"/>
    <s v="East Charlestown"/>
  </r>
  <r>
    <s v="#2906"/>
    <n v="1"/>
    <d v="2026-08-04T14:01:30"/>
    <d v="2026-08-04T14:01:30"/>
    <s v="Nicholas Jarvis"/>
    <s v="Email Available"/>
    <s v="nicholas.jarvis112@icloud.com"/>
    <x v="15"/>
    <s v="Home &amp; Kitchen"/>
    <x v="16"/>
    <n v="1"/>
    <n v="9.99"/>
    <n v="9.99"/>
    <s v="WELCOME10"/>
    <s v="WELCOME10"/>
    <n v="1"/>
    <n v="1"/>
    <s v="Number"/>
    <n v="4.99"/>
    <n v="4.99"/>
    <n v="13.98"/>
    <n v="13.98"/>
    <n v="13.98"/>
    <s v="True"/>
    <s v="Normal"/>
    <s v="Google Pay"/>
    <s v="Facebook"/>
    <s v="refunded"/>
    <s v="Canada"/>
    <m/>
    <s v="Not Required"/>
    <s v="Jonesshire"/>
  </r>
  <r>
    <s v="#2917"/>
    <n v="1"/>
    <d v="2026-08-04T14:05:06"/>
    <d v="2026-08-04T14:05:06"/>
    <s v="Andrew Cross"/>
    <s v="Email Available"/>
    <s v="andrew.cross512@yahoo.com"/>
    <x v="15"/>
    <s v="Home &amp; Kitchen"/>
    <x v="16"/>
    <n v="2"/>
    <n v="9.99"/>
    <n v="9.99"/>
    <s v="VIP15"/>
    <s v="VIP15"/>
    <n v="3"/>
    <n v="3"/>
    <s v="Number"/>
    <n v="7.99"/>
    <n v="7.99"/>
    <n v="24.97"/>
    <n v="24.97"/>
    <n v="24.97"/>
    <s v="True"/>
    <s v="Normal"/>
    <s v="Google Pay"/>
    <s v="Online Store"/>
    <s v="cancelled"/>
    <s v="United States"/>
    <s v="Arizona"/>
    <s v="Valid"/>
    <s v="West Robert"/>
  </r>
  <r>
    <s v="#2965"/>
    <n v="1"/>
    <d v="2026-08-04T00:00:00"/>
    <s v="Aug 04, 2026"/>
    <s v="HEATHER RIVERS"/>
    <s v="Email Available"/>
    <s v="heather.rivers451@icloud.com"/>
    <x v="15"/>
    <s v="Home &amp; Kitchen"/>
    <x v="16"/>
    <n v="1"/>
    <n v="9.99"/>
    <n v="9.99"/>
    <s v="VIP15"/>
    <s v="VIP15"/>
    <n v="1.5"/>
    <n v="1.5"/>
    <s v="Number"/>
    <n v="7.99"/>
    <n v="7.99"/>
    <n v="16.48"/>
    <n v="16.48"/>
    <n v="16.48"/>
    <s v="True"/>
    <s v="Normal"/>
    <s v="PayPal"/>
    <s v="Online Store"/>
    <s v="fulfilled"/>
    <s v="United States"/>
    <s v="California"/>
    <s v="Valid"/>
    <s v="New Jessicamouth"/>
  </r>
  <r>
    <s v="#2968"/>
    <n v="1"/>
    <d v="2026-04-08T00:00:00"/>
    <s v="08/04/2026"/>
    <s v="Johnson, Kimberly"/>
    <s v="Email Available"/>
    <s v="kimberly.johnson443@icloud.com"/>
    <x v="15"/>
    <s v="Home &amp; Kitchen"/>
    <x v="16"/>
    <n v="1"/>
    <n v="9.99"/>
    <n v="9.99"/>
    <s v="BFCM25"/>
    <s v="BFCM25"/>
    <n v="2.5"/>
    <n v="2.5"/>
    <s v="Number"/>
    <n v="7.99"/>
    <n v="7.99"/>
    <n v="15.48"/>
    <n v="15.48"/>
    <n v="15.48"/>
    <s v="True"/>
    <s v="Normal"/>
    <s v="PayPal"/>
    <s v="Online Store"/>
    <s v="fulfilled"/>
    <s v="Australia"/>
    <m/>
    <s v="Not Required"/>
    <s v="Lake Craigburgh"/>
  </r>
  <r>
    <s v="#2969"/>
    <n v="1"/>
    <d v="2026-08-04T14:04:21"/>
    <d v="2026-08-04T14:04:21"/>
    <s v="Sandra Wilson"/>
    <s v="Email Available"/>
    <s v="sandra.wilson554@outlook.com"/>
    <x v="15"/>
    <s v="Home &amp; Kitchen"/>
    <x v="16"/>
    <n v="1"/>
    <n v="9.99"/>
    <n v="9.99"/>
    <s v="FREESHIP"/>
    <s v="FREESHIP"/>
    <n v="0"/>
    <n v="0"/>
    <s v="Number"/>
    <n v="0"/>
    <n v="0"/>
    <n v="9.99"/>
    <n v="9.99"/>
    <n v="9.99"/>
    <s v="True"/>
    <s v="Normal"/>
    <s v="PayPal"/>
    <s v="Online Store"/>
    <s v="fulfilled"/>
    <s v="Canada"/>
    <m/>
    <s v="Not Required"/>
    <s v="South Lindsey"/>
  </r>
  <r>
    <s v="#2978"/>
    <n v="1"/>
    <d v="2026-08-04T14:00:22"/>
    <d v="2026-08-04T14:00:22"/>
    <s v="Sara Hernandez"/>
    <s v="Email Available"/>
    <s v="sara.hernandez651@icloud.com"/>
    <x v="15"/>
    <s v="Home &amp; Kitchen"/>
    <x v="16"/>
    <n v="1"/>
    <n v="9.99"/>
    <n v="9.99"/>
    <m/>
    <s v=""/>
    <n v="0"/>
    <n v="0"/>
    <s v="Number"/>
    <n v="7.99"/>
    <n v="7.99"/>
    <s v="$17.98"/>
    <n v="17.98"/>
    <n v="17.98"/>
    <s v="True"/>
    <s v="Normal"/>
    <s v="PayPal"/>
    <s v="Facebook"/>
    <s v="fulfilled"/>
    <s v="United States"/>
    <s v="Georgia"/>
    <s v="Valid"/>
    <s v="Dennisshire"/>
  </r>
  <r>
    <s v="#2988"/>
    <n v="1"/>
    <d v="2026-08-04T14:01:29"/>
    <d v="2026-08-04T14:01:29"/>
    <s v="Bryan Barnes"/>
    <s v="Email Available"/>
    <s v="bryan.barnes666@yahoo.com"/>
    <x v="15"/>
    <s v="Home &amp; Kitchen"/>
    <x v="16"/>
    <n v="1"/>
    <n v="9.99"/>
    <n v="9.99"/>
    <s v="SAVE20"/>
    <s v="SAVE20"/>
    <n v="2"/>
    <n v="2"/>
    <s v="Number"/>
    <n v="5.99"/>
    <n v="5.99"/>
    <n v="13.98"/>
    <n v="13.98"/>
    <n v="13.98"/>
    <s v="True"/>
    <s v="Normal"/>
    <s v="Apple Pay"/>
    <s v="Facebook"/>
    <s v="fulfilled"/>
    <s v="United States"/>
    <s v="Illinois"/>
    <s v="Valid"/>
    <s v="North Lindaberg"/>
  </r>
  <r>
    <s v="#1003"/>
    <n v="1"/>
    <d v="2026-08-04T00:00:00"/>
    <s v="Aug 04, 2026"/>
    <s v="Thomas Rojas"/>
    <s v="Email Available"/>
    <s v="thomas.rojas667@icloud.com"/>
    <x v="16"/>
    <s v="Apparel"/>
    <x v="17"/>
    <n v="1"/>
    <n v="39.99"/>
    <n v="39.99"/>
    <m/>
    <s v=""/>
    <n v="0"/>
    <n v="0"/>
    <s v="Number"/>
    <n v="5.99"/>
    <n v="5.99"/>
    <n v="45.98"/>
    <n v="45.98"/>
    <n v="45.980000000000004"/>
    <s v="True"/>
    <s v="Normal"/>
    <s v="Credit Card"/>
    <s v="Online Store"/>
    <s v="fulfilled"/>
    <s v="United States"/>
    <s v="North Carolina"/>
    <s v="Valid"/>
    <s v="West Cynthialand"/>
  </r>
  <r>
    <s v="#1069"/>
    <n v="1"/>
    <d v="2026-08-04T14:00:22"/>
    <d v="2026-08-04T14:00:22"/>
    <s v="Kristina Cook"/>
    <s v="Email Available"/>
    <s v="kristina.cook392@outlook.com"/>
    <x v="16"/>
    <s v="Apparel"/>
    <x v="17"/>
    <n v="1"/>
    <n v="39.99"/>
    <n v="39.99"/>
    <m/>
    <s v=""/>
    <n v="0"/>
    <n v="0"/>
    <s v="Number"/>
    <n v="4.99"/>
    <n v="4.99"/>
    <n v="44.98"/>
    <n v="44.98"/>
    <n v="44.980000000000004"/>
    <s v="True"/>
    <s v="Normal"/>
    <s v="Credit Card"/>
    <s v="Online Store"/>
    <s v="refunded"/>
    <s v="United States"/>
    <s v="TX"/>
    <s v="Valid"/>
    <s v="Copelandburgh"/>
  </r>
  <r>
    <s v="#1153"/>
    <n v="1"/>
    <d v="2026-08-04T14:03:38"/>
    <d v="2026-08-04T14:03:38"/>
    <s v="Kayla Cruz"/>
    <s v="Email Available"/>
    <s v="kayla.cruz151@outlook.com"/>
    <x v="16"/>
    <s v="Apparel"/>
    <x v="17"/>
    <n v="1"/>
    <n v="39.99"/>
    <n v="39.99"/>
    <s v="VIP15"/>
    <s v="VIP15"/>
    <n v="6"/>
    <n v="6"/>
    <s v="Number"/>
    <n v="7.99"/>
    <n v="7.99"/>
    <n v="41.98"/>
    <n v="41.98"/>
    <n v="41.980000000000004"/>
    <s v="True"/>
    <s v="Normal"/>
    <s v="Shopify Payments"/>
    <s v="Online Store"/>
    <s v="cancelled"/>
    <s v="Pakistan"/>
    <m/>
    <s v="Not Required"/>
    <s v="Juanshire"/>
  </r>
  <r>
    <s v="#1227"/>
    <n v="1"/>
    <d v="2026-04-08T00:00:00"/>
    <s v="08/04/2026"/>
    <s v="Rebecca Watts"/>
    <s v="Email Available"/>
    <s v="rebecca.watts779@gmail.com"/>
    <x v="16"/>
    <s v="Apparel"/>
    <x v="17"/>
    <n v="1"/>
    <n v="39.99"/>
    <n v="39.99"/>
    <m/>
    <s v=""/>
    <n v="0"/>
    <n v="0"/>
    <s v="Number"/>
    <n v="4.99"/>
    <n v="4.99"/>
    <n v="44.98"/>
    <n v="44.98"/>
    <n v="44.980000000000004"/>
    <s v="True"/>
    <s v="Normal"/>
    <s v="Google Pay"/>
    <s v="Online Store"/>
    <s v="fulfilled"/>
    <s v="United States"/>
    <s v="Ohio"/>
    <s v="Valid"/>
    <s v="Andreaport"/>
  </r>
  <r>
    <s v="#1257"/>
    <n v="1"/>
    <d v="2026-08-04T14:04:44"/>
    <d v="2026-08-04T14:04:44"/>
    <s v="Tina Singh"/>
    <s v="Email Available"/>
    <s v="tina.singh98@icloud.com"/>
    <x v="16"/>
    <s v="Apparel"/>
    <x v="17"/>
    <n v="1"/>
    <n v="39.99"/>
    <n v="39.99"/>
    <m/>
    <s v=""/>
    <s v="$0.00"/>
    <n v="0"/>
    <s v="Number"/>
    <n v="5.99"/>
    <n v="5.99"/>
    <n v="45.98"/>
    <n v="45.98"/>
    <n v="45.980000000000004"/>
    <s v="True"/>
    <s v="Normal"/>
    <s v="Credit Card"/>
    <s v="Facebook"/>
    <s v="cancelled"/>
    <s v="United States"/>
    <s v="California"/>
    <s v="Valid"/>
    <s v="Matthewchester"/>
  </r>
  <r>
    <s v="#1295"/>
    <n v="1"/>
    <d v="2026-08-04T00:00:00"/>
    <s v="Aug 04, 2026"/>
    <s v="James Castro"/>
    <s v="Email Available"/>
    <s v="james.castro923@icloud.com"/>
    <x v="16"/>
    <s v="Apparel"/>
    <x v="17"/>
    <n v="1"/>
    <n v="39.99"/>
    <n v="39.99"/>
    <s v="WELCOME10"/>
    <s v="WELCOME10"/>
    <n v="4"/>
    <n v="4"/>
    <s v="Number"/>
    <n v="7.99"/>
    <n v="7.99"/>
    <n v="43.98"/>
    <n v="43.98"/>
    <n v="43.980000000000004"/>
    <s v="True"/>
    <s v="Normal"/>
    <s v="Credit Card"/>
    <s v="Facebook"/>
    <s v="fulfilled"/>
    <s v="Pakistan"/>
    <m/>
    <s v="Not Required"/>
    <s v="Williamsfort"/>
  </r>
  <r>
    <s v="#1327"/>
    <n v="1"/>
    <d v="2026-08-04T13:54:51"/>
    <d v="2026-08-04T13:54:51"/>
    <s v="Patricia Thompson"/>
    <s v="Email Available"/>
    <s v="patricia.thompson164@icloud.com"/>
    <x v="16"/>
    <s v="Apparel"/>
    <x v="17"/>
    <n v="1"/>
    <n v="39.99"/>
    <n v="39.99"/>
    <s v="VIP15"/>
    <s v="VIP15"/>
    <n v="6"/>
    <n v="6"/>
    <s v="Number"/>
    <n v="5.99"/>
    <n v="5.99"/>
    <n v="39.979999999999997"/>
    <n v="39.979999999999997"/>
    <n v="39.980000000000004"/>
    <s v="True"/>
    <s v="Normal"/>
    <s v="Google Pay"/>
    <s v="Instagram"/>
    <s v="fulfilled"/>
    <s v="United States"/>
    <s v="Florida"/>
    <s v="Valid"/>
    <s v="West Bethanyburgh"/>
  </r>
  <r>
    <s v="#1408"/>
    <n v="1"/>
    <d v="2026-08-04T14:01:58"/>
    <d v="2026-08-04T14:01:58"/>
    <s v="Ian Morris"/>
    <s v="Email Available"/>
    <s v="ian.morris90@outlook.com"/>
    <x v="16"/>
    <s v="Apparel"/>
    <x v="17"/>
    <n v="1"/>
    <n v="39.99"/>
    <n v="39.99"/>
    <m/>
    <s v=""/>
    <n v="0"/>
    <n v="0"/>
    <s v="Number"/>
    <n v="7.99"/>
    <n v="7.99"/>
    <s v="$47.98"/>
    <n v="47.98"/>
    <n v="47.980000000000004"/>
    <s v="True"/>
    <s v="Normal"/>
    <s v="Google Pay"/>
    <s v="Instagram"/>
    <s v="fulfilled"/>
    <s v="Pakistan"/>
    <m/>
    <s v="Not Required"/>
    <s v="West Christine"/>
  </r>
  <r>
    <s v="#1413"/>
    <n v="1"/>
    <d v="2026-08-04T14:07:09"/>
    <d v="2026-08-04T14:07:09"/>
    <s v="Christy Phillips"/>
    <s v="Email Available"/>
    <s v="christy.phillips291@gmail.com"/>
    <x v="16"/>
    <s v="Apparel"/>
    <x v="17"/>
    <n v="1"/>
    <s v="$39.99"/>
    <n v="39.99"/>
    <m/>
    <s v=""/>
    <n v="0"/>
    <n v="0"/>
    <s v="Number"/>
    <n v="7.99"/>
    <n v="7.99"/>
    <s v="$47.98"/>
    <n v="47.98"/>
    <n v="47.980000000000004"/>
    <s v="True"/>
    <s v="Normal"/>
    <s v="PayPal"/>
    <s v="Online Store"/>
    <s v="refunded"/>
    <s v="Pakistan"/>
    <m/>
    <s v="Not Required"/>
    <s v="North Cynthia"/>
  </r>
  <r>
    <s v="#1415"/>
    <n v="1"/>
    <d v="2026-08-04T00:00:00"/>
    <s v="Aug 04, 2026"/>
    <s v="Lauren Nguyen"/>
    <s v="Email Available"/>
    <s v="lauren.nguyen819@outlook.com"/>
    <x v="16"/>
    <s v="Apparel"/>
    <x v="17"/>
    <n v="1"/>
    <n v="39.99"/>
    <n v="39.99"/>
    <s v="SAVE20"/>
    <s v="SAVE20"/>
    <n v="8"/>
    <n v="8"/>
    <s v="Number"/>
    <n v="4.99"/>
    <n v="4.99"/>
    <n v="36.979999999999997"/>
    <n v="36.979999999999997"/>
    <n v="36.980000000000004"/>
    <s v="True"/>
    <s v="Normal"/>
    <s v="Google Pay"/>
    <s v="Facebook"/>
    <s v="refunded"/>
    <s v="United Kingdom"/>
    <m/>
    <s v="Not Required"/>
    <s v="Port Kerryton"/>
  </r>
  <r>
    <s v="#1430"/>
    <n v="1"/>
    <d v="2026-08-04T14:00:44"/>
    <d v="2026-08-04T14:00:44"/>
    <s v="Denise Phillips"/>
    <s v="Email Available"/>
    <s v="denise.phillips810@gmail.com"/>
    <x v="16"/>
    <s v="Apparel"/>
    <x v="17"/>
    <n v="2"/>
    <n v="39.99"/>
    <n v="39.99"/>
    <s v="FREESHIP"/>
    <s v="FREESHIP"/>
    <s v="$0.00"/>
    <n v="0"/>
    <s v="Number"/>
    <n v="0"/>
    <n v="0"/>
    <n v="79.98"/>
    <n v="79.98"/>
    <n v="79.98"/>
    <s v="True"/>
    <s v="Normal"/>
    <s v="PayPal"/>
    <s v="POS"/>
    <s v="cancelled"/>
    <s v="United States"/>
    <s v="Washington"/>
    <s v="Valid"/>
    <s v="Wangmouth"/>
  </r>
  <r>
    <s v="#1436"/>
    <n v="1"/>
    <d v="2026-08-04T14:02:05"/>
    <d v="2026-08-04T14:02:05"/>
    <s v="Sarah Williams"/>
    <s v="Email Available"/>
    <s v="sarah.williams329@icloud.com"/>
    <x v="16"/>
    <s v="Apparel"/>
    <x v="17"/>
    <n v="2"/>
    <n v="39.99"/>
    <n v="39.99"/>
    <s v="SAVE20"/>
    <s v="SAVE20"/>
    <n v="16"/>
    <n v="16"/>
    <s v="Number"/>
    <n v="0"/>
    <n v="0"/>
    <n v="63.98"/>
    <n v="63.98"/>
    <n v="63.980000000000004"/>
    <s v="True"/>
    <s v="Normal"/>
    <s v="Apple Pay"/>
    <s v="Instagram"/>
    <s v="fulfilled"/>
    <s v="Canada"/>
    <m/>
    <s v="Not Required"/>
    <s v="Zacharyside"/>
  </r>
  <r>
    <s v="#1447"/>
    <n v="1"/>
    <d v="2026-08-04T14:07:47"/>
    <d v="2026-08-04T14:07:47"/>
    <s v="Joshua Miller"/>
    <s v="Email Available"/>
    <s v="joshua.miller362@gmail.com"/>
    <x v="16"/>
    <s v="Apparel"/>
    <x v="17"/>
    <n v="2"/>
    <n v="39.99"/>
    <n v="39.99"/>
    <s v="VIP15"/>
    <s v="VIP15"/>
    <n v="12"/>
    <n v="12"/>
    <s v="Number"/>
    <n v="0"/>
    <n v="0"/>
    <n v="67.98"/>
    <n v="67.98"/>
    <n v="67.98"/>
    <s v="True"/>
    <s v="Normal"/>
    <s v="Google Pay"/>
    <s v="Online Store"/>
    <s v="cancelled"/>
    <s v="Canada"/>
    <m/>
    <s v="Not Required"/>
    <s v="Annefort"/>
  </r>
  <r>
    <s v="#1483"/>
    <n v="1"/>
    <d v="2026-08-04T13:57:13"/>
    <d v="2026-08-04T13:57:13"/>
    <s v="Megan Herman"/>
    <s v="Missing Email"/>
    <m/>
    <x v="16"/>
    <s v="Apparel"/>
    <x v="17"/>
    <n v="1"/>
    <n v="39.99"/>
    <n v="39.99"/>
    <m/>
    <s v=""/>
    <n v="0"/>
    <n v="0"/>
    <s v="Number"/>
    <n v="5.99"/>
    <n v="5.99"/>
    <n v="45.98"/>
    <n v="45.98"/>
    <n v="45.980000000000004"/>
    <s v="True"/>
    <s v="Normal"/>
    <s v="Google Pay"/>
    <s v="Online Store"/>
    <s v="fulfilled"/>
    <s v="United States"/>
    <s v="Ohio"/>
    <s v="Valid"/>
    <s v="Port Katie"/>
  </r>
  <r>
    <s v="#1500"/>
    <n v="1"/>
    <d v="2026-08-04T14:05:07"/>
    <d v="2026-08-04T14:05:07"/>
    <s v="Joshua Medina"/>
    <s v="Email Available"/>
    <s v="joshua.medina38@yahoo.com"/>
    <x v="16"/>
    <s v="Apparel"/>
    <x v="17"/>
    <n v="1"/>
    <n v="39.99"/>
    <n v="39.99"/>
    <m/>
    <s v=""/>
    <n v="0"/>
    <n v="0"/>
    <s v="Number"/>
    <n v="7.99"/>
    <n v="7.99"/>
    <n v="47.98"/>
    <n v="47.98"/>
    <n v="47.980000000000004"/>
    <s v="True"/>
    <s v="Normal"/>
    <s v="Apple Pay"/>
    <s v="Online Store"/>
    <s v="fulfilled"/>
    <s v="United Kingdom"/>
    <m/>
    <s v="Not Required"/>
    <s v="Port James"/>
  </r>
  <r>
    <s v="#1519"/>
    <n v="1"/>
    <d v="2026-08-04T13:59:05"/>
    <d v="2026-08-04T13:59:05"/>
    <s v="Carrie White"/>
    <s v="Email Available"/>
    <s v="carrie.white846@gmail.com"/>
    <x v="16"/>
    <s v="Apparel"/>
    <x v="17"/>
    <n v="2"/>
    <s v="$39.99"/>
    <n v="39.99"/>
    <s v="BFCM25"/>
    <s v="BFCM25"/>
    <s v="$20.00"/>
    <n v="20"/>
    <s v="Number"/>
    <n v="0"/>
    <n v="0"/>
    <n v="59.98"/>
    <n v="59.98"/>
    <n v="59.980000000000004"/>
    <s v="True"/>
    <s v="Normal"/>
    <s v="Shopify Payments"/>
    <s v="Online Store"/>
    <s v="fulfilled"/>
    <s v="United Kingdom"/>
    <m/>
    <s v="Not Required"/>
    <s v="Ethanland"/>
  </r>
  <r>
    <s v="#1523"/>
    <n v="1"/>
    <d v="2026-08-04T14:06:56"/>
    <d v="2026-08-04T14:06:56"/>
    <s v="Amy Barnett"/>
    <s v="Email Available"/>
    <s v="amy.barnett396@icloud.com"/>
    <x v="16"/>
    <s v="Apparel"/>
    <x v="17"/>
    <n v="1"/>
    <n v="39.99"/>
    <n v="39.99"/>
    <s v="SAVE20"/>
    <s v="SAVE20"/>
    <n v="8"/>
    <n v="8"/>
    <s v="Number"/>
    <n v="5.99"/>
    <n v="5.99"/>
    <n v="37.979999999999997"/>
    <n v="37.979999999999997"/>
    <n v="37.980000000000004"/>
    <s v="True"/>
    <s v="Normal"/>
    <s v="Google Pay"/>
    <s v="Online Store"/>
    <s v="pending"/>
    <s v="Pakistan"/>
    <m/>
    <s v="Not Required"/>
    <s v="Jeffreyfort"/>
  </r>
  <r>
    <s v="#1552"/>
    <n v="1"/>
    <d v="2026-08-04T13:58:43"/>
    <d v="2026-08-04T13:58:43"/>
    <s v="Amanda Harris"/>
    <s v="Email Available"/>
    <s v="amanda.harris197@gmail.com"/>
    <x v="16"/>
    <s v="Apparel"/>
    <x v="17"/>
    <n v="1"/>
    <n v="39.99"/>
    <n v="39.99"/>
    <s v="BFCM25"/>
    <s v="BFCM25"/>
    <n v="10"/>
    <n v="10"/>
    <s v="Number"/>
    <n v="4.99"/>
    <n v="4.99"/>
    <n v="34.979999999999997"/>
    <n v="34.979999999999997"/>
    <n v="34.980000000000004"/>
    <s v="True"/>
    <s v="Normal"/>
    <s v="Credit Card"/>
    <s v="Facebook"/>
    <s v="pending"/>
    <s v="United States"/>
    <s v="California"/>
    <s v="Valid"/>
    <s v="Port Lisa"/>
  </r>
  <r>
    <s v="#1618"/>
    <n v="1"/>
    <d v="2026-08-04T13:56:00"/>
    <d v="2026-08-04T13:56:00"/>
    <s v="Christopher Martin"/>
    <s v="Email Available"/>
    <s v="christopher.martin10@gmail.com"/>
    <x v="16"/>
    <s v="Apparel"/>
    <x v="17"/>
    <n v="1"/>
    <n v="39.99"/>
    <n v="39.99"/>
    <s v="FREESHIP"/>
    <s v="FREESHIP"/>
    <s v="$0.00"/>
    <n v="0"/>
    <s v="Number"/>
    <n v="0"/>
    <n v="0"/>
    <n v="39.99"/>
    <n v="39.99"/>
    <n v="39.99"/>
    <s v="True"/>
    <s v="Normal"/>
    <s v="Apple Pay"/>
    <s v="Online Store"/>
    <s v="fulfilled"/>
    <s v="United States"/>
    <s v="Florida"/>
    <s v="Valid"/>
    <s v="Brittanyburgh"/>
  </r>
  <r>
    <s v="#1636"/>
    <n v="1"/>
    <d v="2026-08-04T14:01:54"/>
    <d v="2026-08-04T14:01:54"/>
    <s v="Franco, Charles"/>
    <s v="Email Available"/>
    <s v="charles.franco761@outlook.com"/>
    <x v="16"/>
    <s v="Apparel"/>
    <x v="17"/>
    <n v="3"/>
    <n v="39.99"/>
    <n v="39.99"/>
    <m/>
    <s v=""/>
    <s v="$0.00"/>
    <n v="0"/>
    <s v="Number"/>
    <n v="0"/>
    <n v="0"/>
    <n v="119.97"/>
    <n v="119.97"/>
    <n v="119.97"/>
    <s v="True"/>
    <s v="Outlier"/>
    <s v="Shopify Payments"/>
    <s v="Online Store"/>
    <s v="fulfilled"/>
    <s v="United States"/>
    <s v="Florida"/>
    <s v="Valid"/>
    <s v="North Kristineview"/>
  </r>
  <r>
    <s v="#1695"/>
    <n v="1"/>
    <d v="2026-08-04T00:00:00"/>
    <s v="04-08-2026 13:59"/>
    <s v="Ryan Gonzalez"/>
    <s v="Email Available"/>
    <s v="ryan.gonzalez192@gmail.com"/>
    <x v="16"/>
    <s v="Apparel"/>
    <x v="17"/>
    <n v="2"/>
    <n v="39.99"/>
    <n v="39.99"/>
    <m/>
    <s v=""/>
    <n v="0"/>
    <n v="0"/>
    <s v="Number"/>
    <n v="0"/>
    <n v="0"/>
    <s v="$79.98"/>
    <n v="79.98"/>
    <n v="79.98"/>
    <s v="True"/>
    <s v="Normal"/>
    <s v="Google Pay"/>
    <s v="Facebook"/>
    <s v="cancelled"/>
    <s v="United States"/>
    <s v="Florida"/>
    <s v="Valid"/>
    <s v="Thompsonport"/>
  </r>
  <r>
    <s v="#1696"/>
    <n v="1"/>
    <d v="2026-08-04T13:58:01"/>
    <d v="2026-08-04T13:58:01"/>
    <s v="David Mcknight"/>
    <s v="Email Available"/>
    <s v="david.mcknight827@gmail.com"/>
    <x v="16"/>
    <s v="Apparel"/>
    <x v="17"/>
    <n v="2"/>
    <n v="39.99"/>
    <n v="39.99"/>
    <m/>
    <s v=""/>
    <n v="0"/>
    <n v="0"/>
    <s v="Number"/>
    <n v="0"/>
    <n v="0"/>
    <n v="79.98"/>
    <n v="79.98"/>
    <n v="79.98"/>
    <s v="True"/>
    <s v="Normal"/>
    <s v="PayPal"/>
    <s v="Online Store"/>
    <s v="fulfilled"/>
    <s v="United States"/>
    <s v="Ohio"/>
    <s v="Valid"/>
    <s v="Lake Michael"/>
  </r>
  <r>
    <s v="#1725"/>
    <n v="1"/>
    <d v="2026-08-04T13:56:42"/>
    <d v="2026-08-04T13:56:42"/>
    <s v="Joshua Thompson"/>
    <s v="Email Available"/>
    <s v="joshua.thompson522@outlook.com"/>
    <x v="16"/>
    <s v="Apparel"/>
    <x v="17"/>
    <n v="1"/>
    <n v="39.99"/>
    <n v="39.99"/>
    <m/>
    <s v=""/>
    <n v="0"/>
    <n v="0"/>
    <s v="Number"/>
    <n v="7.99"/>
    <n v="7.99"/>
    <n v="47.98"/>
    <n v="47.98"/>
    <n v="47.980000000000004"/>
    <s v="True"/>
    <s v="Normal"/>
    <s v="PayPal"/>
    <s v="Online Store"/>
    <s v="fulfilled"/>
    <s v="Pakistan"/>
    <m/>
    <s v="Not Required"/>
    <s v="West Derekport"/>
  </r>
  <r>
    <s v="#1731"/>
    <n v="1"/>
    <d v="2026-08-04T14:01:31"/>
    <d v="2026-08-04T14:01:31"/>
    <s v="KENNETH DAVIS"/>
    <s v="Email Available"/>
    <s v="kenneth.davis106@yahoo.com"/>
    <x v="16"/>
    <s v="Apparel"/>
    <x v="17"/>
    <n v="1"/>
    <n v="39.99"/>
    <n v="39.99"/>
    <m/>
    <s v=""/>
    <n v="0"/>
    <n v="0"/>
    <s v="Number"/>
    <n v="5.99"/>
    <n v="5.99"/>
    <n v="45.98"/>
    <n v="45.98"/>
    <n v="45.980000000000004"/>
    <s v="True"/>
    <s v="Normal"/>
    <s v="Google Pay"/>
    <s v="POS"/>
    <s v="cancelled"/>
    <s v="United States"/>
    <s v="Florida"/>
    <s v="Valid"/>
    <s v="Dylanmouth"/>
  </r>
  <r>
    <s v="#1777"/>
    <n v="1"/>
    <d v="2026-08-04T14:04:07"/>
    <d v="2026-08-04T14:04:07"/>
    <s v="Jasmine Parker"/>
    <s v="Email Available"/>
    <s v="jasmine.parker47@icloud.com"/>
    <x v="16"/>
    <s v="Apparel"/>
    <x v="17"/>
    <n v="1"/>
    <n v="39.99"/>
    <n v="39.99"/>
    <s v="BFCM25"/>
    <s v="BFCM25"/>
    <n v="10"/>
    <n v="10"/>
    <s v="Number"/>
    <n v="7.99"/>
    <n v="7.99"/>
    <n v="37.979999999999997"/>
    <n v="37.979999999999997"/>
    <n v="37.980000000000004"/>
    <s v="True"/>
    <s v="Normal"/>
    <s v="PayPal"/>
    <s v="Facebook"/>
    <s v="pending"/>
    <s v="Pakistan"/>
    <m/>
    <s v="Not Required"/>
    <s v="Deanmouth"/>
  </r>
  <r>
    <s v="#1803"/>
    <n v="1"/>
    <d v="2026-08-04T13:55:11"/>
    <d v="2026-08-04T13:55:11"/>
    <s v="Kimberly Cordova"/>
    <s v="Email Available"/>
    <s v="kimberly.cordova508@icloud.com"/>
    <x v="16"/>
    <s v="Apparel"/>
    <x v="17"/>
    <n v="1"/>
    <n v="39.99"/>
    <n v="39.99"/>
    <m/>
    <s v=""/>
    <n v="0"/>
    <n v="0"/>
    <s v="Number"/>
    <n v="7.99"/>
    <n v="7.99"/>
    <n v="47.98"/>
    <n v="47.98"/>
    <n v="47.980000000000004"/>
    <s v="True"/>
    <s v="Normal"/>
    <s v="Credit Card"/>
    <s v="Facebook"/>
    <s v="pending"/>
    <s v="Pakistan"/>
    <m/>
    <s v="Not Required"/>
    <s v="Pamelabury"/>
  </r>
  <r>
    <s v="#1814"/>
    <n v="1"/>
    <d v="2026-08-04T13:57:24"/>
    <d v="2026-08-04T13:57:24"/>
    <s v="Christy Phillips"/>
    <s v="Email Available"/>
    <s v="christy.phillips291@gmail.com"/>
    <x v="16"/>
    <s v="Apparel"/>
    <x v="17"/>
    <n v="1"/>
    <n v="39.99"/>
    <n v="39.99"/>
    <s v="BFCM25"/>
    <s v="BFCM25"/>
    <n v="10"/>
    <n v="10"/>
    <s v="Number"/>
    <n v="7.99"/>
    <n v="7.99"/>
    <n v="37.979999999999997"/>
    <n v="37.979999999999997"/>
    <n v="37.980000000000004"/>
    <s v="True"/>
    <s v="Normal"/>
    <s v="Google Pay"/>
    <s v="Instagram"/>
    <s v="refunded"/>
    <s v="Pakistan"/>
    <m/>
    <s v="Not Required"/>
    <s v="Nicholasburgh"/>
  </r>
  <r>
    <s v="#1835"/>
    <n v="1"/>
    <d v="2026-08-04T13:54:52"/>
    <d v="2026-08-04T13:54:52"/>
    <s v="Diane Campos"/>
    <s v="Email Available"/>
    <s v="diane.campos325@gmail.com"/>
    <x v="16"/>
    <s v="Apparel"/>
    <x v="17"/>
    <n v="1"/>
    <n v="39.99"/>
    <n v="39.99"/>
    <s v="BFCM25"/>
    <s v="BFCM25"/>
    <n v="10"/>
    <n v="10"/>
    <s v="Number"/>
    <n v="7.99"/>
    <n v="7.99"/>
    <n v="37.979999999999997"/>
    <n v="37.979999999999997"/>
    <n v="37.980000000000004"/>
    <s v="True"/>
    <s v="Normal"/>
    <s v="Credit Card"/>
    <s v="POS"/>
    <s v="fulfilled"/>
    <s v="United States"/>
    <s v="Georgia"/>
    <s v="Valid"/>
    <s v="Port Karenland"/>
  </r>
  <r>
    <s v="#1843"/>
    <n v="1"/>
    <d v="2026-08-04T13:58:17"/>
    <d v="2026-08-04T13:58:17"/>
    <s v="Devin Jones"/>
    <s v="Email Available"/>
    <s v="devin.jones807@yahoo.com"/>
    <x v="16"/>
    <s v="Apparel"/>
    <x v="17"/>
    <n v="2"/>
    <n v="39.99"/>
    <n v="39.99"/>
    <m/>
    <s v=""/>
    <n v="0"/>
    <n v="0"/>
    <s v="Number"/>
    <n v="0"/>
    <n v="0"/>
    <n v="79.98"/>
    <n v="79.98"/>
    <n v="79.98"/>
    <s v="True"/>
    <s v="Normal"/>
    <s v="PayPal"/>
    <s v="POS"/>
    <s v="pending"/>
    <s v="Pakistan"/>
    <m/>
    <s v="Not Required"/>
    <s v="New Amyville"/>
  </r>
  <r>
    <s v="#1852"/>
    <n v="1"/>
    <d v="2026-08-04T14:02:21"/>
    <d v="2026-08-04T14:02:21"/>
    <s v="Andrea Martinez"/>
    <s v="Email Available"/>
    <s v="andrea.martinez756@yahoo.com"/>
    <x v="16"/>
    <s v="Apparel"/>
    <x v="17"/>
    <n v="1"/>
    <n v="39.99"/>
    <n v="39.99"/>
    <m/>
    <s v=""/>
    <n v="0"/>
    <n v="0"/>
    <s v="Number"/>
    <n v="4.99"/>
    <n v="4.99"/>
    <n v="44.98"/>
    <n v="44.98"/>
    <n v="44.980000000000004"/>
    <s v="True"/>
    <s v="Normal"/>
    <s v="Shopify Payments"/>
    <s v="Online Store"/>
    <s v="cancelled"/>
    <s v="Australia"/>
    <m/>
    <s v="Not Required"/>
    <s v="South Michelle"/>
  </r>
  <r>
    <s v="#1903"/>
    <n v="1"/>
    <d v="2026-08-04T14:06:32"/>
    <d v="2026-08-04T14:06:32"/>
    <s v="Justin Chavez"/>
    <s v="Email Available"/>
    <s v="justin.chavez556@gmail.com"/>
    <x v="16"/>
    <s v="Apparel"/>
    <x v="17"/>
    <n v="1"/>
    <n v="39.99"/>
    <n v="39.99"/>
    <s v="SAVE20"/>
    <s v="SAVE20"/>
    <n v="8"/>
    <n v="8"/>
    <s v="Number"/>
    <n v="5.99"/>
    <n v="5.99"/>
    <n v="37.979999999999997"/>
    <n v="37.979999999999997"/>
    <n v="37.980000000000004"/>
    <s v="True"/>
    <s v="Normal"/>
    <s v="Shopify Payments"/>
    <s v="Online Store"/>
    <s v="refunded"/>
    <s v="United States"/>
    <s v="Texas"/>
    <s v="Valid"/>
    <s v="Timothyview"/>
  </r>
  <r>
    <s v="#1908"/>
    <n v="1"/>
    <d v="2026-08-04T00:00:00"/>
    <s v="04-08-2026 14:02"/>
    <s v="William Houston"/>
    <s v="Email Available"/>
    <s v="william.houston340@outlook.com"/>
    <x v="16"/>
    <s v="Apparel"/>
    <x v="17"/>
    <n v="1"/>
    <n v="39.99"/>
    <n v="39.99"/>
    <m/>
    <s v=""/>
    <n v="0"/>
    <n v="0"/>
    <s v="Number"/>
    <n v="7.99"/>
    <n v="7.99"/>
    <n v="47.98"/>
    <n v="47.98"/>
    <n v="47.980000000000004"/>
    <s v="True"/>
    <s v="Normal"/>
    <s v="Apple Pay"/>
    <s v="Facebook"/>
    <s v="fulfilled"/>
    <s v="United States"/>
    <s v="California"/>
    <s v="Valid"/>
    <s v="East Terryfurt"/>
  </r>
  <r>
    <s v="#1929"/>
    <n v="1"/>
    <d v="2026-08-04T14:01:33"/>
    <d v="2026-08-04T14:01:33"/>
    <s v="Erika Maxwell"/>
    <s v="Email Available"/>
    <s v="erika.maxwell281@gmail.com"/>
    <x v="16"/>
    <s v="Apparel"/>
    <x v="17"/>
    <n v="2"/>
    <n v="39.99"/>
    <n v="39.99"/>
    <m/>
    <s v=""/>
    <n v="0"/>
    <n v="0"/>
    <s v="Number"/>
    <n v="0"/>
    <n v="0"/>
    <n v="79.98"/>
    <n v="79.98"/>
    <n v="79.98"/>
    <s v="True"/>
    <s v="Normal"/>
    <s v="Credit Card"/>
    <s v="Online Store"/>
    <s v="fulfilled"/>
    <s v="United States"/>
    <s v="Georgia"/>
    <s v="Valid"/>
    <s v="East Kelly"/>
  </r>
  <r>
    <s v="#1988"/>
    <n v="1"/>
    <d v="2026-08-04T13:57:41"/>
    <d v="2026-08-04T13:57:41"/>
    <s v="Allen Diaz"/>
    <s v="Email Available"/>
    <s v="allen.diaz546@gmail.com"/>
    <x v="16"/>
    <s v="Apparel"/>
    <x v="17"/>
    <n v="1"/>
    <n v="39.99"/>
    <n v="39.99"/>
    <m/>
    <s v=""/>
    <n v="0"/>
    <n v="0"/>
    <s v="Number"/>
    <n v="7.99"/>
    <n v="7.99"/>
    <n v="47.98"/>
    <n v="47.98"/>
    <n v="47.980000000000004"/>
    <s v="True"/>
    <s v="Normal"/>
    <s v="Credit Card"/>
    <s v="Instagram"/>
    <s v="fulfilled"/>
    <s v="United States"/>
    <s v="Texas"/>
    <s v="Valid"/>
    <s v="Aliciaville"/>
  </r>
  <r>
    <s v="#2058"/>
    <n v="1"/>
    <d v="2026-08-04T13:59:52"/>
    <d v="2026-08-04T13:59:52"/>
    <s v="James Andrade"/>
    <s v="Email Available"/>
    <s v="james.andrade258@icloud.com"/>
    <x v="16"/>
    <s v="Apparel"/>
    <x v="17"/>
    <n v="1"/>
    <n v="39.99"/>
    <n v="39.99"/>
    <m/>
    <s v=""/>
    <n v="0"/>
    <n v="0"/>
    <s v="Number"/>
    <n v="7.99"/>
    <n v="7.99"/>
    <n v="47.98"/>
    <n v="47.98"/>
    <n v="47.980000000000004"/>
    <s v="True"/>
    <s v="Normal"/>
    <s v="Shopify Payments"/>
    <s v="Online Store"/>
    <s v="fulfilled"/>
    <s v="Germany"/>
    <m/>
    <s v="Not Required"/>
    <s v="South Dwayne"/>
  </r>
  <r>
    <s v="#2102"/>
    <n v="1"/>
    <d v="2026-04-08T00:00:00"/>
    <s v="08/04/2026"/>
    <s v="Diana Romero"/>
    <s v="Email Available"/>
    <s v="diana.romero386@outlook.com"/>
    <x v="16"/>
    <s v="Apparel"/>
    <x v="17"/>
    <n v="2"/>
    <n v="39.99"/>
    <n v="39.99"/>
    <m/>
    <s v=""/>
    <n v="0"/>
    <n v="0"/>
    <s v="Number"/>
    <n v="0"/>
    <n v="0"/>
    <n v="79.98"/>
    <n v="79.98"/>
    <n v="79.98"/>
    <s v="True"/>
    <s v="Normal"/>
    <s v="Google Pay"/>
    <s v="Facebook"/>
    <s v="pending"/>
    <s v="United States"/>
    <s v="Texas"/>
    <s v="Valid"/>
    <s v="Coleburgh"/>
  </r>
  <r>
    <s v="#2105"/>
    <n v="1"/>
    <d v="2026-08-04T13:59:06"/>
    <d v="2026-08-04T13:59:06"/>
    <s v="Philip Stevens"/>
    <s v="Email Available"/>
    <s v="philip.stevens908@outlook.com"/>
    <x v="16"/>
    <s v="Apparel"/>
    <x v="17"/>
    <n v="2"/>
    <n v="39.99"/>
    <n v="39.99"/>
    <m/>
    <s v=""/>
    <n v="0"/>
    <n v="0"/>
    <s v="Number"/>
    <n v="0"/>
    <n v="0"/>
    <n v="79.98"/>
    <n v="79.98"/>
    <n v="79.98"/>
    <s v="True"/>
    <s v="Normal"/>
    <s v="PayPal"/>
    <s v="Facebook"/>
    <s v="fulfilled"/>
    <s v="United States"/>
    <s v="California"/>
    <s v="Valid"/>
    <s v="Sandersport"/>
  </r>
  <r>
    <s v="#2112"/>
    <n v="1"/>
    <d v="2026-08-04T14:03:07"/>
    <d v="2026-08-04T14:03:07"/>
    <s v="Michael Hays"/>
    <s v="Email Available"/>
    <s v="michael.hays590@gmail.com"/>
    <x v="16"/>
    <s v="Apparel"/>
    <x v="17"/>
    <n v="1"/>
    <n v="39.99"/>
    <n v="39.99"/>
    <s v="SAVE20"/>
    <s v="SAVE20"/>
    <n v="8"/>
    <n v="8"/>
    <s v="Number"/>
    <n v="7.99"/>
    <n v="7.99"/>
    <n v="39.979999999999997"/>
    <n v="39.979999999999997"/>
    <n v="39.980000000000004"/>
    <s v="True"/>
    <s v="Normal"/>
    <s v="Google Pay"/>
    <s v="Online Store"/>
    <s v="fulfilled"/>
    <s v="United States"/>
    <s v="California"/>
    <s v="Valid"/>
    <s v="East Brandon"/>
  </r>
  <r>
    <s v="#2136"/>
    <n v="1"/>
    <d v="2026-08-04T14:05:39"/>
    <d v="2026-08-04T14:05:39"/>
    <s v="Tina Crane"/>
    <s v="Email Available"/>
    <s v="tina.crane554@gmail.com"/>
    <x v="16"/>
    <s v="Apparel"/>
    <x v="17"/>
    <n v="2"/>
    <n v="39.99"/>
    <n v="39.99"/>
    <s v="WELCOME10"/>
    <s v="WELCOME10"/>
    <n v="8"/>
    <n v="8"/>
    <s v="Number"/>
    <n v="0"/>
    <n v="0"/>
    <n v="71.98"/>
    <n v="71.98"/>
    <n v="71.98"/>
    <s v="True"/>
    <s v="Normal"/>
    <s v="Google Pay"/>
    <s v="POS"/>
    <s v="pending"/>
    <s v="United Kingdom"/>
    <m/>
    <s v="Not Required"/>
    <s v="Campbellport"/>
  </r>
  <r>
    <s v="#2147"/>
    <n v="1"/>
    <d v="2026-08-04T13:54:27"/>
    <d v="2026-08-04T13:54:27"/>
    <s v="Seth Price"/>
    <s v="Email Available"/>
    <s v="seth.price179@gmail.com"/>
    <x v="16"/>
    <s v="Apparel"/>
    <x v="17"/>
    <n v="1"/>
    <n v="39.99"/>
    <n v="39.99"/>
    <s v="FREESHIP"/>
    <s v="FREESHIP"/>
    <n v="0"/>
    <n v="0"/>
    <s v="Number"/>
    <n v="0"/>
    <n v="0"/>
    <n v="39.99"/>
    <n v="39.99"/>
    <n v="39.99"/>
    <s v="True"/>
    <s v="Normal"/>
    <s v="Shopify Payments"/>
    <s v="Online Store"/>
    <s v="fulfilled"/>
    <s v="United States"/>
    <s v="California"/>
    <s v="Valid"/>
    <s v="East Reneeborough"/>
  </r>
  <r>
    <s v="#2169"/>
    <n v="1"/>
    <d v="2026-08-04T14:04:08"/>
    <d v="2026-08-04T14:04:08"/>
    <s v="William Houston"/>
    <s v="Email Available"/>
    <s v="william.houston340@outlook.com"/>
    <x v="16"/>
    <s v="Apparel"/>
    <x v="17"/>
    <n v="1"/>
    <n v="39.99"/>
    <n v="39.99"/>
    <m/>
    <s v=""/>
    <n v="0"/>
    <n v="0"/>
    <s v="Number"/>
    <n v="5.99"/>
    <n v="5.99"/>
    <n v="45.98"/>
    <n v="45.98"/>
    <n v="45.980000000000004"/>
    <s v="True"/>
    <s v="Normal"/>
    <s v="PayPal"/>
    <s v="Facebook"/>
    <s v="pending"/>
    <s v="United States"/>
    <s v="Arizona"/>
    <s v="Valid"/>
    <s v="West Emilyview"/>
  </r>
  <r>
    <s v="#2194"/>
    <n v="1"/>
    <d v="2026-08-04T14:08:08"/>
    <d v="2026-08-04T14:08:08"/>
    <s v="Tracy Kennedy"/>
    <s v="Email Available"/>
    <s v="tracy.kennedy796@outlook.com"/>
    <x v="16"/>
    <s v="Apparel"/>
    <x v="17"/>
    <n v="1"/>
    <n v="39.99"/>
    <n v="39.99"/>
    <m/>
    <s v=""/>
    <n v="0"/>
    <n v="0"/>
    <s v="Number"/>
    <n v="5.99"/>
    <n v="5.99"/>
    <s v="$45.98"/>
    <n v="45.98"/>
    <n v="45.980000000000004"/>
    <s v="True"/>
    <s v="Normal"/>
    <s v="Credit Card"/>
    <s v="Online Store"/>
    <s v="cancelled"/>
    <s v="Pakistan"/>
    <m/>
    <s v="Not Required"/>
    <s v="Caseyfurt"/>
  </r>
  <r>
    <s v="#2196"/>
    <n v="1"/>
    <d v="2026-08-04T13:58:49"/>
    <d v="2026-08-04T13:58:49"/>
    <s v="Anthony Vaughn"/>
    <s v="Email Available"/>
    <s v="anthony.vaughn72@gmail.com"/>
    <x v="16"/>
    <s v="Apparel"/>
    <x v="17"/>
    <n v="2"/>
    <n v="39.99"/>
    <n v="39.99"/>
    <m/>
    <s v=""/>
    <s v="$0.00"/>
    <n v="0"/>
    <s v="Number"/>
    <n v="0"/>
    <n v="0"/>
    <n v="79.98"/>
    <n v="79.98"/>
    <n v="79.98"/>
    <s v="True"/>
    <s v="Normal"/>
    <s v="Google Pay"/>
    <s v="Online Store"/>
    <s v="fulfilled"/>
    <s v="Germany"/>
    <m/>
    <s v="Not Required"/>
    <s v="Lake Karenchester"/>
  </r>
  <r>
    <s v="#2250"/>
    <n v="1"/>
    <d v="2026-08-04T14:07:36"/>
    <d v="2026-08-04T14:07:36"/>
    <s v="Mary Garcia"/>
    <s v="Email Available"/>
    <s v="mary.garcia899@icloud.com"/>
    <x v="16"/>
    <s v="Apparel"/>
    <x v="17"/>
    <n v="4"/>
    <n v="39.99"/>
    <n v="39.99"/>
    <s v="WELCOME10"/>
    <s v="WELCOME10"/>
    <n v="16"/>
    <n v="16"/>
    <s v="Number"/>
    <n v="0"/>
    <n v="0"/>
    <n v="143.96"/>
    <n v="143.96"/>
    <n v="143.96"/>
    <s v="True"/>
    <s v="Outlier"/>
    <s v="Credit Card"/>
    <s v="Instagram"/>
    <s v="refunded"/>
    <s v="Canada"/>
    <m/>
    <s v="Not Required"/>
    <s v="East Michelle"/>
  </r>
  <r>
    <s v="#2327"/>
    <n v="1"/>
    <d v="2026-08-04T14:02:16"/>
    <d v="2026-08-04T14:02:16"/>
    <s v="Stacey Johnson"/>
    <s v="Email Available"/>
    <s v="stacey.johnson95@gmail.com"/>
    <x v="16"/>
    <s v="Apparel"/>
    <x v="17"/>
    <n v="1"/>
    <n v="39.99"/>
    <n v="39.99"/>
    <m/>
    <s v=""/>
    <n v="0"/>
    <n v="0"/>
    <s v="Number"/>
    <n v="5.99"/>
    <n v="5.99"/>
    <n v="45.98"/>
    <n v="45.98"/>
    <n v="45.980000000000004"/>
    <s v="True"/>
    <s v="Normal"/>
    <s v="Credit Card"/>
    <s v="Online Store"/>
    <s v="pending"/>
    <s v="Germany"/>
    <m/>
    <s v="Not Required"/>
    <s v="Lake Yolandatown"/>
  </r>
  <r>
    <s v="#2360"/>
    <n v="1"/>
    <d v="2026-08-04T14:06:22"/>
    <d v="2026-08-04T14:06:22"/>
    <s v="Sarah Williams"/>
    <s v="Email Available"/>
    <s v="sarah.williams329@icloud.com"/>
    <x v="16"/>
    <s v="Apparel"/>
    <x v="17"/>
    <n v="2"/>
    <n v="39.99"/>
    <n v="39.99"/>
    <m/>
    <s v=""/>
    <n v="0"/>
    <n v="0"/>
    <s v="Number"/>
    <n v="0"/>
    <n v="0"/>
    <n v="79.98"/>
    <n v="79.98"/>
    <n v="79.98"/>
    <s v="True"/>
    <s v="Normal"/>
    <s v="Shopify Payments"/>
    <s v="Online Store"/>
    <s v="fulfilled"/>
    <s v="Canada"/>
    <m/>
    <s v="Not Required"/>
    <s v="Wesleymouth"/>
  </r>
  <r>
    <s v="#2392"/>
    <n v="1"/>
    <d v="2026-08-04T13:53:58"/>
    <d v="2026-08-04T13:53:58"/>
    <s v="Frederick Bean"/>
    <s v="Email Available"/>
    <s v="frederick.bean141@outlook.com"/>
    <x v="16"/>
    <s v="Apparel"/>
    <x v="17"/>
    <n v="1"/>
    <s v="$39.99"/>
    <n v="39.99"/>
    <s v="BFCM25"/>
    <s v="BFCM25"/>
    <n v="10"/>
    <n v="10"/>
    <s v="Number"/>
    <n v="5.99"/>
    <n v="5.99"/>
    <n v="35.979999999999997"/>
    <n v="35.979999999999997"/>
    <n v="35.980000000000004"/>
    <s v="True"/>
    <s v="Normal"/>
    <s v="Shopify Payments"/>
    <s v="Facebook"/>
    <s v="refunded"/>
    <s v="United States"/>
    <s v="North Carolina"/>
    <s v="Valid"/>
    <s v="Gabrielbury"/>
  </r>
  <r>
    <s v="#2410"/>
    <n v="1"/>
    <d v="2026-08-04T14:03:08"/>
    <d v="2026-08-04T14:03:08"/>
    <s v="Christopher Martin"/>
    <s v="Email Available"/>
    <s v="christopher.martin10@gmail.com"/>
    <x v="16"/>
    <s v="Apparel"/>
    <x v="17"/>
    <n v="2"/>
    <n v="39.99"/>
    <n v="39.99"/>
    <m/>
    <s v=""/>
    <n v="0"/>
    <n v="0"/>
    <s v="Number"/>
    <n v="0"/>
    <n v="0"/>
    <n v="79.98"/>
    <n v="79.98"/>
    <n v="79.98"/>
    <s v="True"/>
    <s v="Normal"/>
    <s v="Shopify Payments"/>
    <s v="Instagram"/>
    <s v="refunded"/>
    <s v="United States"/>
    <s v="NC"/>
    <s v="Valid"/>
    <s v="Port Jose"/>
  </r>
  <r>
    <s v="#2430"/>
    <n v="1"/>
    <d v="2026-08-04T13:58:01"/>
    <d v="2026-08-04T13:58:01"/>
    <s v="Sandra Potter"/>
    <s v="Email Available"/>
    <s v="sandra.potter166@yahoo.com"/>
    <x v="16"/>
    <s v="Apparel"/>
    <x v="17"/>
    <n v="2"/>
    <n v="39.99"/>
    <n v="39.99"/>
    <m/>
    <s v=""/>
    <n v="0"/>
    <n v="0"/>
    <s v="Number"/>
    <n v="0"/>
    <n v="0"/>
    <n v="79.98"/>
    <n v="79.98"/>
    <n v="79.98"/>
    <s v="True"/>
    <s v="Normal"/>
    <s v="PayPal"/>
    <s v="Instagram"/>
    <s v="fulfilled"/>
    <s v="United States"/>
    <s v="Illinois"/>
    <s v="Valid"/>
    <s v="South Andreastad"/>
  </r>
  <r>
    <s v="#2435"/>
    <n v="1"/>
    <d v="2026-08-04T13:56:19"/>
    <d v="2026-08-04T13:56:19"/>
    <s v="Andrea Martinez"/>
    <s v="Email Available"/>
    <s v="andrea.martinez756@yahoo.com"/>
    <x v="16"/>
    <s v="Apparel"/>
    <x v="17"/>
    <n v="2"/>
    <n v="39.99"/>
    <n v="39.99"/>
    <m/>
    <s v=""/>
    <n v="0"/>
    <n v="0"/>
    <s v="Number"/>
    <n v="0"/>
    <n v="0"/>
    <n v="79.98"/>
    <n v="79.98"/>
    <n v="79.98"/>
    <s v="True"/>
    <s v="Normal"/>
    <s v="PayPal"/>
    <s v="Facebook"/>
    <s v="pending"/>
    <s v="Australia"/>
    <m/>
    <s v="Not Required"/>
    <s v="Shannonport"/>
  </r>
  <r>
    <s v="#2437"/>
    <n v="1"/>
    <d v="2026-08-04T13:54:56"/>
    <d v="2026-08-04T13:54:56"/>
    <s v="Amanda Harris"/>
    <s v="Email Available"/>
    <s v="amanda.harris197@gmail.com"/>
    <x v="16"/>
    <s v="Apparel"/>
    <x v="17"/>
    <n v="4"/>
    <n v="39.99"/>
    <n v="39.99"/>
    <m/>
    <s v=""/>
    <n v="0"/>
    <n v="0"/>
    <s v="Number"/>
    <n v="0"/>
    <n v="0"/>
    <n v="159.96"/>
    <n v="159.96"/>
    <n v="159.96"/>
    <s v="True"/>
    <s v="Outlier"/>
    <s v="Credit Card"/>
    <s v="Online Store"/>
    <s v="fulfilled"/>
    <s v="United States"/>
    <s v="California"/>
    <s v="Valid"/>
    <s v="Lake Ianmouth"/>
  </r>
  <r>
    <s v="#2459"/>
    <n v="1"/>
    <d v="2026-08-04T14:03:36"/>
    <d v="2026-08-04T14:03:36"/>
    <s v="Jaime Vargas"/>
    <s v="Email Available"/>
    <s v="jaime.vargas795@outlook.com"/>
    <x v="16"/>
    <s v="Apparel"/>
    <x v="17"/>
    <n v="1"/>
    <s v="$39.99"/>
    <n v="39.99"/>
    <m/>
    <s v=""/>
    <s v="$0.00"/>
    <n v="0"/>
    <s v="Number"/>
    <n v="7.99"/>
    <n v="7.99"/>
    <n v="47.98"/>
    <n v="47.98"/>
    <n v="47.980000000000004"/>
    <s v="True"/>
    <s v="Normal"/>
    <s v="Shopify Payments"/>
    <s v="Instagram"/>
    <s v="pending"/>
    <s v="United Kingdom"/>
    <m/>
    <s v="Not Required"/>
    <s v="North Patriciaton"/>
  </r>
  <r>
    <s v="#2469"/>
    <n v="1"/>
    <d v="2026-08-04T14:06:45"/>
    <d v="2026-08-04T14:06:45"/>
    <s v="Peter Alvarez"/>
    <s v="Email Available"/>
    <s v="peter.alvarez465@yahoo.com"/>
    <x v="16"/>
    <s v="Apparel"/>
    <x v="17"/>
    <n v="1"/>
    <n v="39.99"/>
    <n v="39.99"/>
    <s v="WELCOME10"/>
    <s v="WELCOME10"/>
    <n v="4"/>
    <n v="4"/>
    <s v="Number"/>
    <n v="4.99"/>
    <n v="4.99"/>
    <n v="40.98"/>
    <n v="40.98"/>
    <n v="40.980000000000004"/>
    <s v="True"/>
    <s v="Normal"/>
    <s v="Apple Pay"/>
    <s v="POS"/>
    <s v="fulfilled"/>
    <s v="United States"/>
    <s v="New York"/>
    <s v="Valid"/>
    <s v="Davishaven"/>
  </r>
  <r>
    <s v="#2502"/>
    <n v="1"/>
    <d v="2026-08-04T13:57:49"/>
    <d v="2026-08-04T13:57:49"/>
    <s v="Barbara Brown"/>
    <s v="Email Available"/>
    <s v="barbara.brown26@gmail.com"/>
    <x v="16"/>
    <s v="Apparel"/>
    <x v="17"/>
    <n v="1"/>
    <n v="39.99"/>
    <n v="39.99"/>
    <s v="VIP15"/>
    <s v="VIP15"/>
    <n v="6"/>
    <n v="6"/>
    <s v="Number"/>
    <n v="7.99"/>
    <n v="7.99"/>
    <n v="41.98"/>
    <n v="41.98"/>
    <n v="41.980000000000004"/>
    <s v="True"/>
    <s v="Normal"/>
    <s v="Google Pay"/>
    <s v="Instagram"/>
    <s v="refunded"/>
    <s v="United States"/>
    <s v="California"/>
    <s v="Valid"/>
    <s v="North Benjamintown"/>
  </r>
  <r>
    <s v="#2512"/>
    <n v="1"/>
    <d v="2026-08-04T14:06:33"/>
    <d v="2026-08-04T14:06:33"/>
    <s v="Ryan Jones"/>
    <s v="Email Available"/>
    <s v="ryan.jones314@gmail.com"/>
    <x v="16"/>
    <s v="Apparel"/>
    <x v="17"/>
    <n v="1"/>
    <n v="39.99"/>
    <n v="39.99"/>
    <s v="WELCOME10"/>
    <s v="WELCOME10"/>
    <n v="4"/>
    <n v="4"/>
    <s v="Number"/>
    <n v="4.99"/>
    <n v="4.99"/>
    <n v="40.98"/>
    <n v="40.98"/>
    <n v="40.980000000000004"/>
    <s v="True"/>
    <s v="Normal"/>
    <s v="Shopify Payments"/>
    <s v="Online Store"/>
    <s v="fulfilled"/>
    <s v="Australia"/>
    <m/>
    <s v="Not Required"/>
    <s v="Higginsborough"/>
  </r>
  <r>
    <s v="#2515"/>
    <n v="1"/>
    <d v="2026-08-04T00:00:00"/>
    <s v="04-08-2026 13:59"/>
    <s v="Katelyn Johnson"/>
    <s v="Email Available"/>
    <s v="katelyn.johnson502@outlook.com"/>
    <x v="16"/>
    <s v="Apparel"/>
    <x v="17"/>
    <n v="1"/>
    <s v="$39.99"/>
    <n v="39.99"/>
    <m/>
    <s v=""/>
    <n v="0"/>
    <n v="0"/>
    <s v="Number"/>
    <n v="7.99"/>
    <n v="7.99"/>
    <n v="47.98"/>
    <n v="47.98"/>
    <n v="47.980000000000004"/>
    <s v="True"/>
    <s v="Normal"/>
    <s v="Credit Card"/>
    <s v="Instagram"/>
    <s v="refunded"/>
    <s v="United States"/>
    <s v="Georgia"/>
    <s v="Valid"/>
    <s v="Wilsonburgh"/>
  </r>
  <r>
    <s v="#2525"/>
    <n v="1"/>
    <d v="2026-08-04T13:55:11"/>
    <d v="2026-08-04T13:55:11"/>
    <s v="Tammy Hawkins"/>
    <s v="Email Available"/>
    <s v="tammy.hawkins461@outlook.com"/>
    <x v="16"/>
    <s v="Apparel"/>
    <x v="17"/>
    <n v="1"/>
    <n v="39.99"/>
    <n v="39.99"/>
    <s v="SAVE20"/>
    <s v="SAVE20"/>
    <n v="8"/>
    <n v="8"/>
    <s v="Number"/>
    <n v="4.99"/>
    <n v="4.99"/>
    <n v="36.979999999999997"/>
    <n v="36.979999999999997"/>
    <n v="36.980000000000004"/>
    <s v="True"/>
    <s v="Normal"/>
    <s v="Google Pay"/>
    <s v="Online Store"/>
    <s v="fulfilled"/>
    <s v="United States"/>
    <s v="North Carolina"/>
    <s v="Valid"/>
    <s v="Danielsport"/>
  </r>
  <r>
    <s v="#2528"/>
    <n v="1"/>
    <d v="2026-08-04T14:02:10"/>
    <d v="2026-08-04T14:02:10"/>
    <s v="Megan Herman"/>
    <s v="Email Available"/>
    <s v="megan.herman268@yahoo.com"/>
    <x v="16"/>
    <s v="Apparel"/>
    <x v="17"/>
    <n v="1"/>
    <n v="39.99"/>
    <n v="39.99"/>
    <s v="VIP15"/>
    <s v="VIP15"/>
    <n v="6"/>
    <n v="6"/>
    <s v="Number"/>
    <n v="5.99"/>
    <n v="5.99"/>
    <n v="39.979999999999997"/>
    <n v="39.979999999999997"/>
    <n v="39.980000000000004"/>
    <s v="True"/>
    <s v="Normal"/>
    <s v="PayPal"/>
    <s v="Facebook"/>
    <s v="cancelled"/>
    <s v="United States"/>
    <s v="Illinois"/>
    <s v="Valid"/>
    <s v="East Bradleyfurt"/>
  </r>
  <r>
    <s v="#2541"/>
    <n v="1"/>
    <d v="2026-08-04T14:08:22"/>
    <d v="2026-08-04T14:08:22"/>
    <s v="Jacqueline Miller"/>
    <s v="Email Available"/>
    <s v="jacqueline.miller687@yahoo.com"/>
    <x v="16"/>
    <s v="Apparel"/>
    <x v="17"/>
    <n v="1"/>
    <n v="39.99"/>
    <n v="39.99"/>
    <m/>
    <s v=""/>
    <n v="0"/>
    <n v="0"/>
    <s v="Number"/>
    <n v="5.99"/>
    <n v="5.99"/>
    <n v="45.98"/>
    <n v="45.98"/>
    <n v="45.980000000000004"/>
    <s v="True"/>
    <s v="Normal"/>
    <s v="PayPal"/>
    <s v="Facebook"/>
    <s v="fulfilled"/>
    <s v="Canada"/>
    <m/>
    <s v="Not Required"/>
    <s v="West Erikabury"/>
  </r>
  <r>
    <s v="#2542"/>
    <n v="1"/>
    <d v="2026-08-04T14:05:12"/>
    <d v="2026-08-04T14:05:12"/>
    <s v="Gloria Ballard"/>
    <s v="Email Available"/>
    <s v="gloria.ballard194@outlook.com"/>
    <x v="16"/>
    <s v="Apparel"/>
    <x v="17"/>
    <n v="1"/>
    <s v="$39.99"/>
    <n v="39.99"/>
    <s v="FREESHIP"/>
    <s v="FREESHIP"/>
    <s v="$0.00"/>
    <n v="0"/>
    <s v="Number"/>
    <n v="0"/>
    <n v="0"/>
    <n v="39.99"/>
    <n v="39.99"/>
    <n v="39.99"/>
    <s v="True"/>
    <s v="Normal"/>
    <s v="PayPal"/>
    <s v="POS"/>
    <s v="fulfilled"/>
    <s v="Germany"/>
    <m/>
    <s v="Not Required"/>
    <s v="South Kathleenhaven"/>
  </r>
  <r>
    <s v="#2591"/>
    <n v="1"/>
    <d v="2026-08-04T14:04:05"/>
    <d v="2026-08-04T14:04:05"/>
    <s v="Robert Clark"/>
    <s v="Email Available"/>
    <s v="robert.clark185@icloud.com"/>
    <x v="16"/>
    <s v="Apparel"/>
    <x v="17"/>
    <n v="1"/>
    <s v="$39.99"/>
    <n v="39.99"/>
    <m/>
    <s v=""/>
    <n v="0"/>
    <n v="0"/>
    <s v="Number"/>
    <n v="7.99"/>
    <n v="7.99"/>
    <n v="47.98"/>
    <n v="47.98"/>
    <n v="47.980000000000004"/>
    <s v="True"/>
    <s v="Normal"/>
    <s v="Apple Pay"/>
    <s v="Instagram"/>
    <s v="fulfilled"/>
    <s v="Pakistan"/>
    <m/>
    <s v="Not Required"/>
    <s v="Gonzalezmouth"/>
  </r>
  <r>
    <s v="#2596"/>
    <n v="1"/>
    <d v="2026-08-04T14:05:41"/>
    <d v="2026-08-04T14:05:41"/>
    <s v="Timothy Becker"/>
    <s v="Email Available"/>
    <s v="timothy.becker88@yahoo.com"/>
    <x v="16"/>
    <s v="Apparel"/>
    <x v="17"/>
    <n v="1"/>
    <n v="39.99"/>
    <n v="39.99"/>
    <s v="WELCOME10"/>
    <s v="WELCOME10"/>
    <n v="4"/>
    <n v="4"/>
    <s v="Number"/>
    <n v="7.99"/>
    <n v="7.99"/>
    <n v="43.98"/>
    <n v="43.98"/>
    <n v="43.980000000000004"/>
    <s v="True"/>
    <s v="Normal"/>
    <s v="Apple Pay"/>
    <s v="Instagram"/>
    <s v="refunded"/>
    <s v="United States"/>
    <s v="Washington"/>
    <s v="Valid"/>
    <s v="East Seth"/>
  </r>
  <r>
    <s v="#2624"/>
    <n v="1"/>
    <d v="2026-08-04T14:03:54"/>
    <d v="2026-08-04T14:03:54"/>
    <s v="Nicholas Jarvis"/>
    <s v="Email Available"/>
    <s v="nicholas.jarvis112@icloud.com"/>
    <x v="16"/>
    <s v="Apparel"/>
    <x v="17"/>
    <n v="1"/>
    <n v="39.99"/>
    <n v="39.99"/>
    <m/>
    <s v=""/>
    <n v="0"/>
    <n v="0"/>
    <s v="Number"/>
    <n v="7.99"/>
    <n v="7.99"/>
    <n v="47.98"/>
    <n v="47.98"/>
    <n v="47.980000000000004"/>
    <s v="True"/>
    <s v="Normal"/>
    <s v="Shopify Payments"/>
    <s v="Online Store"/>
    <s v="pending"/>
    <s v="Canada"/>
    <m/>
    <s v="Not Required"/>
    <s v="Sheltonfurt"/>
  </r>
  <r>
    <s v="#2646"/>
    <n v="1"/>
    <d v="2026-08-04T13:56:12"/>
    <d v="2026-08-04T13:56:12"/>
    <s v="Sandra Potter"/>
    <s v="Email Available"/>
    <s v="sandra.potter166@yahoo.com"/>
    <x v="16"/>
    <s v="Apparel"/>
    <x v="17"/>
    <n v="1"/>
    <n v="39.99"/>
    <n v="39.99"/>
    <m/>
    <s v=""/>
    <n v="0"/>
    <n v="0"/>
    <s v="Number"/>
    <n v="7.99"/>
    <n v="7.99"/>
    <n v="47.98"/>
    <n v="47.98"/>
    <n v="47.980000000000004"/>
    <s v="True"/>
    <s v="Normal"/>
    <s v="Shopify Payments"/>
    <s v="Facebook"/>
    <s v="fulfilled"/>
    <s v="United States"/>
    <s v="Illinois"/>
    <s v="Valid"/>
    <s v="South Juanview"/>
  </r>
  <r>
    <s v="#2657"/>
    <n v="1"/>
    <d v="2026-08-04T13:56:04"/>
    <d v="2026-08-04T13:56:04"/>
    <s v="Erika Maxwell"/>
    <s v="Email Available"/>
    <s v="erika.maxwell281@gmail.com"/>
    <x v="16"/>
    <s v="Apparel"/>
    <x v="17"/>
    <n v="2"/>
    <n v="39.99"/>
    <n v="39.99"/>
    <s v="FREESHIP"/>
    <s v="FREESHIP"/>
    <n v="0"/>
    <n v="0"/>
    <s v="Number"/>
    <n v="0"/>
    <n v="0"/>
    <s v="$79.98"/>
    <n v="79.98"/>
    <n v="79.98"/>
    <s v="True"/>
    <s v="Normal"/>
    <s v="Shopify Payments"/>
    <s v="Online Store"/>
    <s v="fulfilled"/>
    <s v="United States"/>
    <s v="Washington"/>
    <s v="Valid"/>
    <s v="Kristiberg"/>
  </r>
  <r>
    <s v="#2714"/>
    <n v="1"/>
    <d v="2026-08-04T14:04:45"/>
    <d v="2026-08-04T14:04:45"/>
    <s v="Dustin Mccoy"/>
    <s v="Email Available"/>
    <s v="dustin.mccoy570@gmail.com"/>
    <x v="16"/>
    <s v="Apparel"/>
    <x v="17"/>
    <n v="2"/>
    <s v="$39.99"/>
    <n v="39.99"/>
    <s v="BFCM25"/>
    <s v="BFCM25"/>
    <s v="$20.00"/>
    <n v="20"/>
    <s v="Number"/>
    <n v="0"/>
    <n v="0"/>
    <n v="59.98"/>
    <n v="59.98"/>
    <n v="59.980000000000004"/>
    <s v="True"/>
    <s v="Normal"/>
    <s v="Shopify Payments"/>
    <s v="Instagram"/>
    <s v="cancelled"/>
    <s v="Canada"/>
    <m/>
    <s v="Not Required"/>
    <s v="South Edwardtown"/>
  </r>
  <r>
    <s v="#2785"/>
    <n v="1"/>
    <d v="2026-08-04T14:02:35"/>
    <d v="2026-08-04T14:02:35"/>
    <s v="Lisa Zuniga"/>
    <s v="Email Available"/>
    <s v="lisa.zuniga825@outlook.com"/>
    <x v="16"/>
    <s v="Apparel"/>
    <x v="17"/>
    <n v="1"/>
    <n v="39.99"/>
    <n v="39.99"/>
    <m/>
    <s v=""/>
    <n v="0"/>
    <n v="0"/>
    <s v="Number"/>
    <n v="5.99"/>
    <n v="5.99"/>
    <n v="45.98"/>
    <n v="45.98"/>
    <n v="45.980000000000004"/>
    <s v="True"/>
    <s v="Normal"/>
    <s v="Credit Card"/>
    <s v="Facebook"/>
    <s v="fulfilled"/>
    <s v="Germany"/>
    <m/>
    <s v="Not Required"/>
    <s v="Marcmouth"/>
  </r>
  <r>
    <s v="#2807"/>
    <n v="1"/>
    <d v="2026-08-04T14:04:59"/>
    <d v="2026-08-04T14:04:59"/>
    <s v="Patricia Thompson"/>
    <s v="Email Available"/>
    <s v="patricia.thompson164@icloud.com"/>
    <x v="16"/>
    <s v="Apparel"/>
    <x v="17"/>
    <n v="1"/>
    <n v="39.99"/>
    <n v="39.99"/>
    <m/>
    <s v=""/>
    <s v="$0.00"/>
    <n v="0"/>
    <s v="Number"/>
    <n v="4.99"/>
    <n v="4.99"/>
    <n v="44.98"/>
    <n v="44.98"/>
    <n v="44.980000000000004"/>
    <s v="True"/>
    <s v="Normal"/>
    <s v="PayPal"/>
    <s v="POS"/>
    <s v="fulfilled"/>
    <s v="United States"/>
    <s v="TX"/>
    <s v="Valid"/>
    <s v="New Loriport"/>
  </r>
  <r>
    <s v="#2827"/>
    <n v="1"/>
    <d v="2026-08-04T13:56:59"/>
    <d v="2026-08-04T13:56:59"/>
    <s v="Barbara Brown"/>
    <s v="Email Available"/>
    <s v="barbara.brown26@gmail.com"/>
    <x v="16"/>
    <s v="Apparel"/>
    <x v="17"/>
    <n v="1"/>
    <n v="39.99"/>
    <n v="39.99"/>
    <m/>
    <s v=""/>
    <s v="$0.00"/>
    <n v="0"/>
    <s v="Number"/>
    <n v="4.99"/>
    <n v="4.99"/>
    <n v="44.98"/>
    <n v="44.98"/>
    <n v="44.980000000000004"/>
    <s v="True"/>
    <s v="Normal"/>
    <s v="Shopify Payments"/>
    <s v="POS"/>
    <s v="fulfilled"/>
    <s v="United States"/>
    <s v="New York"/>
    <s v="Valid"/>
    <s v="East Nicholas"/>
  </r>
  <r>
    <s v="#2912"/>
    <n v="1"/>
    <d v="2026-08-04T14:06:43"/>
    <d v="2026-08-04T14:06:43"/>
    <s v="Andrea Gallegos"/>
    <s v="Email Available"/>
    <s v="andrea.gallegos495@gmail.com"/>
    <x v="16"/>
    <s v="Apparel"/>
    <x v="17"/>
    <n v="1"/>
    <n v="39.99"/>
    <n v="39.99"/>
    <m/>
    <s v=""/>
    <n v="0"/>
    <n v="0"/>
    <s v="Number"/>
    <n v="5.99"/>
    <n v="5.99"/>
    <n v="45.98"/>
    <n v="45.98"/>
    <n v="45.980000000000004"/>
    <s v="True"/>
    <s v="Normal"/>
    <s v="PayPal"/>
    <s v="Facebook"/>
    <s v="refunded"/>
    <s v="Germany"/>
    <m/>
    <s v="Not Required"/>
    <s v="Longstad"/>
  </r>
  <r>
    <s v="#2950"/>
    <n v="1"/>
    <d v="2026-08-04T14:00:23"/>
    <d v="2026-08-04T14:00:23"/>
    <s v="Teresa Campbell"/>
    <s v="Email Available"/>
    <s v="teresa.campbell610@icloud.com"/>
    <x v="16"/>
    <s v="Apparel"/>
    <x v="17"/>
    <n v="1"/>
    <n v="39.99"/>
    <n v="39.99"/>
    <m/>
    <s v=""/>
    <n v="0"/>
    <n v="0"/>
    <s v="Number"/>
    <n v="4.99"/>
    <n v="4.99"/>
    <n v="44.98"/>
    <n v="44.98"/>
    <n v="44.980000000000004"/>
    <s v="True"/>
    <s v="Normal"/>
    <s v="Google Pay"/>
    <s v="Online Store"/>
    <s v="pending"/>
    <s v="United Kingdom"/>
    <m/>
    <s v="Not Required"/>
    <s v="Sandyshire"/>
  </r>
  <r>
    <s v="#2957"/>
    <n v="1"/>
    <d v="2026-08-04T00:00:00"/>
    <s v="2026-08-04"/>
    <s v="Amanda Rodriguez"/>
    <s v="Email Available"/>
    <s v="amanda.rodriguez770@yahoo.com"/>
    <x v="16"/>
    <s v="Apparel"/>
    <x v="17"/>
    <n v="1"/>
    <n v="39.99"/>
    <n v="39.99"/>
    <s v="VIP15"/>
    <s v="VIP15"/>
    <n v="6"/>
    <n v="6"/>
    <s v="Number"/>
    <n v="4.99"/>
    <n v="4.99"/>
    <n v="38.979999999999997"/>
    <n v="38.979999999999997"/>
    <n v="38.980000000000004"/>
    <s v="True"/>
    <s v="Normal"/>
    <s v="Shopify Payments"/>
    <s v="Online Store"/>
    <s v="cancelled"/>
    <s v="United States"/>
    <s v="New York"/>
    <s v="Valid"/>
    <s v="South Oliviaburgh"/>
  </r>
  <r>
    <s v="#2976"/>
    <n v="1"/>
    <d v="2026-08-04T13:59:04"/>
    <d v="2026-08-04T13:59:04"/>
    <s v="Robert Boyd"/>
    <s v="Email Available"/>
    <s v="robert.boyd184@yahoo.com"/>
    <x v="16"/>
    <s v="Apparel"/>
    <x v="17"/>
    <n v="1"/>
    <n v="39.99"/>
    <n v="39.99"/>
    <s v="BFCM25"/>
    <s v="BFCM25"/>
    <n v="10"/>
    <n v="10"/>
    <s v="Number"/>
    <n v="4.99"/>
    <n v="4.99"/>
    <n v="34.979999999999997"/>
    <n v="34.979999999999997"/>
    <n v="34.980000000000004"/>
    <s v="True"/>
    <s v="Normal"/>
    <s v="Credit Card"/>
    <s v="Instagram"/>
    <s v="refunded"/>
    <s v="Canada"/>
    <m/>
    <s v="Not Required"/>
    <s v="Abigailtown"/>
  </r>
  <r>
    <s v="#2992"/>
    <n v="1"/>
    <d v="2026-08-04T14:06:13"/>
    <d v="2026-08-04T14:06:13"/>
    <s v="Michelle Bell"/>
    <s v="Email Available"/>
    <s v="michelle.bell28@yahoo.com"/>
    <x v="16"/>
    <s v="Apparel"/>
    <x v="17"/>
    <n v="3"/>
    <n v="39.99"/>
    <n v="39.99"/>
    <s v="SAVE20"/>
    <s v="SAVE20"/>
    <n v="23.99"/>
    <n v="23.99"/>
    <s v="Number"/>
    <n v="0"/>
    <n v="0"/>
    <n v="95.98"/>
    <n v="95.98"/>
    <n v="95.98"/>
    <s v="True"/>
    <s v="Outlier"/>
    <s v="Credit Card"/>
    <s v="Facebook"/>
    <s v="fulfilled"/>
    <s v="United States"/>
    <s v="California"/>
    <s v="Valid"/>
    <s v="Robinsonberg"/>
  </r>
  <r>
    <s v="#1001"/>
    <n v="1"/>
    <d v="2026-08-04T13:55:58"/>
    <d v="2026-08-04T13:55:58"/>
    <s v="Glenn Mcmahon"/>
    <s v="Email Available"/>
    <s v="glenn.mcmahon733@yahoo.com"/>
    <x v="17"/>
    <s v="Home &amp; Kitchen"/>
    <x v="18"/>
    <n v="1"/>
    <n v="12.99"/>
    <n v="12.99"/>
    <s v="SAVE20"/>
    <s v="SAVE20"/>
    <s v="$2.60"/>
    <n v="2.6"/>
    <s v="Number"/>
    <n v="5.99"/>
    <n v="5.99"/>
    <n v="16.38"/>
    <n v="16.38"/>
    <n v="16.380000000000003"/>
    <s v="True"/>
    <s v="Normal"/>
    <s v="Google Pay"/>
    <s v="Online Store"/>
    <s v="pending"/>
    <s v="United States"/>
    <s v="Georgia"/>
    <s v="Valid"/>
    <s v="Jamesfurt"/>
  </r>
  <r>
    <s v="#1012"/>
    <n v="1"/>
    <d v="2026-08-04T13:54:35"/>
    <d v="2026-08-04T13:54:35"/>
    <s v="Karen Jones"/>
    <s v="Email Available"/>
    <s v="karen.jones287@icloud.com"/>
    <x v="17"/>
    <s v="Home &amp; Kitchen"/>
    <x v="18"/>
    <n v="1"/>
    <n v="12.99"/>
    <n v="12.99"/>
    <s v="BFCM25"/>
    <s v="BFCM25"/>
    <n v="3.25"/>
    <n v="3.25"/>
    <s v="Number"/>
    <n v="4.99"/>
    <n v="4.99"/>
    <s v="$14.73"/>
    <n v="14.73"/>
    <n v="14.73"/>
    <s v="True"/>
    <s v="Normal"/>
    <s v="Shopify Payments"/>
    <s v="Online Store"/>
    <s v="refunded"/>
    <s v="Australia"/>
    <m/>
    <s v="Not Required"/>
    <s v="South Joseph"/>
  </r>
  <r>
    <s v="#1038"/>
    <n v="1"/>
    <d v="2026-08-04T00:00:00"/>
    <s v="04-08-2026 13:58"/>
    <s v="William Houston"/>
    <s v="Missing Email"/>
    <m/>
    <x v="17"/>
    <s v="Home &amp; Kitchen"/>
    <x v="18"/>
    <n v="2"/>
    <n v="12.99"/>
    <n v="12.99"/>
    <m/>
    <s v=""/>
    <n v="0"/>
    <n v="0"/>
    <s v="Number"/>
    <n v="4.99"/>
    <n v="4.99"/>
    <n v="30.97"/>
    <n v="30.97"/>
    <n v="30.97"/>
    <s v="True"/>
    <s v="Normal"/>
    <s v="Google Pay"/>
    <s v="Instagram"/>
    <s v="fulfilled"/>
    <s v="United States"/>
    <s v="Ohio"/>
    <s v="Valid"/>
    <s v="Greenfurt"/>
  </r>
  <r>
    <s v="#1052"/>
    <n v="1"/>
    <d v="2026-08-04T14:03:12"/>
    <d v="2026-08-04T14:03:12"/>
    <s v="Leon Oliver"/>
    <s v="Email Available"/>
    <s v="leon.oliver578@gmail.com"/>
    <x v="17"/>
    <s v="Home &amp; Kitchen"/>
    <x v="18"/>
    <n v="3"/>
    <n v="12.99"/>
    <n v="12.99"/>
    <s v="VIP15"/>
    <s v="VIP15"/>
    <n v="5.85"/>
    <n v="5.85"/>
    <s v="Number"/>
    <n v="7.99"/>
    <n v="7.99"/>
    <n v="41.11"/>
    <n v="41.11"/>
    <n v="41.11"/>
    <s v="True"/>
    <s v="Normal"/>
    <s v="PayPal"/>
    <s v="Facebook"/>
    <s v="cancelled"/>
    <s v="Canada"/>
    <m/>
    <s v="Not Required"/>
    <s v="Samuelshire"/>
  </r>
  <r>
    <s v="#1067"/>
    <n v="1"/>
    <d v="2026-08-04T00:00:00"/>
    <s v="Aug 04, 2026"/>
    <s v="Amanda Robinson"/>
    <s v="Missing Email"/>
    <m/>
    <x v="17"/>
    <s v="Home &amp; Kitchen"/>
    <x v="18"/>
    <n v="2"/>
    <n v="12.99"/>
    <n v="12.99"/>
    <s v="FREESHIP"/>
    <s v="FREESHIP"/>
    <n v="0"/>
    <n v="0"/>
    <s v="Number"/>
    <n v="0"/>
    <n v="0"/>
    <n v="25.98"/>
    <n v="25.98"/>
    <n v="25.98"/>
    <s v="True"/>
    <s v="Normal"/>
    <s v="Apple Pay"/>
    <s v="Online Store"/>
    <s v="fulfilled"/>
    <s v="United States"/>
    <s v="Texas"/>
    <s v="Valid"/>
    <s v="Lake Josehaven"/>
  </r>
  <r>
    <s v="#1077"/>
    <n v="1"/>
    <d v="2026-08-04T00:00:00"/>
    <s v="2026-08-04"/>
    <s v="Cody Murray"/>
    <s v="Email Available"/>
    <s v="cody.murray456@gmail.com"/>
    <x v="17"/>
    <s v="Home &amp; Kitchen"/>
    <x v="18"/>
    <n v="2"/>
    <n v="12.99"/>
    <n v="12.99"/>
    <s v="FREESHIP"/>
    <s v="FREESHIP"/>
    <n v="0"/>
    <n v="0"/>
    <s v="Number"/>
    <n v="0"/>
    <n v="0"/>
    <n v="25.98"/>
    <n v="25.98"/>
    <n v="25.98"/>
    <s v="True"/>
    <s v="Normal"/>
    <s v="Shopify Payments"/>
    <s v="POS"/>
    <s v="refunded"/>
    <s v="United Kingdom"/>
    <m/>
    <s v="Not Required"/>
    <s v="Haydenport"/>
  </r>
  <r>
    <s v="#1082"/>
    <n v="1"/>
    <d v="2026-04-08T00:00:00"/>
    <s v="08/04/2026"/>
    <s v="Michele Davis"/>
    <s v="Email Available"/>
    <s v="michele.davis844@gmail.com"/>
    <x v="17"/>
    <s v="Home &amp; Kitchen"/>
    <x v="18"/>
    <n v="1"/>
    <n v="12.99"/>
    <n v="12.99"/>
    <s v="SAVE20"/>
    <s v="SAVE20"/>
    <n v="2.6"/>
    <n v="2.6"/>
    <s v="Number"/>
    <n v="4.99"/>
    <n v="4.99"/>
    <s v="$15.38"/>
    <n v="15.38"/>
    <n v="15.38"/>
    <s v="True"/>
    <s v="Normal"/>
    <s v="Google Pay"/>
    <s v="Online Store"/>
    <s v="refunded"/>
    <s v="Australia"/>
    <m/>
    <s v="Not Required"/>
    <s v="Perkinschester"/>
  </r>
  <r>
    <s v="#1096"/>
    <n v="1"/>
    <d v="2026-08-04T14:08:13"/>
    <d v="2026-08-04T14:08:13"/>
    <s v="Natalie Dixon"/>
    <s v="Email Available"/>
    <s v="natalie.dixon388@outlook.com"/>
    <x v="17"/>
    <s v="Home &amp; Kitchen"/>
    <x v="18"/>
    <n v="2"/>
    <n v="12.99"/>
    <n v="12.99"/>
    <m/>
    <s v=""/>
    <n v="0"/>
    <n v="0"/>
    <s v="Number"/>
    <n v="4.99"/>
    <n v="4.99"/>
    <s v="$30.97"/>
    <n v="30.97"/>
    <n v="30.97"/>
    <s v="True"/>
    <s v="Normal"/>
    <s v="Apple Pay"/>
    <s v="Facebook"/>
    <s v="pending"/>
    <s v="United States"/>
    <s v="NC"/>
    <s v="Valid"/>
    <s v="East Emilyfort"/>
  </r>
  <r>
    <s v="#1101"/>
    <n v="1"/>
    <d v="2026-08-04T13:54:09"/>
    <d v="2026-08-04T13:54:09"/>
    <s v="Brian Ruiz"/>
    <s v="Email Available"/>
    <s v="brian.ruiz246@gmail.com"/>
    <x v="17"/>
    <s v="Home &amp; Kitchen"/>
    <x v="18"/>
    <n v="1"/>
    <n v="12.99"/>
    <n v="12.99"/>
    <s v="FREESHIP"/>
    <s v="FREESHIP"/>
    <s v="$0.00"/>
    <n v="0"/>
    <s v="Number"/>
    <n v="0"/>
    <n v="0"/>
    <n v="12.99"/>
    <n v="12.99"/>
    <n v="12.99"/>
    <s v="True"/>
    <s v="Normal"/>
    <s v="Shopify Payments"/>
    <s v="Facebook"/>
    <s v="fulfilled"/>
    <s v="Germany"/>
    <m/>
    <s v="Not Required"/>
    <s v="Jerryborough"/>
  </r>
  <r>
    <s v="#1103"/>
    <n v="1"/>
    <d v="2026-08-04T13:57:04"/>
    <d v="2026-08-04T13:57:04"/>
    <s v="Tracy Adams"/>
    <s v="Email Available"/>
    <s v="tracy.adams712@icloud.com"/>
    <x v="17"/>
    <s v="Home &amp; Kitchen"/>
    <x v="18"/>
    <n v="1"/>
    <n v="12.99"/>
    <n v="12.99"/>
    <s v="BFCM25"/>
    <s v="BFCM25"/>
    <n v="3.25"/>
    <n v="3.25"/>
    <s v="Number"/>
    <n v="4.99"/>
    <n v="4.99"/>
    <n v="14.73"/>
    <n v="14.73"/>
    <n v="14.73"/>
    <s v="True"/>
    <s v="Normal"/>
    <s v="Google Pay"/>
    <s v="POS"/>
    <s v="fulfilled"/>
    <s v="United States"/>
    <s v="Arizona"/>
    <s v="Valid"/>
    <s v="Harrisonville"/>
  </r>
  <r>
    <s v="#1114"/>
    <n v="1"/>
    <d v="2026-04-08T00:00:00"/>
    <s v="08/04/2026"/>
    <s v="Kayla Cruz"/>
    <s v="Email Available"/>
    <s v="kayla.cruz151@outlook.com"/>
    <x v="17"/>
    <s v="Home &amp; Kitchen"/>
    <x v="18"/>
    <n v="1"/>
    <n v="12.99"/>
    <n v="12.99"/>
    <s v="FREESHIP"/>
    <s v="FREESHIP"/>
    <n v="0"/>
    <n v="0"/>
    <s v="Number"/>
    <n v="0"/>
    <n v="0"/>
    <n v="12.99"/>
    <n v="12.99"/>
    <n v="12.99"/>
    <s v="True"/>
    <s v="Normal"/>
    <s v="Apple Pay"/>
    <s v="Online Store"/>
    <s v="fulfilled"/>
    <s v="Pakistan"/>
    <m/>
    <s v="Not Required"/>
    <s v="East Samantha"/>
  </r>
  <r>
    <s v="#1180"/>
    <n v="1"/>
    <d v="2026-04-08T00:00:00"/>
    <s v="08/04/2026"/>
    <s v="Lindsay Shaw"/>
    <s v="Email Available"/>
    <s v="lindsay.shaw178@icloud.com"/>
    <x v="17"/>
    <s v="Home &amp; Kitchen"/>
    <x v="18"/>
    <n v="2"/>
    <n v="12.99"/>
    <n v="12.99"/>
    <s v="VIP15"/>
    <s v="VIP15"/>
    <n v="3.9"/>
    <n v="3.9"/>
    <s v="Number"/>
    <n v="7.99"/>
    <n v="7.99"/>
    <n v="30.07"/>
    <n v="30.07"/>
    <n v="30.07"/>
    <s v="True"/>
    <s v="Normal"/>
    <s v="Google Pay"/>
    <s v="POS"/>
    <s v="fulfilled"/>
    <s v="United Kingdom"/>
    <m/>
    <s v="Not Required"/>
    <s v="Riverafort"/>
  </r>
  <r>
    <s v="#1189"/>
    <n v="1"/>
    <d v="2026-08-04T14:01:03"/>
    <d v="2026-08-04T14:01:03"/>
    <s v="Dustin Mccoy"/>
    <s v="Email Available"/>
    <s v="dustin.mccoy570@gmail.com"/>
    <x v="17"/>
    <s v="Home &amp; Kitchen"/>
    <x v="18"/>
    <n v="3"/>
    <n v="12.99"/>
    <n v="12.99"/>
    <s v="SAVE20"/>
    <s v="SAVE20"/>
    <n v="7.79"/>
    <n v="7.79"/>
    <s v="Number"/>
    <n v="4.99"/>
    <n v="4.99"/>
    <n v="36.17"/>
    <n v="36.17"/>
    <n v="36.17"/>
    <s v="True"/>
    <s v="Normal"/>
    <s v="Credit Card"/>
    <s v="Online Store"/>
    <s v="fulfilled"/>
    <s v="Canada"/>
    <m/>
    <s v="Not Required"/>
    <s v="South Ryan"/>
  </r>
  <r>
    <s v="#1195"/>
    <n v="1"/>
    <d v="2026-08-04T13:56:06"/>
    <d v="2026-08-04T13:56:06"/>
    <s v="Justin Chavez"/>
    <s v="Email Available"/>
    <s v="justin.chavez556@gmail.com"/>
    <x v="17"/>
    <s v="Home &amp; Kitchen"/>
    <x v="18"/>
    <n v="1"/>
    <n v="12.99"/>
    <n v="12.99"/>
    <m/>
    <s v=""/>
    <n v="0"/>
    <n v="0"/>
    <s v="Number"/>
    <n v="5.99"/>
    <n v="5.99"/>
    <n v="18.98"/>
    <n v="18.98"/>
    <n v="18.98"/>
    <s v="True"/>
    <s v="Normal"/>
    <s v="Google Pay"/>
    <s v="Online Store"/>
    <s v="fulfilled"/>
    <s v="United States"/>
    <s v="New York"/>
    <s v="Valid"/>
    <s v="South Andrea"/>
  </r>
  <r>
    <s v="#1202"/>
    <n v="1"/>
    <d v="2026-08-04T13:56:55"/>
    <d v="2026-08-04T13:56:55"/>
    <s v="Alexandria Miller"/>
    <s v="Email Available"/>
    <s v="alexandria.miller414@outlook.com"/>
    <x v="17"/>
    <s v="Home &amp; Kitchen"/>
    <x v="18"/>
    <n v="1"/>
    <n v="12.99"/>
    <n v="12.99"/>
    <m/>
    <s v=""/>
    <n v="0"/>
    <n v="0"/>
    <s v="Number"/>
    <n v="4.99"/>
    <n v="4.99"/>
    <n v="17.98"/>
    <n v="17.98"/>
    <n v="17.98"/>
    <s v="True"/>
    <s v="Normal"/>
    <s v="Credit Card"/>
    <s v="Online Store"/>
    <s v="fulfilled"/>
    <s v="Australia"/>
    <m/>
    <s v="Not Required"/>
    <s v="East Anthonyton"/>
  </r>
  <r>
    <s v="#1285"/>
    <n v="1"/>
    <d v="2026-08-04T13:57:56"/>
    <d v="2026-08-04T13:57:56"/>
    <s v="jennifer willis"/>
    <s v="Email Available"/>
    <s v="jennifer.willis714@gmail.com"/>
    <x v="17"/>
    <s v="Home &amp; Kitchen"/>
    <x v="18"/>
    <n v="1"/>
    <n v="12.99"/>
    <n v="12.99"/>
    <s v="BFCM25"/>
    <s v="BFCM25"/>
    <n v="3.25"/>
    <n v="3.25"/>
    <s v="Number"/>
    <n v="7.99"/>
    <n v="7.99"/>
    <s v="$17.73"/>
    <n v="17.73"/>
    <n v="17.73"/>
    <s v="True"/>
    <s v="Normal"/>
    <s v="Apple Pay"/>
    <s v="Online Store"/>
    <s v="refunded"/>
    <s v="United States"/>
    <s v="Florida"/>
    <s v="Valid"/>
    <s v="Aaronville"/>
  </r>
  <r>
    <s v="#1296"/>
    <n v="1"/>
    <d v="2026-08-04T00:00:00"/>
    <s v="04-08-2026 14:08"/>
    <s v="Kenneth Davis"/>
    <s v="Email Available"/>
    <s v="kenneth.davis106@yahoo.com"/>
    <x v="17"/>
    <s v="Home &amp; Kitchen"/>
    <x v="18"/>
    <n v="1"/>
    <s v="$12.99"/>
    <n v="12.99"/>
    <m/>
    <s v=""/>
    <n v="0"/>
    <n v="0"/>
    <s v="Number"/>
    <n v="4.99"/>
    <n v="4.99"/>
    <n v="17.98"/>
    <n v="17.98"/>
    <n v="17.98"/>
    <s v="True"/>
    <s v="Normal"/>
    <s v="Google Pay"/>
    <s v="POS"/>
    <s v="fulfilled"/>
    <s v="United States"/>
    <s v="North Carolina"/>
    <s v="Valid"/>
    <s v="Lake Seanfort"/>
  </r>
  <r>
    <s v="#1302"/>
    <n v="1"/>
    <d v="2026-04-08T00:00:00"/>
    <s v="08/04/2026"/>
    <s v="Cody Murray"/>
    <s v="Email Available"/>
    <s v="cody.murray456@gmail.com"/>
    <x v="17"/>
    <s v="Home &amp; Kitchen"/>
    <x v="18"/>
    <n v="1"/>
    <n v="12.99"/>
    <n v="12.99"/>
    <s v="BFCM25"/>
    <s v="BFCM25"/>
    <n v="3.25"/>
    <n v="3.25"/>
    <s v="Number"/>
    <n v="5.99"/>
    <n v="5.99"/>
    <s v="$15.73"/>
    <n v="15.73"/>
    <n v="15.73"/>
    <s v="True"/>
    <s v="Normal"/>
    <s v="Apple Pay"/>
    <s v="Online Store"/>
    <s v="fulfilled"/>
    <s v="United Kingdom"/>
    <m/>
    <s v="Not Required"/>
    <s v="North Paulberg"/>
  </r>
  <r>
    <s v="#1331"/>
    <n v="1"/>
    <d v="2026-08-04T13:54:43"/>
    <d v="2026-08-04T13:54:43"/>
    <s v="Timothy Hodges"/>
    <s v="Email Available"/>
    <s v="timothy.hodges687@icloud.com"/>
    <x v="17"/>
    <s v="Home &amp; Kitchen"/>
    <x v="18"/>
    <n v="1"/>
    <n v="12.99"/>
    <n v="12.99"/>
    <m/>
    <s v=""/>
    <s v="$0.00"/>
    <n v="0"/>
    <s v="Number"/>
    <n v="4.99"/>
    <n v="4.99"/>
    <n v="17.98"/>
    <n v="17.98"/>
    <n v="17.98"/>
    <s v="True"/>
    <s v="Normal"/>
    <s v="Apple Pay"/>
    <s v="Online Store"/>
    <s v="refunded"/>
    <s v="Australia"/>
    <m/>
    <s v="Not Required"/>
    <s v="Perezmouth"/>
  </r>
  <r>
    <s v="#1355"/>
    <n v="1"/>
    <d v="2026-08-04T14:02:45"/>
    <d v="2026-08-04T14:02:45"/>
    <s v="Stacey Johnson"/>
    <s v="Email Available"/>
    <s v="stacey.johnson95@gmail.com"/>
    <x v="17"/>
    <s v="Home &amp; Kitchen"/>
    <x v="18"/>
    <n v="1"/>
    <n v="12.99"/>
    <n v="12.99"/>
    <s v="SAVE20"/>
    <s v="SAVE20"/>
    <n v="2.6"/>
    <n v="2.6"/>
    <s v="Number"/>
    <n v="5.99"/>
    <n v="5.99"/>
    <n v="16.38"/>
    <n v="16.38"/>
    <n v="16.380000000000003"/>
    <s v="True"/>
    <s v="Normal"/>
    <s v="PayPal"/>
    <s v="Online Store"/>
    <s v="cancelled"/>
    <s v="Germany"/>
    <m/>
    <s v="Not Required"/>
    <s v="Wardstad"/>
  </r>
  <r>
    <s v="#1357"/>
    <n v="1"/>
    <d v="2026-08-04T14:03:36"/>
    <d v="2026-08-04T14:03:36"/>
    <s v="Sandra Potter"/>
    <s v="Email Available"/>
    <s v="sandra.potter166@yahoo.com"/>
    <x v="17"/>
    <s v="Home &amp; Kitchen"/>
    <x v="18"/>
    <n v="1"/>
    <n v="12.99"/>
    <n v="12.99"/>
    <s v="VIP15"/>
    <s v="VIP15"/>
    <n v="1.95"/>
    <n v="1.95"/>
    <s v="Number"/>
    <n v="7.99"/>
    <n v="7.99"/>
    <n v="19.03"/>
    <n v="19.03"/>
    <n v="19.03"/>
    <s v="True"/>
    <s v="Normal"/>
    <s v="Google Pay"/>
    <s v="POS"/>
    <s v="fulfilled"/>
    <s v="United States"/>
    <s v="North Carolina"/>
    <s v="Valid"/>
    <s v="East Wendyton"/>
  </r>
  <r>
    <s v="#1383"/>
    <n v="1"/>
    <d v="2026-08-04T13:59:35"/>
    <d v="2026-08-04T13:59:35"/>
    <s v="Ryan Gonzalez"/>
    <s v="Email Available"/>
    <s v="ryan.gonzalez192@gmail.com"/>
    <x v="17"/>
    <s v="Home &amp; Kitchen"/>
    <x v="18"/>
    <n v="1"/>
    <s v="$12.99"/>
    <n v="12.99"/>
    <s v="SAVE20"/>
    <s v="SAVE20"/>
    <n v="2.6"/>
    <n v="2.6"/>
    <s v="Number"/>
    <n v="5.99"/>
    <n v="5.99"/>
    <n v="16.38"/>
    <n v="16.38"/>
    <n v="16.380000000000003"/>
    <s v="True"/>
    <s v="Normal"/>
    <s v="Credit Card"/>
    <s v="Facebook"/>
    <s v="refunded"/>
    <s v="United States"/>
    <s v="Texas"/>
    <s v="Valid"/>
    <s v="East Jameston"/>
  </r>
  <r>
    <s v="#1400"/>
    <n v="1"/>
    <d v="2026-08-04T14:04:57"/>
    <d v="2026-08-04T14:04:57"/>
    <s v="Joel Davidson"/>
    <s v="Email Available"/>
    <s v="joel.davidson94@icloud.com"/>
    <x v="17"/>
    <s v="Home &amp; Kitchen"/>
    <x v="18"/>
    <n v="1"/>
    <n v="12.99"/>
    <n v="12.99"/>
    <m/>
    <s v=""/>
    <n v="0"/>
    <n v="0"/>
    <s v="Number"/>
    <n v="7.99"/>
    <n v="7.99"/>
    <n v="20.98"/>
    <n v="20.98"/>
    <n v="20.98"/>
    <s v="True"/>
    <s v="Normal"/>
    <s v="Credit Card"/>
    <s v="Online Store"/>
    <s v="pending"/>
    <s v="United States"/>
    <s v="Arizona"/>
    <s v="Valid"/>
    <s v="North Elizabeth"/>
  </r>
  <r>
    <s v="#1402"/>
    <n v="1"/>
    <d v="2026-08-04T14:04:33"/>
    <d v="2026-08-04T14:04:33"/>
    <s v="William Houston"/>
    <s v="Missing Email"/>
    <m/>
    <x v="17"/>
    <s v="Home &amp; Kitchen"/>
    <x v="18"/>
    <n v="2"/>
    <n v="12.99"/>
    <n v="12.99"/>
    <m/>
    <s v=""/>
    <n v="0"/>
    <n v="0"/>
    <s v="Number"/>
    <n v="4.99"/>
    <n v="4.99"/>
    <s v="$30.97"/>
    <n v="30.97"/>
    <n v="30.97"/>
    <s v="True"/>
    <s v="Normal"/>
    <s v="PayPal"/>
    <s v="Instagram"/>
    <s v="fulfilled"/>
    <s v="United States"/>
    <s v="Illinois"/>
    <s v="Valid"/>
    <s v="Samuelport"/>
  </r>
  <r>
    <s v="#1434"/>
    <n v="1"/>
    <d v="2026-08-04T13:56:29"/>
    <d v="2026-08-04T13:56:29"/>
    <s v="Patrick Richardson"/>
    <s v="Email Available"/>
    <s v="patrick.richardson270@icloud.com"/>
    <x v="17"/>
    <s v="Home &amp; Kitchen"/>
    <x v="18"/>
    <n v="1"/>
    <n v="12.99"/>
    <n v="12.99"/>
    <m/>
    <s v=""/>
    <n v="0"/>
    <n v="0"/>
    <s v="Number"/>
    <n v="7.99"/>
    <n v="7.99"/>
    <n v="20.98"/>
    <n v="20.98"/>
    <n v="20.98"/>
    <s v="True"/>
    <s v="Normal"/>
    <s v="PayPal"/>
    <s v="Online Store"/>
    <s v="fulfilled"/>
    <s v="United States"/>
    <s v="FL"/>
    <s v="Valid"/>
    <s v="Haleystad"/>
  </r>
  <r>
    <s v="#1491"/>
    <n v="1"/>
    <d v="2026-08-04T14:00:55"/>
    <d v="2026-08-04T14:00:55"/>
    <s v="Stacy Webb"/>
    <s v="Email Available"/>
    <s v="stacy.webb586@yahoo.com"/>
    <x v="17"/>
    <s v="Home &amp; Kitchen"/>
    <x v="18"/>
    <n v="1"/>
    <n v="12.99"/>
    <n v="12.99"/>
    <s v="WELCOME10"/>
    <s v="WELCOME10"/>
    <s v="$1.30"/>
    <n v="1.3"/>
    <s v="Number"/>
    <n v="7.99"/>
    <n v="7.99"/>
    <n v="19.68"/>
    <n v="19.68"/>
    <n v="19.68"/>
    <s v="True"/>
    <s v="Normal"/>
    <s v="Credit Card"/>
    <s v="Instagram"/>
    <s v="fulfilled"/>
    <s v="United States"/>
    <s v="Florida"/>
    <s v="Valid"/>
    <s v="East Alexis"/>
  </r>
  <r>
    <s v="#1510"/>
    <n v="1"/>
    <d v="2026-08-04T14:01:47"/>
    <d v="2026-08-04T14:01:47"/>
    <s v="Bryan Smith"/>
    <s v="Email Available"/>
    <s v="bryan.smith876@yahoo.com"/>
    <x v="17"/>
    <s v="Home &amp; Kitchen"/>
    <x v="18"/>
    <n v="1"/>
    <n v="12.99"/>
    <n v="12.99"/>
    <s v="BFCM25"/>
    <s v="BFCM25"/>
    <s v="$3.25"/>
    <n v="3.25"/>
    <s v="Number"/>
    <n v="4.99"/>
    <n v="4.99"/>
    <n v="14.73"/>
    <n v="14.73"/>
    <n v="14.73"/>
    <s v="True"/>
    <s v="Normal"/>
    <s v="Shopify Payments"/>
    <s v="Online Store"/>
    <s v="fulfilled"/>
    <s v="United States"/>
    <s v="North Carolina"/>
    <s v="Valid"/>
    <s v="Davidfurt"/>
  </r>
  <r>
    <s v="#1556"/>
    <n v="1"/>
    <d v="2026-08-04T00:00:00"/>
    <s v="Aug 04, 2026"/>
    <s v="Anthony Mullen"/>
    <s v="Email Available"/>
    <s v="anthony.mullen523@yahoo.com"/>
    <x v="17"/>
    <s v="Home &amp; Kitchen"/>
    <x v="18"/>
    <n v="1"/>
    <n v="12.99"/>
    <n v="12.99"/>
    <m/>
    <s v=""/>
    <n v="0"/>
    <n v="0"/>
    <s v="Number"/>
    <n v="7.99"/>
    <n v="7.99"/>
    <n v="20.98"/>
    <n v="20.98"/>
    <n v="20.98"/>
    <s v="True"/>
    <s v="Normal"/>
    <s v="Apple Pay"/>
    <s v="POS"/>
    <s v="fulfilled"/>
    <s v="United States"/>
    <s v="Arizona"/>
    <s v="Valid"/>
    <s v="New Aaronfort"/>
  </r>
  <r>
    <s v="#1597"/>
    <n v="1"/>
    <d v="2026-08-04T00:00:00"/>
    <s v="04-08-2026 13:56"/>
    <s v="Omar Sanders"/>
    <s v="Email Available"/>
    <s v="omar.sanders208@outlook.com"/>
    <x v="17"/>
    <s v="Home &amp; Kitchen"/>
    <x v="18"/>
    <n v="1"/>
    <n v="12.99"/>
    <n v="12.99"/>
    <s v="FREESHIP"/>
    <s v="FREESHIP"/>
    <n v="0"/>
    <n v="0"/>
    <s v="Number"/>
    <n v="0"/>
    <n v="0"/>
    <n v="12.99"/>
    <n v="12.99"/>
    <n v="12.99"/>
    <s v="True"/>
    <s v="Normal"/>
    <s v="Shopify Payments"/>
    <s v="Facebook"/>
    <s v="fulfilled"/>
    <s v="United Kingdom"/>
    <m/>
    <s v="Not Required"/>
    <s v="East Pamela"/>
  </r>
  <r>
    <s v="#1598"/>
    <n v="1"/>
    <d v="2026-08-04T00:00:00"/>
    <s v="2026-08-04"/>
    <s v="Jennifer Burke"/>
    <s v="Email Available"/>
    <s v="jennifer.burke472@icloud.com"/>
    <x v="17"/>
    <s v="Home &amp; Kitchen"/>
    <x v="18"/>
    <n v="1"/>
    <n v="12.99"/>
    <n v="12.99"/>
    <s v="WELCOME10"/>
    <s v="WELCOME10"/>
    <n v="1.3"/>
    <n v="1.3"/>
    <s v="Number"/>
    <n v="5.99"/>
    <n v="5.99"/>
    <n v="17.68"/>
    <n v="17.68"/>
    <n v="17.68"/>
    <s v="True"/>
    <s v="Normal"/>
    <s v="Shopify Payments"/>
    <s v="Instagram"/>
    <s v="fulfilled"/>
    <s v="Pakistan"/>
    <m/>
    <s v="Not Required"/>
    <s v="Banksshire"/>
  </r>
  <r>
    <s v="#1638"/>
    <n v="1"/>
    <d v="2026-04-08T00:00:00"/>
    <s v="08/04/2026"/>
    <s v="David Duke"/>
    <s v="Email Available"/>
    <s v="david.duke814@icloud.com"/>
    <x v="17"/>
    <s v="Home &amp; Kitchen"/>
    <x v="18"/>
    <n v="1"/>
    <n v="12.99"/>
    <n v="12.99"/>
    <m/>
    <s v=""/>
    <s v="$0.00"/>
    <n v="0"/>
    <s v="Number"/>
    <n v="7.99"/>
    <n v="7.99"/>
    <n v="20.98"/>
    <n v="20.98"/>
    <n v="20.98"/>
    <s v="True"/>
    <s v="Normal"/>
    <s v="Shopify Payments"/>
    <s v="Facebook"/>
    <s v="fulfilled"/>
    <s v="United States"/>
    <s v="North Carolina"/>
    <s v="Valid"/>
    <s v="Hallmouth"/>
  </r>
  <r>
    <s v="#1738"/>
    <n v="1"/>
    <d v="2026-08-04T13:53:42"/>
    <d v="2026-08-04T13:53:42"/>
    <s v="Dustin Mccoy"/>
    <s v="Email Available"/>
    <s v="dustin.mccoy570@gmail.com"/>
    <x v="17"/>
    <s v="Home &amp; Kitchen"/>
    <x v="18"/>
    <n v="1"/>
    <n v="12.99"/>
    <n v="12.99"/>
    <s v="SAVE20"/>
    <s v="SAVE20"/>
    <n v="2.6"/>
    <n v="2.6"/>
    <s v="Number"/>
    <n v="5.99"/>
    <n v="5.99"/>
    <n v="16.38"/>
    <n v="16.38"/>
    <n v="16.380000000000003"/>
    <s v="True"/>
    <s v="Normal"/>
    <s v="Credit Card"/>
    <s v="Online Store"/>
    <s v="pending"/>
    <s v="Canada"/>
    <m/>
    <s v="Not Required"/>
    <s v="Williamhaven"/>
  </r>
  <r>
    <s v="#1786"/>
    <n v="1"/>
    <d v="2026-08-04T13:56:08"/>
    <d v="2026-08-04T13:56:08"/>
    <s v="Anthony Marshall"/>
    <s v="Email Available"/>
    <s v="anthony.marshall823@yahoo.com"/>
    <x v="17"/>
    <s v="Home &amp; Kitchen"/>
    <x v="18"/>
    <n v="1"/>
    <n v="12.99"/>
    <n v="12.99"/>
    <s v="SAVE20"/>
    <s v="SAVE20"/>
    <s v="$2.60"/>
    <n v="2.6"/>
    <s v="Number"/>
    <n v="5.99"/>
    <n v="5.99"/>
    <n v="16.38"/>
    <n v="16.38"/>
    <n v="16.380000000000003"/>
    <s v="True"/>
    <s v="Normal"/>
    <s v="Credit Card"/>
    <s v="Online Store"/>
    <s v="fulfilled"/>
    <s v="United States"/>
    <s v="Florida"/>
    <s v="Valid"/>
    <s v="North Ricardoland"/>
  </r>
  <r>
    <s v="#1796"/>
    <n v="1"/>
    <d v="2026-08-04T14:01:42"/>
    <d v="2026-08-04T14:01:42"/>
    <s v="Angela Rose"/>
    <s v="Email Available"/>
    <s v="angela.rose740@outlook.com"/>
    <x v="17"/>
    <s v="Home &amp; Kitchen"/>
    <x v="18"/>
    <n v="1"/>
    <n v="12.99"/>
    <n v="12.99"/>
    <m/>
    <s v=""/>
    <n v="0"/>
    <n v="0"/>
    <s v="Number"/>
    <n v="5.99"/>
    <n v="5.99"/>
    <n v="18.98"/>
    <n v="18.98"/>
    <n v="18.98"/>
    <s v="True"/>
    <s v="Normal"/>
    <s v="Shopify Payments"/>
    <s v="Online Store"/>
    <s v="fulfilled"/>
    <s v="United States"/>
    <s v="New York"/>
    <s v="Valid"/>
    <s v="West Christopher"/>
  </r>
  <r>
    <s v="#1813"/>
    <n v="1"/>
    <d v="2026-08-04T14:05:40"/>
    <d v="2026-08-04T14:05:40"/>
    <s v="John Carson"/>
    <s v="Email Available"/>
    <s v="john.carson203@yahoo.com"/>
    <x v="17"/>
    <s v="Home &amp; Kitchen"/>
    <x v="18"/>
    <n v="1"/>
    <n v="12.99"/>
    <n v="12.99"/>
    <m/>
    <s v=""/>
    <n v="0"/>
    <n v="0"/>
    <s v="Number"/>
    <n v="5.99"/>
    <n v="5.99"/>
    <n v="18.98"/>
    <n v="18.98"/>
    <n v="18.98"/>
    <s v="True"/>
    <s v="Normal"/>
    <s v="Shopify Payments"/>
    <s v="POS"/>
    <s v="pending"/>
    <s v="United States"/>
    <s v="Arizona"/>
    <s v="Valid"/>
    <s v="West Kevinview"/>
  </r>
  <r>
    <s v="#1829"/>
    <n v="1"/>
    <d v="2026-08-04T14:00:33"/>
    <d v="2026-08-04T14:00:33"/>
    <s v="Brian Ruiz"/>
    <s v="Email Available"/>
    <s v="brian.ruiz246@gmail.com"/>
    <x v="17"/>
    <s v="Home &amp; Kitchen"/>
    <x v="18"/>
    <n v="1"/>
    <n v="12.99"/>
    <n v="12.99"/>
    <s v="WELCOME10"/>
    <s v="WELCOME10"/>
    <n v="1.3"/>
    <n v="1.3"/>
    <s v="Number"/>
    <n v="7.99"/>
    <n v="7.99"/>
    <n v="19.68"/>
    <n v="19.68"/>
    <n v="19.68"/>
    <s v="True"/>
    <s v="Normal"/>
    <s v="Shopify Payments"/>
    <s v="Online Store"/>
    <s v="fulfilled"/>
    <s v="Germany"/>
    <m/>
    <s v="Not Required"/>
    <s v="Alvarezstad"/>
  </r>
  <r>
    <s v="#1837"/>
    <n v="1"/>
    <d v="2026-08-04T14:00:26"/>
    <d v="2026-08-04T14:00:26"/>
    <s v="Charles Franco"/>
    <s v="Email Available"/>
    <s v="charles.franco761@outlook.com"/>
    <x v="17"/>
    <s v="Home &amp; Kitchen"/>
    <x v="18"/>
    <n v="1"/>
    <n v="12.99"/>
    <n v="12.99"/>
    <m/>
    <s v=""/>
    <n v="0"/>
    <n v="0"/>
    <s v="Number"/>
    <n v="7.99"/>
    <n v="7.99"/>
    <n v="20.98"/>
    <n v="20.98"/>
    <n v="20.98"/>
    <s v="True"/>
    <s v="Normal"/>
    <s v="Credit Card"/>
    <s v="Online Store"/>
    <s v="pending"/>
    <s v="United States"/>
    <s v="Florida"/>
    <s v="Valid"/>
    <s v="Kristytown"/>
  </r>
  <r>
    <s v="#1849"/>
    <n v="1"/>
    <d v="2026-08-04T00:00:00"/>
    <s v="2026-08-04"/>
    <s v="Stacey Johnson"/>
    <s v="Missing Email"/>
    <m/>
    <x v="17"/>
    <s v="Home &amp; Kitchen"/>
    <x v="18"/>
    <n v="1"/>
    <n v="12.99"/>
    <n v="12.99"/>
    <s v="FREESHIP"/>
    <s v="FREESHIP"/>
    <n v="0"/>
    <n v="0"/>
    <s v="Number"/>
    <n v="0"/>
    <n v="0"/>
    <n v="12.99"/>
    <n v="12.99"/>
    <n v="12.99"/>
    <s v="True"/>
    <s v="Normal"/>
    <s v="Credit Card"/>
    <s v="Online Store"/>
    <s v="refunded"/>
    <s v="United States"/>
    <s v="New York"/>
    <s v="Valid"/>
    <s v="Gravesshire"/>
  </r>
  <r>
    <s v="#1850"/>
    <n v="1"/>
    <d v="2026-08-04T13:56:44"/>
    <d v="2026-08-04T13:56:44"/>
    <s v="Ronald Davis"/>
    <s v="Email Available"/>
    <s v="ronald.davis995@yahoo.com"/>
    <x v="17"/>
    <s v="Home &amp; Kitchen"/>
    <x v="18"/>
    <n v="1"/>
    <s v="$12.99"/>
    <n v="12.99"/>
    <m/>
    <s v=""/>
    <n v="0"/>
    <n v="0"/>
    <s v="Number"/>
    <n v="7.99"/>
    <n v="7.99"/>
    <n v="20.98"/>
    <n v="20.98"/>
    <n v="20.98"/>
    <s v="True"/>
    <s v="Normal"/>
    <s v="Google Pay"/>
    <s v="Instagram"/>
    <s v="pending"/>
    <s v="Pakistan"/>
    <m/>
    <s v="Not Required"/>
    <s v="Lake Johnbury"/>
  </r>
  <r>
    <s v="#1861"/>
    <n v="1"/>
    <d v="2026-08-04T13:59:03"/>
    <d v="2026-08-04T13:59:03"/>
    <s v="Gerald Li"/>
    <s v="Email Available"/>
    <s v="gerald.li856@icloud.com"/>
    <x v="17"/>
    <s v="Home &amp; Kitchen"/>
    <x v="18"/>
    <n v="1"/>
    <n v="12.99"/>
    <n v="12.99"/>
    <m/>
    <s v=""/>
    <s v="$0.00"/>
    <n v="0"/>
    <s v="Number"/>
    <n v="5.99"/>
    <n v="5.99"/>
    <n v="18.98"/>
    <n v="18.98"/>
    <n v="18.98"/>
    <s v="True"/>
    <s v="Normal"/>
    <s v="Credit Card"/>
    <s v="Online Store"/>
    <s v="fulfilled"/>
    <s v="United States"/>
    <s v="Ohio"/>
    <s v="Valid"/>
    <s v="Blackwellland"/>
  </r>
  <r>
    <s v="#1926"/>
    <n v="1"/>
    <d v="2026-08-04T14:08:09"/>
    <d v="2026-08-04T14:08:09"/>
    <s v="Christopher Martin"/>
    <s v="Email Available"/>
    <s v="christopher.martin10@gmail.com"/>
    <x v="17"/>
    <s v="Home &amp; Kitchen"/>
    <x v="18"/>
    <n v="1"/>
    <n v="12.99"/>
    <n v="12.99"/>
    <m/>
    <s v=""/>
    <n v="0"/>
    <n v="0"/>
    <s v="Number"/>
    <n v="7.99"/>
    <n v="7.99"/>
    <n v="20.98"/>
    <n v="20.98"/>
    <n v="20.98"/>
    <s v="True"/>
    <s v="Normal"/>
    <s v="Apple Pay"/>
    <s v="Online Store"/>
    <s v="pending"/>
    <s v="United States"/>
    <s v="Ohio"/>
    <s v="Valid"/>
    <s v="New John"/>
  </r>
  <r>
    <s v="#1953"/>
    <n v="1"/>
    <d v="2026-08-04T13:53:56"/>
    <d v="2026-08-04T13:53:56"/>
    <s v="Susan Stark"/>
    <s v="Email Available"/>
    <s v="susan.stark500@yahoo.com"/>
    <x v="17"/>
    <s v="Home &amp; Kitchen"/>
    <x v="18"/>
    <n v="1"/>
    <n v="12.99"/>
    <n v="12.99"/>
    <s v="FREESHIP"/>
    <s v="FREESHIP"/>
    <n v="0"/>
    <n v="0"/>
    <s v="Number"/>
    <n v="0"/>
    <n v="0"/>
    <n v="12.99"/>
    <n v="12.99"/>
    <n v="12.99"/>
    <s v="True"/>
    <s v="Normal"/>
    <s v="Shopify Payments"/>
    <s v="Online Store"/>
    <s v="fulfilled"/>
    <s v="Australia"/>
    <m/>
    <s v="Not Required"/>
    <s v="North Danfort"/>
  </r>
  <r>
    <s v="#1994"/>
    <n v="1"/>
    <d v="2026-08-04T14:02:01"/>
    <d v="2026-08-04T14:02:01"/>
    <s v="Jackson, Tara"/>
    <s v="Email Available"/>
    <s v="tara.jackson708@outlook.com"/>
    <x v="17"/>
    <s v="Home &amp; Kitchen"/>
    <x v="18"/>
    <n v="2"/>
    <n v="12.99"/>
    <n v="12.99"/>
    <m/>
    <s v=""/>
    <n v="0"/>
    <n v="0"/>
    <s v="Number"/>
    <n v="5.99"/>
    <n v="5.99"/>
    <n v="31.97"/>
    <n v="31.97"/>
    <n v="31.97"/>
    <s v="True"/>
    <s v="Normal"/>
    <s v="Credit Card"/>
    <s v="Online Store"/>
    <s v="refunded"/>
    <s v="Canada"/>
    <m/>
    <s v="Not Required"/>
    <s v="New John"/>
  </r>
  <r>
    <s v="#2035"/>
    <n v="1"/>
    <d v="2026-08-04T14:04:56"/>
    <d v="2026-08-04T14:04:56"/>
    <s v="Justin Mcguire"/>
    <s v="Email Available"/>
    <s v="justin.mcguire224@icloud.com"/>
    <x v="17"/>
    <s v="Home &amp; Kitchen"/>
    <x v="18"/>
    <n v="1"/>
    <n v="12.99"/>
    <n v="12.99"/>
    <m/>
    <s v=""/>
    <n v="0"/>
    <n v="0"/>
    <s v="Number"/>
    <n v="5.99"/>
    <n v="5.99"/>
    <n v="18.98"/>
    <n v="18.98"/>
    <n v="18.98"/>
    <s v="True"/>
    <s v="Normal"/>
    <s v="Credit Card"/>
    <s v="Instagram"/>
    <s v="fulfilled"/>
    <s v="United States"/>
    <s v="California"/>
    <s v="Valid"/>
    <s v="South William"/>
  </r>
  <r>
    <s v="#2036"/>
    <n v="1"/>
    <d v="2026-08-04T13:57:36"/>
    <d v="2026-08-04T13:57:36"/>
    <s v="James Castro"/>
    <s v="Email Available"/>
    <s v="james.castro923@icloud.com"/>
    <x v="17"/>
    <s v="Home &amp; Kitchen"/>
    <x v="18"/>
    <n v="1"/>
    <n v="12.99"/>
    <n v="12.99"/>
    <s v="SAVE20"/>
    <s v="SAVE20"/>
    <n v="2.6"/>
    <n v="2.6"/>
    <s v="Number"/>
    <n v="4.99"/>
    <n v="4.99"/>
    <s v="$15.38"/>
    <n v="15.38"/>
    <n v="15.38"/>
    <s v="True"/>
    <s v="Normal"/>
    <s v="Shopify Payments"/>
    <s v="Instagram"/>
    <s v="pending"/>
    <s v="Pakistan"/>
    <m/>
    <s v="Not Required"/>
    <s v="Garrisonville"/>
  </r>
  <r>
    <s v="#2040"/>
    <n v="1"/>
    <d v="2026-08-04T13:54:02"/>
    <d v="2026-08-04T13:54:02"/>
    <s v="Sean Frank"/>
    <s v="Email Available"/>
    <s v="sean.frank587@icloud.com"/>
    <x v="17"/>
    <s v="Home &amp; Kitchen"/>
    <x v="18"/>
    <n v="1"/>
    <n v="12.99"/>
    <n v="12.99"/>
    <s v="VIP15"/>
    <s v="VIP15"/>
    <n v="1.95"/>
    <n v="1.95"/>
    <s v="Number"/>
    <n v="7.99"/>
    <n v="7.99"/>
    <n v="19.03"/>
    <n v="19.03"/>
    <n v="19.03"/>
    <s v="True"/>
    <s v="Normal"/>
    <s v="PayPal"/>
    <s v="Facebook"/>
    <s v="fulfilled"/>
    <s v="Australia"/>
    <m/>
    <s v="Not Required"/>
    <s v="Thompsonburgh"/>
  </r>
  <r>
    <s v="#2057"/>
    <n v="1"/>
    <d v="2026-08-04T13:54:41"/>
    <d v="2026-08-04T13:54:41"/>
    <s v="Monica Hicks"/>
    <s v="Email Available"/>
    <s v="monica.hicks473@yahoo.com"/>
    <x v="17"/>
    <s v="Home &amp; Kitchen"/>
    <x v="18"/>
    <n v="4"/>
    <n v="12.99"/>
    <n v="12.99"/>
    <m/>
    <s v=""/>
    <s v="$0.00"/>
    <n v="0"/>
    <s v="Number"/>
    <n v="5.99"/>
    <n v="5.99"/>
    <s v="$57.95"/>
    <n v="57.95"/>
    <n v="57.95"/>
    <s v="True"/>
    <s v="Normal"/>
    <s v="Apple Pay"/>
    <s v="Online Store"/>
    <s v="fulfilled"/>
    <s v="United States"/>
    <s v="California"/>
    <s v="Valid"/>
    <s v="North Jamiefort"/>
  </r>
  <r>
    <s v="#2090"/>
    <n v="1"/>
    <d v="2026-08-04T14:04:32"/>
    <d v="2026-08-04T14:04:32"/>
    <s v="Jeffrey Myers"/>
    <s v="Email Available"/>
    <s v="jeffrey.myers692@icloud.com"/>
    <x v="17"/>
    <s v="Home &amp; Kitchen"/>
    <x v="18"/>
    <n v="1"/>
    <n v="12.99"/>
    <n v="12.99"/>
    <m/>
    <s v=""/>
    <n v="0"/>
    <n v="0"/>
    <s v="Number"/>
    <n v="5.99"/>
    <n v="5.99"/>
    <n v="18.98"/>
    <n v="18.98"/>
    <n v="18.98"/>
    <s v="True"/>
    <s v="Normal"/>
    <s v="PayPal"/>
    <s v="POS"/>
    <s v="refunded"/>
    <s v="Pakistan"/>
    <m/>
    <s v="Not Required"/>
    <s v="Ericksonshire"/>
  </r>
  <r>
    <s v="#2122"/>
    <n v="1"/>
    <d v="2026-08-04T13:59:45"/>
    <d v="2026-08-04T13:59:45"/>
    <s v="Kayla Cruz"/>
    <s v="Email Available"/>
    <s v="kayla.cruz151@outlook.com"/>
    <x v="17"/>
    <s v="Home &amp; Kitchen"/>
    <x v="18"/>
    <n v="1"/>
    <n v="12.99"/>
    <n v="12.99"/>
    <m/>
    <s v=""/>
    <n v="0"/>
    <n v="0"/>
    <s v="Number"/>
    <n v="4.99"/>
    <n v="4.99"/>
    <n v="17.98"/>
    <n v="17.98"/>
    <n v="17.98"/>
    <s v="True"/>
    <s v="Normal"/>
    <s v="Apple Pay"/>
    <s v="POS"/>
    <s v="cancelled"/>
    <s v="Pakistan"/>
    <m/>
    <s v="Not Required"/>
    <s v="Courtneystad"/>
  </r>
  <r>
    <s v="#2132"/>
    <n v="1"/>
    <d v="2026-08-04T00:00:00"/>
    <s v="04-08-2026 14:03"/>
    <s v="Albert Salazar"/>
    <s v="Email Available"/>
    <s v="albert.salazar398@outlook.com"/>
    <x v="17"/>
    <s v="Home &amp; Kitchen"/>
    <x v="18"/>
    <n v="1"/>
    <n v="12.99"/>
    <n v="12.99"/>
    <s v="WELCOME10"/>
    <s v="WELCOME10"/>
    <n v="1.3"/>
    <n v="1.3"/>
    <s v="Number"/>
    <n v="7.99"/>
    <n v="7.99"/>
    <n v="19.68"/>
    <n v="19.68"/>
    <n v="19.68"/>
    <s v="True"/>
    <s v="Normal"/>
    <s v="Shopify Payments"/>
    <s v="POS"/>
    <s v="fulfilled"/>
    <s v="United States"/>
    <s v="NY"/>
    <s v="Valid"/>
    <s v="New Troy"/>
  </r>
  <r>
    <s v="#2137"/>
    <n v="1"/>
    <d v="2026-08-04T14:07:33"/>
    <d v="2026-08-04T14:07:33"/>
    <s v="Nicole Taylor"/>
    <s v="Email Available"/>
    <s v="nicole.taylor607@icloud.com"/>
    <x v="17"/>
    <s v="Home &amp; Kitchen"/>
    <x v="18"/>
    <n v="1"/>
    <n v="12.99"/>
    <n v="12.99"/>
    <s v="BFCM25"/>
    <s v="BFCM25"/>
    <n v="3.25"/>
    <n v="3.25"/>
    <s v="Number"/>
    <n v="7.99"/>
    <n v="7.99"/>
    <n v="17.73"/>
    <n v="17.73"/>
    <n v="17.73"/>
    <s v="True"/>
    <s v="Normal"/>
    <s v="PayPal"/>
    <s v="Facebook"/>
    <s v="fulfilled"/>
    <s v="United States"/>
    <s v="California"/>
    <s v="Valid"/>
    <s v="Hornstad"/>
  </r>
  <r>
    <s v="#2138"/>
    <n v="1"/>
    <d v="2026-08-04T13:57:20"/>
    <d v="2026-08-04T13:57:20"/>
    <s v="Tina Singh"/>
    <s v="Email Available"/>
    <s v="tina.singh98@icloud.com"/>
    <x v="17"/>
    <s v="Home &amp; Kitchen"/>
    <x v="18"/>
    <n v="1"/>
    <n v="12.99"/>
    <n v="12.99"/>
    <m/>
    <s v=""/>
    <n v="0"/>
    <n v="0"/>
    <s v="Number"/>
    <n v="5.99"/>
    <n v="5.99"/>
    <n v="18.98"/>
    <n v="18.98"/>
    <n v="18.98"/>
    <s v="True"/>
    <s v="Normal"/>
    <s v="Credit Card"/>
    <s v="Online Store"/>
    <s v="pending"/>
    <s v="United States"/>
    <s v="Georgia"/>
    <s v="Valid"/>
    <s v="West Lucastown"/>
  </r>
  <r>
    <s v="#2146"/>
    <n v="1"/>
    <d v="2026-08-04T13:56:17"/>
    <d v="2026-08-04T13:56:17"/>
    <s v="Nancy Nichols"/>
    <s v="Email Available"/>
    <s v="nancy.nichols189@yahoo.com"/>
    <x v="17"/>
    <s v="Home &amp; Kitchen"/>
    <x v="18"/>
    <n v="2"/>
    <n v="12.99"/>
    <n v="12.99"/>
    <m/>
    <s v=""/>
    <n v="0"/>
    <n v="0"/>
    <s v="Number"/>
    <n v="5.99"/>
    <n v="5.99"/>
    <n v="31.97"/>
    <n v="31.97"/>
    <n v="31.97"/>
    <s v="True"/>
    <s v="Normal"/>
    <s v="PayPal"/>
    <s v="Facebook"/>
    <s v="pending"/>
    <s v="United States"/>
    <s v="Illinois"/>
    <s v="Valid"/>
    <s v="Port Sarah"/>
  </r>
  <r>
    <s v="#2195"/>
    <n v="1"/>
    <d v="2026-08-04T14:05:04"/>
    <d v="2026-08-04T14:05:04"/>
    <s v="Randall Rhodes"/>
    <s v="Email Available"/>
    <s v="randall.rhodes730@outlook.com"/>
    <x v="17"/>
    <s v="Home &amp; Kitchen"/>
    <x v="18"/>
    <n v="1"/>
    <n v="12.99"/>
    <n v="12.99"/>
    <m/>
    <s v=""/>
    <n v="0"/>
    <n v="0"/>
    <s v="Number"/>
    <n v="5.99"/>
    <n v="5.99"/>
    <n v="18.98"/>
    <n v="18.98"/>
    <n v="18.98"/>
    <s v="True"/>
    <s v="Normal"/>
    <s v="Apple Pay"/>
    <s v="Online Store"/>
    <s v="fulfilled"/>
    <s v="United Kingdom"/>
    <m/>
    <s v="Not Required"/>
    <s v="Port Emilyfort"/>
  </r>
  <r>
    <s v="#2197"/>
    <n v="1"/>
    <d v="2026-08-04T14:00:06"/>
    <d v="2026-08-04T14:00:06"/>
    <s v="Barbara Brown"/>
    <s v="Email Available"/>
    <s v="barbara.brown26@gmail.com"/>
    <x v="17"/>
    <s v="Home &amp; Kitchen"/>
    <x v="18"/>
    <n v="1"/>
    <n v="12.99"/>
    <n v="12.99"/>
    <m/>
    <s v=""/>
    <n v="0"/>
    <n v="0"/>
    <s v="Number"/>
    <n v="4.99"/>
    <n v="4.99"/>
    <n v="17.98"/>
    <n v="17.98"/>
    <n v="17.98"/>
    <s v="True"/>
    <s v="Normal"/>
    <s v="Credit Card"/>
    <s v="Instagram"/>
    <s v="pending"/>
    <s v="United States"/>
    <s v="California"/>
    <s v="Valid"/>
    <s v="East Patrick"/>
  </r>
  <r>
    <s v="#2203"/>
    <n v="1"/>
    <d v="2026-08-04T13:59:52"/>
    <d v="2026-08-04T13:59:52"/>
    <s v="Jessica Garcia"/>
    <s v="Email Available"/>
    <s v="jessica.garcia931@gmail.com"/>
    <x v="17"/>
    <s v="Home &amp; Kitchen"/>
    <x v="18"/>
    <n v="2"/>
    <n v="12.99"/>
    <n v="12.99"/>
    <m/>
    <s v=""/>
    <s v="$0.00"/>
    <n v="0"/>
    <s v="Number"/>
    <n v="7.99"/>
    <n v="7.99"/>
    <s v="$33.97"/>
    <n v="33.97"/>
    <n v="33.97"/>
    <s v="True"/>
    <s v="Normal"/>
    <s v="PayPal"/>
    <s v="Online Store"/>
    <s v="cancelled"/>
    <s v="United States"/>
    <s v="California"/>
    <s v="Valid"/>
    <s v="Lake Jillianfurt"/>
  </r>
  <r>
    <s v="#2206"/>
    <n v="1"/>
    <d v="2026-08-04T13:55:17"/>
    <d v="2026-08-04T13:55:17"/>
    <s v="Patrick Richardson"/>
    <s v="Email Available"/>
    <s v="patrick.richardson270@icloud.com"/>
    <x v="17"/>
    <s v="Home &amp; Kitchen"/>
    <x v="18"/>
    <n v="2"/>
    <n v="12.99"/>
    <n v="12.99"/>
    <m/>
    <s v=""/>
    <n v="0"/>
    <n v="0"/>
    <s v="Number"/>
    <n v="7.99"/>
    <n v="7.99"/>
    <n v="33.97"/>
    <n v="33.97"/>
    <n v="33.97"/>
    <s v="True"/>
    <s v="Normal"/>
    <s v="Credit Card"/>
    <s v="Online Store"/>
    <s v="fulfilled"/>
    <s v="United States"/>
    <s v="Georgia"/>
    <s v="Valid"/>
    <s v="Fernandezbury"/>
  </r>
  <r>
    <s v="#2245"/>
    <n v="1"/>
    <d v="2026-04-08T00:00:00"/>
    <s v="08/04/2026"/>
    <s v="Erika Maxwell"/>
    <s v="Email Available"/>
    <s v="erika.maxwell281@gmail.com"/>
    <x v="17"/>
    <s v="Home &amp; Kitchen"/>
    <x v="18"/>
    <n v="1"/>
    <n v="12.99"/>
    <n v="12.99"/>
    <m/>
    <s v=""/>
    <s v="$0.00"/>
    <n v="0"/>
    <s v="Number"/>
    <n v="7.99"/>
    <n v="7.99"/>
    <n v="20.98"/>
    <n v="20.98"/>
    <n v="20.98"/>
    <s v="True"/>
    <s v="Normal"/>
    <s v="Credit Card"/>
    <s v="Instagram"/>
    <s v="fulfilled"/>
    <s v="United States"/>
    <s v="Ohio"/>
    <s v="Valid"/>
    <s v="North Pamela"/>
  </r>
  <r>
    <s v="#2266"/>
    <n v="1"/>
    <d v="2026-04-08T00:00:00"/>
    <s v="08/04/2026"/>
    <s v="Tracy Kennedy"/>
    <s v="Missing Email"/>
    <m/>
    <x v="17"/>
    <s v="Home &amp; Kitchen"/>
    <x v="18"/>
    <n v="1"/>
    <n v="12.99"/>
    <n v="12.99"/>
    <s v="SAVE20"/>
    <s v="SAVE20"/>
    <n v="2.6"/>
    <n v="2.6"/>
    <s v="Number"/>
    <n v="7.99"/>
    <n v="7.99"/>
    <n v="18.38"/>
    <n v="18.38"/>
    <n v="18.380000000000003"/>
    <s v="True"/>
    <s v="Normal"/>
    <s v="Credit Card"/>
    <s v="Online Store"/>
    <s v="cancelled"/>
    <s v="Pakistan"/>
    <m/>
    <s v="Not Required"/>
    <s v="New Richardhaven"/>
  </r>
  <r>
    <s v="#2274"/>
    <n v="1"/>
    <d v="2026-08-04T13:56:16"/>
    <d v="2026-08-04T13:56:16"/>
    <s v="Mark Mata"/>
    <s v="Email Available"/>
    <s v="mark.mata757@outlook.com"/>
    <x v="17"/>
    <s v="Home &amp; Kitchen"/>
    <x v="18"/>
    <n v="1"/>
    <s v="$12.99"/>
    <n v="12.99"/>
    <m/>
    <s v=""/>
    <n v="0"/>
    <n v="0"/>
    <s v="Number"/>
    <n v="4.99"/>
    <n v="4.99"/>
    <n v="899"/>
    <n v="899"/>
    <n v="17.98"/>
    <s v="False"/>
    <s v="Normal"/>
    <s v="Google Pay"/>
    <s v="Online Store"/>
    <s v="refunded"/>
    <s v="United States"/>
    <s v="Florida"/>
    <s v="Valid"/>
    <s v="Taylortown"/>
  </r>
  <r>
    <s v="#2283"/>
    <n v="1"/>
    <d v="2026-08-04T13:59:24"/>
    <d v="2026-08-04T13:59:24"/>
    <s v="Tracy Adams"/>
    <s v="Email Available"/>
    <s v="tracy.adams712@icloud.com"/>
    <x v="17"/>
    <s v="Home &amp; Kitchen"/>
    <x v="18"/>
    <n v="4"/>
    <n v="12.99"/>
    <n v="12.99"/>
    <m/>
    <s v=""/>
    <n v="0"/>
    <n v="0"/>
    <s v="Number"/>
    <n v="7.99"/>
    <n v="7.99"/>
    <s v="$59.95"/>
    <n v="59.95"/>
    <n v="59.95"/>
    <s v="True"/>
    <s v="Normal"/>
    <s v="PayPal"/>
    <s v="Online Store"/>
    <s v="fulfilled"/>
    <s v="United States"/>
    <s v="California"/>
    <s v="Valid"/>
    <s v="New Ann"/>
  </r>
  <r>
    <s v="#2357"/>
    <n v="1"/>
    <d v="2026-08-04T14:06:28"/>
    <d v="2026-08-04T14:06:28"/>
    <s v="William Houston"/>
    <s v="Email Available"/>
    <s v="william.houston340@outlook.com"/>
    <x v="17"/>
    <s v="Home &amp; Kitchen"/>
    <x v="18"/>
    <n v="1"/>
    <n v="12.99"/>
    <n v="12.99"/>
    <s v="FREESHIP"/>
    <s v="FREESHIP"/>
    <n v="0"/>
    <n v="0"/>
    <s v="Number"/>
    <n v="0"/>
    <n v="0"/>
    <n v="12.99"/>
    <n v="12.99"/>
    <n v="12.99"/>
    <s v="True"/>
    <s v="Normal"/>
    <s v="PayPal"/>
    <s v="Instagram"/>
    <s v="fulfilled"/>
    <s v="United States"/>
    <s v="Arizona"/>
    <s v="Valid"/>
    <s v="Frederickbury"/>
  </r>
  <r>
    <s v="#2367"/>
    <n v="1"/>
    <d v="2026-08-04T00:00:00"/>
    <s v="2026-08-04"/>
    <s v="CATHERINE VANG"/>
    <s v="Email Available"/>
    <s v="catherine.vang600@yahoo.com"/>
    <x v="17"/>
    <s v="Home &amp; Kitchen"/>
    <x v="18"/>
    <n v="1"/>
    <n v="12.99"/>
    <n v="12.99"/>
    <m/>
    <s v=""/>
    <n v="0"/>
    <n v="0"/>
    <s v="Number"/>
    <n v="4.99"/>
    <n v="4.99"/>
    <n v="17.98"/>
    <n v="17.98"/>
    <n v="17.98"/>
    <s v="True"/>
    <s v="Normal"/>
    <s v="PayPal"/>
    <s v="Instagram"/>
    <s v="pending"/>
    <s v="Australia"/>
    <m/>
    <s v="Not Required"/>
    <s v="Brittneychester"/>
  </r>
  <r>
    <s v="#2396"/>
    <n v="1"/>
    <d v="2026-08-04T14:05:47"/>
    <d v="2026-08-04T14:05:47"/>
    <s v="Morgan Brown"/>
    <s v="Email Available"/>
    <s v="morgan.brown933@gmail.com"/>
    <x v="17"/>
    <s v="Home &amp; Kitchen"/>
    <x v="18"/>
    <n v="3"/>
    <s v="$12.99"/>
    <n v="12.99"/>
    <m/>
    <s v=""/>
    <n v="0"/>
    <n v="0"/>
    <s v="Number"/>
    <n v="4.99"/>
    <n v="4.99"/>
    <n v="43.96"/>
    <n v="43.96"/>
    <n v="43.96"/>
    <s v="True"/>
    <s v="Normal"/>
    <s v="PayPal"/>
    <s v="Online Store"/>
    <s v="fulfilled"/>
    <s v="United States"/>
    <s v="North Carolina"/>
    <s v="Valid"/>
    <s v="Lake Meganland"/>
  </r>
  <r>
    <s v="#2513"/>
    <n v="1"/>
    <d v="2026-08-04T13:58:17"/>
    <d v="2026-08-04T13:58:17"/>
    <s v="Eric Santiago"/>
    <s v="Email Available"/>
    <s v="eric.santiago110@icloud.com"/>
    <x v="17"/>
    <s v="Home &amp; Kitchen"/>
    <x v="18"/>
    <n v="1"/>
    <n v="12.99"/>
    <n v="12.99"/>
    <m/>
    <s v=""/>
    <n v="0"/>
    <n v="0"/>
    <s v="Number"/>
    <n v="7.99"/>
    <n v="7.99"/>
    <n v="20.98"/>
    <n v="20.98"/>
    <n v="20.98"/>
    <s v="True"/>
    <s v="Normal"/>
    <s v="Apple Pay"/>
    <s v="Online Store"/>
    <s v="fulfilled"/>
    <s v="United States"/>
    <s v="North Carolina"/>
    <s v="Valid"/>
    <s v="West Devon"/>
  </r>
  <r>
    <s v="#2536"/>
    <n v="1"/>
    <d v="2026-08-04T14:03:20"/>
    <d v="2026-08-04T14:03:20"/>
    <s v="Nicholas Parker"/>
    <s v="Email Available"/>
    <s v="nicholas.parker656@yahoo.com"/>
    <x v="17"/>
    <s v="Home &amp; Kitchen"/>
    <x v="18"/>
    <n v="1"/>
    <s v="$12.99"/>
    <n v="12.99"/>
    <m/>
    <s v=""/>
    <n v="0"/>
    <n v="0"/>
    <s v="Number"/>
    <n v="4.99"/>
    <n v="4.99"/>
    <n v="17.98"/>
    <n v="17.98"/>
    <n v="17.98"/>
    <s v="True"/>
    <s v="Normal"/>
    <s v="PayPal"/>
    <s v="Online Store"/>
    <s v="refunded"/>
    <s v="United States"/>
    <s v="North Carolina"/>
    <s v="Valid"/>
    <s v="Lauraburgh"/>
  </r>
  <r>
    <s v="#2568"/>
    <n v="1"/>
    <d v="2026-08-04T14:01:05"/>
    <d v="2026-08-04T14:01:05"/>
    <s v="James Castro"/>
    <s v="Email Available"/>
    <s v="james.castro923@icloud.com"/>
    <x v="17"/>
    <s v="Home &amp; Kitchen"/>
    <x v="18"/>
    <n v="1"/>
    <s v="$12.99"/>
    <n v="12.99"/>
    <m/>
    <s v=""/>
    <n v="0"/>
    <n v="0"/>
    <s v="Number"/>
    <n v="7.99"/>
    <n v="7.99"/>
    <n v="20.98"/>
    <n v="20.98"/>
    <n v="20.98"/>
    <s v="True"/>
    <s v="Normal"/>
    <s v="Google Pay"/>
    <s v="Online Store"/>
    <s v="fulfilled"/>
    <s v="Pakistan"/>
    <m/>
    <s v="Not Required"/>
    <s v="East Deborah"/>
  </r>
  <r>
    <s v="#2574"/>
    <n v="1"/>
    <d v="2026-08-04T14:01:24"/>
    <d v="2026-08-04T14:01:24"/>
    <s v="Chad Smith"/>
    <s v="Email Available"/>
    <s v="chad.smith773@icloud.com"/>
    <x v="17"/>
    <s v="Home &amp; Kitchen"/>
    <x v="18"/>
    <n v="1"/>
    <n v="12.99"/>
    <n v="12.99"/>
    <s v="BFCM25"/>
    <s v="BFCM25"/>
    <n v="3.25"/>
    <n v="3.25"/>
    <s v="Number"/>
    <n v="5.99"/>
    <n v="5.99"/>
    <n v="15.73"/>
    <n v="15.73"/>
    <n v="15.73"/>
    <s v="True"/>
    <s v="Normal"/>
    <s v="Shopify Payments"/>
    <s v="POS"/>
    <s v="refunded"/>
    <s v="Pakistan"/>
    <m/>
    <s v="Not Required"/>
    <s v="Teresaberg"/>
  </r>
  <r>
    <s v="#2631"/>
    <n v="1"/>
    <d v="2026-08-04T00:00:00"/>
    <s v="04-08-2026 13:58"/>
    <s v="Jennifer Burke"/>
    <s v="Email Available"/>
    <s v="jennifer.burke472@icloud.com"/>
    <x v="17"/>
    <s v="Home &amp; Kitchen"/>
    <x v="18"/>
    <n v="1"/>
    <n v="12.99"/>
    <n v="12.99"/>
    <s v="WELCOME10"/>
    <s v="WELCOME10"/>
    <n v="1.3"/>
    <n v="1.3"/>
    <s v="Number"/>
    <n v="5.99"/>
    <n v="5.99"/>
    <n v="17.68"/>
    <n v="17.68"/>
    <n v="17.68"/>
    <s v="True"/>
    <s v="Normal"/>
    <s v="Google Pay"/>
    <s v="Online Store"/>
    <s v="cancelled"/>
    <s v="Pakistan"/>
    <m/>
    <s v="Not Required"/>
    <s v="Heathtown"/>
  </r>
  <r>
    <s v="#2659"/>
    <n v="1"/>
    <d v="2026-08-04T13:55:01"/>
    <d v="2026-08-04T13:55:01"/>
    <s v="Nicole Taylor"/>
    <s v="Email Available"/>
    <s v="nicole.taylor607@icloud.com"/>
    <x v="17"/>
    <s v="Home &amp; Kitchen"/>
    <x v="18"/>
    <n v="1"/>
    <n v="12.99"/>
    <n v="12.99"/>
    <s v="WELCOME10"/>
    <s v="WELCOME10"/>
    <n v="1.3"/>
    <n v="1.3"/>
    <s v="Number"/>
    <n v="5.99"/>
    <n v="5.99"/>
    <n v="17.68"/>
    <n v="17.68"/>
    <n v="17.68"/>
    <s v="True"/>
    <s v="Normal"/>
    <s v="PayPal"/>
    <s v="Online Store"/>
    <s v="fulfilled"/>
    <s v="United States"/>
    <s v="Illinois"/>
    <s v="Valid"/>
    <s v="Matthewchester"/>
  </r>
  <r>
    <s v="#2698"/>
    <n v="1"/>
    <d v="2026-08-04T13:57:15"/>
    <d v="2026-08-04T13:57:15"/>
    <s v="Marcus Sloan"/>
    <s v="Email Available"/>
    <s v="marcus.sloan49@icloud.com"/>
    <x v="17"/>
    <s v="Home &amp; Kitchen"/>
    <x v="18"/>
    <n v="2"/>
    <n v="12.99"/>
    <n v="12.99"/>
    <s v="WELCOME10"/>
    <s v="WELCOME10"/>
    <s v="$2.60"/>
    <n v="2.6"/>
    <s v="Number"/>
    <n v="5.99"/>
    <n v="5.99"/>
    <n v="29.37"/>
    <n v="29.37"/>
    <n v="29.369999999999997"/>
    <s v="True"/>
    <s v="Normal"/>
    <s v="Apple Pay"/>
    <s v="Instagram"/>
    <s v="fulfilled"/>
    <s v="United States"/>
    <s v="Illinois"/>
    <s v="Valid"/>
    <s v="New Michael"/>
  </r>
  <r>
    <s v="#2779"/>
    <n v="1"/>
    <d v="2026-08-04T14:05:39"/>
    <d v="2026-08-04T14:05:39"/>
    <s v="Anthony Krueger"/>
    <s v="Email Available"/>
    <s v="anthony.krueger812@yahoo.com"/>
    <x v="17"/>
    <s v="Home &amp; Kitchen"/>
    <x v="18"/>
    <n v="1"/>
    <n v="12.99"/>
    <n v="12.99"/>
    <s v="VIP15"/>
    <s v="VIP15"/>
    <n v="1.95"/>
    <n v="1.95"/>
    <s v="Number"/>
    <n v="5.99"/>
    <n v="5.99"/>
    <n v="17.03"/>
    <n v="17.03"/>
    <n v="17.03"/>
    <s v="True"/>
    <s v="Normal"/>
    <s v="Google Pay"/>
    <s v="Facebook"/>
    <s v="refunded"/>
    <s v="Pakistan"/>
    <m/>
    <s v="Not Required"/>
    <s v="Hughesmouth"/>
  </r>
  <r>
    <s v="#2823"/>
    <n v="1"/>
    <d v="2026-08-04T13:59:33"/>
    <d v="2026-08-04T13:59:33"/>
    <s v="Kaitlyn Hernandez"/>
    <s v="Missing Email"/>
    <m/>
    <x v="17"/>
    <s v="Home &amp; Kitchen"/>
    <x v="18"/>
    <n v="1"/>
    <n v="12.99"/>
    <n v="12.99"/>
    <s v="BFCM25"/>
    <s v="BFCM25"/>
    <n v="3.25"/>
    <n v="3.25"/>
    <s v="Number"/>
    <n v="5.99"/>
    <n v="5.99"/>
    <s v="$15.73"/>
    <n v="15.73"/>
    <n v="15.73"/>
    <s v="True"/>
    <s v="Normal"/>
    <s v="PayPal"/>
    <s v="Online Store"/>
    <s v="cancelled"/>
    <s v="Pakistan"/>
    <m/>
    <s v="Not Required"/>
    <s v="New Tony"/>
  </r>
  <r>
    <s v="#2857"/>
    <n v="1"/>
    <d v="2026-08-04T14:03:49"/>
    <d v="2026-08-04T14:03:49"/>
    <s v="Jamie Brown"/>
    <s v="Email Available"/>
    <s v="jamie.brown582@icloud.com"/>
    <x v="17"/>
    <s v="Home &amp; Kitchen"/>
    <x v="18"/>
    <n v="1"/>
    <n v="12.99"/>
    <n v="12.99"/>
    <s v="BFCM25"/>
    <s v="BFCM25"/>
    <n v="3.25"/>
    <n v="3.25"/>
    <s v="Number"/>
    <n v="5.99"/>
    <n v="5.99"/>
    <n v="15.73"/>
    <n v="15.73"/>
    <n v="15.73"/>
    <s v="True"/>
    <s v="Normal"/>
    <s v="PayPal"/>
    <s v="Online Store"/>
    <s v="pending"/>
    <s v="United States"/>
    <s v="Illinois"/>
    <s v="Valid"/>
    <s v="Angelabury"/>
  </r>
  <r>
    <s v="#2859"/>
    <n v="1"/>
    <d v="2026-08-04T13:54:13"/>
    <d v="2026-08-04T13:54:13"/>
    <s v="Sandra Potter"/>
    <s v="Email Available"/>
    <s v="sandra.potter166@yahoo.com"/>
    <x v="17"/>
    <s v="Home &amp; Kitchen"/>
    <x v="18"/>
    <n v="1"/>
    <n v="12.99"/>
    <n v="12.99"/>
    <m/>
    <s v=""/>
    <n v="0"/>
    <n v="0"/>
    <s v="Number"/>
    <n v="5.99"/>
    <n v="5.99"/>
    <n v="18.98"/>
    <n v="18.98"/>
    <n v="18.98"/>
    <s v="True"/>
    <s v="Normal"/>
    <s v="PayPal"/>
    <s v="Online Store"/>
    <s v="fulfilled"/>
    <s v="United States"/>
    <s v="Washington"/>
    <s v="Valid"/>
    <s v="Heatherside"/>
  </r>
  <r>
    <s v="#2864"/>
    <n v="1"/>
    <d v="2026-08-04T14:06:39"/>
    <d v="2026-08-04T14:06:39"/>
    <s v="Glenn Smith"/>
    <s v="Email Available"/>
    <s v="glenn.smith305@gmail.com"/>
    <x v="17"/>
    <s v="Home &amp; Kitchen"/>
    <x v="18"/>
    <n v="3"/>
    <n v="12.99"/>
    <n v="12.99"/>
    <s v="FREESHIP"/>
    <s v="FREESHIP"/>
    <n v="0"/>
    <n v="0"/>
    <s v="Number"/>
    <n v="0"/>
    <n v="0"/>
    <n v="38.97"/>
    <n v="38.97"/>
    <n v="38.97"/>
    <s v="True"/>
    <s v="Normal"/>
    <s v="Credit Card"/>
    <s v="Instagram"/>
    <s v="fulfilled"/>
    <s v="Canada"/>
    <m/>
    <s v="Not Required"/>
    <s v="North Amanda"/>
  </r>
  <r>
    <s v="#2916"/>
    <n v="1"/>
    <d v="2026-08-04T00:00:00"/>
    <s v="2026-08-04"/>
    <s v="Chad Smith"/>
    <s v="Email Available"/>
    <s v="chad.smith773@icloud.com"/>
    <x v="17"/>
    <s v="Home &amp; Kitchen"/>
    <x v="18"/>
    <n v="1"/>
    <n v="12.99"/>
    <n v="12.99"/>
    <s v="SAVE20"/>
    <s v="SAVE20"/>
    <n v="2.6"/>
    <n v="2.6"/>
    <s v="Number"/>
    <n v="4.99"/>
    <n v="4.99"/>
    <n v="15.38"/>
    <n v="15.38"/>
    <n v="15.38"/>
    <s v="True"/>
    <s v="Normal"/>
    <s v="Credit Card"/>
    <s v="Online Store"/>
    <s v="pending"/>
    <s v="Pakistan"/>
    <m/>
    <s v="Not Required"/>
    <s v="Faithhaven"/>
  </r>
  <r>
    <s v="#2925"/>
    <n v="1"/>
    <d v="2026-08-04T14:00:11"/>
    <d v="2026-08-04T14:00:11"/>
    <s v="Eric Golden"/>
    <s v="Email Available"/>
    <s v="eric.golden379@outlook.com"/>
    <x v="17"/>
    <s v="Home &amp; Kitchen"/>
    <x v="18"/>
    <n v="2"/>
    <n v="12.99"/>
    <n v="12.99"/>
    <s v="VIP15"/>
    <s v="VIP15"/>
    <n v="3.9"/>
    <n v="3.9"/>
    <s v="Number"/>
    <n v="7.99"/>
    <n v="7.99"/>
    <n v="30.07"/>
    <n v="30.07"/>
    <n v="30.07"/>
    <s v="True"/>
    <s v="Normal"/>
    <s v="Credit Card"/>
    <s v="Online Store"/>
    <s v="pending"/>
    <s v="United States"/>
    <s v="New York"/>
    <s v="Valid"/>
    <s v="Montoyaside"/>
  </r>
  <r>
    <s v="#1032"/>
    <n v="1"/>
    <d v="2026-08-04T14:08:18"/>
    <d v="2026-08-04T14:08:18"/>
    <s v="Joe Taylor"/>
    <s v="Email Available"/>
    <s v="joe.taylor714@yahoo.com"/>
    <x v="18"/>
    <s v="Home &amp; Kitchen"/>
    <x v="19"/>
    <n v="2"/>
    <n v="17.989999999999998"/>
    <n v="17.989999999999998"/>
    <m/>
    <s v=""/>
    <n v="0"/>
    <n v="0"/>
    <s v="Number"/>
    <n v="4.99"/>
    <n v="4.99"/>
    <n v="40.97"/>
    <n v="40.97"/>
    <n v="40.97"/>
    <s v="True"/>
    <s v="Normal"/>
    <s v="PayPal"/>
    <s v="Instagram"/>
    <s v="fulfilled"/>
    <s v="Germany"/>
    <m/>
    <s v="Not Required"/>
    <s v="New Marciatown"/>
  </r>
  <r>
    <s v="#1068"/>
    <n v="1"/>
    <d v="2026-08-04T14:04:01"/>
    <d v="2026-08-04T14:04:01"/>
    <s v="Mary Garcia"/>
    <s v="Email Available"/>
    <s v="mary.garcia899@icloud.com"/>
    <x v="18"/>
    <s v="Home &amp; Kitchen"/>
    <x v="19"/>
    <n v="1"/>
    <n v="17.989999999999998"/>
    <n v="17.989999999999998"/>
    <s v="WELCOME10"/>
    <s v="WELCOME10"/>
    <n v="1.8"/>
    <n v="1.8"/>
    <s v="Number"/>
    <n v="7.99"/>
    <n v="7.99"/>
    <n v="24.18"/>
    <n v="24.18"/>
    <n v="24.18"/>
    <s v="True"/>
    <s v="Normal"/>
    <s v="Credit Card"/>
    <s v="Online Store"/>
    <s v="pending"/>
    <s v="Canada"/>
    <m/>
    <s v="Not Required"/>
    <s v="Lake Rebecca"/>
  </r>
  <r>
    <s v="#1106"/>
    <n v="1"/>
    <d v="2026-08-04T14:04:31"/>
    <d v="2026-08-04T14:04:31"/>
    <s v="Thomas Smith"/>
    <s v="Email Available"/>
    <s v="thomas.smith633@gmail.com"/>
    <x v="18"/>
    <s v="Home &amp; Kitchen"/>
    <x v="19"/>
    <n v="1"/>
    <n v="17.989999999999998"/>
    <n v="17.989999999999998"/>
    <s v="FREESHIP"/>
    <s v="FREESHIP"/>
    <n v="0"/>
    <n v="0"/>
    <s v="Number"/>
    <n v="0"/>
    <n v="0"/>
    <n v="17.989999999999998"/>
    <n v="17.989999999999998"/>
    <n v="17.989999999999998"/>
    <s v="True"/>
    <s v="Normal"/>
    <s v="Credit Card"/>
    <s v="Instagram"/>
    <s v="cancelled"/>
    <s v="Germany"/>
    <m/>
    <s v="Not Required"/>
    <s v="East Seth"/>
  </r>
  <r>
    <s v="#1138"/>
    <n v="1"/>
    <d v="2026-04-08T00:00:00"/>
    <s v="08/04/2026"/>
    <s v="Samuel Padilla"/>
    <s v="Email Available"/>
    <s v="samuel.padilla79@gmail.com"/>
    <x v="18"/>
    <s v="Home &amp; Kitchen"/>
    <x v="19"/>
    <n v="1"/>
    <n v="17.989999999999998"/>
    <n v="17.989999999999998"/>
    <m/>
    <s v=""/>
    <n v="0"/>
    <n v="0"/>
    <s v="Number"/>
    <n v="4.99"/>
    <n v="4.99"/>
    <n v="22.98"/>
    <n v="22.98"/>
    <n v="22.979999999999997"/>
    <s v="True"/>
    <s v="Normal"/>
    <s v="Google Pay"/>
    <s v="Facebook"/>
    <s v="fulfilled"/>
    <s v="United States"/>
    <s v="Georgia"/>
    <s v="Valid"/>
    <s v="Port Lisamouth"/>
  </r>
  <r>
    <s v="#1152"/>
    <n v="1"/>
    <d v="2026-08-04T14:06:08"/>
    <d v="2026-08-04T14:06:08"/>
    <s v="Trevor Carter"/>
    <s v="Email Available"/>
    <s v="trevor.carter617@icloud.com"/>
    <x v="18"/>
    <s v="Home &amp; Kitchen"/>
    <x v="19"/>
    <n v="1"/>
    <s v="$17.99"/>
    <n v="17.989999999999998"/>
    <s v="WELCOME10"/>
    <s v="WELCOME10"/>
    <n v="1.8"/>
    <n v="1.8"/>
    <s v="Number"/>
    <n v="4.99"/>
    <n v="4.99"/>
    <n v="21.18"/>
    <n v="21.18"/>
    <n v="21.18"/>
    <s v="True"/>
    <s v="Normal"/>
    <s v="Credit Card"/>
    <s v="Facebook"/>
    <s v="refunded"/>
    <s v="United States"/>
    <s v="North Carolina"/>
    <s v="Valid"/>
    <s v="South Richardville"/>
  </r>
  <r>
    <s v="#1154"/>
    <n v="1"/>
    <d v="2026-08-04T13:55:21"/>
    <d v="2026-08-04T13:55:21"/>
    <s v="Megan Dickson"/>
    <s v="Email Available"/>
    <s v="megan.dickson508@gmail.com"/>
    <x v="18"/>
    <s v="Home &amp; Kitchen"/>
    <x v="19"/>
    <n v="1"/>
    <n v="17.989999999999998"/>
    <n v="17.989999999999998"/>
    <s v="SAVE20"/>
    <s v="SAVE20"/>
    <s v="$3.60"/>
    <n v="3.6"/>
    <s v="Number"/>
    <n v="5.99"/>
    <n v="5.99"/>
    <n v="20.38"/>
    <n v="20.38"/>
    <n v="20.38"/>
    <s v="True"/>
    <s v="Normal"/>
    <s v="Google Pay"/>
    <s v="Instagram"/>
    <s v="pending"/>
    <s v="United Kingdom"/>
    <m/>
    <s v="Not Required"/>
    <s v="West Joseph"/>
  </r>
  <r>
    <s v="#1178"/>
    <n v="1"/>
    <d v="2026-08-04T13:57:58"/>
    <d v="2026-08-04T13:57:58"/>
    <s v="Lisa Zuniga"/>
    <s v="Email Available"/>
    <s v="lisa.zuniga825@outlook.com"/>
    <x v="18"/>
    <s v="Home &amp; Kitchen"/>
    <x v="19"/>
    <n v="2"/>
    <n v="17.989999999999998"/>
    <n v="17.989999999999998"/>
    <s v="FREESHIP"/>
    <s v="FREESHIP"/>
    <n v="0"/>
    <n v="0"/>
    <s v="Number"/>
    <n v="0"/>
    <n v="0"/>
    <s v="$35.98"/>
    <n v="35.979999999999997"/>
    <n v="35.979999999999997"/>
    <s v="True"/>
    <s v="Normal"/>
    <s v="Apple Pay"/>
    <s v="Instagram"/>
    <s v="fulfilled"/>
    <s v="Germany"/>
    <m/>
    <s v="Not Required"/>
    <s v="Griffithville"/>
  </r>
  <r>
    <s v="#1185"/>
    <n v="1"/>
    <d v="2026-04-08T00:00:00"/>
    <s v="08/04/2026"/>
    <s v="Philip Stevens"/>
    <s v="Email Available"/>
    <s v="philip.stevens908@outlook.com"/>
    <x v="18"/>
    <s v="Home &amp; Kitchen"/>
    <x v="19"/>
    <n v="1"/>
    <n v="17.989999999999998"/>
    <n v="17.989999999999998"/>
    <m/>
    <s v=""/>
    <n v="0"/>
    <n v="0"/>
    <s v="Number"/>
    <n v="7.99"/>
    <n v="7.99"/>
    <n v="25.98"/>
    <n v="25.98"/>
    <n v="25.979999999999997"/>
    <s v="True"/>
    <s v="Normal"/>
    <s v="Google Pay"/>
    <s v="Online Store"/>
    <s v="fulfilled"/>
    <s v="United States"/>
    <s v="Georgia"/>
    <s v="Valid"/>
    <s v="North Garyfurt"/>
  </r>
  <r>
    <s v="#1215"/>
    <n v="1"/>
    <d v="2026-08-04T14:02:52"/>
    <d v="2026-08-04T14:02:52"/>
    <s v="Tracy Dominguez"/>
    <s v="Email Available"/>
    <s v="tracy.dominguez23@gmail.com"/>
    <x v="18"/>
    <s v="Home &amp; Kitchen"/>
    <x v="19"/>
    <n v="1"/>
    <n v="17.989999999999998"/>
    <n v="17.989999999999998"/>
    <s v="WELCOME10"/>
    <s v="WELCOME10"/>
    <n v="1.8"/>
    <n v="1.8"/>
    <s v="Number"/>
    <n v="7.99"/>
    <n v="7.99"/>
    <n v="24.18"/>
    <n v="24.18"/>
    <n v="24.18"/>
    <s v="True"/>
    <s v="Normal"/>
    <s v="PayPal"/>
    <s v="POS"/>
    <s v="refunded"/>
    <s v="United States"/>
    <s v="Arizona"/>
    <s v="Valid"/>
    <s v="Lake Anitaview"/>
  </r>
  <r>
    <s v="#1233"/>
    <n v="1"/>
    <d v="2026-04-08T00:00:00"/>
    <s v="08/04/2026"/>
    <s v="KEVIN STOUT"/>
    <s v="Email Available"/>
    <s v="kevin.stout35@icloud.com"/>
    <x v="18"/>
    <s v="Home &amp; Kitchen"/>
    <x v="19"/>
    <n v="2"/>
    <n v="17.989999999999998"/>
    <n v="17.989999999999998"/>
    <m/>
    <s v=""/>
    <n v="0"/>
    <n v="0"/>
    <s v="Number"/>
    <n v="7.99"/>
    <n v="7.99"/>
    <n v="43.97"/>
    <n v="43.97"/>
    <n v="43.97"/>
    <s v="True"/>
    <s v="Normal"/>
    <s v="PayPal"/>
    <s v="POS"/>
    <s v="fulfilled"/>
    <s v="United States"/>
    <s v="IL"/>
    <s v="Valid"/>
    <s v="New Paul"/>
  </r>
  <r>
    <s v="#1278"/>
    <n v="1"/>
    <d v="2026-08-04T13:59:03"/>
    <d v="2026-08-04T13:59:03"/>
    <s v="Douglas Walker"/>
    <s v="Email Available"/>
    <s v="douglas.walker28@outlook.com"/>
    <x v="18"/>
    <s v="Home &amp; Kitchen"/>
    <x v="19"/>
    <n v="2"/>
    <n v="17.989999999999998"/>
    <n v="17.989999999999998"/>
    <m/>
    <s v=""/>
    <s v="$0.00"/>
    <n v="0"/>
    <s v="Number"/>
    <n v="4.99"/>
    <n v="4.99"/>
    <n v="40.97"/>
    <n v="40.97"/>
    <n v="40.97"/>
    <s v="True"/>
    <s v="Normal"/>
    <s v="Apple Pay"/>
    <s v="Online Store"/>
    <s v="fulfilled"/>
    <s v="United Kingdom"/>
    <m/>
    <s v="Not Required"/>
    <s v="South Robert"/>
  </r>
  <r>
    <s v="#1306"/>
    <n v="1"/>
    <d v="2026-08-04T14:05:21"/>
    <d v="2026-08-04T14:05:21"/>
    <s v="Timothy Maldonado"/>
    <s v="Email Available"/>
    <s v="timothy.maldonado551@gmail.com"/>
    <x v="18"/>
    <s v="Home &amp; Kitchen"/>
    <x v="19"/>
    <n v="2"/>
    <n v="17.989999999999998"/>
    <n v="17.989999999999998"/>
    <s v="VIP15"/>
    <s v="VIP15"/>
    <n v="5.4"/>
    <n v="5.4"/>
    <s v="Number"/>
    <n v="7.99"/>
    <n v="7.99"/>
    <n v="38.57"/>
    <n v="38.57"/>
    <n v="38.57"/>
    <s v="True"/>
    <s v="Normal"/>
    <s v="Google Pay"/>
    <s v="Online Store"/>
    <s v="fulfilled"/>
    <s v="United States"/>
    <s v="North Carolina"/>
    <s v="Valid"/>
    <s v="South Christinabury"/>
  </r>
  <r>
    <s v="#1341"/>
    <n v="1"/>
    <d v="2026-08-04T14:05:29"/>
    <d v="2026-08-04T14:05:29"/>
    <s v="Elizabeth Carter"/>
    <s v="Email Available"/>
    <s v="elizabeth.carter304@icloud.com"/>
    <x v="18"/>
    <s v="Home &amp; Kitchen"/>
    <x v="19"/>
    <n v="3"/>
    <n v="17.989999999999998"/>
    <n v="17.989999999999998"/>
    <m/>
    <s v=""/>
    <n v="0"/>
    <n v="0"/>
    <s v="Number"/>
    <n v="4.99"/>
    <n v="4.99"/>
    <s v="$58.96"/>
    <n v="58.96"/>
    <n v="58.96"/>
    <s v="True"/>
    <s v="Normal"/>
    <s v="Apple Pay"/>
    <s v="Instagram"/>
    <s v="pending"/>
    <s v="Canada"/>
    <m/>
    <s v="Not Required"/>
    <s v="Maryborough"/>
  </r>
  <r>
    <s v="#1377"/>
    <n v="1"/>
    <d v="2026-08-04T13:59:25"/>
    <d v="2026-08-04T13:59:25"/>
    <s v="Sarah Singh"/>
    <s v="Email Available"/>
    <s v="sarah.singh298@gmail.com"/>
    <x v="18"/>
    <s v="Home &amp; Kitchen"/>
    <x v="19"/>
    <n v="1"/>
    <n v="17.989999999999998"/>
    <n v="17.989999999999998"/>
    <s v="SAVE20"/>
    <s v="SAVE20"/>
    <n v="3.6"/>
    <n v="3.6"/>
    <s v="Number"/>
    <n v="5.99"/>
    <n v="5.99"/>
    <n v="20.38"/>
    <n v="20.38"/>
    <n v="20.38"/>
    <s v="True"/>
    <s v="Normal"/>
    <s v="Shopify Payments"/>
    <s v="POS"/>
    <s v="pending"/>
    <s v="Canada"/>
    <m/>
    <s v="Not Required"/>
    <s v="New Jamesshire"/>
  </r>
  <r>
    <s v="#1492"/>
    <n v="1"/>
    <d v="2026-08-04T14:02:03"/>
    <d v="2026-08-04T14:02:03"/>
    <s v="Taylor Lee"/>
    <s v="Email Available"/>
    <s v="taylor.lee613@gmail.com"/>
    <x v="18"/>
    <s v="Home &amp; Kitchen"/>
    <x v="19"/>
    <n v="1"/>
    <n v="17.989999999999998"/>
    <n v="17.989999999999998"/>
    <m/>
    <s v=""/>
    <n v="0"/>
    <n v="0"/>
    <s v="Number"/>
    <n v="7.99"/>
    <n v="7.99"/>
    <n v="25.98"/>
    <n v="25.98"/>
    <n v="25.979999999999997"/>
    <s v="True"/>
    <s v="Normal"/>
    <s v="Google Pay"/>
    <s v="Online Store"/>
    <s v="cancelled"/>
    <s v="United Kingdom"/>
    <m/>
    <s v="Not Required"/>
    <s v="Dawnville"/>
  </r>
  <r>
    <s v="#1513"/>
    <n v="1"/>
    <d v="2026-04-08T00:00:00"/>
    <s v="08/04/2026"/>
    <s v="Ian Morris"/>
    <s v="Email Available"/>
    <s v="ian.morris90@outlook.com"/>
    <x v="18"/>
    <s v="Home &amp; Kitchen"/>
    <x v="19"/>
    <n v="3"/>
    <n v="17.989999999999998"/>
    <n v="17.989999999999998"/>
    <m/>
    <s v=""/>
    <n v="0"/>
    <n v="0"/>
    <s v="Number"/>
    <n v="4.99"/>
    <n v="4.99"/>
    <n v="58.96"/>
    <n v="58.96"/>
    <n v="58.96"/>
    <s v="True"/>
    <s v="Normal"/>
    <s v="Credit Card"/>
    <s v="Facebook"/>
    <s v="fulfilled"/>
    <s v="Pakistan"/>
    <m/>
    <s v="Not Required"/>
    <s v="West Nancybury"/>
  </r>
  <r>
    <s v="#1524"/>
    <n v="1"/>
    <d v="2026-08-04T13:56:41"/>
    <d v="2026-08-04T13:56:41"/>
    <s v="Megan Herman"/>
    <s v="Email Available"/>
    <s v="megan.herman268@yahoo.com"/>
    <x v="18"/>
    <s v="Home &amp; Kitchen"/>
    <x v="19"/>
    <n v="1"/>
    <n v="17.989999999999998"/>
    <n v="17.989999999999998"/>
    <m/>
    <s v=""/>
    <n v="0"/>
    <n v="0"/>
    <s v="Number"/>
    <n v="7.99"/>
    <n v="7.99"/>
    <n v="25.98"/>
    <n v="25.98"/>
    <n v="25.979999999999997"/>
    <s v="True"/>
    <s v="Normal"/>
    <s v="PayPal"/>
    <s v="Facebook"/>
    <s v="fulfilled"/>
    <s v="United States"/>
    <s v="Arizona"/>
    <s v="Valid"/>
    <s v="Port Sheri"/>
  </r>
  <r>
    <s v="#1544"/>
    <n v="1"/>
    <d v="2026-08-04T14:05:22"/>
    <d v="2026-08-04T14:05:22"/>
    <s v="Nancy Williams"/>
    <s v="Email Available"/>
    <s v="nancy.williams148@outlook.com"/>
    <x v="18"/>
    <s v="Home &amp; Kitchen"/>
    <x v="19"/>
    <n v="1"/>
    <n v="17.989999999999998"/>
    <n v="17.989999999999998"/>
    <m/>
    <s v=""/>
    <n v="0"/>
    <n v="0"/>
    <s v="Number"/>
    <n v="4.99"/>
    <n v="4.99"/>
    <n v="22.98"/>
    <n v="22.98"/>
    <n v="22.979999999999997"/>
    <s v="True"/>
    <s v="Normal"/>
    <s v="PayPal"/>
    <s v="POS"/>
    <s v="pending"/>
    <s v="United States"/>
    <s v="Georgia"/>
    <s v="Valid"/>
    <s v="North Austin"/>
  </r>
  <r>
    <s v="#1554"/>
    <n v="1"/>
    <d v="2026-08-04T14:05:20"/>
    <d v="2026-08-04T14:05:20"/>
    <s v="Kiara Burke"/>
    <s v="Email Available"/>
    <s v="kiara.burke246@yahoo.com"/>
    <x v="18"/>
    <s v="Home &amp; Kitchen"/>
    <x v="19"/>
    <n v="2"/>
    <n v="17.989999999999998"/>
    <n v="17.989999999999998"/>
    <s v="SAVE20"/>
    <s v="SAVE20"/>
    <n v="7.2"/>
    <n v="7.2"/>
    <s v="Number"/>
    <n v="5.99"/>
    <n v="5.99"/>
    <n v="34.770000000000003"/>
    <n v="34.770000000000003"/>
    <n v="34.769999999999996"/>
    <s v="True"/>
    <s v="Normal"/>
    <s v="Shopify Payments"/>
    <s v="Instagram"/>
    <s v="fulfilled"/>
    <s v="Germany"/>
    <m/>
    <s v="Not Required"/>
    <s v="Port James"/>
  </r>
  <r>
    <s v="#1603"/>
    <n v="1"/>
    <d v="2026-08-04T14:01:47"/>
    <d v="2026-08-04T14:01:47"/>
    <s v="Timothy Hodges"/>
    <s v="Email Available"/>
    <s v="timothy.hodges687@icloud.com"/>
    <x v="18"/>
    <s v="Home &amp; Kitchen"/>
    <x v="19"/>
    <n v="2"/>
    <n v="17.989999999999998"/>
    <n v="17.989999999999998"/>
    <m/>
    <s v=""/>
    <n v="0"/>
    <n v="0"/>
    <s v="Number"/>
    <n v="7.99"/>
    <n v="7.99"/>
    <n v="43.97"/>
    <n v="43.97"/>
    <n v="43.97"/>
    <s v="True"/>
    <s v="Normal"/>
    <s v="PayPal"/>
    <s v="Facebook"/>
    <s v="fulfilled"/>
    <s v="Australia"/>
    <m/>
    <s v="Not Required"/>
    <s v="Taylortown"/>
  </r>
  <r>
    <s v="#1629"/>
    <n v="1"/>
    <d v="2026-04-08T00:00:00"/>
    <s v="08/04/2026"/>
    <s v="Rose Campos"/>
    <s v="Email Available"/>
    <s v="rose.campos542@gmail.com"/>
    <x v="18"/>
    <s v="Home &amp; Kitchen"/>
    <x v="19"/>
    <n v="2"/>
    <n v="17.989999999999998"/>
    <n v="17.989999999999998"/>
    <m/>
    <s v=""/>
    <n v="0"/>
    <n v="0"/>
    <s v="Number"/>
    <n v="5.99"/>
    <n v="5.99"/>
    <n v="41.97"/>
    <n v="41.97"/>
    <n v="41.97"/>
    <s v="True"/>
    <s v="Normal"/>
    <s v="Credit Card"/>
    <s v="Online Store"/>
    <s v="fulfilled"/>
    <s v="Canada"/>
    <m/>
    <s v="Not Required"/>
    <s v="Ryanton"/>
  </r>
  <r>
    <s v="#1649"/>
    <n v="1"/>
    <d v="2026-08-04T14:02:07"/>
    <d v="2026-08-04T14:02:07"/>
    <s v="Nicole Taylor"/>
    <s v="Email Available"/>
    <s v="nicole.taylor607@icloud.com"/>
    <x v="18"/>
    <s v="Home &amp; Kitchen"/>
    <x v="19"/>
    <n v="1"/>
    <n v="17.989999999999998"/>
    <n v="17.989999999999998"/>
    <m/>
    <s v=""/>
    <n v="0"/>
    <n v="0"/>
    <s v="Number"/>
    <n v="7.99"/>
    <n v="7.99"/>
    <n v="25.98"/>
    <n v="25.98"/>
    <n v="25.979999999999997"/>
    <s v="True"/>
    <s v="Normal"/>
    <s v="Apple Pay"/>
    <s v="Online Store"/>
    <s v="fulfilled"/>
    <s v="United States"/>
    <s v="Arizona"/>
    <s v="Valid"/>
    <s v="West Michael"/>
  </r>
  <r>
    <s v="#1658"/>
    <n v="1"/>
    <d v="2026-08-04T13:57:03"/>
    <d v="2026-08-04T13:57:03"/>
    <s v="Amanda Robinson"/>
    <s v="Email Available"/>
    <s v="amanda.robinson263@icloud.com"/>
    <x v="18"/>
    <s v="Home &amp; Kitchen"/>
    <x v="19"/>
    <n v="1"/>
    <n v="17.989999999999998"/>
    <n v="17.989999999999998"/>
    <m/>
    <s v=""/>
    <n v="0"/>
    <n v="0"/>
    <s v="Number"/>
    <n v="4.99"/>
    <n v="4.99"/>
    <n v="22.98"/>
    <n v="22.98"/>
    <n v="22.979999999999997"/>
    <s v="True"/>
    <s v="Normal"/>
    <s v="PayPal"/>
    <s v="Online Store"/>
    <s v="refunded"/>
    <s v="United States"/>
    <s v="NY"/>
    <s v="Valid"/>
    <s v="Courtneyview"/>
  </r>
  <r>
    <s v="#1683"/>
    <n v="1"/>
    <d v="2026-08-04T00:00:00"/>
    <s v="04-08-2026 14:05"/>
    <s v="Sean Frank"/>
    <s v="Email Available"/>
    <s v="sean.frank587@icloud.com"/>
    <x v="18"/>
    <s v="Home &amp; Kitchen"/>
    <x v="19"/>
    <n v="1"/>
    <n v="17.989999999999998"/>
    <n v="17.989999999999998"/>
    <s v="VIP15"/>
    <s v="VIP15"/>
    <n v="2.7"/>
    <n v="2.7"/>
    <s v="Number"/>
    <n v="7.99"/>
    <n v="7.99"/>
    <n v="23.28"/>
    <n v="23.28"/>
    <n v="23.28"/>
    <s v="True"/>
    <s v="Normal"/>
    <s v="PayPal"/>
    <s v="Online Store"/>
    <s v="fulfilled"/>
    <s v="Australia"/>
    <m/>
    <s v="Not Required"/>
    <s v="East Steventon"/>
  </r>
  <r>
    <s v="#1688"/>
    <n v="1"/>
    <d v="2026-08-04T14:00:31"/>
    <d v="2026-08-04T14:00:31"/>
    <s v="Dustin Mccoy"/>
    <s v="Email Available"/>
    <s v="dustin.mccoy570@gmail.com"/>
    <x v="18"/>
    <s v="Home &amp; Kitchen"/>
    <x v="19"/>
    <n v="1"/>
    <n v="17.989999999999998"/>
    <n v="17.989999999999998"/>
    <s v="BFCM25"/>
    <s v="BFCM25"/>
    <n v="4.5"/>
    <n v="4.5"/>
    <s v="Number"/>
    <n v="4.99"/>
    <n v="4.99"/>
    <n v="18.48"/>
    <n v="18.48"/>
    <n v="18.479999999999997"/>
    <s v="True"/>
    <s v="Normal"/>
    <s v="Google Pay"/>
    <s v="Online Store"/>
    <s v="fulfilled"/>
    <s v="Canada"/>
    <m/>
    <s v="Not Required"/>
    <s v="New Ashley"/>
  </r>
  <r>
    <s v="#1689"/>
    <n v="1"/>
    <d v="2026-08-04T14:05:33"/>
    <d v="2026-08-04T14:05:33"/>
    <s v="Dominique Huerta"/>
    <s v="Email Available"/>
    <s v="dominique.huerta708@outlook.com"/>
    <x v="18"/>
    <s v="Home &amp; Kitchen"/>
    <x v="19"/>
    <n v="1"/>
    <n v="17.989999999999998"/>
    <n v="17.989999999999998"/>
    <s v="BFCM25"/>
    <s v="BFCM25"/>
    <n v="4.5"/>
    <n v="4.5"/>
    <s v="Number"/>
    <n v="7.99"/>
    <n v="7.99"/>
    <n v="21.48"/>
    <n v="21.48"/>
    <n v="21.479999999999997"/>
    <s v="True"/>
    <s v="Normal"/>
    <s v="Apple Pay"/>
    <s v="Facebook"/>
    <s v="cancelled"/>
    <s v="United Kingdom"/>
    <m/>
    <s v="Not Required"/>
    <s v="Haynesfurt"/>
  </r>
  <r>
    <s v="#1706"/>
    <n v="1"/>
    <d v="2026-04-08T00:00:00"/>
    <s v="08/04/2026"/>
    <s v="Anthony Krueger"/>
    <s v="Email Available"/>
    <s v="anthony.krueger812@yahoo.com"/>
    <x v="18"/>
    <s v="Home &amp; Kitchen"/>
    <x v="19"/>
    <n v="1"/>
    <n v="17.989999999999998"/>
    <n v="17.989999999999998"/>
    <m/>
    <s v=""/>
    <n v="0"/>
    <n v="0"/>
    <s v="Number"/>
    <n v="5.99"/>
    <n v="5.99"/>
    <n v="23.98"/>
    <n v="23.98"/>
    <n v="23.979999999999997"/>
    <s v="True"/>
    <s v="Normal"/>
    <s v="Google Pay"/>
    <s v="Instagram"/>
    <s v="refunded"/>
    <s v="Pakistan"/>
    <m/>
    <s v="Not Required"/>
    <s v="North Daniel"/>
  </r>
  <r>
    <s v="#1709"/>
    <n v="1"/>
    <d v="2026-08-04T13:54:46"/>
    <d v="2026-08-04T13:54:46"/>
    <s v="Kristina Cook"/>
    <s v="Email Available"/>
    <s v="kristina.cook392@outlook.com"/>
    <x v="18"/>
    <s v="Home &amp; Kitchen"/>
    <x v="19"/>
    <n v="2"/>
    <s v="$17.99"/>
    <n v="17.989999999999998"/>
    <s v="SAVE20"/>
    <s v="SAVE20"/>
    <n v="7.2"/>
    <n v="7.2"/>
    <s v="Number"/>
    <n v="4.99"/>
    <n v="4.99"/>
    <n v="33.770000000000003"/>
    <n v="33.770000000000003"/>
    <n v="33.769999999999996"/>
    <s v="True"/>
    <s v="Normal"/>
    <s v="PayPal"/>
    <s v="Online Store"/>
    <s v="refunded"/>
    <s v="United States"/>
    <s v="Florida"/>
    <s v="Valid"/>
    <s v="Port Charles"/>
  </r>
  <r>
    <s v="#1711"/>
    <n v="1"/>
    <d v="2026-08-04T14:02:07"/>
    <d v="2026-08-04T14:02:07"/>
    <s v="Joshua Chavez"/>
    <s v="Email Available"/>
    <s v="joshua.chavez332@outlook.com"/>
    <x v="18"/>
    <s v="Home &amp; Kitchen"/>
    <x v="19"/>
    <n v="1"/>
    <n v="17.989999999999998"/>
    <n v="17.989999999999998"/>
    <m/>
    <s v=""/>
    <n v="0"/>
    <n v="0"/>
    <s v="Number"/>
    <n v="4.99"/>
    <n v="4.99"/>
    <n v="22.98"/>
    <n v="22.98"/>
    <n v="22.979999999999997"/>
    <s v="True"/>
    <s v="Normal"/>
    <s v="Google Pay"/>
    <s v="Online Store"/>
    <s v="cancelled"/>
    <s v="United States"/>
    <s v="Georgia"/>
    <s v="Valid"/>
    <s v="East Sarahfort"/>
  </r>
  <r>
    <s v="#1743"/>
    <n v="1"/>
    <d v="2026-08-04T00:00:00"/>
    <s v="04-08-2026 14:00"/>
    <s v="Joshua Miller"/>
    <s v="Email Available"/>
    <s v="joshua.miller362@gmail.com"/>
    <x v="18"/>
    <s v="Home &amp; Kitchen"/>
    <x v="19"/>
    <n v="1"/>
    <n v="17.989999999999998"/>
    <n v="17.989999999999998"/>
    <s v="VIP15"/>
    <s v="VIP15"/>
    <n v="2.7"/>
    <n v="2.7"/>
    <s v="Number"/>
    <n v="5.99"/>
    <n v="5.99"/>
    <n v="21.28"/>
    <n v="21.28"/>
    <n v="21.28"/>
    <s v="True"/>
    <s v="Normal"/>
    <s v="Apple Pay"/>
    <s v="Online Store"/>
    <s v="pending"/>
    <s v="Canada"/>
    <m/>
    <s v="Not Required"/>
    <s v="Alexandrachester"/>
  </r>
  <r>
    <s v="#1755"/>
    <n v="1"/>
    <d v="2026-04-08T00:00:00"/>
    <s v="08/04/2026"/>
    <s v="Melinda Williams"/>
    <s v="Email Available"/>
    <s v="melinda.williams310@icloud.com"/>
    <x v="18"/>
    <s v="Home &amp; Kitchen"/>
    <x v="19"/>
    <n v="1"/>
    <n v="17.989999999999998"/>
    <n v="17.989999999999998"/>
    <s v="SAVE20"/>
    <s v="SAVE20"/>
    <s v="$3.60"/>
    <n v="3.6"/>
    <s v="Number"/>
    <n v="7.99"/>
    <n v="7.99"/>
    <n v="22.38"/>
    <n v="22.38"/>
    <n v="22.38"/>
    <s v="True"/>
    <s v="Normal"/>
    <s v="PayPal"/>
    <s v="Instagram"/>
    <s v="fulfilled"/>
    <s v="United States"/>
    <s v="New York"/>
    <s v="Valid"/>
    <s v="South Brianmouth"/>
  </r>
  <r>
    <s v="#1756"/>
    <n v="1"/>
    <d v="2026-08-04T14:02:02"/>
    <d v="2026-08-04T14:02:02"/>
    <s v="Kristina Thompson"/>
    <s v="Email Available"/>
    <s v="kristina.thompson501@icloud.com"/>
    <x v="18"/>
    <s v="Home &amp; Kitchen"/>
    <x v="19"/>
    <n v="2"/>
    <n v="17.989999999999998"/>
    <n v="17.989999999999998"/>
    <s v="FREESHIP"/>
    <s v="FREESHIP"/>
    <n v="0"/>
    <n v="0"/>
    <s v="Number"/>
    <n v="0"/>
    <n v="0"/>
    <n v="35.979999999999997"/>
    <n v="35.979999999999997"/>
    <n v="35.979999999999997"/>
    <s v="True"/>
    <s v="Normal"/>
    <s v="Google Pay"/>
    <s v="Online Store"/>
    <s v="fulfilled"/>
    <s v="United States"/>
    <s v="Canada"/>
    <s v="Valid"/>
    <s v="Heatherfort"/>
  </r>
  <r>
    <s v="#1809"/>
    <n v="1"/>
    <d v="2026-04-08T00:00:00"/>
    <s v="08/04/2026"/>
    <s v="Denise Phillips"/>
    <s v="Email Available"/>
    <s v="denise.phillips810@gmail.com"/>
    <x v="18"/>
    <s v="Home &amp; Kitchen"/>
    <x v="19"/>
    <n v="1"/>
    <s v="$17.99"/>
    <n v="17.989999999999998"/>
    <m/>
    <s v=""/>
    <n v="0"/>
    <n v="0"/>
    <s v="Number"/>
    <n v="5.99"/>
    <n v="5.99"/>
    <n v="23.98"/>
    <n v="23.98"/>
    <n v="23.979999999999997"/>
    <s v="True"/>
    <s v="Normal"/>
    <s v="PayPal"/>
    <s v="Online Store"/>
    <s v="fulfilled"/>
    <s v="United States"/>
    <s v="Florida"/>
    <s v="Valid"/>
    <s v="Charleschester"/>
  </r>
  <r>
    <s v="#1826"/>
    <n v="1"/>
    <d v="2026-08-04T14:00:17"/>
    <d v="2026-08-04T14:00:17"/>
    <s v="Joshua Owens"/>
    <s v="Email Available"/>
    <s v="joshua.owens56@icloud.com"/>
    <x v="18"/>
    <s v="Home &amp; Kitchen"/>
    <x v="19"/>
    <n v="1"/>
    <n v="17.989999999999998"/>
    <n v="17.989999999999998"/>
    <m/>
    <s v=""/>
    <n v="0"/>
    <n v="0"/>
    <s v="Number"/>
    <n v="4.99"/>
    <n v="4.99"/>
    <n v="22.98"/>
    <n v="22.98"/>
    <n v="22.979999999999997"/>
    <s v="True"/>
    <s v="Normal"/>
    <s v="PayPal"/>
    <s v="POS"/>
    <s v="fulfilled"/>
    <s v="United States"/>
    <s v="Ohio"/>
    <s v="Valid"/>
    <s v="North Aprilburgh"/>
  </r>
  <r>
    <s v="#1838"/>
    <n v="1"/>
    <d v="2026-08-04T13:57:06"/>
    <d v="2026-08-04T13:57:06"/>
    <s v="Nicholas Jarvis"/>
    <s v="Email Available"/>
    <s v="nicholas.jarvis112@icloud.com"/>
    <x v="18"/>
    <s v="Home &amp; Kitchen"/>
    <x v="19"/>
    <n v="2"/>
    <n v="17.989999999999998"/>
    <n v="17.989999999999998"/>
    <s v="BFCM25"/>
    <s v="BFCM25"/>
    <n v="8.99"/>
    <n v="8.99"/>
    <s v="Number"/>
    <n v="4.99"/>
    <n v="4.99"/>
    <s v="$31.98"/>
    <n v="31.98"/>
    <n v="31.979999999999997"/>
    <s v="True"/>
    <s v="Normal"/>
    <s v="Apple Pay"/>
    <s v="Facebook"/>
    <s v="fulfilled"/>
    <s v="Canada"/>
    <m/>
    <s v="Not Required"/>
    <s v="Riverastad"/>
  </r>
  <r>
    <s v="#1847"/>
    <n v="1"/>
    <d v="2026-08-04T13:55:06"/>
    <d v="2026-08-04T13:55:06"/>
    <s v="Julia Atkinson"/>
    <s v="Email Available"/>
    <s v="julia.atkinson939@gmail.com"/>
    <x v="18"/>
    <s v="Home &amp; Kitchen"/>
    <x v="19"/>
    <n v="2"/>
    <s v="$17.99"/>
    <n v="17.989999999999998"/>
    <m/>
    <s v=""/>
    <n v="0"/>
    <n v="0"/>
    <s v="Number"/>
    <n v="7.99"/>
    <n v="7.99"/>
    <s v="$43.97"/>
    <n v="43.97"/>
    <n v="43.97"/>
    <s v="True"/>
    <s v="Normal"/>
    <s v="Shopify Payments"/>
    <s v="Instagram"/>
    <s v="fulfilled"/>
    <s v="Canada"/>
    <m/>
    <s v="Not Required"/>
    <s v="Johnsonberg"/>
  </r>
  <r>
    <s v="#1848"/>
    <n v="1"/>
    <d v="2026-08-04T13:54:09"/>
    <d v="2026-08-04T13:54:09"/>
    <s v="Dustin Mccoy"/>
    <s v="Email Available"/>
    <s v="dustin.mccoy570@gmail.com"/>
    <x v="18"/>
    <s v="Home &amp; Kitchen"/>
    <x v="19"/>
    <n v="1"/>
    <n v="17.989999999999998"/>
    <n v="17.989999999999998"/>
    <s v="SAVE20"/>
    <s v="SAVE20"/>
    <n v="3.6"/>
    <n v="3.6"/>
    <s v="Number"/>
    <n v="5.99"/>
    <n v="5.99"/>
    <n v="20.38"/>
    <n v="20.38"/>
    <n v="20.38"/>
    <s v="True"/>
    <s v="Normal"/>
    <s v="Shopify Payments"/>
    <s v="Facebook"/>
    <s v="fulfilled"/>
    <s v="Canada"/>
    <m/>
    <s v="Not Required"/>
    <s v="Jesusland"/>
  </r>
  <r>
    <s v="#1925"/>
    <n v="1"/>
    <d v="2026-08-04T14:00:06"/>
    <d v="2026-08-04T14:00:06"/>
    <s v="Barbara Brown"/>
    <s v="Email Available"/>
    <s v="barbara.brown26@gmail.com"/>
    <x v="18"/>
    <s v="Home &amp; Kitchen"/>
    <x v="19"/>
    <n v="1"/>
    <n v="17.989999999999998"/>
    <n v="17.989999999999998"/>
    <s v="SAVE20"/>
    <s v="SAVE20"/>
    <s v="$3.60"/>
    <n v="3.6"/>
    <s v="Number"/>
    <n v="4.99"/>
    <n v="4.99"/>
    <s v="$19.38"/>
    <n v="19.38"/>
    <n v="19.38"/>
    <s v="True"/>
    <s v="Normal"/>
    <s v="PayPal"/>
    <s v="POS"/>
    <s v="fulfilled"/>
    <s v="United States"/>
    <s v="North Carolina"/>
    <s v="Valid"/>
    <s v="Rodriguezhaven"/>
  </r>
  <r>
    <s v="#1939"/>
    <n v="1"/>
    <d v="2026-08-04T13:56:51"/>
    <d v="2026-08-04T13:56:51"/>
    <s v="Kayla Cruz"/>
    <s v="Email Available"/>
    <s v="kayla.cruz151@outlook.com"/>
    <x v="18"/>
    <s v="Home &amp; Kitchen"/>
    <x v="19"/>
    <n v="1"/>
    <n v="17.989999999999998"/>
    <n v="17.989999999999998"/>
    <s v="VIP15"/>
    <s v="VIP15"/>
    <n v="2.7"/>
    <n v="2.7"/>
    <s v="Number"/>
    <n v="5.99"/>
    <n v="5.99"/>
    <n v="21.28"/>
    <n v="21.28"/>
    <n v="21.28"/>
    <s v="True"/>
    <s v="Normal"/>
    <s v="PayPal"/>
    <s v="Online Store"/>
    <s v="fulfilled"/>
    <s v="Pakistan"/>
    <m/>
    <s v="Not Required"/>
    <s v="Lake Joshua"/>
  </r>
  <r>
    <s v="#1949"/>
    <n v="1"/>
    <d v="2026-08-04T13:57:04"/>
    <d v="2026-08-04T13:57:04"/>
    <s v="Rachel Jimenez"/>
    <s v="Email Available"/>
    <s v="rachel.jimenez326@outlook.com"/>
    <x v="18"/>
    <s v="Home &amp; Kitchen"/>
    <x v="19"/>
    <n v="1"/>
    <n v="17.989999999999998"/>
    <n v="17.989999999999998"/>
    <m/>
    <s v=""/>
    <n v="0"/>
    <n v="0"/>
    <s v="Number"/>
    <n v="4.99"/>
    <n v="4.99"/>
    <n v="22.98"/>
    <n v="22.98"/>
    <n v="22.979999999999997"/>
    <s v="True"/>
    <s v="Normal"/>
    <s v="Credit Card"/>
    <s v="Instagram"/>
    <s v="fulfilled"/>
    <s v="United States"/>
    <s v="Arizona"/>
    <s v="Valid"/>
    <s v="Cindyland"/>
  </r>
  <r>
    <s v="#1978"/>
    <n v="1"/>
    <d v="2026-08-04T13:55:40"/>
    <d v="2026-08-04T13:55:40"/>
    <s v="Katelyn Johnson"/>
    <s v="Email Available"/>
    <s v="katelyn.johnson502@outlook.com"/>
    <x v="18"/>
    <s v="Home &amp; Kitchen"/>
    <x v="19"/>
    <n v="2"/>
    <n v="17.989999999999998"/>
    <n v="17.989999999999998"/>
    <s v="SAVE20"/>
    <s v="SAVE20"/>
    <n v="7.2"/>
    <n v="7.2"/>
    <s v="Number"/>
    <n v="4.99"/>
    <n v="4.99"/>
    <n v="33.770000000000003"/>
    <n v="33.770000000000003"/>
    <n v="33.769999999999996"/>
    <s v="True"/>
    <s v="Normal"/>
    <s v="PayPal"/>
    <s v="Online Store"/>
    <s v="pending"/>
    <s v="United States"/>
    <s v="WA"/>
    <s v="Valid"/>
    <s v="Margarethaven"/>
  </r>
  <r>
    <s v="#1981"/>
    <n v="1"/>
    <d v="2026-08-04T14:04:46"/>
    <d v="2026-08-04T14:04:46"/>
    <s v="Cody Murray"/>
    <s v="Email Available"/>
    <s v="cody.murray456@gmail.com"/>
    <x v="18"/>
    <s v="Home &amp; Kitchen"/>
    <x v="19"/>
    <n v="1"/>
    <n v="17.989999999999998"/>
    <n v="17.989999999999998"/>
    <s v=" SAVE20 "/>
    <s v="SAVE20"/>
    <n v="3.6"/>
    <n v="3.6"/>
    <s v="Number"/>
    <n v="5.99"/>
    <n v="5.99"/>
    <n v="20.38"/>
    <n v="20.38"/>
    <n v="20.38"/>
    <s v="True"/>
    <s v="Normal"/>
    <s v="Shopify Payments"/>
    <s v="Online Store"/>
    <s v="refunded"/>
    <s v="United Kingdom"/>
    <m/>
    <s v="Not Required"/>
    <s v="Davidmouth"/>
  </r>
  <r>
    <s v="#2004"/>
    <n v="1"/>
    <d v="2026-08-04T00:00:00"/>
    <s v="04-08-2026 14:05"/>
    <s v="Jose Ingram"/>
    <s v="Email Available"/>
    <s v="jose.ingram37@gmail.com"/>
    <x v="18"/>
    <s v="Home &amp; Kitchen"/>
    <x v="19"/>
    <n v="1"/>
    <n v="17.989999999999998"/>
    <n v="17.989999999999998"/>
    <s v="SAVE20"/>
    <s v="SAVE20"/>
    <n v="3.6"/>
    <n v="3.6"/>
    <s v="Number"/>
    <n v="7.99"/>
    <n v="7.99"/>
    <n v="22.38"/>
    <n v="22.38"/>
    <n v="22.38"/>
    <s v="True"/>
    <s v="Normal"/>
    <s v="PayPal"/>
    <s v="Online Store"/>
    <s v="fulfilled"/>
    <s v="United States"/>
    <s v="Ohio"/>
    <s v="Valid"/>
    <s v="Bennetttown"/>
  </r>
  <r>
    <s v="#2009"/>
    <n v="1"/>
    <d v="2026-08-04T14:02:36"/>
    <d v="2026-08-04T14:02:36"/>
    <s v="Shawn Alexander"/>
    <s v="Email Available"/>
    <s v="shawn.alexander522@outlook.com"/>
    <x v="18"/>
    <s v="Home &amp; Kitchen"/>
    <x v="19"/>
    <n v="1"/>
    <n v="17.989999999999998"/>
    <n v="17.989999999999998"/>
    <m/>
    <s v=""/>
    <n v="0"/>
    <n v="0"/>
    <s v="Number"/>
    <n v="5.99"/>
    <n v="5.99"/>
    <n v="23.98"/>
    <n v="23.98"/>
    <n v="23.979999999999997"/>
    <s v="True"/>
    <s v="Normal"/>
    <s v="Shopify Payments"/>
    <s v="Instagram"/>
    <s v="cancelled"/>
    <s v="United States"/>
    <s v="WA"/>
    <s v="Valid"/>
    <s v="Rodgersland"/>
  </r>
  <r>
    <s v="#2033"/>
    <n v="1"/>
    <d v="2026-08-04T13:59:49"/>
    <d v="2026-08-04T13:59:49"/>
    <s v="David Hayden"/>
    <s v="Email Available"/>
    <s v="david.hayden411@outlook.com"/>
    <x v="18"/>
    <s v="Home &amp; Kitchen"/>
    <x v="19"/>
    <n v="2"/>
    <n v="17.989999999999998"/>
    <n v="17.989999999999998"/>
    <m/>
    <s v=""/>
    <n v="0"/>
    <n v="0"/>
    <s v="Number"/>
    <n v="7.99"/>
    <n v="7.99"/>
    <n v="43.97"/>
    <n v="43.97"/>
    <n v="43.97"/>
    <s v="True"/>
    <s v="Normal"/>
    <s v="Credit Card"/>
    <s v="Facebook"/>
    <s v="fulfilled"/>
    <s v="Australia"/>
    <m/>
    <s v="Not Required"/>
    <s v="Annetteborough"/>
  </r>
  <r>
    <s v="#2048"/>
    <n v="1"/>
    <d v="2026-08-04T00:00:00"/>
    <s v="2026-08-04"/>
    <s v="Amanda Robinson"/>
    <s v="Email Available"/>
    <s v="amanda.robinson263@icloud.com"/>
    <x v="18"/>
    <s v="Home &amp; Kitchen"/>
    <x v="19"/>
    <n v="1"/>
    <n v="17.989999999999998"/>
    <n v="17.989999999999998"/>
    <m/>
    <s v=""/>
    <n v="0"/>
    <n v="0"/>
    <s v="Number"/>
    <n v="5.99"/>
    <n v="5.99"/>
    <n v="23.98"/>
    <n v="23.98"/>
    <n v="23.979999999999997"/>
    <s v="True"/>
    <s v="Normal"/>
    <s v="Google Pay"/>
    <s v="Online Store"/>
    <s v="fulfilled"/>
    <s v="United States"/>
    <s v="FL"/>
    <s v="Valid"/>
    <s v="North Amanda"/>
  </r>
  <r>
    <s v="#2052"/>
    <n v="1"/>
    <d v="2026-08-04T13:58:07"/>
    <d v="2026-08-04T13:58:07"/>
    <s v="Nicholas Jarvis"/>
    <s v="Email Available"/>
    <s v="nicholas.jarvis112@icloud.com"/>
    <x v="18"/>
    <s v="Home &amp; Kitchen"/>
    <x v="19"/>
    <n v="1"/>
    <n v="17.989999999999998"/>
    <n v="17.989999999999998"/>
    <m/>
    <s v=""/>
    <s v="$0.00"/>
    <n v="0"/>
    <s v="Number"/>
    <n v="5.99"/>
    <n v="5.99"/>
    <n v="23.98"/>
    <n v="23.98"/>
    <n v="23.979999999999997"/>
    <s v="True"/>
    <s v="Normal"/>
    <s v="Google Pay"/>
    <s v="Facebook"/>
    <s v="fulfilled"/>
    <s v="Canada"/>
    <m/>
    <s v="Not Required"/>
    <s v="Toddville"/>
  </r>
  <r>
    <s v="#2060"/>
    <n v="1"/>
    <d v="2026-08-04T14:00:24"/>
    <d v="2026-08-04T14:00:24"/>
    <s v="Megan Herman"/>
    <s v="Email Available"/>
    <s v="megan.herman268@yahoo.com"/>
    <x v="18"/>
    <s v="Home &amp; Kitchen"/>
    <x v="19"/>
    <n v="1"/>
    <n v="17.989999999999998"/>
    <n v="17.989999999999998"/>
    <m/>
    <s v=""/>
    <s v="$0.00"/>
    <n v="0"/>
    <s v="Number"/>
    <n v="5.99"/>
    <n v="5.99"/>
    <s v="$23.98"/>
    <n v="23.98"/>
    <n v="23.979999999999997"/>
    <s v="True"/>
    <s v="Normal"/>
    <s v="Credit Card"/>
    <s v="Instagram"/>
    <s v="pending"/>
    <s v="United States"/>
    <s v="Illinois"/>
    <s v="Valid"/>
    <s v="Spearsmouth"/>
  </r>
  <r>
    <s v="#2081"/>
    <n v="1"/>
    <d v="2026-08-04T14:03:17"/>
    <d v="2026-08-04T14:03:17"/>
    <s v="Samuel Smith"/>
    <s v="Email Available"/>
    <s v="samuel.smith76@outlook.com"/>
    <x v="18"/>
    <s v="Home &amp; Kitchen"/>
    <x v="19"/>
    <n v="1"/>
    <n v="17.989999999999998"/>
    <n v="17.989999999999998"/>
    <m/>
    <s v=""/>
    <n v="0"/>
    <n v="0"/>
    <s v="Number"/>
    <n v="5.99"/>
    <n v="5.99"/>
    <n v="23.98"/>
    <n v="23.98"/>
    <n v="23.979999999999997"/>
    <s v="True"/>
    <s v="Normal"/>
    <s v="Credit Card"/>
    <s v="Facebook"/>
    <s v="fulfilled"/>
    <s v="United Kingdom"/>
    <m/>
    <s v="Not Required"/>
    <s v="East Dominicbury"/>
  </r>
  <r>
    <s v="#2097"/>
    <n v="1"/>
    <d v="2026-08-04T14:01:01"/>
    <d v="2026-08-04T14:01:01"/>
    <s v="Glenn Smith"/>
    <s v="Email Available"/>
    <s v="glenn.smith305@gmail.com"/>
    <x v="18"/>
    <s v="Home &amp; Kitchen"/>
    <x v="19"/>
    <n v="1"/>
    <n v="17.989999999999998"/>
    <n v="17.989999999999998"/>
    <m/>
    <s v=""/>
    <n v="0"/>
    <n v="0"/>
    <s v="Number"/>
    <n v="5.99"/>
    <n v="5.99"/>
    <n v="23.98"/>
    <n v="23.98"/>
    <n v="23.979999999999997"/>
    <s v="True"/>
    <s v="Normal"/>
    <s v="Credit Card"/>
    <s v="POS"/>
    <s v="refunded"/>
    <s v="Canada"/>
    <m/>
    <s v="Not Required"/>
    <s v="North Tommy"/>
  </r>
  <r>
    <s v="#2111"/>
    <n v="1"/>
    <d v="2026-08-04T14:03:48"/>
    <d v="2026-08-04T14:03:48"/>
    <s v="Kelly Wyatt"/>
    <s v="Email Available"/>
    <s v="kelly.wyatt277@yahoo.com"/>
    <x v="18"/>
    <s v="Home &amp; Kitchen"/>
    <x v="19"/>
    <n v="2"/>
    <n v="17.989999999999998"/>
    <n v="17.989999999999998"/>
    <m/>
    <s v=""/>
    <n v="0"/>
    <n v="0"/>
    <s v="Number"/>
    <n v="5.99"/>
    <n v="5.99"/>
    <n v="41.97"/>
    <n v="41.97"/>
    <n v="41.97"/>
    <s v="True"/>
    <s v="Normal"/>
    <s v="PayPal"/>
    <s v="Online Store"/>
    <s v="fulfilled"/>
    <s v="Germany"/>
    <m/>
    <s v="Not Required"/>
    <s v="Johnsonfurt"/>
  </r>
  <r>
    <s v="#2115"/>
    <n v="1"/>
    <d v="2026-08-04T13:54:07"/>
    <d v="2026-08-04T13:54:07"/>
    <s v="Paul Pratt"/>
    <s v="Email Available"/>
    <s v="paul.pratt856@outlook.com"/>
    <x v="18"/>
    <s v="Home &amp; Kitchen"/>
    <x v="19"/>
    <n v="1"/>
    <n v="17.989999999999998"/>
    <n v="17.989999999999998"/>
    <m/>
    <s v=""/>
    <n v="0"/>
    <n v="0"/>
    <s v="Number"/>
    <n v="4.99"/>
    <n v="4.99"/>
    <n v="22.98"/>
    <n v="22.98"/>
    <n v="22.979999999999997"/>
    <s v="True"/>
    <s v="Normal"/>
    <s v="Google Pay"/>
    <s v="Online Store"/>
    <s v="refunded"/>
    <s v="United States"/>
    <s v="Illinois"/>
    <s v="Valid"/>
    <s v="Huffmanhaven"/>
  </r>
  <r>
    <s v="#2134"/>
    <n v="1"/>
    <d v="2026-08-04T14:03:16"/>
    <d v="2026-08-04T14:03:16"/>
    <s v="Chad Smith"/>
    <s v="Email Available"/>
    <s v="chad.smith773@icloud.com"/>
    <x v="18"/>
    <s v="Home &amp; Kitchen"/>
    <x v="19"/>
    <n v="3"/>
    <n v="17.989999999999998"/>
    <n v="17.989999999999998"/>
    <m/>
    <s v=""/>
    <n v="0"/>
    <n v="0"/>
    <s v="Number"/>
    <n v="7.99"/>
    <n v="7.99"/>
    <n v="61.96"/>
    <n v="61.96"/>
    <n v="61.96"/>
    <s v="True"/>
    <s v="Normal"/>
    <s v="Shopify Payments"/>
    <s v="Online Store"/>
    <s v="refunded"/>
    <s v="Pakistan"/>
    <m/>
    <s v="Not Required"/>
    <s v="North Samantha"/>
  </r>
  <r>
    <s v="#2139"/>
    <n v="1"/>
    <d v="2026-08-04T14:06:35"/>
    <d v="2026-08-04T14:06:35"/>
    <s v="Jaime Vargas"/>
    <s v="Email Available"/>
    <s v="jaime.vargas795@outlook.com"/>
    <x v="18"/>
    <s v="Home &amp; Kitchen"/>
    <x v="19"/>
    <n v="1"/>
    <n v="17.989999999999998"/>
    <n v="17.989999999999998"/>
    <s v="BFCM25"/>
    <s v="BFCM25"/>
    <n v="4.5"/>
    <n v="4.5"/>
    <s v="Number"/>
    <n v="4.99"/>
    <n v="4.99"/>
    <n v="18.48"/>
    <n v="18.48"/>
    <n v="18.479999999999997"/>
    <s v="True"/>
    <s v="Normal"/>
    <s v="Google Pay"/>
    <s v="Facebook"/>
    <s v="fulfilled"/>
    <s v="United Kingdom"/>
    <m/>
    <s v="Not Required"/>
    <s v="North Anneton"/>
  </r>
  <r>
    <s v="#2142"/>
    <n v="1"/>
    <d v="2026-08-04T14:02:09"/>
    <d v="2026-08-04T14:02:09"/>
    <s v="Megan Herman"/>
    <s v="Email Available"/>
    <s v="megan.herman268@yahoo.com"/>
    <x v="18"/>
    <s v="Home &amp; Kitchen"/>
    <x v="19"/>
    <n v="1"/>
    <n v="17.989999999999998"/>
    <n v="17.989999999999998"/>
    <m/>
    <s v=""/>
    <n v="0"/>
    <n v="0"/>
    <s v="Number"/>
    <n v="7.99"/>
    <n v="7.99"/>
    <n v="25.98"/>
    <n v="25.98"/>
    <n v="25.979999999999997"/>
    <s v="True"/>
    <s v="Normal"/>
    <s v="PayPal"/>
    <s v="Instagram"/>
    <s v="fulfilled"/>
    <s v="United States"/>
    <s v="OH"/>
    <s v="Valid"/>
    <s v="Heatherbury"/>
  </r>
  <r>
    <s v="#2156"/>
    <n v="1"/>
    <d v="2026-08-04T14:03:35"/>
    <d v="2026-08-04T14:03:35"/>
    <s v="Alan Davis"/>
    <s v="Email Available"/>
    <s v="alan.davis483@icloud.com"/>
    <x v="18"/>
    <s v="Home &amp; Kitchen"/>
    <x v="19"/>
    <n v="1"/>
    <n v="17.989999999999998"/>
    <n v="17.989999999999998"/>
    <s v="FREESHIP"/>
    <s v="FREESHIP"/>
    <n v="0"/>
    <n v="0"/>
    <s v="Number"/>
    <n v="0"/>
    <n v="0"/>
    <n v="17.989999999999998"/>
    <n v="17.989999999999998"/>
    <n v="17.989999999999998"/>
    <s v="True"/>
    <s v="Normal"/>
    <s v="Credit Card"/>
    <s v="Facebook"/>
    <s v="pending"/>
    <s v="Canada"/>
    <m/>
    <s v="Not Required"/>
    <s v="East Melissastad"/>
  </r>
  <r>
    <s v="#2173"/>
    <n v="1"/>
    <d v="2026-08-04T13:54:21"/>
    <d v="2026-08-04T13:54:21"/>
    <s v="Courtney Bullock"/>
    <s v="Email Available"/>
    <s v="courtney.bullock860@outlook.com"/>
    <x v="18"/>
    <s v="Home &amp; Kitchen"/>
    <x v="19"/>
    <n v="1"/>
    <n v="17.989999999999998"/>
    <n v="17.989999999999998"/>
    <s v="VIP15"/>
    <s v="VIP15"/>
    <n v="2.7"/>
    <n v="2.7"/>
    <s v="Number"/>
    <n v="4.99"/>
    <n v="4.99"/>
    <n v="20.28"/>
    <n v="20.28"/>
    <n v="20.28"/>
    <s v="True"/>
    <s v="Normal"/>
    <s v="Google Pay"/>
    <s v="Instagram"/>
    <s v="fulfilled"/>
    <s v="United Kingdom"/>
    <m/>
    <s v="Not Required"/>
    <s v="Tracyshire"/>
  </r>
  <r>
    <s v="#2282"/>
    <n v="1"/>
    <d v="2026-08-04T13:54:08"/>
    <d v="2026-08-04T13:54:08"/>
    <s v="Amanda Rodriguez"/>
    <s v="Email Available"/>
    <s v="amanda.rodriguez770@yahoo.com"/>
    <x v="18"/>
    <s v="Home &amp; Kitchen"/>
    <x v="19"/>
    <n v="1"/>
    <n v="17.989999999999998"/>
    <n v="17.989999999999998"/>
    <s v="WELCOME10"/>
    <s v="WELCOME10"/>
    <s v="$1.80"/>
    <n v="1.8"/>
    <s v="Number"/>
    <n v="4.99"/>
    <n v="4.99"/>
    <n v="21.18"/>
    <n v="21.18"/>
    <n v="21.18"/>
    <s v="True"/>
    <s v="Normal"/>
    <s v="Credit Card"/>
    <s v="POS"/>
    <s v="refunded"/>
    <s v="United States"/>
    <s v="Ohio"/>
    <s v="Valid"/>
    <s v="East Wesleyberg"/>
  </r>
  <r>
    <s v="#2300"/>
    <n v="1"/>
    <d v="2026-08-04T13:55:16"/>
    <d v="2026-08-04T13:55:16"/>
    <s v="Christopher Martin"/>
    <s v="Email Available"/>
    <s v="christopher.martin10@gmail.com"/>
    <x v="18"/>
    <s v="Home &amp; Kitchen"/>
    <x v="19"/>
    <n v="2"/>
    <n v="17.989999999999998"/>
    <n v="17.989999999999998"/>
    <m/>
    <s v=""/>
    <n v="0"/>
    <n v="0"/>
    <s v="Number"/>
    <n v="5.99"/>
    <n v="5.99"/>
    <n v="41.97"/>
    <n v="41.97"/>
    <n v="41.97"/>
    <s v="True"/>
    <s v="Normal"/>
    <s v="PayPal"/>
    <s v="Online Store"/>
    <s v="refunded"/>
    <s v="United States"/>
    <s v="Ohio"/>
    <s v="Valid"/>
    <s v="Bestview"/>
  </r>
  <r>
    <s v="#2321"/>
    <n v="1"/>
    <d v="2026-08-04T14:01:41"/>
    <d v="2026-08-04T14:01:41"/>
    <s v="William Houston"/>
    <s v="Email Available"/>
    <s v="william.houston340@outlook.com"/>
    <x v="18"/>
    <s v="Home &amp; Kitchen"/>
    <x v="19"/>
    <n v="2"/>
    <n v="17.989999999999998"/>
    <n v="17.989999999999998"/>
    <s v="BFCM25"/>
    <s v="BFCM25"/>
    <n v="8.99"/>
    <n v="8.99"/>
    <s v="Number"/>
    <n v="7.99"/>
    <n v="7.99"/>
    <n v="34.979999999999997"/>
    <n v="34.979999999999997"/>
    <n v="34.979999999999997"/>
    <s v="True"/>
    <s v="Normal"/>
    <s v="Shopify Payments"/>
    <s v="Online Store"/>
    <s v="fulfilled"/>
    <s v="United States"/>
    <s v="Ohio"/>
    <s v="Valid"/>
    <s v="New Keith"/>
  </r>
  <r>
    <s v="#2325"/>
    <n v="1"/>
    <d v="2026-08-04T13:57:27"/>
    <d v="2026-08-04T13:57:27"/>
    <s v="Anthony Mullen"/>
    <s v="Email Available"/>
    <s v="anthony.mullen523@yahoo.com"/>
    <x v="18"/>
    <s v="Home &amp; Kitchen"/>
    <x v="19"/>
    <n v="1"/>
    <n v="17.989999999999998"/>
    <n v="17.989999999999998"/>
    <m/>
    <s v=""/>
    <n v="0"/>
    <n v="0"/>
    <s v="Number"/>
    <n v="5.99"/>
    <n v="5.99"/>
    <n v="23.98"/>
    <n v="23.98"/>
    <n v="23.979999999999997"/>
    <s v="True"/>
    <s v="Normal"/>
    <s v="PayPal"/>
    <s v="Online Store"/>
    <s v="fulfilled"/>
    <s v="United States"/>
    <s v="Georgia"/>
    <s v="Valid"/>
    <s v="West Cole"/>
  </r>
  <r>
    <s v="#2334"/>
    <n v="1"/>
    <d v="2026-08-04T14:01:26"/>
    <d v="2026-08-04T14:01:26"/>
    <s v="Melissa James"/>
    <s v="Email Available"/>
    <s v="melissa.james674@outlook.com"/>
    <x v="18"/>
    <s v="Home &amp; Kitchen"/>
    <x v="19"/>
    <n v="1"/>
    <n v="17.989999999999998"/>
    <n v="17.989999999999998"/>
    <m/>
    <s v=""/>
    <n v="0"/>
    <n v="0"/>
    <s v="Number"/>
    <n v="5.99"/>
    <n v="5.99"/>
    <n v="23.98"/>
    <n v="23.98"/>
    <n v="23.979999999999997"/>
    <s v="True"/>
    <s v="Normal"/>
    <s v="Shopify Payments"/>
    <s v="Online Store"/>
    <s v="cancelled"/>
    <s v="United States"/>
    <s v="Illinois"/>
    <s v="Valid"/>
    <s v="Lake Claudiastad"/>
  </r>
  <r>
    <s v="#2341"/>
    <n v="1"/>
    <d v="2026-08-04T14:07:30"/>
    <d v="2026-08-04T14:07:30"/>
    <s v="Kayla Cruz"/>
    <s v="Email Available"/>
    <s v="kayla.cruz151@outlook.com"/>
    <x v="18"/>
    <s v="Home &amp; Kitchen"/>
    <x v="19"/>
    <n v="1"/>
    <n v="17.989999999999998"/>
    <n v="17.989999999999998"/>
    <s v="BFCM25"/>
    <s v="BFCM25"/>
    <n v="4.5"/>
    <n v="4.5"/>
    <s v="Number"/>
    <n v="5.99"/>
    <n v="5.99"/>
    <n v="19.48"/>
    <n v="19.48"/>
    <n v="19.479999999999997"/>
    <s v="True"/>
    <s v="Normal"/>
    <s v="Apple Pay"/>
    <s v="Instagram"/>
    <s v="fulfilled"/>
    <s v="Pakistan"/>
    <m/>
    <s v="Not Required"/>
    <s v="North Kimberly"/>
  </r>
  <r>
    <s v="#2355"/>
    <n v="1"/>
    <d v="2026-08-04T13:56:12"/>
    <d v="2026-08-04T13:56:12"/>
    <s v="Thomas Hall"/>
    <s v="Email Available"/>
    <s v="thomas.hall134@gmail.com"/>
    <x v="18"/>
    <s v="Home &amp; Kitchen"/>
    <x v="19"/>
    <n v="1"/>
    <n v="17.989999999999998"/>
    <n v="17.989999999999998"/>
    <s v="VIP15"/>
    <s v="VIP15"/>
    <n v="2.7"/>
    <n v="2.7"/>
    <s v="Number"/>
    <n v="4.99"/>
    <n v="4.99"/>
    <s v="$20.28"/>
    <n v="20.28"/>
    <n v="20.28"/>
    <s v="True"/>
    <s v="Normal"/>
    <s v="Google Pay"/>
    <s v="Online Store"/>
    <s v="cancelled"/>
    <s v="Canada"/>
    <m/>
    <s v="Not Required"/>
    <s v="Wilsonborough"/>
  </r>
  <r>
    <s v="#2387"/>
    <n v="1"/>
    <d v="2026-08-04T00:00:00"/>
    <s v="04-08-2026 13:58"/>
    <s v="Kimberly Williams"/>
    <s v="Missing Email"/>
    <m/>
    <x v="18"/>
    <s v="Home &amp; Kitchen"/>
    <x v="19"/>
    <n v="1"/>
    <n v="17.989999999999998"/>
    <n v="17.989999999999998"/>
    <s v="VIP15"/>
    <s v="VIP15"/>
    <n v="2.7"/>
    <n v="2.7"/>
    <s v="Number"/>
    <n v="5.99"/>
    <n v="5.99"/>
    <n v="21.28"/>
    <n v="21.28"/>
    <n v="21.28"/>
    <s v="True"/>
    <s v="Normal"/>
    <s v="Google Pay"/>
    <s v="Online Store"/>
    <s v="fulfilled"/>
    <s v="United Kingdom"/>
    <m/>
    <s v="Not Required"/>
    <s v="Guzmanfort"/>
  </r>
  <r>
    <s v="#2398"/>
    <n v="1"/>
    <d v="2026-08-04T00:00:00"/>
    <s v="2026-08-04"/>
    <s v="Eric Golden"/>
    <s v="Email Available"/>
    <s v="eric.golden379@outlook.com"/>
    <x v="18"/>
    <s v="Home &amp; Kitchen"/>
    <x v="19"/>
    <n v="1"/>
    <n v="17.989999999999998"/>
    <n v="17.989999999999998"/>
    <s v="FREESHIP"/>
    <s v="FREESHIP"/>
    <n v="0"/>
    <n v="0"/>
    <s v="Number"/>
    <n v="0"/>
    <n v="0"/>
    <n v="17.989999999999998"/>
    <n v="17.989999999999998"/>
    <n v="17.989999999999998"/>
    <s v="True"/>
    <s v="Normal"/>
    <s v="Google Pay"/>
    <s v="POS"/>
    <s v="pending"/>
    <s v="United States"/>
    <s v="Ohio"/>
    <s v="Valid"/>
    <s v="Lake Devinstad"/>
  </r>
  <r>
    <s v="#2400"/>
    <n v="1"/>
    <d v="2026-08-04T00:00:00"/>
    <s v="2026-08-04"/>
    <s v="Kiara Burke"/>
    <s v="Email Available"/>
    <s v="kiara.burke246@yahoo.com"/>
    <x v="18"/>
    <s v="Home &amp; Kitchen"/>
    <x v="19"/>
    <n v="2"/>
    <n v="17.989999999999998"/>
    <n v="17.989999999999998"/>
    <m/>
    <s v=""/>
    <n v="0"/>
    <n v="0"/>
    <s v="Number"/>
    <n v="4.99"/>
    <n v="4.99"/>
    <n v="40.97"/>
    <n v="40.97"/>
    <n v="40.97"/>
    <s v="True"/>
    <s v="Normal"/>
    <s v="Apple Pay"/>
    <s v="POS"/>
    <s v="cancelled"/>
    <s v="Germany"/>
    <m/>
    <s v="Not Required"/>
    <s v="Port Amy"/>
  </r>
  <r>
    <s v="#2429"/>
    <n v="1"/>
    <d v="2026-08-04T13:54:12"/>
    <d v="2026-08-04T13:54:12"/>
    <s v="Sandra Potter"/>
    <s v="Email Available"/>
    <s v="sandra.potter166@yahoo.com"/>
    <x v="18"/>
    <s v="Home &amp; Kitchen"/>
    <x v="19"/>
    <n v="1"/>
    <n v="17.989999999999998"/>
    <n v="17.989999999999998"/>
    <s v="VIP15"/>
    <s v="VIP15"/>
    <n v="2.7"/>
    <n v="2.7"/>
    <s v="Number"/>
    <n v="5.99"/>
    <n v="5.99"/>
    <n v="21.28"/>
    <n v="21.28"/>
    <n v="21.28"/>
    <s v="True"/>
    <s v="Normal"/>
    <s v="Credit Card"/>
    <s v="POS"/>
    <s v="cancelled"/>
    <s v="United States"/>
    <s v="Georgia"/>
    <s v="Valid"/>
    <s v="Elizabethborough"/>
  </r>
  <r>
    <s v="#2444"/>
    <n v="1"/>
    <d v="2026-08-04T14:00:54"/>
    <d v="2026-08-04T14:00:54"/>
    <s v="Mark Woods"/>
    <s v="Email Available"/>
    <s v="mark.woods108@yahoo.com"/>
    <x v="18"/>
    <s v="Home &amp; Kitchen"/>
    <x v="19"/>
    <n v="1"/>
    <n v="17.989999999999998"/>
    <n v="17.989999999999998"/>
    <m/>
    <s v=""/>
    <n v="0"/>
    <n v="0"/>
    <s v="Number"/>
    <n v="5.99"/>
    <n v="5.99"/>
    <n v="23.98"/>
    <n v="23.98"/>
    <n v="23.979999999999997"/>
    <s v="True"/>
    <s v="Normal"/>
    <s v="Shopify Payments"/>
    <s v="Online Store"/>
    <s v="fulfilled"/>
    <s v="United States"/>
    <s v="Illinois"/>
    <s v="Valid"/>
    <s v="South Justinland"/>
  </r>
  <r>
    <s v="#2451"/>
    <n v="1"/>
    <d v="2026-08-04T14:05:00"/>
    <d v="2026-08-04T14:05:00"/>
    <s v="Vincent Rosales"/>
    <s v="Email Available"/>
    <s v="vincent.rosales30@icloud.com"/>
    <x v="18"/>
    <s v="Home &amp; Kitchen"/>
    <x v="19"/>
    <n v="2"/>
    <n v="17.989999999999998"/>
    <n v="17.989999999999998"/>
    <s v="SAVE20"/>
    <s v="SAVE20"/>
    <n v="7.2"/>
    <n v="7.2"/>
    <s v="Number"/>
    <n v="4.99"/>
    <n v="4.99"/>
    <s v="$33.77"/>
    <n v="33.770000000000003"/>
    <n v="33.769999999999996"/>
    <s v="True"/>
    <s v="Normal"/>
    <s v="PayPal"/>
    <s v="Online Store"/>
    <s v="fulfilled"/>
    <s v="United States"/>
    <s v="Washington"/>
    <s v="Valid"/>
    <s v="South Nathanville"/>
  </r>
  <r>
    <s v="#2460"/>
    <n v="1"/>
    <d v="2026-08-04T14:04:58"/>
    <d v="2026-08-04T14:04:58"/>
    <s v="Dawn Randolph"/>
    <s v="Email Available"/>
    <s v="dawn.randolph179@icloud.com"/>
    <x v="18"/>
    <s v="Home &amp; Kitchen"/>
    <x v="19"/>
    <n v="2"/>
    <n v="17.989999999999998"/>
    <n v="17.989999999999998"/>
    <s v="WELCOME10"/>
    <s v="WELCOME10"/>
    <n v="3.6"/>
    <n v="3.6"/>
    <s v="Number"/>
    <n v="5.99"/>
    <n v="5.99"/>
    <n v="38.369999999999997"/>
    <n v="38.369999999999997"/>
    <n v="38.369999999999997"/>
    <s v="True"/>
    <s v="Normal"/>
    <s v="Apple Pay"/>
    <s v="Facebook"/>
    <s v="fulfilled"/>
    <s v="Pakistan"/>
    <m/>
    <s v="Not Required"/>
    <s v="East Darryl"/>
  </r>
  <r>
    <s v="#2468"/>
    <n v="1"/>
    <d v="2026-08-04T13:57:04"/>
    <d v="2026-08-04T13:57:04"/>
    <s v="Brooke Crawford"/>
    <s v="Email Available"/>
    <s v="brooke.crawford896@outlook.com"/>
    <x v="18"/>
    <s v="Home &amp; Kitchen"/>
    <x v="19"/>
    <n v="4"/>
    <n v="17.989999999999998"/>
    <n v="17.989999999999998"/>
    <m/>
    <s v=""/>
    <n v="0"/>
    <n v="0"/>
    <s v="Number"/>
    <n v="5.99"/>
    <n v="5.99"/>
    <n v="77.95"/>
    <n v="77.95"/>
    <n v="77.949999999999989"/>
    <s v="True"/>
    <s v="Normal"/>
    <s v="Credit Card"/>
    <s v="Facebook"/>
    <s v="fulfilled"/>
    <s v="Pakistan"/>
    <m/>
    <s v="Not Required"/>
    <s v="East Anthony"/>
  </r>
  <r>
    <s v="#2526"/>
    <n v="1"/>
    <d v="2026-04-08T00:00:00"/>
    <s v="08/04/2026"/>
    <s v="Stacey Johnson"/>
    <s v="Email Available"/>
    <s v="stacey.johnson95@gmail.com"/>
    <x v="18"/>
    <s v="Home &amp; Kitchen"/>
    <x v="19"/>
    <n v="1"/>
    <n v="17.989999999999998"/>
    <n v="17.989999999999998"/>
    <s v=" WELCOME10 "/>
    <s v="WELCOME10"/>
    <n v="1.8"/>
    <n v="1.8"/>
    <s v="Number"/>
    <n v="4.99"/>
    <n v="4.99"/>
    <n v="21.18"/>
    <n v="21.18"/>
    <n v="21.18"/>
    <s v="True"/>
    <s v="Normal"/>
    <s v="Google Pay"/>
    <s v="Online Store"/>
    <s v="fulfilled"/>
    <s v="Germany"/>
    <m/>
    <s v="Not Required"/>
    <s v="West Shaunberg"/>
  </r>
  <r>
    <s v="#2551"/>
    <n v="1"/>
    <d v="2026-08-04T14:00:12"/>
    <d v="2026-08-04T14:00:12"/>
    <s v="Amanda Rodriguez"/>
    <s v="Email Available"/>
    <s v="amanda.rodriguez770@yahoo.com"/>
    <x v="18"/>
    <s v="Home &amp; Kitchen"/>
    <x v="19"/>
    <n v="2"/>
    <n v="17.989999999999998"/>
    <n v="17.989999999999998"/>
    <s v="BFCM25"/>
    <s v="BFCM25"/>
    <n v="8.99"/>
    <n v="8.99"/>
    <s v="Number"/>
    <n v="5.99"/>
    <n v="5.99"/>
    <n v="32.979999999999997"/>
    <n v="32.979999999999997"/>
    <n v="32.979999999999997"/>
    <s v="True"/>
    <s v="Normal"/>
    <s v="PayPal"/>
    <s v="Online Store"/>
    <s v="fulfilled"/>
    <s v="United States"/>
    <s v="IL"/>
    <s v="Valid"/>
    <s v="Karentown"/>
  </r>
  <r>
    <s v="#2565"/>
    <n v="1"/>
    <d v="2026-08-04T13:53:39"/>
    <d v="2026-08-04T13:53:39"/>
    <s v="Amanda Robinson"/>
    <s v="Email Available"/>
    <s v="amanda.robinson263@icloud.com"/>
    <x v="18"/>
    <s v="Home &amp; Kitchen"/>
    <x v="19"/>
    <n v="1"/>
    <n v="17.989999999999998"/>
    <n v="17.989999999999998"/>
    <s v="FREESHIP"/>
    <s v="FREESHIP"/>
    <n v="0"/>
    <n v="0"/>
    <s v="Number"/>
    <n v="0"/>
    <n v="0"/>
    <n v="17.989999999999998"/>
    <n v="17.989999999999998"/>
    <n v="17.989999999999998"/>
    <s v="True"/>
    <s v="Normal"/>
    <s v="Google Pay"/>
    <s v="Online Store"/>
    <s v="refunded"/>
    <s v="United States"/>
    <s v="Illinois"/>
    <s v="Valid"/>
    <s v="Lukehaven"/>
  </r>
  <r>
    <s v="#2579"/>
    <n v="1"/>
    <d v="2026-08-04T00:00:00"/>
    <s v="2026-08-04"/>
    <s v="Andrew Cross"/>
    <s v="Email Available"/>
    <s v="andrew.cross512@yahoo.com"/>
    <x v="18"/>
    <s v="Home &amp; Kitchen"/>
    <x v="19"/>
    <n v="2"/>
    <n v="17.989999999999998"/>
    <n v="17.989999999999998"/>
    <s v="VIP15"/>
    <s v="VIP15"/>
    <n v="5.4"/>
    <n v="5.4"/>
    <s v="Number"/>
    <n v="7.99"/>
    <n v="7.99"/>
    <n v="38.57"/>
    <n v="38.57"/>
    <n v="38.57"/>
    <s v="True"/>
    <s v="Normal"/>
    <s v="Shopify Payments"/>
    <s v="Online Store"/>
    <s v="fulfilled"/>
    <s v="United States"/>
    <s v="Illinois"/>
    <s v="Valid"/>
    <s v="Lake Jason"/>
  </r>
  <r>
    <s v="#2590"/>
    <n v="1"/>
    <d v="2026-08-04T14:08:05"/>
    <d v="2026-08-04T14:08:05"/>
    <s v="Vincent Rosales"/>
    <s v="Email Available"/>
    <s v="vincent.rosales30@icloud.com"/>
    <x v="18"/>
    <s v="Home &amp; Kitchen"/>
    <x v="19"/>
    <n v="1"/>
    <n v="17.989999999999998"/>
    <n v="17.989999999999998"/>
    <m/>
    <s v=""/>
    <n v="0"/>
    <n v="0"/>
    <s v="Number"/>
    <n v="4.99"/>
    <n v="4.99"/>
    <n v="22.98"/>
    <n v="22.98"/>
    <n v="22.979999999999997"/>
    <s v="True"/>
    <s v="Normal"/>
    <s v="Google Pay"/>
    <s v="Facebook"/>
    <s v="fulfilled"/>
    <s v="United States"/>
    <s v="Texas"/>
    <s v="Valid"/>
    <s v="West Howardland"/>
  </r>
  <r>
    <s v="#2619"/>
    <n v="1"/>
    <d v="2026-08-04T14:00:11"/>
    <d v="2026-08-04T14:00:11"/>
    <s v="Carly Johnson"/>
    <s v="Email Available"/>
    <s v="carly.johnson664@gmail.com"/>
    <x v="18"/>
    <s v="Home &amp; Kitchen"/>
    <x v="19"/>
    <n v="1"/>
    <n v="17.989999999999998"/>
    <n v="17.989999999999998"/>
    <m/>
    <s v=""/>
    <s v="$0.00"/>
    <n v="0"/>
    <s v="Number"/>
    <n v="7.99"/>
    <n v="7.99"/>
    <n v="25.98"/>
    <n v="25.98"/>
    <n v="25.979999999999997"/>
    <s v="True"/>
    <s v="Normal"/>
    <s v="Credit Card"/>
    <s v="Online Store"/>
    <s v="refunded"/>
    <s v="Germany"/>
    <m/>
    <s v="Not Required"/>
    <s v="Reedtown"/>
  </r>
  <r>
    <s v="#2620"/>
    <n v="1"/>
    <d v="2026-08-04T00:00:00"/>
    <s v="04-08-2026 13:59"/>
    <s v="Amanda Robinson"/>
    <s v="Email Available"/>
    <s v="amanda.robinson263@icloud.com"/>
    <x v="18"/>
    <s v="Home &amp; Kitchen"/>
    <x v="19"/>
    <n v="1"/>
    <n v="17.989999999999998"/>
    <n v="17.989999999999998"/>
    <s v="SAVE20"/>
    <s v="SAVE20"/>
    <n v="3.6"/>
    <n v="3.6"/>
    <s v="Number"/>
    <n v="4.99"/>
    <n v="4.99"/>
    <n v="19.38"/>
    <n v="19.38"/>
    <n v="19.38"/>
    <s v="True"/>
    <s v="Normal"/>
    <s v="PayPal"/>
    <s v="Online Store"/>
    <s v="fulfilled"/>
    <s v="United States"/>
    <s v="California"/>
    <s v="Valid"/>
    <s v="Lake Lori"/>
  </r>
  <r>
    <s v="#2639"/>
    <n v="1"/>
    <d v="2026-08-04T13:57:42"/>
    <d v="2026-08-04T13:57:42"/>
    <s v="Lauren Nguyen"/>
    <s v="Email Available"/>
    <s v="lauren.nguyen819@outlook.com"/>
    <x v="18"/>
    <s v="Home &amp; Kitchen"/>
    <x v="19"/>
    <n v="2"/>
    <n v="17.989999999999998"/>
    <n v="17.989999999999998"/>
    <m/>
    <s v=""/>
    <n v="0"/>
    <n v="0"/>
    <s v="Number"/>
    <n v="4.99"/>
    <n v="4.99"/>
    <n v="40.97"/>
    <n v="40.97"/>
    <n v="40.97"/>
    <s v="True"/>
    <s v="Normal"/>
    <s v="Credit Card"/>
    <s v="Online Store"/>
    <s v="cancelled"/>
    <s v="United Kingdom"/>
    <m/>
    <s v="Not Required"/>
    <s v="Port Natalieport"/>
  </r>
  <r>
    <s v="#2652"/>
    <n v="1"/>
    <d v="2026-08-04T14:01:11"/>
    <d v="2026-08-04T14:01:11"/>
    <s v="Tiffany Jones"/>
    <s v="Email Available"/>
    <s v="tiffany.jones564@outlook.com"/>
    <x v="18"/>
    <s v="Home &amp; Kitchen"/>
    <x v="19"/>
    <n v="1"/>
    <n v="17.989999999999998"/>
    <n v="17.989999999999998"/>
    <m/>
    <s v=""/>
    <n v="0"/>
    <n v="0"/>
    <s v="Number"/>
    <n v="7.99"/>
    <n v="7.99"/>
    <n v="25.98"/>
    <n v="25.98"/>
    <n v="25.979999999999997"/>
    <s v="True"/>
    <s v="Normal"/>
    <s v="PayPal"/>
    <s v="Online Store"/>
    <s v="refunded"/>
    <s v="Germany"/>
    <m/>
    <s v="Not Required"/>
    <s v="South Juliafort"/>
  </r>
  <r>
    <s v="#2685"/>
    <n v="1"/>
    <d v="2026-08-04T13:54:00"/>
    <d v="2026-08-04T13:54:00"/>
    <s v="Kiara Burke"/>
    <s v="Email Available"/>
    <s v="kiara.burke246@yahoo.com"/>
    <x v="18"/>
    <s v="Home &amp; Kitchen"/>
    <x v="19"/>
    <n v="1"/>
    <n v="17.989999999999998"/>
    <n v="17.989999999999998"/>
    <m/>
    <s v=""/>
    <n v="0"/>
    <n v="0"/>
    <s v="Number"/>
    <n v="5.99"/>
    <n v="5.99"/>
    <n v="23.98"/>
    <n v="23.98"/>
    <n v="23.979999999999997"/>
    <s v="True"/>
    <s v="Normal"/>
    <s v="Apple Pay"/>
    <s v="POS"/>
    <s v="fulfilled"/>
    <s v="Germany"/>
    <m/>
    <s v="Not Required"/>
    <s v="Lake Patriciaview"/>
  </r>
  <r>
    <s v="#2828"/>
    <n v="1"/>
    <d v="2026-08-04T13:58:51"/>
    <d v="2026-08-04T13:58:51"/>
    <s v="Michael Wilson"/>
    <s v="Email Available"/>
    <s v="michael.wilson464@icloud.com"/>
    <x v="18"/>
    <s v="Home &amp; Kitchen"/>
    <x v="19"/>
    <n v="1"/>
    <s v="$17.99"/>
    <n v="17.989999999999998"/>
    <m/>
    <s v=""/>
    <n v="0"/>
    <n v="0"/>
    <s v="Number"/>
    <n v="7.99"/>
    <n v="7.99"/>
    <s v="$25.98"/>
    <n v="25.98"/>
    <n v="25.979999999999997"/>
    <s v="True"/>
    <s v="Normal"/>
    <s v="PayPal"/>
    <s v="Instagram"/>
    <s v="refunded"/>
    <s v="Australia"/>
    <m/>
    <s v="Not Required"/>
    <s v="East Nicoleburgh"/>
  </r>
  <r>
    <s v="#2933"/>
    <n v="1"/>
    <d v="2026-08-04T14:06:28"/>
    <d v="2026-08-04T14:06:28"/>
    <s v="Joseph Martin"/>
    <s v="Email Available"/>
    <s v="joseph.martin348@icloud.com"/>
    <x v="18"/>
    <s v="Home &amp; Kitchen"/>
    <x v="19"/>
    <n v="2"/>
    <n v="17.989999999999998"/>
    <n v="17.989999999999998"/>
    <s v="SAVE20"/>
    <s v="SAVE20"/>
    <n v="7.2"/>
    <n v="7.2"/>
    <s v="Number"/>
    <n v="5.99"/>
    <n v="5.99"/>
    <n v="34.770000000000003"/>
    <n v="34.770000000000003"/>
    <n v="34.769999999999996"/>
    <s v="True"/>
    <s v="Normal"/>
    <s v="PayPal"/>
    <s v="Online Store"/>
    <s v="pending"/>
    <s v="United States"/>
    <s v="Ohio"/>
    <s v="Valid"/>
    <s v="East Kimberly"/>
  </r>
  <r>
    <s v="#2944"/>
    <n v="1"/>
    <d v="2026-08-04T00:00:00"/>
    <s v="Aug 04, 2026"/>
    <s v="Sean Frank"/>
    <s v="Email Available"/>
    <s v="sean.frank587@icloud.com"/>
    <x v="18"/>
    <s v="Home &amp; Kitchen"/>
    <x v="19"/>
    <n v="2"/>
    <n v="17.989999999999998"/>
    <n v="17.989999999999998"/>
    <s v="VIP15"/>
    <s v="VIP15"/>
    <n v="5.4"/>
    <n v="5.4"/>
    <s v="Number"/>
    <n v="5.99"/>
    <n v="5.99"/>
    <n v="36.57"/>
    <n v="36.57"/>
    <n v="36.57"/>
    <s v="True"/>
    <s v="Normal"/>
    <s v="Apple Pay"/>
    <s v="Online Store"/>
    <s v="fulfilled"/>
    <s v="Australia"/>
    <m/>
    <s v="Not Required"/>
    <s v="North Melanie"/>
  </r>
  <r>
    <s v="#2150"/>
    <n v="1"/>
    <d v="2026-08-04T14:00:43"/>
    <d v="2026-08-04T14:00:43"/>
    <s v="Timothy Hodges"/>
    <s v="Email Available"/>
    <s v="timothy.hodges687@icloud.com"/>
    <x v="19"/>
    <s v="Electronics"/>
    <x v="20"/>
    <n v="2"/>
    <n v="15.49"/>
    <n v="15.49"/>
    <m/>
    <s v=""/>
    <n v="0"/>
    <n v="0"/>
    <s v="Number"/>
    <n v="7.99"/>
    <n v="7.99"/>
    <n v="38.97"/>
    <n v="38.97"/>
    <n v="38.97"/>
    <s v="True"/>
    <s v="Normal"/>
    <s v="Apple Pay"/>
    <s v="POS"/>
    <s v="cancelled"/>
    <s v="Australia"/>
    <m/>
    <s v="Not Required"/>
    <s v="East Kimberlyborough"/>
  </r>
  <r>
    <s v="#2576"/>
    <n v="1"/>
    <d v="2026-08-04T13:58:27"/>
    <d v="2026-08-04T13:58:27"/>
    <s v="Test Order"/>
    <s v="Email Available"/>
    <s v="test@test.com"/>
    <x v="19"/>
    <s v="Electronics"/>
    <x v="20"/>
    <n v="1"/>
    <n v="15.49"/>
    <n v="15.49"/>
    <s v="FREESHIP"/>
    <s v="FREESHIP"/>
    <s v="$0.00"/>
    <n v="0"/>
    <s v="Number"/>
    <n v="0"/>
    <n v="0"/>
    <n v="0"/>
    <n v="0"/>
    <n v="15.49"/>
    <s v="False"/>
    <s v="Normal"/>
    <s v="Shopify Payments"/>
    <s v="Facebook"/>
    <s v="refunded"/>
    <s v="United States"/>
    <s v="Illinois"/>
    <s v="Valid"/>
    <s v="New Courtney"/>
  </r>
  <r>
    <s v="#2690"/>
    <n v="1"/>
    <d v="2026-08-04T14:01:01"/>
    <d v="2026-08-04T14:01:01"/>
    <s v="Stacy Webb"/>
    <s v="Email Available"/>
    <s v="stacy.webb586@yahoo.com"/>
    <x v="19"/>
    <s v="Electronics"/>
    <x v="20"/>
    <n v="1"/>
    <s v="$15.49"/>
    <n v="15.49"/>
    <s v="VIP15"/>
    <s v="VIP15"/>
    <n v="2.3199999999999998"/>
    <n v="2.3199999999999998"/>
    <s v="Number"/>
    <n v="7.99"/>
    <n v="7.99"/>
    <n v="21.16"/>
    <n v="21.16"/>
    <n v="21.16"/>
    <s v="True"/>
    <s v="Normal"/>
    <s v="PayPal"/>
    <s v="Instagram"/>
    <s v="fulfilled"/>
    <s v="United States"/>
    <s v="NC"/>
    <s v="Valid"/>
    <s v="Andrewton"/>
  </r>
  <r>
    <s v="#1040"/>
    <n v="1"/>
    <d v="2026-08-04T14:03:43"/>
    <d v="2026-08-04T14:03:43"/>
    <s v="  Monica Hicks"/>
    <s v="Email Available"/>
    <s v="monica.hicks473@yahoo.com"/>
    <x v="19"/>
    <s v="Electronics"/>
    <x v="20"/>
    <n v="1"/>
    <n v="15.49"/>
    <n v="15.49"/>
    <m/>
    <s v=""/>
    <n v="0"/>
    <n v="0"/>
    <s v="Number"/>
    <n v="7.99"/>
    <n v="7.99"/>
    <n v="23.48"/>
    <n v="23.48"/>
    <n v="23.48"/>
    <s v="True"/>
    <s v="Normal"/>
    <s v="Google Pay"/>
    <s v="Instagram"/>
    <s v="fulfilled"/>
    <s v="United States"/>
    <s v="Georgia"/>
    <s v="Valid"/>
    <s v="West Lanceview"/>
  </r>
  <r>
    <s v="#1045"/>
    <n v="1"/>
    <d v="2026-08-04T14:08:13"/>
    <d v="2026-08-04T14:08:13"/>
    <s v="Jose Ingram"/>
    <s v="Email Available"/>
    <s v="jose.ingram37@gmail.com"/>
    <x v="19"/>
    <s v="Electronics"/>
    <x v="20"/>
    <n v="1"/>
    <n v="15.49"/>
    <n v="15.49"/>
    <m/>
    <s v=""/>
    <n v="0"/>
    <n v="0"/>
    <s v="Number"/>
    <n v="5.99"/>
    <n v="5.99"/>
    <n v="21.48"/>
    <n v="21.48"/>
    <n v="21.48"/>
    <s v="True"/>
    <s v="Normal"/>
    <s v="Credit Card"/>
    <s v="POS"/>
    <s v="fulfilled"/>
    <s v="United States"/>
    <s v="Canada"/>
    <s v="Valid"/>
    <s v="Port Rosebury"/>
  </r>
  <r>
    <s v="#1053"/>
    <n v="1"/>
    <d v="2026-08-04T14:08:09"/>
    <d v="2026-08-04T14:08:09"/>
    <s v="Anthony Parsons"/>
    <s v="Missing Email"/>
    <m/>
    <x v="19"/>
    <s v="Electronics"/>
    <x v="20"/>
    <n v="2"/>
    <s v="$15.49"/>
    <n v="15.49"/>
    <m/>
    <s v=""/>
    <n v="0"/>
    <n v="0"/>
    <s v="Number"/>
    <n v="4.99"/>
    <n v="4.99"/>
    <n v="35.97"/>
    <n v="35.97"/>
    <n v="35.97"/>
    <s v="True"/>
    <s v="Normal"/>
    <s v="Google Pay"/>
    <s v="Facebook"/>
    <s v="cancelled"/>
    <s v="United States"/>
    <s v="North Carolina"/>
    <s v="Valid"/>
    <s v="Alexanderland"/>
  </r>
  <r>
    <s v="#1057"/>
    <n v="1"/>
    <d v="2026-08-04T13:58:48"/>
    <d v="2026-08-04T13:58:48"/>
    <s v="Melissa Smith"/>
    <s v="Email Available"/>
    <s v="melissa.smith711@gmail.com"/>
    <x v="19"/>
    <s v="Electronics"/>
    <x v="20"/>
    <n v="1"/>
    <n v="15.49"/>
    <n v="15.49"/>
    <s v="WELCOME10"/>
    <s v="WELCOME10"/>
    <n v="1.55"/>
    <n v="1.55"/>
    <s v="Number"/>
    <n v="5.99"/>
    <n v="5.99"/>
    <n v="19.93"/>
    <n v="19.93"/>
    <n v="19.93"/>
    <s v="True"/>
    <s v="Normal"/>
    <s v="Shopify Payments"/>
    <s v="Online Store"/>
    <s v="fulfilled"/>
    <s v="Pakistan"/>
    <m/>
    <s v="Not Required"/>
    <s v="Nancymouth"/>
  </r>
  <r>
    <s v="#1110"/>
    <n v="1"/>
    <d v="2026-08-04T14:02:51"/>
    <d v="2026-08-04T14:02:51"/>
    <s v="Ryan Jones"/>
    <s v="Email Available"/>
    <s v="ryan.jones314@gmail.com"/>
    <x v="19"/>
    <s v="Electronics"/>
    <x v="20"/>
    <n v="1"/>
    <n v="15.49"/>
    <n v="15.49"/>
    <s v="FREESHIP"/>
    <s v="FREESHIP"/>
    <n v="0"/>
    <n v="0"/>
    <s v="Number"/>
    <n v="0"/>
    <n v="0"/>
    <n v="15.49"/>
    <n v="15.49"/>
    <n v="15.49"/>
    <s v="True"/>
    <s v="Normal"/>
    <s v="PayPal"/>
    <s v="POS"/>
    <s v="fulfilled"/>
    <s v="Australia"/>
    <m/>
    <s v="Not Required"/>
    <s v="West Jimmy"/>
  </r>
  <r>
    <s v="#1131"/>
    <n v="1"/>
    <d v="2026-08-04T13:53:57"/>
    <d v="2026-08-04T13:53:57"/>
    <s v="Janet Martinez"/>
    <s v="Email Available"/>
    <s v="janet.martinez20@yahoo.com"/>
    <x v="19"/>
    <s v="Electronics"/>
    <x v="20"/>
    <n v="1"/>
    <n v="15.49"/>
    <n v="15.49"/>
    <m/>
    <s v=""/>
    <n v="0"/>
    <n v="0"/>
    <s v="Number"/>
    <n v="4.99"/>
    <n v="4.99"/>
    <n v="20.48"/>
    <n v="20.48"/>
    <n v="20.48"/>
    <s v="True"/>
    <s v="Normal"/>
    <s v="Shopify Payments"/>
    <s v="Facebook"/>
    <s v="fulfilled"/>
    <s v="United States"/>
    <s v="Illinois"/>
    <s v="Valid"/>
    <s v="West Brian"/>
  </r>
  <r>
    <s v="#1133"/>
    <n v="1"/>
    <d v="2026-08-04T14:02:55"/>
    <d v="2026-08-04T14:02:55"/>
    <s v="Christopher Hayes"/>
    <s v="Email Available"/>
    <s v="christopher.hayes809@icloud.com"/>
    <x v="19"/>
    <s v="Electronics"/>
    <x v="20"/>
    <n v="3"/>
    <n v="15.49"/>
    <n v="15.49"/>
    <m/>
    <s v=""/>
    <s v="$0.00"/>
    <n v="0"/>
    <s v="Number"/>
    <n v="5.99"/>
    <n v="5.99"/>
    <n v="52.46"/>
    <n v="52.46"/>
    <n v="52.46"/>
    <s v="True"/>
    <s v="Normal"/>
    <s v="PayPal"/>
    <s v="Online Store"/>
    <s v="fulfilled"/>
    <s v="United States"/>
    <s v="Ohio"/>
    <s v="Valid"/>
    <s v="Seanport"/>
  </r>
  <r>
    <s v="#1134"/>
    <n v="1"/>
    <d v="2026-08-04T14:02:35"/>
    <d v="2026-08-04T14:02:35"/>
    <s v="Frank Diaz"/>
    <s v="Email Available"/>
    <s v="frank.diaz795@gmail.com"/>
    <x v="19"/>
    <s v="Electronics"/>
    <x v="20"/>
    <n v="1"/>
    <n v="15.49"/>
    <n v="15.49"/>
    <s v="SAVE20"/>
    <s v="SAVE20"/>
    <n v="3.1"/>
    <n v="3.1"/>
    <s v="Number"/>
    <n v="5.99"/>
    <n v="5.99"/>
    <n v="18.38"/>
    <n v="18.38"/>
    <n v="18.380000000000003"/>
    <s v="True"/>
    <s v="Normal"/>
    <s v="Shopify Payments"/>
    <s v="Online Store"/>
    <s v="fulfilled"/>
    <s v="United States"/>
    <s v="Georgia"/>
    <s v="Valid"/>
    <s v="Tannerbury"/>
  </r>
  <r>
    <s v="#1162"/>
    <n v="1"/>
    <d v="2026-04-08T00:00:00"/>
    <s v="08/04/2026"/>
    <s v="Cynthia Williams"/>
    <s v="Email Available"/>
    <s v="cynthia.williams720@yahoo.com"/>
    <x v="19"/>
    <s v="Electronics"/>
    <x v="20"/>
    <n v="1"/>
    <n v="15.49"/>
    <n v="15.49"/>
    <m/>
    <s v=""/>
    <n v="0"/>
    <n v="0"/>
    <s v="Number"/>
    <n v="7.99"/>
    <n v="7.99"/>
    <n v="23.48"/>
    <n v="23.48"/>
    <n v="23.48"/>
    <s v="True"/>
    <s v="Normal"/>
    <s v="Google Pay"/>
    <s v="Online Store"/>
    <s v="cancelled"/>
    <s v="Australia"/>
    <m/>
    <s v="Not Required"/>
    <s v="Jordanmouth"/>
  </r>
  <r>
    <s v="#1255"/>
    <n v="1"/>
    <d v="2026-08-04T13:56:37"/>
    <d v="2026-08-04T13:56:37"/>
    <s v="Katelyn Johnson"/>
    <s v="Email Available"/>
    <s v="katelyn.johnson502@outlook.com"/>
    <x v="19"/>
    <s v="Electronics"/>
    <x v="20"/>
    <n v="2"/>
    <n v="15.49"/>
    <n v="15.49"/>
    <s v="VIP15"/>
    <s v="VIP15"/>
    <n v="4.6500000000000004"/>
    <n v="4.6500000000000004"/>
    <s v="Number"/>
    <n v="7.99"/>
    <n v="7.99"/>
    <n v="34.32"/>
    <n v="34.32"/>
    <n v="34.32"/>
    <s v="True"/>
    <s v="Normal"/>
    <s v="Shopify Payments"/>
    <s v="Online Store"/>
    <s v="fulfilled"/>
    <s v="United States"/>
    <s v="California"/>
    <s v="Valid"/>
    <s v="East Danielle"/>
  </r>
  <r>
    <s v="#1289"/>
    <n v="1"/>
    <d v="2026-08-04T00:00:00"/>
    <s v="04-08-2026 14:02"/>
    <s v="Richard Sosa"/>
    <s v="Email Available"/>
    <s v="richard.sosa486@yahoo.com"/>
    <x v="19"/>
    <s v="Electronics"/>
    <x v="20"/>
    <n v="1"/>
    <s v="$15.49"/>
    <n v="15.49"/>
    <s v="WELCOME10"/>
    <s v="WELCOME10"/>
    <n v="1.55"/>
    <n v="1.55"/>
    <s v="Number"/>
    <n v="4.99"/>
    <n v="4.99"/>
    <n v="18.93"/>
    <n v="18.93"/>
    <n v="18.93"/>
    <s v="True"/>
    <s v="Normal"/>
    <s v="Credit Card"/>
    <s v="Online Store"/>
    <s v="pending"/>
    <s v="United States"/>
    <s v="Georgia"/>
    <s v="Valid"/>
    <s v="Port Allen"/>
  </r>
  <r>
    <s v="#1309"/>
    <n v="1"/>
    <d v="2026-08-04T00:00:00"/>
    <s v="04-08-2026 13:56"/>
    <s v="Heather Davis"/>
    <s v="Email Available"/>
    <s v="heather.davis117@icloud.com"/>
    <x v="19"/>
    <s v="Electronics"/>
    <x v="20"/>
    <n v="1"/>
    <n v="15.49"/>
    <n v="15.49"/>
    <m/>
    <s v=""/>
    <n v="0"/>
    <n v="0"/>
    <s v="Number"/>
    <n v="7.99"/>
    <n v="7.99"/>
    <n v="23.48"/>
    <n v="23.48"/>
    <n v="23.48"/>
    <s v="True"/>
    <s v="Normal"/>
    <s v="PayPal"/>
    <s v="Online Store"/>
    <s v="fulfilled"/>
    <s v="Germany"/>
    <m/>
    <s v="Not Required"/>
    <s v="Lake Danielfurt"/>
  </r>
  <r>
    <s v="#1314"/>
    <n v="1"/>
    <d v="2026-08-04T13:54:02"/>
    <d v="2026-08-04T13:54:02"/>
    <s v="Darin Alvarez"/>
    <s v="Email Available"/>
    <s v="darin.alvarez843@gmail.com"/>
    <x v="19"/>
    <s v="Electronics"/>
    <x v="20"/>
    <n v="1"/>
    <n v="15.49"/>
    <n v="15.49"/>
    <m/>
    <s v=""/>
    <n v="0"/>
    <n v="0"/>
    <s v="Number"/>
    <n v="5.99"/>
    <n v="5.99"/>
    <n v="21.48"/>
    <n v="21.48"/>
    <n v="21.48"/>
    <s v="True"/>
    <s v="Normal"/>
    <s v="Google Pay"/>
    <s v="Online Store"/>
    <s v="fulfilled"/>
    <s v="Canada"/>
    <m/>
    <s v="Not Required"/>
    <s v="Santiagohaven"/>
  </r>
  <r>
    <s v="#1336"/>
    <n v="1"/>
    <d v="2026-08-04T14:04:18"/>
    <d v="2026-08-04T14:04:18"/>
    <s v="Tracy Adams"/>
    <s v="Email Available"/>
    <s v="tracy.adams712@icloud.com"/>
    <x v="19"/>
    <s v="Electronics"/>
    <x v="20"/>
    <n v="2"/>
    <n v="15.49"/>
    <n v="15.49"/>
    <m/>
    <s v=""/>
    <n v="0"/>
    <n v="0"/>
    <s v="Number"/>
    <n v="5.99"/>
    <n v="5.99"/>
    <n v="36.97"/>
    <n v="36.97"/>
    <n v="36.97"/>
    <s v="True"/>
    <s v="Normal"/>
    <s v="Credit Card"/>
    <s v="Instagram"/>
    <s v="pending"/>
    <s v="United States"/>
    <s v="California"/>
    <s v="Valid"/>
    <s v="New Ashley"/>
  </r>
  <r>
    <s v="#1351"/>
    <n v="1"/>
    <d v="2026-08-04T14:01:45"/>
    <d v="2026-08-04T14:01:45"/>
    <s v="John Carson"/>
    <s v="Email Available"/>
    <s v="john.carson203@yahoo.com"/>
    <x v="19"/>
    <s v="Electronics"/>
    <x v="20"/>
    <n v="1"/>
    <n v="15.49"/>
    <n v="15.49"/>
    <s v="FREESHIP"/>
    <s v="FREESHIP"/>
    <n v="0"/>
    <n v="0"/>
    <s v="Number"/>
    <n v="0"/>
    <n v="0"/>
    <n v="15.49"/>
    <n v="15.49"/>
    <n v="15.49"/>
    <s v="True"/>
    <s v="Normal"/>
    <s v="PayPal"/>
    <s v="Online Store"/>
    <s v="fulfilled"/>
    <s v="United States"/>
    <s v="Georgia"/>
    <s v="Valid"/>
    <s v="East Emily"/>
  </r>
  <r>
    <s v="#1353"/>
    <n v="1"/>
    <d v="2026-08-04T14:04:46"/>
    <d v="2026-08-04T14:04:46"/>
    <s v="Dawn Randolph"/>
    <s v="Email Available"/>
    <s v="dawn.randolph179@icloud.com"/>
    <x v="19"/>
    <s v="Electronics"/>
    <x v="20"/>
    <n v="2"/>
    <n v="15.49"/>
    <n v="15.49"/>
    <m/>
    <s v=""/>
    <n v="0"/>
    <n v="0"/>
    <s v="Number"/>
    <n v="7.99"/>
    <n v="7.99"/>
    <n v="38.97"/>
    <n v="38.97"/>
    <n v="38.97"/>
    <s v="True"/>
    <s v="Normal"/>
    <s v="Apple Pay"/>
    <s v="Online Store"/>
    <s v="fulfilled"/>
    <s v="Pakistan"/>
    <m/>
    <s v="Not Required"/>
    <s v="West Noah"/>
  </r>
  <r>
    <s v="#1354"/>
    <n v="1"/>
    <d v="2026-08-04T14:04:39"/>
    <d v="2026-08-04T14:04:39"/>
    <s v="Michael Jacobson"/>
    <s v="Email Available"/>
    <s v="michael.jacobson69@outlook.com"/>
    <x v="19"/>
    <s v="Electronics"/>
    <x v="20"/>
    <n v="1"/>
    <n v="15.49"/>
    <n v="15.49"/>
    <s v="WELCOME10"/>
    <s v="WELCOME10"/>
    <n v="1.55"/>
    <n v="1.55"/>
    <s v="Number"/>
    <n v="7.99"/>
    <n v="7.99"/>
    <n v="21.93"/>
    <n v="21.93"/>
    <n v="21.93"/>
    <s v="True"/>
    <s v="Normal"/>
    <s v="Credit Card"/>
    <s v="Instagram"/>
    <s v="fulfilled"/>
    <s v="Germany"/>
    <m/>
    <s v="Not Required"/>
    <s v="Scottchester"/>
  </r>
  <r>
    <s v="#1356"/>
    <n v="1"/>
    <d v="2026-08-04T13:54:30"/>
    <d v="2026-08-04T13:54:30"/>
    <m/>
    <s v="Email Available"/>
    <s v="james.miller866@yahoo.com"/>
    <x v="19"/>
    <s v="Electronics"/>
    <x v="20"/>
    <n v="1"/>
    <n v="15.49"/>
    <n v="15.49"/>
    <s v="FREESHIP"/>
    <s v="FREESHIP"/>
    <n v="0"/>
    <n v="0"/>
    <s v="Number"/>
    <n v="0"/>
    <n v="0"/>
    <n v="15.49"/>
    <n v="15.49"/>
    <n v="15.49"/>
    <s v="True"/>
    <s v="Normal"/>
    <s v="PayPal"/>
    <s v="Online Store"/>
    <s v="refunded"/>
    <s v="Pakistan"/>
    <m/>
    <s v="Not Required"/>
    <s v="Martinmouth"/>
  </r>
  <r>
    <s v="#1380"/>
    <n v="1"/>
    <d v="2026-08-04T13:57:41"/>
    <d v="2026-08-04T13:57:41"/>
    <s v="Tyler Williams"/>
    <s v="Email Available"/>
    <s v="tyler.williams938@outlook.com"/>
    <x v="19"/>
    <s v="Electronics"/>
    <x v="20"/>
    <n v="1"/>
    <n v="15.49"/>
    <n v="15.49"/>
    <m/>
    <s v=""/>
    <n v="0"/>
    <n v="0"/>
    <s v="Number"/>
    <n v="5.99"/>
    <n v="5.99"/>
    <n v="21.48"/>
    <n v="21.48"/>
    <n v="21.48"/>
    <s v="True"/>
    <s v="Normal"/>
    <s v="Credit Card"/>
    <s v="Online Store"/>
    <s v="pending"/>
    <s v="Australia"/>
    <m/>
    <s v="Not Required"/>
    <s v="Daltonstad"/>
  </r>
  <r>
    <s v="#1385"/>
    <n v="1"/>
    <d v="2026-08-04T13:57:24"/>
    <d v="2026-08-04T13:57:24"/>
    <s v="Mary Garcia"/>
    <s v="Email Available"/>
    <s v="mary.garcia899@icloud.com"/>
    <x v="19"/>
    <s v="Electronics"/>
    <x v="20"/>
    <n v="3"/>
    <n v="15.49"/>
    <n v="15.49"/>
    <s v="VIP15"/>
    <s v="VIP15"/>
    <n v="6.97"/>
    <n v="6.97"/>
    <s v="Number"/>
    <n v="4.99"/>
    <n v="4.99"/>
    <n v="44.49"/>
    <n v="44.49"/>
    <n v="44.49"/>
    <s v="True"/>
    <s v="Normal"/>
    <s v="Google Pay"/>
    <s v="Facebook"/>
    <s v="cancelled"/>
    <s v="Canada"/>
    <m/>
    <s v="Not Required"/>
    <s v="New Kevintown"/>
  </r>
  <r>
    <s v="#1392"/>
    <n v="1"/>
    <d v="2026-08-04T13:53:26"/>
    <d v="2026-08-04T13:53:26"/>
    <s v="Donald Davis"/>
    <s v="Email Available"/>
    <s v="donald.davis404@icloud.com"/>
    <x v="19"/>
    <s v="Electronics"/>
    <x v="20"/>
    <n v="1"/>
    <n v="15.49"/>
    <n v="15.49"/>
    <m/>
    <s v=""/>
    <n v="0"/>
    <n v="0"/>
    <s v="Number"/>
    <n v="5.99"/>
    <n v="5.99"/>
    <n v="21.48"/>
    <n v="21.48"/>
    <n v="21.48"/>
    <s v="True"/>
    <s v="Normal"/>
    <s v="PayPal"/>
    <s v="Online Store"/>
    <s v="pending"/>
    <s v="Canada"/>
    <m/>
    <s v="Not Required"/>
    <s v="North Karina"/>
  </r>
  <r>
    <s v="#1427"/>
    <n v="1"/>
    <d v="2026-08-04T00:00:00"/>
    <s v="2026-08-04"/>
    <s v="Suzanne White"/>
    <s v="Email Available"/>
    <s v="suzanne.white877@gmail.com"/>
    <x v="19"/>
    <s v="Electronics"/>
    <x v="20"/>
    <n v="1"/>
    <n v="15.49"/>
    <n v="15.49"/>
    <s v="VIP15"/>
    <s v="VIP15"/>
    <n v="2.3199999999999998"/>
    <n v="2.3199999999999998"/>
    <s v="Number"/>
    <n v="4.99"/>
    <n v="4.99"/>
    <n v="18.16"/>
    <n v="18.16"/>
    <n v="18.16"/>
    <s v="True"/>
    <s v="Normal"/>
    <s v="Apple Pay"/>
    <s v="Online Store"/>
    <s v="fulfilled"/>
    <s v="United States"/>
    <s v="Ohio"/>
    <s v="Valid"/>
    <s v="South Nancy"/>
  </r>
  <r>
    <s v="#1444"/>
    <n v="1"/>
    <d v="2026-04-08T00:00:00"/>
    <s v="08/04/2026"/>
    <s v="William Houston"/>
    <s v="Email Available"/>
    <s v="william.houston340@outlook.com"/>
    <x v="19"/>
    <s v="Electronics"/>
    <x v="20"/>
    <n v="1"/>
    <s v="$15.49"/>
    <n v="15.49"/>
    <s v="FREESHIP"/>
    <s v="FREESHIP"/>
    <n v="0"/>
    <n v="0"/>
    <s v="Number"/>
    <n v="0"/>
    <n v="0"/>
    <n v="15.49"/>
    <n v="15.49"/>
    <n v="15.49"/>
    <s v="True"/>
    <s v="Normal"/>
    <s v="Credit Card"/>
    <s v="Facebook"/>
    <s v="fulfilled"/>
    <s v="United States"/>
    <s v="WA"/>
    <s v="Valid"/>
    <s v="Lake Allisonport"/>
  </r>
  <r>
    <s v="#1473"/>
    <n v="1"/>
    <d v="2026-08-04T14:01:32"/>
    <d v="2026-08-04T14:01:32"/>
    <s v="Kayla Cruz"/>
    <s v="Email Available"/>
    <s v="kayla.cruz151@outlook.com"/>
    <x v="19"/>
    <s v="Electronics"/>
    <x v="20"/>
    <n v="2"/>
    <n v="15.49"/>
    <n v="15.49"/>
    <s v="SAVE20"/>
    <s v="SAVE20"/>
    <n v="6.2"/>
    <n v="6.2"/>
    <s v="Number"/>
    <n v="5.99"/>
    <n v="5.99"/>
    <n v="30.77"/>
    <n v="30.77"/>
    <n v="30.770000000000003"/>
    <s v="True"/>
    <s v="Normal"/>
    <s v="PayPal"/>
    <s v="Instagram"/>
    <s v="pending"/>
    <s v="Pakistan"/>
    <m/>
    <s v="Not Required"/>
    <s v="New Blake"/>
  </r>
  <r>
    <s v="#1477"/>
    <n v="1"/>
    <d v="2026-08-04T14:06:59"/>
    <d v="2026-08-04T14:06:59"/>
    <s v="Natalie Roberts"/>
    <s v="Email Available"/>
    <s v="natalie.roberts628@yahoo.com"/>
    <x v="19"/>
    <s v="Electronics"/>
    <x v="20"/>
    <n v="1"/>
    <n v="15.49"/>
    <n v="15.49"/>
    <m/>
    <s v=""/>
    <s v="$0.00"/>
    <n v="0"/>
    <s v="Number"/>
    <n v="7.99"/>
    <n v="7.99"/>
    <n v="23.48"/>
    <n v="23.48"/>
    <n v="23.48"/>
    <s v="True"/>
    <s v="Normal"/>
    <s v="Google Pay"/>
    <s v="POS"/>
    <s v="cancelled"/>
    <s v="United States"/>
    <s v="Illinois"/>
    <s v="Valid"/>
    <s v="West Coryhaven"/>
  </r>
  <r>
    <s v="#1534"/>
    <n v="1"/>
    <d v="2026-08-04T14:07:18"/>
    <d v="2026-08-04T14:07:18"/>
    <s v="Brian Shaffer"/>
    <s v="Email Available"/>
    <s v="brian.shaffer90@yahoo.com"/>
    <x v="19"/>
    <s v="Electronics"/>
    <x v="20"/>
    <n v="2"/>
    <n v="15.49"/>
    <n v="15.49"/>
    <m/>
    <s v=""/>
    <n v="0"/>
    <n v="0"/>
    <s v="Number"/>
    <n v="4.99"/>
    <n v="4.99"/>
    <n v="35.97"/>
    <n v="35.97"/>
    <n v="35.97"/>
    <s v="True"/>
    <s v="Normal"/>
    <s v="PayPal"/>
    <s v="Instagram"/>
    <s v="pending"/>
    <s v="United States"/>
    <s v="New York"/>
    <s v="Valid"/>
    <s v="North Robert"/>
  </r>
  <r>
    <s v="#1535"/>
    <n v="1"/>
    <d v="2026-08-04T13:59:20"/>
    <d v="2026-08-04T13:59:20"/>
    <s v="Joshua Thompson"/>
    <s v="Email Available"/>
    <s v="joshua.thompson522@outlook.com"/>
    <x v="19"/>
    <s v="Electronics"/>
    <x v="20"/>
    <n v="1"/>
    <n v="15.49"/>
    <n v="15.49"/>
    <m/>
    <s v=""/>
    <n v="0"/>
    <n v="0"/>
    <s v="Number"/>
    <n v="7.99"/>
    <n v="7.99"/>
    <n v="23.48"/>
    <n v="23.48"/>
    <n v="23.48"/>
    <s v="True"/>
    <s v="Normal"/>
    <s v="Shopify Payments"/>
    <s v="Online Store"/>
    <s v="fulfilled"/>
    <s v="Pakistan"/>
    <m/>
    <s v="Not Required"/>
    <s v="West Sean"/>
  </r>
  <r>
    <s v="#1539"/>
    <n v="1"/>
    <d v="2026-08-04T13:59:23"/>
    <d v="2026-08-04T13:59:23"/>
    <s v="Gerald Li"/>
    <s v="Email Available"/>
    <s v="gerald.li856@icloud.com"/>
    <x v="19"/>
    <s v="Electronics"/>
    <x v="20"/>
    <n v="1"/>
    <n v="15.49"/>
    <n v="15.49"/>
    <m/>
    <s v=""/>
    <n v="0"/>
    <n v="0"/>
    <s v="Number"/>
    <n v="4.99"/>
    <n v="4.99"/>
    <n v="20.48"/>
    <n v="20.48"/>
    <n v="20.48"/>
    <s v="True"/>
    <s v="Normal"/>
    <s v="PayPal"/>
    <s v="Facebook"/>
    <s v="pending"/>
    <s v="United States"/>
    <s v="Florida"/>
    <s v="Valid"/>
    <s v="North Randymouth"/>
  </r>
  <r>
    <s v="#1578"/>
    <n v="1"/>
    <d v="2026-08-04T00:00:00"/>
    <s v="Aug 04, 2026"/>
    <s v="Kimberly Johnson"/>
    <s v="Email Available"/>
    <s v="kimberly.johnson443@icloud.com"/>
    <x v="19"/>
    <s v="Electronics"/>
    <x v="20"/>
    <n v="1"/>
    <n v="15.49"/>
    <n v="15.49"/>
    <m/>
    <s v=""/>
    <n v="0"/>
    <n v="0"/>
    <s v="Number"/>
    <n v="5.99"/>
    <n v="5.99"/>
    <n v="21.48"/>
    <n v="21.48"/>
    <n v="21.48"/>
    <s v="True"/>
    <s v="Normal"/>
    <s v="Google Pay"/>
    <s v="Facebook"/>
    <s v="fulfilled"/>
    <s v="Australia"/>
    <m/>
    <s v="Not Required"/>
    <s v="Maryburgh"/>
  </r>
  <r>
    <s v="#1595"/>
    <n v="1"/>
    <d v="2026-04-08T00:00:00"/>
    <s v="08/04/2026"/>
    <s v="Angela Carr"/>
    <s v="Email Available"/>
    <s v="angela.carr488@yahoo.com"/>
    <x v="19"/>
    <s v="Electronics"/>
    <x v="20"/>
    <n v="1"/>
    <n v="15.49"/>
    <n v="15.49"/>
    <m/>
    <s v=""/>
    <n v="0"/>
    <n v="0"/>
    <s v="Number"/>
    <n v="4.99"/>
    <n v="4.99"/>
    <n v="20.48"/>
    <n v="20.48"/>
    <n v="20.48"/>
    <s v="True"/>
    <s v="Normal"/>
    <s v="Google Pay"/>
    <s v="Online Store"/>
    <s v="fulfilled"/>
    <s v="United States"/>
    <s v="WA"/>
    <s v="Valid"/>
    <s v="South Melissa"/>
  </r>
  <r>
    <s v="#1620"/>
    <n v="1"/>
    <d v="2026-08-04T13:55:24"/>
    <d v="2026-08-04T13:55:24"/>
    <s v="Darin Alvarez"/>
    <s v="Email Available"/>
    <s v="darin.alvarez843@gmail.com"/>
    <x v="19"/>
    <s v="Electronics"/>
    <x v="20"/>
    <n v="2"/>
    <n v="15.49"/>
    <n v="15.49"/>
    <s v="WELCOME10"/>
    <s v="WELCOME10"/>
    <n v="3.1"/>
    <n v="3.1"/>
    <s v="Number"/>
    <n v="7.99"/>
    <n v="7.99"/>
    <n v="35.869999999999997"/>
    <n v="35.869999999999997"/>
    <n v="35.869999999999997"/>
    <s v="True"/>
    <s v="Normal"/>
    <s v="Credit Card"/>
    <s v="Facebook"/>
    <s v="fulfilled"/>
    <s v="Canada"/>
    <m/>
    <s v="Not Required"/>
    <s v="South Justin"/>
  </r>
  <r>
    <s v="#1817"/>
    <n v="1"/>
    <d v="2026-08-04T13:57:47"/>
    <d v="2026-08-04T13:57:47"/>
    <s v="Randall Rhodes"/>
    <s v="Email Available"/>
    <s v="randall.rhodes730@outlook.com"/>
    <x v="19"/>
    <s v="Electronics"/>
    <x v="20"/>
    <n v="1"/>
    <n v="15.49"/>
    <n v="15.49"/>
    <s v="FREESHIP"/>
    <s v="FREESHIP"/>
    <n v="0"/>
    <n v="0"/>
    <s v="Number"/>
    <n v="0"/>
    <n v="0"/>
    <n v="15.49"/>
    <n v="15.49"/>
    <n v="15.49"/>
    <s v="True"/>
    <s v="Normal"/>
    <s v="Google Pay"/>
    <s v="POS"/>
    <s v="refunded"/>
    <s v="United Kingdom"/>
    <m/>
    <s v="Not Required"/>
    <s v="North Joseph"/>
  </r>
  <r>
    <s v="#1818"/>
    <n v="1"/>
    <d v="2026-08-04T13:59:54"/>
    <d v="2026-08-04T13:59:54"/>
    <s v="Amanda Harris"/>
    <s v="Email Available"/>
    <s v="amanda.harris197@gmail.com"/>
    <x v="19"/>
    <s v="Electronics"/>
    <x v="20"/>
    <n v="1"/>
    <n v="15.49"/>
    <n v="15.49"/>
    <m/>
    <s v=""/>
    <n v="0"/>
    <n v="0"/>
    <s v="Number"/>
    <n v="5.99"/>
    <n v="5.99"/>
    <s v="$21.48"/>
    <n v="21.48"/>
    <n v="21.48"/>
    <s v="True"/>
    <s v="Normal"/>
    <s v="Google Pay"/>
    <s v="Instagram"/>
    <s v="pending"/>
    <s v="United States"/>
    <s v="Washington"/>
    <s v="Valid"/>
    <s v="Richardsonburgh"/>
  </r>
  <r>
    <s v="#1833"/>
    <n v="1"/>
    <d v="2026-08-04T13:54:07"/>
    <d v="2026-08-04T13:54:07"/>
    <s v="Rhonda Chapman"/>
    <s v="Email Available"/>
    <s v="rhonda.chapman481@yahoo.com"/>
    <x v="19"/>
    <s v="Electronics"/>
    <x v="20"/>
    <n v="1"/>
    <n v="15.49"/>
    <n v="15.49"/>
    <s v="FREESHIP"/>
    <s v="FREESHIP"/>
    <n v="0"/>
    <n v="0"/>
    <s v="Number"/>
    <n v="0"/>
    <n v="0"/>
    <n v="15.49"/>
    <n v="15.49"/>
    <n v="15.49"/>
    <s v="True"/>
    <s v="Normal"/>
    <s v="Credit Card"/>
    <s v="POS"/>
    <s v="fulfilled"/>
    <s v="United States"/>
    <s v="NY"/>
    <s v="Valid"/>
    <s v="Jacksontown"/>
  </r>
  <r>
    <s v="#1865"/>
    <n v="1"/>
    <d v="2026-08-04T13:57:52"/>
    <d v="2026-08-04T13:57:52"/>
    <s v="Matthew Perez"/>
    <s v="Email Available"/>
    <s v="matthew.perez875@gmail.com"/>
    <x v="19"/>
    <s v="Electronics"/>
    <x v="20"/>
    <n v="2"/>
    <n v="15.49"/>
    <n v="15.49"/>
    <s v="BFCM25"/>
    <s v="BFCM25"/>
    <n v="7.75"/>
    <n v="7.75"/>
    <s v="Number"/>
    <n v="4.99"/>
    <n v="4.99"/>
    <n v="28.22"/>
    <n v="28.22"/>
    <n v="28.22"/>
    <s v="True"/>
    <s v="Normal"/>
    <s v="Apple Pay"/>
    <s v="Online Store"/>
    <s v="fulfilled"/>
    <s v="Pakistan"/>
    <m/>
    <s v="Not Required"/>
    <s v="Port Traciburgh"/>
  </r>
  <r>
    <s v="#1880"/>
    <n v="1"/>
    <d v="2026-08-04T13:57:21"/>
    <d v="2026-08-04T13:57:21"/>
    <s v="Tina Crane"/>
    <s v="Email Available"/>
    <s v="tina.crane554@gmail.com"/>
    <x v="19"/>
    <s v="Electronics"/>
    <x v="20"/>
    <n v="1"/>
    <n v="15.49"/>
    <n v="15.49"/>
    <s v="FREESHIP"/>
    <s v="FREESHIP"/>
    <n v="0"/>
    <n v="0"/>
    <s v="Number"/>
    <n v="0"/>
    <n v="0"/>
    <n v="15.49"/>
    <n v="15.49"/>
    <n v="15.49"/>
    <s v="True"/>
    <s v="Normal"/>
    <s v="Google Pay"/>
    <s v="Facebook"/>
    <s v="fulfilled"/>
    <s v="United Kingdom"/>
    <m/>
    <s v="Not Required"/>
    <s v="West Susanchester"/>
  </r>
  <r>
    <s v="#1900"/>
    <n v="1"/>
    <d v="2026-08-04T00:00:00"/>
    <s v="04-08-2026 14:05"/>
    <s v="Jesus Mason"/>
    <s v="Email Available"/>
    <s v="jesus.mason798@icloud.com"/>
    <x v="19"/>
    <s v="Electronics"/>
    <x v="20"/>
    <n v="2"/>
    <n v="15.49"/>
    <n v="15.49"/>
    <m/>
    <s v=""/>
    <n v="0"/>
    <n v="0"/>
    <s v="Number"/>
    <n v="4.99"/>
    <n v="4.99"/>
    <n v="35.97"/>
    <n v="35.97"/>
    <n v="35.97"/>
    <s v="True"/>
    <s v="Normal"/>
    <s v="Shopify Payments"/>
    <s v="Online Store"/>
    <s v="fulfilled"/>
    <s v="United States"/>
    <s v="Texas"/>
    <s v="Valid"/>
    <s v="Lake Seanton"/>
  </r>
  <r>
    <s v="#1916"/>
    <n v="1"/>
    <d v="2026-08-04T14:03:18"/>
    <d v="2026-08-04T14:03:18"/>
    <s v="Sandra Potter"/>
    <s v="Email Available"/>
    <s v="sandra.potter166@yahoo.com"/>
    <x v="19"/>
    <s v="Electronics"/>
    <x v="20"/>
    <n v="1"/>
    <n v="15.49"/>
    <n v="15.49"/>
    <m/>
    <s v=""/>
    <n v="0"/>
    <n v="0"/>
    <s v="Number"/>
    <n v="7.99"/>
    <n v="7.99"/>
    <n v="23.48"/>
    <n v="23.48"/>
    <n v="23.48"/>
    <s v="True"/>
    <s v="Normal"/>
    <s v="Apple Pay"/>
    <s v="POS"/>
    <s v="fulfilled"/>
    <s v="United States"/>
    <s v="Illinois"/>
    <s v="Valid"/>
    <s v="Greenbury"/>
  </r>
  <r>
    <s v="#1937"/>
    <n v="1"/>
    <d v="2026-08-04T14:07:56"/>
    <d v="2026-08-04T14:07:56"/>
    <s v="Richard Zavala"/>
    <s v="Email Available"/>
    <s v="richard.zavala602@gmail.com"/>
    <x v="19"/>
    <s v="Electronics"/>
    <x v="20"/>
    <n v="1"/>
    <n v="15.49"/>
    <n v="15.49"/>
    <s v="VIP15"/>
    <s v="VIP15"/>
    <n v="2.3199999999999998"/>
    <n v="2.3199999999999998"/>
    <s v="Number"/>
    <n v="7.99"/>
    <n v="7.99"/>
    <n v="21.16"/>
    <n v="21.16"/>
    <n v="21.16"/>
    <s v="True"/>
    <s v="Normal"/>
    <s v="PayPal"/>
    <s v="Instagram"/>
    <s v="fulfilled"/>
    <s v="Canada"/>
    <m/>
    <s v="Not Required"/>
    <s v="Lake Blake"/>
  </r>
  <r>
    <s v="#1961"/>
    <n v="1"/>
    <d v="2026-08-04T14:07:42"/>
    <d v="2026-08-04T14:07:42"/>
    <s v="John Dunlap"/>
    <s v="Email Available"/>
    <s v="john.dunlap479@outlook.com"/>
    <x v="19"/>
    <s v="Electronics"/>
    <x v="20"/>
    <n v="1"/>
    <s v="$15.49"/>
    <n v="15.49"/>
    <s v="SAVE20"/>
    <s v="SAVE20"/>
    <n v="3.1"/>
    <n v="3.1"/>
    <s v="Number"/>
    <n v="5.99"/>
    <n v="5.99"/>
    <n v="18.38"/>
    <n v="18.38"/>
    <n v="18.380000000000003"/>
    <s v="True"/>
    <s v="Normal"/>
    <s v="Credit Card"/>
    <s v="Online Store"/>
    <s v="cancelled"/>
    <s v="Australia"/>
    <m/>
    <s v="Not Required"/>
    <s v="Brentport"/>
  </r>
  <r>
    <s v="#1962"/>
    <n v="1"/>
    <d v="2026-08-04T14:02:09"/>
    <d v="2026-08-04T14:02:09"/>
    <s v="Anthony Marshall"/>
    <s v="Email Available"/>
    <s v="anthony.marshall823@yahoo.com"/>
    <x v="19"/>
    <s v="Electronics"/>
    <x v="20"/>
    <n v="1"/>
    <n v="15.49"/>
    <n v="15.49"/>
    <s v="BFCM25"/>
    <s v="BFCM25"/>
    <n v="3.87"/>
    <n v="3.87"/>
    <s v="Number"/>
    <n v="5.99"/>
    <n v="5.99"/>
    <n v="17.61"/>
    <n v="17.61"/>
    <n v="17.61"/>
    <s v="True"/>
    <s v="Normal"/>
    <s v="PayPal"/>
    <s v="Instagram"/>
    <s v="fulfilled"/>
    <s v="United States"/>
    <s v="Washington"/>
    <s v="Valid"/>
    <s v="Rangelborough"/>
  </r>
  <r>
    <s v="#2014"/>
    <n v="1"/>
    <d v="2026-08-04T13:59:49"/>
    <d v="2026-08-04T13:59:49"/>
    <s v="Juan Martin"/>
    <s v="Email Available"/>
    <s v="juan.martin929@gmail.com"/>
    <x v="19"/>
    <s v="Electronics"/>
    <x v="20"/>
    <n v="1"/>
    <n v="15.49"/>
    <n v="15.49"/>
    <s v="SAVE20"/>
    <s v="SAVE20"/>
    <n v="3.1"/>
    <n v="3.1"/>
    <s v="Number"/>
    <n v="5.99"/>
    <n v="5.99"/>
    <n v="18.38"/>
    <n v="18.38"/>
    <n v="18.380000000000003"/>
    <s v="True"/>
    <s v="Normal"/>
    <s v="Google Pay"/>
    <s v="Instagram"/>
    <s v="pending"/>
    <s v="United States"/>
    <s v="TX"/>
    <s v="Valid"/>
    <s v="Brownmouth"/>
  </r>
  <r>
    <s v="#2015"/>
    <n v="1"/>
    <d v="2026-08-04T13:55:43"/>
    <d v="2026-08-04T13:55:43"/>
    <s v="Sean Frank"/>
    <s v="Email Available"/>
    <s v="sean.frank587@icloud.com"/>
    <x v="19"/>
    <s v="Electronics"/>
    <x v="20"/>
    <n v="1"/>
    <n v="15.49"/>
    <n v="15.49"/>
    <s v="FREESHIP"/>
    <s v="FREESHIP"/>
    <n v="0"/>
    <n v="0"/>
    <s v="Number"/>
    <n v="0"/>
    <n v="0"/>
    <n v="15.49"/>
    <n v="15.49"/>
    <n v="15.49"/>
    <s v="True"/>
    <s v="Normal"/>
    <s v="Google Pay"/>
    <s v="POS"/>
    <s v="refunded"/>
    <s v="Australia"/>
    <m/>
    <s v="Not Required"/>
    <s v="Davisbury"/>
  </r>
  <r>
    <s v="#2017"/>
    <n v="1"/>
    <d v="2026-08-04T00:00:00"/>
    <s v="2026-08-04"/>
    <s v="Karen Bautista"/>
    <s v="Email Available"/>
    <s v="karen.bautista779@icloud.com"/>
    <x v="19"/>
    <s v="Electronics"/>
    <x v="20"/>
    <n v="1"/>
    <n v="15.49"/>
    <n v="15.49"/>
    <s v="SAVE20"/>
    <s v="SAVE20"/>
    <n v="3.1"/>
    <n v="3.1"/>
    <s v="Number"/>
    <n v="7.99"/>
    <n v="7.99"/>
    <n v="20.38"/>
    <n v="20.38"/>
    <n v="20.380000000000003"/>
    <s v="True"/>
    <s v="Normal"/>
    <s v="Google Pay"/>
    <s v="Facebook"/>
    <s v="cancelled"/>
    <s v="United States"/>
    <s v="Washington"/>
    <s v="Valid"/>
    <s v="North Edwardside"/>
  </r>
  <r>
    <s v="#2054"/>
    <n v="1"/>
    <d v="2026-08-04T14:03:22"/>
    <d v="2026-08-04T14:03:22"/>
    <s v="Monica Hodge"/>
    <s v="Email Available"/>
    <s v="monica.hodge369@icloud.com"/>
    <x v="19"/>
    <s v="Electronics"/>
    <x v="20"/>
    <n v="2"/>
    <n v="15.49"/>
    <n v="15.49"/>
    <s v="SAVE20"/>
    <s v="SAVE20"/>
    <n v="6.2"/>
    <n v="6.2"/>
    <s v="Number"/>
    <n v="7.99"/>
    <n v="7.99"/>
    <n v="32.770000000000003"/>
    <n v="32.770000000000003"/>
    <n v="32.770000000000003"/>
    <s v="True"/>
    <s v="Normal"/>
    <s v="Shopify Payments"/>
    <s v="Facebook"/>
    <s v="fulfilled"/>
    <s v="United States"/>
    <s v="WA"/>
    <s v="Valid"/>
    <s v="Lauraberg"/>
  </r>
  <r>
    <s v="#2059"/>
    <n v="1"/>
    <d v="2026-08-04T14:00:42"/>
    <d v="2026-08-04T14:00:42"/>
    <s v="Gerald Li"/>
    <s v="Email Available"/>
    <s v="gerald.li856@icloud.com"/>
    <x v="19"/>
    <s v="Electronics"/>
    <x v="20"/>
    <n v="2"/>
    <n v="15.49"/>
    <n v="15.49"/>
    <s v="FREESHIP"/>
    <s v="FREESHIP"/>
    <n v="0"/>
    <n v="0"/>
    <s v="Number"/>
    <n v="0"/>
    <n v="0"/>
    <n v="30.98"/>
    <n v="30.98"/>
    <n v="30.98"/>
    <s v="True"/>
    <s v="Normal"/>
    <s v="PayPal"/>
    <s v="Instagram"/>
    <s v="cancelled"/>
    <s v="United States"/>
    <s v="Texas"/>
    <s v="Valid"/>
    <s v="Maryburgh"/>
  </r>
  <r>
    <s v="#2066"/>
    <n v="1"/>
    <d v="2026-08-04T13:59:44"/>
    <d v="2026-08-04T13:59:44"/>
    <s v="Laura Pruitt"/>
    <s v="Email Available"/>
    <s v="laura.pruitt212@yahoo.com"/>
    <x v="19"/>
    <s v="Electronics"/>
    <x v="20"/>
    <n v="2"/>
    <n v="15.49"/>
    <n v="15.49"/>
    <s v="SAVE20"/>
    <s v="SAVE20"/>
    <n v="6.2"/>
    <n v="6.2"/>
    <s v="Number"/>
    <n v="4.99"/>
    <n v="4.99"/>
    <n v="29.77"/>
    <n v="29.77"/>
    <n v="29.770000000000003"/>
    <s v="True"/>
    <s v="Normal"/>
    <s v="PayPal"/>
    <s v="Facebook"/>
    <s v="cancelled"/>
    <s v="United States"/>
    <s v="Georgia"/>
    <s v="Valid"/>
    <s v="Washingtonland"/>
  </r>
  <r>
    <s v="#2068"/>
    <n v="1"/>
    <d v="2026-08-04T14:08:23"/>
    <d v="2026-08-04T14:08:23"/>
    <s v="Sharon Brown"/>
    <s v="Email Available"/>
    <s v="sharon.brown14@gmail.com"/>
    <x v="19"/>
    <s v="Electronics"/>
    <x v="20"/>
    <n v="1"/>
    <n v="15.49"/>
    <n v="15.49"/>
    <m/>
    <s v=""/>
    <n v="0"/>
    <n v="0"/>
    <s v="Number"/>
    <n v="7.99"/>
    <n v="7.99"/>
    <n v="23.48"/>
    <n v="23.48"/>
    <n v="23.48"/>
    <s v="True"/>
    <s v="Normal"/>
    <s v="Apple Pay"/>
    <s v="Online Store"/>
    <s v="refunded"/>
    <s v="United States"/>
    <s v="Florida"/>
    <s v="Valid"/>
    <s v="Wilsonshire"/>
  </r>
  <r>
    <s v="#2087"/>
    <n v="1"/>
    <d v="2026-08-04T14:06:27"/>
    <d v="2026-08-04T14:06:27"/>
    <s v="Amanda Robinson"/>
    <s v="Email Available"/>
    <s v="amanda.robinson263@icloud.com"/>
    <x v="19"/>
    <s v="Electronics"/>
    <x v="20"/>
    <n v="2"/>
    <n v="15.49"/>
    <n v="15.49"/>
    <s v="FREESHIP"/>
    <s v="FREESHIP"/>
    <n v="0"/>
    <n v="0"/>
    <s v="Number"/>
    <n v="0"/>
    <n v="0"/>
    <n v="30.98"/>
    <n v="30.98"/>
    <n v="30.98"/>
    <s v="True"/>
    <s v="Normal"/>
    <s v="Apple Pay"/>
    <s v="Facebook"/>
    <s v="refunded"/>
    <s v="United States"/>
    <s v="Canada"/>
    <s v="Valid"/>
    <s v="East Brittany"/>
  </r>
  <r>
    <s v="#2114"/>
    <n v="1"/>
    <d v="2026-08-04T14:01:08"/>
    <d v="2026-08-04T14:01:08"/>
    <s v="Erika Maxwell"/>
    <s v="Email Available"/>
    <s v="erika.maxwell281@gmail.com"/>
    <x v="19"/>
    <s v="Electronics"/>
    <x v="20"/>
    <n v="2"/>
    <n v="15.49"/>
    <n v="15.49"/>
    <s v="BFCM25"/>
    <s v="BFCM25"/>
    <n v="7.75"/>
    <n v="7.75"/>
    <s v="Number"/>
    <n v="5.99"/>
    <n v="5.99"/>
    <n v="29.22"/>
    <n v="29.22"/>
    <n v="29.22"/>
    <s v="True"/>
    <s v="Normal"/>
    <s v="Shopify Payments"/>
    <s v="Online Store"/>
    <s v="fulfilled"/>
    <s v="United States"/>
    <s v="California"/>
    <s v="Valid"/>
    <s v="Pittshaven"/>
  </r>
  <r>
    <s v="#2164"/>
    <n v="1"/>
    <d v="2026-08-04T13:53:37"/>
    <d v="2026-08-04T13:53:37"/>
    <s v="Philip Stevens"/>
    <s v="Email Available"/>
    <s v="philip.stevens908@outlook.com"/>
    <x v="19"/>
    <s v="Electronics"/>
    <x v="20"/>
    <n v="2"/>
    <n v="15.49"/>
    <n v="15.49"/>
    <s v="SAVE20"/>
    <s v="SAVE20"/>
    <n v="6.2"/>
    <n v="6.2"/>
    <s v="Number"/>
    <n v="4.99"/>
    <n v="4.99"/>
    <n v="29.77"/>
    <n v="29.77"/>
    <n v="29.770000000000003"/>
    <s v="True"/>
    <s v="Normal"/>
    <s v="Credit Card"/>
    <s v="POS"/>
    <s v="fulfilled"/>
    <s v="United States"/>
    <s v="North Carolina"/>
    <s v="Valid"/>
    <s v="Smithmouth"/>
  </r>
  <r>
    <s v="#2175"/>
    <n v="1"/>
    <d v="2026-08-04T14:02:10"/>
    <d v="2026-08-04T14:02:10"/>
    <s v="Samuel Lee"/>
    <s v="Missing Email"/>
    <m/>
    <x v="19"/>
    <s v="Electronics"/>
    <x v="20"/>
    <n v="2"/>
    <n v="15.49"/>
    <n v="15.49"/>
    <s v="FREESHIP"/>
    <s v="FREESHIP"/>
    <n v="0"/>
    <n v="0"/>
    <s v="Number"/>
    <n v="0"/>
    <n v="0"/>
    <n v="30.98"/>
    <n v="30.98"/>
    <n v="30.98"/>
    <s v="True"/>
    <s v="Normal"/>
    <s v="Shopify Payments"/>
    <s v="POS"/>
    <s v="cancelled"/>
    <s v="Australia"/>
    <m/>
    <s v="Not Required"/>
    <s v="Welchberg"/>
  </r>
  <r>
    <s v="#2187"/>
    <n v="1"/>
    <d v="2026-08-04T14:01:11"/>
    <d v="2026-08-04T14:01:11"/>
    <s v="Tiffany Jones"/>
    <s v="Email Available"/>
    <s v="tiffany.jones564@outlook.com"/>
    <x v="19"/>
    <s v="Electronics"/>
    <x v="20"/>
    <n v="1"/>
    <n v="15.49"/>
    <n v="15.49"/>
    <m/>
    <s v=""/>
    <n v="0"/>
    <n v="0"/>
    <s v="Number"/>
    <n v="4.99"/>
    <n v="4.99"/>
    <n v="20.48"/>
    <n v="20.48"/>
    <n v="20.48"/>
    <s v="True"/>
    <s v="Normal"/>
    <s v="Credit Card"/>
    <s v="Facebook"/>
    <s v="refunded"/>
    <s v="Germany"/>
    <m/>
    <s v="Not Required"/>
    <s v="Oliviatown"/>
  </r>
  <r>
    <s v="#2236"/>
    <n v="1"/>
    <d v="2026-08-04T14:07:33"/>
    <d v="2026-08-04T14:07:33"/>
    <s v="Gregory Vega"/>
    <s v="Email Available"/>
    <s v="gregory.vega882@outlook.com"/>
    <x v="19"/>
    <s v="Electronics"/>
    <x v="20"/>
    <n v="1"/>
    <n v="15.49"/>
    <n v="15.49"/>
    <m/>
    <s v=""/>
    <n v="0"/>
    <n v="0"/>
    <s v="Number"/>
    <n v="7.99"/>
    <n v="7.99"/>
    <n v="23.48"/>
    <n v="23.48"/>
    <n v="23.48"/>
    <s v="True"/>
    <s v="Normal"/>
    <s v="Shopify Payments"/>
    <s v="Online Store"/>
    <s v="pending"/>
    <s v="Pakistan"/>
    <m/>
    <s v="Not Required"/>
    <s v="Katrinastad"/>
  </r>
  <r>
    <s v="#2244"/>
    <n v="1"/>
    <d v="2026-08-04T14:02:57"/>
    <d v="2026-08-04T14:02:57"/>
    <s v="Carrie White"/>
    <s v="Email Available"/>
    <s v="carrie.white846@gmail.com"/>
    <x v="19"/>
    <s v="Electronics"/>
    <x v="20"/>
    <n v="1"/>
    <n v="15.49"/>
    <n v="15.49"/>
    <s v="BFCM25"/>
    <s v="BFCM25"/>
    <n v="3.87"/>
    <n v="3.87"/>
    <s v="Number"/>
    <n v="5.99"/>
    <n v="5.99"/>
    <n v="17.61"/>
    <n v="17.61"/>
    <n v="17.61"/>
    <s v="True"/>
    <s v="Normal"/>
    <s v="Google Pay"/>
    <s v="Instagram"/>
    <s v="fulfilled"/>
    <s v="United Kingdom"/>
    <m/>
    <s v="Not Required"/>
    <s v="Nicholsberg"/>
  </r>
  <r>
    <s v="#2258"/>
    <n v="1"/>
    <d v="2026-08-04T14:01:57"/>
    <d v="2026-08-04T14:01:57"/>
    <s v="Sarah Hart"/>
    <s v="Email Available"/>
    <s v="sarah.hart267@yahoo.com"/>
    <x v="19"/>
    <s v="Electronics"/>
    <x v="20"/>
    <n v="1"/>
    <n v="15.49"/>
    <n v="15.49"/>
    <s v="VIP15"/>
    <s v="VIP15"/>
    <n v="2.3199999999999998"/>
    <n v="2.3199999999999998"/>
    <s v="Number"/>
    <n v="4.99"/>
    <n v="4.99"/>
    <s v="$18.16"/>
    <n v="18.16"/>
    <n v="18.16"/>
    <s v="True"/>
    <s v="Normal"/>
    <s v="PayPal"/>
    <s v="Online Store"/>
    <s v="fulfilled"/>
    <s v="United Kingdom"/>
    <m/>
    <s v="Not Required"/>
    <s v="West Shawna"/>
  </r>
  <r>
    <s v="#2281"/>
    <n v="1"/>
    <d v="2026-08-04T00:00:00"/>
    <s v="2026-08-04"/>
    <s v="Joshua Owens"/>
    <s v="Email Available"/>
    <s v="joshua.owens56@icloud.com"/>
    <x v="19"/>
    <s v="Electronics"/>
    <x v="20"/>
    <n v="1"/>
    <n v="15.49"/>
    <n v="15.49"/>
    <m/>
    <s v=""/>
    <n v="0"/>
    <n v="0"/>
    <s v="Number"/>
    <n v="5.99"/>
    <n v="5.99"/>
    <n v="21.48"/>
    <n v="21.48"/>
    <n v="21.48"/>
    <s v="True"/>
    <s v="Normal"/>
    <s v="Apple Pay"/>
    <s v="Online Store"/>
    <s v="fulfilled"/>
    <s v="United States"/>
    <s v="Canada"/>
    <s v="Valid"/>
    <s v="New Charlesport"/>
  </r>
  <r>
    <s v="#2297"/>
    <n v="1"/>
    <d v="2026-08-04T13:53:39"/>
    <d v="2026-08-04T13:53:39"/>
    <s v="DEBBIE JOSEPH"/>
    <s v="Email Available"/>
    <s v="debbie.joseph531@outlook.com"/>
    <x v="19"/>
    <s v="Electronics"/>
    <x v="20"/>
    <n v="1"/>
    <n v="15.49"/>
    <n v="15.49"/>
    <m/>
    <s v=""/>
    <n v="0"/>
    <n v="0"/>
    <s v="Number"/>
    <n v="7.99"/>
    <n v="7.99"/>
    <n v="23.48"/>
    <n v="23.48"/>
    <n v="23.48"/>
    <s v="True"/>
    <s v="Normal"/>
    <s v="Google Pay"/>
    <s v="Online Store"/>
    <s v="fulfilled"/>
    <s v="United States"/>
    <s v="Canada"/>
    <s v="Valid"/>
    <s v="East Sandra"/>
  </r>
  <r>
    <s v="#2305"/>
    <n v="1"/>
    <d v="2026-08-04T14:07:06"/>
    <d v="2026-08-04T14:07:06"/>
    <s v="James Miller"/>
    <s v="Email Available"/>
    <s v="james.miller866@yahoo.com"/>
    <x v="19"/>
    <s v="Electronics"/>
    <x v="20"/>
    <n v="1"/>
    <n v="15.49"/>
    <n v="15.49"/>
    <m/>
    <s v=""/>
    <n v="0"/>
    <n v="0"/>
    <s v="Number"/>
    <n v="7.99"/>
    <n v="7.99"/>
    <n v="23.48"/>
    <n v="23.48"/>
    <n v="23.48"/>
    <s v="True"/>
    <s v="Normal"/>
    <s v="Google Pay"/>
    <s v="Online Store"/>
    <s v="fulfilled"/>
    <s v="Pakistan"/>
    <m/>
    <s v="Not Required"/>
    <s v="Johnsonmouth"/>
  </r>
  <r>
    <s v="#2374"/>
    <n v="1"/>
    <d v="2026-08-04T14:03:20"/>
    <d v="2026-08-04T14:03:20"/>
    <s v="Vincent Rosales"/>
    <s v="Email Available"/>
    <s v="vincent.rosales30@icloud.com"/>
    <x v="19"/>
    <s v="Electronics"/>
    <x v="20"/>
    <n v="2"/>
    <n v="15.49"/>
    <n v="15.49"/>
    <s v="VIP15"/>
    <s v="VIP15"/>
    <n v="4.6500000000000004"/>
    <n v="4.6500000000000004"/>
    <s v="Number"/>
    <n v="7.99"/>
    <n v="7.99"/>
    <s v="$34.32"/>
    <n v="34.32"/>
    <n v="34.32"/>
    <s v="True"/>
    <s v="Normal"/>
    <s v="Shopify Payments"/>
    <s v="Online Store"/>
    <s v="fulfilled"/>
    <s v="United States"/>
    <s v="Illinois"/>
    <s v="Valid"/>
    <s v="New Jacqueline"/>
  </r>
  <r>
    <s v="#2397"/>
    <n v="1"/>
    <d v="2026-08-04T14:02:41"/>
    <d v="2026-08-04T14:02:41"/>
    <s v="Christopher Osborne"/>
    <s v="Email Available"/>
    <s v="christopher.osborne481@yahoo.com"/>
    <x v="19"/>
    <s v="Electronics"/>
    <x v="20"/>
    <n v="1"/>
    <n v="15.49"/>
    <n v="15.49"/>
    <m/>
    <s v=""/>
    <n v="0"/>
    <n v="0"/>
    <s v="Number"/>
    <n v="5.99"/>
    <n v="5.99"/>
    <n v="21.48"/>
    <n v="21.48"/>
    <n v="21.48"/>
    <s v="True"/>
    <s v="Normal"/>
    <s v="PayPal"/>
    <s v="POS"/>
    <s v="pending"/>
    <s v="United States"/>
    <s v="OH"/>
    <s v="Valid"/>
    <s v="Alexandraport"/>
  </r>
  <r>
    <s v="#2421"/>
    <n v="1"/>
    <d v="2026-08-04T14:02:24"/>
    <d v="2026-08-04T14:02:24"/>
    <s v="Anthony Mullen"/>
    <s v="Email Available"/>
    <s v="anthony.mullen523@yahoo.com"/>
    <x v="19"/>
    <s v="Electronics"/>
    <x v="20"/>
    <n v="2"/>
    <n v="15.49"/>
    <n v="15.49"/>
    <s v="BFCM25"/>
    <s v="BFCM25"/>
    <n v="7.75"/>
    <n v="7.75"/>
    <s v="Number"/>
    <n v="4.99"/>
    <n v="4.99"/>
    <n v="28.22"/>
    <n v="28.22"/>
    <n v="28.22"/>
    <s v="True"/>
    <s v="Normal"/>
    <s v="Apple Pay"/>
    <s v="Online Store"/>
    <s v="cancelled"/>
    <s v="United States"/>
    <s v="Illinois"/>
    <s v="Valid"/>
    <s v="Bradleyview"/>
  </r>
  <r>
    <s v="#2436"/>
    <n v="1"/>
    <d v="2026-08-04T13:59:22"/>
    <d v="2026-08-04T13:59:22"/>
    <s v="David Fleming"/>
    <s v="Email Available"/>
    <s v="david.fleming778@gmail.com"/>
    <x v="19"/>
    <s v="Electronics"/>
    <x v="20"/>
    <n v="1"/>
    <n v="15.49"/>
    <n v="15.49"/>
    <m/>
    <s v=""/>
    <n v="0"/>
    <n v="0"/>
    <s v="Number"/>
    <n v="4.99"/>
    <n v="4.99"/>
    <n v="20.48"/>
    <n v="20.48"/>
    <n v="20.48"/>
    <s v="True"/>
    <s v="Normal"/>
    <s v="PayPal"/>
    <s v="Instagram"/>
    <s v="fulfilled"/>
    <s v="Australia"/>
    <m/>
    <s v="Not Required"/>
    <s v="Port Dustin"/>
  </r>
  <r>
    <s v="#2467"/>
    <n v="1"/>
    <d v="2026-08-04T14:06:25"/>
    <d v="2026-08-04T14:06:25"/>
    <s v="Rose Campos"/>
    <s v="Email Available"/>
    <s v="rose.campos542@gmail.com"/>
    <x v="19"/>
    <s v="Electronics"/>
    <x v="20"/>
    <n v="1"/>
    <n v="15.49"/>
    <n v="15.49"/>
    <s v="WELCOME10"/>
    <s v="WELCOME10"/>
    <n v="1.55"/>
    <n v="1.55"/>
    <s v="Number"/>
    <n v="7.99"/>
    <n v="7.99"/>
    <n v="21.93"/>
    <n v="21.93"/>
    <n v="21.93"/>
    <s v="True"/>
    <s v="Normal"/>
    <s v="Apple Pay"/>
    <s v="Instagram"/>
    <s v="fulfilled"/>
    <s v="Canada"/>
    <m/>
    <s v="Not Required"/>
    <s v="Port Peter"/>
  </r>
  <r>
    <s v="#2516"/>
    <n v="1"/>
    <d v="2026-08-04T14:00:21"/>
    <d v="2026-08-04T14:00:21"/>
    <s v="Kenneth Morgan"/>
    <s v="Email Available"/>
    <s v="kenneth.morgan181@outlook.com"/>
    <x v="19"/>
    <s v="Electronics"/>
    <x v="20"/>
    <n v="1"/>
    <n v="15.49"/>
    <n v="15.49"/>
    <s v="SAVE20 "/>
    <s v="SAVE20"/>
    <n v="3.1"/>
    <n v="3.1"/>
    <s v="Number"/>
    <n v="5.99"/>
    <n v="5.99"/>
    <n v="18.38"/>
    <n v="18.38"/>
    <n v="18.380000000000003"/>
    <s v="True"/>
    <s v="Normal"/>
    <s v="Credit Card"/>
    <s v="Facebook"/>
    <s v="cancelled"/>
    <s v="United States"/>
    <s v="Arizona"/>
    <s v="Valid"/>
    <s v="Lake Danielbury"/>
  </r>
  <r>
    <s v="#2557"/>
    <n v="1"/>
    <d v="2026-08-04T00:00:00"/>
    <s v="04-08-2026 14:04"/>
    <s v="Jennifer Burke"/>
    <s v="Missing Email"/>
    <m/>
    <x v="19"/>
    <s v="Electronics"/>
    <x v="20"/>
    <n v="1"/>
    <n v="15.49"/>
    <n v="15.49"/>
    <m/>
    <s v=""/>
    <n v="0"/>
    <n v="0"/>
    <s v="Number"/>
    <n v="4.99"/>
    <n v="4.99"/>
    <n v="20.48"/>
    <n v="20.48"/>
    <n v="20.48"/>
    <s v="True"/>
    <s v="Normal"/>
    <s v="Credit Card"/>
    <s v="Online Store"/>
    <s v="fulfilled"/>
    <s v="Pakistan"/>
    <m/>
    <s v="Not Required"/>
    <s v="Caldwellstad"/>
  </r>
  <r>
    <s v="#2573"/>
    <n v="1"/>
    <d v="2026-08-04T13:58:41"/>
    <d v="2026-08-04T13:58:41"/>
    <s v="Andrea Martinez"/>
    <s v="Email Available"/>
    <s v="andrea.martinez756@yahoo.com"/>
    <x v="19"/>
    <s v="Electronics"/>
    <x v="20"/>
    <n v="1"/>
    <n v="15.49"/>
    <n v="15.49"/>
    <m/>
    <s v=""/>
    <n v="0"/>
    <n v="0"/>
    <s v="Number"/>
    <n v="4.99"/>
    <n v="4.99"/>
    <n v="20.48"/>
    <n v="20.48"/>
    <n v="20.48"/>
    <s v="True"/>
    <s v="Normal"/>
    <s v="Apple Pay"/>
    <s v="Facebook"/>
    <s v="fulfilled"/>
    <s v="Australia"/>
    <m/>
    <s v="Not Required"/>
    <s v="Lake Dillon"/>
  </r>
  <r>
    <s v="#2617"/>
    <n v="1"/>
    <d v="2026-08-04T14:03:47"/>
    <d v="2026-08-04T14:03:47"/>
    <s v="Jesus Mason"/>
    <s v="Email Available"/>
    <s v="jesus.mason798@icloud.com"/>
    <x v="19"/>
    <s v="Electronics"/>
    <x v="20"/>
    <n v="1"/>
    <n v="15.49"/>
    <n v="15.49"/>
    <m/>
    <s v=""/>
    <n v="0"/>
    <n v="0"/>
    <s v="Number"/>
    <n v="5.99"/>
    <n v="5.99"/>
    <n v="21.48"/>
    <n v="21.48"/>
    <n v="21.48"/>
    <s v="True"/>
    <s v="Normal"/>
    <s v="PayPal"/>
    <s v="Online Store"/>
    <s v="cancelled"/>
    <s v="United States"/>
    <s v="NC"/>
    <s v="Valid"/>
    <s v="Blevinsborough"/>
  </r>
  <r>
    <s v="#2696"/>
    <n v="1"/>
    <d v="2026-08-04T14:04:42"/>
    <d v="2026-08-04T14:04:42"/>
    <s v="Joshua Ayers"/>
    <s v="Email Available"/>
    <s v="joshua.ayers935@yahoo.com"/>
    <x v="19"/>
    <s v="Electronics"/>
    <x v="20"/>
    <n v="2"/>
    <n v="15.49"/>
    <n v="15.49"/>
    <s v="VIP15"/>
    <s v="VIP15"/>
    <n v="4.6500000000000004"/>
    <n v="4.6500000000000004"/>
    <s v="Number"/>
    <n v="5.99"/>
    <n v="5.99"/>
    <n v="32.32"/>
    <n v="32.32"/>
    <n v="32.32"/>
    <s v="True"/>
    <s v="Normal"/>
    <s v="Apple Pay"/>
    <s v="Online Store"/>
    <s v="fulfilled"/>
    <s v="Germany"/>
    <m/>
    <s v="Not Required"/>
    <s v="New Brandon"/>
  </r>
  <r>
    <s v="#2716"/>
    <n v="1"/>
    <d v="2026-08-04T13:54:07"/>
    <d v="2026-08-04T13:54:07"/>
    <s v="Natalie Dixon"/>
    <s v="Email Available"/>
    <s v="natalie.dixon388@outlook.com"/>
    <x v="19"/>
    <s v="Electronics"/>
    <x v="20"/>
    <n v="1"/>
    <n v="15.49"/>
    <n v="15.49"/>
    <m/>
    <s v=""/>
    <n v="0"/>
    <n v="0"/>
    <s v="Number"/>
    <n v="7.99"/>
    <n v="7.99"/>
    <n v="23.48"/>
    <n v="23.48"/>
    <n v="23.48"/>
    <s v="True"/>
    <s v="Normal"/>
    <s v="Google Pay"/>
    <s v="POS"/>
    <s v="fulfilled"/>
    <s v="United States"/>
    <s v="NY"/>
    <s v="Valid"/>
    <s v="North Kari"/>
  </r>
  <r>
    <s v="#2767"/>
    <n v="1"/>
    <d v="2026-04-08T00:00:00"/>
    <s v="08/04/2026"/>
    <s v="Vincent Rosales"/>
    <s v="Email Available"/>
    <s v="vincent.rosales30@icloud.com"/>
    <x v="19"/>
    <s v="Electronics"/>
    <x v="20"/>
    <n v="2"/>
    <n v="15.49"/>
    <n v="15.49"/>
    <m/>
    <s v=""/>
    <n v="0"/>
    <n v="0"/>
    <s v="Number"/>
    <n v="7.99"/>
    <n v="7.99"/>
    <n v="38.97"/>
    <n v="38.97"/>
    <n v="38.97"/>
    <s v="True"/>
    <s v="Normal"/>
    <s v="PayPal"/>
    <s v="Online Store"/>
    <s v="fulfilled"/>
    <s v="United States"/>
    <s v="OH"/>
    <s v="Valid"/>
    <s v="East Beth"/>
  </r>
  <r>
    <s v="#2781"/>
    <n v="1"/>
    <d v="2026-08-04T14:06:58"/>
    <d v="2026-08-04T14:06:58"/>
    <m/>
    <s v="Email Available"/>
    <s v="sean.frank587@icloud.com"/>
    <x v="19"/>
    <s v="Electronics"/>
    <x v="20"/>
    <n v="1"/>
    <n v="15.49"/>
    <n v="15.49"/>
    <m/>
    <s v=""/>
    <n v="0"/>
    <n v="0"/>
    <s v="Number"/>
    <n v="5.99"/>
    <n v="5.99"/>
    <n v="21.48"/>
    <n v="21.48"/>
    <n v="21.48"/>
    <s v="True"/>
    <s v="Normal"/>
    <s v="Shopify Payments"/>
    <s v="Online Store"/>
    <s v="fulfilled"/>
    <s v="Australia"/>
    <m/>
    <s v="Not Required"/>
    <s v="Terryport"/>
  </r>
  <r>
    <s v="#2811"/>
    <n v="1"/>
    <d v="2026-08-04T14:01:42"/>
    <d v="2026-08-04T14:01:42"/>
    <s v="Anthony Mullen"/>
    <s v="Email Available"/>
    <s v="anthony.mullen523@yahoo.com"/>
    <x v="19"/>
    <s v="Electronics"/>
    <x v="20"/>
    <n v="2"/>
    <n v="15.49"/>
    <n v="15.49"/>
    <s v="BFCM25"/>
    <s v="BFCM25"/>
    <n v="7.75"/>
    <n v="7.75"/>
    <s v="Number"/>
    <n v="7.99"/>
    <n v="7.99"/>
    <n v="31.22"/>
    <n v="31.22"/>
    <n v="31.22"/>
    <s v="True"/>
    <s v="Normal"/>
    <s v="PayPal"/>
    <s v="POS"/>
    <s v="refunded"/>
    <s v="United States"/>
    <s v="Ohio"/>
    <s v="Valid"/>
    <s v="West Katherine"/>
  </r>
  <r>
    <s v="#2904"/>
    <n v="1"/>
    <d v="2026-04-08T00:00:00"/>
    <s v="08/04/2026"/>
    <s v="Rose Campos"/>
    <s v="Email Available"/>
    <s v="rose.campos542@gmail.com"/>
    <x v="19"/>
    <s v="Electronics"/>
    <x v="20"/>
    <n v="1"/>
    <n v="15.49"/>
    <n v="15.49"/>
    <s v="VIP15"/>
    <s v="VIP15"/>
    <n v="2.3199999999999998"/>
    <n v="2.3199999999999998"/>
    <s v="Number"/>
    <n v="4.99"/>
    <n v="4.99"/>
    <s v="$18.16"/>
    <n v="18.16"/>
    <n v="18.16"/>
    <s v="True"/>
    <s v="Normal"/>
    <s v="PayPal"/>
    <s v="Facebook"/>
    <s v="pending"/>
    <s v="Canada"/>
    <m/>
    <s v="Not Required"/>
    <s v="Grantchester"/>
  </r>
  <r>
    <s v="#2921"/>
    <n v="1"/>
    <d v="2026-08-04T13:57:35"/>
    <d v="2026-08-04T13:57:35"/>
    <s v="Lori Davis"/>
    <s v="Email Available"/>
    <s v="lori.davis757@yahoo.com"/>
    <x v="19"/>
    <s v="Electronics"/>
    <x v="20"/>
    <n v="1"/>
    <n v="15.49"/>
    <n v="15.49"/>
    <m/>
    <s v=""/>
    <n v="0"/>
    <n v="0"/>
    <s v="Number"/>
    <n v="7.99"/>
    <n v="7.99"/>
    <s v="$23.48"/>
    <n v="23.48"/>
    <n v="23.48"/>
    <s v="True"/>
    <s v="Normal"/>
    <s v="Apple Pay"/>
    <s v="Online Store"/>
    <s v="fulfilled"/>
    <s v="Germany"/>
    <m/>
    <s v="Not Required"/>
    <s v="Port Ashley"/>
  </r>
  <r>
    <s v="#2964"/>
    <n v="1"/>
    <d v="2026-08-04T13:58:24"/>
    <d v="2026-08-04T13:58:24"/>
    <s v="Joshua Chavez"/>
    <s v="Email Available"/>
    <s v="joshua.chavez332@outlook.com"/>
    <x v="19"/>
    <s v="Electronics"/>
    <x v="20"/>
    <n v="1"/>
    <n v="15.49"/>
    <n v="15.49"/>
    <s v="BFCM25"/>
    <s v="BFCM25"/>
    <n v="3.87"/>
    <n v="3.87"/>
    <s v="Number"/>
    <n v="7.99"/>
    <n v="7.99"/>
    <n v="19.61"/>
    <n v="19.61"/>
    <n v="19.61"/>
    <s v="True"/>
    <s v="Normal"/>
    <s v="Google Pay"/>
    <s v="Online Store"/>
    <s v="fulfilled"/>
    <s v="United States"/>
    <s v="Texas"/>
    <s v="Valid"/>
    <s v="Ashleyberg"/>
  </r>
  <r>
    <s v="#2998"/>
    <n v="1"/>
    <d v="2026-08-04T14:02:19"/>
    <d v="2026-08-04T14:02:19"/>
    <s v="stephanie mcdonald"/>
    <s v="Email Available"/>
    <s v="stephanie.mcdonald873@icloud.com"/>
    <x v="19"/>
    <s v="Electronics"/>
    <x v="20"/>
    <n v="1"/>
    <s v="$15.49"/>
    <n v="15.49"/>
    <s v="WELCOME10"/>
    <s v="WELCOME10"/>
    <n v="1.55"/>
    <n v="1.55"/>
    <s v="Number"/>
    <n v="4.99"/>
    <n v="4.99"/>
    <n v="18.93"/>
    <n v="18.93"/>
    <n v="18.93"/>
    <s v="True"/>
    <s v="Normal"/>
    <s v="Credit Card"/>
    <s v="Instagram"/>
    <s v="fulfilled"/>
    <s v="Australia"/>
    <m/>
    <s v="Not Required"/>
    <s v="Estradafort"/>
  </r>
  <r>
    <s v="#1027"/>
    <n v="1"/>
    <d v="2026-08-04T13:58:50"/>
    <d v="2026-08-04T13:58:50"/>
    <s v="Sandra Wilson"/>
    <s v="Email Available"/>
    <s v="sandra.wilson554@outlook.com"/>
    <x v="20"/>
    <s v="Beauty"/>
    <x v="21"/>
    <n v="1"/>
    <n v="24.99"/>
    <n v="24.99"/>
    <s v="VIP15"/>
    <s v="VIP15"/>
    <n v="3.75"/>
    <n v="3.75"/>
    <s v="Number"/>
    <n v="7.99"/>
    <n v="7.99"/>
    <n v="29.23"/>
    <n v="29.23"/>
    <n v="29.229999999999997"/>
    <s v="True"/>
    <s v="Normal"/>
    <s v="Apple Pay"/>
    <s v="Online Store"/>
    <s v="pending"/>
    <s v="Canada"/>
    <m/>
    <s v="Not Required"/>
    <s v="Hollyport"/>
  </r>
  <r>
    <s v="#1033"/>
    <n v="1"/>
    <d v="2026-08-04T14:02:34"/>
    <d v="2026-08-04T14:02:34"/>
    <s v="Anthony Marshall"/>
    <s v="Email Available"/>
    <s v="anthony.marshall823@yahoo.com"/>
    <x v="20"/>
    <s v="Beauty"/>
    <x v="21"/>
    <n v="1"/>
    <n v="24.99"/>
    <n v="24.99"/>
    <s v="VIP15"/>
    <s v="VIP15"/>
    <n v="3.75"/>
    <n v="3.75"/>
    <s v="Number"/>
    <n v="5.99"/>
    <n v="5.99"/>
    <n v="27.23"/>
    <n v="27.23"/>
    <n v="27.229999999999997"/>
    <s v="True"/>
    <s v="Normal"/>
    <s v="Google Pay"/>
    <s v="Online Store"/>
    <s v="fulfilled"/>
    <s v="United States"/>
    <s v="Ohio"/>
    <s v="Valid"/>
    <s v="Timothyton"/>
  </r>
  <r>
    <s v="#1048"/>
    <n v="1"/>
    <d v="2026-08-04T14:07:11"/>
    <d v="2026-08-04T14:07:11"/>
    <s v="Andrew Johnson"/>
    <s v="Email Available"/>
    <s v="andrew.johnson94@outlook.com"/>
    <x v="20"/>
    <s v="Beauty"/>
    <x v="21"/>
    <n v="1"/>
    <n v="24.99"/>
    <n v="24.99"/>
    <s v="WELCOME10"/>
    <s v="WELCOME10"/>
    <n v="2.5"/>
    <n v="2.5"/>
    <s v="Number"/>
    <n v="5.99"/>
    <n v="5.99"/>
    <n v="28.48"/>
    <n v="28.48"/>
    <n v="28.479999999999997"/>
    <s v="True"/>
    <s v="Normal"/>
    <s v="PayPal"/>
    <s v="Facebook"/>
    <s v="fulfilled"/>
    <s v="Australia"/>
    <m/>
    <s v="Not Required"/>
    <s v="Briannahaven"/>
  </r>
  <r>
    <s v="#1070"/>
    <n v="1"/>
    <d v="2026-08-04T14:01:09"/>
    <d v="2026-08-04T14:01:09"/>
    <s v="Shelly Griffith"/>
    <s v="Email Available"/>
    <s v="shelly.griffith342@icloud.com"/>
    <x v="20"/>
    <s v="Beauty"/>
    <x v="21"/>
    <n v="1"/>
    <n v="24.99"/>
    <n v="24.99"/>
    <s v="VIP15"/>
    <s v="VIP15"/>
    <n v="3.75"/>
    <n v="3.75"/>
    <s v="Number"/>
    <n v="4.99"/>
    <n v="4.99"/>
    <n v="26.23"/>
    <n v="26.23"/>
    <n v="26.229999999999997"/>
    <s v="True"/>
    <s v="Normal"/>
    <s v="PayPal"/>
    <s v="Online Store"/>
    <s v="fulfilled"/>
    <s v="Australia"/>
    <m/>
    <s v="Not Required"/>
    <s v="Lake Michele"/>
  </r>
  <r>
    <s v="#1079"/>
    <n v="1"/>
    <d v="2026-08-04T14:00:06"/>
    <d v="2026-08-04T14:00:06"/>
    <s v="Nicole Taylor"/>
    <s v="Email Available"/>
    <s v="nicole.taylor607@icloud.com"/>
    <x v="20"/>
    <s v="Beauty"/>
    <x v="21"/>
    <n v="1"/>
    <n v="24.99"/>
    <n v="24.99"/>
    <m/>
    <s v=""/>
    <n v="0"/>
    <n v="0"/>
    <s v="Number"/>
    <n v="5.99"/>
    <n v="5.99"/>
    <n v="30.98"/>
    <n v="30.98"/>
    <n v="30.979999999999997"/>
    <s v="True"/>
    <s v="Normal"/>
    <s v="Credit Card"/>
    <s v="Online Store"/>
    <s v="fulfilled"/>
    <s v="United States"/>
    <s v="New York"/>
    <s v="Valid"/>
    <s v="Port Traviston"/>
  </r>
  <r>
    <s v="#1088"/>
    <n v="1"/>
    <d v="2026-08-04T14:06:57"/>
    <d v="2026-08-04T14:06:57"/>
    <s v="Brian Ruiz"/>
    <s v="Email Available"/>
    <s v="brian.ruiz246@gmail.com"/>
    <x v="20"/>
    <s v="Beauty"/>
    <x v="21"/>
    <n v="2"/>
    <n v="24.99"/>
    <n v="24.99"/>
    <s v="FREESHIP"/>
    <s v="FREESHIP"/>
    <n v="0"/>
    <n v="0"/>
    <s v="Number"/>
    <n v="0"/>
    <n v="0"/>
    <n v="49.98"/>
    <n v="49.98"/>
    <n v="49.98"/>
    <s v="True"/>
    <s v="Normal"/>
    <s v="Credit Card"/>
    <s v="Online Store"/>
    <s v="fulfilled"/>
    <s v="Germany"/>
    <m/>
    <s v="Not Required"/>
    <s v="South Melissaborough"/>
  </r>
  <r>
    <s v="#1097"/>
    <n v="1"/>
    <d v="2026-08-04T14:07:14"/>
    <d v="2026-08-04T14:07:14"/>
    <s v="Christopher Harrington"/>
    <s v="Email Available"/>
    <s v="christopher.harrington960@gmail.com"/>
    <x v="20"/>
    <s v="Beauty"/>
    <x v="21"/>
    <n v="3"/>
    <n v="24.99"/>
    <n v="24.99"/>
    <m/>
    <s v=""/>
    <n v="0"/>
    <n v="0"/>
    <s v="Number"/>
    <n v="4.99"/>
    <n v="4.99"/>
    <s v="$79.96"/>
    <n v="79.959999999999994"/>
    <n v="79.959999999999994"/>
    <s v="True"/>
    <s v="Normal"/>
    <s v="Credit Card"/>
    <s v="Facebook"/>
    <s v="fulfilled"/>
    <s v="Australia"/>
    <m/>
    <s v="Not Required"/>
    <s v="Smithton"/>
  </r>
  <r>
    <s v="#1176"/>
    <n v="1"/>
    <d v="2026-08-04T14:02:46"/>
    <d v="2026-08-04T14:02:46"/>
    <s v="Julia Atkinson"/>
    <s v="Email Available"/>
    <s v="julia.atkinson939@gmail.com"/>
    <x v="20"/>
    <s v="Beauty"/>
    <x v="21"/>
    <n v="2"/>
    <n v="24.99"/>
    <n v="24.99"/>
    <m/>
    <s v=""/>
    <n v="0"/>
    <n v="0"/>
    <s v="Number"/>
    <n v="5.99"/>
    <n v="5.99"/>
    <n v="55.97"/>
    <n v="55.97"/>
    <n v="55.97"/>
    <s v="True"/>
    <s v="Normal"/>
    <s v="PayPal"/>
    <s v="Online Store"/>
    <s v="fulfilled"/>
    <s v="Canada"/>
    <m/>
    <s v="Not Required"/>
    <s v="Kristiburgh"/>
  </r>
  <r>
    <s v="#1222"/>
    <n v="1"/>
    <d v="2026-08-04T14:04:24"/>
    <d v="2026-08-04T14:04:24"/>
    <s v="John Jacobs"/>
    <s v="Email Available"/>
    <s v="john.jacobs137@yahoo.com"/>
    <x v="20"/>
    <s v="Beauty"/>
    <x v="21"/>
    <n v="1"/>
    <n v="24.99"/>
    <n v="24.99"/>
    <s v="SAVE20"/>
    <s v="SAVE20"/>
    <s v="$5.00"/>
    <n v="5"/>
    <s v="Number"/>
    <n v="5.99"/>
    <n v="5.99"/>
    <n v="25.98"/>
    <n v="25.98"/>
    <n v="25.979999999999997"/>
    <s v="True"/>
    <s v="Normal"/>
    <s v="PayPal"/>
    <s v="POS"/>
    <s v="fulfilled"/>
    <s v="Australia"/>
    <m/>
    <s v="Not Required"/>
    <s v="Cookton"/>
  </r>
  <r>
    <s v="#1238"/>
    <n v="1"/>
    <d v="2026-08-04T14:03:23"/>
    <d v="2026-08-04T14:03:23"/>
    <s v="Ann Byrd"/>
    <s v="Missing Email"/>
    <m/>
    <x v="20"/>
    <s v="Beauty"/>
    <x v="21"/>
    <n v="1"/>
    <n v="24.99"/>
    <n v="24.99"/>
    <m/>
    <s v=""/>
    <n v="0"/>
    <n v="0"/>
    <s v="Number"/>
    <n v="7.99"/>
    <n v="7.99"/>
    <n v="32.979999999999997"/>
    <n v="32.979999999999997"/>
    <n v="32.979999999999997"/>
    <s v="True"/>
    <s v="Normal"/>
    <s v="Google Pay"/>
    <s v="Online Store"/>
    <s v="fulfilled"/>
    <s v="Australia"/>
    <m/>
    <s v="Not Required"/>
    <s v="Ewingchester"/>
  </r>
  <r>
    <s v="#1241"/>
    <n v="1"/>
    <d v="2026-08-04T00:00:00"/>
    <s v="04-08-2026 14:00"/>
    <s v="Karen Bautista"/>
    <s v="Email Available"/>
    <s v="karen.bautista779@icloud.com"/>
    <x v="20"/>
    <s v="Beauty"/>
    <x v="21"/>
    <n v="3"/>
    <n v="24.99"/>
    <n v="24.99"/>
    <m/>
    <s v=""/>
    <n v="0"/>
    <n v="0"/>
    <s v="Number"/>
    <n v="5.99"/>
    <n v="5.99"/>
    <n v="80.959999999999994"/>
    <n v="80.959999999999994"/>
    <n v="80.959999999999994"/>
    <s v="True"/>
    <s v="Normal"/>
    <s v="Google Pay"/>
    <s v="Online Store"/>
    <s v="pending"/>
    <s v="United States"/>
    <s v="North Carolina"/>
    <s v="Valid"/>
    <s v="Callahanside"/>
  </r>
  <r>
    <s v="#1247"/>
    <n v="1"/>
    <d v="2026-08-04T13:59:54"/>
    <d v="2026-08-04T13:59:54"/>
    <s v="Stacey Morales"/>
    <s v="Email Available"/>
    <s v="stacey.morales538@yahoo.com"/>
    <x v="20"/>
    <s v="Beauty"/>
    <x v="21"/>
    <n v="1"/>
    <n v="24.99"/>
    <n v="24.99"/>
    <s v="WELCOME10"/>
    <s v="WELCOME10"/>
    <s v="$2.50"/>
    <n v="2.5"/>
    <s v="Number"/>
    <n v="4.99"/>
    <n v="4.99"/>
    <n v="27.48"/>
    <n v="27.48"/>
    <n v="27.479999999999997"/>
    <s v="True"/>
    <s v="Normal"/>
    <s v="PayPal"/>
    <s v="Facebook"/>
    <s v="cancelled"/>
    <s v="Australia"/>
    <m/>
    <s v="Not Required"/>
    <s v="North Christopherport"/>
  </r>
  <r>
    <s v="#1287"/>
    <n v="1"/>
    <d v="2026-08-04T14:04:35"/>
    <d v="2026-08-04T14:04:35"/>
    <s v="Autumn Stewart"/>
    <s v="Email Available"/>
    <s v="autumn.stewart565@outlook.com"/>
    <x v="20"/>
    <s v="Beauty"/>
    <x v="21"/>
    <n v="2"/>
    <n v="24.99"/>
    <n v="24.99"/>
    <s v="WELCOME10"/>
    <s v="WELCOME10"/>
    <n v="5"/>
    <n v="5"/>
    <s v="Number"/>
    <n v="7.99"/>
    <n v="7.99"/>
    <n v="52.97"/>
    <n v="52.97"/>
    <n v="52.97"/>
    <s v="True"/>
    <s v="Normal"/>
    <s v="Shopify Payments"/>
    <s v="Online Store"/>
    <s v="fulfilled"/>
    <s v="United Kingdom"/>
    <m/>
    <s v="Not Required"/>
    <s v="South Timothy"/>
  </r>
  <r>
    <s v="#1294"/>
    <n v="1"/>
    <d v="2026-08-04T13:56:10"/>
    <d v="2026-08-04T13:56:10"/>
    <s v="Jaime Vargas"/>
    <s v="Email Available"/>
    <s v="jaime.vargas795@outlook.com"/>
    <x v="20"/>
    <s v="Beauty"/>
    <x v="21"/>
    <n v="2"/>
    <n v="24.99"/>
    <n v="24.99"/>
    <s v="WELCOME10"/>
    <s v="WELCOME10"/>
    <s v="$5.00"/>
    <n v="5"/>
    <s v="Number"/>
    <n v="4.99"/>
    <n v="4.99"/>
    <n v="49.97"/>
    <n v="49.97"/>
    <n v="49.97"/>
    <s v="True"/>
    <s v="Normal"/>
    <s v="Apple Pay"/>
    <s v="Online Store"/>
    <s v="cancelled"/>
    <s v="United Kingdom"/>
    <m/>
    <s v="Not Required"/>
    <s v="Theodoreport"/>
  </r>
  <r>
    <s v="#1304"/>
    <n v="1"/>
    <d v="2026-08-04T13:54:31"/>
    <d v="2026-08-04T13:54:31"/>
    <s v="Donald Davis"/>
    <s v="Email Available"/>
    <s v="donald.davis404@icloud.com"/>
    <x v="20"/>
    <s v="Beauty"/>
    <x v="21"/>
    <n v="1"/>
    <n v="24.99"/>
    <n v="24.99"/>
    <s v="SAVE20"/>
    <s v="SAVE20"/>
    <n v="5"/>
    <n v="5"/>
    <s v="Number"/>
    <n v="4.99"/>
    <n v="4.99"/>
    <n v="24.98"/>
    <n v="24.98"/>
    <n v="24.979999999999997"/>
    <s v="True"/>
    <s v="Normal"/>
    <s v="Google Pay"/>
    <s v="Online Store"/>
    <s v="fulfilled"/>
    <s v="Canada"/>
    <m/>
    <s v="Not Required"/>
    <s v="Alfredchester"/>
  </r>
  <r>
    <s v="#1311"/>
    <n v="1"/>
    <d v="2026-08-04T14:00:30"/>
    <d v="2026-08-04T14:00:30"/>
    <s v="Benjamin Collins"/>
    <s v="Email Available"/>
    <s v="benjamin.collins953@icloud.com"/>
    <x v="20"/>
    <s v="Beauty"/>
    <x v="21"/>
    <n v="1"/>
    <n v="24.99"/>
    <n v="24.99"/>
    <s v="SAVE20"/>
    <s v="SAVE20"/>
    <n v="5"/>
    <n v="5"/>
    <s v="Number"/>
    <n v="4.99"/>
    <n v="4.99"/>
    <n v="24.98"/>
    <n v="24.98"/>
    <n v="24.979999999999997"/>
    <s v="True"/>
    <s v="Normal"/>
    <s v="PayPal"/>
    <s v="Online Store"/>
    <s v="refunded"/>
    <s v="Pakistan"/>
    <m/>
    <s v="Not Required"/>
    <s v="Michaelhaven"/>
  </r>
  <r>
    <s v="#1343"/>
    <n v="1"/>
    <d v="2026-08-04T13:53:54"/>
    <d v="2026-08-04T13:53:54"/>
    <s v="Albert Salazar"/>
    <s v="Email Available"/>
    <s v="albert.salazar398@outlook.com"/>
    <x v="20"/>
    <s v="Beauty"/>
    <x v="21"/>
    <n v="1"/>
    <n v="24.99"/>
    <n v="24.99"/>
    <m/>
    <s v=""/>
    <s v="$0.00"/>
    <n v="0"/>
    <s v="Number"/>
    <n v="7.99"/>
    <n v="7.99"/>
    <n v="32.979999999999997"/>
    <n v="32.979999999999997"/>
    <n v="32.979999999999997"/>
    <s v="True"/>
    <s v="Normal"/>
    <s v="Shopify Payments"/>
    <s v="Online Store"/>
    <s v="refunded"/>
    <s v="United States"/>
    <s v="Georgia"/>
    <s v="Valid"/>
    <s v="Angelaport"/>
  </r>
  <r>
    <s v="#1344"/>
    <n v="1"/>
    <d v="2026-08-04T14:06:34"/>
    <d v="2026-08-04T14:06:34"/>
    <s v="Maria Leon"/>
    <s v="Email Available"/>
    <s v="maria.leon163@outlook.com"/>
    <x v="20"/>
    <s v="Beauty"/>
    <x v="21"/>
    <n v="1"/>
    <n v="24.99"/>
    <n v="24.99"/>
    <s v="FREESHIP"/>
    <s v="FREESHIP"/>
    <n v="0"/>
    <n v="0"/>
    <s v="Number"/>
    <n v="0"/>
    <n v="0"/>
    <s v="$24.99"/>
    <n v="24.99"/>
    <n v="24.99"/>
    <s v="True"/>
    <s v="Normal"/>
    <s v="Shopify Payments"/>
    <s v="Instagram"/>
    <s v="refunded"/>
    <s v="Canada"/>
    <m/>
    <s v="Not Required"/>
    <s v="Leahchester"/>
  </r>
  <r>
    <s v="#1345"/>
    <n v="1"/>
    <d v="2026-08-04T13:59:52"/>
    <d v="2026-08-04T13:59:52"/>
    <s v="Lauren Nguyen"/>
    <s v="Missing Email"/>
    <m/>
    <x v="20"/>
    <s v="Beauty"/>
    <x v="21"/>
    <n v="1"/>
    <n v="24.99"/>
    <n v="24.99"/>
    <m/>
    <s v=""/>
    <n v="0"/>
    <n v="0"/>
    <s v="Number"/>
    <n v="4.99"/>
    <n v="4.99"/>
    <n v="29.98"/>
    <n v="29.98"/>
    <n v="29.979999999999997"/>
    <s v="True"/>
    <s v="Normal"/>
    <s v="PayPal"/>
    <s v="Instagram"/>
    <s v="pending"/>
    <s v="United Kingdom"/>
    <m/>
    <s v="Not Required"/>
    <s v="New Jason"/>
  </r>
  <r>
    <s v="#1376"/>
    <n v="1"/>
    <d v="2026-08-04T00:00:00"/>
    <s v="Aug 04, 2026"/>
    <s v="Julia Atkinson"/>
    <s v="Email Available"/>
    <s v="julia.atkinson939@gmail.com"/>
    <x v="20"/>
    <s v="Beauty"/>
    <x v="21"/>
    <n v="1"/>
    <n v="24.99"/>
    <n v="24.99"/>
    <s v="VIP15"/>
    <s v="VIP15"/>
    <n v="3.75"/>
    <n v="3.75"/>
    <s v="Number"/>
    <n v="5.99"/>
    <n v="5.99"/>
    <n v="27.23"/>
    <n v="27.23"/>
    <n v="27.229999999999997"/>
    <s v="True"/>
    <s v="Normal"/>
    <s v="Credit Card"/>
    <s v="Instagram"/>
    <s v="fulfilled"/>
    <s v="Canada"/>
    <m/>
    <s v="Not Required"/>
    <s v="Piercehaven"/>
  </r>
  <r>
    <s v="#1478"/>
    <n v="1"/>
    <d v="2026-08-04T00:00:00"/>
    <s v="04-08-2026 13:54"/>
    <s v="Christopher Harris"/>
    <s v="Email Available"/>
    <s v="christopher.harris618@yahoo.com"/>
    <x v="20"/>
    <s v="Beauty"/>
    <x v="21"/>
    <n v="2"/>
    <s v="$24.99"/>
    <n v="24.99"/>
    <m/>
    <s v=""/>
    <n v="0"/>
    <n v="0"/>
    <s v="Number"/>
    <n v="5.99"/>
    <n v="5.99"/>
    <n v="55.97"/>
    <n v="55.97"/>
    <n v="55.97"/>
    <s v="True"/>
    <s v="Normal"/>
    <s v="Apple Pay"/>
    <s v="Facebook"/>
    <s v="pending"/>
    <s v="Australia"/>
    <m/>
    <s v="Not Required"/>
    <s v="Wayneburgh"/>
  </r>
  <r>
    <s v="#1570"/>
    <n v="1"/>
    <d v="2026-08-04T13:59:53"/>
    <d v="2026-08-04T13:59:53"/>
    <s v="Rodriguez, Devon"/>
    <s v="Email Available"/>
    <s v="devon.rodriguez635@outlook.com"/>
    <x v="20"/>
    <s v="Beauty"/>
    <x v="21"/>
    <n v="1"/>
    <n v="24.99"/>
    <n v="24.99"/>
    <m/>
    <s v=""/>
    <n v="0"/>
    <n v="0"/>
    <s v="Number"/>
    <n v="7.99"/>
    <n v="7.99"/>
    <n v="32.979999999999997"/>
    <n v="32.979999999999997"/>
    <n v="32.979999999999997"/>
    <s v="True"/>
    <s v="Normal"/>
    <s v="Apple Pay"/>
    <s v="Online Store"/>
    <s v="fulfilled"/>
    <s v="United States"/>
    <s v="North Carolina"/>
    <s v="Valid"/>
    <s v="New Joseph"/>
  </r>
  <r>
    <s v="#1573"/>
    <n v="1"/>
    <d v="2026-08-04T00:00:00"/>
    <s v="04-08-2026 14:00"/>
    <s v="Samuel Padilla"/>
    <s v="Email Available"/>
    <s v="samuel.padilla79@gmail.com"/>
    <x v="20"/>
    <s v="Beauty"/>
    <x v="21"/>
    <n v="1"/>
    <n v="24.99"/>
    <n v="24.99"/>
    <m/>
    <s v=""/>
    <n v="0"/>
    <n v="0"/>
    <s v="Number"/>
    <n v="7.99"/>
    <n v="7.99"/>
    <n v="32.979999999999997"/>
    <n v="32.979999999999997"/>
    <n v="32.979999999999997"/>
    <s v="True"/>
    <s v="Normal"/>
    <s v="Apple Pay"/>
    <s v="Online Store"/>
    <s v="cancelled"/>
    <s v="United States"/>
    <s v="NC"/>
    <s v="Valid"/>
    <s v="Cameronport"/>
  </r>
  <r>
    <s v="#1574"/>
    <n v="1"/>
    <d v="2026-08-04T14:05:31"/>
    <d v="2026-08-04T14:05:31"/>
    <s v="Brian Ruiz"/>
    <s v="Email Available"/>
    <s v="brian.ruiz246@gmail.com"/>
    <x v="20"/>
    <s v="Beauty"/>
    <x v="21"/>
    <n v="1"/>
    <n v="24.99"/>
    <n v="24.99"/>
    <m/>
    <s v=""/>
    <n v="0"/>
    <n v="0"/>
    <s v="Number"/>
    <n v="7.99"/>
    <n v="7.99"/>
    <n v="32.979999999999997"/>
    <n v="32.979999999999997"/>
    <n v="32.979999999999997"/>
    <s v="True"/>
    <s v="Normal"/>
    <s v="Google Pay"/>
    <s v="Online Store"/>
    <s v="refunded"/>
    <s v="Germany"/>
    <m/>
    <s v="Not Required"/>
    <s v="Ericchester"/>
  </r>
  <r>
    <s v="#1576"/>
    <n v="1"/>
    <d v="2026-08-04T13:57:25"/>
    <d v="2026-08-04T13:57:25"/>
    <s v="Kayla Lee"/>
    <s v="Email Available"/>
    <s v="kayla.lee278@yahoo.com"/>
    <x v="20"/>
    <s v="Beauty"/>
    <x v="21"/>
    <n v="2"/>
    <n v="24.99"/>
    <n v="24.99"/>
    <s v="WELCOME10"/>
    <s v="WELCOME10"/>
    <n v="5"/>
    <n v="5"/>
    <s v="Number"/>
    <n v="5.99"/>
    <n v="5.99"/>
    <n v="50.97"/>
    <n v="50.97"/>
    <n v="50.97"/>
    <s v="True"/>
    <s v="Normal"/>
    <s v="Shopify Payments"/>
    <s v="Online Store"/>
    <s v="fulfilled"/>
    <s v="United Kingdom"/>
    <m/>
    <s v="Not Required"/>
    <s v="Edwardsmouth"/>
  </r>
  <r>
    <s v="#1605"/>
    <n v="1"/>
    <d v="2026-08-04T13:58:58"/>
    <d v="2026-08-04T13:58:58"/>
    <s v="Brady Garcia"/>
    <s v="Email Available"/>
    <s v="brady.garcia57@yahoo.com"/>
    <x v="20"/>
    <s v="Beauty"/>
    <x v="21"/>
    <n v="1"/>
    <n v="24.99"/>
    <n v="24.99"/>
    <s v="WELCOME10"/>
    <s v="WELCOME10"/>
    <n v="2.5"/>
    <n v="2.5"/>
    <s v="Number"/>
    <n v="7.99"/>
    <n v="7.99"/>
    <n v="30.48"/>
    <n v="30.48"/>
    <n v="30.479999999999997"/>
    <s v="True"/>
    <s v="Normal"/>
    <s v="Credit Card"/>
    <s v="POS"/>
    <s v="pending"/>
    <s v="Australia"/>
    <m/>
    <s v="Not Required"/>
    <s v="Elliottchester"/>
  </r>
  <r>
    <s v="#1634"/>
    <n v="1"/>
    <d v="2026-08-04T14:00:41"/>
    <d v="2026-08-04T14:00:41"/>
    <s v="Thomas Rojas"/>
    <s v="Email Available"/>
    <s v="thomas.rojas667@icloud.com"/>
    <x v="20"/>
    <s v="Beauty"/>
    <x v="21"/>
    <n v="1"/>
    <n v="24.99"/>
    <n v="24.99"/>
    <m/>
    <s v=""/>
    <n v="0"/>
    <n v="0"/>
    <s v="Number"/>
    <n v="5.99"/>
    <n v="5.99"/>
    <n v="30.98"/>
    <n v="30.98"/>
    <n v="30.979999999999997"/>
    <s v="True"/>
    <s v="Normal"/>
    <s v="Shopify Payments"/>
    <s v="POS"/>
    <s v="fulfilled"/>
    <s v="United States"/>
    <s v="California"/>
    <s v="Valid"/>
    <s v="Williamsborough"/>
  </r>
  <r>
    <s v="#1665"/>
    <n v="1"/>
    <d v="2026-08-04T14:03:42"/>
    <d v="2026-08-04T14:03:42"/>
    <s v="Megan Dickson"/>
    <s v="Email Available"/>
    <s v="megan.dickson508@gmail.com"/>
    <x v="20"/>
    <s v="Beauty"/>
    <x v="21"/>
    <n v="1"/>
    <s v="$24.99"/>
    <n v="24.99"/>
    <m/>
    <s v=""/>
    <n v="0"/>
    <n v="0"/>
    <s v="Number"/>
    <n v="7.99"/>
    <n v="7.99"/>
    <n v="32.979999999999997"/>
    <n v="32.979999999999997"/>
    <n v="32.979999999999997"/>
    <s v="True"/>
    <s v="Normal"/>
    <s v="Google Pay"/>
    <s v="Instagram"/>
    <s v="fulfilled"/>
    <s v="United Kingdom"/>
    <m/>
    <s v="Not Required"/>
    <s v="Cindytown"/>
  </r>
  <r>
    <s v="#1671"/>
    <n v="1"/>
    <d v="2026-08-04T13:59:13"/>
    <d v="2026-08-04T13:59:13"/>
    <s v="Samuel Smith"/>
    <s v="Missing Email"/>
    <m/>
    <x v="20"/>
    <s v="Beauty"/>
    <x v="21"/>
    <n v="3"/>
    <n v="24.99"/>
    <n v="24.99"/>
    <s v="SAVE20"/>
    <s v="SAVE20"/>
    <n v="14.99"/>
    <n v="14.99"/>
    <s v="Number"/>
    <n v="4.99"/>
    <n v="4.99"/>
    <n v="64.97"/>
    <n v="64.97"/>
    <n v="64.97"/>
    <s v="True"/>
    <s v="Normal"/>
    <s v="Shopify Payments"/>
    <s v="Online Store"/>
    <s v="refunded"/>
    <s v="United Kingdom"/>
    <m/>
    <s v="Not Required"/>
    <s v="Grayview"/>
  </r>
  <r>
    <s v="#1682"/>
    <n v="1"/>
    <d v="2026-08-04T13:55:27"/>
    <d v="2026-08-04T13:55:27"/>
    <s v="KIMBERLY TORRES"/>
    <s v="Email Available"/>
    <s v="kimberly.torres39@yahoo.com"/>
    <x v="20"/>
    <s v="Beauty"/>
    <x v="21"/>
    <n v="1"/>
    <n v="24.99"/>
    <n v="24.99"/>
    <m/>
    <s v=""/>
    <n v="0"/>
    <n v="0"/>
    <s v="Number"/>
    <n v="4.99"/>
    <n v="4.99"/>
    <s v="$29.98"/>
    <n v="29.98"/>
    <n v="29.979999999999997"/>
    <s v="True"/>
    <s v="Normal"/>
    <s v="Credit Card"/>
    <s v="Online Store"/>
    <s v="fulfilled"/>
    <s v="Australia"/>
    <m/>
    <s v="Not Required"/>
    <s v="Cassandraville"/>
  </r>
  <r>
    <s v="#1724"/>
    <n v="1"/>
    <d v="2026-08-04T13:59:30"/>
    <d v="2026-08-04T13:59:30"/>
    <s v="Chad Smith"/>
    <s v="Email Available"/>
    <s v="chad.smith773@icloud.com"/>
    <x v="20"/>
    <s v="Beauty"/>
    <x v="21"/>
    <n v="2"/>
    <n v="24.99"/>
    <n v="24.99"/>
    <s v="SAVE20"/>
    <s v="SAVE20"/>
    <n v="10"/>
    <n v="10"/>
    <s v="Number"/>
    <n v="7.99"/>
    <n v="7.99"/>
    <n v="47.97"/>
    <n v="47.97"/>
    <n v="47.97"/>
    <s v="True"/>
    <s v="Normal"/>
    <s v="Google Pay"/>
    <s v="POS"/>
    <s v="cancelled"/>
    <s v="Pakistan"/>
    <m/>
    <s v="Not Required"/>
    <s v="Trevorside"/>
  </r>
  <r>
    <s v="#1728"/>
    <n v="1"/>
    <d v="2026-08-04T13:55:00"/>
    <d v="2026-08-04T13:55:00"/>
    <s v="James Mason"/>
    <s v="Email Available"/>
    <s v="james.mason603@gmail.com"/>
    <x v="20"/>
    <s v="Beauty"/>
    <x v="21"/>
    <n v="1"/>
    <n v="24.99"/>
    <n v="24.99"/>
    <s v="VIP15"/>
    <s v="VIP15"/>
    <n v="3.75"/>
    <n v="3.75"/>
    <s v="Number"/>
    <n v="7.99"/>
    <n v="7.99"/>
    <n v="29.23"/>
    <n v="29.23"/>
    <n v="29.229999999999997"/>
    <s v="True"/>
    <s v="Normal"/>
    <s v="PayPal"/>
    <s v="Online Store"/>
    <s v="refunded"/>
    <s v="Pakistan"/>
    <m/>
    <s v="Not Required"/>
    <s v="Hernandezshire"/>
  </r>
  <r>
    <s v="#1730"/>
    <n v="1"/>
    <d v="2026-08-04T00:00:00"/>
    <s v="Aug 04, 2026"/>
    <s v="Mary Bradley"/>
    <s v="Email Available"/>
    <s v="mary.bradley289@gmail.com"/>
    <x v="20"/>
    <s v="Beauty"/>
    <x v="21"/>
    <n v="2"/>
    <s v="$24.99"/>
    <n v="24.99"/>
    <m/>
    <s v=""/>
    <n v="0"/>
    <n v="0"/>
    <s v="Number"/>
    <n v="4.99"/>
    <n v="4.99"/>
    <n v="54.97"/>
    <n v="54.97"/>
    <n v="54.97"/>
    <s v="True"/>
    <s v="Normal"/>
    <s v="Apple Pay"/>
    <s v="Online Store"/>
    <s v="pending"/>
    <s v="United Kingdom"/>
    <m/>
    <s v="Not Required"/>
    <s v="Port Robin"/>
  </r>
  <r>
    <s v="#1733"/>
    <n v="1"/>
    <d v="2026-08-04T13:55:58"/>
    <d v="2026-08-04T13:55:58"/>
    <s v="John Carson"/>
    <s v="Email Available"/>
    <s v="john.carson203@yahoo.com"/>
    <x v="20"/>
    <s v="Beauty"/>
    <x v="21"/>
    <n v="4"/>
    <n v="24.99"/>
    <n v="24.99"/>
    <s v="VIP15"/>
    <s v="VIP15"/>
    <n v="14.99"/>
    <n v="14.99"/>
    <s v="Number"/>
    <n v="0"/>
    <n v="0"/>
    <n v="84.97"/>
    <n v="84.97"/>
    <n v="84.97"/>
    <s v="True"/>
    <s v="Outlier"/>
    <s v="Shopify Payments"/>
    <s v="Instagram"/>
    <s v="fulfilled"/>
    <s v="United States"/>
    <s v="New York"/>
    <s v="Valid"/>
    <s v="Justinfurt"/>
  </r>
  <r>
    <s v="#1734"/>
    <n v="1"/>
    <d v="2026-08-04T14:06:44"/>
    <d v="2026-08-04T14:06:44"/>
    <s v="Danielle Johnson"/>
    <s v="Email Available"/>
    <s v="danielle.johnson52@yahoo.com"/>
    <x v="20"/>
    <s v="Beauty"/>
    <x v="21"/>
    <n v="1"/>
    <n v="24.99"/>
    <n v="24.99"/>
    <m/>
    <s v=""/>
    <n v="0"/>
    <n v="0"/>
    <s v="Number"/>
    <n v="4.99"/>
    <n v="4.99"/>
    <n v="29.98"/>
    <n v="29.98"/>
    <n v="29.979999999999997"/>
    <s v="True"/>
    <s v="Normal"/>
    <s v="Google Pay"/>
    <s v="Online Store"/>
    <s v="cancelled"/>
    <s v="United States"/>
    <s v="Arizona"/>
    <s v="Valid"/>
    <s v="Mauriceland"/>
  </r>
  <r>
    <s v="#1748"/>
    <n v="1"/>
    <d v="2026-08-04T14:07:23"/>
    <d v="2026-08-04T14:07:23"/>
    <s v="Anthony Mullen"/>
    <s v="Email Available"/>
    <s v="anthony.mullen523@yahoo.com"/>
    <x v="20"/>
    <s v="Beauty"/>
    <x v="21"/>
    <n v="1"/>
    <n v="24.99"/>
    <n v="24.99"/>
    <s v="BFCM25"/>
    <s v="BFCM25"/>
    <n v="6.25"/>
    <n v="6.25"/>
    <s v="Number"/>
    <n v="5.99"/>
    <n v="5.99"/>
    <n v="24.73"/>
    <n v="24.73"/>
    <n v="24.729999999999997"/>
    <s v="True"/>
    <s v="Normal"/>
    <s v="Shopify Payments"/>
    <s v="Online Store"/>
    <s v="cancelled"/>
    <s v="United States"/>
    <s v="Ohio"/>
    <s v="Valid"/>
    <s v="Cameronberg"/>
  </r>
  <r>
    <s v="#1763"/>
    <n v="1"/>
    <d v="2026-08-04T13:56:13"/>
    <d v="2026-08-04T13:56:13"/>
    <m/>
    <s v="Email Available"/>
    <s v="kimberly.cordova508@icloud.com"/>
    <x v="20"/>
    <s v="Beauty"/>
    <x v="21"/>
    <n v="2"/>
    <n v="24.99"/>
    <n v="24.99"/>
    <s v="WELCOME10"/>
    <s v="WELCOME10"/>
    <n v="5"/>
    <n v="5"/>
    <s v="Number"/>
    <n v="7.99"/>
    <n v="7.99"/>
    <n v="52.97"/>
    <n v="52.97"/>
    <n v="52.97"/>
    <s v="True"/>
    <s v="Normal"/>
    <s v="Credit Card"/>
    <s v="Online Store"/>
    <s v="pending"/>
    <s v="Pakistan"/>
    <m/>
    <s v="Not Required"/>
    <s v="Tamaraside"/>
  </r>
  <r>
    <s v="#1774"/>
    <n v="1"/>
    <d v="2026-08-04T13:55:01"/>
    <d v="2026-08-04T13:55:01"/>
    <s v="Anthony Krueger"/>
    <s v="Email Available"/>
    <s v="anthony.krueger812@yahoo.com"/>
    <x v="20"/>
    <s v="Beauty"/>
    <x v="21"/>
    <n v="1"/>
    <n v="24.99"/>
    <n v="24.99"/>
    <s v="BFCM25"/>
    <s v="BFCM25"/>
    <n v="6.25"/>
    <n v="6.25"/>
    <s v="Number"/>
    <n v="5.99"/>
    <n v="5.99"/>
    <n v="24.73"/>
    <n v="24.73"/>
    <n v="24.729999999999997"/>
    <s v="True"/>
    <s v="Normal"/>
    <s v="PayPal"/>
    <s v="Facebook"/>
    <s v="cancelled"/>
    <s v="Pakistan"/>
    <m/>
    <s v="Not Required"/>
    <s v="Mooremouth"/>
  </r>
  <r>
    <s v="#1799"/>
    <n v="1"/>
    <d v="2026-04-08T00:00:00"/>
    <s v="08/04/2026"/>
    <s v="Kiara Burke"/>
    <s v="Missing Email"/>
    <m/>
    <x v="20"/>
    <s v="Beauty"/>
    <x v="21"/>
    <n v="1"/>
    <n v="24.99"/>
    <n v="24.99"/>
    <s v="FREESHIP"/>
    <s v="FREESHIP"/>
    <s v="$0.00"/>
    <n v="0"/>
    <s v="Number"/>
    <n v="0"/>
    <n v="0"/>
    <n v="24.99"/>
    <n v="24.99"/>
    <n v="24.99"/>
    <s v="True"/>
    <s v="Normal"/>
    <s v="Shopify Payments"/>
    <s v="Online Store"/>
    <s v="fulfilled"/>
    <s v="Germany"/>
    <m/>
    <s v="Not Required"/>
    <s v="Taylorbury"/>
  </r>
  <r>
    <s v="#1825"/>
    <n v="1"/>
    <d v="2026-08-04T14:00:51"/>
    <d v="2026-08-04T14:00:51"/>
    <s v="Brian Ruiz"/>
    <s v="Email Available"/>
    <s v="brian.ruiz246@gmail.com"/>
    <x v="20"/>
    <s v="Beauty"/>
    <x v="21"/>
    <n v="2"/>
    <n v="24.99"/>
    <n v="24.99"/>
    <s v="FREESHIP"/>
    <s v="FREESHIP"/>
    <n v="0"/>
    <n v="0"/>
    <s v="Number"/>
    <n v="0"/>
    <n v="0"/>
    <n v="49.98"/>
    <n v="49.98"/>
    <n v="49.98"/>
    <s v="True"/>
    <s v="Normal"/>
    <s v="Apple Pay"/>
    <s v="Online Store"/>
    <s v="fulfilled"/>
    <s v="Germany"/>
    <m/>
    <s v="Not Required"/>
    <s v="Port Peter"/>
  </r>
  <r>
    <s v="#1867"/>
    <n v="1"/>
    <d v="2026-08-04T14:06:11"/>
    <d v="2026-08-04T14:06:11"/>
    <s v="Nicholas Jarvis"/>
    <s v="Missing Email"/>
    <m/>
    <x v="20"/>
    <s v="Beauty"/>
    <x v="21"/>
    <n v="3"/>
    <n v="24.99"/>
    <n v="24.99"/>
    <m/>
    <s v=""/>
    <n v="0"/>
    <n v="0"/>
    <s v="Number"/>
    <n v="7.99"/>
    <n v="7.99"/>
    <n v="82.96"/>
    <n v="82.96"/>
    <n v="82.96"/>
    <s v="True"/>
    <s v="Outlier"/>
    <s v="Apple Pay"/>
    <s v="Online Store"/>
    <s v="fulfilled"/>
    <s v="Canada"/>
    <m/>
    <s v="Not Required"/>
    <s v="South Michaelmouth"/>
  </r>
  <r>
    <s v="#1893"/>
    <n v="1"/>
    <d v="2026-08-04T14:07:44"/>
    <d v="2026-08-04T14:07:44"/>
    <s v="Rodney Lamb"/>
    <s v="Email Available"/>
    <s v="rodney.lamb872@icloud.com"/>
    <x v="20"/>
    <s v="Beauty"/>
    <x v="21"/>
    <n v="1"/>
    <n v="24.99"/>
    <n v="24.99"/>
    <m/>
    <s v=""/>
    <n v="0"/>
    <n v="0"/>
    <s v="Number"/>
    <n v="7.99"/>
    <n v="7.99"/>
    <n v="32.979999999999997"/>
    <n v="32.979999999999997"/>
    <n v="32.979999999999997"/>
    <s v="True"/>
    <s v="Normal"/>
    <s v="Credit Card"/>
    <s v="Online Store"/>
    <s v="pending"/>
    <s v="Australia"/>
    <m/>
    <s v="Not Required"/>
    <s v="Martinezland"/>
  </r>
  <r>
    <s v="#1905"/>
    <n v="1"/>
    <d v="2026-08-04T14:01:13"/>
    <d v="2026-08-04T14:01:13"/>
    <s v="Justin Smith"/>
    <s v="Email Available"/>
    <s v="justin.smith204@yahoo.com"/>
    <x v="20"/>
    <s v="Beauty"/>
    <x v="21"/>
    <n v="1"/>
    <n v="24.99"/>
    <n v="24.99"/>
    <s v="FREESHIP"/>
    <s v="FREESHIP"/>
    <n v="0"/>
    <n v="0"/>
    <s v="Number"/>
    <n v="0"/>
    <n v="0"/>
    <n v="24.99"/>
    <n v="24.99"/>
    <n v="24.99"/>
    <s v="True"/>
    <s v="Normal"/>
    <s v="Shopify Payments"/>
    <s v="Online Store"/>
    <s v="pending"/>
    <s v="United Kingdom"/>
    <m/>
    <s v="Not Required"/>
    <s v="Richardfort"/>
  </r>
  <r>
    <s v="#1907"/>
    <n v="1"/>
    <d v="2026-08-04T00:00:00"/>
    <s v="04-08-2026 13:57"/>
    <s v="Angela Carr"/>
    <s v="Email Available"/>
    <s v="angela.carr488@yahoo.com"/>
    <x v="20"/>
    <s v="Beauty"/>
    <x v="21"/>
    <n v="1"/>
    <n v="24.99"/>
    <n v="24.99"/>
    <s v="BFCM25"/>
    <s v="BFCM25"/>
    <n v="6.25"/>
    <n v="6.25"/>
    <s v="Number"/>
    <n v="4.99"/>
    <n v="4.99"/>
    <n v="23.73"/>
    <n v="23.73"/>
    <n v="23.729999999999997"/>
    <s v="True"/>
    <s v="Normal"/>
    <s v="Google Pay"/>
    <s v="Instagram"/>
    <s v="fulfilled"/>
    <s v="United States"/>
    <s v="NC"/>
    <s v="Valid"/>
    <s v="Batesstad"/>
  </r>
  <r>
    <s v="#1920"/>
    <n v="1"/>
    <d v="2026-08-04T00:00:00"/>
    <s v="Aug 04, 2026"/>
    <s v="Heather Rivers"/>
    <s v="Email Available"/>
    <s v="heather.rivers451@icloud.com"/>
    <x v="20"/>
    <s v="Beauty"/>
    <x v="21"/>
    <n v="3"/>
    <n v="24.99"/>
    <n v="24.99"/>
    <s v="SAVE20"/>
    <s v="SAVE20"/>
    <n v="14.99"/>
    <n v="14.99"/>
    <s v="Number"/>
    <n v="5.99"/>
    <n v="5.99"/>
    <n v="65.97"/>
    <n v="65.97"/>
    <n v="65.97"/>
    <s v="True"/>
    <s v="Normal"/>
    <s v="Credit Card"/>
    <s v="POS"/>
    <s v="refunded"/>
    <s v="United States"/>
    <s v="TX"/>
    <s v="Valid"/>
    <s v="Juanland"/>
  </r>
  <r>
    <s v="#1928"/>
    <n v="1"/>
    <d v="2026-08-04T13:58:02"/>
    <d v="2026-08-04T13:58:02"/>
    <s v="Justin Smith"/>
    <s v="Email Available"/>
    <s v="justin.smith204@yahoo.com"/>
    <x v="20"/>
    <s v="Beauty"/>
    <x v="21"/>
    <n v="1"/>
    <n v="24.99"/>
    <n v="24.99"/>
    <m/>
    <s v=""/>
    <n v="0"/>
    <n v="0"/>
    <s v="Number"/>
    <n v="7.99"/>
    <n v="7.99"/>
    <n v="32.979999999999997"/>
    <n v="32.979999999999997"/>
    <n v="32.979999999999997"/>
    <s v="True"/>
    <s v="Normal"/>
    <s v="Google Pay"/>
    <s v="Facebook"/>
    <s v="cancelled"/>
    <s v="United Kingdom"/>
    <m/>
    <s v="Not Required"/>
    <s v="North Jeremyside"/>
  </r>
  <r>
    <s v="#1951"/>
    <n v="1"/>
    <d v="2026-08-04T14:01:30"/>
    <d v="2026-08-04T14:01:30"/>
    <s v="Amanda Harris"/>
    <s v="Email Available"/>
    <s v="amanda.harris197@gmail.com"/>
    <x v="20"/>
    <s v="Beauty"/>
    <x v="21"/>
    <n v="1"/>
    <n v="24.99"/>
    <n v="24.99"/>
    <s v="FREESHIP"/>
    <s v="FREESHIP"/>
    <n v="0"/>
    <n v="0"/>
    <s v="Number"/>
    <n v="0"/>
    <n v="0"/>
    <n v="24.99"/>
    <n v="24.99"/>
    <n v="24.99"/>
    <s v="True"/>
    <s v="Normal"/>
    <s v="Credit Card"/>
    <s v="Online Store"/>
    <s v="fulfilled"/>
    <s v="United States"/>
    <s v="Georgia"/>
    <s v="Valid"/>
    <s v="Port Kathrynstad"/>
  </r>
  <r>
    <s v="#1967"/>
    <n v="1"/>
    <d v="2026-08-04T13:59:25"/>
    <d v="2026-08-04T13:59:25"/>
    <s v="Lauren Howard"/>
    <s v="Email Available"/>
    <s v="lauren.howard163@icloud.com"/>
    <x v="20"/>
    <s v="Beauty"/>
    <x v="21"/>
    <n v="2"/>
    <s v="$24.99"/>
    <n v="24.99"/>
    <s v="WELCOME10"/>
    <s v="WELCOME10"/>
    <n v="5"/>
    <n v="5"/>
    <s v="Number"/>
    <n v="4.99"/>
    <n v="4.99"/>
    <n v="49.97"/>
    <n v="49.97"/>
    <n v="49.97"/>
    <s v="True"/>
    <s v="Normal"/>
    <s v="Apple Pay"/>
    <s v="POS"/>
    <s v="cancelled"/>
    <s v="United States"/>
    <s v="Georgia"/>
    <s v="Valid"/>
    <s v="Port Triciaburgh"/>
  </r>
  <r>
    <s v="#1983"/>
    <n v="1"/>
    <d v="2026-08-04T14:04:23"/>
    <d v="2026-08-04T14:04:23"/>
    <s v="Tracy Adams"/>
    <s v="Missing Email"/>
    <m/>
    <x v="20"/>
    <s v="Beauty"/>
    <x v="21"/>
    <n v="1"/>
    <n v="24.99"/>
    <n v="24.99"/>
    <s v="BFCM25"/>
    <s v="BFCM25"/>
    <n v="6.25"/>
    <n v="6.25"/>
    <s v="Number"/>
    <n v="5.99"/>
    <n v="5.99"/>
    <n v="24.73"/>
    <n v="24.73"/>
    <n v="24.729999999999997"/>
    <s v="True"/>
    <s v="Normal"/>
    <s v="Shopify Payments"/>
    <s v="Online Store"/>
    <s v="fulfilled"/>
    <s v="United States"/>
    <s v="Ohio"/>
    <s v="Valid"/>
    <s v="West Melissaport"/>
  </r>
  <r>
    <s v="#2005"/>
    <n v="1"/>
    <d v="2026-08-04T00:00:00"/>
    <s v="2026-08-04"/>
    <s v="Brian Johnson"/>
    <s v="Email Available"/>
    <s v="brian.johnson756@yahoo.com"/>
    <x v="20"/>
    <s v="Beauty"/>
    <x v="21"/>
    <n v="1"/>
    <n v="24.99"/>
    <n v="24.99"/>
    <s v="VIP15"/>
    <s v="VIP15"/>
    <n v="3.75"/>
    <n v="3.75"/>
    <s v="Number"/>
    <n v="7.99"/>
    <n v="7.99"/>
    <n v="29.23"/>
    <n v="29.23"/>
    <n v="29.229999999999997"/>
    <s v="True"/>
    <s v="Normal"/>
    <s v="Apple Pay"/>
    <s v="Online Store"/>
    <s v="cancelled"/>
    <s v="Australia"/>
    <m/>
    <s v="Not Required"/>
    <s v="Russellshire"/>
  </r>
  <r>
    <s v="#2061"/>
    <n v="1"/>
    <d v="2026-08-04T13:58:41"/>
    <d v="2026-08-04T13:58:41"/>
    <s v="Frank Diaz"/>
    <s v="Email Available"/>
    <s v="frank.diaz795@gmail.com"/>
    <x v="20"/>
    <s v="Beauty"/>
    <x v="21"/>
    <n v="2"/>
    <n v="24.99"/>
    <n v="24.99"/>
    <s v="SAVE20"/>
    <s v="SAVE20"/>
    <n v="10"/>
    <n v="10"/>
    <s v="Number"/>
    <n v="4.99"/>
    <n v="4.99"/>
    <n v="44.97"/>
    <n v="44.97"/>
    <n v="44.97"/>
    <s v="True"/>
    <s v="Normal"/>
    <s v="PayPal"/>
    <s v="Instagram"/>
    <s v="fulfilled"/>
    <s v="United States"/>
    <s v="Georgia"/>
    <s v="Valid"/>
    <s v="Quinnfurt"/>
  </r>
  <r>
    <s v="#2071"/>
    <n v="1"/>
    <d v="2026-08-04T14:01:52"/>
    <d v="2026-08-04T14:01:52"/>
    <s v="George Green"/>
    <s v="Email Available"/>
    <s v="george.green694@icloud.com"/>
    <x v="20"/>
    <s v="Beauty"/>
    <x v="21"/>
    <n v="1"/>
    <n v="24.99"/>
    <n v="24.99"/>
    <s v="BFCM25"/>
    <s v="BFCM25"/>
    <n v="6.25"/>
    <n v="6.25"/>
    <s v="Number"/>
    <n v="5.99"/>
    <n v="5.99"/>
    <n v="24.73"/>
    <n v="24.73"/>
    <n v="24.729999999999997"/>
    <s v="True"/>
    <s v="Normal"/>
    <s v="Google Pay"/>
    <s v="Online Store"/>
    <s v="cancelled"/>
    <s v="United States"/>
    <s v="Texas"/>
    <s v="Valid"/>
    <s v="Harrisonbury"/>
  </r>
  <r>
    <s v="#2083"/>
    <n v="1"/>
    <d v="2026-08-04T14:05:39"/>
    <d v="2026-08-04T14:05:39"/>
    <s v="Thomas Smith"/>
    <s v="Email Available"/>
    <s v="thomas.smith633@gmail.com"/>
    <x v="20"/>
    <s v="Beauty"/>
    <x v="21"/>
    <n v="1"/>
    <n v="24.99"/>
    <n v="24.99"/>
    <m/>
    <s v=""/>
    <n v="0"/>
    <n v="0"/>
    <s v="Number"/>
    <n v="4.99"/>
    <n v="4.99"/>
    <n v="29.98"/>
    <n v="29.98"/>
    <n v="29.979999999999997"/>
    <s v="True"/>
    <s v="Normal"/>
    <s v="Credit Card"/>
    <s v="Online Store"/>
    <s v="fulfilled"/>
    <s v="Germany"/>
    <m/>
    <s v="Not Required"/>
    <s v="Montgomeryberg"/>
  </r>
  <r>
    <s v="#2119"/>
    <n v="1"/>
    <d v="2026-08-04T00:00:00"/>
    <s v="Aug 04, 2026"/>
    <s v="Timothy Hodges"/>
    <s v="Email Available"/>
    <s v="timothy.hodges687@icloud.com"/>
    <x v="20"/>
    <s v="Beauty"/>
    <x v="21"/>
    <n v="1"/>
    <n v="24.99"/>
    <n v="24.99"/>
    <s v="SAVE20"/>
    <s v="SAVE20"/>
    <n v="5"/>
    <n v="5"/>
    <s v="Number"/>
    <n v="7.99"/>
    <n v="7.99"/>
    <n v="27.98"/>
    <n v="27.98"/>
    <n v="27.979999999999997"/>
    <s v="True"/>
    <s v="Normal"/>
    <s v="Shopify Payments"/>
    <s v="Online Store"/>
    <s v="cancelled"/>
    <s v="Australia"/>
    <m/>
    <s v="Not Required"/>
    <s v="Savagefurt"/>
  </r>
  <r>
    <s v="#2185"/>
    <n v="1"/>
    <d v="2026-08-04T14:06:10"/>
    <d v="2026-08-04T14:06:10"/>
    <s v="David Hernandez"/>
    <s v="Email Available"/>
    <s v="david.hernandez260@yahoo.com"/>
    <x v="20"/>
    <s v="Beauty"/>
    <x v="21"/>
    <n v="1"/>
    <n v="24.99"/>
    <n v="24.99"/>
    <m/>
    <s v=""/>
    <n v="0"/>
    <n v="0"/>
    <s v="Number"/>
    <n v="7.99"/>
    <n v="7.99"/>
    <n v="32.979999999999997"/>
    <n v="32.979999999999997"/>
    <n v="32.979999999999997"/>
    <s v="True"/>
    <s v="Normal"/>
    <s v="Apple Pay"/>
    <s v="POS"/>
    <s v="cancelled"/>
    <s v="Australia"/>
    <m/>
    <s v="Not Required"/>
    <s v="Johnmouth"/>
  </r>
  <r>
    <s v="#2207"/>
    <n v="1"/>
    <d v="2026-08-04T13:56:12"/>
    <d v="2026-08-04T13:56:12"/>
    <s v="Sergio Turner"/>
    <s v="Email Available"/>
    <s v="sergio.turner744@outlook.com"/>
    <x v="20"/>
    <s v="Beauty"/>
    <x v="21"/>
    <n v="1"/>
    <n v="24.99"/>
    <n v="24.99"/>
    <s v="VIP15"/>
    <s v="VIP15"/>
    <n v="3.75"/>
    <n v="3.75"/>
    <s v="Number"/>
    <n v="4.99"/>
    <n v="4.99"/>
    <n v="26.23"/>
    <n v="26.23"/>
    <n v="26.229999999999997"/>
    <s v="True"/>
    <s v="Normal"/>
    <s v="Shopify Payments"/>
    <s v="Facebook"/>
    <s v="fulfilled"/>
    <s v="Germany"/>
    <m/>
    <s v="Not Required"/>
    <s v="Jefferyberg"/>
  </r>
  <r>
    <s v="#2232"/>
    <n v="1"/>
    <d v="2026-08-04T13:58:03"/>
    <d v="2026-08-04T13:58:03"/>
    <s v="Joel Williams"/>
    <s v="Email Available"/>
    <s v="joel.williams850@gmail.com"/>
    <x v="20"/>
    <s v="Beauty"/>
    <x v="21"/>
    <n v="2"/>
    <s v="$24.99"/>
    <n v="24.99"/>
    <s v="BFCM25"/>
    <s v="BFCM25"/>
    <s v="$12.49"/>
    <n v="12.49"/>
    <s v="Number"/>
    <n v="7.99"/>
    <n v="7.99"/>
    <n v="45.48"/>
    <n v="45.48"/>
    <n v="45.48"/>
    <s v="True"/>
    <s v="Normal"/>
    <s v="Apple Pay"/>
    <s v="Facebook"/>
    <s v="pending"/>
    <s v="United States"/>
    <s v="New York"/>
    <s v="Valid"/>
    <s v="Port Michele"/>
  </r>
  <r>
    <s v="#2249"/>
    <n v="1"/>
    <d v="2026-08-04T14:07:03"/>
    <d v="2026-08-04T14:07:03"/>
    <s v="Karen Bautista"/>
    <s v="Email Available"/>
    <s v="karen.bautista779@icloud.com"/>
    <x v="20"/>
    <s v="Beauty"/>
    <x v="21"/>
    <n v="1"/>
    <n v="24.99"/>
    <n v="24.99"/>
    <s v="VIP15"/>
    <s v="VIP15"/>
    <n v="3.75"/>
    <n v="3.75"/>
    <s v="Number"/>
    <n v="4.99"/>
    <n v="4.99"/>
    <n v="26.23"/>
    <n v="26.23"/>
    <n v="26.229999999999997"/>
    <s v="True"/>
    <s v="Normal"/>
    <s v="Shopify Payments"/>
    <s v="Online Store"/>
    <s v="fulfilled"/>
    <s v="United States"/>
    <s v="Washington"/>
    <s v="Valid"/>
    <s v="Port Alexander"/>
  </r>
  <r>
    <s v="#2265"/>
    <n v="1"/>
    <d v="2026-08-04T14:01:28"/>
    <d v="2026-08-04T14:01:28"/>
    <s v="Heather Rivers"/>
    <s v="Email Available"/>
    <s v="heather.rivers451@icloud.com"/>
    <x v="20"/>
    <s v="Beauty"/>
    <x v="21"/>
    <n v="1"/>
    <n v="24.99"/>
    <n v="24.99"/>
    <s v="WELCOME10"/>
    <s v="WELCOME10"/>
    <n v="2.5"/>
    <n v="2.5"/>
    <s v="Number"/>
    <n v="4.99"/>
    <n v="4.99"/>
    <n v="27.48"/>
    <n v="27.48"/>
    <n v="27.479999999999997"/>
    <s v="True"/>
    <s v="Normal"/>
    <s v="Shopify Payments"/>
    <s v="Facebook"/>
    <s v="fulfilled"/>
    <s v="United States"/>
    <s v="Arizona"/>
    <s v="Valid"/>
    <s v="North Allisonville"/>
  </r>
  <r>
    <s v="#2296"/>
    <n v="1"/>
    <d v="2026-08-04T00:00:00"/>
    <s v="Aug 04, 2026"/>
    <s v="Taylor Lee"/>
    <s v="Email Available"/>
    <s v="taylor.lee613@gmail.com"/>
    <x v="20"/>
    <s v="Beauty"/>
    <x v="21"/>
    <n v="1"/>
    <n v="24.99"/>
    <n v="24.99"/>
    <s v="VIP15"/>
    <s v="VIP15"/>
    <n v="3.75"/>
    <n v="3.75"/>
    <s v="Number"/>
    <n v="4.99"/>
    <n v="4.99"/>
    <n v="26.23"/>
    <n v="26.23"/>
    <n v="26.229999999999997"/>
    <s v="True"/>
    <s v="Normal"/>
    <s v="Shopify Payments"/>
    <s v="Online Store"/>
    <s v="cancelled"/>
    <s v="United Kingdom"/>
    <m/>
    <s v="Not Required"/>
    <s v="Ashleyborough"/>
  </r>
  <r>
    <s v="#2304"/>
    <n v="1"/>
    <d v="2026-08-04T13:56:47"/>
    <d v="2026-08-04T13:56:47"/>
    <s v="Victoria Wilson"/>
    <s v="Email Available"/>
    <s v="victoria.wilson114@gmail.com"/>
    <x v="20"/>
    <s v="Beauty"/>
    <x v="21"/>
    <n v="1"/>
    <n v="24.99"/>
    <n v="24.99"/>
    <s v="FREESHIP"/>
    <s v="FREESHIP"/>
    <n v="0"/>
    <n v="0"/>
    <s v="Number"/>
    <n v="0"/>
    <n v="0"/>
    <n v="24.99"/>
    <n v="24.99"/>
    <n v="24.99"/>
    <s v="True"/>
    <s v="Normal"/>
    <s v="Shopify Payments"/>
    <s v="POS"/>
    <s v="fulfilled"/>
    <s v="Canada"/>
    <m/>
    <s v="Not Required"/>
    <s v="Michealtown"/>
  </r>
  <r>
    <s v="#2332"/>
    <n v="1"/>
    <d v="2026-08-04T14:07:08"/>
    <d v="2026-08-04T14:07:08"/>
    <s v="Robert Clark"/>
    <s v="Email Available"/>
    <s v="robert.clark185@icloud.com"/>
    <x v="20"/>
    <s v="Beauty"/>
    <x v="21"/>
    <n v="1"/>
    <n v="24.99"/>
    <n v="24.99"/>
    <s v="WELCOME10"/>
    <s v="WELCOME10"/>
    <n v="2.5"/>
    <n v="2.5"/>
    <s v="Number"/>
    <n v="5.99"/>
    <n v="5.99"/>
    <n v="28.48"/>
    <n v="28.48"/>
    <n v="28.479999999999997"/>
    <s v="True"/>
    <s v="Normal"/>
    <s v="Credit Card"/>
    <s v="Online Store"/>
    <s v="pending"/>
    <s v="Pakistan"/>
    <m/>
    <s v="Not Required"/>
    <s v="Garciaborough"/>
  </r>
  <r>
    <s v="#2344"/>
    <n v="1"/>
    <d v="2026-08-04T13:54:47"/>
    <d v="2026-08-04T13:54:47"/>
    <s v="Gloria Ballard"/>
    <s v="Email Available"/>
    <s v="gloria.ballard194@outlook.com"/>
    <x v="20"/>
    <s v="Beauty"/>
    <x v="21"/>
    <n v="1"/>
    <n v="24.99"/>
    <n v="24.99"/>
    <m/>
    <s v=""/>
    <s v="$0.00"/>
    <n v="0"/>
    <s v="Number"/>
    <n v="5.99"/>
    <n v="5.99"/>
    <n v="30.98"/>
    <n v="30.98"/>
    <n v="30.979999999999997"/>
    <s v="True"/>
    <s v="Normal"/>
    <s v="Google Pay"/>
    <s v="Online Store"/>
    <s v="fulfilled"/>
    <s v="Germany"/>
    <m/>
    <s v="Not Required"/>
    <s v="Lake John"/>
  </r>
  <r>
    <s v="#2359"/>
    <n v="1"/>
    <d v="2026-08-04T14:08:23"/>
    <d v="2026-08-04T14:08:23"/>
    <s v="Paul Hopkins"/>
    <s v="Email Available"/>
    <s v="paul.hopkins457@yahoo.com"/>
    <x v="20"/>
    <s v="Beauty"/>
    <x v="21"/>
    <n v="2"/>
    <n v="24.99"/>
    <n v="24.99"/>
    <s v="SAVE20"/>
    <s v="SAVE20"/>
    <n v="10"/>
    <n v="10"/>
    <s v="Number"/>
    <n v="4.99"/>
    <n v="4.99"/>
    <n v="44.97"/>
    <n v="44.97"/>
    <n v="44.97"/>
    <s v="True"/>
    <s v="Normal"/>
    <s v="Apple Pay"/>
    <s v="POS"/>
    <s v="fulfilled"/>
    <s v="United States"/>
    <s v="Washington"/>
    <s v="Valid"/>
    <s v="Michaelborough"/>
  </r>
  <r>
    <s v="#2407"/>
    <n v="1"/>
    <d v="2026-08-04T13:54:48"/>
    <d v="2026-08-04T13:54:48"/>
    <s v="Timothy Hodges"/>
    <s v="Email Available"/>
    <s v="timothy.hodges687@icloud.com"/>
    <x v="20"/>
    <s v="Beauty"/>
    <x v="21"/>
    <n v="1"/>
    <n v="24.99"/>
    <n v="24.99"/>
    <s v="SAVE20"/>
    <s v="SAVE20"/>
    <n v="5"/>
    <n v="5"/>
    <s v="Number"/>
    <n v="7.99"/>
    <n v="7.99"/>
    <n v="27.98"/>
    <n v="27.98"/>
    <n v="27.979999999999997"/>
    <s v="True"/>
    <s v="Normal"/>
    <s v="Google Pay"/>
    <s v="Online Store"/>
    <s v="refunded"/>
    <s v="Australia"/>
    <m/>
    <s v="Not Required"/>
    <s v="West Richardland"/>
  </r>
  <r>
    <s v="#2408"/>
    <n v="1"/>
    <d v="2026-08-04T13:54:01"/>
    <d v="2026-08-04T13:54:01"/>
    <s v="Joshua Thompson"/>
    <s v="Email Available"/>
    <s v="joshua.thompson522@outlook.com"/>
    <x v="20"/>
    <s v="Beauty"/>
    <x v="21"/>
    <n v="2"/>
    <n v="24.99"/>
    <n v="24.99"/>
    <m/>
    <s v=""/>
    <n v="0"/>
    <n v="0"/>
    <s v="Number"/>
    <n v="7.99"/>
    <n v="7.99"/>
    <n v="57.97"/>
    <n v="57.97"/>
    <n v="57.97"/>
    <s v="True"/>
    <s v="Normal"/>
    <s v="Credit Card"/>
    <s v="Online Store"/>
    <s v="fulfilled"/>
    <s v="Pakistan"/>
    <m/>
    <s v="Not Required"/>
    <s v="Grantshire"/>
  </r>
  <r>
    <s v="#2453"/>
    <n v="1"/>
    <d v="2026-08-04T14:05:06"/>
    <d v="2026-08-04T14:05:06"/>
    <s v="Williams, Cynthia"/>
    <s v="Email Available"/>
    <s v="cynthia.williams720@yahoo.com"/>
    <x v="20"/>
    <s v="Beauty"/>
    <x v="21"/>
    <n v="2"/>
    <n v="24.99"/>
    <n v="24.99"/>
    <s v="VIP15"/>
    <s v="VIP15"/>
    <n v="7.5"/>
    <n v="7.5"/>
    <s v="Number"/>
    <n v="7.99"/>
    <n v="7.99"/>
    <s v="$50.47"/>
    <n v="50.47"/>
    <n v="50.47"/>
    <s v="True"/>
    <s v="Normal"/>
    <s v="Apple Pay"/>
    <s v="Online Store"/>
    <s v="pending"/>
    <s v="Australia"/>
    <m/>
    <s v="Not Required"/>
    <s v="Hectorville"/>
  </r>
  <r>
    <s v="#2482"/>
    <n v="1"/>
    <d v="2026-04-08T00:00:00"/>
    <s v="08/04/2026"/>
    <s v="Julia Atkinson"/>
    <s v="Email Available"/>
    <s v="julia.atkinson939@gmail.com"/>
    <x v="20"/>
    <s v="Beauty"/>
    <x v="21"/>
    <n v="1"/>
    <n v="24.99"/>
    <n v="24.99"/>
    <s v="SAVE20"/>
    <s v="SAVE20"/>
    <s v="$5.00"/>
    <n v="5"/>
    <s v="Number"/>
    <n v="5.99"/>
    <n v="5.99"/>
    <n v="25.98"/>
    <n v="25.98"/>
    <n v="25.979999999999997"/>
    <s v="True"/>
    <s v="Normal"/>
    <s v="Google Pay"/>
    <s v="Online Store"/>
    <s v="fulfilled"/>
    <s v="Canada"/>
    <m/>
    <s v="Not Required"/>
    <s v="Mclaughlinmouth"/>
  </r>
  <r>
    <s v="#2522"/>
    <n v="1"/>
    <d v="2026-08-04T14:04:48"/>
    <d v="2026-08-04T14:04:48"/>
    <s v="Paul Dillon"/>
    <s v="Email Available"/>
    <s v="paul.dillon750@icloud.com"/>
    <x v="20"/>
    <s v="Beauty"/>
    <x v="21"/>
    <n v="2"/>
    <n v="24.99"/>
    <n v="24.99"/>
    <m/>
    <s v=""/>
    <n v="0"/>
    <n v="0"/>
    <s v="Number"/>
    <n v="5.99"/>
    <n v="5.99"/>
    <n v="55.97"/>
    <n v="55.97"/>
    <n v="55.97"/>
    <s v="True"/>
    <s v="Normal"/>
    <s v="PayPal"/>
    <s v="Facebook"/>
    <s v="fulfilled"/>
    <s v="Australia"/>
    <m/>
    <s v="Not Required"/>
    <s v="West Rebecca"/>
  </r>
  <r>
    <s v="#2550"/>
    <n v="1"/>
    <d v="2026-04-08T00:00:00"/>
    <s v="08/04/2026"/>
    <s v="Nancy Nichols"/>
    <s v="Email Available"/>
    <s v="nancy.nichols189@yahoo.com"/>
    <x v="20"/>
    <s v="Beauty"/>
    <x v="21"/>
    <n v="1"/>
    <s v="$24.99"/>
    <n v="24.99"/>
    <s v="BFCM25"/>
    <s v="BFCM25"/>
    <n v="6.25"/>
    <n v="6.25"/>
    <s v="Number"/>
    <n v="5.99"/>
    <n v="5.99"/>
    <n v="24.73"/>
    <n v="24.73"/>
    <n v="24.729999999999997"/>
    <s v="True"/>
    <s v="Normal"/>
    <s v="Google Pay"/>
    <s v="Online Store"/>
    <s v="fulfilled"/>
    <s v="United States"/>
    <s v="Texas"/>
    <s v="Valid"/>
    <s v="East Stephen"/>
  </r>
  <r>
    <s v="#2561"/>
    <n v="1"/>
    <d v="2026-08-04T13:59:51"/>
    <d v="2026-08-04T13:59:51"/>
    <s v="Brenda Perez"/>
    <s v="Email Available"/>
    <s v="brenda.perez884@outlook.com"/>
    <x v="20"/>
    <s v="Beauty"/>
    <x v="21"/>
    <n v="1"/>
    <n v="24.99"/>
    <n v="24.99"/>
    <m/>
    <s v=""/>
    <n v="0"/>
    <n v="0"/>
    <s v="Number"/>
    <n v="7.99"/>
    <n v="7.99"/>
    <n v="32.979999999999997"/>
    <n v="32.979999999999997"/>
    <n v="32.979999999999997"/>
    <s v="True"/>
    <s v="Normal"/>
    <s v="Google Pay"/>
    <s v="POS"/>
    <s v="pending"/>
    <s v="United States"/>
    <s v="North Carolina"/>
    <s v="Valid"/>
    <s v="South David"/>
  </r>
  <r>
    <s v="#2566"/>
    <n v="1"/>
    <d v="2026-08-04T14:01:01"/>
    <d v="2026-08-04T14:01:01"/>
    <s v="Diane Nunez"/>
    <s v="Email Available"/>
    <s v="diane.nunez756@outlook.com"/>
    <x v="20"/>
    <s v="Beauty"/>
    <x v="21"/>
    <n v="1"/>
    <s v="$24.99"/>
    <n v="24.99"/>
    <m/>
    <s v=""/>
    <n v="0"/>
    <n v="0"/>
    <s v="Number"/>
    <n v="4.99"/>
    <n v="4.99"/>
    <n v="29.98"/>
    <n v="29.98"/>
    <n v="29.979999999999997"/>
    <s v="True"/>
    <s v="Normal"/>
    <s v="PayPal"/>
    <s v="Facebook"/>
    <s v="fulfilled"/>
    <s v="Canada"/>
    <m/>
    <s v="Not Required"/>
    <s v="Lake Oscarmouth"/>
  </r>
  <r>
    <s v="#2609"/>
    <n v="1"/>
    <d v="2026-08-04T00:00:00"/>
    <s v="04-08-2026 14:03"/>
    <s v="Robert Boyd"/>
    <s v="Email Available"/>
    <s v="robert.boyd184@yahoo.com"/>
    <x v="20"/>
    <s v="Beauty"/>
    <x v="21"/>
    <n v="2"/>
    <n v="24.99"/>
    <n v="24.99"/>
    <s v="VIP15"/>
    <s v="VIP15"/>
    <n v="7.5"/>
    <n v="7.5"/>
    <s v="Number"/>
    <n v="7.99"/>
    <n v="7.99"/>
    <n v="50.47"/>
    <n v="50.47"/>
    <n v="50.47"/>
    <s v="True"/>
    <s v="Normal"/>
    <s v="Credit Card"/>
    <s v="Facebook"/>
    <s v="fulfilled"/>
    <s v="Canada"/>
    <m/>
    <s v="Not Required"/>
    <s v="West Carly"/>
  </r>
  <r>
    <s v="#2615"/>
    <n v="1"/>
    <d v="2026-08-04T13:54:16"/>
    <d v="2026-08-04T13:54:16"/>
    <s v="Peter Alvarez"/>
    <s v="Email Available"/>
    <s v="peter.alvarez465@yahoo.com"/>
    <x v="20"/>
    <s v="Beauty"/>
    <x v="21"/>
    <n v="1"/>
    <s v="$24.99"/>
    <n v="24.99"/>
    <m/>
    <s v=""/>
    <n v="0"/>
    <n v="0"/>
    <s v="Number"/>
    <n v="4.99"/>
    <n v="4.99"/>
    <n v="29.98"/>
    <n v="29.98"/>
    <n v="29.979999999999997"/>
    <s v="True"/>
    <s v="Normal"/>
    <s v="Apple Pay"/>
    <s v="Instagram"/>
    <s v="fulfilled"/>
    <s v="United States"/>
    <s v="California"/>
    <s v="Valid"/>
    <s v="Lake Jeremiah"/>
  </r>
  <r>
    <s v="#2687"/>
    <n v="1"/>
    <d v="2026-08-04T13:59:31"/>
    <d v="2026-08-04T13:59:31"/>
    <s v="Karen Bautista"/>
    <s v="Email Available"/>
    <s v="karen.bautista779@icloud.com"/>
    <x v="20"/>
    <s v="Beauty"/>
    <x v="21"/>
    <n v="1"/>
    <n v="24.99"/>
    <n v="24.99"/>
    <m/>
    <s v=""/>
    <n v="0"/>
    <n v="0"/>
    <s v="Number"/>
    <n v="5.99"/>
    <n v="5.99"/>
    <n v="30.98"/>
    <n v="30.98"/>
    <n v="30.979999999999997"/>
    <s v="True"/>
    <s v="Normal"/>
    <s v="Apple Pay"/>
    <s v="Online Store"/>
    <s v="fulfilled"/>
    <s v="United States"/>
    <s v="Washington"/>
    <s v="Valid"/>
    <s v="Patrickmouth"/>
  </r>
  <r>
    <s v="#2692"/>
    <n v="1"/>
    <d v="2026-08-04T13:56:51"/>
    <d v="2026-08-04T13:56:51"/>
    <s v="Natalie Dixon"/>
    <s v="Email Available"/>
    <s v="natalie.dixon388@outlook.com"/>
    <x v="20"/>
    <s v="Beauty"/>
    <x v="21"/>
    <n v="1"/>
    <n v="24.99"/>
    <n v="24.99"/>
    <m/>
    <s v=""/>
    <n v="0"/>
    <n v="0"/>
    <s v="Number"/>
    <n v="7.99"/>
    <n v="7.99"/>
    <n v="32.979999999999997"/>
    <n v="32.979999999999997"/>
    <n v="32.979999999999997"/>
    <s v="True"/>
    <s v="Normal"/>
    <s v="Google Pay"/>
    <s v="Facebook"/>
    <s v="pending"/>
    <s v="United States"/>
    <s v="Canada"/>
    <s v="Valid"/>
    <s v="New Sarahfurt"/>
  </r>
  <r>
    <s v="#2694"/>
    <n v="1"/>
    <d v="2026-08-04T13:57:55"/>
    <d v="2026-08-04T13:57:55"/>
    <s v="Megan Herman"/>
    <s v="Email Available"/>
    <s v="megan.herman268@yahoo.com"/>
    <x v="20"/>
    <s v="Beauty"/>
    <x v="21"/>
    <n v="1"/>
    <n v="24.99"/>
    <n v="24.99"/>
    <s v="VIP15"/>
    <s v="VIP15"/>
    <n v="3.75"/>
    <n v="3.75"/>
    <s v="Number"/>
    <n v="7.99"/>
    <n v="7.99"/>
    <n v="29.23"/>
    <n v="29.23"/>
    <n v="29.229999999999997"/>
    <s v="True"/>
    <s v="Normal"/>
    <s v="Shopify Payments"/>
    <s v="Instagram"/>
    <s v="cancelled"/>
    <s v="United States"/>
    <s v="North Carolina"/>
    <s v="Valid"/>
    <s v="North Rogerberg"/>
  </r>
  <r>
    <s v="#2747"/>
    <n v="1"/>
    <d v="2026-04-08T00:00:00"/>
    <s v="08/04/2026"/>
    <s v="MICHELLE BELL"/>
    <s v="Email Available"/>
    <s v="michelle.bell28@yahoo.com"/>
    <x v="20"/>
    <s v="Beauty"/>
    <x v="21"/>
    <n v="1"/>
    <n v="24.99"/>
    <n v="24.99"/>
    <s v="BFCM25"/>
    <s v="BFCM25"/>
    <n v="6.25"/>
    <n v="6.25"/>
    <s v="Number"/>
    <n v="4.99"/>
    <n v="4.99"/>
    <n v="23.73"/>
    <n v="23.73"/>
    <n v="23.729999999999997"/>
    <s v="True"/>
    <s v="Normal"/>
    <s v="Credit Card"/>
    <s v="Facebook"/>
    <s v="refunded"/>
    <s v="United States"/>
    <s v="Georgia"/>
    <s v="Valid"/>
    <s v="Krystaltown"/>
  </r>
  <r>
    <s v="#2751"/>
    <n v="1"/>
    <d v="2026-08-04T14:00:28"/>
    <d v="2026-08-04T14:00:28"/>
    <s v="Amanda Harris"/>
    <s v="Email Available"/>
    <s v="amanda.harris197@gmail.com"/>
    <x v="20"/>
    <s v="Beauty"/>
    <x v="21"/>
    <n v="1"/>
    <n v="24.99"/>
    <n v="24.99"/>
    <m/>
    <s v=""/>
    <n v="0"/>
    <n v="0"/>
    <s v="Number"/>
    <n v="4.99"/>
    <n v="4.99"/>
    <n v="29.98"/>
    <n v="29.98"/>
    <n v="29.979999999999997"/>
    <s v="True"/>
    <s v="Normal"/>
    <s v="Credit Card"/>
    <s v="Facebook"/>
    <s v="fulfilled"/>
    <s v="United States"/>
    <s v="Arizona"/>
    <s v="Valid"/>
    <s v="West Melissafurt"/>
  </r>
  <r>
    <s v="#2753"/>
    <n v="1"/>
    <d v="2026-08-04T14:06:13"/>
    <d v="2026-08-04T14:06:13"/>
    <s v="Sean Frank"/>
    <s v="Email Available"/>
    <s v="sean.frank587@icloud.com"/>
    <x v="20"/>
    <s v="Beauty"/>
    <x v="21"/>
    <n v="2"/>
    <n v="24.99"/>
    <n v="24.99"/>
    <s v="SAVE20"/>
    <s v="SAVE20"/>
    <s v="$10.00"/>
    <n v="10"/>
    <s v="Number"/>
    <n v="4.99"/>
    <n v="4.99"/>
    <n v="44.97"/>
    <n v="44.97"/>
    <n v="44.97"/>
    <s v="True"/>
    <s v="Normal"/>
    <s v="Apple Pay"/>
    <s v="Facebook"/>
    <s v="refunded"/>
    <s v="Australia"/>
    <m/>
    <s v="Not Required"/>
    <s v="East Deniseburgh"/>
  </r>
  <r>
    <s v="#2776"/>
    <n v="1"/>
    <d v="2026-08-04T00:00:00"/>
    <s v="2026-08-04"/>
    <s v="Jacob Gibbs"/>
    <s v="Email Available"/>
    <s v="jacob.gibbs527@gmail.com"/>
    <x v="20"/>
    <s v="Beauty"/>
    <x v="21"/>
    <n v="1"/>
    <n v="24.99"/>
    <n v="24.99"/>
    <m/>
    <s v=""/>
    <n v="0"/>
    <n v="0"/>
    <s v="Number"/>
    <n v="7.99"/>
    <n v="7.99"/>
    <n v="32.979999999999997"/>
    <n v="32.979999999999997"/>
    <n v="32.979999999999997"/>
    <s v="True"/>
    <s v="Normal"/>
    <s v="Credit Card"/>
    <s v="Instagram"/>
    <s v="fulfilled"/>
    <s v="United States"/>
    <s v="AZ"/>
    <s v="Valid"/>
    <s v="Lake Frankton"/>
  </r>
  <r>
    <s v="#2784"/>
    <n v="1"/>
    <d v="2026-08-04T13:56:49"/>
    <d v="2026-08-04T13:56:49"/>
    <s v="James Miller"/>
    <s v="Email Available"/>
    <s v="james.miller866@yahoo.com"/>
    <x v="20"/>
    <s v="Beauty"/>
    <x v="21"/>
    <n v="1"/>
    <n v="24.99"/>
    <n v="24.99"/>
    <m/>
    <s v=""/>
    <n v="0"/>
    <n v="0"/>
    <s v="Number"/>
    <n v="5.99"/>
    <n v="5.99"/>
    <n v="30.98"/>
    <n v="30.98"/>
    <n v="30.979999999999997"/>
    <s v="True"/>
    <s v="Normal"/>
    <s v="Apple Pay"/>
    <s v="Instagram"/>
    <s v="cancelled"/>
    <s v="Pakistan"/>
    <m/>
    <s v="Not Required"/>
    <s v="West Anthonymouth"/>
  </r>
  <r>
    <s v="#2837"/>
    <n v="1"/>
    <d v="2026-08-04T14:06:00"/>
    <d v="2026-08-04T14:06:00"/>
    <s v="Anthony Mullen"/>
    <s v="Email Available"/>
    <s v="anthony.mullen523@yahoo.com"/>
    <x v="20"/>
    <s v="Beauty"/>
    <x v="21"/>
    <n v="4"/>
    <n v="24.99"/>
    <n v="24.99"/>
    <s v="FREESHIP"/>
    <s v="FREESHIP"/>
    <n v="0"/>
    <n v="0"/>
    <s v="Number"/>
    <n v="0"/>
    <n v="0"/>
    <n v="99.96"/>
    <n v="99.96"/>
    <n v="99.96"/>
    <s v="True"/>
    <s v="Outlier"/>
    <s v="PayPal"/>
    <s v="POS"/>
    <s v="refunded"/>
    <s v="United States"/>
    <s v="NC"/>
    <s v="Valid"/>
    <s v="East Jamesfurt"/>
  </r>
  <r>
    <s v="#2844"/>
    <n v="1"/>
    <d v="2026-04-08T00:00:00"/>
    <s v="08/04/2026"/>
    <s v="Heather Davis"/>
    <s v="Email Available"/>
    <s v="heather.davis117@icloud.com"/>
    <x v="20"/>
    <s v="Beauty"/>
    <x v="21"/>
    <n v="1"/>
    <n v="24.99"/>
    <n v="24.99"/>
    <m/>
    <s v=""/>
    <n v="0"/>
    <n v="0"/>
    <s v="Number"/>
    <n v="5.99"/>
    <n v="5.99"/>
    <n v="30.98"/>
    <n v="30.98"/>
    <n v="30.979999999999997"/>
    <s v="True"/>
    <s v="Normal"/>
    <s v="Apple Pay"/>
    <s v="POS"/>
    <s v="fulfilled"/>
    <s v="Germany"/>
    <m/>
    <s v="Not Required"/>
    <s v="Lake Rickystad"/>
  </r>
  <r>
    <s v="#2862"/>
    <n v="1"/>
    <d v="2026-08-04T00:00:00"/>
    <s v="2026-08-04"/>
    <s v="Linda Scott"/>
    <s v="Email Available"/>
    <s v="linda.scott2@icloud.com"/>
    <x v="20"/>
    <s v="Beauty"/>
    <x v="21"/>
    <n v="1"/>
    <n v="24.99"/>
    <n v="24.99"/>
    <m/>
    <s v=""/>
    <n v="0"/>
    <n v="0"/>
    <s v="Number"/>
    <n v="4.99"/>
    <n v="4.99"/>
    <n v="29.98"/>
    <n v="29.98"/>
    <n v="29.979999999999997"/>
    <s v="True"/>
    <s v="Normal"/>
    <s v="Google Pay"/>
    <s v="Facebook"/>
    <s v="fulfilled"/>
    <s v="Canada"/>
    <m/>
    <s v="Not Required"/>
    <s v="South Lisaton"/>
  </r>
  <r>
    <s v="#2874"/>
    <n v="1"/>
    <d v="2026-08-04T13:59:11"/>
    <d v="2026-08-04T13:59:11"/>
    <s v="Philip Stevens"/>
    <s v="Email Available"/>
    <s v="philip.stevens908@outlook.com"/>
    <x v="20"/>
    <s v="Beauty"/>
    <x v="21"/>
    <n v="1"/>
    <n v="24.99"/>
    <n v="24.99"/>
    <s v="VIP15"/>
    <s v="VIP15"/>
    <n v="3.75"/>
    <n v="3.75"/>
    <s v="Number"/>
    <n v="7.99"/>
    <n v="7.99"/>
    <n v="29.23"/>
    <n v="29.23"/>
    <n v="29.229999999999997"/>
    <s v="True"/>
    <s v="Normal"/>
    <s v="PayPal"/>
    <s v="Online Store"/>
    <s v="cancelled"/>
    <s v="United States"/>
    <s v="Georgia"/>
    <s v="Valid"/>
    <s v="Taylorborough"/>
  </r>
  <r>
    <s v="#2879"/>
    <n v="1"/>
    <d v="2026-08-04T14:02:39"/>
    <d v="2026-08-04T14:02:39"/>
    <s v="Robin Ruiz"/>
    <s v="Email Available"/>
    <s v="robin.ruiz407@yahoo.com"/>
    <x v="20"/>
    <s v="Beauty"/>
    <x v="21"/>
    <n v="1"/>
    <n v="24.99"/>
    <n v="24.99"/>
    <s v="VIP15"/>
    <s v="VIP15"/>
    <n v="3.75"/>
    <n v="3.75"/>
    <s v="Number"/>
    <n v="7.99"/>
    <n v="7.99"/>
    <n v="29.23"/>
    <n v="29.23"/>
    <n v="29.229999999999997"/>
    <s v="True"/>
    <s v="Normal"/>
    <s v="Google Pay"/>
    <s v="Instagram"/>
    <s v="refunded"/>
    <s v="United States"/>
    <s v="California"/>
    <s v="Valid"/>
    <s v="Roberttown"/>
  </r>
  <r>
    <s v="#2900"/>
    <n v="1"/>
    <d v="2026-04-08T00:00:00"/>
    <s v="08/04/2026"/>
    <s v="Christy Phillips"/>
    <s v="Email Available"/>
    <s v="christy.phillips291@gmail.com"/>
    <x v="20"/>
    <s v="Beauty"/>
    <x v="21"/>
    <n v="1"/>
    <n v="24.99"/>
    <n v="24.99"/>
    <s v="SAVE20"/>
    <s v="SAVE20"/>
    <n v="5"/>
    <n v="5"/>
    <s v="Number"/>
    <n v="5.99"/>
    <n v="5.99"/>
    <n v="25.98"/>
    <n v="25.98"/>
    <n v="25.979999999999997"/>
    <s v="True"/>
    <s v="Normal"/>
    <s v="Shopify Payments"/>
    <s v="Instagram"/>
    <s v="refunded"/>
    <s v="Pakistan"/>
    <m/>
    <s v="Not Required"/>
    <s v="West Shelleyside"/>
  </r>
  <r>
    <s v="#2908"/>
    <n v="1"/>
    <d v="2026-08-04T14:03:45"/>
    <d v="2026-08-04T14:03:45"/>
    <s v="Alexandria Miller"/>
    <s v="Email Available"/>
    <s v="alexandria.miller414@outlook.com"/>
    <x v="20"/>
    <s v="Beauty"/>
    <x v="21"/>
    <n v="1"/>
    <n v="24.99"/>
    <n v="24.99"/>
    <s v="VIP15"/>
    <s v="VIP15"/>
    <s v="$3.75"/>
    <n v="3.75"/>
    <s v="Number"/>
    <n v="4.99"/>
    <n v="4.99"/>
    <s v="$26.23"/>
    <n v="26.23"/>
    <n v="26.229999999999997"/>
    <s v="True"/>
    <s v="Normal"/>
    <s v="Google Pay"/>
    <s v="Facebook"/>
    <s v="fulfilled"/>
    <s v="Australia"/>
    <m/>
    <s v="Not Required"/>
    <s v="Johnmouth"/>
  </r>
  <r>
    <s v="#2941"/>
    <n v="1"/>
    <d v="2026-08-04T14:04:00"/>
    <d v="2026-08-04T14:04:00"/>
    <s v="JOHN CARSON"/>
    <s v="Email Available"/>
    <s v="john.carson203@yahoo.com"/>
    <x v="20"/>
    <s v="Beauty"/>
    <x v="21"/>
    <n v="1"/>
    <n v="24.99"/>
    <n v="24.99"/>
    <m/>
    <s v=""/>
    <n v="0"/>
    <n v="0"/>
    <s v="Number"/>
    <n v="5.99"/>
    <n v="5.99"/>
    <n v="30.98"/>
    <n v="30.98"/>
    <n v="30.979999999999997"/>
    <s v="True"/>
    <s v="Normal"/>
    <s v="PayPal"/>
    <s v="Online Store"/>
    <s v="fulfilled"/>
    <s v="United States"/>
    <s v="Illinois"/>
    <s v="Valid"/>
    <s v="Martinezville"/>
  </r>
  <r>
    <s v="#2970"/>
    <n v="1"/>
    <d v="2026-04-08T00:00:00"/>
    <s v="08/04/2026"/>
    <s v="Matthew Newman"/>
    <s v="Email Available"/>
    <s v="matthew.newman714@gmail.com"/>
    <x v="20"/>
    <s v="Beauty"/>
    <x v="21"/>
    <n v="1"/>
    <n v="24.99"/>
    <n v="24.99"/>
    <s v="SAVE20"/>
    <s v="SAVE20"/>
    <n v="5"/>
    <n v="5"/>
    <s v="Number"/>
    <n v="4.99"/>
    <n v="4.99"/>
    <n v="24.98"/>
    <n v="24.98"/>
    <n v="24.979999999999997"/>
    <s v="True"/>
    <s v="Normal"/>
    <s v="PayPal"/>
    <s v="Online Store"/>
    <s v="fulfilled"/>
    <s v="Germany"/>
    <m/>
    <s v="Not Required"/>
    <s v="Carlsonhaven"/>
  </r>
  <r>
    <s v="#2995"/>
    <n v="1"/>
    <d v="2026-08-04T13:57:41"/>
    <d v="2026-08-04T13:57:41"/>
    <s v="Jane Gregory"/>
    <s v="Email Available"/>
    <s v="jane.gregory935@icloud.com"/>
    <x v="20"/>
    <s v="Beauty"/>
    <x v="21"/>
    <n v="1"/>
    <n v="24.99"/>
    <n v="24.99"/>
    <m/>
    <s v=""/>
    <n v="0"/>
    <n v="0"/>
    <s v="Number"/>
    <n v="5.99"/>
    <n v="5.99"/>
    <n v="30.98"/>
    <n v="30.98"/>
    <n v="30.979999999999997"/>
    <s v="True"/>
    <s v="Normal"/>
    <s v="Google Pay"/>
    <s v="Facebook"/>
    <s v="fulfilled"/>
    <s v="Germany"/>
    <m/>
    <s v="Not Required"/>
    <s v="Delgadofurt"/>
  </r>
  <r>
    <s v="#1018"/>
    <n v="1"/>
    <d v="2026-08-04T00:00:00"/>
    <s v="2026-08-04"/>
    <s v="Mary Phillips"/>
    <s v="Email Available"/>
    <s v="mary.phillips944@yahoo.com"/>
    <x v="21"/>
    <s v="Electronics"/>
    <x v="22"/>
    <n v="1"/>
    <n v="29.99"/>
    <n v="29.99"/>
    <m/>
    <s v=""/>
    <n v="0"/>
    <n v="0"/>
    <s v="Number"/>
    <n v="7.99"/>
    <n v="7.99"/>
    <n v="37.979999999999997"/>
    <n v="37.979999999999997"/>
    <n v="37.979999999999997"/>
    <s v="True"/>
    <s v="Normal"/>
    <s v="PayPal"/>
    <s v="POS"/>
    <s v="fulfilled"/>
    <s v="United States"/>
    <s v="AZ"/>
    <s v="Valid"/>
    <s v="Guerraton"/>
  </r>
  <r>
    <s v="#1019"/>
    <n v="1"/>
    <d v="2026-08-04T13:53:36"/>
    <d v="2026-08-04T13:53:36"/>
    <s v="Alison Schroeder"/>
    <s v="Email Available"/>
    <s v="alison.schroeder943@icloud.com"/>
    <x v="21"/>
    <s v="Electronics"/>
    <x v="22"/>
    <n v="1"/>
    <n v="29.99"/>
    <n v="29.99"/>
    <s v="FREESHIP"/>
    <s v="FREESHIP"/>
    <n v="0"/>
    <n v="0"/>
    <s v="Number"/>
    <n v="0"/>
    <n v="0"/>
    <n v="29.99"/>
    <n v="29.99"/>
    <n v="29.99"/>
    <s v="True"/>
    <s v="Normal"/>
    <s v="PayPal"/>
    <s v="Online Store"/>
    <s v="fulfilled"/>
    <s v="Australia"/>
    <m/>
    <s v="Not Required"/>
    <s v="West Jonathanview"/>
  </r>
  <r>
    <s v="#1020"/>
    <n v="1"/>
    <d v="2026-08-04T14:06:02"/>
    <d v="2026-08-04T14:06:02"/>
    <s v="John Carson"/>
    <s v="Email Available"/>
    <s v="john.carson203@yahoo.com"/>
    <x v="21"/>
    <s v="Electronics"/>
    <x v="22"/>
    <n v="1"/>
    <n v="29.99"/>
    <n v="29.99"/>
    <s v="SAVE20"/>
    <s v="SAVE20"/>
    <n v="6"/>
    <n v="6"/>
    <s v="Number"/>
    <n v="5.99"/>
    <n v="5.99"/>
    <n v="29.98"/>
    <n v="29.98"/>
    <n v="29.979999999999997"/>
    <s v="True"/>
    <s v="Normal"/>
    <s v="Shopify Payments"/>
    <s v="POS"/>
    <s v="fulfilled"/>
    <s v="United States"/>
    <s v="Ohio"/>
    <s v="Valid"/>
    <s v="Nathanieltown"/>
  </r>
  <r>
    <s v="#1047"/>
    <n v="1"/>
    <d v="2026-08-04T14:04:42"/>
    <d v="2026-08-04T14:04:42"/>
    <s v="Michael Jacobson"/>
    <s v="Email Available"/>
    <s v="michael.jacobson69@outlook.com"/>
    <x v="21"/>
    <s v="Electronics"/>
    <x v="22"/>
    <n v="1"/>
    <n v="29.99"/>
    <n v="29.99"/>
    <s v="VIP15"/>
    <s v="VIP15"/>
    <n v="4.5"/>
    <n v="4.5"/>
    <s v="Number"/>
    <n v="7.99"/>
    <n v="7.99"/>
    <s v="$33.48"/>
    <n v="33.479999999999997"/>
    <n v="33.479999999999997"/>
    <s v="True"/>
    <s v="Normal"/>
    <s v="Google Pay"/>
    <s v="Online Store"/>
    <s v="fulfilled"/>
    <s v="Germany"/>
    <m/>
    <s v="Not Required"/>
    <s v="Craigmouth"/>
  </r>
  <r>
    <s v="#1093"/>
    <n v="1"/>
    <d v="2026-08-04T14:02:10"/>
    <d v="2026-08-04T14:02:10"/>
    <s v="gerald li"/>
    <s v="Email Available"/>
    <s v="gerald.li856@icloud.com"/>
    <x v="21"/>
    <s v="Electronics"/>
    <x v="22"/>
    <n v="1"/>
    <n v="29.99"/>
    <n v="29.99"/>
    <m/>
    <s v=""/>
    <n v="0"/>
    <n v="0"/>
    <s v="Number"/>
    <n v="7.99"/>
    <n v="7.99"/>
    <n v="37.979999999999997"/>
    <n v="37.979999999999997"/>
    <n v="37.979999999999997"/>
    <s v="True"/>
    <s v="Normal"/>
    <s v="Credit Card"/>
    <s v="Facebook"/>
    <s v="fulfilled"/>
    <s v="United States"/>
    <s v="Ohio"/>
    <s v="Valid"/>
    <s v="Melissafurt"/>
  </r>
  <r>
    <s v="#1127"/>
    <n v="1"/>
    <d v="2026-08-04T14:03:53"/>
    <d v="2026-08-04T14:03:53"/>
    <s v="John Carson"/>
    <s v="Email Available"/>
    <s v="john.carson203@yahoo.com"/>
    <x v="21"/>
    <s v="Electronics"/>
    <x v="22"/>
    <n v="1"/>
    <s v="$29.99"/>
    <n v="29.99"/>
    <m/>
    <s v=""/>
    <n v="0"/>
    <n v="0"/>
    <s v="Number"/>
    <n v="4.99"/>
    <n v="4.99"/>
    <n v="34.979999999999997"/>
    <n v="34.979999999999997"/>
    <n v="34.979999999999997"/>
    <s v="True"/>
    <s v="Normal"/>
    <s v="Shopify Payments"/>
    <s v="POS"/>
    <s v="cancelled"/>
    <s v="United States"/>
    <s v="Ohio"/>
    <s v="Valid"/>
    <s v="Johnsonborough"/>
  </r>
  <r>
    <s v="#1135"/>
    <n v="1"/>
    <d v="2026-08-04T14:03:53"/>
    <d v="2026-08-04T14:03:53"/>
    <s v="Christopher Martin"/>
    <s v="Email Available"/>
    <s v="christopher.martin10@gmail.com"/>
    <x v="21"/>
    <s v="Electronics"/>
    <x v="22"/>
    <n v="1"/>
    <n v="29.99"/>
    <n v="29.99"/>
    <m/>
    <s v=""/>
    <n v="0"/>
    <n v="0"/>
    <s v="Number"/>
    <n v="5.99"/>
    <n v="5.99"/>
    <n v="35.979999999999997"/>
    <n v="35.979999999999997"/>
    <n v="35.979999999999997"/>
    <s v="True"/>
    <s v="Normal"/>
    <s v="PayPal"/>
    <s v="POS"/>
    <s v="fulfilled"/>
    <s v="United States"/>
    <s v="New York"/>
    <s v="Valid"/>
    <s v="Lake Teresa"/>
  </r>
  <r>
    <s v="#1194"/>
    <n v="1"/>
    <d v="2026-04-08T00:00:00"/>
    <s v="08/04/2026"/>
    <s v="James Castro"/>
    <s v="Email Available"/>
    <s v="james.castro923@icloud.com"/>
    <x v="21"/>
    <s v="Electronics"/>
    <x v="22"/>
    <n v="2"/>
    <n v="29.99"/>
    <n v="29.99"/>
    <s v="BFCM25"/>
    <s v="BFCM25"/>
    <n v="14.99"/>
    <n v="14.99"/>
    <s v="Number"/>
    <n v="5.99"/>
    <n v="5.99"/>
    <n v="50.98"/>
    <n v="50.98"/>
    <n v="50.98"/>
    <s v="True"/>
    <s v="Normal"/>
    <s v="Google Pay"/>
    <s v="Facebook"/>
    <s v="fulfilled"/>
    <s v="Pakistan"/>
    <m/>
    <s v="Not Required"/>
    <s v="West Deanna"/>
  </r>
  <r>
    <s v="#1203"/>
    <n v="1"/>
    <d v="2026-04-08T00:00:00"/>
    <s v="08/04/2026"/>
    <s v="Michael Hays"/>
    <s v="Email Available"/>
    <s v="michael.hays590@gmail.com"/>
    <x v="21"/>
    <s v="Electronics"/>
    <x v="22"/>
    <n v="1"/>
    <n v="29.99"/>
    <n v="29.99"/>
    <s v="BFCM25"/>
    <s v="BFCM25"/>
    <n v="7.5"/>
    <n v="7.5"/>
    <s v="Number"/>
    <n v="4.99"/>
    <n v="4.99"/>
    <n v="27.48"/>
    <n v="27.48"/>
    <n v="27.479999999999997"/>
    <s v="True"/>
    <s v="Normal"/>
    <s v="PayPal"/>
    <s v="Facebook"/>
    <s v="fulfilled"/>
    <s v="United States"/>
    <s v="Washington"/>
    <s v="Valid"/>
    <s v="Gallegosmouth"/>
  </r>
  <r>
    <s v="#1211"/>
    <n v="1"/>
    <d v="2026-08-04T14:01:55"/>
    <d v="2026-08-04T14:01:55"/>
    <s v="  Angela Gonzalez"/>
    <s v="Email Available"/>
    <s v="angela.gonzalez50@icloud.com"/>
    <x v="21"/>
    <s v="Electronics"/>
    <x v="22"/>
    <n v="1"/>
    <n v="29.99"/>
    <n v="29.99"/>
    <s v="VIP15"/>
    <s v="VIP15"/>
    <n v="4.5"/>
    <n v="4.5"/>
    <s v="Number"/>
    <n v="7.99"/>
    <n v="7.99"/>
    <n v="33.479999999999997"/>
    <n v="33.479999999999997"/>
    <n v="33.479999999999997"/>
    <s v="True"/>
    <s v="Normal"/>
    <s v="Shopify Payments"/>
    <s v="Online Store"/>
    <s v="pending"/>
    <s v="Canada"/>
    <m/>
    <s v="Not Required"/>
    <s v="West Miranda"/>
  </r>
  <r>
    <s v="#1251"/>
    <n v="1"/>
    <d v="2026-08-04T14:07:06"/>
    <d v="2026-08-04T14:07:06"/>
    <s v="Sandra Potter"/>
    <s v="Email Available"/>
    <s v="sandra.potter166@yahoo.com"/>
    <x v="21"/>
    <s v="Electronics"/>
    <x v="22"/>
    <n v="1"/>
    <n v="29.99"/>
    <n v="29.99"/>
    <s v="VIP15"/>
    <s v="VIP15"/>
    <n v="4.5"/>
    <n v="4.5"/>
    <s v="Number"/>
    <n v="7.99"/>
    <n v="7.99"/>
    <n v="33.479999999999997"/>
    <n v="33.479999999999997"/>
    <n v="33.479999999999997"/>
    <s v="True"/>
    <s v="Normal"/>
    <s v="Google Pay"/>
    <s v="Online Store"/>
    <s v="fulfilled"/>
    <s v="United States"/>
    <s v="Washington"/>
    <s v="Valid"/>
    <s v="New Crystal"/>
  </r>
  <r>
    <s v="#1260"/>
    <n v="1"/>
    <d v="2026-08-04T14:03:58"/>
    <d v="2026-08-04T14:03:58"/>
    <s v="Morgan Brown"/>
    <s v="Email Available"/>
    <s v="morgan.brown933@gmail.com"/>
    <x v="21"/>
    <s v="Electronics"/>
    <x v="22"/>
    <n v="1"/>
    <n v="29.99"/>
    <n v="29.99"/>
    <s v="FREESHIP"/>
    <s v="FREESHIP"/>
    <n v="0"/>
    <n v="0"/>
    <s v="Number"/>
    <n v="0"/>
    <n v="0"/>
    <n v="29.99"/>
    <n v="29.99"/>
    <n v="29.99"/>
    <s v="True"/>
    <s v="Normal"/>
    <s v="Apple Pay"/>
    <s v="Online Store"/>
    <s v="pending"/>
    <s v="United States"/>
    <s v="Florida"/>
    <s v="Valid"/>
    <s v="Austinbury"/>
  </r>
  <r>
    <s v="#1272"/>
    <n v="1"/>
    <d v="2026-08-04T13:57:29"/>
    <d v="2026-08-04T13:57:29"/>
    <s v="Kristen Lewis"/>
    <s v="Email Available"/>
    <s v="kristen.lewis649@icloud.com"/>
    <x v="21"/>
    <s v="Electronics"/>
    <x v="22"/>
    <n v="1"/>
    <n v="29.99"/>
    <n v="29.99"/>
    <s v="FREESHIP"/>
    <s v="FREESHIP"/>
    <n v="0"/>
    <n v="0"/>
    <s v="Number"/>
    <n v="0"/>
    <n v="0"/>
    <n v="29.99"/>
    <n v="29.99"/>
    <n v="29.99"/>
    <s v="True"/>
    <s v="Normal"/>
    <s v="PayPal"/>
    <s v="Online Store"/>
    <s v="fulfilled"/>
    <s v="United States"/>
    <s v="Arizona"/>
    <s v="Valid"/>
    <s v="Owenfort"/>
  </r>
  <r>
    <s v="#1310"/>
    <n v="1"/>
    <d v="2026-08-04T14:03:57"/>
    <d v="2026-08-04T14:03:57"/>
    <s v="Sharon Brown"/>
    <s v="Email Available"/>
    <s v="sharon.brown14@gmail.com"/>
    <x v="21"/>
    <s v="Electronics"/>
    <x v="22"/>
    <n v="1"/>
    <n v="29.99"/>
    <n v="29.99"/>
    <s v="SAVE20"/>
    <s v="SAVE20"/>
    <n v="6"/>
    <n v="6"/>
    <s v="Number"/>
    <n v="5.99"/>
    <n v="5.99"/>
    <n v="29.98"/>
    <n v="29.98"/>
    <n v="29.979999999999997"/>
    <s v="True"/>
    <s v="Normal"/>
    <s v="Shopify Payments"/>
    <s v="Online Store"/>
    <s v="fulfilled"/>
    <s v="United States"/>
    <s v="North Carolina"/>
    <s v="Valid"/>
    <s v="Johnsonview"/>
  </r>
  <r>
    <s v="#1423"/>
    <n v="1"/>
    <d v="2026-08-04T13:53:43"/>
    <d v="2026-08-04T13:53:43"/>
    <s v="Joseph Martin"/>
    <s v="Email Available"/>
    <s v="joseph.martin348@icloud.com"/>
    <x v="21"/>
    <s v="Electronics"/>
    <x v="22"/>
    <n v="1"/>
    <n v="29.99"/>
    <n v="29.99"/>
    <s v="BFCM25"/>
    <s v="BFCM25"/>
    <n v="7.5"/>
    <n v="7.5"/>
    <s v="Number"/>
    <n v="5.99"/>
    <n v="5.99"/>
    <n v="28.48"/>
    <n v="28.48"/>
    <n v="28.479999999999997"/>
    <s v="True"/>
    <s v="Normal"/>
    <s v="Google Pay"/>
    <s v="POS"/>
    <s v="cancelled"/>
    <s v="United States"/>
    <s v="TX"/>
    <s v="Valid"/>
    <s v="Walkerchester"/>
  </r>
  <r>
    <s v="#1441"/>
    <n v="1"/>
    <d v="2026-08-04T13:57:28"/>
    <d v="2026-08-04T13:57:28"/>
    <s v="Carr, Angela"/>
    <s v="Email Available"/>
    <s v="angela.carr488@yahoo.com"/>
    <x v="21"/>
    <s v="Electronics"/>
    <x v="22"/>
    <n v="1"/>
    <n v="29.99"/>
    <n v="29.99"/>
    <s v="BFCM25"/>
    <s v="BFCM25"/>
    <s v="$7.50"/>
    <n v="7.5"/>
    <s v="Number"/>
    <n v="5.99"/>
    <n v="5.99"/>
    <n v="28.48"/>
    <n v="28.48"/>
    <n v="28.479999999999997"/>
    <s v="True"/>
    <s v="Normal"/>
    <s v="PayPal"/>
    <s v="Facebook"/>
    <s v="refunded"/>
    <s v="United States"/>
    <s v="NC"/>
    <s v="Valid"/>
    <s v="Johnsonhaven"/>
  </r>
  <r>
    <s v="#1468"/>
    <n v="1"/>
    <d v="2026-08-04T14:03:23"/>
    <d v="2026-08-04T14:03:23"/>
    <s v="Donald Davis"/>
    <s v="Email Available"/>
    <s v="donald.davis404@icloud.com"/>
    <x v="21"/>
    <s v="Electronics"/>
    <x v="22"/>
    <n v="1"/>
    <n v="29.99"/>
    <n v="29.99"/>
    <m/>
    <s v=""/>
    <n v="0"/>
    <n v="0"/>
    <s v="Number"/>
    <n v="5.99"/>
    <n v="5.99"/>
    <n v="35.979999999999997"/>
    <n v="35.979999999999997"/>
    <n v="35.979999999999997"/>
    <s v="True"/>
    <s v="Normal"/>
    <s v="PayPal"/>
    <s v="Online Store"/>
    <s v="cancelled"/>
    <s v="Canada"/>
    <m/>
    <s v="Not Required"/>
    <s v="Lawrenceton"/>
  </r>
  <r>
    <s v="#1481"/>
    <n v="1"/>
    <d v="2026-08-04T13:55:05"/>
    <d v="2026-08-04T13:55:05"/>
    <s v="Corey Hudson"/>
    <s v="Email Available"/>
    <s v="corey.hudson168@gmail.com"/>
    <x v="21"/>
    <s v="Electronics"/>
    <x v="22"/>
    <n v="1"/>
    <n v="29.99"/>
    <n v="29.99"/>
    <s v=" WELCOME10 "/>
    <s v="WELCOME10"/>
    <n v="3"/>
    <n v="3"/>
    <s v="Number"/>
    <n v="4.99"/>
    <n v="4.99"/>
    <n v="31.98"/>
    <n v="31.98"/>
    <n v="31.979999999999997"/>
    <s v="True"/>
    <s v="Normal"/>
    <s v="Google Pay"/>
    <s v="POS"/>
    <s v="fulfilled"/>
    <s v="United States"/>
    <s v="California"/>
    <s v="Valid"/>
    <s v="Margaretchester"/>
  </r>
  <r>
    <s v="#1496"/>
    <n v="1"/>
    <d v="2026-08-04T14:07:23"/>
    <d v="2026-08-04T14:07:23"/>
    <s v="Chad Smith"/>
    <s v="Email Available"/>
    <s v="chad.smith773@icloud.com"/>
    <x v="21"/>
    <s v="Electronics"/>
    <x v="22"/>
    <n v="2"/>
    <n v="29.99"/>
    <n v="29.99"/>
    <m/>
    <s v=""/>
    <n v="0"/>
    <n v="0"/>
    <s v="Number"/>
    <n v="7.99"/>
    <n v="7.99"/>
    <n v="67.97"/>
    <n v="67.97"/>
    <n v="67.97"/>
    <s v="True"/>
    <s v="Normal"/>
    <s v="Credit Card"/>
    <s v="Online Store"/>
    <s v="fulfilled"/>
    <s v="Pakistan"/>
    <m/>
    <s v="Not Required"/>
    <s v="East Jasonshire"/>
  </r>
  <r>
    <s v="#1557"/>
    <n v="1"/>
    <d v="2026-08-04T14:08:24"/>
    <d v="2026-08-04T14:08:24"/>
    <s v="Randy Wheeler"/>
    <s v="Email Available"/>
    <s v="randy.wheeler304@icloud.com"/>
    <x v="21"/>
    <s v="Electronics"/>
    <x v="22"/>
    <n v="1"/>
    <n v="29.99"/>
    <n v="29.99"/>
    <s v="SAVE20"/>
    <s v="SAVE20"/>
    <n v="6"/>
    <n v="6"/>
    <s v="Number"/>
    <n v="5.99"/>
    <n v="5.99"/>
    <n v="29.98"/>
    <n v="29.98"/>
    <n v="29.979999999999997"/>
    <s v="True"/>
    <s v="Normal"/>
    <s v="Credit Card"/>
    <s v="Online Store"/>
    <s v="fulfilled"/>
    <s v="United States"/>
    <s v="North Carolina"/>
    <s v="Valid"/>
    <s v="East Nicole"/>
  </r>
  <r>
    <s v="#1579"/>
    <n v="1"/>
    <d v="2026-08-04T13:54:41"/>
    <d v="2026-08-04T13:54:41"/>
    <s v="Nicole Taylor"/>
    <s v="Missing Email"/>
    <m/>
    <x v="21"/>
    <s v="Electronics"/>
    <x v="22"/>
    <n v="1"/>
    <n v="29.99"/>
    <n v="29.99"/>
    <m/>
    <s v=""/>
    <n v="0"/>
    <n v="0"/>
    <s v="Number"/>
    <n v="7.99"/>
    <n v="7.99"/>
    <n v="37.979999999999997"/>
    <n v="37.979999999999997"/>
    <n v="37.979999999999997"/>
    <s v="True"/>
    <s v="Normal"/>
    <s v="Apple Pay"/>
    <s v="Facebook"/>
    <s v="fulfilled"/>
    <s v="United States"/>
    <s v="North Carolina"/>
    <s v="Valid"/>
    <s v="East Andrew"/>
  </r>
  <r>
    <s v="#1583"/>
    <n v="1"/>
    <d v="2026-08-04T14:02:34"/>
    <d v="2026-08-04T14:02:34"/>
    <s v="Joel Williams"/>
    <s v="Email Available"/>
    <s v="joel.williams850@gmail.com"/>
    <x v="21"/>
    <s v="Electronics"/>
    <x v="22"/>
    <n v="1"/>
    <s v="$29.99"/>
    <n v="29.99"/>
    <m/>
    <s v=""/>
    <n v="0"/>
    <n v="0"/>
    <s v="Number"/>
    <n v="4.99"/>
    <n v="4.99"/>
    <n v="34.979999999999997"/>
    <n v="34.979999999999997"/>
    <n v="34.979999999999997"/>
    <s v="True"/>
    <s v="Normal"/>
    <s v="Shopify Payments"/>
    <s v="Online Store"/>
    <s v="fulfilled"/>
    <s v="United States"/>
    <s v="Florida"/>
    <s v="Valid"/>
    <s v="Lake Marilyn"/>
  </r>
  <r>
    <s v="#1590"/>
    <n v="1"/>
    <d v="2026-08-04T00:00:00"/>
    <s v="04-08-2026 13:54"/>
    <s v="kaitlyn hernandez"/>
    <s v="Email Available"/>
    <s v="kaitlyn.hernandez192@gmail.com"/>
    <x v="21"/>
    <s v="Electronics"/>
    <x v="22"/>
    <n v="1"/>
    <n v="29.99"/>
    <n v="29.99"/>
    <s v="WELCOME10"/>
    <s v="WELCOME10"/>
    <n v="3"/>
    <n v="3"/>
    <s v="Number"/>
    <n v="5.99"/>
    <n v="5.99"/>
    <n v="32.979999999999997"/>
    <n v="32.979999999999997"/>
    <n v="32.979999999999997"/>
    <s v="True"/>
    <s v="Normal"/>
    <s v="Credit Card"/>
    <s v="Online Store"/>
    <s v="pending"/>
    <s v="Pakistan"/>
    <m/>
    <s v="Not Required"/>
    <s v="Ianside"/>
  </r>
  <r>
    <s v="#1644"/>
    <n v="1"/>
    <d v="2026-08-04T13:56:38"/>
    <d v="2026-08-04T13:56:38"/>
    <s v="Pam Hudson"/>
    <s v="Email Available"/>
    <s v="pam.hudson109@gmail.com"/>
    <x v="21"/>
    <s v="Electronics"/>
    <x v="22"/>
    <n v="2"/>
    <n v="29.99"/>
    <n v="29.99"/>
    <s v="WELCOME10"/>
    <s v="WELCOME10"/>
    <s v="$6.00"/>
    <n v="6"/>
    <s v="Number"/>
    <n v="7.99"/>
    <n v="7.99"/>
    <s v="$61.97"/>
    <n v="61.97"/>
    <n v="61.97"/>
    <s v="True"/>
    <s v="Normal"/>
    <s v="Apple Pay"/>
    <s v="Online Store"/>
    <s v="fulfilled"/>
    <s v="United States"/>
    <s v="Ohio"/>
    <s v="Valid"/>
    <s v="Heidifurt"/>
  </r>
  <r>
    <s v="#1699"/>
    <n v="1"/>
    <d v="2026-08-04T14:06:08"/>
    <d v="2026-08-04T14:06:08"/>
    <s v="Joel Davidson"/>
    <s v="Email Available"/>
    <s v="joel.davidson94@icloud.com"/>
    <x v="21"/>
    <s v="Electronics"/>
    <x v="22"/>
    <n v="1"/>
    <n v="29.99"/>
    <n v="29.99"/>
    <s v="VIP15"/>
    <s v="VIP15"/>
    <n v="4.5"/>
    <n v="4.5"/>
    <s v="Number"/>
    <n v="4.99"/>
    <n v="4.99"/>
    <n v="30.48"/>
    <n v="30.48"/>
    <n v="30.479999999999997"/>
    <s v="True"/>
    <s v="Normal"/>
    <s v="Apple Pay"/>
    <s v="Facebook"/>
    <s v="fulfilled"/>
    <s v="United States"/>
    <s v="WA"/>
    <s v="Valid"/>
    <s v="South Francisco"/>
  </r>
  <r>
    <s v="#1752"/>
    <n v="1"/>
    <d v="2026-08-04T14:08:15"/>
    <d v="2026-08-04T14:08:15"/>
    <s v="Christy Phillips"/>
    <s v="Email Available"/>
    <s v="christy.phillips291@gmail.com"/>
    <x v="21"/>
    <s v="Electronics"/>
    <x v="22"/>
    <n v="2"/>
    <s v="$29.99"/>
    <n v="29.99"/>
    <s v="VIP15"/>
    <s v="VIP15"/>
    <n v="9"/>
    <n v="9"/>
    <s v="Number"/>
    <n v="4.99"/>
    <n v="4.99"/>
    <n v="55.97"/>
    <n v="55.97"/>
    <n v="55.97"/>
    <s v="True"/>
    <s v="Normal"/>
    <s v="Shopify Payments"/>
    <s v="Instagram"/>
    <s v="fulfilled"/>
    <s v="Pakistan"/>
    <m/>
    <s v="Not Required"/>
    <s v="East Lindseyside"/>
  </r>
  <r>
    <s v="#1753"/>
    <n v="1"/>
    <d v="2026-08-04T14:08:22"/>
    <d v="2026-08-04T14:08:22"/>
    <s v="Kelly Wyatt"/>
    <s v="Email Available"/>
    <s v="kelly.wyatt277@yahoo.com"/>
    <x v="21"/>
    <s v="Electronics"/>
    <x v="22"/>
    <n v="2"/>
    <s v="$29.99"/>
    <n v="29.99"/>
    <s v="SAVE20"/>
    <s v="SAVE20"/>
    <n v="12"/>
    <n v="12"/>
    <s v="Number"/>
    <n v="4.99"/>
    <n v="4.99"/>
    <n v="52.97"/>
    <n v="52.97"/>
    <n v="52.97"/>
    <s v="True"/>
    <s v="Normal"/>
    <s v="Shopify Payments"/>
    <s v="Online Store"/>
    <s v="cancelled"/>
    <s v="Germany"/>
    <m/>
    <s v="Not Required"/>
    <s v="Lake Beverlyside"/>
  </r>
  <r>
    <s v="#1772"/>
    <n v="1"/>
    <d v="2026-08-04T13:58:15"/>
    <d v="2026-08-04T13:58:15"/>
    <s v="John Jacobs"/>
    <s v="Email Available"/>
    <s v="john.jacobs137@yahoo.com"/>
    <x v="21"/>
    <s v="Electronics"/>
    <x v="22"/>
    <n v="1"/>
    <n v="29.99"/>
    <n v="29.99"/>
    <s v="SAVE20"/>
    <s v="SAVE20"/>
    <n v="6"/>
    <n v="6"/>
    <s v="Number"/>
    <n v="7.99"/>
    <n v="7.99"/>
    <n v="31.98"/>
    <n v="31.98"/>
    <n v="31.979999999999997"/>
    <s v="True"/>
    <s v="Normal"/>
    <s v="PayPal"/>
    <s v="Online Store"/>
    <s v="fulfilled"/>
    <s v="Australia"/>
    <m/>
    <s v="Not Required"/>
    <s v="Haneyhaven"/>
  </r>
  <r>
    <s v="#1776"/>
    <n v="1"/>
    <d v="2026-08-04T13:55:46"/>
    <d v="2026-08-04T13:55:46"/>
    <s v="Michael Wilson"/>
    <s v="Email Available"/>
    <s v="michael.wilson464@icloud.com"/>
    <x v="21"/>
    <s v="Electronics"/>
    <x v="22"/>
    <n v="1"/>
    <n v="29.99"/>
    <n v="29.99"/>
    <m/>
    <s v=""/>
    <n v="0"/>
    <n v="0"/>
    <s v="Number"/>
    <n v="7.99"/>
    <n v="7.99"/>
    <n v="37.979999999999997"/>
    <n v="37.979999999999997"/>
    <n v="37.979999999999997"/>
    <s v="True"/>
    <s v="Normal"/>
    <s v="Google Pay"/>
    <s v="Online Store"/>
    <s v="fulfilled"/>
    <s v="Australia"/>
    <m/>
    <s v="Not Required"/>
    <s v="Cookeport"/>
  </r>
  <r>
    <s v="#1785"/>
    <n v="1"/>
    <d v="2026-08-04T13:54:11"/>
    <d v="2026-08-04T13:54:11"/>
    <s v="Wilkins, Jordan"/>
    <s v="Email Available"/>
    <s v="jordan.wilkins318@outlook.com"/>
    <x v="21"/>
    <s v="Electronics"/>
    <x v="22"/>
    <n v="1"/>
    <n v="29.99"/>
    <n v="29.99"/>
    <s v="VIP15"/>
    <s v="VIP15"/>
    <n v="4.5"/>
    <n v="4.5"/>
    <s v="Number"/>
    <n v="4.99"/>
    <n v="4.99"/>
    <n v="1524"/>
    <n v="1524"/>
    <n v="30.479999999999997"/>
    <s v="False"/>
    <s v="Normal"/>
    <s v="Shopify Payments"/>
    <s v="Facebook"/>
    <s v="fulfilled"/>
    <s v="Pakistan"/>
    <m/>
    <s v="Not Required"/>
    <s v="South Courtney"/>
  </r>
  <r>
    <s v="#1804"/>
    <n v="1"/>
    <d v="2026-08-04T14:04:58"/>
    <d v="2026-08-04T14:04:58"/>
    <s v="Rhonda Chapman"/>
    <s v="Email Available"/>
    <s v="rhonda.chapman481@yahoo.com"/>
    <x v="21"/>
    <s v="Electronics"/>
    <x v="22"/>
    <n v="1"/>
    <n v="29.99"/>
    <n v="29.99"/>
    <m/>
    <s v=""/>
    <n v="0"/>
    <n v="0"/>
    <s v="Number"/>
    <n v="7.99"/>
    <n v="7.99"/>
    <n v="37.979999999999997"/>
    <n v="37.979999999999997"/>
    <n v="37.979999999999997"/>
    <s v="True"/>
    <s v="Normal"/>
    <s v="Apple Pay"/>
    <s v="Facebook"/>
    <s v="refunded"/>
    <s v="United States"/>
    <s v="Texas"/>
    <s v="Valid"/>
    <s v="South Johntown"/>
  </r>
  <r>
    <s v="#1913"/>
    <n v="1"/>
    <d v="2026-08-04T14:01:07"/>
    <d v="2026-08-04T14:01:07"/>
    <s v="Thomas Rojas"/>
    <s v="Email Available"/>
    <s v="thomas.rojas667@icloud.com"/>
    <x v="21"/>
    <s v="Electronics"/>
    <x v="22"/>
    <n v="3"/>
    <n v="29.99"/>
    <n v="29.99"/>
    <m/>
    <s v=""/>
    <n v="0"/>
    <n v="0"/>
    <s v="Number"/>
    <n v="0"/>
    <n v="0"/>
    <n v="89.97"/>
    <n v="89.97"/>
    <n v="89.97"/>
    <s v="True"/>
    <s v="Outlier"/>
    <s v="Credit Card"/>
    <s v="POS"/>
    <s v="fulfilled"/>
    <s v="United States"/>
    <s v="WA"/>
    <s v="Valid"/>
    <s v="North Johnview"/>
  </r>
  <r>
    <s v="#1965"/>
    <n v="1"/>
    <d v="2026-08-04T13:59:25"/>
    <d v="2026-08-04T13:59:25"/>
    <s v="Tasha Morales"/>
    <s v="Email Available"/>
    <s v="tasha.morales378@outlook.com"/>
    <x v="21"/>
    <s v="Electronics"/>
    <x v="22"/>
    <n v="2"/>
    <n v="29.99"/>
    <n v="29.99"/>
    <m/>
    <s v=""/>
    <n v="0"/>
    <n v="0"/>
    <s v="Number"/>
    <n v="7.99"/>
    <n v="7.99"/>
    <n v="67.97"/>
    <n v="67.97"/>
    <n v="67.97"/>
    <s v="True"/>
    <s v="Normal"/>
    <s v="PayPal"/>
    <s v="Online Store"/>
    <s v="refunded"/>
    <s v="United States"/>
    <s v="Illinois"/>
    <s v="Valid"/>
    <s v="Smithton"/>
  </r>
  <r>
    <s v="#1968"/>
    <n v="1"/>
    <d v="2026-08-04T14:02:17"/>
    <d v="2026-08-04T14:02:17"/>
    <s v="Tyler Williams"/>
    <s v="Email Available"/>
    <s v="tyler.williams938@outlook.com"/>
    <x v="21"/>
    <s v="Electronics"/>
    <x v="22"/>
    <n v="1"/>
    <n v="29.99"/>
    <n v="29.99"/>
    <s v="FREESHIP"/>
    <s v="FREESHIP"/>
    <n v="0"/>
    <n v="0"/>
    <s v="Number"/>
    <n v="0"/>
    <n v="0"/>
    <n v="29.99"/>
    <n v="29.99"/>
    <n v="29.99"/>
    <s v="True"/>
    <s v="Normal"/>
    <s v="Shopify Payments"/>
    <s v="POS"/>
    <s v="fulfilled"/>
    <s v="Australia"/>
    <m/>
    <s v="Not Required"/>
    <s v="West Christyview"/>
  </r>
  <r>
    <s v="#1987"/>
    <n v="1"/>
    <d v="2026-08-04T14:01:33"/>
    <d v="2026-08-04T14:01:33"/>
    <s v="Matthew Perez"/>
    <s v="Email Available"/>
    <s v="matthew.perez875@gmail.com"/>
    <x v="21"/>
    <s v="Electronics"/>
    <x v="22"/>
    <n v="1"/>
    <n v="29.99"/>
    <n v="29.99"/>
    <s v="WELCOME10"/>
    <s v="WELCOME10"/>
    <n v="3"/>
    <n v="3"/>
    <s v="Number"/>
    <n v="7.99"/>
    <n v="7.99"/>
    <n v="34.979999999999997"/>
    <n v="34.979999999999997"/>
    <n v="34.979999999999997"/>
    <s v="True"/>
    <s v="Normal"/>
    <s v="Shopify Payments"/>
    <s v="Online Store"/>
    <s v="fulfilled"/>
    <s v="Pakistan"/>
    <m/>
    <s v="Not Required"/>
    <s v="West Timothy"/>
  </r>
  <r>
    <s v="#2002"/>
    <n v="1"/>
    <d v="2026-08-04T14:02:27"/>
    <d v="2026-08-04T14:02:27"/>
    <s v="Richard Weber"/>
    <s v="Email Available"/>
    <s v="richard.weber156@yahoo.com"/>
    <x v="21"/>
    <s v="Electronics"/>
    <x v="22"/>
    <n v="1"/>
    <n v="29.99"/>
    <n v="29.99"/>
    <s v="VIP15"/>
    <s v="VIP15"/>
    <n v="4.5"/>
    <n v="4.5"/>
    <s v="Number"/>
    <n v="5.99"/>
    <n v="5.99"/>
    <n v="31.48"/>
    <n v="31.48"/>
    <n v="31.479999999999997"/>
    <s v="True"/>
    <s v="Normal"/>
    <s v="Credit Card"/>
    <s v="Facebook"/>
    <s v="fulfilled"/>
    <s v="United States"/>
    <s v="Florida"/>
    <s v="Valid"/>
    <s v="Port Lance"/>
  </r>
  <r>
    <s v="#2022"/>
    <n v="1"/>
    <d v="2026-08-04T13:54:12"/>
    <d v="2026-08-04T13:54:12"/>
    <s v="Allison Byrd"/>
    <s v="Email Available"/>
    <s v="allison.byrd266@yahoo.com"/>
    <x v="21"/>
    <s v="Electronics"/>
    <x v="22"/>
    <n v="2"/>
    <n v="29.99"/>
    <n v="29.99"/>
    <m/>
    <s v=""/>
    <n v="0"/>
    <n v="0"/>
    <s v="Number"/>
    <n v="7.99"/>
    <n v="7.99"/>
    <n v="67.97"/>
    <n v="67.97"/>
    <n v="67.97"/>
    <s v="True"/>
    <s v="Normal"/>
    <s v="PayPal"/>
    <s v="Online Store"/>
    <s v="fulfilled"/>
    <s v="United States"/>
    <s v="North Carolina"/>
    <s v="Valid"/>
    <s v="Lewisland"/>
  </r>
  <r>
    <s v="#2024"/>
    <n v="1"/>
    <d v="2026-04-08T00:00:00"/>
    <s v="08/04/2026"/>
    <s v="Karen Jones"/>
    <s v="Email Available"/>
    <s v="karen.jones287@icloud.com"/>
    <x v="21"/>
    <s v="Electronics"/>
    <x v="22"/>
    <n v="1"/>
    <n v="29.99"/>
    <n v="29.99"/>
    <s v="SAVE20"/>
    <s v="SAVE20"/>
    <n v="6"/>
    <n v="6"/>
    <s v="Number"/>
    <n v="5.99"/>
    <n v="5.99"/>
    <n v="29.98"/>
    <n v="29.98"/>
    <n v="29.979999999999997"/>
    <s v="True"/>
    <s v="Normal"/>
    <s v="Google Pay"/>
    <s v="Online Store"/>
    <s v="refunded"/>
    <s v="Australia"/>
    <m/>
    <s v="Not Required"/>
    <s v="Robertside"/>
  </r>
  <r>
    <s v="#2050"/>
    <n v="1"/>
    <d v="2026-08-04T13:58:17"/>
    <d v="2026-08-04T13:58:17"/>
    <s v="Tina Singh"/>
    <s v="Email Available"/>
    <s v="tina.singh98@icloud.com"/>
    <x v="21"/>
    <s v="Electronics"/>
    <x v="22"/>
    <n v="1"/>
    <n v="29.99"/>
    <n v="29.99"/>
    <m/>
    <s v=""/>
    <n v="0"/>
    <n v="0"/>
    <s v="Number"/>
    <n v="5.99"/>
    <n v="5.99"/>
    <n v="35.979999999999997"/>
    <n v="35.979999999999997"/>
    <n v="35.979999999999997"/>
    <s v="True"/>
    <s v="Normal"/>
    <s v="Apple Pay"/>
    <s v="Instagram"/>
    <s v="refunded"/>
    <s v="United States"/>
    <s v="TX"/>
    <s v="Valid"/>
    <s v="Kylieport"/>
  </r>
  <r>
    <s v="#2107"/>
    <n v="1"/>
    <d v="2026-08-04T14:06:55"/>
    <d v="2026-08-04T14:06:55"/>
    <s v="Peter Alvarez"/>
    <s v="Email Available"/>
    <s v="peter.alvarez465@yahoo.com"/>
    <x v="21"/>
    <s v="Electronics"/>
    <x v="22"/>
    <n v="1"/>
    <n v="29.99"/>
    <n v="29.99"/>
    <s v="FREESHIP"/>
    <s v="FREESHIP"/>
    <n v="0"/>
    <n v="0"/>
    <s v="Number"/>
    <n v="0"/>
    <n v="0"/>
    <s v="$29.99"/>
    <n v="29.99"/>
    <n v="29.99"/>
    <s v="True"/>
    <s v="Normal"/>
    <s v="Shopify Payments"/>
    <s v="Facebook"/>
    <s v="fulfilled"/>
    <s v="United States"/>
    <s v="FL"/>
    <s v="Valid"/>
    <s v="West Lauren"/>
  </r>
  <r>
    <s v="#2116"/>
    <n v="1"/>
    <d v="2026-08-04T13:56:26"/>
    <d v="2026-08-04T13:56:26"/>
    <s v="Kenneth Davis"/>
    <s v="Email Available"/>
    <s v="kenneth.davis106@yahoo.com"/>
    <x v="21"/>
    <s v="Electronics"/>
    <x v="22"/>
    <n v="1"/>
    <n v="29.99"/>
    <n v="29.99"/>
    <s v="BFCM25"/>
    <s v="BFCM25"/>
    <n v="7.5"/>
    <n v="7.5"/>
    <s v="Number"/>
    <n v="7.99"/>
    <n v="7.99"/>
    <n v="30.48"/>
    <n v="30.48"/>
    <n v="30.479999999999997"/>
    <s v="True"/>
    <s v="Normal"/>
    <s v="Shopify Payments"/>
    <s v="Online Store"/>
    <s v="fulfilled"/>
    <s v="United States"/>
    <s v="Georgia"/>
    <s v="Valid"/>
    <s v="South Megantown"/>
  </r>
  <r>
    <s v="#2125"/>
    <n v="1"/>
    <d v="2026-08-04T13:53:27"/>
    <d v="2026-08-04T13:53:27"/>
    <s v="Rebecca Watts"/>
    <s v="Email Available"/>
    <s v="rebecca.watts779@gmail.com"/>
    <x v="21"/>
    <s v="Electronics"/>
    <x v="22"/>
    <n v="2"/>
    <n v="29.99"/>
    <n v="29.99"/>
    <m/>
    <s v=""/>
    <s v="$0.00"/>
    <n v="0"/>
    <s v="Number"/>
    <n v="4.99"/>
    <n v="4.99"/>
    <n v="64.97"/>
    <n v="64.97"/>
    <n v="64.97"/>
    <s v="True"/>
    <s v="Normal"/>
    <s v="Credit Card"/>
    <s v="Facebook"/>
    <s v="refunded"/>
    <s v="United States"/>
    <s v="Ohio"/>
    <s v="Valid"/>
    <s v="Cummingsburgh"/>
  </r>
  <r>
    <s v="#2163"/>
    <n v="1"/>
    <d v="2026-08-04T14:04:35"/>
    <d v="2026-08-04T14:04:35"/>
    <s v="Jaime Vargas"/>
    <s v="Email Available"/>
    <s v="jaime.vargas795@outlook.com"/>
    <x v="21"/>
    <s v="Electronics"/>
    <x v="22"/>
    <n v="2"/>
    <n v="29.99"/>
    <n v="29.99"/>
    <m/>
    <s v=""/>
    <n v="0"/>
    <n v="0"/>
    <s v="Number"/>
    <n v="5.99"/>
    <n v="5.99"/>
    <n v="65.97"/>
    <n v="65.97"/>
    <n v="65.97"/>
    <s v="True"/>
    <s v="Normal"/>
    <s v="Apple Pay"/>
    <s v="Online Store"/>
    <s v="fulfilled"/>
    <s v="United Kingdom"/>
    <m/>
    <s v="Not Required"/>
    <s v="Kimhaven"/>
  </r>
  <r>
    <s v="#2177"/>
    <n v="1"/>
    <d v="2026-08-04T14:05:25"/>
    <d v="2026-08-04T14:05:25"/>
    <s v="James Miller"/>
    <s v="Email Available"/>
    <s v="james.miller866@yahoo.com"/>
    <x v="21"/>
    <s v="Electronics"/>
    <x v="22"/>
    <n v="1"/>
    <s v="$29.99"/>
    <n v="29.99"/>
    <m/>
    <s v=""/>
    <n v="0"/>
    <n v="0"/>
    <s v="Number"/>
    <n v="4.99"/>
    <n v="4.99"/>
    <n v="34.979999999999997"/>
    <n v="34.979999999999997"/>
    <n v="34.979999999999997"/>
    <s v="True"/>
    <s v="Normal"/>
    <s v="Apple Pay"/>
    <s v="Online Store"/>
    <s v="fulfilled"/>
    <s v="Pakistan"/>
    <m/>
    <s v="Not Required"/>
    <s v="Clarkeland"/>
  </r>
  <r>
    <s v="#2292"/>
    <n v="1"/>
    <d v="2026-08-04T14:00:09"/>
    <d v="2026-08-04T14:00:09"/>
    <s v="DANIELLE THORNTON"/>
    <s v="Email Available"/>
    <s v="danielle.thornton674@icloud.com"/>
    <x v="21"/>
    <s v="Electronics"/>
    <x v="22"/>
    <n v="2"/>
    <n v="29.99"/>
    <n v="29.99"/>
    <m/>
    <s v=""/>
    <n v="0"/>
    <n v="0"/>
    <s v="Number"/>
    <n v="5.99"/>
    <n v="5.99"/>
    <n v="65.97"/>
    <n v="65.97"/>
    <n v="65.97"/>
    <s v="True"/>
    <s v="Normal"/>
    <s v="Apple Pay"/>
    <s v="Online Store"/>
    <s v="cancelled"/>
    <s v="United States"/>
    <s v="New York"/>
    <s v="Valid"/>
    <s v="Christophershire"/>
  </r>
  <r>
    <s v="#2310"/>
    <n v="1"/>
    <d v="2026-04-08T00:00:00"/>
    <s v="08/04/2026"/>
    <s v="Thomas Rojas"/>
    <s v="Email Available"/>
    <s v="thomas.rojas667@icloud.com"/>
    <x v="21"/>
    <s v="Electronics"/>
    <x v="22"/>
    <n v="1"/>
    <n v="29.99"/>
    <n v="29.99"/>
    <s v="SAVE20"/>
    <s v="SAVE20"/>
    <n v="6"/>
    <n v="6"/>
    <s v="Number"/>
    <n v="5.99"/>
    <n v="5.99"/>
    <n v="29.98"/>
    <n v="29.98"/>
    <n v="29.979999999999997"/>
    <s v="True"/>
    <s v="Normal"/>
    <s v="Credit Card"/>
    <s v="Instagram"/>
    <s v="cancelled"/>
    <s v="United States"/>
    <s v="Arizona"/>
    <s v="Valid"/>
    <s v="Harrischester"/>
  </r>
  <r>
    <s v="#2337"/>
    <n v="1"/>
    <d v="2026-04-08T00:00:00"/>
    <s v="08/04/2026"/>
    <s v="Jennifer Willis"/>
    <s v="Email Available"/>
    <s v="jennifer.willis714@gmail.com"/>
    <x v="21"/>
    <s v="Electronics"/>
    <x v="22"/>
    <n v="1"/>
    <n v="29.99"/>
    <n v="29.99"/>
    <m/>
    <s v=""/>
    <n v="0"/>
    <n v="0"/>
    <s v="Number"/>
    <n v="5.99"/>
    <n v="5.99"/>
    <s v="$35.98"/>
    <n v="35.979999999999997"/>
    <n v="35.979999999999997"/>
    <s v="True"/>
    <s v="Normal"/>
    <s v="PayPal"/>
    <s v="Online Store"/>
    <s v="fulfilled"/>
    <s v="United States"/>
    <s v="Illinois"/>
    <s v="Valid"/>
    <s v="North Nicolefurt"/>
  </r>
  <r>
    <s v="#2376"/>
    <n v="1"/>
    <d v="2026-08-04T13:57:23"/>
    <d v="2026-08-04T13:57:23"/>
    <s v="Teresa Campbell"/>
    <s v="Email Available"/>
    <s v="teresa.campbell610@icloud.com"/>
    <x v="21"/>
    <s v="Electronics"/>
    <x v="22"/>
    <n v="1"/>
    <n v="29.99"/>
    <n v="29.99"/>
    <m/>
    <s v=""/>
    <n v="0"/>
    <n v="0"/>
    <s v="Number"/>
    <n v="4.99"/>
    <n v="4.99"/>
    <n v="34.979999999999997"/>
    <n v="34.979999999999997"/>
    <n v="34.979999999999997"/>
    <s v="True"/>
    <s v="Normal"/>
    <s v="Credit Card"/>
    <s v="Instagram"/>
    <s v="pending"/>
    <s v="United Kingdom"/>
    <m/>
    <s v="Not Required"/>
    <s v="Burkemouth"/>
  </r>
  <r>
    <s v="#2447"/>
    <n v="1"/>
    <d v="2026-08-04T14:03:53"/>
    <d v="2026-08-04T14:03:53"/>
    <s v="Devin Jones"/>
    <s v="Email Available"/>
    <s v="devin.jones807@yahoo.com"/>
    <x v="21"/>
    <s v="Electronics"/>
    <x v="22"/>
    <n v="1"/>
    <n v="29.99"/>
    <n v="29.99"/>
    <s v="SAVE20"/>
    <s v="SAVE20"/>
    <n v="6"/>
    <n v="6"/>
    <s v="Number"/>
    <n v="5.99"/>
    <n v="5.99"/>
    <n v="29.98"/>
    <n v="29.98"/>
    <n v="29.979999999999997"/>
    <s v="True"/>
    <s v="Normal"/>
    <s v="Apple Pay"/>
    <s v="Facebook"/>
    <s v="fulfilled"/>
    <s v="Pakistan"/>
    <m/>
    <s v="Not Required"/>
    <s v="Lake Tamarahaven"/>
  </r>
  <r>
    <s v="#2481"/>
    <n v="1"/>
    <d v="2026-08-04T14:06:47"/>
    <d v="2026-08-04T14:06:47"/>
    <s v="Veronica Price"/>
    <s v="Email Available"/>
    <s v="veronica.price991@outlook.com"/>
    <x v="21"/>
    <s v="Electronics"/>
    <x v="22"/>
    <n v="1"/>
    <n v="29.99"/>
    <n v="29.99"/>
    <s v="WELCOME10"/>
    <s v="WELCOME10"/>
    <n v="3"/>
    <n v="3"/>
    <s v="Number"/>
    <n v="7.99"/>
    <n v="7.99"/>
    <n v="34.979999999999997"/>
    <n v="34.979999999999997"/>
    <n v="34.979999999999997"/>
    <s v="True"/>
    <s v="Normal"/>
    <s v="Google Pay"/>
    <s v="Instagram"/>
    <s v="fulfilled"/>
    <s v="Canada"/>
    <m/>
    <s v="Not Required"/>
    <s v="Armstrongborough"/>
  </r>
  <r>
    <s v="#2486"/>
    <n v="1"/>
    <d v="2026-08-04T00:00:00"/>
    <s v="04-08-2026 13:55"/>
    <s v="Carly Johnson"/>
    <s v="Email Available"/>
    <s v="carly.johnson664@gmail.com"/>
    <x v="21"/>
    <s v="Electronics"/>
    <x v="22"/>
    <n v="1"/>
    <n v="29.99"/>
    <n v="29.99"/>
    <s v="VIP15"/>
    <s v="VIP15"/>
    <n v="4.5"/>
    <n v="4.5"/>
    <s v="Number"/>
    <n v="7.99"/>
    <n v="7.99"/>
    <n v="33.479999999999997"/>
    <n v="33.479999999999997"/>
    <n v="33.479999999999997"/>
    <s v="True"/>
    <s v="Normal"/>
    <s v="Google Pay"/>
    <s v="POS"/>
    <s v="fulfilled"/>
    <s v="Germany"/>
    <m/>
    <s v="Not Required"/>
    <s v="New Jessicachester"/>
  </r>
  <r>
    <s v="#2499"/>
    <n v="1"/>
    <d v="2026-08-04T14:06:55"/>
    <d v="2026-08-04T14:06:55"/>
    <s v="Paul Dillon"/>
    <s v="Email Available"/>
    <s v="paul.dillon750@icloud.com"/>
    <x v="21"/>
    <s v="Electronics"/>
    <x v="22"/>
    <n v="2"/>
    <n v="29.99"/>
    <n v="29.99"/>
    <s v="FREESHIP"/>
    <s v="FREESHIP"/>
    <n v="0"/>
    <n v="0"/>
    <s v="Number"/>
    <n v="0"/>
    <n v="0"/>
    <n v="59.98"/>
    <n v="59.98"/>
    <n v="59.98"/>
    <s v="True"/>
    <s v="Normal"/>
    <s v="Apple Pay"/>
    <s v="Online Store"/>
    <s v="fulfilled"/>
    <s v="Australia"/>
    <m/>
    <s v="Not Required"/>
    <s v="East Linda"/>
  </r>
  <r>
    <s v="#2520"/>
    <n v="1"/>
    <d v="2026-08-04T14:05:27"/>
    <d v="2026-08-04T14:05:27"/>
    <s v="Sean Frank"/>
    <s v="Email Available"/>
    <s v="sean.frank587@icloud.com"/>
    <x v="21"/>
    <s v="Electronics"/>
    <x v="22"/>
    <n v="1"/>
    <n v="29.99"/>
    <n v="29.99"/>
    <s v="BFCM25"/>
    <s v="BFCM25"/>
    <n v="7.5"/>
    <n v="7.5"/>
    <s v="Number"/>
    <n v="5.99"/>
    <n v="5.99"/>
    <n v="28.48"/>
    <n v="28.48"/>
    <n v="28.479999999999997"/>
    <s v="True"/>
    <s v="Normal"/>
    <s v="Credit Card"/>
    <s v="POS"/>
    <s v="fulfilled"/>
    <s v="Australia"/>
    <m/>
    <s v="Not Required"/>
    <s v="South Johnhaven"/>
  </r>
  <r>
    <s v="#2599"/>
    <n v="1"/>
    <d v="2026-08-04T13:58:38"/>
    <d v="2026-08-04T13:58:38"/>
    <s v="Katie Coleman"/>
    <s v="Email Available"/>
    <s v="katie.coleman262@outlook.com"/>
    <x v="21"/>
    <s v="Electronics"/>
    <x v="22"/>
    <n v="1"/>
    <n v="29.99"/>
    <n v="29.99"/>
    <s v="WELCOME10"/>
    <s v="WELCOME10"/>
    <n v="3"/>
    <n v="3"/>
    <s v="Number"/>
    <n v="4.99"/>
    <n v="4.99"/>
    <n v="31.98"/>
    <n v="31.98"/>
    <n v="31.979999999999997"/>
    <s v="True"/>
    <s v="Normal"/>
    <s v="Google Pay"/>
    <s v="Facebook"/>
    <s v="refunded"/>
    <s v="Canada"/>
    <m/>
    <s v="Not Required"/>
    <s v="Lake John"/>
  </r>
  <r>
    <s v="#2604"/>
    <n v="1"/>
    <d v="2026-08-04T14:04:31"/>
    <d v="2026-08-04T14:04:31"/>
    <s v="Ryan Jones"/>
    <s v="Email Available"/>
    <s v="ryan.jones314@gmail.com"/>
    <x v="21"/>
    <s v="Electronics"/>
    <x v="22"/>
    <n v="1"/>
    <n v="29.99"/>
    <n v="29.99"/>
    <m/>
    <s v=""/>
    <n v="0"/>
    <n v="0"/>
    <s v="Number"/>
    <n v="5.99"/>
    <n v="5.99"/>
    <n v="35.979999999999997"/>
    <n v="35.979999999999997"/>
    <n v="35.979999999999997"/>
    <s v="True"/>
    <s v="Normal"/>
    <s v="Credit Card"/>
    <s v="POS"/>
    <s v="fulfilled"/>
    <s v="Australia"/>
    <m/>
    <s v="Not Required"/>
    <s v="Parkerstad"/>
  </r>
  <r>
    <s v="#2633"/>
    <n v="1"/>
    <d v="2026-08-04T13:54:28"/>
    <d v="2026-08-04T13:54:28"/>
    <s v="Brady Garcia"/>
    <s v="Email Available"/>
    <s v="brady.garcia57@yahoo.com"/>
    <x v="21"/>
    <s v="Electronics"/>
    <x v="22"/>
    <n v="2"/>
    <n v="29.99"/>
    <n v="29.99"/>
    <m/>
    <s v=""/>
    <n v="0"/>
    <n v="0"/>
    <s v="Number"/>
    <n v="5.99"/>
    <n v="5.99"/>
    <n v="65.97"/>
    <n v="65.97"/>
    <n v="65.97"/>
    <s v="True"/>
    <s v="Normal"/>
    <s v="PayPal"/>
    <s v="Online Store"/>
    <s v="fulfilled"/>
    <s v="Australia"/>
    <m/>
    <s v="Not Required"/>
    <s v="New Meghanhaven"/>
  </r>
  <r>
    <s v="#2642"/>
    <n v="1"/>
    <d v="2026-08-04T13:53:53"/>
    <d v="2026-08-04T13:53:53"/>
    <s v="Susan Stark"/>
    <s v="Email Available"/>
    <s v="susan.stark500@yahoo.com"/>
    <x v="21"/>
    <s v="Electronics"/>
    <x v="22"/>
    <n v="1"/>
    <n v="29.99"/>
    <n v="29.99"/>
    <m/>
    <s v=""/>
    <n v="0"/>
    <n v="0"/>
    <s v="Number"/>
    <n v="4.99"/>
    <n v="4.99"/>
    <n v="34.979999999999997"/>
    <n v="34.979999999999997"/>
    <n v="34.979999999999997"/>
    <s v="True"/>
    <s v="Normal"/>
    <s v="Google Pay"/>
    <s v="Instagram"/>
    <s v="fulfilled"/>
    <s v="Australia"/>
    <m/>
    <s v="Not Required"/>
    <s v="Marshberg"/>
  </r>
  <r>
    <s v="#2653"/>
    <n v="1"/>
    <d v="2026-08-04T13:56:33"/>
    <d v="2026-08-04T13:56:33"/>
    <s v="Jacqueline Graham"/>
    <s v="Email Available"/>
    <s v="jacqueline.graham958@gmail.com"/>
    <x v="21"/>
    <s v="Electronics"/>
    <x v="22"/>
    <n v="1"/>
    <n v="29.99"/>
    <n v="29.99"/>
    <s v="SAVE20"/>
    <s v="SAVE20"/>
    <n v="6"/>
    <n v="6"/>
    <s v="Number"/>
    <n v="5.99"/>
    <n v="5.99"/>
    <n v="29.98"/>
    <n v="29.98"/>
    <n v="29.979999999999997"/>
    <s v="True"/>
    <s v="Normal"/>
    <s v="PayPal"/>
    <s v="Facebook"/>
    <s v="refunded"/>
    <s v="Australia"/>
    <m/>
    <s v="Not Required"/>
    <s v="Georgemouth"/>
  </r>
  <r>
    <s v="#2658"/>
    <n v="1"/>
    <d v="2026-08-04T14:06:26"/>
    <d v="2026-08-04T14:06:26"/>
    <s v="Stacey Johnson"/>
    <s v="Missing Email"/>
    <m/>
    <x v="21"/>
    <s v="Electronics"/>
    <x v="22"/>
    <n v="4"/>
    <n v="29.99"/>
    <n v="29.99"/>
    <m/>
    <s v=""/>
    <n v="0"/>
    <n v="0"/>
    <s v="Number"/>
    <n v="0"/>
    <n v="0"/>
    <n v="119.96"/>
    <n v="119.96"/>
    <n v="119.96"/>
    <s v="True"/>
    <s v="Outlier"/>
    <s v="PayPal"/>
    <s v="Online Store"/>
    <s v="refunded"/>
    <s v="United States"/>
    <s v="Florida"/>
    <s v="Valid"/>
    <s v="North Daniel"/>
  </r>
  <r>
    <s v="#2667"/>
    <n v="1"/>
    <d v="2026-08-04T14:00:08"/>
    <d v="2026-08-04T14:00:08"/>
    <s v="John Carson"/>
    <s v="Email Available"/>
    <s v="john.carson203@yahoo.com"/>
    <x v="21"/>
    <s v="Electronics"/>
    <x v="22"/>
    <n v="1"/>
    <n v="29.99"/>
    <n v="29.99"/>
    <s v="BFCM25"/>
    <s v="BFCM25"/>
    <n v="7.5"/>
    <n v="7.5"/>
    <s v="Number"/>
    <n v="7.99"/>
    <n v="7.99"/>
    <n v="30.48"/>
    <n v="30.48"/>
    <n v="30.479999999999997"/>
    <s v="True"/>
    <s v="Normal"/>
    <s v="Shopify Payments"/>
    <s v="Online Store"/>
    <s v="fulfilled"/>
    <s v="United States"/>
    <s v="TX"/>
    <s v="Valid"/>
    <s v="Gibbsbury"/>
  </r>
  <r>
    <s v="#2670"/>
    <n v="1"/>
    <d v="2026-08-04T14:02:42"/>
    <d v="2026-08-04T14:02:42"/>
    <s v="Donald Davis"/>
    <s v="Email Available"/>
    <s v="donald.davis404@icloud.com"/>
    <x v="21"/>
    <s v="Electronics"/>
    <x v="22"/>
    <n v="1"/>
    <n v="29.99"/>
    <n v="29.99"/>
    <s v="FREESHIP"/>
    <s v="FREESHIP"/>
    <n v="0"/>
    <n v="0"/>
    <s v="Number"/>
    <n v="0"/>
    <n v="0"/>
    <n v="29.99"/>
    <n v="29.99"/>
    <n v="29.99"/>
    <s v="True"/>
    <s v="Normal"/>
    <s v="PayPal"/>
    <s v="POS"/>
    <s v="fulfilled"/>
    <s v="Canada"/>
    <m/>
    <s v="Not Required"/>
    <s v="New Franciscoshire"/>
  </r>
  <r>
    <s v="#2682"/>
    <n v="1"/>
    <d v="2026-08-04T00:00:00"/>
    <s v="2026-08-04"/>
    <s v="Donald Davis"/>
    <s v="Email Available"/>
    <s v="donald.davis404@icloud.com"/>
    <x v="21"/>
    <s v="Electronics"/>
    <x v="22"/>
    <n v="1"/>
    <n v="29.99"/>
    <n v="29.99"/>
    <s v="FREESHIP"/>
    <s v="FREESHIP"/>
    <n v="0"/>
    <n v="0"/>
    <s v="Number"/>
    <n v="0"/>
    <n v="0"/>
    <n v="29.99"/>
    <n v="29.99"/>
    <n v="29.99"/>
    <s v="True"/>
    <s v="Normal"/>
    <s v="Credit Card"/>
    <s v="POS"/>
    <s v="fulfilled"/>
    <s v="Canada"/>
    <m/>
    <s v="Not Required"/>
    <s v="Port Deborahchester"/>
  </r>
  <r>
    <s v="#2737"/>
    <n v="1"/>
    <d v="2026-08-04T14:06:48"/>
    <d v="2026-08-04T14:06:48"/>
    <s v="Rose English"/>
    <s v="Email Available"/>
    <s v="rose.english118@icloud.com"/>
    <x v="21"/>
    <s v="Electronics"/>
    <x v="22"/>
    <n v="1"/>
    <n v="29.99"/>
    <n v="29.99"/>
    <m/>
    <s v=""/>
    <n v="0"/>
    <n v="0"/>
    <s v="Number"/>
    <n v="5.99"/>
    <n v="5.99"/>
    <s v="$35.98"/>
    <n v="35.979999999999997"/>
    <n v="35.979999999999997"/>
    <s v="True"/>
    <s v="Normal"/>
    <s v="Apple Pay"/>
    <s v="POS"/>
    <s v="fulfilled"/>
    <s v="Germany"/>
    <m/>
    <s v="Not Required"/>
    <s v="East Courtneystad"/>
  </r>
  <r>
    <s v="#2791"/>
    <n v="1"/>
    <d v="2026-08-04T14:01:29"/>
    <d v="2026-08-04T14:01:29"/>
    <s v="Robert Ramsey"/>
    <s v="Email Available"/>
    <s v="robert.ramsey440@outlook.com"/>
    <x v="21"/>
    <s v="Electronics"/>
    <x v="22"/>
    <n v="1"/>
    <n v="29.99"/>
    <n v="29.99"/>
    <m/>
    <s v=""/>
    <n v="0"/>
    <n v="0"/>
    <s v="Number"/>
    <n v="4.99"/>
    <n v="4.99"/>
    <n v="34.979999999999997"/>
    <n v="34.979999999999997"/>
    <n v="34.979999999999997"/>
    <s v="True"/>
    <s v="Normal"/>
    <s v="Apple Pay"/>
    <s v="Instagram"/>
    <s v="fulfilled"/>
    <s v="Canada"/>
    <m/>
    <s v="Not Required"/>
    <s v="Rosemouth"/>
  </r>
  <r>
    <s v="#2794"/>
    <n v="1"/>
    <d v="2026-08-04T14:07:11"/>
    <d v="2026-08-04T14:07:11"/>
    <s v="Sandra Potter"/>
    <s v="Email Available"/>
    <s v="sandra.potter166@yahoo.com"/>
    <x v="21"/>
    <s v="Electronics"/>
    <x v="22"/>
    <n v="2"/>
    <n v="29.99"/>
    <n v="29.99"/>
    <s v="FREESHIP"/>
    <s v="FREESHIP"/>
    <n v="0"/>
    <n v="0"/>
    <s v="Number"/>
    <n v="0"/>
    <n v="0"/>
    <n v="59.98"/>
    <n v="59.98"/>
    <n v="59.98"/>
    <s v="True"/>
    <s v="Normal"/>
    <s v="Apple Pay"/>
    <s v="Online Store"/>
    <s v="pending"/>
    <s v="United States"/>
    <s v="California"/>
    <s v="Valid"/>
    <s v="Andradeburgh"/>
  </r>
  <r>
    <s v="#2804"/>
    <n v="1"/>
    <d v="2026-08-04T00:00:00"/>
    <s v="2026-08-04"/>
    <s v="Jamie Brown"/>
    <s v="Email Available"/>
    <s v="jamie.brown582@icloud.com"/>
    <x v="21"/>
    <s v="Electronics"/>
    <x v="22"/>
    <n v="2"/>
    <n v="29.99"/>
    <n v="29.99"/>
    <s v="SAVE20"/>
    <s v="SAVE20"/>
    <n v="12"/>
    <n v="12"/>
    <s v="Number"/>
    <n v="5.99"/>
    <n v="5.99"/>
    <n v="53.97"/>
    <n v="53.97"/>
    <n v="53.97"/>
    <s v="True"/>
    <s v="Normal"/>
    <s v="PayPal"/>
    <s v="Facebook"/>
    <s v="fulfilled"/>
    <s v="United States"/>
    <s v="Canada"/>
    <s v="Valid"/>
    <s v="Rileystad"/>
  </r>
  <r>
    <s v="#2818"/>
    <n v="1"/>
    <d v="2026-08-04T14:05:24"/>
    <d v="2026-08-04T14:05:24"/>
    <s v="COURTNEY BULLOCK"/>
    <s v="Email Available"/>
    <s v="courtney.bullock860@outlook.com"/>
    <x v="21"/>
    <s v="Electronics"/>
    <x v="22"/>
    <n v="1"/>
    <n v="29.99"/>
    <n v="29.99"/>
    <m/>
    <s v=""/>
    <n v="0"/>
    <n v="0"/>
    <s v="Number"/>
    <n v="4.99"/>
    <n v="4.99"/>
    <n v="34.979999999999997"/>
    <n v="34.979999999999997"/>
    <n v="34.979999999999997"/>
    <s v="True"/>
    <s v="Normal"/>
    <s v="Apple Pay"/>
    <s v="Online Store"/>
    <s v="fulfilled"/>
    <s v="United Kingdom"/>
    <m/>
    <s v="Not Required"/>
    <s v="North Christopher"/>
  </r>
  <r>
    <s v="#2838"/>
    <n v="1"/>
    <d v="2026-08-04T13:56:08"/>
    <d v="2026-08-04T13:56:08"/>
    <s v="TEST TEST"/>
    <s v="Email Available"/>
    <s v="test@test.com"/>
    <x v="21"/>
    <s v="Electronics"/>
    <x v="22"/>
    <n v="1"/>
    <n v="29.99"/>
    <n v="29.99"/>
    <s v="VIP15"/>
    <s v="VIP15"/>
    <n v="4.5"/>
    <n v="4.5"/>
    <s v="Number"/>
    <n v="7.99"/>
    <n v="7.99"/>
    <n v="0"/>
    <n v="0"/>
    <n v="33.479999999999997"/>
    <s v="False"/>
    <s v="Normal"/>
    <s v="Credit Card"/>
    <s v="Instagram"/>
    <s v="fulfilled"/>
    <s v="Australia"/>
    <m/>
    <s v="Not Required"/>
    <s v="Lake Troy"/>
  </r>
  <r>
    <s v="#2842"/>
    <n v="1"/>
    <d v="2026-08-04T14:04:39"/>
    <d v="2026-08-04T14:04:39"/>
    <s v="Samuel Padilla"/>
    <s v="Email Available"/>
    <s v="samuel.padilla79@gmail.com"/>
    <x v="21"/>
    <s v="Electronics"/>
    <x v="22"/>
    <n v="1"/>
    <n v="29.99"/>
    <n v="29.99"/>
    <m/>
    <s v=""/>
    <n v="0"/>
    <n v="0"/>
    <s v="Number"/>
    <n v="5.99"/>
    <n v="5.99"/>
    <n v="35.979999999999997"/>
    <n v="35.979999999999997"/>
    <n v="35.979999999999997"/>
    <s v="True"/>
    <s v="Normal"/>
    <s v="Credit Card"/>
    <s v="Online Store"/>
    <s v="fulfilled"/>
    <s v="United States"/>
    <s v="California"/>
    <s v="Valid"/>
    <s v="East Melissa"/>
  </r>
  <r>
    <s v="#2845"/>
    <n v="1"/>
    <d v="2026-08-04T13:58:32"/>
    <d v="2026-08-04T13:58:32"/>
    <s v="Haley Glover"/>
    <s v="Email Available"/>
    <s v="haley.glover361@yahoo.com"/>
    <x v="21"/>
    <s v="Electronics"/>
    <x v="22"/>
    <n v="1"/>
    <n v="29.99"/>
    <n v="29.99"/>
    <m/>
    <s v=""/>
    <s v="$0.00"/>
    <n v="0"/>
    <s v="Number"/>
    <n v="4.99"/>
    <n v="4.99"/>
    <n v="34.979999999999997"/>
    <n v="34.979999999999997"/>
    <n v="34.979999999999997"/>
    <s v="True"/>
    <s v="Normal"/>
    <s v="Google Pay"/>
    <s v="Online Store"/>
    <s v="fulfilled"/>
    <s v="Germany"/>
    <m/>
    <s v="Not Required"/>
    <s v="Shepherdshire"/>
  </r>
  <r>
    <s v="#2847"/>
    <n v="1"/>
    <d v="2026-08-04T14:06:37"/>
    <d v="2026-08-04T14:06:37"/>
    <s v="William Fry"/>
    <s v="Email Available"/>
    <s v="william.fry209@gmail.com"/>
    <x v="21"/>
    <s v="Electronics"/>
    <x v="22"/>
    <n v="1"/>
    <n v="29.99"/>
    <n v="29.99"/>
    <s v="BFCM25"/>
    <s v="BFCM25"/>
    <n v="7.5"/>
    <n v="7.5"/>
    <s v="Number"/>
    <n v="4.99"/>
    <n v="4.99"/>
    <n v="27.48"/>
    <n v="27.48"/>
    <n v="27.479999999999997"/>
    <s v="True"/>
    <s v="Normal"/>
    <s v="PayPal"/>
    <s v="Online Store"/>
    <s v="cancelled"/>
    <s v="United States"/>
    <s v="Texas"/>
    <s v="Valid"/>
    <s v="Murrayburgh"/>
  </r>
  <r>
    <s v="#2851"/>
    <n v="1"/>
    <d v="2026-08-04T13:55:05"/>
    <d v="2026-08-04T13:55:05"/>
    <s v="Joshua Anderson"/>
    <s v="Email Available"/>
    <s v="joshua.anderson662@gmail.com"/>
    <x v="21"/>
    <s v="Electronics"/>
    <x v="22"/>
    <n v="1"/>
    <n v="29.99"/>
    <n v="29.99"/>
    <s v="FREESHIP"/>
    <s v="FREESHIP"/>
    <n v="0"/>
    <n v="0"/>
    <s v="Number"/>
    <n v="0"/>
    <n v="0"/>
    <n v="29.99"/>
    <n v="29.99"/>
    <n v="29.99"/>
    <s v="True"/>
    <s v="Normal"/>
    <s v="PayPal"/>
    <s v="Online Store"/>
    <s v="pending"/>
    <s v="Canada"/>
    <m/>
    <s v="Not Required"/>
    <s v="Lawrencebury"/>
  </r>
  <r>
    <s v="#2855"/>
    <n v="1"/>
    <d v="2026-08-04T14:02:32"/>
    <d v="2026-08-04T14:02:32"/>
    <s v="Kayla Morris"/>
    <s v="Email Available"/>
    <s v="kayla.morris339@outlook.com"/>
    <x v="21"/>
    <s v="Electronics"/>
    <x v="22"/>
    <n v="2"/>
    <n v="29.99"/>
    <n v="29.99"/>
    <m/>
    <s v=""/>
    <n v="0"/>
    <n v="0"/>
    <s v="Number"/>
    <n v="5.99"/>
    <n v="5.99"/>
    <n v="65.97"/>
    <n v="65.97"/>
    <n v="65.97"/>
    <s v="True"/>
    <s v="Normal"/>
    <s v="Credit Card"/>
    <s v="Online Store"/>
    <s v="pending"/>
    <s v="Canada"/>
    <m/>
    <s v="Not Required"/>
    <s v="North Richard"/>
  </r>
  <r>
    <s v="#1024"/>
    <n v="1"/>
    <d v="2026-08-04T14:04:07"/>
    <d v="2026-08-04T14:04:07"/>
    <s v="Michelle Bell"/>
    <s v="Email Available"/>
    <s v="michelle.bell28@yahoo.com"/>
    <x v="22"/>
    <s v="Electronics"/>
    <x v="23"/>
    <n v="1"/>
    <n v="11.99"/>
    <n v="11.99"/>
    <m/>
    <s v=""/>
    <s v="$0.00"/>
    <n v="0"/>
    <s v="Number"/>
    <n v="4.99"/>
    <n v="4.99"/>
    <s v="$16.98"/>
    <n v="16.98"/>
    <n v="16.98"/>
    <s v="True"/>
    <s v="Normal"/>
    <s v="Google Pay"/>
    <s v="Online Store"/>
    <s v="refunded"/>
    <s v="United States"/>
    <s v="New York"/>
    <s v="Valid"/>
    <s v="Michaelmouth"/>
  </r>
  <r>
    <s v="#1031"/>
    <n v="1"/>
    <d v="2026-08-04T00:00:00"/>
    <s v="Aug 04, 2026"/>
    <s v="Tyler Williams"/>
    <s v="Email Available"/>
    <s v="tyler.williams938@outlook.com"/>
    <x v="22"/>
    <s v="Electronics"/>
    <x v="23"/>
    <n v="1"/>
    <n v="11.99"/>
    <n v="11.99"/>
    <s v="SAVE20"/>
    <s v="SAVE20"/>
    <n v="2.4"/>
    <n v="2.4"/>
    <s v="Number"/>
    <n v="7.99"/>
    <n v="7.99"/>
    <n v="17.579999999999998"/>
    <n v="17.579999999999998"/>
    <n v="17.579999999999998"/>
    <s v="True"/>
    <s v="Normal"/>
    <s v="Credit Card"/>
    <s v="Facebook"/>
    <s v="pending"/>
    <s v="Australia"/>
    <m/>
    <s v="Not Required"/>
    <s v="Donaldshire"/>
  </r>
  <r>
    <s v="#1049"/>
    <n v="1"/>
    <d v="2026-08-04T14:02:52"/>
    <d v="2026-08-04T14:02:52"/>
    <s v="Byrd, Linda"/>
    <s v="Email Available"/>
    <s v="linda.byrd87@outlook.com"/>
    <x v="22"/>
    <s v="Electronics"/>
    <x v="23"/>
    <n v="2"/>
    <n v="11.99"/>
    <n v="11.99"/>
    <s v="WELCOME10"/>
    <s v="WELCOME10"/>
    <n v="2.4"/>
    <n v="2.4"/>
    <s v="Number"/>
    <n v="5.99"/>
    <n v="5.99"/>
    <n v="27.57"/>
    <n v="27.57"/>
    <n v="27.57"/>
    <s v="True"/>
    <s v="Normal"/>
    <s v="Google Pay"/>
    <s v="Instagram"/>
    <s v="refunded"/>
    <s v="United States"/>
    <s v="Georgia"/>
    <s v="Valid"/>
    <s v="Robertfurt"/>
  </r>
  <r>
    <s v="#1074"/>
    <n v="1"/>
    <d v="2026-08-04T13:57:49"/>
    <d v="2026-08-04T13:57:49"/>
    <s v="Jennifer Burke"/>
    <s v="Email Available"/>
    <s v="jennifer.burke472@icloud.com"/>
    <x v="22"/>
    <s v="Electronics"/>
    <x v="23"/>
    <n v="1"/>
    <s v="$11.99"/>
    <n v="11.99"/>
    <s v="SAVE20"/>
    <s v="SAVE20"/>
    <n v="2.4"/>
    <n v="2.4"/>
    <s v="Number"/>
    <n v="7.99"/>
    <n v="7.99"/>
    <n v="17.579999999999998"/>
    <n v="17.579999999999998"/>
    <n v="17.579999999999998"/>
    <s v="True"/>
    <s v="Normal"/>
    <s v="Apple Pay"/>
    <s v="Facebook"/>
    <s v="refunded"/>
    <s v="Pakistan"/>
    <m/>
    <s v="Not Required"/>
    <s v="West Loganbury"/>
  </r>
  <r>
    <s v="#1091"/>
    <n v="1"/>
    <d v="2026-08-04T13:57:30"/>
    <d v="2026-08-04T13:57:30"/>
    <s v="Sara Sims"/>
    <s v="Email Available"/>
    <s v="sara.sims992@icloud.com"/>
    <x v="22"/>
    <s v="Electronics"/>
    <x v="23"/>
    <n v="1"/>
    <n v="11.99"/>
    <n v="11.99"/>
    <s v="BFCM25"/>
    <s v="BFCM25"/>
    <n v="3"/>
    <n v="3"/>
    <s v="Number"/>
    <n v="7.99"/>
    <n v="7.99"/>
    <n v="16.98"/>
    <n v="16.98"/>
    <n v="16.98"/>
    <s v="True"/>
    <s v="Normal"/>
    <s v="Apple Pay"/>
    <s v="Facebook"/>
    <s v="fulfilled"/>
    <s v="Germany"/>
    <m/>
    <s v="Not Required"/>
    <s v="Powellland"/>
  </r>
  <r>
    <s v="#1122"/>
    <n v="1"/>
    <d v="2026-08-04T13:57:34"/>
    <d v="2026-08-04T13:57:34"/>
    <s v="Amanda Harris"/>
    <s v="Email Available"/>
    <s v="amanda.harris197@gmail.com"/>
    <x v="22"/>
    <s v="Electronics"/>
    <x v="23"/>
    <n v="1"/>
    <n v="11.99"/>
    <n v="11.99"/>
    <m/>
    <s v=""/>
    <n v="0"/>
    <n v="0"/>
    <s v="Number"/>
    <n v="7.99"/>
    <n v="7.99"/>
    <n v="19.98"/>
    <n v="19.98"/>
    <n v="19.98"/>
    <s v="True"/>
    <s v="Normal"/>
    <s v="Credit Card"/>
    <s v="Online Store"/>
    <s v="fulfilled"/>
    <s v="United States"/>
    <s v="New York"/>
    <s v="Valid"/>
    <s v="Knightfort"/>
  </r>
  <r>
    <s v="#1126"/>
    <n v="1"/>
    <d v="2026-08-04T13:58:13"/>
    <d v="2026-08-04T13:58:13"/>
    <s v="James Miller"/>
    <s v="Email Available"/>
    <s v="james.miller866@yahoo.com"/>
    <x v="22"/>
    <s v="Electronics"/>
    <x v="23"/>
    <n v="1"/>
    <n v="11.99"/>
    <n v="11.99"/>
    <s v="VIP15"/>
    <s v="VIP15"/>
    <n v="1.8"/>
    <n v="1.8"/>
    <s v="Number"/>
    <n v="5.99"/>
    <n v="5.99"/>
    <n v="16.18"/>
    <n v="16.18"/>
    <n v="16.18"/>
    <s v="True"/>
    <s v="Normal"/>
    <s v="PayPal"/>
    <s v="Facebook"/>
    <s v="refunded"/>
    <s v="Pakistan"/>
    <m/>
    <s v="Not Required"/>
    <s v="Adrianview"/>
  </r>
  <r>
    <s v="#1156"/>
    <n v="1"/>
    <d v="2026-08-04T00:00:00"/>
    <s v="04-08-2026 14:00"/>
    <s v="  Barbara Case"/>
    <s v="Email Available"/>
    <s v="barbara.case365@yahoo.com"/>
    <x v="22"/>
    <s v="Electronics"/>
    <x v="23"/>
    <n v="1"/>
    <n v="11.99"/>
    <n v="11.99"/>
    <m/>
    <s v=""/>
    <n v="0"/>
    <n v="0"/>
    <s v="Number"/>
    <n v="5.99"/>
    <n v="5.99"/>
    <n v="17.98"/>
    <n v="17.98"/>
    <n v="17.98"/>
    <s v="True"/>
    <s v="Normal"/>
    <s v="Google Pay"/>
    <s v="POS"/>
    <s v="fulfilled"/>
    <s v="United States"/>
    <s v="Arizona"/>
    <s v="Valid"/>
    <s v="Port Matthewfurt"/>
  </r>
  <r>
    <s v="#1157"/>
    <n v="1"/>
    <d v="2026-08-04T14:07:34"/>
    <d v="2026-08-04T14:07:34"/>
    <s v="Christopher Martin"/>
    <s v="Email Available"/>
    <s v="christopher.martin10@gmail.com"/>
    <x v="22"/>
    <s v="Electronics"/>
    <x v="23"/>
    <n v="1"/>
    <s v="$11.99"/>
    <n v="11.99"/>
    <m/>
    <s v=""/>
    <n v="0"/>
    <n v="0"/>
    <s v="Number"/>
    <n v="5.99"/>
    <n v="5.99"/>
    <n v="17.98"/>
    <n v="17.98"/>
    <n v="17.98"/>
    <s v="True"/>
    <s v="Normal"/>
    <s v="Apple Pay"/>
    <s v="Online Store"/>
    <s v="cancelled"/>
    <s v="United States"/>
    <s v="New York"/>
    <s v="Valid"/>
    <s v="West Danny"/>
  </r>
  <r>
    <s v="#1217"/>
    <n v="1"/>
    <d v="2026-08-04T14:03:17"/>
    <d v="2026-08-04T14:03:17"/>
    <s v="Brown, Barbara"/>
    <s v="Email Available"/>
    <s v="barbara.brown26@gmail.com"/>
    <x v="22"/>
    <s v="Electronics"/>
    <x v="23"/>
    <n v="2"/>
    <n v="11.99"/>
    <n v="11.99"/>
    <s v="BFCM25"/>
    <s v="BFCM25"/>
    <n v="6"/>
    <n v="6"/>
    <s v="Number"/>
    <n v="4.99"/>
    <n v="4.99"/>
    <n v="22.97"/>
    <n v="22.97"/>
    <n v="22.97"/>
    <s v="True"/>
    <s v="Normal"/>
    <s v="Google Pay"/>
    <s v="Facebook"/>
    <s v="cancelled"/>
    <s v="United States"/>
    <s v="Ohio"/>
    <s v="Valid"/>
    <s v="East Patricialand"/>
  </r>
  <r>
    <s v="#1235"/>
    <n v="1"/>
    <d v="2026-08-04T00:00:00"/>
    <s v="2026-08-04"/>
    <s v="Melinda Henderson"/>
    <s v="Email Available"/>
    <s v="melinda.henderson831@gmail.com"/>
    <x v="22"/>
    <s v="Electronics"/>
    <x v="23"/>
    <n v="2"/>
    <n v="11.99"/>
    <n v="11.99"/>
    <s v="VIP15"/>
    <s v="VIP15"/>
    <n v="3.6"/>
    <n v="3.6"/>
    <s v="Number"/>
    <n v="7.99"/>
    <n v="7.99"/>
    <n v="28.37"/>
    <n v="28.37"/>
    <n v="28.369999999999997"/>
    <s v="True"/>
    <s v="Normal"/>
    <s v="Credit Card"/>
    <s v="Online Store"/>
    <s v="cancelled"/>
    <s v="United Kingdom"/>
    <m/>
    <s v="Not Required"/>
    <s v="Port Patrick"/>
  </r>
  <r>
    <s v="#1269"/>
    <n v="1"/>
    <d v="2026-08-04T00:00:00"/>
    <s v="Aug 04, 2026"/>
    <s v="Jaime Vargas"/>
    <s v="Email Available"/>
    <s v="jaime.vargas795@outlook.com"/>
    <x v="22"/>
    <s v="Electronics"/>
    <x v="23"/>
    <n v="2"/>
    <n v="11.99"/>
    <n v="11.99"/>
    <s v="SAVE20"/>
    <s v="SAVE20"/>
    <n v="4.8"/>
    <n v="4.8"/>
    <s v="Number"/>
    <n v="5.99"/>
    <n v="5.99"/>
    <n v="25.17"/>
    <n v="25.17"/>
    <n v="25.17"/>
    <s v="True"/>
    <s v="Normal"/>
    <s v="Credit Card"/>
    <s v="Online Store"/>
    <s v="pending"/>
    <s v="United Kingdom"/>
    <m/>
    <s v="Not Required"/>
    <s v="Lake Todd"/>
  </r>
  <r>
    <s v="#1308"/>
    <n v="1"/>
    <d v="2026-08-04T13:59:29"/>
    <d v="2026-08-04T13:59:29"/>
    <s v="Karen Jones"/>
    <s v="Email Available"/>
    <s v="karen.jones794@outlook.com"/>
    <x v="22"/>
    <s v="Electronics"/>
    <x v="23"/>
    <n v="1"/>
    <s v="$11.99"/>
    <n v="11.99"/>
    <s v="WELCOME10"/>
    <s v="WELCOME10"/>
    <n v="1.2"/>
    <n v="1.2"/>
    <s v="Number"/>
    <n v="7.99"/>
    <n v="7.99"/>
    <n v="18.78"/>
    <n v="18.78"/>
    <n v="18.78"/>
    <s v="True"/>
    <s v="Normal"/>
    <s v="Shopify Payments"/>
    <s v="Online Store"/>
    <s v="refunded"/>
    <s v="Australia"/>
    <m/>
    <s v="Not Required"/>
    <s v="Wrightchester"/>
  </r>
  <r>
    <s v="#1332"/>
    <n v="1"/>
    <d v="2026-08-04T00:00:00"/>
    <s v="04-08-2026 13:54"/>
    <s v="CHRISTOPHER HARRIS"/>
    <s v="Email Available"/>
    <s v="christopher.harris618@yahoo.com"/>
    <x v="22"/>
    <s v="Electronics"/>
    <x v="23"/>
    <n v="1"/>
    <n v="11.99"/>
    <n v="11.99"/>
    <s v="FREESHIP"/>
    <s v="FREESHIP"/>
    <n v="0"/>
    <n v="0"/>
    <s v="Number"/>
    <n v="0"/>
    <n v="0"/>
    <n v="11.99"/>
    <n v="11.99"/>
    <n v="11.99"/>
    <s v="True"/>
    <s v="Normal"/>
    <s v="Credit Card"/>
    <s v="Online Store"/>
    <s v="fulfilled"/>
    <s v="Australia"/>
    <m/>
    <s v="Not Required"/>
    <s v="Corychester"/>
  </r>
  <r>
    <s v="#1346"/>
    <n v="1"/>
    <d v="2026-08-04T14:03:55"/>
    <d v="2026-08-04T14:03:55"/>
    <s v="Rhonda Chapman"/>
    <s v="Email Available"/>
    <s v="rhonda.chapman481@yahoo.com"/>
    <x v="22"/>
    <s v="Electronics"/>
    <x v="23"/>
    <n v="1"/>
    <n v="11.99"/>
    <n v="11.99"/>
    <s v="WELCOME10"/>
    <s v="WELCOME10"/>
    <n v="1.2"/>
    <n v="1.2"/>
    <s v="Number"/>
    <n v="5.99"/>
    <n v="5.99"/>
    <n v="16.78"/>
    <n v="16.78"/>
    <n v="16.78"/>
    <s v="True"/>
    <s v="Normal"/>
    <s v="Credit Card"/>
    <s v="Instagram"/>
    <s v="refunded"/>
    <s v="United States"/>
    <s v="New York"/>
    <s v="Valid"/>
    <s v="East Williamstad"/>
  </r>
  <r>
    <s v="#1358"/>
    <n v="1"/>
    <d v="2026-08-04T13:56:02"/>
    <d v="2026-08-04T13:56:02"/>
    <s v="Kathryn Robinson"/>
    <s v="Email Available"/>
    <s v="kathryn.robinson965@gmail.com"/>
    <x v="22"/>
    <s v="Electronics"/>
    <x v="23"/>
    <n v="1"/>
    <n v="11.99"/>
    <n v="11.99"/>
    <m/>
    <s v=""/>
    <n v="0"/>
    <n v="0"/>
    <s v="Number"/>
    <n v="5.99"/>
    <n v="5.99"/>
    <n v="17.98"/>
    <n v="17.98"/>
    <n v="17.98"/>
    <s v="True"/>
    <s v="Normal"/>
    <s v="Credit Card"/>
    <s v="Instagram"/>
    <s v="fulfilled"/>
    <s v="United Kingdom"/>
    <m/>
    <s v="Not Required"/>
    <s v="Lake Jeffreyshire"/>
  </r>
  <r>
    <s v="#1366"/>
    <n v="1"/>
    <d v="2026-08-04T13:59:18"/>
    <d v="2026-08-04T13:59:18"/>
    <s v="Heather Davis"/>
    <s v="Email Available"/>
    <s v="heather.davis117@icloud.com"/>
    <x v="22"/>
    <s v="Electronics"/>
    <x v="23"/>
    <n v="1"/>
    <n v="11.99"/>
    <n v="11.99"/>
    <s v="FREESHIP"/>
    <s v="FREESHIP"/>
    <n v="0"/>
    <n v="0"/>
    <s v="Number"/>
    <n v="0"/>
    <n v="0"/>
    <s v="$11.99"/>
    <n v="11.99"/>
    <n v="11.99"/>
    <s v="True"/>
    <s v="Normal"/>
    <s v="Shopify Payments"/>
    <s v="Online Store"/>
    <s v="fulfilled"/>
    <s v="Germany"/>
    <m/>
    <s v="Not Required"/>
    <s v="Arnoldberg"/>
  </r>
  <r>
    <s v="#1368"/>
    <n v="1"/>
    <d v="2026-08-04T13:59:42"/>
    <d v="2026-08-04T13:59:42"/>
    <s v="Mary Bradley"/>
    <s v="Email Available"/>
    <s v="mary.bradley289@gmail.com"/>
    <x v="22"/>
    <s v="Electronics"/>
    <x v="23"/>
    <n v="1"/>
    <n v="11.99"/>
    <n v="11.99"/>
    <s v="SAVE20"/>
    <s v="SAVE20"/>
    <n v="2.4"/>
    <n v="2.4"/>
    <s v="Number"/>
    <n v="5.99"/>
    <n v="5.99"/>
    <n v="15.58"/>
    <n v="15.58"/>
    <n v="15.58"/>
    <s v="True"/>
    <s v="Normal"/>
    <s v="PayPal"/>
    <s v="Online Store"/>
    <s v="fulfilled"/>
    <s v="United Kingdom"/>
    <m/>
    <s v="Not Required"/>
    <s v="Andersonburgh"/>
  </r>
  <r>
    <s v="#1395"/>
    <n v="1"/>
    <d v="2026-08-04T14:06:25"/>
    <d v="2026-08-04T14:06:25"/>
    <s v="Andrea Martinez"/>
    <s v="Email Available"/>
    <s v="andrea.martinez756@yahoo.com"/>
    <x v="22"/>
    <s v="Electronics"/>
    <x v="23"/>
    <n v="2"/>
    <n v="11.99"/>
    <n v="11.99"/>
    <s v="BFCM25"/>
    <s v="BFCM25"/>
    <n v="6"/>
    <n v="6"/>
    <s v="Number"/>
    <n v="7.99"/>
    <n v="7.99"/>
    <n v="25.97"/>
    <n v="25.97"/>
    <n v="25.97"/>
    <s v="True"/>
    <s v="Normal"/>
    <s v="Credit Card"/>
    <s v="POS"/>
    <s v="pending"/>
    <s v="Australia"/>
    <m/>
    <s v="Not Required"/>
    <s v="West Danielhaven"/>
  </r>
  <r>
    <s v="#1407"/>
    <n v="1"/>
    <d v="2026-08-04T13:59:42"/>
    <d v="2026-08-04T13:59:42"/>
    <s v="Elizabeth Johnston"/>
    <s v="Email Available"/>
    <s v="elizabeth.johnston946@gmail.com"/>
    <x v="22"/>
    <s v="Electronics"/>
    <x v="23"/>
    <n v="2"/>
    <n v="11.99"/>
    <n v="11.99"/>
    <s v="SAVE20"/>
    <s v="SAVE20"/>
    <n v="4.8"/>
    <n v="4.8"/>
    <s v="Number"/>
    <n v="5.99"/>
    <n v="5.99"/>
    <n v="25.17"/>
    <n v="25.17"/>
    <n v="25.17"/>
    <s v="True"/>
    <s v="Normal"/>
    <s v="Google Pay"/>
    <s v="Facebook"/>
    <s v="fulfilled"/>
    <s v="United Kingdom"/>
    <m/>
    <s v="Not Required"/>
    <s v="Meganborough"/>
  </r>
  <r>
    <s v="#1448"/>
    <n v="1"/>
    <d v="2026-08-04T13:57:22"/>
    <d v="2026-08-04T13:57:22"/>
    <s v="Barbara Case"/>
    <s v="Email Available"/>
    <s v="barbara.case365@yahoo.com"/>
    <x v="22"/>
    <s v="Electronics"/>
    <x v="23"/>
    <n v="1"/>
    <n v="11.99"/>
    <n v="11.99"/>
    <s v="SAVE20"/>
    <s v="SAVE20"/>
    <n v="2.4"/>
    <n v="2.4"/>
    <s v="Number"/>
    <n v="5.99"/>
    <n v="5.99"/>
    <n v="779"/>
    <n v="779"/>
    <n v="15.58"/>
    <s v="False"/>
    <s v="Normal"/>
    <s v="Apple Pay"/>
    <s v="POS"/>
    <s v="fulfilled"/>
    <s v="United States"/>
    <s v="IL"/>
    <s v="Valid"/>
    <s v="East Charles"/>
  </r>
  <r>
    <s v="#1599"/>
    <n v="1"/>
    <d v="2026-08-04T14:01:23"/>
    <d v="2026-08-04T14:01:23"/>
    <s v="Lauren Nguyen"/>
    <s v="Email Available"/>
    <s v="lauren.nguyen819@outlook.com"/>
    <x v="22"/>
    <s v="Electronics"/>
    <x v="23"/>
    <n v="2"/>
    <n v="11.99"/>
    <n v="11.99"/>
    <s v="FREESHIP"/>
    <s v="FREESHIP"/>
    <n v="0"/>
    <n v="0"/>
    <s v="Number"/>
    <n v="0"/>
    <n v="0"/>
    <n v="23.98"/>
    <n v="23.98"/>
    <n v="23.98"/>
    <s v="True"/>
    <s v="Normal"/>
    <s v="PayPal"/>
    <s v="Online Store"/>
    <s v="refunded"/>
    <s v="United Kingdom"/>
    <m/>
    <s v="Not Required"/>
    <s v="East Aprilshire"/>
  </r>
  <r>
    <s v="#1609"/>
    <n v="1"/>
    <d v="2026-08-04T14:05:24"/>
    <d v="2026-08-04T14:05:24"/>
    <s v="Taylor Davis"/>
    <s v="Missing Email"/>
    <m/>
    <x v="22"/>
    <s v="Electronics"/>
    <x v="23"/>
    <n v="1"/>
    <n v="11.99"/>
    <n v="11.99"/>
    <m/>
    <s v=""/>
    <n v="0"/>
    <n v="0"/>
    <s v="Number"/>
    <n v="5.99"/>
    <n v="5.99"/>
    <n v="17.98"/>
    <n v="17.98"/>
    <n v="17.98"/>
    <s v="True"/>
    <s v="Normal"/>
    <s v="PayPal"/>
    <s v="Instagram"/>
    <s v="refunded"/>
    <s v="United States"/>
    <s v="FL"/>
    <s v="Valid"/>
    <s v="Baileyfort"/>
  </r>
  <r>
    <s v="#1625"/>
    <n v="1"/>
    <d v="2026-08-04T14:02:34"/>
    <d v="2026-08-04T14:02:34"/>
    <s v="thomas vazquez"/>
    <s v="Email Available"/>
    <s v="thomas.vazquez673@icloud.com"/>
    <x v="22"/>
    <s v="Electronics"/>
    <x v="23"/>
    <n v="1"/>
    <n v="11.99"/>
    <n v="11.99"/>
    <m/>
    <s v=""/>
    <n v="0"/>
    <n v="0"/>
    <s v="Number"/>
    <n v="4.99"/>
    <n v="4.99"/>
    <n v="16.98"/>
    <n v="16.98"/>
    <n v="16.98"/>
    <s v="True"/>
    <s v="Normal"/>
    <s v="PayPal"/>
    <s v="Online Store"/>
    <s v="fulfilled"/>
    <s v="Germany"/>
    <m/>
    <s v="Not Required"/>
    <s v="New Oliviaborough"/>
  </r>
  <r>
    <s v="#1655"/>
    <n v="1"/>
    <d v="2026-08-04T00:00:00"/>
    <s v="04-08-2026 13:58"/>
    <s v="Taylor Davis"/>
    <s v="Email Available"/>
    <s v="taylor.davis403@outlook.com"/>
    <x v="22"/>
    <s v="Electronics"/>
    <x v="23"/>
    <n v="2"/>
    <n v="11.99"/>
    <n v="11.99"/>
    <m/>
    <s v=""/>
    <n v="0"/>
    <n v="0"/>
    <s v="Number"/>
    <n v="4.99"/>
    <n v="4.99"/>
    <n v="28.97"/>
    <n v="28.97"/>
    <n v="28.97"/>
    <s v="True"/>
    <s v="Normal"/>
    <s v="PayPal"/>
    <s v="Online Store"/>
    <s v="refunded"/>
    <s v="United States"/>
    <s v="North Carolina"/>
    <s v="Valid"/>
    <s v="Lake Evan"/>
  </r>
  <r>
    <s v="#1681"/>
    <n v="1"/>
    <d v="2026-08-04T00:00:00"/>
    <s v="04-08-2026 14:06"/>
    <s v="Amanda Harris"/>
    <s v="Email Available"/>
    <s v="amanda.harris197@gmail.com"/>
    <x v="22"/>
    <s v="Electronics"/>
    <x v="23"/>
    <n v="1"/>
    <n v="11.99"/>
    <n v="11.99"/>
    <s v="VIP15"/>
    <s v="VIP15"/>
    <n v="1.8"/>
    <n v="1.8"/>
    <s v="Number"/>
    <n v="5.99"/>
    <n v="5.99"/>
    <n v="16.18"/>
    <n v="16.18"/>
    <n v="16.18"/>
    <s v="True"/>
    <s v="Normal"/>
    <s v="PayPal"/>
    <s v="Online Store"/>
    <s v="cancelled"/>
    <s v="United States"/>
    <s v="Georgia"/>
    <s v="Valid"/>
    <s v="Mirandaside"/>
  </r>
  <r>
    <s v="#1704"/>
    <n v="1"/>
    <d v="2026-08-04T00:00:00"/>
    <s v="Aug 04, 2026"/>
    <s v="Allen Diaz"/>
    <s v="Email Available"/>
    <s v="allen.diaz546@gmail.com"/>
    <x v="22"/>
    <s v="Electronics"/>
    <x v="23"/>
    <n v="2"/>
    <n v="11.99"/>
    <n v="11.99"/>
    <s v="SAVE20"/>
    <s v="SAVE20"/>
    <n v="4.8"/>
    <n v="4.8"/>
    <s v="Number"/>
    <n v="5.99"/>
    <n v="5.99"/>
    <n v="25.17"/>
    <n v="25.17"/>
    <n v="25.17"/>
    <s v="True"/>
    <s v="Normal"/>
    <s v="Shopify Payments"/>
    <s v="Online Store"/>
    <s v="refunded"/>
    <s v="United States"/>
    <s v="Florida"/>
    <s v="Valid"/>
    <s v="East Sharon"/>
  </r>
  <r>
    <s v="#1716"/>
    <n v="1"/>
    <d v="2026-08-04T13:57:39"/>
    <d v="2026-08-04T13:57:39"/>
    <s v="Rita Hall"/>
    <s v="Email Available"/>
    <s v="rita.hall18@outlook.com"/>
    <x v="22"/>
    <s v="Electronics"/>
    <x v="23"/>
    <n v="1"/>
    <n v="11.99"/>
    <n v="11.99"/>
    <s v="SAVE20"/>
    <s v="SAVE20"/>
    <n v="2.4"/>
    <n v="2.4"/>
    <s v="Number"/>
    <n v="4.99"/>
    <n v="4.99"/>
    <n v="14.58"/>
    <n v="14.58"/>
    <n v="14.58"/>
    <s v="True"/>
    <s v="Normal"/>
    <s v="Shopify Payments"/>
    <s v="Online Store"/>
    <s v="fulfilled"/>
    <s v="United States"/>
    <s v="North Carolina"/>
    <s v="Valid"/>
    <s v="North Markhaven"/>
  </r>
  <r>
    <s v="#1718"/>
    <n v="1"/>
    <d v="2026-08-04T14:05:21"/>
    <d v="2026-08-04T14:05:21"/>
    <s v="Stacey Gonzales"/>
    <s v="Email Available"/>
    <s v="stacey.gonzales655@icloud.com"/>
    <x v="22"/>
    <s v="Electronics"/>
    <x v="23"/>
    <n v="1"/>
    <n v="11.99"/>
    <n v="11.99"/>
    <m/>
    <s v=""/>
    <n v="0"/>
    <n v="0"/>
    <s v="Number"/>
    <n v="5.99"/>
    <n v="5.99"/>
    <n v="17.98"/>
    <n v="17.98"/>
    <n v="17.98"/>
    <s v="True"/>
    <s v="Normal"/>
    <s v="PayPal"/>
    <s v="Facebook"/>
    <s v="fulfilled"/>
    <s v="United States"/>
    <s v="North Carolina"/>
    <s v="Valid"/>
    <s v="North Jamesfort"/>
  </r>
  <r>
    <s v="#1719"/>
    <n v="1"/>
    <d v="2026-08-04T14:08:07"/>
    <d v="2026-08-04T14:08:07"/>
    <s v="GRACE RAY"/>
    <s v="Email Available"/>
    <s v="grace.ray807@yahoo.com"/>
    <x v="22"/>
    <s v="Electronics"/>
    <x v="23"/>
    <n v="2"/>
    <n v="11.99"/>
    <n v="11.99"/>
    <m/>
    <s v=""/>
    <n v="0"/>
    <n v="0"/>
    <s v="Number"/>
    <n v="7.99"/>
    <n v="7.99"/>
    <n v="31.97"/>
    <n v="31.97"/>
    <n v="31.97"/>
    <s v="True"/>
    <s v="Normal"/>
    <s v="Apple Pay"/>
    <s v="Facebook"/>
    <s v="cancelled"/>
    <s v="United Kingdom"/>
    <m/>
    <s v="Not Required"/>
    <s v="Lutzton"/>
  </r>
  <r>
    <s v="#1767"/>
    <n v="1"/>
    <d v="2026-08-04T13:55:51"/>
    <d v="2026-08-04T13:55:51"/>
    <s v="Sandra Potter"/>
    <s v="Email Available"/>
    <s v="sandra.potter166@yahoo.com"/>
    <x v="22"/>
    <s v="Electronics"/>
    <x v="23"/>
    <n v="1"/>
    <n v="11.99"/>
    <n v="11.99"/>
    <m/>
    <s v=""/>
    <n v="0"/>
    <n v="0"/>
    <s v="Number"/>
    <n v="5.99"/>
    <n v="5.99"/>
    <n v="17.98"/>
    <n v="17.98"/>
    <n v="17.98"/>
    <s v="True"/>
    <s v="Normal"/>
    <s v="Shopify Payments"/>
    <s v="Online Store"/>
    <s v="fulfilled"/>
    <s v="United States"/>
    <s v="Arizona"/>
    <s v="Valid"/>
    <s v="East Robert"/>
  </r>
  <r>
    <s v="#1801"/>
    <n v="1"/>
    <d v="2026-08-04T14:04:12"/>
    <d v="2026-08-04T14:04:12"/>
    <s v="Jacqueline Richmond"/>
    <s v="Email Available"/>
    <s v="jacqueline.richmond595@outlook.com"/>
    <x v="22"/>
    <s v="Electronics"/>
    <x v="23"/>
    <n v="1"/>
    <n v="11.99"/>
    <n v="11.99"/>
    <m/>
    <s v=""/>
    <n v="0"/>
    <n v="0"/>
    <s v="Number"/>
    <n v="4.99"/>
    <n v="4.99"/>
    <n v="16.98"/>
    <n v="16.98"/>
    <n v="16.98"/>
    <s v="True"/>
    <s v="Normal"/>
    <s v="Apple Pay"/>
    <s v="Facebook"/>
    <s v="fulfilled"/>
    <s v="United States"/>
    <s v="Washington"/>
    <s v="Valid"/>
    <s v="Nicholasview"/>
  </r>
  <r>
    <s v="#1805"/>
    <n v="1"/>
    <d v="2026-08-04T13:54:50"/>
    <d v="2026-08-04T13:54:50"/>
    <s v="Joshua Vaughan"/>
    <s v="Email Available"/>
    <s v="joshua.vaughan453@yahoo.com"/>
    <x v="22"/>
    <s v="Electronics"/>
    <x v="23"/>
    <n v="2"/>
    <n v="11.99"/>
    <n v="11.99"/>
    <m/>
    <s v=""/>
    <n v="0"/>
    <n v="0"/>
    <s v="Number"/>
    <n v="7.99"/>
    <n v="7.99"/>
    <s v="$31.97"/>
    <n v="31.97"/>
    <n v="31.97"/>
    <s v="True"/>
    <s v="Normal"/>
    <s v="Credit Card"/>
    <s v="Instagram"/>
    <s v="pending"/>
    <s v="Australia"/>
    <m/>
    <s v="Not Required"/>
    <s v="New Brianfurt"/>
  </r>
  <r>
    <s v="#1819"/>
    <n v="1"/>
    <d v="2026-08-04T14:07:58"/>
    <d v="2026-08-04T14:07:58"/>
    <s v="Joseph Phillips"/>
    <s v="Email Available"/>
    <s v="joseph.phillips672@yahoo.com"/>
    <x v="22"/>
    <s v="Electronics"/>
    <x v="23"/>
    <n v="1"/>
    <n v="11.99"/>
    <n v="11.99"/>
    <s v="SAVE20"/>
    <s v="SAVE20"/>
    <n v="2.4"/>
    <n v="2.4"/>
    <s v="Number"/>
    <n v="4.99"/>
    <n v="4.99"/>
    <n v="14.58"/>
    <n v="14.58"/>
    <n v="14.58"/>
    <s v="True"/>
    <s v="Normal"/>
    <s v="Shopify Payments"/>
    <s v="Online Store"/>
    <s v="fulfilled"/>
    <s v="Pakistan"/>
    <m/>
    <s v="Not Required"/>
    <s v="Diazfort"/>
  </r>
  <r>
    <s v="#1836"/>
    <n v="1"/>
    <d v="2026-08-04T14:03:31"/>
    <d v="2026-08-04T14:03:31"/>
    <s v="Sergio Turner"/>
    <s v="Email Available"/>
    <s v="sergio.turner744@outlook.com"/>
    <x v="22"/>
    <s v="Electronics"/>
    <x v="23"/>
    <n v="2"/>
    <n v="11.99"/>
    <n v="11.99"/>
    <m/>
    <s v=""/>
    <n v="0"/>
    <n v="0"/>
    <s v="Number"/>
    <n v="4.99"/>
    <n v="4.99"/>
    <n v="28.97"/>
    <n v="28.97"/>
    <n v="28.97"/>
    <s v="True"/>
    <s v="Normal"/>
    <s v="Credit Card"/>
    <s v="Facebook"/>
    <s v="fulfilled"/>
    <s v="Germany"/>
    <m/>
    <s v="Not Required"/>
    <s v="Fordburgh"/>
  </r>
  <r>
    <s v="#1855"/>
    <n v="1"/>
    <d v="2026-08-04T14:06:17"/>
    <d v="2026-08-04T14:06:17"/>
    <s v="Denise Chen"/>
    <s v="Email Available"/>
    <s v="denise.chen782@outlook.com"/>
    <x v="22"/>
    <s v="Electronics"/>
    <x v="23"/>
    <n v="1"/>
    <n v="11.99"/>
    <n v="11.99"/>
    <s v="FREESHIP"/>
    <s v="FREESHIP"/>
    <s v="$0.00"/>
    <n v="0"/>
    <s v="Number"/>
    <n v="0"/>
    <n v="0"/>
    <n v="11.99"/>
    <n v="11.99"/>
    <n v="11.99"/>
    <s v="True"/>
    <s v="Normal"/>
    <s v="Google Pay"/>
    <s v="Instagram"/>
    <s v="fulfilled"/>
    <s v="Australia"/>
    <m/>
    <s v="Not Required"/>
    <s v="Jamesfort"/>
  </r>
  <r>
    <s v="#1872"/>
    <n v="1"/>
    <d v="2026-08-04T13:54:25"/>
    <d v="2026-08-04T13:54:25"/>
    <s v="Melissa James"/>
    <s v="Email Available"/>
    <s v="melissa.james674@outlook.com"/>
    <x v="22"/>
    <s v="Electronics"/>
    <x v="23"/>
    <n v="2"/>
    <n v="11.99"/>
    <n v="11.99"/>
    <m/>
    <s v=""/>
    <n v="0"/>
    <n v="0"/>
    <s v="Number"/>
    <n v="5.99"/>
    <n v="5.99"/>
    <n v="29.97"/>
    <n v="29.97"/>
    <n v="29.97"/>
    <s v="True"/>
    <s v="Normal"/>
    <s v="PayPal"/>
    <s v="Instagram"/>
    <s v="cancelled"/>
    <s v="United States"/>
    <s v="Texas"/>
    <s v="Valid"/>
    <s v="Lake Kennethport"/>
  </r>
  <r>
    <s v="#1873"/>
    <n v="1"/>
    <d v="2026-08-04T14:01:54"/>
    <d v="2026-08-04T14:01:54"/>
    <s v="Thomas Rojas"/>
    <s v="Email Available"/>
    <s v="thomas.rojas667@icloud.com"/>
    <x v="22"/>
    <s v="Electronics"/>
    <x v="23"/>
    <n v="1"/>
    <n v="11.99"/>
    <n v="11.99"/>
    <m/>
    <s v=""/>
    <n v="0"/>
    <n v="0"/>
    <s v="Number"/>
    <n v="7.99"/>
    <n v="7.99"/>
    <n v="19.98"/>
    <n v="19.98"/>
    <n v="19.98"/>
    <s v="True"/>
    <s v="Normal"/>
    <s v="Apple Pay"/>
    <s v="Online Store"/>
    <s v="fulfilled"/>
    <s v="United States"/>
    <s v="Georgia"/>
    <s v="Valid"/>
    <s v="Johnsonton"/>
  </r>
  <r>
    <s v="#1882"/>
    <n v="1"/>
    <d v="2026-08-04T14:05:03"/>
    <d v="2026-08-04T14:05:03"/>
    <s v="Joshua Thompson"/>
    <s v="Email Available"/>
    <s v="joshua.thompson522@outlook.com"/>
    <x v="22"/>
    <s v="Electronics"/>
    <x v="23"/>
    <n v="1"/>
    <n v="11.99"/>
    <n v="11.99"/>
    <m/>
    <s v=""/>
    <n v="0"/>
    <n v="0"/>
    <s v="Number"/>
    <n v="5.99"/>
    <n v="5.99"/>
    <n v="17.98"/>
    <n v="17.98"/>
    <n v="17.98"/>
    <s v="True"/>
    <s v="Normal"/>
    <s v="Shopify Payments"/>
    <s v="Instagram"/>
    <s v="fulfilled"/>
    <s v="Pakistan"/>
    <m/>
    <s v="Not Required"/>
    <s v="North Travis"/>
  </r>
  <r>
    <s v="#1909"/>
    <n v="1"/>
    <d v="2026-08-04T14:03:29"/>
    <d v="2026-08-04T14:03:29"/>
    <s v="Suzanne Robertson"/>
    <s v="Email Available"/>
    <s v="suzanne.robertson435@gmail.com"/>
    <x v="22"/>
    <s v="Electronics"/>
    <x v="23"/>
    <n v="2"/>
    <n v="11.99"/>
    <n v="11.99"/>
    <s v="BFCM25"/>
    <s v="BFCM25"/>
    <n v="6"/>
    <n v="6"/>
    <s v="Number"/>
    <n v="7.99"/>
    <n v="7.99"/>
    <n v="25.97"/>
    <n v="25.97"/>
    <n v="25.97"/>
    <s v="True"/>
    <s v="Normal"/>
    <s v="Credit Card"/>
    <s v="Online Store"/>
    <s v="fulfilled"/>
    <s v="Australia"/>
    <m/>
    <s v="Not Required"/>
    <s v="South Monica"/>
  </r>
  <r>
    <s v="#1935"/>
    <n v="1"/>
    <d v="2026-08-04T13:58:55"/>
    <d v="2026-08-04T13:58:55"/>
    <s v="John Dunlap"/>
    <s v="Email Available"/>
    <s v="john.dunlap479@outlook.com"/>
    <x v="22"/>
    <s v="Electronics"/>
    <x v="23"/>
    <n v="3"/>
    <n v="11.99"/>
    <n v="11.99"/>
    <m/>
    <s v=""/>
    <n v="0"/>
    <n v="0"/>
    <s v="Number"/>
    <n v="5.99"/>
    <n v="5.99"/>
    <n v="41.96"/>
    <n v="41.96"/>
    <n v="41.96"/>
    <s v="True"/>
    <s v="Normal"/>
    <s v="Apple Pay"/>
    <s v="Online Store"/>
    <s v="fulfilled"/>
    <s v="Australia"/>
    <m/>
    <s v="Not Required"/>
    <s v="Lake Sean"/>
  </r>
  <r>
    <s v="#1941"/>
    <n v="1"/>
    <d v="2026-08-04T14:00:49"/>
    <d v="2026-08-04T14:00:49"/>
    <s v="Timothy Sanchez"/>
    <s v="Email Available"/>
    <s v="timothy.sanchez728@gmail.com"/>
    <x v="22"/>
    <s v="Electronics"/>
    <x v="23"/>
    <n v="2"/>
    <n v="11.99"/>
    <n v="11.99"/>
    <s v="VIP15"/>
    <s v="VIP15"/>
    <n v="3.6"/>
    <n v="3.6"/>
    <s v="Number"/>
    <n v="7.99"/>
    <n v="7.99"/>
    <n v="28.37"/>
    <n v="28.37"/>
    <n v="28.369999999999997"/>
    <s v="True"/>
    <s v="Normal"/>
    <s v="Google Pay"/>
    <s v="Facebook"/>
    <s v="fulfilled"/>
    <s v="United States"/>
    <s v="Florida"/>
    <s v="Valid"/>
    <s v="West Corystad"/>
  </r>
  <r>
    <s v="#1942"/>
    <n v="1"/>
    <d v="2026-08-04T14:05:10"/>
    <d v="2026-08-04T14:05:10"/>
    <s v="Jamie Brown"/>
    <s v="Email Available"/>
    <s v="jamie.brown582@icloud.com"/>
    <x v="22"/>
    <s v="Electronics"/>
    <x v="23"/>
    <n v="1"/>
    <n v="11.99"/>
    <n v="11.99"/>
    <m/>
    <s v=""/>
    <n v="0"/>
    <n v="0"/>
    <s v="Number"/>
    <n v="5.99"/>
    <n v="5.99"/>
    <n v="17.98"/>
    <n v="17.98"/>
    <n v="17.98"/>
    <s v="True"/>
    <s v="Normal"/>
    <s v="Credit Card"/>
    <s v="POS"/>
    <s v="fulfilled"/>
    <s v="United States"/>
    <s v="Illinois"/>
    <s v="Valid"/>
    <s v="Port Lorishire"/>
  </r>
  <r>
    <s v="#1948"/>
    <n v="1"/>
    <d v="2026-08-04T13:57:22"/>
    <d v="2026-08-04T13:57:22"/>
    <s v="Peter Alvarez"/>
    <s v="Email Available"/>
    <s v="peter.alvarez465@yahoo.com"/>
    <x v="22"/>
    <s v="Electronics"/>
    <x v="23"/>
    <n v="1"/>
    <n v="11.99"/>
    <n v="11.99"/>
    <s v="VIP15"/>
    <s v="VIP15"/>
    <n v="1.8"/>
    <n v="1.8"/>
    <s v="Number"/>
    <n v="5.99"/>
    <n v="5.99"/>
    <n v="16.18"/>
    <n v="16.18"/>
    <n v="16.18"/>
    <s v="True"/>
    <s v="Normal"/>
    <s v="PayPal"/>
    <s v="Online Store"/>
    <s v="fulfilled"/>
    <s v="United States"/>
    <s v="Illinois"/>
    <s v="Valid"/>
    <s v="New Jeffreystad"/>
  </r>
  <r>
    <s v="#1950"/>
    <n v="1"/>
    <d v="2026-08-04T13:56:02"/>
    <d v="2026-08-04T13:56:02"/>
    <s v="Seth Price"/>
    <s v="Email Available"/>
    <s v="seth.price179@gmail.com"/>
    <x v="22"/>
    <s v="Electronics"/>
    <x v="23"/>
    <n v="1"/>
    <n v="11.99"/>
    <n v="11.99"/>
    <m/>
    <s v=""/>
    <n v="0"/>
    <n v="0"/>
    <s v="Number"/>
    <n v="4.99"/>
    <n v="4.99"/>
    <n v="16.98"/>
    <n v="16.98"/>
    <n v="16.98"/>
    <s v="True"/>
    <s v="Normal"/>
    <s v="Apple Pay"/>
    <s v="Facebook"/>
    <s v="pending"/>
    <s v="United States"/>
    <s v="Florida"/>
    <s v="Valid"/>
    <s v="Lake Brianbury"/>
  </r>
  <r>
    <s v="#1952"/>
    <n v="1"/>
    <d v="2026-08-04T14:03:45"/>
    <d v="2026-08-04T14:03:45"/>
    <s v="DEBBIE JOSEPH"/>
    <s v="Email Available"/>
    <s v="debbie.joseph531@outlook.com"/>
    <x v="22"/>
    <s v="Electronics"/>
    <x v="23"/>
    <n v="1"/>
    <n v="11.99"/>
    <n v="11.99"/>
    <s v="WELCOME10"/>
    <s v="WELCOME10"/>
    <n v="1.2"/>
    <n v="1.2"/>
    <s v="Number"/>
    <n v="7.99"/>
    <n v="7.99"/>
    <n v="18.78"/>
    <n v="18.78"/>
    <n v="18.78"/>
    <s v="True"/>
    <s v="Normal"/>
    <s v="Credit Card"/>
    <s v="Online Store"/>
    <s v="fulfilled"/>
    <s v="United States"/>
    <s v="Illinois"/>
    <s v="Valid"/>
    <s v="Riosside"/>
  </r>
  <r>
    <s v="#1990"/>
    <n v="1"/>
    <d v="2026-08-04T13:58:57"/>
    <d v="2026-08-04T13:58:57"/>
    <s v="Mary Garcia"/>
    <s v="Email Available"/>
    <s v="mary.garcia899@icloud.com"/>
    <x v="22"/>
    <s v="Electronics"/>
    <x v="23"/>
    <n v="1"/>
    <s v="$11.99"/>
    <n v="11.99"/>
    <m/>
    <s v=""/>
    <n v="0"/>
    <n v="0"/>
    <s v="Number"/>
    <n v="7.99"/>
    <n v="7.99"/>
    <n v="19.98"/>
    <n v="19.98"/>
    <n v="19.98"/>
    <s v="True"/>
    <s v="Normal"/>
    <s v="Apple Pay"/>
    <s v="Online Store"/>
    <s v="cancelled"/>
    <s v="Canada"/>
    <m/>
    <s v="Not Required"/>
    <s v="Shaffermouth"/>
  </r>
  <r>
    <s v="#1992"/>
    <n v="1"/>
    <d v="2026-08-04T00:00:00"/>
    <s v="2026-08-04"/>
    <s v="Megan Holmes"/>
    <s v="Email Available"/>
    <s v="megan.holmes105@yahoo.com"/>
    <x v="22"/>
    <s v="Electronics"/>
    <x v="23"/>
    <n v="2"/>
    <n v="11.99"/>
    <n v="11.99"/>
    <s v="WELCOME10"/>
    <s v="WELCOME10"/>
    <n v="2.4"/>
    <n v="2.4"/>
    <s v="Number"/>
    <n v="5.99"/>
    <n v="5.99"/>
    <n v="27.57"/>
    <n v="27.57"/>
    <n v="27.57"/>
    <s v="True"/>
    <s v="Normal"/>
    <s v="Shopify Payments"/>
    <s v="Online Store"/>
    <s v="fulfilled"/>
    <s v="United States"/>
    <s v="North Carolina"/>
    <s v="Valid"/>
    <s v="Lake Brandon"/>
  </r>
  <r>
    <s v="#1995"/>
    <n v="1"/>
    <d v="2026-08-04T14:03:56"/>
    <d v="2026-08-04T14:03:56"/>
    <s v="Lisa Flowers"/>
    <s v="Email Available"/>
    <s v="lisa.flowers14@icloud.com"/>
    <x v="22"/>
    <s v="Electronics"/>
    <x v="23"/>
    <n v="2"/>
    <n v="11.99"/>
    <n v="11.99"/>
    <s v="WELCOME10"/>
    <s v="WELCOME10"/>
    <n v="2.4"/>
    <n v="2.4"/>
    <s v="Number"/>
    <n v="5.99"/>
    <n v="5.99"/>
    <n v="27.57"/>
    <n v="27.57"/>
    <n v="27.57"/>
    <s v="True"/>
    <s v="Normal"/>
    <s v="Credit Card"/>
    <s v="Instagram"/>
    <s v="fulfilled"/>
    <s v="Germany"/>
    <m/>
    <s v="Not Required"/>
    <s v="Bryantview"/>
  </r>
  <r>
    <s v="#2011"/>
    <n v="1"/>
    <d v="2026-08-04T13:56:26"/>
    <d v="2026-08-04T13:56:26"/>
    <s v="Angela Carr"/>
    <s v="Email Available"/>
    <s v="angela.carr488@yahoo.com"/>
    <x v="22"/>
    <s v="Electronics"/>
    <x v="23"/>
    <n v="1"/>
    <n v="11.99"/>
    <n v="11.99"/>
    <s v="WELCOME10"/>
    <s v="WELCOME10"/>
    <n v="1.2"/>
    <n v="1.2"/>
    <s v="Number"/>
    <n v="5.99"/>
    <n v="5.99"/>
    <n v="16.78"/>
    <n v="16.78"/>
    <n v="16.78"/>
    <s v="True"/>
    <s v="Normal"/>
    <s v="Google Pay"/>
    <s v="Online Store"/>
    <s v="refunded"/>
    <s v="United States"/>
    <s v="Texas"/>
    <s v="Valid"/>
    <s v="North Kimberly"/>
  </r>
  <r>
    <s v="#2016"/>
    <n v="1"/>
    <d v="2026-04-08T00:00:00"/>
    <s v="08/04/2026"/>
    <s v="Arthur Kelley"/>
    <s v="Email Available"/>
    <s v="arthur.kelley558@gmail.com"/>
    <x v="22"/>
    <s v="Electronics"/>
    <x v="23"/>
    <n v="2"/>
    <n v="11.99"/>
    <n v="11.99"/>
    <s v="WELCOME10"/>
    <s v="WELCOME10"/>
    <n v="2.4"/>
    <n v="2.4"/>
    <s v="Number"/>
    <n v="5.99"/>
    <n v="5.99"/>
    <n v="27.57"/>
    <n v="27.57"/>
    <n v="27.57"/>
    <s v="True"/>
    <s v="Normal"/>
    <s v="Apple Pay"/>
    <s v="Instagram"/>
    <s v="fulfilled"/>
    <s v="Australia"/>
    <m/>
    <s v="Not Required"/>
    <s v="Port Ryanmouth"/>
  </r>
  <r>
    <s v="#2051"/>
    <n v="1"/>
    <d v="2026-08-04T13:58:34"/>
    <d v="2026-08-04T13:58:34"/>
    <s v="Michelle Owens"/>
    <s v="Email Available"/>
    <s v="michelle.owens269@yahoo.com"/>
    <x v="22"/>
    <s v="Electronics"/>
    <x v="23"/>
    <n v="1"/>
    <s v="$11.99"/>
    <n v="11.99"/>
    <m/>
    <s v=""/>
    <n v="0"/>
    <n v="0"/>
    <s v="Number"/>
    <n v="5.99"/>
    <n v="5.99"/>
    <n v="17.98"/>
    <n v="17.98"/>
    <n v="17.98"/>
    <s v="True"/>
    <s v="Normal"/>
    <s v="Google Pay"/>
    <s v="Facebook"/>
    <s v="fulfilled"/>
    <s v="United States"/>
    <s v="California"/>
    <s v="Valid"/>
    <s v="West Melissachester"/>
  </r>
  <r>
    <s v="#2075"/>
    <n v="1"/>
    <d v="2026-08-04T14:04:45"/>
    <d v="2026-08-04T14:04:45"/>
    <s v="Tracy Adams"/>
    <s v="Email Available"/>
    <s v="tracy.adams712@icloud.com"/>
    <x v="22"/>
    <s v="Electronics"/>
    <x v="23"/>
    <n v="1"/>
    <n v="11.99"/>
    <n v="11.99"/>
    <m/>
    <s v=""/>
    <n v="0"/>
    <n v="0"/>
    <s v="Number"/>
    <n v="5.99"/>
    <n v="5.99"/>
    <n v="17.98"/>
    <n v="17.98"/>
    <n v="17.98"/>
    <s v="True"/>
    <s v="Normal"/>
    <s v="Shopify Payments"/>
    <s v="Online Store"/>
    <s v="fulfilled"/>
    <s v="United States"/>
    <s v="Arizona"/>
    <s v="Valid"/>
    <s v="North Theresaport"/>
  </r>
  <r>
    <s v="#2101"/>
    <n v="1"/>
    <d v="2026-08-04T13:55:44"/>
    <d v="2026-08-04T13:55:44"/>
    <s v="Catherine Mcgee"/>
    <s v="Email Available"/>
    <s v="catherine.mcgee63@icloud.com"/>
    <x v="22"/>
    <s v="Electronics"/>
    <x v="23"/>
    <n v="1"/>
    <n v="11.99"/>
    <n v="11.99"/>
    <s v="FREESHIP"/>
    <s v="FREESHIP"/>
    <n v="0"/>
    <n v="0"/>
    <s v="Number"/>
    <n v="0"/>
    <n v="0"/>
    <n v="11.99"/>
    <n v="11.99"/>
    <n v="11.99"/>
    <s v="True"/>
    <s v="Normal"/>
    <s v="Google Pay"/>
    <s v="Facebook"/>
    <s v="refunded"/>
    <s v="Australia"/>
    <m/>
    <s v="Not Required"/>
    <s v="Port Jeremyland"/>
  </r>
  <r>
    <s v="#2120"/>
    <n v="1"/>
    <d v="2026-04-08T00:00:00"/>
    <s v="08/04/2026"/>
    <s v="Christopher Martin"/>
    <s v="Email Available"/>
    <s v="christopher.martin10@gmail.com"/>
    <x v="22"/>
    <s v="Electronics"/>
    <x v="23"/>
    <n v="1"/>
    <s v="$11.99"/>
    <n v="11.99"/>
    <s v="FREESHIP"/>
    <s v="FREESHIP"/>
    <n v="0"/>
    <n v="0"/>
    <s v="Number"/>
    <n v="0"/>
    <n v="0"/>
    <n v="11.99"/>
    <n v="11.99"/>
    <n v="11.99"/>
    <s v="True"/>
    <s v="Normal"/>
    <s v="Apple Pay"/>
    <s v="Online Store"/>
    <s v="refunded"/>
    <s v="United States"/>
    <s v="Florida"/>
    <s v="Valid"/>
    <s v="Mitchellshire"/>
  </r>
  <r>
    <s v="#2121"/>
    <n v="1"/>
    <d v="2026-08-04T13:59:52"/>
    <d v="2026-08-04T13:59:52"/>
    <s v="Jasmine Parker"/>
    <s v="Email Available"/>
    <s v="jasmine.parker47@icloud.com"/>
    <x v="22"/>
    <s v="Electronics"/>
    <x v="23"/>
    <n v="1"/>
    <n v="11.99"/>
    <n v="11.99"/>
    <s v="VIP15"/>
    <s v="VIP15"/>
    <n v="1.8"/>
    <n v="1.8"/>
    <s v="Number"/>
    <n v="7.99"/>
    <n v="7.99"/>
    <n v="18.18"/>
    <n v="18.18"/>
    <n v="18.18"/>
    <s v="True"/>
    <s v="Normal"/>
    <s v="Shopify Payments"/>
    <s v="Online Store"/>
    <s v="cancelled"/>
    <s v="Pakistan"/>
    <m/>
    <s v="Not Required"/>
    <s v="Mcculloughfurt"/>
  </r>
  <r>
    <s v="#2129"/>
    <n v="1"/>
    <d v="2026-08-04T14:03:46"/>
    <d v="2026-08-04T14:03:46"/>
    <s v="Sarah Williams"/>
    <s v="Email Available"/>
    <s v="sarah.williams329@icloud.com"/>
    <x v="22"/>
    <s v="Electronics"/>
    <x v="23"/>
    <n v="1"/>
    <n v="11.99"/>
    <n v="11.99"/>
    <s v="SAVE20"/>
    <s v="SAVE20"/>
    <n v="2.4"/>
    <n v="2.4"/>
    <s v="Number"/>
    <n v="5.99"/>
    <n v="5.99"/>
    <n v="15.58"/>
    <n v="15.58"/>
    <n v="15.58"/>
    <s v="True"/>
    <s v="Normal"/>
    <s v="Google Pay"/>
    <s v="Online Store"/>
    <s v="fulfilled"/>
    <s v="Canada"/>
    <m/>
    <s v="Not Required"/>
    <s v="East Regina"/>
  </r>
  <r>
    <s v="#2167"/>
    <n v="1"/>
    <d v="2026-08-04T13:58:27"/>
    <d v="2026-08-04T13:58:27"/>
    <s v="Donald Davis"/>
    <s v="Email Available"/>
    <s v="donald.davis404@icloud.com"/>
    <x v="22"/>
    <s v="Electronics"/>
    <x v="23"/>
    <n v="1"/>
    <n v="11.99"/>
    <n v="11.99"/>
    <m/>
    <s v=""/>
    <n v="0"/>
    <n v="0"/>
    <s v="Number"/>
    <n v="5.99"/>
    <n v="5.99"/>
    <n v="17.98"/>
    <n v="17.98"/>
    <n v="17.98"/>
    <s v="True"/>
    <s v="Normal"/>
    <s v="PayPal"/>
    <s v="Online Store"/>
    <s v="cancelled"/>
    <s v="Canada"/>
    <m/>
    <s v="Not Required"/>
    <s v="Salasfurt"/>
  </r>
  <r>
    <s v="#2210"/>
    <n v="1"/>
    <d v="2026-08-04T14:00:19"/>
    <d v="2026-08-04T14:00:19"/>
    <s v="Bryan Smith"/>
    <s v="Email Available"/>
    <s v="bryan.smith876@yahoo.com"/>
    <x v="22"/>
    <s v="Electronics"/>
    <x v="23"/>
    <n v="2"/>
    <s v="$11.99"/>
    <n v="11.99"/>
    <m/>
    <s v=""/>
    <n v="0"/>
    <n v="0"/>
    <s v="Number"/>
    <n v="5.99"/>
    <n v="5.99"/>
    <n v="29.97"/>
    <n v="29.97"/>
    <n v="29.97"/>
    <s v="True"/>
    <s v="Normal"/>
    <s v="Shopify Payments"/>
    <s v="Online Store"/>
    <s v="fulfilled"/>
    <s v="United States"/>
    <s v="Texas"/>
    <s v="Valid"/>
    <s v="Port Thomasville"/>
  </r>
  <r>
    <s v="#2214"/>
    <n v="1"/>
    <d v="2026-08-04T13:57:25"/>
    <d v="2026-08-04T13:57:25"/>
    <s v="Kimberly Williams"/>
    <s v="Email Available"/>
    <s v="kimberly.williams555@outlook.com"/>
    <x v="22"/>
    <s v="Electronics"/>
    <x v="23"/>
    <n v="2"/>
    <n v="11.99"/>
    <n v="11.99"/>
    <m/>
    <s v=""/>
    <n v="0"/>
    <n v="0"/>
    <s v="Number"/>
    <n v="7.99"/>
    <n v="7.99"/>
    <n v="31.97"/>
    <n v="31.97"/>
    <n v="31.97"/>
    <s v="True"/>
    <s v="Normal"/>
    <s v="PayPal"/>
    <s v="Online Store"/>
    <s v="fulfilled"/>
    <s v="United Kingdom"/>
    <m/>
    <s v="Not Required"/>
    <s v="New Erin"/>
  </r>
  <r>
    <s v="#2216"/>
    <n v="1"/>
    <d v="2026-04-08T00:00:00"/>
    <s v="08/04/2026"/>
    <s v="Kenneth Coleman"/>
    <s v="Email Available"/>
    <s v="kenneth.coleman447@icloud.com"/>
    <x v="22"/>
    <s v="Electronics"/>
    <x v="23"/>
    <n v="2"/>
    <n v="11.99"/>
    <n v="11.99"/>
    <m/>
    <s v=""/>
    <n v="0"/>
    <n v="0"/>
    <s v="Number"/>
    <n v="7.99"/>
    <n v="7.99"/>
    <n v="31.97"/>
    <n v="31.97"/>
    <n v="31.97"/>
    <s v="True"/>
    <s v="Normal"/>
    <s v="Shopify Payments"/>
    <s v="Facebook"/>
    <s v="cancelled"/>
    <s v="United States"/>
    <s v="North Carolina"/>
    <s v="Valid"/>
    <s v="Laurenchester"/>
  </r>
  <r>
    <s v="#2285"/>
    <n v="1"/>
    <d v="2026-08-04T14:05:56"/>
    <d v="2026-08-04T14:05:56"/>
    <s v="Amanda Robinson"/>
    <s v="Email Available"/>
    <s v="amanda.robinson263@icloud.com"/>
    <x v="22"/>
    <s v="Electronics"/>
    <x v="23"/>
    <n v="1"/>
    <n v="11.99"/>
    <n v="11.99"/>
    <s v="SAVE20"/>
    <s v="SAVE20"/>
    <s v="$2.40"/>
    <n v="2.4"/>
    <s v="Number"/>
    <n v="7.99"/>
    <n v="7.99"/>
    <n v="17.579999999999998"/>
    <n v="17.579999999999998"/>
    <n v="17.579999999999998"/>
    <s v="True"/>
    <s v="Normal"/>
    <s v="Apple Pay"/>
    <s v="Online Store"/>
    <s v="fulfilled"/>
    <s v="United States"/>
    <s v="New York"/>
    <s v="Valid"/>
    <s v="Hodgechester"/>
  </r>
  <r>
    <s v="#2409"/>
    <n v="1"/>
    <d v="2026-08-04T14:04:34"/>
    <d v="2026-08-04T14:04:34"/>
    <s v="  Charles Franco"/>
    <s v="Email Available"/>
    <s v="charles.franco761@outlook.com"/>
    <x v="22"/>
    <s v="Electronics"/>
    <x v="23"/>
    <n v="1"/>
    <n v="11.99"/>
    <n v="11.99"/>
    <s v="VIP15"/>
    <s v="VIP15"/>
    <n v="1.8"/>
    <n v="1.8"/>
    <s v="Number"/>
    <n v="5.99"/>
    <n v="5.99"/>
    <n v="16.18"/>
    <n v="16.18"/>
    <n v="16.18"/>
    <s v="True"/>
    <s v="Normal"/>
    <s v="PayPal"/>
    <s v="Instagram"/>
    <s v="fulfilled"/>
    <s v="United States"/>
    <s v="New York"/>
    <s v="Valid"/>
    <s v="East James"/>
  </r>
  <r>
    <s v="#2417"/>
    <n v="1"/>
    <d v="2026-08-04T14:02:42"/>
    <d v="2026-08-04T14:02:42"/>
    <s v="Timothy Becker"/>
    <s v="Email Available"/>
    <s v="timothy.becker88@yahoo.com"/>
    <x v="22"/>
    <s v="Electronics"/>
    <x v="23"/>
    <n v="3"/>
    <n v="11.99"/>
    <n v="11.99"/>
    <m/>
    <s v=""/>
    <n v="0"/>
    <n v="0"/>
    <s v="Number"/>
    <n v="5.99"/>
    <n v="5.99"/>
    <n v="41.96"/>
    <n v="41.96"/>
    <n v="41.96"/>
    <s v="True"/>
    <s v="Normal"/>
    <s v="Credit Card"/>
    <s v="Facebook"/>
    <s v="fulfilled"/>
    <s v="United States"/>
    <s v="Texas"/>
    <s v="Valid"/>
    <s v="Jeremyfort"/>
  </r>
  <r>
    <s v="#2438"/>
    <n v="1"/>
    <d v="2026-08-04T00:00:00"/>
    <s v="Aug 04, 2026"/>
    <m/>
    <s v="Email Available"/>
    <s v="jesus.mason798@icloud.com"/>
    <x v="22"/>
    <s v="Electronics"/>
    <x v="23"/>
    <n v="1"/>
    <n v="11.99"/>
    <n v="11.99"/>
    <m/>
    <s v=""/>
    <n v="0"/>
    <n v="0"/>
    <s v="Number"/>
    <n v="7.99"/>
    <n v="7.99"/>
    <n v="19.98"/>
    <n v="19.98"/>
    <n v="19.98"/>
    <s v="True"/>
    <s v="Normal"/>
    <s v="Shopify Payments"/>
    <s v="Instagram"/>
    <s v="pending"/>
    <s v="United States"/>
    <s v="Georgia"/>
    <s v="Valid"/>
    <s v="North Ashley"/>
  </r>
  <r>
    <s v="#2439"/>
    <n v="1"/>
    <d v="2026-08-04T14:08:09"/>
    <d v="2026-08-04T14:08:09"/>
    <s v="Russell Walton"/>
    <s v="Missing Email"/>
    <m/>
    <x v="22"/>
    <s v="Electronics"/>
    <x v="23"/>
    <n v="2"/>
    <n v="11.99"/>
    <n v="11.99"/>
    <m/>
    <s v=""/>
    <n v="0"/>
    <n v="0"/>
    <s v="Number"/>
    <n v="5.99"/>
    <n v="5.99"/>
    <n v="29.97"/>
    <n v="29.97"/>
    <n v="29.97"/>
    <s v="True"/>
    <s v="Normal"/>
    <s v="Shopify Payments"/>
    <s v="Instagram"/>
    <s v="fulfilled"/>
    <s v="United States"/>
    <s v="North Carolina"/>
    <s v="Valid"/>
    <s v="Lake Lisa"/>
  </r>
  <r>
    <s v="#2471"/>
    <n v="1"/>
    <d v="2026-08-04T13:58:05"/>
    <d v="2026-08-04T13:58:05"/>
    <s v="John Hoffman"/>
    <s v="Missing Email"/>
    <m/>
    <x v="22"/>
    <s v="Electronics"/>
    <x v="23"/>
    <n v="1"/>
    <n v="11.99"/>
    <n v="11.99"/>
    <m/>
    <s v=""/>
    <n v="0"/>
    <n v="0"/>
    <s v="Number"/>
    <n v="7.99"/>
    <n v="7.99"/>
    <n v="19.98"/>
    <n v="19.98"/>
    <n v="19.98"/>
    <s v="True"/>
    <s v="Normal"/>
    <s v="Apple Pay"/>
    <s v="Online Store"/>
    <s v="fulfilled"/>
    <s v="United States"/>
    <s v="Arizona"/>
    <s v="Valid"/>
    <s v="Michelleborough"/>
  </r>
  <r>
    <s v="#2527"/>
    <n v="1"/>
    <d v="2026-04-08T00:00:00"/>
    <s v="08/04/2026"/>
    <s v="Samuel Snyder"/>
    <s v="Email Available"/>
    <s v="samuel.snyder328@icloud.com"/>
    <x v="22"/>
    <s v="Electronics"/>
    <x v="23"/>
    <n v="2"/>
    <n v="11.99"/>
    <n v="11.99"/>
    <s v="FREESHIP"/>
    <s v="FREESHIP"/>
    <n v="0"/>
    <n v="0"/>
    <s v="Number"/>
    <n v="0"/>
    <n v="0"/>
    <n v="23.98"/>
    <n v="23.98"/>
    <n v="23.98"/>
    <s v="True"/>
    <s v="Normal"/>
    <s v="Apple Pay"/>
    <s v="Instagram"/>
    <s v="fulfilled"/>
    <s v="United Kingdom"/>
    <m/>
    <s v="Not Required"/>
    <s v="Myersburgh"/>
  </r>
  <r>
    <s v="#2554"/>
    <n v="1"/>
    <d v="2026-08-04T14:07:01"/>
    <d v="2026-08-04T14:07:01"/>
    <s v="Rita Hall"/>
    <s v="Email Available"/>
    <s v="rita.hall18@outlook.com"/>
    <x v="22"/>
    <s v="Electronics"/>
    <x v="23"/>
    <n v="1"/>
    <n v="11.99"/>
    <n v="11.99"/>
    <s v="WELCOME10"/>
    <s v="WELCOME10"/>
    <n v="1.2"/>
    <n v="1.2"/>
    <s v="Number"/>
    <n v="5.99"/>
    <n v="5.99"/>
    <n v="16.78"/>
    <n v="16.78"/>
    <n v="16.78"/>
    <s v="True"/>
    <s v="Normal"/>
    <s v="Credit Card"/>
    <s v="POS"/>
    <s v="pending"/>
    <s v="United States"/>
    <s v="Florida"/>
    <s v="Valid"/>
    <s v="Port Davidmouth"/>
  </r>
  <r>
    <s v="#2622"/>
    <n v="1"/>
    <d v="2026-08-04T14:00:06"/>
    <d v="2026-08-04T14:00:06"/>
    <s v="Anthony Mullen"/>
    <s v="Email Available"/>
    <s v="anthony.mullen523@yahoo.com"/>
    <x v="22"/>
    <s v="Electronics"/>
    <x v="23"/>
    <n v="2"/>
    <n v="11.99"/>
    <n v="11.99"/>
    <s v="SAVE20"/>
    <s v="SAVE20"/>
    <n v="4.8"/>
    <n v="4.8"/>
    <s v="Number"/>
    <n v="5.99"/>
    <n v="5.99"/>
    <n v="25.17"/>
    <n v="25.17"/>
    <n v="25.17"/>
    <s v="True"/>
    <s v="Normal"/>
    <s v="Apple Pay"/>
    <s v="Online Store"/>
    <s v="fulfilled"/>
    <s v="United States"/>
    <s v="Florida"/>
    <s v="Valid"/>
    <s v="Lake Nancyberg"/>
  </r>
  <r>
    <s v="#2632"/>
    <n v="1"/>
    <d v="2026-08-04T14:03:11"/>
    <d v="2026-08-04T14:03:11"/>
    <s v="Mary Phillips"/>
    <s v="Email Available"/>
    <s v="mary.phillips944@yahoo.com"/>
    <x v="22"/>
    <s v="Electronics"/>
    <x v="23"/>
    <n v="1"/>
    <n v="11.99"/>
    <n v="11.99"/>
    <s v="SAVE20"/>
    <s v="SAVE20"/>
    <n v="2.4"/>
    <n v="2.4"/>
    <s v="Number"/>
    <n v="4.99"/>
    <n v="4.99"/>
    <n v="14.58"/>
    <n v="14.58"/>
    <n v="14.58"/>
    <s v="True"/>
    <s v="Normal"/>
    <s v="Apple Pay"/>
    <s v="Online Store"/>
    <s v="fulfilled"/>
    <s v="United States"/>
    <s v="FL"/>
    <s v="Valid"/>
    <s v="New Melinda"/>
  </r>
  <r>
    <s v="#2648"/>
    <n v="1"/>
    <d v="2026-08-04T13:53:34"/>
    <d v="2026-08-04T13:53:34"/>
    <s v="Jesse Hammond"/>
    <s v="Email Available"/>
    <s v="jesse.hammond987@gmail.com"/>
    <x v="22"/>
    <s v="Electronics"/>
    <x v="23"/>
    <n v="1"/>
    <n v="11.99"/>
    <n v="11.99"/>
    <m/>
    <s v=""/>
    <n v="0"/>
    <n v="0"/>
    <s v="Number"/>
    <n v="4.99"/>
    <n v="4.99"/>
    <n v="16.98"/>
    <n v="16.98"/>
    <n v="16.98"/>
    <s v="True"/>
    <s v="Normal"/>
    <s v="PayPal"/>
    <s v="Online Store"/>
    <s v="refunded"/>
    <s v="United States"/>
    <s v="Washington"/>
    <s v="Valid"/>
    <s v="Eugenefurt"/>
  </r>
  <r>
    <s v="#2708"/>
    <n v="1"/>
    <d v="2026-08-04T14:01:17"/>
    <d v="2026-08-04T14:01:17"/>
    <s v="Donald Davis"/>
    <s v="Email Available"/>
    <s v="donald.davis404@icloud.com"/>
    <x v="22"/>
    <s v="Electronics"/>
    <x v="23"/>
    <n v="1"/>
    <n v="11.99"/>
    <n v="11.99"/>
    <m/>
    <s v=""/>
    <n v="0"/>
    <n v="0"/>
    <s v="Number"/>
    <n v="4.99"/>
    <n v="4.99"/>
    <n v="16.98"/>
    <n v="16.98"/>
    <n v="16.98"/>
    <s v="True"/>
    <s v="Normal"/>
    <s v="Google Pay"/>
    <s v="Online Store"/>
    <s v="cancelled"/>
    <s v="Canada"/>
    <m/>
    <s v="Not Required"/>
    <s v="Watershaven"/>
  </r>
  <r>
    <s v="#2736"/>
    <n v="1"/>
    <d v="2026-08-04T14:05:03"/>
    <d v="2026-08-04T14:05:03"/>
    <s v="Alan Davis"/>
    <s v="Email Available"/>
    <s v="alan.davis483@icloud.com"/>
    <x v="22"/>
    <s v="Electronics"/>
    <x v="23"/>
    <n v="4"/>
    <n v="11.99"/>
    <n v="11.99"/>
    <m/>
    <s v=""/>
    <n v="0"/>
    <n v="0"/>
    <s v="Number"/>
    <n v="5.99"/>
    <n v="5.99"/>
    <n v="53.95"/>
    <n v="53.95"/>
    <n v="53.95"/>
    <s v="True"/>
    <s v="Normal"/>
    <s v="Shopify Payments"/>
    <s v="Instagram"/>
    <s v="cancelled"/>
    <s v="Canada"/>
    <m/>
    <s v="Not Required"/>
    <s v="Henryside"/>
  </r>
  <r>
    <s v="#2752"/>
    <n v="1"/>
    <d v="2026-08-04T14:04:56"/>
    <d v="2026-08-04T14:04:56"/>
    <s v="Christopher Hayes"/>
    <s v="Email Available"/>
    <s v="christopher.hayes809@icloud.com"/>
    <x v="22"/>
    <s v="Electronics"/>
    <x v="23"/>
    <n v="2"/>
    <n v="11.99"/>
    <n v="11.99"/>
    <m/>
    <s v=""/>
    <n v="0"/>
    <n v="0"/>
    <s v="Number"/>
    <n v="5.99"/>
    <n v="5.99"/>
    <s v="$29.97"/>
    <n v="29.97"/>
    <n v="29.97"/>
    <s v="True"/>
    <s v="Normal"/>
    <s v="Credit Card"/>
    <s v="Online Store"/>
    <s v="fulfilled"/>
    <s v="United States"/>
    <s v="Texas"/>
    <s v="Valid"/>
    <s v="Williamfort"/>
  </r>
  <r>
    <s v="#2759"/>
    <n v="1"/>
    <d v="2026-08-04T13:55:09"/>
    <d v="2026-08-04T13:55:09"/>
    <s v="Frank Diaz"/>
    <s v="Email Available"/>
    <s v="frank.diaz795@gmail.com"/>
    <x v="22"/>
    <s v="Electronics"/>
    <x v="23"/>
    <n v="1"/>
    <n v="11.99"/>
    <n v="11.99"/>
    <s v="FREESHIP"/>
    <s v="FREESHIP"/>
    <n v="0"/>
    <n v="0"/>
    <s v="Number"/>
    <n v="0"/>
    <n v="0"/>
    <n v="11.99"/>
    <n v="11.99"/>
    <n v="11.99"/>
    <s v="True"/>
    <s v="Normal"/>
    <s v="Apple Pay"/>
    <s v="Facebook"/>
    <s v="cancelled"/>
    <s v="United States"/>
    <s v="Illinois"/>
    <s v="Valid"/>
    <s v="Davidville"/>
  </r>
  <r>
    <s v="#2777"/>
    <n v="1"/>
    <d v="2026-04-08T00:00:00"/>
    <s v="08/04/2026"/>
    <s v="Darin Alvarez"/>
    <s v="Email Available"/>
    <s v="darin.alvarez843@gmail.com"/>
    <x v="22"/>
    <s v="Electronics"/>
    <x v="23"/>
    <n v="1"/>
    <n v="11.99"/>
    <n v="11.99"/>
    <m/>
    <s v=""/>
    <n v="0"/>
    <n v="0"/>
    <s v="Number"/>
    <n v="7.99"/>
    <n v="7.99"/>
    <s v="$19.98"/>
    <n v="19.98"/>
    <n v="19.98"/>
    <s v="True"/>
    <s v="Normal"/>
    <s v="Credit Card"/>
    <s v="POS"/>
    <s v="fulfilled"/>
    <s v="Canada"/>
    <m/>
    <s v="Not Required"/>
    <s v="West Jamesfort"/>
  </r>
  <r>
    <s v="#2789"/>
    <n v="1"/>
    <d v="2026-08-04T14:07:53"/>
    <d v="2026-08-04T14:07:53"/>
    <s v="Jesus Mason"/>
    <s v="Email Available"/>
    <s v="jesus.mason798@icloud.com"/>
    <x v="22"/>
    <s v="Electronics"/>
    <x v="23"/>
    <n v="1"/>
    <n v="11.99"/>
    <n v="11.99"/>
    <s v="BFCM25"/>
    <s v="BFCM25"/>
    <s v="$3.00"/>
    <n v="3"/>
    <s v="Number"/>
    <n v="5.99"/>
    <n v="5.99"/>
    <n v="14.98"/>
    <n v="14.98"/>
    <n v="14.98"/>
    <s v="True"/>
    <s v="Normal"/>
    <s v="PayPal"/>
    <s v="Facebook"/>
    <s v="fulfilled"/>
    <s v="United States"/>
    <s v="Ohio"/>
    <s v="Valid"/>
    <s v="Olsonberg"/>
  </r>
  <r>
    <s v="#2836"/>
    <n v="1"/>
    <d v="2026-08-04T00:00:00"/>
    <s v="Aug 04, 2026"/>
    <s v="Nicholas Jarvis"/>
    <s v="Email Available"/>
    <s v="nicholas.jarvis112@icloud.com"/>
    <x v="22"/>
    <s v="Electronics"/>
    <x v="23"/>
    <n v="1"/>
    <n v="11.99"/>
    <n v="11.99"/>
    <s v="WELCOME10"/>
    <s v="WELCOME10"/>
    <n v="1.2"/>
    <n v="1.2"/>
    <s v="Number"/>
    <n v="7.99"/>
    <n v="7.99"/>
    <n v="18.78"/>
    <n v="18.78"/>
    <n v="18.78"/>
    <s v="True"/>
    <s v="Normal"/>
    <s v="PayPal"/>
    <s v="Online Store"/>
    <s v="fulfilled"/>
    <s v="Canada"/>
    <m/>
    <s v="Not Required"/>
    <s v="South Catherineland"/>
  </r>
  <r>
    <s v="#2866"/>
    <n v="1"/>
    <d v="2026-08-04T14:05:28"/>
    <d v="2026-08-04T14:05:28"/>
    <s v="Hunt, Anthony"/>
    <s v="Email Available"/>
    <s v="anthony.hunt521@outlook.com"/>
    <x v="22"/>
    <s v="Electronics"/>
    <x v="23"/>
    <n v="3"/>
    <n v="11.99"/>
    <n v="11.99"/>
    <m/>
    <s v=""/>
    <n v="0"/>
    <n v="0"/>
    <s v="Number"/>
    <n v="7.99"/>
    <n v="7.99"/>
    <s v="$43.96"/>
    <n v="43.96"/>
    <n v="43.96"/>
    <s v="True"/>
    <s v="Normal"/>
    <s v="Google Pay"/>
    <s v="Online Store"/>
    <s v="fulfilled"/>
    <s v="United States"/>
    <s v="Ohio"/>
    <s v="Valid"/>
    <s v="East Catherine"/>
  </r>
  <r>
    <s v="#2896"/>
    <n v="1"/>
    <d v="2026-08-04T14:05:10"/>
    <d v="2026-08-04T14:05:10"/>
    <s v="Tina Singh"/>
    <s v="Email Available"/>
    <s v="tina.singh98@icloud.com"/>
    <x v="22"/>
    <s v="Electronics"/>
    <x v="23"/>
    <n v="1"/>
    <n v="11.99"/>
    <n v="11.99"/>
    <m/>
    <s v=""/>
    <n v="0"/>
    <n v="0"/>
    <s v="Number"/>
    <n v="7.99"/>
    <n v="7.99"/>
    <n v="19.98"/>
    <n v="19.98"/>
    <n v="19.98"/>
    <s v="True"/>
    <s v="Normal"/>
    <s v="PayPal"/>
    <s v="Instagram"/>
    <s v="fulfilled"/>
    <s v="United States"/>
    <s v="Illinois"/>
    <s v="Valid"/>
    <s v="Huffmanmouth"/>
  </r>
  <r>
    <s v="#2897"/>
    <n v="1"/>
    <d v="2026-08-04T14:05:57"/>
    <d v="2026-08-04T14:05:57"/>
    <s v="Mary Meza"/>
    <s v="Email Available"/>
    <s v="mary.meza759@gmail.com"/>
    <x v="22"/>
    <s v="Electronics"/>
    <x v="23"/>
    <n v="2"/>
    <n v="11.99"/>
    <n v="11.99"/>
    <s v="SAVE20"/>
    <s v="SAVE20"/>
    <n v="4.8"/>
    <n v="4.8"/>
    <s v="Number"/>
    <n v="4.99"/>
    <n v="4.99"/>
    <n v="24.17"/>
    <n v="24.17"/>
    <n v="24.17"/>
    <s v="True"/>
    <s v="Normal"/>
    <s v="Shopify Payments"/>
    <s v="Online Store"/>
    <s v="fulfilled"/>
    <s v="Canada"/>
    <m/>
    <s v="Not Required"/>
    <s v="Lake Mitchelltown"/>
  </r>
  <r>
    <s v="#2903"/>
    <n v="1"/>
    <d v="2026-08-04T13:55:59"/>
    <d v="2026-08-04T13:55:59"/>
    <s v="Tyler Williams"/>
    <s v="Email Available"/>
    <s v="tyler.williams938@outlook.com"/>
    <x v="22"/>
    <s v="Electronics"/>
    <x v="23"/>
    <n v="1"/>
    <n v="11.99"/>
    <n v="11.99"/>
    <s v="BFCM25"/>
    <s v="BFCM25"/>
    <n v="3"/>
    <n v="3"/>
    <s v="Number"/>
    <n v="4.99"/>
    <n v="4.99"/>
    <n v="13.98"/>
    <n v="13.98"/>
    <n v="13.98"/>
    <s v="True"/>
    <s v="Normal"/>
    <s v="Google Pay"/>
    <s v="Online Store"/>
    <s v="pending"/>
    <s v="Australia"/>
    <m/>
    <s v="Not Required"/>
    <s v="Jeffreyport"/>
  </r>
  <r>
    <s v="#2911"/>
    <n v="1"/>
    <d v="2026-08-04T00:00:00"/>
    <s v="2026-08-04"/>
    <s v="Tracy Kennedy"/>
    <s v="Email Available"/>
    <s v="tracy.kennedy796@outlook.com"/>
    <x v="22"/>
    <s v="Electronics"/>
    <x v="23"/>
    <n v="2"/>
    <n v="11.99"/>
    <n v="11.99"/>
    <m/>
    <s v=""/>
    <n v="0"/>
    <n v="0"/>
    <s v="Number"/>
    <n v="4.99"/>
    <n v="4.99"/>
    <n v="28.97"/>
    <n v="28.97"/>
    <n v="28.97"/>
    <s v="True"/>
    <s v="Normal"/>
    <s v="Credit Card"/>
    <s v="Instagram"/>
    <s v="refunded"/>
    <s v="Pakistan"/>
    <m/>
    <s v="Not Required"/>
    <s v="Grantbury"/>
  </r>
  <r>
    <s v="#2929"/>
    <n v="1"/>
    <d v="2026-08-04T14:00:30"/>
    <d v="2026-08-04T14:00:30"/>
    <s v="Sandra Potter"/>
    <s v="Email Available"/>
    <s v="sandra.potter166@yahoo.com"/>
    <x v="22"/>
    <s v="Electronics"/>
    <x v="23"/>
    <n v="1"/>
    <n v="11.99"/>
    <n v="11.99"/>
    <s v="SAVE20"/>
    <s v="SAVE20"/>
    <s v="$2.40"/>
    <n v="2.4"/>
    <s v="Number"/>
    <n v="4.99"/>
    <n v="4.99"/>
    <n v="14.58"/>
    <n v="14.58"/>
    <n v="14.58"/>
    <s v="True"/>
    <s v="Normal"/>
    <s v="Shopify Payments"/>
    <s v="Online Store"/>
    <s v="fulfilled"/>
    <s v="United States"/>
    <s v="Washington"/>
    <s v="Valid"/>
    <s v="Bakerburgh"/>
  </r>
  <r>
    <s v="#1011"/>
    <n v="1"/>
    <d v="2026-08-04T14:02:04"/>
    <d v="2026-08-04T14:02:04"/>
    <s v="Patricia Townsend"/>
    <s v="Missing Email"/>
    <m/>
    <x v="23"/>
    <s v="Sports &amp; Outdoors"/>
    <x v="24"/>
    <n v="1"/>
    <n v="22.99"/>
    <n v="22.99"/>
    <m/>
    <s v=""/>
    <n v="0"/>
    <n v="0"/>
    <s v="Number"/>
    <n v="7.99"/>
    <n v="7.99"/>
    <n v="30.98"/>
    <n v="30.98"/>
    <n v="30.979999999999997"/>
    <s v="True"/>
    <s v="Normal"/>
    <s v="Shopify Payments"/>
    <s v="POS"/>
    <s v="fulfilled"/>
    <s v="United States"/>
    <s v="Ohio"/>
    <s v="Valid"/>
    <s v="West Stephentown"/>
  </r>
  <r>
    <s v="#1015"/>
    <n v="1"/>
    <d v="2026-08-04T14:08:21"/>
    <d v="2026-08-04T14:08:21"/>
    <s v="Linda Byrd"/>
    <s v="Email Available"/>
    <s v="linda.byrd87@outlook.com"/>
    <x v="23"/>
    <s v="Sports &amp; Outdoors"/>
    <x v="24"/>
    <n v="1"/>
    <n v="22.99"/>
    <n v="22.99"/>
    <s v="SAVE20"/>
    <s v="SAVE20"/>
    <n v="4.5999999999999996"/>
    <n v="4.5999999999999996"/>
    <s v="Number"/>
    <n v="4.99"/>
    <n v="4.99"/>
    <n v="23.38"/>
    <n v="23.38"/>
    <n v="23.380000000000003"/>
    <s v="True"/>
    <s v="Normal"/>
    <s v="Google Pay"/>
    <s v="POS"/>
    <s v="fulfilled"/>
    <s v="United States"/>
    <s v="AZ"/>
    <s v="Valid"/>
    <s v="Deanstad"/>
  </r>
  <r>
    <s v="#1063"/>
    <n v="1"/>
    <d v="2026-08-04T14:06:16"/>
    <d v="2026-08-04T14:06:16"/>
    <s v="Robert Boyd"/>
    <s v="Email Available"/>
    <s v="robert.boyd184@yahoo.com"/>
    <x v="23"/>
    <s v="Sports &amp; Outdoors"/>
    <x v="24"/>
    <n v="2"/>
    <n v="22.99"/>
    <n v="22.99"/>
    <s v="FREESHIP"/>
    <s v="FREESHIP"/>
    <n v="0"/>
    <n v="0"/>
    <s v="Number"/>
    <n v="0"/>
    <n v="0"/>
    <n v="45.98"/>
    <n v="45.98"/>
    <n v="45.98"/>
    <s v="True"/>
    <s v="Normal"/>
    <s v="Apple Pay"/>
    <s v="Online Store"/>
    <s v="fulfilled"/>
    <s v="Canada"/>
    <m/>
    <s v="Not Required"/>
    <s v="North Ariel"/>
  </r>
  <r>
    <s v="#1169"/>
    <n v="1"/>
    <d v="2026-08-04T14:07:06"/>
    <d v="2026-08-04T14:07:06"/>
    <s v="Jesus Mason"/>
    <s v="Email Available"/>
    <s v="jesus.mason798@icloud.com"/>
    <x v="23"/>
    <s v="Sports &amp; Outdoors"/>
    <x v="24"/>
    <n v="1"/>
    <n v="22.99"/>
    <n v="22.99"/>
    <s v="BFCM25"/>
    <s v="BFCM25"/>
    <n v="5.75"/>
    <n v="5.75"/>
    <s v="Number"/>
    <n v="5.99"/>
    <n v="5.99"/>
    <n v="23.23"/>
    <n v="23.23"/>
    <n v="23.229999999999997"/>
    <s v="True"/>
    <s v="Normal"/>
    <s v="Google Pay"/>
    <s v="Facebook"/>
    <s v="fulfilled"/>
    <s v="United States"/>
    <s v="NY"/>
    <s v="Valid"/>
    <s v="Williamschester"/>
  </r>
  <r>
    <s v="#1182"/>
    <n v="1"/>
    <d v="2026-08-04T13:58:34"/>
    <d v="2026-08-04T13:58:34"/>
    <s v="Joshua Chavez"/>
    <s v="Email Available"/>
    <s v="joshua.chavez332@outlook.com"/>
    <x v="23"/>
    <s v="Sports &amp; Outdoors"/>
    <x v="24"/>
    <n v="1"/>
    <n v="22.99"/>
    <n v="22.99"/>
    <s v="BFCM25"/>
    <s v="BFCM25"/>
    <n v="5.75"/>
    <n v="5.75"/>
    <s v="Number"/>
    <n v="7.99"/>
    <n v="7.99"/>
    <n v="25.23"/>
    <n v="25.23"/>
    <n v="25.229999999999997"/>
    <s v="True"/>
    <s v="Normal"/>
    <s v="Credit Card"/>
    <s v="Online Store"/>
    <s v="cancelled"/>
    <s v="United States"/>
    <s v="Georgia"/>
    <s v="Valid"/>
    <s v="Lake Rebeccaberg"/>
  </r>
  <r>
    <s v="#1244"/>
    <n v="1"/>
    <d v="2026-08-04T13:58:27"/>
    <d v="2026-08-04T13:58:27"/>
    <s v="Robert Lopez"/>
    <s v="Email Available"/>
    <s v="robert.lopez980@outlook.com"/>
    <x v="23"/>
    <s v="Sports &amp; Outdoors"/>
    <x v="24"/>
    <n v="1"/>
    <s v="$22.99"/>
    <n v="22.99"/>
    <m/>
    <s v=""/>
    <n v="0"/>
    <n v="0"/>
    <s v="Number"/>
    <n v="4.99"/>
    <n v="4.99"/>
    <n v="27.98"/>
    <n v="27.98"/>
    <n v="27.979999999999997"/>
    <s v="True"/>
    <s v="Normal"/>
    <s v="PayPal"/>
    <s v="Facebook"/>
    <s v="fulfilled"/>
    <s v="Germany"/>
    <m/>
    <s v="Not Required"/>
    <s v="Collinsborough"/>
  </r>
  <r>
    <s v="#1252"/>
    <n v="1"/>
    <d v="2026-08-04T13:56:19"/>
    <d v="2026-08-04T13:56:19"/>
    <s v="Amy Barnett"/>
    <s v="Email Available"/>
    <s v="amy.barnett396@icloud.com"/>
    <x v="23"/>
    <s v="Sports &amp; Outdoors"/>
    <x v="24"/>
    <n v="1"/>
    <n v="22.99"/>
    <n v="22.99"/>
    <m/>
    <s v=""/>
    <n v="0"/>
    <n v="0"/>
    <s v="Number"/>
    <n v="4.99"/>
    <n v="4.99"/>
    <n v="27.98"/>
    <n v="27.98"/>
    <n v="27.979999999999997"/>
    <s v="True"/>
    <s v="Normal"/>
    <s v="PayPal"/>
    <s v="Online Store"/>
    <s v="fulfilled"/>
    <s v="Pakistan"/>
    <m/>
    <s v="Not Required"/>
    <s v="Port Ethanshire"/>
  </r>
  <r>
    <s v="#1271"/>
    <n v="1"/>
    <d v="2026-08-04T13:53:51"/>
    <d v="2026-08-04T13:53:51"/>
    <s v="Mary Garcia"/>
    <s v="Email Available"/>
    <s v="mary.garcia899@icloud.com"/>
    <x v="23"/>
    <s v="Sports &amp; Outdoors"/>
    <x v="24"/>
    <n v="1"/>
    <n v="22.99"/>
    <n v="22.99"/>
    <m/>
    <s v=""/>
    <n v="0"/>
    <n v="0"/>
    <s v="Number"/>
    <n v="4.99"/>
    <n v="4.99"/>
    <n v="27.98"/>
    <n v="27.98"/>
    <n v="27.979999999999997"/>
    <s v="True"/>
    <s v="Normal"/>
    <s v="Shopify Payments"/>
    <s v="Online Store"/>
    <s v="refunded"/>
    <s v="Canada"/>
    <m/>
    <s v="Not Required"/>
    <s v="North Cindy"/>
  </r>
  <r>
    <s v="#1324"/>
    <n v="1"/>
    <d v="2026-08-04T13:58:00"/>
    <d v="2026-08-04T13:58:00"/>
    <s v="Stephanie Mcgee"/>
    <s v="Email Available"/>
    <s v="stephanie.mcgee557@outlook.com"/>
    <x v="23"/>
    <s v="Sports &amp; Outdoors"/>
    <x v="24"/>
    <n v="1"/>
    <n v="22.99"/>
    <n v="22.99"/>
    <m/>
    <s v=""/>
    <n v="0"/>
    <n v="0"/>
    <s v="Number"/>
    <n v="5.99"/>
    <n v="5.99"/>
    <n v="28.98"/>
    <n v="28.98"/>
    <n v="28.979999999999997"/>
    <s v="True"/>
    <s v="Normal"/>
    <s v="Credit Card"/>
    <s v="Online Store"/>
    <s v="fulfilled"/>
    <s v="Australia"/>
    <m/>
    <s v="Not Required"/>
    <s v="Lake Kimberly"/>
  </r>
  <r>
    <s v="#1333"/>
    <n v="1"/>
    <d v="2026-08-04T14:02:08"/>
    <d v="2026-08-04T14:02:08"/>
    <s v="Jaime Vargas"/>
    <s v="Email Available"/>
    <s v="jaime.vargas795@outlook.com"/>
    <x v="23"/>
    <s v="Sports &amp; Outdoors"/>
    <x v="24"/>
    <n v="2"/>
    <n v="22.99"/>
    <n v="22.99"/>
    <s v="SAVE20"/>
    <s v="SAVE20"/>
    <n v="9.1999999999999993"/>
    <n v="9.1999999999999993"/>
    <s v="Number"/>
    <n v="7.99"/>
    <n v="7.99"/>
    <n v="44.77"/>
    <n v="44.77"/>
    <n v="44.77"/>
    <s v="True"/>
    <s v="Normal"/>
    <s v="Google Pay"/>
    <s v="Facebook"/>
    <s v="pending"/>
    <s v="United Kingdom"/>
    <m/>
    <s v="Not Required"/>
    <s v="Middletonshire"/>
  </r>
  <r>
    <s v="#1337"/>
    <n v="1"/>
    <d v="2026-04-08T00:00:00"/>
    <s v="08/04/2026"/>
    <s v="Sarah Williams"/>
    <s v="Email Available"/>
    <s v="sarah.williams329@icloud.com"/>
    <x v="23"/>
    <s v="Sports &amp; Outdoors"/>
    <x v="24"/>
    <n v="1"/>
    <n v="22.99"/>
    <n v="22.99"/>
    <m/>
    <s v=""/>
    <n v="0"/>
    <n v="0"/>
    <s v="Number"/>
    <n v="4.99"/>
    <n v="4.99"/>
    <n v="27.98"/>
    <n v="27.98"/>
    <n v="27.979999999999997"/>
    <s v="True"/>
    <s v="Normal"/>
    <s v="Credit Card"/>
    <s v="POS"/>
    <s v="fulfilled"/>
    <s v="Canada"/>
    <m/>
    <s v="Not Required"/>
    <s v="Lake Michaelstad"/>
  </r>
  <r>
    <s v="#1340"/>
    <n v="1"/>
    <d v="2026-08-04T14:07:14"/>
    <d v="2026-08-04T14:07:14"/>
    <s v="Matthew Perez"/>
    <s v="Email Available"/>
    <s v="matthew.perez875@gmail.com"/>
    <x v="23"/>
    <s v="Sports &amp; Outdoors"/>
    <x v="24"/>
    <n v="1"/>
    <n v="22.99"/>
    <n v="22.99"/>
    <s v="WELCOME10"/>
    <s v="WELCOME10"/>
    <n v="2.2999999999999998"/>
    <n v="2.2999999999999998"/>
    <s v="Number"/>
    <n v="4.99"/>
    <n v="4.99"/>
    <n v="25.68"/>
    <n v="25.68"/>
    <n v="25.68"/>
    <s v="True"/>
    <s v="Normal"/>
    <s v="Apple Pay"/>
    <s v="Instagram"/>
    <s v="refunded"/>
    <s v="Pakistan"/>
    <m/>
    <s v="Not Required"/>
    <s v="North Steven"/>
  </r>
  <r>
    <s v="#1393"/>
    <n v="1"/>
    <d v="2026-08-04T14:01:07"/>
    <d v="2026-08-04T14:01:07"/>
    <s v="Jon Lambert"/>
    <s v="Email Available"/>
    <s v="jon.lambert231@icloud.com"/>
    <x v="23"/>
    <s v="Sports &amp; Outdoors"/>
    <x v="24"/>
    <n v="1"/>
    <n v="22.99"/>
    <n v="22.99"/>
    <s v="SAVE20"/>
    <s v="SAVE20"/>
    <n v="4.5999999999999996"/>
    <n v="4.5999999999999996"/>
    <s v="Number"/>
    <n v="7.99"/>
    <n v="7.99"/>
    <n v="26.38"/>
    <n v="26.38"/>
    <n v="26.380000000000003"/>
    <s v="True"/>
    <s v="Normal"/>
    <s v="Shopify Payments"/>
    <s v="Online Store"/>
    <s v="pending"/>
    <s v="United States"/>
    <s v="Georgia"/>
    <s v="Valid"/>
    <s v="Cheyennefurt"/>
  </r>
  <r>
    <s v="#1398"/>
    <n v="1"/>
    <d v="2026-08-04T14:03:36"/>
    <d v="2026-08-04T14:03:36"/>
    <s v="Cheryl Coleman"/>
    <s v="Email Available"/>
    <s v="cheryl.coleman261@icloud.com"/>
    <x v="23"/>
    <s v="Sports &amp; Outdoors"/>
    <x v="24"/>
    <n v="1"/>
    <n v="22.99"/>
    <n v="22.99"/>
    <s v="VIP15"/>
    <s v="VIP15"/>
    <n v="3.45"/>
    <n v="3.45"/>
    <s v="Number"/>
    <n v="4.99"/>
    <n v="4.99"/>
    <n v="24.53"/>
    <n v="24.53"/>
    <n v="24.53"/>
    <s v="True"/>
    <s v="Normal"/>
    <s v="Credit Card"/>
    <s v="Facebook"/>
    <s v="fulfilled"/>
    <s v="Pakistan"/>
    <m/>
    <s v="Not Required"/>
    <s v="Port Danielleview"/>
  </r>
  <r>
    <s v="#1411"/>
    <n v="1"/>
    <d v="2026-08-04T14:06:38"/>
    <d v="2026-08-04T14:06:38"/>
    <s v="Lucas Lyons"/>
    <s v="Email Available"/>
    <s v="lucas.lyons594@icloud.com"/>
    <x v="23"/>
    <s v="Sports &amp; Outdoors"/>
    <x v="24"/>
    <n v="2"/>
    <n v="22.99"/>
    <n v="22.99"/>
    <m/>
    <s v=""/>
    <n v="0"/>
    <n v="0"/>
    <s v="Number"/>
    <n v="4.99"/>
    <n v="4.99"/>
    <n v="50.97"/>
    <n v="50.97"/>
    <n v="50.97"/>
    <s v="True"/>
    <s v="Normal"/>
    <s v="PayPal"/>
    <s v="POS"/>
    <s v="fulfilled"/>
    <s v="Pakistan"/>
    <m/>
    <s v="Not Required"/>
    <s v="Ethanville"/>
  </r>
  <r>
    <s v="#1431"/>
    <n v="1"/>
    <d v="2026-08-04T14:00:48"/>
    <d v="2026-08-04T14:00:48"/>
    <s v="Nicole Taylor"/>
    <s v="Email Available"/>
    <s v="nicole.taylor607@icloud.com"/>
    <x v="23"/>
    <s v="Sports &amp; Outdoors"/>
    <x v="24"/>
    <n v="1"/>
    <n v="22.99"/>
    <n v="22.99"/>
    <s v="BFCM25"/>
    <s v="BFCM25"/>
    <n v="5.75"/>
    <n v="5.75"/>
    <s v="Number"/>
    <n v="4.99"/>
    <n v="4.99"/>
    <n v="22.23"/>
    <n v="22.23"/>
    <n v="22.229999999999997"/>
    <s v="True"/>
    <s v="Normal"/>
    <s v="Shopify Payments"/>
    <s v="Online Store"/>
    <s v="fulfilled"/>
    <s v="United States"/>
    <s v="New York"/>
    <s v="Valid"/>
    <s v="Michaeltown"/>
  </r>
  <r>
    <s v="#1438"/>
    <n v="1"/>
    <d v="2026-08-04T00:00:00"/>
    <s v="04-08-2026 13:55"/>
    <s v="Adam Krause"/>
    <s v="Email Available"/>
    <s v="adam.krause31@yahoo.com"/>
    <x v="23"/>
    <s v="Sports &amp; Outdoors"/>
    <x v="24"/>
    <n v="1"/>
    <n v="22.99"/>
    <n v="22.99"/>
    <s v="BFCM25"/>
    <s v="BFCM25"/>
    <n v="5.75"/>
    <n v="5.75"/>
    <s v="Number"/>
    <n v="4.99"/>
    <n v="4.99"/>
    <s v="$22.23"/>
    <n v="22.23"/>
    <n v="22.229999999999997"/>
    <s v="True"/>
    <s v="Normal"/>
    <s v="Credit Card"/>
    <s v="Facebook"/>
    <s v="pending"/>
    <s v="United States"/>
    <s v="Illinois"/>
    <s v="Valid"/>
    <s v="Riddlebury"/>
  </r>
  <r>
    <s v="#1449"/>
    <n v="1"/>
    <d v="2026-08-04T13:58:30"/>
    <d v="2026-08-04T13:58:30"/>
    <s v="Michael Hays"/>
    <s v="Email Available"/>
    <s v="michael.hays590@gmail.com"/>
    <x v="23"/>
    <s v="Sports &amp; Outdoors"/>
    <x v="24"/>
    <n v="1"/>
    <n v="22.99"/>
    <n v="22.99"/>
    <s v="VIP15"/>
    <s v="VIP15"/>
    <n v="3.45"/>
    <n v="3.45"/>
    <s v="Number"/>
    <n v="4.99"/>
    <n v="4.99"/>
    <n v="24.53"/>
    <n v="24.53"/>
    <n v="24.53"/>
    <s v="True"/>
    <s v="Normal"/>
    <s v="Apple Pay"/>
    <s v="Online Store"/>
    <s v="pending"/>
    <s v="United States"/>
    <s v="Florida"/>
    <s v="Valid"/>
    <s v="West Larry"/>
  </r>
  <r>
    <s v="#1456"/>
    <n v="1"/>
    <d v="2026-08-04T13:59:47"/>
    <d v="2026-08-04T13:59:47"/>
    <s v="Kristopher Barnett"/>
    <s v="Email Available"/>
    <s v="kristopher.barnett178@outlook.com"/>
    <x v="23"/>
    <s v="Sports &amp; Outdoors"/>
    <x v="24"/>
    <n v="1"/>
    <n v="22.99"/>
    <n v="22.99"/>
    <s v="SAVE20"/>
    <s v="SAVE20"/>
    <n v="4.5999999999999996"/>
    <n v="4.5999999999999996"/>
    <s v="Number"/>
    <n v="4.99"/>
    <n v="4.99"/>
    <n v="23.38"/>
    <n v="23.38"/>
    <n v="23.380000000000003"/>
    <s v="True"/>
    <s v="Normal"/>
    <s v="Apple Pay"/>
    <s v="Online Store"/>
    <s v="refunded"/>
    <s v="Australia"/>
    <m/>
    <s v="Not Required"/>
    <s v="South Lisaberg"/>
  </r>
  <r>
    <s v="#1463"/>
    <n v="1"/>
    <d v="2026-08-04T13:56:52"/>
    <d v="2026-08-04T13:56:52"/>
    <s v="Conway, Brittney"/>
    <s v="Email Available"/>
    <s v="brittney.conway383@outlook.com"/>
    <x v="23"/>
    <s v="Sports &amp; Outdoors"/>
    <x v="24"/>
    <n v="2"/>
    <n v="22.99"/>
    <n v="22.99"/>
    <m/>
    <s v=""/>
    <s v="$0.00"/>
    <n v="0"/>
    <s v="Number"/>
    <n v="7.99"/>
    <n v="7.99"/>
    <n v="53.97"/>
    <n v="53.97"/>
    <n v="53.97"/>
    <s v="True"/>
    <s v="Normal"/>
    <s v="Apple Pay"/>
    <s v="Online Store"/>
    <s v="fulfilled"/>
    <s v="United States"/>
    <s v="Texas"/>
    <s v="Valid"/>
    <s v="North Nathan"/>
  </r>
  <r>
    <s v="#1474"/>
    <n v="1"/>
    <d v="2026-08-04T13:56:55"/>
    <d v="2026-08-04T13:56:55"/>
    <s v="Sarah Williams"/>
    <s v="Missing Email"/>
    <m/>
    <x v="23"/>
    <s v="Sports &amp; Outdoors"/>
    <x v="24"/>
    <n v="1"/>
    <n v="22.99"/>
    <n v="22.99"/>
    <s v="SAVE20"/>
    <s v="SAVE20"/>
    <n v="4.5999999999999996"/>
    <n v="4.5999999999999996"/>
    <s v="Number"/>
    <n v="5.99"/>
    <n v="5.99"/>
    <n v="24.38"/>
    <n v="24.38"/>
    <n v="24.380000000000003"/>
    <s v="True"/>
    <s v="Normal"/>
    <s v="Google Pay"/>
    <s v="Online Store"/>
    <s v="cancelled"/>
    <s v="Canada"/>
    <m/>
    <s v="Not Required"/>
    <s v="Port Amy"/>
  </r>
  <r>
    <s v="#1488"/>
    <n v="1"/>
    <d v="2026-04-08T00:00:00"/>
    <s v="08/04/2026"/>
    <s v="John Carson"/>
    <s v="Email Available"/>
    <s v="john.carson203@yahoo.com"/>
    <x v="23"/>
    <s v="Sports &amp; Outdoors"/>
    <x v="24"/>
    <n v="1"/>
    <n v="22.99"/>
    <n v="22.99"/>
    <m/>
    <s v=""/>
    <n v="0"/>
    <n v="0"/>
    <s v="Number"/>
    <n v="5.99"/>
    <n v="5.99"/>
    <n v="28.98"/>
    <n v="28.98"/>
    <n v="28.979999999999997"/>
    <s v="True"/>
    <s v="Normal"/>
    <s v="Credit Card"/>
    <s v="Online Store"/>
    <s v="fulfilled"/>
    <s v="United States"/>
    <s v="California"/>
    <s v="Valid"/>
    <s v="New Colleenberg"/>
  </r>
  <r>
    <s v="#1515"/>
    <n v="1"/>
    <d v="2026-08-04T14:05:33"/>
    <d v="2026-08-04T14:05:33"/>
    <s v="Joshua Chavez"/>
    <s v="Email Available"/>
    <s v="joshua.chavez332@outlook.com"/>
    <x v="23"/>
    <s v="Sports &amp; Outdoors"/>
    <x v="24"/>
    <n v="1"/>
    <n v="22.99"/>
    <n v="22.99"/>
    <s v="VIP15"/>
    <s v="VIP15"/>
    <n v="3.45"/>
    <n v="3.45"/>
    <s v="Number"/>
    <n v="5.99"/>
    <n v="5.99"/>
    <n v="25.53"/>
    <n v="25.53"/>
    <n v="25.53"/>
    <s v="True"/>
    <s v="Normal"/>
    <s v="Shopify Payments"/>
    <s v="Online Store"/>
    <s v="fulfilled"/>
    <s v="United States"/>
    <s v="Washington"/>
    <s v="Valid"/>
    <s v="Lake Rebecca"/>
  </r>
  <r>
    <s v="#1537"/>
    <n v="1"/>
    <d v="2026-08-04T14:02:48"/>
    <d v="2026-08-04T14:02:48"/>
    <s v="Dustin Mccoy"/>
    <s v="Email Available"/>
    <s v="dustin.mccoy570@gmail.com"/>
    <x v="23"/>
    <s v="Sports &amp; Outdoors"/>
    <x v="24"/>
    <n v="2"/>
    <n v="22.99"/>
    <n v="22.99"/>
    <m/>
    <s v=""/>
    <n v="0"/>
    <n v="0"/>
    <s v="Number"/>
    <n v="5.99"/>
    <n v="5.99"/>
    <n v="51.97"/>
    <n v="51.97"/>
    <n v="51.97"/>
    <s v="True"/>
    <s v="Normal"/>
    <s v="Credit Card"/>
    <s v="POS"/>
    <s v="fulfilled"/>
    <s v="Canada"/>
    <m/>
    <s v="Not Required"/>
    <s v="Morrisfurt"/>
  </r>
  <r>
    <s v="#1549"/>
    <n v="1"/>
    <d v="2026-08-04T13:59:16"/>
    <d v="2026-08-04T13:59:16"/>
    <s v="Aaron Thompson"/>
    <s v="Email Available"/>
    <s v="aaron.thompson601@yahoo.com"/>
    <x v="23"/>
    <s v="Sports &amp; Outdoors"/>
    <x v="24"/>
    <n v="1"/>
    <n v="22.99"/>
    <n v="22.99"/>
    <s v="FREESHIP"/>
    <s v="FREESHIP"/>
    <n v="0"/>
    <n v="0"/>
    <s v="Number"/>
    <n v="0"/>
    <n v="0"/>
    <n v="22.99"/>
    <n v="22.99"/>
    <n v="22.99"/>
    <s v="True"/>
    <s v="Normal"/>
    <s v="PayPal"/>
    <s v="Online Store"/>
    <s v="pending"/>
    <s v="Canada"/>
    <m/>
    <s v="Not Required"/>
    <s v="West Kevin"/>
  </r>
  <r>
    <s v="#1551"/>
    <n v="1"/>
    <d v="2026-08-04T13:59:05"/>
    <d v="2026-08-04T13:59:05"/>
    <s v="Gerald Li"/>
    <s v="Email Available"/>
    <s v="gerald.li856@icloud.com"/>
    <x v="23"/>
    <s v="Sports &amp; Outdoors"/>
    <x v="24"/>
    <n v="1"/>
    <n v="22.99"/>
    <n v="22.99"/>
    <s v="SAVE20"/>
    <s v="SAVE20"/>
    <n v="4.5999999999999996"/>
    <n v="4.5999999999999996"/>
    <s v="Number"/>
    <n v="4.99"/>
    <n v="4.99"/>
    <s v="$23.38"/>
    <n v="23.38"/>
    <n v="23.380000000000003"/>
    <s v="True"/>
    <s v="Normal"/>
    <s v="Apple Pay"/>
    <s v="Online Store"/>
    <s v="fulfilled"/>
    <s v="United States"/>
    <s v="Arizona"/>
    <s v="Valid"/>
    <s v="Lake Brittanymouth"/>
  </r>
  <r>
    <s v="#1566"/>
    <n v="1"/>
    <d v="2026-08-04T14:07:45"/>
    <d v="2026-08-04T14:07:45"/>
    <s v="Daniel Contreras"/>
    <s v="Email Available"/>
    <s v="daniel.contreras749@yahoo.com"/>
    <x v="23"/>
    <s v="Sports &amp; Outdoors"/>
    <x v="24"/>
    <n v="1"/>
    <n v="22.99"/>
    <n v="22.99"/>
    <s v="VIP15"/>
    <s v="VIP15"/>
    <n v="3.45"/>
    <n v="3.45"/>
    <s v="Number"/>
    <n v="4.99"/>
    <n v="4.99"/>
    <n v="24.53"/>
    <n v="24.53"/>
    <n v="24.53"/>
    <s v="True"/>
    <s v="Normal"/>
    <s v="PayPal"/>
    <s v="Online Store"/>
    <s v="fulfilled"/>
    <s v="Australia"/>
    <m/>
    <s v="Not Required"/>
    <s v="West Philip"/>
  </r>
  <r>
    <s v="#1672"/>
    <n v="1"/>
    <d v="2026-08-04T13:58:34"/>
    <d v="2026-08-04T13:58:34"/>
    <s v="Jesus Mason"/>
    <s v="Missing Email"/>
    <m/>
    <x v="23"/>
    <s v="Sports &amp; Outdoors"/>
    <x v="24"/>
    <n v="1"/>
    <n v="22.99"/>
    <n v="22.99"/>
    <s v="FREESHIP"/>
    <s v="FREESHIP"/>
    <s v="$0.00"/>
    <n v="0"/>
    <s v="Number"/>
    <n v="0"/>
    <n v="0"/>
    <n v="22.99"/>
    <n v="22.99"/>
    <n v="22.99"/>
    <s v="True"/>
    <s v="Normal"/>
    <s v="Apple Pay"/>
    <s v="Facebook"/>
    <s v="fulfilled"/>
    <s v="United States"/>
    <s v="Ohio"/>
    <s v="Valid"/>
    <s v="New Andrew"/>
  </r>
  <r>
    <s v="#1700"/>
    <n v="1"/>
    <d v="2026-08-04T13:55:17"/>
    <d v="2026-08-04T13:55:17"/>
    <s v="Debra Thomas"/>
    <s v="Email Available"/>
    <s v="debra.thomas509@icloud.com"/>
    <x v="23"/>
    <s v="Sports &amp; Outdoors"/>
    <x v="24"/>
    <n v="1"/>
    <n v="22.99"/>
    <n v="22.99"/>
    <m/>
    <s v=""/>
    <n v="0"/>
    <n v="0"/>
    <s v="Number"/>
    <n v="4.99"/>
    <n v="4.99"/>
    <n v="27.98"/>
    <n v="27.98"/>
    <n v="27.979999999999997"/>
    <s v="True"/>
    <s v="Normal"/>
    <s v="Credit Card"/>
    <s v="Online Store"/>
    <s v="cancelled"/>
    <s v="United States"/>
    <s v="California"/>
    <s v="Valid"/>
    <s v="Port Nancymouth"/>
  </r>
  <r>
    <s v="#1746"/>
    <n v="1"/>
    <d v="2026-08-04T14:01:16"/>
    <d v="2026-08-04T14:01:16"/>
    <s v="Tina Singh"/>
    <s v="Email Available"/>
    <s v="tina.singh98@icloud.com"/>
    <x v="23"/>
    <s v="Sports &amp; Outdoors"/>
    <x v="24"/>
    <n v="4"/>
    <n v="22.99"/>
    <n v="22.99"/>
    <s v="WELCOME10"/>
    <s v="WELCOME10"/>
    <n v="9.1999999999999993"/>
    <n v="9.1999999999999993"/>
    <s v="Number"/>
    <n v="0"/>
    <n v="0"/>
    <s v="$82.76"/>
    <n v="82.76"/>
    <n v="82.759999999999991"/>
    <s v="True"/>
    <s v="Outlier"/>
    <s v="Credit Card"/>
    <s v="Online Store"/>
    <s v="fulfilled"/>
    <s v="United States"/>
    <s v="Texas"/>
    <s v="Valid"/>
    <s v="North Amandafurt"/>
  </r>
  <r>
    <s v="#1751"/>
    <n v="1"/>
    <d v="2026-08-04T13:54:02"/>
    <d v="2026-08-04T13:54:02"/>
    <s v="Amanda Harris"/>
    <s v="Email Available"/>
    <s v="amanda.harris197@gmail.com"/>
    <x v="23"/>
    <s v="Sports &amp; Outdoors"/>
    <x v="24"/>
    <n v="1"/>
    <n v="22.99"/>
    <n v="22.99"/>
    <m/>
    <s v=""/>
    <n v="0"/>
    <n v="0"/>
    <s v="Number"/>
    <n v="4.99"/>
    <n v="4.99"/>
    <n v="27.98"/>
    <n v="27.98"/>
    <n v="27.979999999999997"/>
    <s v="True"/>
    <s v="Normal"/>
    <s v="Credit Card"/>
    <s v="Instagram"/>
    <s v="fulfilled"/>
    <s v="United States"/>
    <s v="California"/>
    <s v="Valid"/>
    <s v="Zacharyfurt"/>
  </r>
  <r>
    <s v="#1910"/>
    <n v="1"/>
    <d v="2026-08-04T14:04:50"/>
    <d v="2026-08-04T14:04:50"/>
    <s v="Maria Leon"/>
    <s v="Email Available"/>
    <s v="maria.leon163@outlook.com"/>
    <x v="23"/>
    <s v="Sports &amp; Outdoors"/>
    <x v="24"/>
    <n v="3"/>
    <n v="22.99"/>
    <n v="22.99"/>
    <m/>
    <s v=""/>
    <n v="0"/>
    <n v="0"/>
    <s v="Number"/>
    <n v="5.99"/>
    <n v="5.99"/>
    <s v="$74.96"/>
    <n v="74.959999999999994"/>
    <n v="74.959999999999994"/>
    <s v="True"/>
    <s v="Normal"/>
    <s v="PayPal"/>
    <s v="POS"/>
    <s v="cancelled"/>
    <s v="Canada"/>
    <m/>
    <s v="Not Required"/>
    <s v="Olsenshire"/>
  </r>
  <r>
    <s v="#1921"/>
    <n v="1"/>
    <d v="2026-08-04T13:53:45"/>
    <d v="2026-08-04T13:53:45"/>
    <s v="Lauren Howard"/>
    <s v="Email Available"/>
    <s v="lauren.howard163@icloud.com"/>
    <x v="23"/>
    <s v="Sports &amp; Outdoors"/>
    <x v="24"/>
    <n v="1"/>
    <n v="22.99"/>
    <n v="22.99"/>
    <m/>
    <s v=""/>
    <n v="0"/>
    <n v="0"/>
    <s v="Number"/>
    <n v="5.99"/>
    <n v="5.99"/>
    <n v="28.98"/>
    <n v="28.98"/>
    <n v="28.979999999999997"/>
    <s v="True"/>
    <s v="Normal"/>
    <s v="PayPal"/>
    <s v="Instagram"/>
    <s v="pending"/>
    <s v="United States"/>
    <s v="New York"/>
    <s v="Valid"/>
    <s v="New Philip"/>
  </r>
  <r>
    <s v="#1963"/>
    <n v="1"/>
    <d v="2026-08-04T13:58:20"/>
    <d v="2026-08-04T13:58:20"/>
    <s v="Sean Frank"/>
    <s v="Email Available"/>
    <s v="sean.frank587@icloud.com"/>
    <x v="23"/>
    <s v="Sports &amp; Outdoors"/>
    <x v="24"/>
    <n v="1"/>
    <n v="22.99"/>
    <n v="22.99"/>
    <s v="VIP15"/>
    <s v="VIP15"/>
    <n v="3.45"/>
    <n v="3.45"/>
    <s v="Number"/>
    <n v="7.99"/>
    <n v="7.99"/>
    <n v="27.53"/>
    <n v="27.53"/>
    <n v="27.53"/>
    <s v="True"/>
    <s v="Normal"/>
    <s v="Credit Card"/>
    <s v="Online Store"/>
    <s v="fulfilled"/>
    <s v="Australia"/>
    <m/>
    <s v="Not Required"/>
    <s v="New Bruce"/>
  </r>
  <r>
    <s v="#1973"/>
    <n v="1"/>
    <d v="2026-08-04T13:55:40"/>
    <d v="2026-08-04T13:55:40"/>
    <s v="Austin Norris"/>
    <s v="Email Available"/>
    <s v="austin.norris15@gmail.com"/>
    <x v="23"/>
    <s v="Sports &amp; Outdoors"/>
    <x v="24"/>
    <n v="3"/>
    <n v="22.99"/>
    <n v="22.99"/>
    <s v="FREESHIP"/>
    <s v="FREESHIP"/>
    <n v="0"/>
    <n v="0"/>
    <s v="Number"/>
    <n v="0"/>
    <n v="0"/>
    <n v="68.97"/>
    <n v="68.97"/>
    <n v="68.97"/>
    <s v="True"/>
    <s v="Normal"/>
    <s v="PayPal"/>
    <s v="Online Store"/>
    <s v="fulfilled"/>
    <s v="United States"/>
    <s v="WA"/>
    <s v="Valid"/>
    <s v="Jasonfurt"/>
  </r>
  <r>
    <s v="#1993"/>
    <n v="1"/>
    <d v="2026-08-04T00:00:00"/>
    <s v="04-08-2026 13:54"/>
    <s v="Timothy Maldonado"/>
    <s v="Email Available"/>
    <s v="timothy.maldonado551@gmail.com"/>
    <x v="23"/>
    <s v="Sports &amp; Outdoors"/>
    <x v="24"/>
    <n v="3"/>
    <n v="22.99"/>
    <n v="22.99"/>
    <s v="BFCM25"/>
    <s v="BFCM25"/>
    <n v="17.239999999999998"/>
    <n v="17.239999999999998"/>
    <s v="Number"/>
    <n v="4.99"/>
    <n v="4.99"/>
    <n v="56.72"/>
    <n v="56.72"/>
    <n v="56.720000000000006"/>
    <s v="True"/>
    <s v="Normal"/>
    <s v="Shopify Payments"/>
    <s v="Online Store"/>
    <s v="fulfilled"/>
    <s v="United States"/>
    <s v="GA"/>
    <s v="Valid"/>
    <s v="Nelsonhaven"/>
  </r>
  <r>
    <s v="#1998"/>
    <n v="1"/>
    <d v="2026-08-04T14:03:47"/>
    <d v="2026-08-04T14:03:47"/>
    <s v="Vincent Rosales"/>
    <s v="Email Available"/>
    <s v="vincent.rosales30@icloud.com"/>
    <x v="23"/>
    <s v="Sports &amp; Outdoors"/>
    <x v="24"/>
    <n v="1"/>
    <n v="22.99"/>
    <n v="22.99"/>
    <m/>
    <s v=""/>
    <n v="0"/>
    <n v="0"/>
    <s v="Number"/>
    <n v="5.99"/>
    <n v="5.99"/>
    <n v="28.98"/>
    <n v="28.98"/>
    <n v="28.979999999999997"/>
    <s v="True"/>
    <s v="Normal"/>
    <s v="Credit Card"/>
    <s v="Online Store"/>
    <s v="cancelled"/>
    <s v="United States"/>
    <s v="TX"/>
    <s v="Valid"/>
    <s v="North Cynthiahaven"/>
  </r>
  <r>
    <s v="#2045"/>
    <n v="1"/>
    <d v="2026-08-04T13:58:21"/>
    <d v="2026-08-04T13:58:21"/>
    <s v="Dustin Mccoy"/>
    <s v="Email Available"/>
    <s v="dustin.mccoy570@gmail.com"/>
    <x v="23"/>
    <s v="Sports &amp; Outdoors"/>
    <x v="24"/>
    <n v="1"/>
    <n v="22.99"/>
    <n v="22.99"/>
    <m/>
    <s v=""/>
    <n v="0"/>
    <n v="0"/>
    <s v="Number"/>
    <n v="7.99"/>
    <n v="7.99"/>
    <n v="30.98"/>
    <n v="30.98"/>
    <n v="30.979999999999997"/>
    <s v="True"/>
    <s v="Normal"/>
    <s v="Apple Pay"/>
    <s v="Instagram"/>
    <s v="fulfilled"/>
    <s v="Canada"/>
    <m/>
    <s v="Not Required"/>
    <s v="Tinahaven"/>
  </r>
  <r>
    <s v="#2077"/>
    <n v="1"/>
    <d v="2026-08-04T14:01:48"/>
    <d v="2026-08-04T14:01:48"/>
    <s v="Gerald Li"/>
    <s v="Email Available"/>
    <s v="gerald.li856@icloud.com"/>
    <x v="23"/>
    <s v="Sports &amp; Outdoors"/>
    <x v="24"/>
    <n v="1"/>
    <n v="22.99"/>
    <n v="22.99"/>
    <s v="SAVE20"/>
    <s v="SAVE20"/>
    <n v="4.5999999999999996"/>
    <n v="4.5999999999999996"/>
    <s v="Number"/>
    <n v="5.99"/>
    <n v="5.99"/>
    <n v="24.38"/>
    <n v="24.38"/>
    <n v="24.380000000000003"/>
    <s v="True"/>
    <s v="Normal"/>
    <s v="Credit Card"/>
    <s v="POS"/>
    <s v="pending"/>
    <s v="United States"/>
    <s v="Florida"/>
    <s v="Valid"/>
    <s v="Mcguireburgh"/>
  </r>
  <r>
    <s v="#2127"/>
    <n v="1"/>
    <d v="2026-08-04T13:56:27"/>
    <d v="2026-08-04T13:56:27"/>
    <s v="Brittney Thomas"/>
    <s v="Email Available"/>
    <s v="brittney.thomas484@gmail.com"/>
    <x v="23"/>
    <s v="Sports &amp; Outdoors"/>
    <x v="24"/>
    <n v="1"/>
    <n v="22.99"/>
    <n v="22.99"/>
    <m/>
    <s v=""/>
    <n v="0"/>
    <n v="0"/>
    <s v="Number"/>
    <n v="4.99"/>
    <n v="4.99"/>
    <n v="27.98"/>
    <n v="27.98"/>
    <n v="27.979999999999997"/>
    <s v="True"/>
    <s v="Normal"/>
    <s v="Shopify Payments"/>
    <s v="Online Store"/>
    <s v="fulfilled"/>
    <s v="United States"/>
    <s v="Ohio"/>
    <s v="Valid"/>
    <s v="West Stephanieberg"/>
  </r>
  <r>
    <s v="#2128"/>
    <n v="1"/>
    <d v="2026-08-04T14:01:22"/>
    <d v="2026-08-04T14:01:22"/>
    <s v="David Duke"/>
    <s v="Email Available"/>
    <s v="david.duke814@icloud.com"/>
    <x v="23"/>
    <s v="Sports &amp; Outdoors"/>
    <x v="24"/>
    <n v="1"/>
    <n v="22.99"/>
    <n v="22.99"/>
    <m/>
    <s v=""/>
    <n v="0"/>
    <n v="0"/>
    <s v="Number"/>
    <n v="7.99"/>
    <n v="7.99"/>
    <n v="30.98"/>
    <n v="30.98"/>
    <n v="30.979999999999997"/>
    <s v="True"/>
    <s v="Normal"/>
    <s v="Shopify Payments"/>
    <s v="Instagram"/>
    <s v="cancelled"/>
    <s v="United States"/>
    <s v="Georgia"/>
    <s v="Valid"/>
    <s v="Adamsshire"/>
  </r>
  <r>
    <s v="#2204"/>
    <n v="1"/>
    <d v="2026-08-04T00:00:00"/>
    <s v="Aug 04, 2026"/>
    <s v="Maria Patterson"/>
    <s v="Email Available"/>
    <s v="maria.patterson62@icloud.com"/>
    <x v="23"/>
    <s v="Sports &amp; Outdoors"/>
    <x v="24"/>
    <n v="1"/>
    <n v="22.99"/>
    <n v="22.99"/>
    <s v="VIP15"/>
    <s v="VIP15"/>
    <n v="3.45"/>
    <n v="3.45"/>
    <s v="Number"/>
    <n v="5.99"/>
    <n v="5.99"/>
    <n v="25.53"/>
    <n v="25.53"/>
    <n v="25.53"/>
    <s v="True"/>
    <s v="Normal"/>
    <s v="Credit Card"/>
    <s v="Instagram"/>
    <s v="cancelled"/>
    <s v="United States"/>
    <s v="Texas"/>
    <s v="Valid"/>
    <s v="West Ericport"/>
  </r>
  <r>
    <s v="#2218"/>
    <n v="1"/>
    <d v="2026-04-08T00:00:00"/>
    <s v="08/04/2026"/>
    <s v="Melissa Jones"/>
    <s v="Email Available"/>
    <s v="melissa.jones297@yahoo.com"/>
    <x v="23"/>
    <s v="Sports &amp; Outdoors"/>
    <x v="24"/>
    <n v="1"/>
    <n v="22.99"/>
    <n v="22.99"/>
    <m/>
    <s v=""/>
    <n v="0"/>
    <n v="0"/>
    <s v="Number"/>
    <n v="7.99"/>
    <n v="7.99"/>
    <n v="30.98"/>
    <n v="30.98"/>
    <n v="30.979999999999997"/>
    <s v="True"/>
    <s v="Normal"/>
    <s v="Google Pay"/>
    <s v="Online Store"/>
    <s v="fulfilled"/>
    <s v="United States"/>
    <s v="Texas"/>
    <s v="Valid"/>
    <s v="Haydenton"/>
  </r>
  <r>
    <s v="#2225"/>
    <n v="1"/>
    <d v="2026-08-04T14:05:07"/>
    <d v="2026-08-04T14:05:07"/>
    <s v="Richard Ward"/>
    <s v="Email Available"/>
    <s v="richard.ward894@icloud.com"/>
    <x v="23"/>
    <s v="Sports &amp; Outdoors"/>
    <x v="24"/>
    <n v="1"/>
    <n v="22.99"/>
    <n v="22.99"/>
    <s v="BFCM25"/>
    <s v="BFCM25"/>
    <n v="5.75"/>
    <n v="5.75"/>
    <s v="Number"/>
    <n v="5.99"/>
    <n v="5.99"/>
    <n v="23.23"/>
    <n v="23.23"/>
    <n v="23.229999999999997"/>
    <s v="True"/>
    <s v="Normal"/>
    <s v="Shopify Payments"/>
    <s v="POS"/>
    <s v="fulfilled"/>
    <s v="Pakistan"/>
    <m/>
    <s v="Not Required"/>
    <s v="Jessicaberg"/>
  </r>
  <r>
    <s v="#2319"/>
    <n v="1"/>
    <d v="2026-08-04T13:57:35"/>
    <d v="2026-08-04T13:57:35"/>
    <s v="Andrea Martinez"/>
    <s v="Email Available"/>
    <s v="andrea.martinez756@yahoo.com"/>
    <x v="23"/>
    <s v="Sports &amp; Outdoors"/>
    <x v="24"/>
    <n v="1"/>
    <n v="22.99"/>
    <n v="22.99"/>
    <m/>
    <s v=""/>
    <n v="0"/>
    <n v="0"/>
    <s v="Number"/>
    <n v="4.99"/>
    <n v="4.99"/>
    <s v="$27.98"/>
    <n v="27.98"/>
    <n v="27.979999999999997"/>
    <s v="True"/>
    <s v="Normal"/>
    <s v="PayPal"/>
    <s v="POS"/>
    <s v="pending"/>
    <s v="Australia"/>
    <m/>
    <s v="Not Required"/>
    <s v="Andreastad"/>
  </r>
  <r>
    <s v="#2336"/>
    <n v="1"/>
    <d v="2026-08-04T14:00:09"/>
    <d v="2026-08-04T14:00:09"/>
    <s v="Morgan Brown"/>
    <s v="Email Available"/>
    <s v="morgan.brown933@gmail.com"/>
    <x v="23"/>
    <s v="Sports &amp; Outdoors"/>
    <x v="24"/>
    <n v="1"/>
    <s v="$22.99"/>
    <n v="22.99"/>
    <m/>
    <s v=""/>
    <n v="0"/>
    <n v="0"/>
    <s v="Number"/>
    <n v="4.99"/>
    <n v="4.99"/>
    <n v="27.98"/>
    <n v="27.98"/>
    <n v="27.979999999999997"/>
    <s v="True"/>
    <s v="Normal"/>
    <s v="Credit Card"/>
    <s v="POS"/>
    <s v="fulfilled"/>
    <s v="United States"/>
    <s v="California"/>
    <s v="Valid"/>
    <s v="Lake Josephborough"/>
  </r>
  <r>
    <s v="#2339"/>
    <n v="1"/>
    <d v="2026-08-04T14:04:20"/>
    <d v="2026-08-04T14:04:20"/>
    <s v="Alan Davis"/>
    <s v="Email Available"/>
    <s v="alan.davis483@icloud.com"/>
    <x v="23"/>
    <s v="Sports &amp; Outdoors"/>
    <x v="24"/>
    <n v="2"/>
    <n v="22.99"/>
    <n v="22.99"/>
    <s v="VIP15"/>
    <s v="VIP15"/>
    <n v="6.9"/>
    <n v="6.9"/>
    <s v="Number"/>
    <n v="4.99"/>
    <n v="4.99"/>
    <n v="44.07"/>
    <n v="44.07"/>
    <n v="44.07"/>
    <s v="True"/>
    <s v="Normal"/>
    <s v="Google Pay"/>
    <s v="Online Store"/>
    <s v="fulfilled"/>
    <s v="Canada"/>
    <m/>
    <s v="Not Required"/>
    <s v="Elizabethville"/>
  </r>
  <r>
    <s v="#2425"/>
    <n v="1"/>
    <d v="2026-08-04T13:55:17"/>
    <d v="2026-08-04T13:55:17"/>
    <s v="Joshua Miller"/>
    <s v="Email Available"/>
    <s v="joshua.miller362@gmail.com"/>
    <x v="23"/>
    <s v="Sports &amp; Outdoors"/>
    <x v="24"/>
    <n v="1"/>
    <s v="$22.99"/>
    <n v="22.99"/>
    <m/>
    <s v=""/>
    <n v="0"/>
    <n v="0"/>
    <s v="Number"/>
    <n v="5.99"/>
    <n v="5.99"/>
    <n v="28.98"/>
    <n v="28.98"/>
    <n v="28.979999999999997"/>
    <s v="True"/>
    <s v="Normal"/>
    <s v="PayPal"/>
    <s v="Online Store"/>
    <s v="pending"/>
    <s v="Canada"/>
    <m/>
    <s v="Not Required"/>
    <s v="Floresfort"/>
  </r>
  <r>
    <s v="#2433"/>
    <n v="1"/>
    <d v="2026-08-04T14:01:24"/>
    <d v="2026-08-04T14:01:24"/>
    <s v="Amanda Robinson"/>
    <s v="Email Available"/>
    <s v="amanda.robinson263@icloud.com"/>
    <x v="23"/>
    <s v="Sports &amp; Outdoors"/>
    <x v="24"/>
    <n v="4"/>
    <n v="22.99"/>
    <n v="22.99"/>
    <m/>
    <s v=""/>
    <n v="0"/>
    <n v="0"/>
    <s v="Number"/>
    <n v="0"/>
    <n v="0"/>
    <n v="91.96"/>
    <n v="91.96"/>
    <n v="91.96"/>
    <s v="True"/>
    <s v="Outlier"/>
    <s v="Google Pay"/>
    <s v="Instagram"/>
    <s v="fulfilled"/>
    <s v="United States"/>
    <s v="NY"/>
    <s v="Valid"/>
    <s v="Luisville"/>
  </r>
  <r>
    <s v="#2463"/>
    <n v="1"/>
    <d v="2026-08-04T14:00:11"/>
    <d v="2026-08-04T14:00:11"/>
    <s v="Joseph Martin"/>
    <s v="Email Available"/>
    <s v="joseph.martin348@icloud.com"/>
    <x v="23"/>
    <s v="Sports &amp; Outdoors"/>
    <x v="24"/>
    <n v="1"/>
    <n v="22.99"/>
    <n v="22.99"/>
    <m/>
    <s v=""/>
    <n v="0"/>
    <n v="0"/>
    <s v="Number"/>
    <n v="4.99"/>
    <n v="4.99"/>
    <n v="27.98"/>
    <n v="27.98"/>
    <n v="27.979999999999997"/>
    <s v="True"/>
    <s v="Normal"/>
    <s v="Credit Card"/>
    <s v="POS"/>
    <s v="refunded"/>
    <s v="United States"/>
    <s v="Texas"/>
    <s v="Valid"/>
    <s v="New Anne"/>
  </r>
  <r>
    <s v="#2491"/>
    <n v="1"/>
    <d v="2026-08-04T00:00:00"/>
    <s v="2026-08-04"/>
    <s v="Charles Franco"/>
    <s v="Email Available"/>
    <s v="charles.franco761@outlook.com"/>
    <x v="23"/>
    <s v="Sports &amp; Outdoors"/>
    <x v="24"/>
    <n v="1"/>
    <n v="22.99"/>
    <n v="22.99"/>
    <s v="BFCM25"/>
    <s v="BFCM25"/>
    <n v="5.75"/>
    <n v="5.75"/>
    <s v="Number"/>
    <n v="7.99"/>
    <n v="7.99"/>
    <n v="25.23"/>
    <n v="25.23"/>
    <n v="25.229999999999997"/>
    <s v="True"/>
    <s v="Normal"/>
    <s v="PayPal"/>
    <s v="Facebook"/>
    <s v="fulfilled"/>
    <s v="United States"/>
    <s v="Arizona"/>
    <s v="Valid"/>
    <s v="Whitefort"/>
  </r>
  <r>
    <s v="#2562"/>
    <n v="1"/>
    <d v="2026-08-04T14:04:22"/>
    <d v="2026-08-04T14:04:22"/>
    <s v="Tammy Hawkins"/>
    <s v="Email Available"/>
    <s v="tammy.hawkins461@outlook.com"/>
    <x v="23"/>
    <s v="Sports &amp; Outdoors"/>
    <x v="24"/>
    <n v="1"/>
    <n v="22.99"/>
    <n v="22.99"/>
    <s v="SAVE20"/>
    <s v="SAVE20"/>
    <n v="4.5999999999999996"/>
    <n v="4.5999999999999996"/>
    <s v="Number"/>
    <n v="7.99"/>
    <n v="7.99"/>
    <n v="26.38"/>
    <n v="26.38"/>
    <n v="26.380000000000003"/>
    <s v="True"/>
    <s v="Normal"/>
    <s v="PayPal"/>
    <s v="Online Store"/>
    <s v="fulfilled"/>
    <s v="United States"/>
    <s v="Texas"/>
    <s v="Valid"/>
    <s v="Lake Angela"/>
  </r>
  <r>
    <s v="#2594"/>
    <n v="1"/>
    <d v="2026-08-04T13:59:23"/>
    <d v="2026-08-04T13:59:23"/>
    <s v="Deborah Wilson"/>
    <s v="Email Available"/>
    <s v="deborah.wilson691@icloud.com"/>
    <x v="23"/>
    <s v="Sports &amp; Outdoors"/>
    <x v="24"/>
    <n v="1"/>
    <n v="22.99"/>
    <n v="22.99"/>
    <m/>
    <s v=""/>
    <n v="0"/>
    <n v="0"/>
    <s v="Number"/>
    <n v="5.99"/>
    <n v="5.99"/>
    <n v="28.98"/>
    <n v="28.98"/>
    <n v="28.979999999999997"/>
    <s v="True"/>
    <s v="Normal"/>
    <s v="Shopify Payments"/>
    <s v="Online Store"/>
    <s v="pending"/>
    <s v="United Kingdom"/>
    <m/>
    <s v="Not Required"/>
    <s v="Lake Daniellechester"/>
  </r>
  <r>
    <s v="#2611"/>
    <n v="1"/>
    <d v="2026-08-04T13:54:27"/>
    <d v="2026-08-04T13:54:27"/>
    <s v="Dustin Griffin"/>
    <s v="Email Available"/>
    <s v="dustin.griffin434@gmail.com"/>
    <x v="23"/>
    <s v="Sports &amp; Outdoors"/>
    <x v="24"/>
    <n v="2"/>
    <n v="22.99"/>
    <n v="22.99"/>
    <m/>
    <s v=""/>
    <n v="0"/>
    <n v="0"/>
    <s v="Number"/>
    <n v="5.99"/>
    <n v="5.99"/>
    <n v="51.97"/>
    <n v="51.97"/>
    <n v="51.97"/>
    <s v="True"/>
    <s v="Normal"/>
    <s v="Shopify Payments"/>
    <s v="Instagram"/>
    <s v="refunded"/>
    <s v="United States"/>
    <s v="Illinois"/>
    <s v="Valid"/>
    <s v="New Michaelmouth"/>
  </r>
  <r>
    <s v="#2655"/>
    <n v="1"/>
    <d v="2026-08-04T13:53:56"/>
    <d v="2026-08-04T13:53:56"/>
    <s v="Seth Price"/>
    <s v="Email Available"/>
    <s v="seth.price179@gmail.com"/>
    <x v="23"/>
    <s v="Sports &amp; Outdoors"/>
    <x v="24"/>
    <n v="2"/>
    <n v="22.99"/>
    <n v="22.99"/>
    <s v="VIP15"/>
    <s v="VIP15"/>
    <n v="6.9"/>
    <n v="6.9"/>
    <s v="Number"/>
    <n v="4.99"/>
    <n v="4.99"/>
    <n v="44.07"/>
    <n v="44.07"/>
    <n v="44.07"/>
    <s v="True"/>
    <s v="Normal"/>
    <s v="PayPal"/>
    <s v="POS"/>
    <s v="fulfilled"/>
    <s v="United States"/>
    <s v="Canada"/>
    <s v="Valid"/>
    <s v="West Anthony"/>
  </r>
  <r>
    <s v="#2678"/>
    <n v="1"/>
    <d v="2026-08-04T13:56:55"/>
    <d v="2026-08-04T13:56:55"/>
    <s v="Christy Phillips"/>
    <s v="Email Available"/>
    <s v="christy.phillips291@gmail.com"/>
    <x v="23"/>
    <s v="Sports &amp; Outdoors"/>
    <x v="24"/>
    <n v="3"/>
    <s v="$22.99"/>
    <n v="22.99"/>
    <s v="FREESHIP"/>
    <s v="FREESHIP"/>
    <n v="0"/>
    <n v="0"/>
    <s v="Number"/>
    <n v="0"/>
    <n v="0"/>
    <n v="68.97"/>
    <n v="68.97"/>
    <n v="68.97"/>
    <s v="True"/>
    <s v="Normal"/>
    <s v="Shopify Payments"/>
    <s v="Instagram"/>
    <s v="fulfilled"/>
    <s v="Pakistan"/>
    <m/>
    <s v="Not Required"/>
    <s v="New Gordon"/>
  </r>
  <r>
    <s v="#2688"/>
    <n v="1"/>
    <d v="2026-08-04T14:05:24"/>
    <d v="2026-08-04T14:05:24"/>
    <s v="Chad Smith"/>
    <s v="Email Available"/>
    <s v="chad.smith773@icloud.com"/>
    <x v="23"/>
    <s v="Sports &amp; Outdoors"/>
    <x v="24"/>
    <n v="1"/>
    <n v="22.99"/>
    <n v="22.99"/>
    <m/>
    <s v=""/>
    <s v="$0.00"/>
    <n v="0"/>
    <s v="Number"/>
    <n v="5.99"/>
    <n v="5.99"/>
    <n v="28.98"/>
    <n v="28.98"/>
    <n v="28.979999999999997"/>
    <s v="True"/>
    <s v="Normal"/>
    <s v="Apple Pay"/>
    <s v="Online Store"/>
    <s v="fulfilled"/>
    <s v="Pakistan"/>
    <m/>
    <s v="Not Required"/>
    <s v="Smithview"/>
  </r>
  <r>
    <s v="#2700"/>
    <n v="1"/>
    <d v="2026-08-04T13:59:07"/>
    <d v="2026-08-04T13:59:07"/>
    <s v="Richard Zavala"/>
    <s v="Missing Email"/>
    <m/>
    <x v="23"/>
    <s v="Sports &amp; Outdoors"/>
    <x v="24"/>
    <n v="1"/>
    <n v="22.99"/>
    <n v="22.99"/>
    <m/>
    <s v=""/>
    <n v="0"/>
    <n v="0"/>
    <s v="Number"/>
    <n v="5.99"/>
    <n v="5.99"/>
    <n v="28.98"/>
    <n v="28.98"/>
    <n v="28.979999999999997"/>
    <s v="True"/>
    <s v="Normal"/>
    <s v="Shopify Payments"/>
    <s v="Online Store"/>
    <s v="fulfilled"/>
    <s v="Canada"/>
    <m/>
    <s v="Not Required"/>
    <s v="Markbury"/>
  </r>
  <r>
    <s v="#2703"/>
    <n v="1"/>
    <d v="2026-08-04T13:58:16"/>
    <d v="2026-08-04T13:58:16"/>
    <s v="Thomas Rojas"/>
    <s v="Email Available"/>
    <s v="thomas.rojas667@icloud.com"/>
    <x v="23"/>
    <s v="Sports &amp; Outdoors"/>
    <x v="24"/>
    <n v="2"/>
    <n v="22.99"/>
    <n v="22.99"/>
    <m/>
    <s v=""/>
    <n v="0"/>
    <n v="0"/>
    <s v="Number"/>
    <n v="5.99"/>
    <n v="5.99"/>
    <n v="51.97"/>
    <n v="51.97"/>
    <n v="51.97"/>
    <s v="True"/>
    <s v="Normal"/>
    <s v="Credit Card"/>
    <s v="Online Store"/>
    <s v="fulfilled"/>
    <s v="United States"/>
    <s v="Texas"/>
    <s v="Valid"/>
    <s v="East Catherinechester"/>
  </r>
  <r>
    <s v="#2732"/>
    <n v="1"/>
    <d v="2026-08-04T14:05:35"/>
    <d v="2026-08-04T14:05:35"/>
    <s v="Jack Bryant"/>
    <s v="Email Available"/>
    <s v="jack.bryant173@gmail.com"/>
    <x v="23"/>
    <s v="Sports &amp; Outdoors"/>
    <x v="24"/>
    <n v="1"/>
    <n v="22.99"/>
    <n v="22.99"/>
    <s v="WELCOME10"/>
    <s v="WELCOME10"/>
    <n v="2.2999999999999998"/>
    <n v="2.2999999999999998"/>
    <s v="Number"/>
    <n v="7.99"/>
    <n v="7.99"/>
    <n v="28.68"/>
    <n v="28.68"/>
    <n v="28.68"/>
    <s v="True"/>
    <s v="Normal"/>
    <s v="Google Pay"/>
    <s v="POS"/>
    <s v="refunded"/>
    <s v="Germany"/>
    <m/>
    <s v="Not Required"/>
    <s v="Jacksonfurt"/>
  </r>
  <r>
    <s v="#2755"/>
    <n v="1"/>
    <d v="2026-04-08T00:00:00"/>
    <s v="08/04/2026"/>
    <s v="Rojas, Thomas"/>
    <s v="Email Available"/>
    <s v="thomas.rojas667@icloud.com"/>
    <x v="23"/>
    <s v="Sports &amp; Outdoors"/>
    <x v="24"/>
    <n v="2"/>
    <n v="22.99"/>
    <n v="22.99"/>
    <s v="BFCM25"/>
    <s v="BFCM25"/>
    <n v="11.49"/>
    <n v="11.49"/>
    <s v="Number"/>
    <n v="7.99"/>
    <n v="7.99"/>
    <n v="42.48"/>
    <n v="42.48"/>
    <n v="42.48"/>
    <s v="True"/>
    <s v="Normal"/>
    <s v="Apple Pay"/>
    <s v="Instagram"/>
    <s v="fulfilled"/>
    <s v="United States"/>
    <s v="Texas"/>
    <s v="Valid"/>
    <s v="Rodriguezport"/>
  </r>
  <r>
    <s v="#2801"/>
    <n v="1"/>
    <d v="2026-08-04T00:00:00"/>
    <s v="Aug 04, 2026"/>
    <s v="Joshua Ayers"/>
    <s v="Email Available"/>
    <s v="joshua.ayers935@yahoo.com"/>
    <x v="23"/>
    <s v="Sports &amp; Outdoors"/>
    <x v="24"/>
    <n v="2"/>
    <n v="22.99"/>
    <n v="22.99"/>
    <m/>
    <s v=""/>
    <n v="0"/>
    <n v="0"/>
    <s v="Number"/>
    <n v="7.99"/>
    <n v="7.99"/>
    <n v="53.97"/>
    <n v="53.97"/>
    <n v="53.97"/>
    <s v="True"/>
    <s v="Normal"/>
    <s v="Shopify Payments"/>
    <s v="Online Store"/>
    <s v="refunded"/>
    <s v="Germany"/>
    <m/>
    <s v="Not Required"/>
    <s v="Lake Scottmouth"/>
  </r>
  <r>
    <s v="#2803"/>
    <n v="1"/>
    <d v="2026-04-08T00:00:00"/>
    <s v="08/04/2026"/>
    <s v="Christopher Osborne"/>
    <s v="Email Available"/>
    <s v="christopher.osborne481@yahoo.com"/>
    <x v="23"/>
    <s v="Sports &amp; Outdoors"/>
    <x v="24"/>
    <n v="1"/>
    <n v="22.99"/>
    <n v="22.99"/>
    <s v="FREESHIP"/>
    <s v="FREESHIP"/>
    <n v="0"/>
    <n v="0"/>
    <s v="Number"/>
    <n v="0"/>
    <n v="0"/>
    <n v="22.99"/>
    <n v="22.99"/>
    <n v="22.99"/>
    <s v="True"/>
    <s v="Normal"/>
    <s v="Apple Pay"/>
    <s v="Facebook"/>
    <s v="fulfilled"/>
    <s v="United States"/>
    <s v="Georgia"/>
    <s v="Valid"/>
    <s v="West Keith"/>
  </r>
  <r>
    <s v="#2805"/>
    <n v="1"/>
    <d v="2026-08-04T14:07:40"/>
    <d v="2026-08-04T14:07:40"/>
    <s v="Erika Maxwell"/>
    <s v="Email Available"/>
    <s v="erika.maxwell281@gmail.com"/>
    <x v="23"/>
    <s v="Sports &amp; Outdoors"/>
    <x v="24"/>
    <n v="1"/>
    <n v="22.99"/>
    <n v="22.99"/>
    <m/>
    <s v=""/>
    <n v="0"/>
    <n v="0"/>
    <s v="Number"/>
    <n v="4.99"/>
    <n v="4.99"/>
    <n v="27.98"/>
    <n v="27.98"/>
    <n v="27.979999999999997"/>
    <s v="True"/>
    <s v="Normal"/>
    <s v="PayPal"/>
    <s v="POS"/>
    <s v="refunded"/>
    <s v="United States"/>
    <s v="Texas"/>
    <s v="Valid"/>
    <s v="North Mark"/>
  </r>
  <r>
    <s v="#2841"/>
    <n v="0"/>
    <d v="2026-08-04T14:02:28"/>
    <d v="2026-08-04T14:02:28"/>
    <s v="Daniel Hill"/>
    <s v="Email Available"/>
    <s v="daniel.hill472@outlook.com"/>
    <x v="23"/>
    <s v="Sports &amp; Outdoors"/>
    <x v="24"/>
    <n v="1"/>
    <n v="22.99"/>
    <n v="22.99"/>
    <s v="BFCM25"/>
    <s v="BFCM25"/>
    <n v="5.75"/>
    <n v="5.75"/>
    <s v="Number"/>
    <n v="4.99"/>
    <n v="4.99"/>
    <s v="$22.23"/>
    <n v="22.23"/>
    <n v="22.229999999999997"/>
    <s v="True"/>
    <s v="Normal"/>
    <s v="Google Pay"/>
    <s v="Online Store"/>
    <s v="fulfilled"/>
    <s v="Australia"/>
    <m/>
    <s v="Not Required"/>
    <s v="Smithland"/>
  </r>
  <r>
    <s v="#2863"/>
    <n v="0"/>
    <d v="2026-08-04T13:56:58"/>
    <d v="2026-08-04T13:56:58"/>
    <s v="Rhonda Chapman"/>
    <s v="Email Available"/>
    <s v="rhonda.chapman481@yahoo.com"/>
    <x v="23"/>
    <s v="Sports &amp; Outdoors"/>
    <x v="24"/>
    <n v="1"/>
    <s v="$22.99"/>
    <n v="22.99"/>
    <s v="WELCOME10"/>
    <s v="WELCOME10"/>
    <n v="2.2999999999999998"/>
    <n v="2.2999999999999998"/>
    <s v="Number"/>
    <n v="7.99"/>
    <n v="7.99"/>
    <n v="28.68"/>
    <n v="28.68"/>
    <n v="28.68"/>
    <s v="True"/>
    <s v="Normal"/>
    <s v="Google Pay"/>
    <s v="Facebook"/>
    <s v="fulfilled"/>
    <s v="United States"/>
    <s v="IL"/>
    <s v="Valid"/>
    <s v="Thomasborough"/>
  </r>
  <r>
    <s v="#2882"/>
    <n v="0"/>
    <d v="2026-08-04T14:00:13"/>
    <d v="2026-08-04T14:00:13"/>
    <s v="Sean Frank"/>
    <s v="Missing Email"/>
    <m/>
    <x v="23"/>
    <s v="Sports &amp; Outdoors"/>
    <x v="24"/>
    <n v="1"/>
    <n v="22.99"/>
    <n v="22.99"/>
    <m/>
    <s v=""/>
    <n v="0"/>
    <n v="0"/>
    <s v="Number"/>
    <n v="7.99"/>
    <n v="7.99"/>
    <n v="30.98"/>
    <n v="30.98"/>
    <n v="30.979999999999997"/>
    <s v="True"/>
    <s v="Normal"/>
    <s v="Apple Pay"/>
    <s v="POS"/>
    <s v="pending"/>
    <s v="Australia"/>
    <m/>
    <s v="Not Required"/>
    <s v="Nicholasside"/>
  </r>
  <r>
    <s v="#2919"/>
    <n v="0"/>
    <d v="2026-08-04T13:58:12"/>
    <d v="2026-08-04T13:58:12"/>
    <s v="Anthony Krueger"/>
    <s v="Email Available"/>
    <s v="anthony.krueger812@yahoo.com"/>
    <x v="23"/>
    <s v="Sports &amp; Outdoors"/>
    <x v="24"/>
    <n v="1"/>
    <n v="22.99"/>
    <n v="22.99"/>
    <s v="FREESHIP"/>
    <s v="FREESHIP"/>
    <n v="0"/>
    <n v="0"/>
    <s v="Number"/>
    <n v="0"/>
    <n v="0"/>
    <n v="22.99"/>
    <n v="22.99"/>
    <n v="22.99"/>
    <s v="True"/>
    <s v="Normal"/>
    <s v="PayPal"/>
    <s v="Online Store"/>
    <s v="fulfilled"/>
    <s v="Pakistan"/>
    <m/>
    <s v="Not Required"/>
    <s v="Hendrixmouth"/>
  </r>
  <r>
    <s v="#2942"/>
    <n v="0"/>
    <d v="2026-08-04T13:54:07"/>
    <d v="2026-08-04T13:54:07"/>
    <s v="Amanda Robinson"/>
    <s v="Email Available"/>
    <s v="amanda.robinson263@icloud.com"/>
    <x v="23"/>
    <s v="Sports &amp; Outdoors"/>
    <x v="24"/>
    <n v="1"/>
    <n v="22.99"/>
    <n v="22.99"/>
    <s v="SAVE20"/>
    <s v="SAVE20"/>
    <s v="$4.60"/>
    <n v="4.5999999999999996"/>
    <s v="Number"/>
    <n v="5.99"/>
    <n v="5.99"/>
    <n v="24.38"/>
    <n v="24.38"/>
    <n v="24.380000000000003"/>
    <s v="True"/>
    <s v="Normal"/>
    <s v="Credit Card"/>
    <s v="Instagram"/>
    <s v="refunded"/>
    <s v="United States"/>
    <s v="Ohio"/>
    <s v="Valid"/>
    <s v="Merrittchester"/>
  </r>
  <r>
    <s v="#2985"/>
    <n v="0"/>
    <d v="2026-08-04T13:59:10"/>
    <d v="2026-08-04T13:59:10"/>
    <s v="Jose Ingram"/>
    <s v="Missing Email"/>
    <m/>
    <x v="23"/>
    <s v="Sports &amp; Outdoors"/>
    <x v="24"/>
    <n v="2"/>
    <n v="22.99"/>
    <n v="22.99"/>
    <m/>
    <s v=""/>
    <n v="0"/>
    <n v="0"/>
    <s v="Number"/>
    <n v="7.99"/>
    <n v="7.99"/>
    <n v="53.97"/>
    <n v="53.97"/>
    <n v="53.97"/>
    <s v="True"/>
    <s v="Normal"/>
    <s v="Shopify Payments"/>
    <s v="Online Store"/>
    <s v="fulfilled"/>
    <s v="United States"/>
    <s v="Georgia"/>
    <s v="Valid"/>
    <s v="North Kevin"/>
  </r>
  <r>
    <s v="#2987"/>
    <n v="0"/>
    <d v="2026-08-04T14:01:55"/>
    <d v="2026-08-04T14:01:55"/>
    <s v="Melissa Jones"/>
    <s v="Email Available"/>
    <s v="melissa.jones297@yahoo.com"/>
    <x v="23"/>
    <s v="Sports &amp; Outdoors"/>
    <x v="24"/>
    <n v="1"/>
    <n v="22.99"/>
    <n v="22.99"/>
    <m/>
    <s v=""/>
    <n v="0"/>
    <n v="0"/>
    <s v="Number"/>
    <n v="5.99"/>
    <n v="5.99"/>
    <n v="28.98"/>
    <n v="28.98"/>
    <n v="28.979999999999997"/>
    <s v="True"/>
    <s v="Normal"/>
    <s v="Google Pay"/>
    <s v="Online Store"/>
    <s v="pending"/>
    <s v="United States"/>
    <s v="Ohio"/>
    <s v="Valid"/>
    <s v="Martinezview"/>
  </r>
  <r>
    <s v="#2990"/>
    <n v="0"/>
    <d v="2026-08-04T00:00:00"/>
    <s v="04-08-2026 14:01"/>
    <s v="Mary Meza"/>
    <s v="Email Available"/>
    <s v="mary.meza759@gmail.com"/>
    <x v="23"/>
    <s v="Sports &amp; Outdoors"/>
    <x v="24"/>
    <n v="1"/>
    <n v="22.99"/>
    <n v="22.99"/>
    <m/>
    <s v=""/>
    <n v="0"/>
    <n v="0"/>
    <s v="Number"/>
    <n v="4.99"/>
    <n v="4.99"/>
    <n v="27.98"/>
    <n v="27.98"/>
    <n v="27.979999999999997"/>
    <s v="True"/>
    <s v="Normal"/>
    <s v="Apple Pay"/>
    <s v="Online Store"/>
    <s v="pending"/>
    <s v="Canada"/>
    <m/>
    <s v="Not Required"/>
    <s v="Port Michaelborough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8EE9F7B-78DC-43D5-89BD-FA45A4941202}" name="PivotTable2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L18:M68" firstHeaderRow="1" firstDataRow="1" firstDataCol="1"/>
  <pivotFields count="32">
    <pivotField showAll="0"/>
    <pivotField showAll="0"/>
    <pivotField numFmtId="165" showAll="0"/>
    <pivotField showAll="0"/>
    <pivotField showAll="0"/>
    <pivotField showAll="0"/>
    <pivotField showAll="0"/>
    <pivotField axis="axisRow" showAll="0">
      <items count="2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showAll="0"/>
    <pivotField axis="axisRow" dataField="1" showAll="0">
      <items count="26">
        <item x="1"/>
        <item x="11"/>
        <item x="8"/>
        <item x="6"/>
        <item x="5"/>
        <item x="21"/>
        <item x="20"/>
        <item x="10"/>
        <item x="23"/>
        <item x="12"/>
        <item x="22"/>
        <item x="14"/>
        <item x="15"/>
        <item x="19"/>
        <item x="18"/>
        <item x="16"/>
        <item x="2"/>
        <item x="9"/>
        <item x="17"/>
        <item x="0"/>
        <item x="13"/>
        <item x="24"/>
        <item x="7"/>
        <item x="3"/>
        <item x="4"/>
        <item t="default"/>
      </items>
    </pivotField>
    <pivotField showAll="0"/>
    <pivotField showAll="0"/>
    <pivotField numFmtId="166" showAll="0"/>
    <pivotField showAll="0"/>
    <pivotField showAll="0"/>
    <pivotField showAll="0"/>
    <pivotField numFmtId="166" showAll="0"/>
    <pivotField showAll="0"/>
    <pivotField showAll="0"/>
    <pivotField numFmtId="166" showAll="0"/>
    <pivotField showAll="0"/>
    <pivotField numFmtId="166" showAll="0"/>
    <pivotField numFmtId="166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7"/>
    <field x="9"/>
  </rowFields>
  <rowItems count="50">
    <i>
      <x/>
    </i>
    <i r="1">
      <x v="19"/>
    </i>
    <i>
      <x v="1"/>
    </i>
    <i r="1">
      <x/>
    </i>
    <i>
      <x v="2"/>
    </i>
    <i r="1">
      <x v="16"/>
    </i>
    <i>
      <x v="3"/>
    </i>
    <i r="1">
      <x v="23"/>
    </i>
    <i r="1">
      <x v="24"/>
    </i>
    <i>
      <x v="4"/>
    </i>
    <i r="1">
      <x v="4"/>
    </i>
    <i>
      <x v="5"/>
    </i>
    <i r="1">
      <x v="3"/>
    </i>
    <i>
      <x v="6"/>
    </i>
    <i r="1">
      <x v="22"/>
    </i>
    <i>
      <x v="7"/>
    </i>
    <i r="1">
      <x v="2"/>
    </i>
    <i>
      <x v="8"/>
    </i>
    <i r="1">
      <x v="17"/>
    </i>
    <i>
      <x v="9"/>
    </i>
    <i r="1">
      <x v="7"/>
    </i>
    <i>
      <x v="10"/>
    </i>
    <i r="1">
      <x v="1"/>
    </i>
    <i>
      <x v="11"/>
    </i>
    <i r="1">
      <x v="9"/>
    </i>
    <i>
      <x v="12"/>
    </i>
    <i r="1">
      <x v="20"/>
    </i>
    <i>
      <x v="13"/>
    </i>
    <i r="1">
      <x v="11"/>
    </i>
    <i>
      <x v="14"/>
    </i>
    <i r="1">
      <x v="12"/>
    </i>
    <i>
      <x v="15"/>
    </i>
    <i r="1">
      <x v="15"/>
    </i>
    <i>
      <x v="16"/>
    </i>
    <i r="1">
      <x v="18"/>
    </i>
    <i>
      <x v="17"/>
    </i>
    <i r="1">
      <x v="14"/>
    </i>
    <i>
      <x v="18"/>
    </i>
    <i r="1">
      <x v="13"/>
    </i>
    <i>
      <x v="19"/>
    </i>
    <i r="1">
      <x v="6"/>
    </i>
    <i>
      <x v="20"/>
    </i>
    <i r="1">
      <x v="5"/>
    </i>
    <i>
      <x v="21"/>
    </i>
    <i r="1">
      <x v="10"/>
    </i>
    <i>
      <x v="22"/>
    </i>
    <i r="1">
      <x v="8"/>
    </i>
    <i>
      <x v="23"/>
    </i>
    <i r="1">
      <x v="21"/>
    </i>
    <i t="grand">
      <x/>
    </i>
  </rowItems>
  <colItems count="1">
    <i/>
  </colItems>
  <dataFields count="1">
    <dataField name="Count of SKU" fld="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37DCD0D-877C-4D45-B676-8303CEBB84A9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G8:J14" firstHeaderRow="1" firstDataRow="2" firstDataCol="1"/>
  <pivotFields count="33">
    <pivotField dataField="1" showAll="0"/>
    <pivotField showAll="0"/>
    <pivotField numFmtId="165" showAll="0"/>
    <pivotField showAll="0"/>
    <pivotField showAll="0"/>
    <pivotField axis="axisCol"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numFmtId="166" showAll="0"/>
    <pivotField showAll="0"/>
    <pivotField showAll="0"/>
    <pivotField showAll="0"/>
    <pivotField numFmtId="166" showAll="0"/>
    <pivotField showAll="0"/>
    <pivotField showAll="0"/>
    <pivotField numFmtId="166" showAll="0"/>
    <pivotField showAll="0"/>
    <pivotField numFmtId="166" showAll="0"/>
    <pivotField numFmtId="166" showAll="0"/>
    <pivotField showAll="0"/>
    <pivotField showAll="0"/>
    <pivotField showAll="0"/>
    <pivotField axis="axisRow" showAll="0" sortType="descending">
      <items count="5">
        <item x="3"/>
        <item x="2"/>
        <item x="0"/>
        <item x="1"/>
        <item t="default"/>
      </items>
      <autoSortScope>
        <pivotArea dataOnly="0" outline="0" fieldPosition="0">
          <references count="2">
            <reference field="4294967294" count="1" selected="0">
              <x v="0"/>
            </reference>
            <reference field="5" count="1" selected="0">
              <x v="1"/>
            </reference>
          </references>
        </pivotArea>
      </autoSortScope>
    </pivotField>
    <pivotField showAll="0"/>
    <pivotField showAll="0"/>
    <pivotField showAll="0"/>
    <pivotField showAll="0"/>
    <pivotField showAll="0"/>
  </pivotFields>
  <rowFields count="1">
    <field x="27"/>
  </rowFields>
  <rowItems count="5">
    <i>
      <x v="2"/>
    </i>
    <i>
      <x/>
    </i>
    <i>
      <x v="3"/>
    </i>
    <i>
      <x v="1"/>
    </i>
    <i t="grand">
      <x/>
    </i>
  </rowItems>
  <colFields count="1">
    <field x="5"/>
  </colFields>
  <colItems count="3">
    <i>
      <x/>
    </i>
    <i>
      <x v="1"/>
    </i>
    <i t="grand">
      <x/>
    </i>
  </colItems>
  <dataFields count="1">
    <dataField name="Count of Order ID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07682D6-3BA1-4A42-A7E3-7AB17C594CE5}" name="PivotTable5" cacheId="1" applyNumberFormats="0" applyBorderFormats="0" applyFontFormats="0" applyPatternFormats="0" applyAlignmentFormats="0" applyWidthHeightFormats="1" dataCaption="Values" updatedVersion="8" minRefreshableVersion="3" itemPrintTitles="1" createdVersion="8" indent="0" compact="0" compactData="0" multipleFieldFilters="0">
  <location ref="M3:N9" firstHeaderRow="1" firstDataRow="1" firstDataCol="1"/>
  <pivotFields count="33">
    <pivotField dataField="1" compact="0" outline="0" showAll="0"/>
    <pivotField compact="0" outline="0" showAll="0"/>
    <pivotField compact="0" numFmtId="165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166" outline="0" showAll="0"/>
    <pivotField compact="0" outline="0" showAll="0"/>
    <pivotField axis="axisRow" compact="0" outline="0" showAll="0">
      <items count="7">
        <item h="1" x="0"/>
        <item x="3"/>
        <item x="5"/>
        <item x="2"/>
        <item x="4"/>
        <item x="1"/>
        <item t="default"/>
      </items>
    </pivotField>
    <pivotField compact="0" outline="0" showAll="0"/>
    <pivotField compact="0" numFmtId="166" outline="0" showAll="0"/>
    <pivotField compact="0" outline="0" showAll="0"/>
    <pivotField compact="0" outline="0" showAll="0"/>
    <pivotField compact="0" numFmtId="166" outline="0" showAll="0"/>
    <pivotField compact="0" outline="0" showAll="0"/>
    <pivotField compact="0" numFmtId="166" outline="0" showAll="0"/>
    <pivotField compact="0" numFmtId="166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15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ount of Order ID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30D5C45-DA2B-4659-8F66-10CE5D51E2C0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10" firstHeaderRow="1" firstDataRow="1" firstDataCol="1"/>
  <pivotFields count="19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axis="axisRow" showAll="0">
      <items count="8">
        <item x="4"/>
        <item x="1"/>
        <item x="3"/>
        <item x="0"/>
        <item x="5"/>
        <item x="2"/>
        <item m="1" x="6"/>
        <item t="default"/>
      </items>
    </pivotField>
    <pivotField showAll="0"/>
    <pivotField showAll="0"/>
  </pivotFields>
  <rowFields count="1">
    <field x="16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Sum of Sales" fld="12" baseField="16" baseItem="0" numFmtId="164"/>
  </dataFields>
  <formats count="1">
    <format dxfId="0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printerSettings" Target="../printerSettings/printerSettings1.bin"/><Relationship Id="rId4" Type="http://schemas.openxmlformats.org/officeDocument/2006/relationships/pivotTable" Target="../pivotTables/pivot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4F9999-916E-492B-814B-69229572859A}">
  <dimension ref="A1:F21"/>
  <sheetViews>
    <sheetView workbookViewId="0">
      <selection activeCell="B23" sqref="B23"/>
    </sheetView>
  </sheetViews>
  <sheetFormatPr defaultRowHeight="14.4" x14ac:dyDescent="0.3"/>
  <cols>
    <col min="1" max="1" width="16" customWidth="1"/>
    <col min="2" max="2" width="11" customWidth="1"/>
    <col min="3" max="3" width="13.88671875" customWidth="1"/>
    <col min="5" max="5" width="22.33203125" customWidth="1"/>
  </cols>
  <sheetData>
    <row r="1" spans="1:6" x14ac:dyDescent="0.3">
      <c r="A1" s="36" t="s">
        <v>5187</v>
      </c>
      <c r="B1" s="36"/>
      <c r="C1" s="36"/>
      <c r="D1" s="36"/>
      <c r="E1" s="36"/>
      <c r="F1" s="36"/>
    </row>
    <row r="2" spans="1:6" x14ac:dyDescent="0.3">
      <c r="A2" s="36"/>
      <c r="B2" s="36"/>
      <c r="C2" s="36"/>
      <c r="D2" s="36"/>
      <c r="E2" s="36"/>
      <c r="F2" s="36"/>
    </row>
    <row r="3" spans="1:6" x14ac:dyDescent="0.3">
      <c r="A3" t="s">
        <v>5176</v>
      </c>
      <c r="B3">
        <f>COUNTA(Orders!A2:A240)</f>
        <v>239</v>
      </c>
      <c r="C3" t="s">
        <v>5179</v>
      </c>
      <c r="D3">
        <v>70</v>
      </c>
      <c r="E3" t="s">
        <v>5182</v>
      </c>
      <c r="F3">
        <v>5</v>
      </c>
    </row>
    <row r="4" spans="1:6" x14ac:dyDescent="0.3">
      <c r="A4" s="33" t="s">
        <v>5177</v>
      </c>
      <c r="B4" s="34"/>
      <c r="C4" s="35" t="s">
        <v>5180</v>
      </c>
      <c r="D4" s="34"/>
      <c r="E4" t="s">
        <v>5183</v>
      </c>
      <c r="F4">
        <v>12</v>
      </c>
    </row>
    <row r="5" spans="1:6" x14ac:dyDescent="0.3">
      <c r="A5" s="3" t="s">
        <v>2</v>
      </c>
      <c r="B5" s="4">
        <f>COUNTBLANK(Orders!E2:E1993)</f>
        <v>15</v>
      </c>
      <c r="C5" t="s">
        <v>29</v>
      </c>
      <c r="D5" s="4">
        <v>4</v>
      </c>
      <c r="E5" t="s">
        <v>5184</v>
      </c>
      <c r="F5" t="s">
        <v>5186</v>
      </c>
    </row>
    <row r="6" spans="1:6" x14ac:dyDescent="0.3">
      <c r="A6" s="3" t="s">
        <v>3</v>
      </c>
      <c r="B6" s="4">
        <f>COUNTBLANK(Orders!G2:G1993)</f>
        <v>113</v>
      </c>
      <c r="C6" t="s">
        <v>5181</v>
      </c>
      <c r="D6" s="4">
        <v>4</v>
      </c>
      <c r="E6" t="s">
        <v>5185</v>
      </c>
      <c r="F6" t="s">
        <v>5186</v>
      </c>
    </row>
    <row r="7" spans="1:6" x14ac:dyDescent="0.3">
      <c r="A7" s="3" t="s">
        <v>4</v>
      </c>
      <c r="B7" s="4" t="e">
        <f>COUNTBLANK(Orders!#REF!)</f>
        <v>#REF!</v>
      </c>
      <c r="C7" t="s">
        <v>223</v>
      </c>
      <c r="D7" s="4">
        <v>2</v>
      </c>
    </row>
    <row r="8" spans="1:6" x14ac:dyDescent="0.3">
      <c r="A8" s="3" t="s">
        <v>5</v>
      </c>
      <c r="B8" s="4">
        <f>COUNTBLANK(Orders!I2:I1993)</f>
        <v>0</v>
      </c>
      <c r="C8" t="s">
        <v>105</v>
      </c>
      <c r="D8" s="4">
        <v>2</v>
      </c>
    </row>
    <row r="9" spans="1:6" x14ac:dyDescent="0.3">
      <c r="A9" s="3" t="s">
        <v>6</v>
      </c>
      <c r="B9" s="4">
        <f>COUNTBLANK(Orders!J2:J1993)</f>
        <v>0</v>
      </c>
      <c r="C9" t="s">
        <v>73</v>
      </c>
      <c r="D9" s="4">
        <v>2</v>
      </c>
    </row>
    <row r="10" spans="1:6" x14ac:dyDescent="0.3">
      <c r="A10" s="3" t="s">
        <v>7</v>
      </c>
      <c r="B10" s="4">
        <f>COUNTBLANK(Orders!K2:K1993)</f>
        <v>0</v>
      </c>
      <c r="C10" s="7" t="s">
        <v>42</v>
      </c>
      <c r="D10" s="6">
        <v>2</v>
      </c>
    </row>
    <row r="11" spans="1:6" x14ac:dyDescent="0.3">
      <c r="A11" s="3" t="s">
        <v>8</v>
      </c>
      <c r="B11" s="4">
        <f>COUNTBLANK(Orders!L2:L1993)</f>
        <v>0</v>
      </c>
    </row>
    <row r="12" spans="1:6" x14ac:dyDescent="0.3">
      <c r="A12" s="3" t="s">
        <v>9</v>
      </c>
      <c r="B12" s="4">
        <f>COUNTBLANK(Orders!N2:N1993)</f>
        <v>890</v>
      </c>
    </row>
    <row r="13" spans="1:6" x14ac:dyDescent="0.3">
      <c r="A13" s="3" t="s">
        <v>10</v>
      </c>
      <c r="B13" s="4">
        <f>COUNTBLANK(Orders!P2:P1993)</f>
        <v>0</v>
      </c>
    </row>
    <row r="14" spans="1:6" x14ac:dyDescent="0.3">
      <c r="A14" s="3" t="s">
        <v>11</v>
      </c>
      <c r="B14" s="4">
        <f>COUNTBLANK(Orders!S2:S1993)</f>
        <v>0</v>
      </c>
    </row>
    <row r="15" spans="1:6" x14ac:dyDescent="0.3">
      <c r="A15" s="3" t="s">
        <v>12</v>
      </c>
      <c r="B15" s="4">
        <f>COUNTBLANK(Orders!U2:U1993)</f>
        <v>0</v>
      </c>
    </row>
    <row r="16" spans="1:6" x14ac:dyDescent="0.3">
      <c r="A16" s="3" t="s">
        <v>13</v>
      </c>
      <c r="B16" s="4">
        <f>COUNTBLANK(Orders!Z2:Z1993)</f>
        <v>0</v>
      </c>
    </row>
    <row r="17" spans="1:2" x14ac:dyDescent="0.3">
      <c r="A17" s="3" t="s">
        <v>14</v>
      </c>
      <c r="B17" s="4">
        <f>COUNTBLANK(Orders!AA2:AA1993)</f>
        <v>0</v>
      </c>
    </row>
    <row r="18" spans="1:2" x14ac:dyDescent="0.3">
      <c r="A18" s="3" t="s">
        <v>5178</v>
      </c>
      <c r="B18" s="4">
        <f>COUNTBLANK(Orders!AB2:AB1993)</f>
        <v>0</v>
      </c>
    </row>
    <row r="19" spans="1:2" x14ac:dyDescent="0.3">
      <c r="A19" s="3" t="s">
        <v>16</v>
      </c>
      <c r="B19" s="4" t="e">
        <f>COUNTBLANK(Orders!#REF!)</f>
        <v>#REF!</v>
      </c>
    </row>
    <row r="20" spans="1:2" x14ac:dyDescent="0.3">
      <c r="A20" s="3" t="s">
        <v>17</v>
      </c>
      <c r="B20" s="4">
        <f>COUNTBLANK(Orders!AD2:AD1993)</f>
        <v>1031</v>
      </c>
    </row>
    <row r="21" spans="1:2" x14ac:dyDescent="0.3">
      <c r="A21" s="5" t="s">
        <v>18</v>
      </c>
      <c r="B21" s="6">
        <f>COUNTBLANK(Orders!AF2:AF1993)</f>
        <v>0</v>
      </c>
    </row>
  </sheetData>
  <mergeCells count="3">
    <mergeCell ref="A4:B4"/>
    <mergeCell ref="C4:D4"/>
    <mergeCell ref="A1:F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16F5A-35EE-43C2-A02E-6335054FC837}">
  <dimension ref="A2:N68"/>
  <sheetViews>
    <sheetView topLeftCell="H11" workbookViewId="0">
      <selection activeCell="L18" sqref="L18"/>
    </sheetView>
  </sheetViews>
  <sheetFormatPr defaultRowHeight="14.4" x14ac:dyDescent="0.3"/>
  <cols>
    <col min="1" max="1" width="14" bestFit="1" customWidth="1"/>
    <col min="2" max="2" width="12.33203125" bestFit="1" customWidth="1"/>
    <col min="3" max="3" width="8.33203125" customWidth="1"/>
    <col min="4" max="4" width="11.5546875" customWidth="1"/>
    <col min="5" max="5" width="15.109375" customWidth="1"/>
    <col min="7" max="7" width="15.88671875" bestFit="1" customWidth="1"/>
    <col min="8" max="8" width="15.5546875" bestFit="1" customWidth="1"/>
    <col min="9" max="9" width="12.33203125" bestFit="1" customWidth="1"/>
    <col min="10" max="10" width="10.77734375" bestFit="1" customWidth="1"/>
    <col min="11" max="11" width="31.33203125" bestFit="1" customWidth="1"/>
    <col min="12" max="12" width="30.44140625" bestFit="1" customWidth="1"/>
    <col min="13" max="13" width="12.21875" bestFit="1" customWidth="1"/>
    <col min="14" max="14" width="13.109375" bestFit="1" customWidth="1"/>
    <col min="15" max="15" width="12.88671875" bestFit="1" customWidth="1"/>
    <col min="16" max="16" width="11.77734375" bestFit="1" customWidth="1"/>
    <col min="17" max="17" width="11.33203125" bestFit="1" customWidth="1"/>
    <col min="18" max="18" width="10.88671875" bestFit="1" customWidth="1"/>
    <col min="19" max="19" width="11.5546875" bestFit="1" customWidth="1"/>
    <col min="20" max="20" width="11.77734375" bestFit="1" customWidth="1"/>
    <col min="21" max="21" width="12.44140625" bestFit="1" customWidth="1"/>
    <col min="22" max="22" width="11.21875" bestFit="1" customWidth="1"/>
    <col min="23" max="24" width="11.5546875" bestFit="1" customWidth="1"/>
    <col min="25" max="26" width="10.6640625" bestFit="1" customWidth="1"/>
    <col min="27" max="27" width="12.109375" bestFit="1" customWidth="1"/>
    <col min="28" max="28" width="12.21875" bestFit="1" customWidth="1"/>
    <col min="29" max="29" width="10.33203125" bestFit="1" customWidth="1"/>
    <col min="30" max="30" width="10.6640625" bestFit="1" customWidth="1"/>
    <col min="31" max="31" width="11.6640625" bestFit="1" customWidth="1"/>
    <col min="32" max="32" width="10.6640625" bestFit="1" customWidth="1"/>
    <col min="33" max="33" width="10.5546875" bestFit="1" customWidth="1"/>
    <col min="34" max="34" width="11.77734375" bestFit="1" customWidth="1"/>
    <col min="35" max="35" width="9.5546875" bestFit="1" customWidth="1"/>
    <col min="36" max="36" width="10.44140625" bestFit="1" customWidth="1"/>
    <col min="37" max="37" width="10.77734375" bestFit="1" customWidth="1"/>
  </cols>
  <sheetData>
    <row r="2" spans="1:14" ht="18" x14ac:dyDescent="0.35">
      <c r="A2" s="39" t="s">
        <v>5198</v>
      </c>
      <c r="B2" s="39"/>
      <c r="D2" s="37" t="s">
        <v>5197</v>
      </c>
      <c r="E2" s="38"/>
      <c r="G2" s="40" t="s">
        <v>5207</v>
      </c>
      <c r="H2" s="40"/>
    </row>
    <row r="3" spans="1:14" x14ac:dyDescent="0.3">
      <c r="A3" s="8" t="s">
        <v>5188</v>
      </c>
      <c r="B3" t="s">
        <v>5190</v>
      </c>
      <c r="D3" s="11" t="s">
        <v>5195</v>
      </c>
      <c r="E3" s="11" t="s">
        <v>5196</v>
      </c>
      <c r="G3" s="40"/>
      <c r="H3" s="40"/>
      <c r="M3" s="8" t="s">
        <v>5209</v>
      </c>
      <c r="N3" t="s">
        <v>5206</v>
      </c>
    </row>
    <row r="4" spans="1:14" x14ac:dyDescent="0.3">
      <c r="A4" s="9" t="s">
        <v>105</v>
      </c>
      <c r="B4" s="10">
        <v>1844.3700000000003</v>
      </c>
      <c r="D4" t="s">
        <v>5192</v>
      </c>
      <c r="E4">
        <f>COUNTIF(Orders!AE:AE,D4)</f>
        <v>964</v>
      </c>
      <c r="G4" s="17" t="s">
        <v>5176</v>
      </c>
      <c r="H4">
        <f>COUNTA(Orders!A2:A1993)</f>
        <v>1992</v>
      </c>
      <c r="M4" t="s">
        <v>118</v>
      </c>
      <c r="N4">
        <v>225</v>
      </c>
    </row>
    <row r="5" spans="1:14" x14ac:dyDescent="0.3">
      <c r="A5" s="9" t="s">
        <v>73</v>
      </c>
      <c r="B5" s="10">
        <v>1595.4900000000002</v>
      </c>
      <c r="D5" t="s">
        <v>5193</v>
      </c>
      <c r="E5">
        <f>COUNTIF(Orders!AE:AE,D5)</f>
        <v>0</v>
      </c>
      <c r="G5" t="s">
        <v>5201</v>
      </c>
      <c r="H5">
        <f>COUNTBLANK(Orders!G2:G1993)</f>
        <v>113</v>
      </c>
      <c r="M5" t="s">
        <v>38</v>
      </c>
      <c r="N5">
        <v>211</v>
      </c>
    </row>
    <row r="6" spans="1:14" x14ac:dyDescent="0.3">
      <c r="A6" s="9" t="s">
        <v>223</v>
      </c>
      <c r="B6" s="10">
        <v>1191.2800000000002</v>
      </c>
      <c r="D6" t="s">
        <v>5194</v>
      </c>
      <c r="E6">
        <f>COUNTIF(Orders!AE:AE,D6)</f>
        <v>1036</v>
      </c>
      <c r="G6" t="s">
        <v>5200</v>
      </c>
      <c r="H6" s="17">
        <f>COUNTBLANK(Orders!G2:G1993)/COUNTA(Orders!A2:A1993)</f>
        <v>5.6726907630522086E-2</v>
      </c>
      <c r="M6" t="s">
        <v>24</v>
      </c>
      <c r="N6">
        <v>244</v>
      </c>
    </row>
    <row r="7" spans="1:14" ht="15.6" x14ac:dyDescent="0.3">
      <c r="A7" s="9" t="s">
        <v>42</v>
      </c>
      <c r="B7" s="10">
        <v>1167.8300000000002</v>
      </c>
      <c r="G7" s="41" t="s">
        <v>5208</v>
      </c>
      <c r="H7" s="41"/>
      <c r="I7" s="41"/>
      <c r="M7" t="s">
        <v>203</v>
      </c>
      <c r="N7">
        <v>211</v>
      </c>
    </row>
    <row r="8" spans="1:14" x14ac:dyDescent="0.3">
      <c r="A8" s="9" t="s">
        <v>331</v>
      </c>
      <c r="B8" s="10">
        <v>1311.68</v>
      </c>
      <c r="G8" s="8" t="s">
        <v>5206</v>
      </c>
      <c r="H8" s="8" t="s">
        <v>5205</v>
      </c>
      <c r="M8" t="s">
        <v>65</v>
      </c>
      <c r="N8">
        <v>212</v>
      </c>
    </row>
    <row r="9" spans="1:14" x14ac:dyDescent="0.3">
      <c r="A9" s="9" t="s">
        <v>29</v>
      </c>
      <c r="B9" s="10">
        <v>6345.7599999999857</v>
      </c>
      <c r="G9" s="8" t="s">
        <v>5188</v>
      </c>
      <c r="H9" t="s">
        <v>5203</v>
      </c>
      <c r="I9" t="s">
        <v>5204</v>
      </c>
      <c r="J9" t="s">
        <v>5189</v>
      </c>
      <c r="M9" t="s">
        <v>5189</v>
      </c>
      <c r="N9">
        <v>1103</v>
      </c>
    </row>
    <row r="10" spans="1:14" x14ac:dyDescent="0.3">
      <c r="A10" s="9" t="s">
        <v>5189</v>
      </c>
      <c r="B10" s="10">
        <v>13456.409999999987</v>
      </c>
      <c r="G10" s="9" t="s">
        <v>27</v>
      </c>
      <c r="H10">
        <v>911</v>
      </c>
      <c r="I10">
        <v>62</v>
      </c>
      <c r="J10">
        <v>973</v>
      </c>
    </row>
    <row r="11" spans="1:14" x14ac:dyDescent="0.3">
      <c r="G11" s="9" t="s">
        <v>40</v>
      </c>
      <c r="H11">
        <v>326</v>
      </c>
      <c r="I11">
        <v>22</v>
      </c>
      <c r="J11">
        <v>348</v>
      </c>
      <c r="M11" s="18" t="s">
        <v>5210</v>
      </c>
      <c r="N11">
        <f>COUNTBLANK(Orders!O2:O1993)</f>
        <v>890</v>
      </c>
    </row>
    <row r="12" spans="1:14" x14ac:dyDescent="0.3">
      <c r="G12" s="9" t="s">
        <v>111</v>
      </c>
      <c r="H12">
        <v>306</v>
      </c>
      <c r="I12">
        <v>16</v>
      </c>
      <c r="J12">
        <v>322</v>
      </c>
    </row>
    <row r="13" spans="1:14" x14ac:dyDescent="0.3">
      <c r="G13" s="9" t="s">
        <v>88</v>
      </c>
      <c r="H13">
        <v>337</v>
      </c>
      <c r="I13">
        <v>12</v>
      </c>
      <c r="J13">
        <v>349</v>
      </c>
    </row>
    <row r="14" spans="1:14" x14ac:dyDescent="0.3">
      <c r="G14" s="9" t="s">
        <v>5189</v>
      </c>
      <c r="H14">
        <v>1880</v>
      </c>
      <c r="I14">
        <v>112</v>
      </c>
      <c r="J14">
        <v>1992</v>
      </c>
    </row>
    <row r="17" spans="4:13" ht="28.8" customHeight="1" x14ac:dyDescent="0.3">
      <c r="D17" s="20" t="s">
        <v>5219</v>
      </c>
      <c r="E17" s="20" t="s">
        <v>5220</v>
      </c>
      <c r="F17" s="20" t="s">
        <v>5221</v>
      </c>
      <c r="G17" s="20" t="s">
        <v>5222</v>
      </c>
      <c r="H17" s="20" t="s">
        <v>5223</v>
      </c>
    </row>
    <row r="18" spans="4:13" x14ac:dyDescent="0.3">
      <c r="D18">
        <f>_xlfn.QUARTILE.EXC(Orders!W2:W1993,1)</f>
        <v>20.729999999999997</v>
      </c>
      <c r="E18">
        <f>_xlfn.QUARTILE.EXC(Orders!W2:W1993,3)</f>
        <v>44.980000000000004</v>
      </c>
      <c r="F18">
        <f>E18-D18</f>
        <v>24.250000000000007</v>
      </c>
      <c r="G18">
        <f>D18-(1.5*F18)</f>
        <v>-15.645000000000017</v>
      </c>
      <c r="H18">
        <f>E18+(1.5*F18)</f>
        <v>81.355000000000018</v>
      </c>
      <c r="L18" s="8" t="s">
        <v>5188</v>
      </c>
      <c r="M18" t="s">
        <v>5225</v>
      </c>
    </row>
    <row r="19" spans="4:13" x14ac:dyDescent="0.3">
      <c r="L19" s="9" t="s">
        <v>78</v>
      </c>
      <c r="M19">
        <v>86</v>
      </c>
    </row>
    <row r="20" spans="4:13" x14ac:dyDescent="0.3">
      <c r="L20" s="21" t="s">
        <v>80</v>
      </c>
      <c r="M20">
        <v>86</v>
      </c>
    </row>
    <row r="21" spans="4:13" x14ac:dyDescent="0.3">
      <c r="L21" s="9" t="s">
        <v>166</v>
      </c>
      <c r="M21">
        <v>74</v>
      </c>
    </row>
    <row r="22" spans="4:13" x14ac:dyDescent="0.3">
      <c r="L22" s="21" t="s">
        <v>167</v>
      </c>
      <c r="M22">
        <v>74</v>
      </c>
    </row>
    <row r="23" spans="4:13" x14ac:dyDescent="0.3">
      <c r="L23" s="9" t="s">
        <v>267</v>
      </c>
      <c r="M23">
        <v>92</v>
      </c>
    </row>
    <row r="24" spans="4:13" x14ac:dyDescent="0.3">
      <c r="L24" s="21" t="s">
        <v>268</v>
      </c>
      <c r="M24">
        <v>92</v>
      </c>
    </row>
    <row r="25" spans="4:13" x14ac:dyDescent="0.3">
      <c r="L25" s="9" t="s">
        <v>63</v>
      </c>
      <c r="M25">
        <v>169</v>
      </c>
    </row>
    <row r="26" spans="4:13" x14ac:dyDescent="0.3">
      <c r="L26" s="21" t="s">
        <v>64</v>
      </c>
      <c r="M26">
        <v>88</v>
      </c>
    </row>
    <row r="27" spans="4:13" x14ac:dyDescent="0.3">
      <c r="L27" s="21" t="s">
        <v>446</v>
      </c>
      <c r="M27">
        <v>81</v>
      </c>
    </row>
    <row r="28" spans="4:13" x14ac:dyDescent="0.3">
      <c r="L28" s="9" t="s">
        <v>190</v>
      </c>
      <c r="M28">
        <v>65</v>
      </c>
    </row>
    <row r="29" spans="4:13" x14ac:dyDescent="0.3">
      <c r="L29" s="21" t="s">
        <v>192</v>
      </c>
      <c r="M29">
        <v>65</v>
      </c>
    </row>
    <row r="30" spans="4:13" x14ac:dyDescent="0.3">
      <c r="L30" s="9" t="s">
        <v>146</v>
      </c>
      <c r="M30">
        <v>80</v>
      </c>
    </row>
    <row r="31" spans="4:13" x14ac:dyDescent="0.3">
      <c r="L31" s="21" t="s">
        <v>147</v>
      </c>
      <c r="M31">
        <v>80</v>
      </c>
    </row>
    <row r="32" spans="4:13" x14ac:dyDescent="0.3">
      <c r="L32" s="9" t="s">
        <v>236</v>
      </c>
      <c r="M32">
        <v>84</v>
      </c>
    </row>
    <row r="33" spans="12:13" x14ac:dyDescent="0.3">
      <c r="L33" s="21" t="s">
        <v>238</v>
      </c>
      <c r="M33">
        <v>84</v>
      </c>
    </row>
    <row r="34" spans="12:13" x14ac:dyDescent="0.3">
      <c r="L34" s="9" t="s">
        <v>102</v>
      </c>
      <c r="M34">
        <v>71</v>
      </c>
    </row>
    <row r="35" spans="12:13" x14ac:dyDescent="0.3">
      <c r="L35" s="21" t="s">
        <v>104</v>
      </c>
      <c r="M35">
        <v>71</v>
      </c>
    </row>
    <row r="36" spans="12:13" x14ac:dyDescent="0.3">
      <c r="L36" s="9" t="s">
        <v>279</v>
      </c>
      <c r="M36">
        <v>84</v>
      </c>
    </row>
    <row r="37" spans="12:13" x14ac:dyDescent="0.3">
      <c r="L37" s="21" t="s">
        <v>280</v>
      </c>
      <c r="M37">
        <v>84</v>
      </c>
    </row>
    <row r="38" spans="12:13" x14ac:dyDescent="0.3">
      <c r="L38" s="9" t="s">
        <v>309</v>
      </c>
      <c r="M38">
        <v>69</v>
      </c>
    </row>
    <row r="39" spans="12:13" x14ac:dyDescent="0.3">
      <c r="L39" s="21" t="s">
        <v>310</v>
      </c>
      <c r="M39">
        <v>69</v>
      </c>
    </row>
    <row r="40" spans="12:13" x14ac:dyDescent="0.3">
      <c r="L40" s="9" t="s">
        <v>130</v>
      </c>
      <c r="M40">
        <v>78</v>
      </c>
    </row>
    <row r="41" spans="12:13" x14ac:dyDescent="0.3">
      <c r="L41" s="21" t="s">
        <v>131</v>
      </c>
      <c r="M41">
        <v>78</v>
      </c>
    </row>
    <row r="42" spans="12:13" x14ac:dyDescent="0.3">
      <c r="L42" s="9" t="s">
        <v>35</v>
      </c>
      <c r="M42">
        <v>88</v>
      </c>
    </row>
    <row r="43" spans="12:13" x14ac:dyDescent="0.3">
      <c r="L43" s="21" t="s">
        <v>37</v>
      </c>
      <c r="M43">
        <v>88</v>
      </c>
    </row>
    <row r="44" spans="12:13" x14ac:dyDescent="0.3">
      <c r="L44" s="9" t="s">
        <v>124</v>
      </c>
      <c r="M44">
        <v>74</v>
      </c>
    </row>
    <row r="45" spans="12:13" x14ac:dyDescent="0.3">
      <c r="L45" s="21" t="s">
        <v>125</v>
      </c>
      <c r="M45">
        <v>74</v>
      </c>
    </row>
    <row r="46" spans="12:13" x14ac:dyDescent="0.3">
      <c r="L46" s="9" t="s">
        <v>361</v>
      </c>
      <c r="M46">
        <v>78</v>
      </c>
    </row>
    <row r="47" spans="12:13" x14ac:dyDescent="0.3">
      <c r="L47" s="21" t="s">
        <v>362</v>
      </c>
      <c r="M47">
        <v>78</v>
      </c>
    </row>
    <row r="48" spans="12:13" x14ac:dyDescent="0.3">
      <c r="L48" s="9" t="s">
        <v>85</v>
      </c>
      <c r="M48">
        <v>77</v>
      </c>
    </row>
    <row r="49" spans="12:13" x14ac:dyDescent="0.3">
      <c r="L49" s="21" t="s">
        <v>87</v>
      </c>
      <c r="M49">
        <v>77</v>
      </c>
    </row>
    <row r="50" spans="12:13" x14ac:dyDescent="0.3">
      <c r="L50" s="9" t="s">
        <v>56</v>
      </c>
      <c r="M50">
        <v>92</v>
      </c>
    </row>
    <row r="51" spans="12:13" x14ac:dyDescent="0.3">
      <c r="L51" s="21" t="s">
        <v>57</v>
      </c>
      <c r="M51">
        <v>92</v>
      </c>
    </row>
    <row r="52" spans="12:13" x14ac:dyDescent="0.3">
      <c r="L52" s="9" t="s">
        <v>46</v>
      </c>
      <c r="M52">
        <v>74</v>
      </c>
    </row>
    <row r="53" spans="12:13" x14ac:dyDescent="0.3">
      <c r="L53" s="21" t="s">
        <v>48</v>
      </c>
      <c r="M53">
        <v>74</v>
      </c>
    </row>
    <row r="54" spans="12:13" x14ac:dyDescent="0.3">
      <c r="L54" s="9" t="s">
        <v>117</v>
      </c>
      <c r="M54">
        <v>78</v>
      </c>
    </row>
    <row r="55" spans="12:13" x14ac:dyDescent="0.3">
      <c r="L55" s="21" t="s">
        <v>23</v>
      </c>
      <c r="M55">
        <v>78</v>
      </c>
    </row>
    <row r="56" spans="12:13" x14ac:dyDescent="0.3">
      <c r="L56" s="9" t="s">
        <v>221</v>
      </c>
      <c r="M56">
        <v>85</v>
      </c>
    </row>
    <row r="57" spans="12:13" x14ac:dyDescent="0.3">
      <c r="L57" s="21" t="s">
        <v>222</v>
      </c>
      <c r="M57">
        <v>85</v>
      </c>
    </row>
    <row r="58" spans="12:13" x14ac:dyDescent="0.3">
      <c r="L58" s="9" t="s">
        <v>261</v>
      </c>
      <c r="M58">
        <v>80</v>
      </c>
    </row>
    <row r="59" spans="12:13" x14ac:dyDescent="0.3">
      <c r="L59" s="21" t="s">
        <v>262</v>
      </c>
      <c r="M59">
        <v>80</v>
      </c>
    </row>
    <row r="60" spans="12:13" x14ac:dyDescent="0.3">
      <c r="L60" s="9" t="s">
        <v>201</v>
      </c>
      <c r="M60">
        <v>92</v>
      </c>
    </row>
    <row r="61" spans="12:13" x14ac:dyDescent="0.3">
      <c r="L61" s="21" t="s">
        <v>202</v>
      </c>
      <c r="M61">
        <v>92</v>
      </c>
    </row>
    <row r="62" spans="12:13" x14ac:dyDescent="0.3">
      <c r="L62" s="9" t="s">
        <v>152</v>
      </c>
      <c r="M62">
        <v>73</v>
      </c>
    </row>
    <row r="63" spans="12:13" x14ac:dyDescent="0.3">
      <c r="L63" s="21" t="s">
        <v>153</v>
      </c>
      <c r="M63">
        <v>73</v>
      </c>
    </row>
    <row r="64" spans="12:13" x14ac:dyDescent="0.3">
      <c r="L64" s="9" t="s">
        <v>182</v>
      </c>
      <c r="M64">
        <v>85</v>
      </c>
    </row>
    <row r="65" spans="12:13" x14ac:dyDescent="0.3">
      <c r="L65" s="21" t="s">
        <v>183</v>
      </c>
      <c r="M65">
        <v>85</v>
      </c>
    </row>
    <row r="66" spans="12:13" x14ac:dyDescent="0.3">
      <c r="L66" s="9" t="s">
        <v>109</v>
      </c>
      <c r="M66">
        <v>72</v>
      </c>
    </row>
    <row r="67" spans="12:13" x14ac:dyDescent="0.3">
      <c r="L67" s="21" t="s">
        <v>110</v>
      </c>
      <c r="M67">
        <v>72</v>
      </c>
    </row>
    <row r="68" spans="12:13" x14ac:dyDescent="0.3">
      <c r="L68" s="9" t="s">
        <v>5189</v>
      </c>
      <c r="M68">
        <v>2000</v>
      </c>
    </row>
  </sheetData>
  <mergeCells count="4">
    <mergeCell ref="D2:E2"/>
    <mergeCell ref="A2:B2"/>
    <mergeCell ref="G2:H3"/>
    <mergeCell ref="G7:I7"/>
  </mergeCells>
  <pageMargins left="0.7" right="0.7" top="0.75" bottom="0.75" header="0.3" footer="0.3"/>
  <pageSetup orientation="portrait" r:id="rId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2001"/>
  <sheetViews>
    <sheetView topLeftCell="S1" workbookViewId="0">
      <pane ySplit="1" topLeftCell="A1978" activePane="bottomLeft" state="frozen"/>
      <selection pane="bottomLeft" activeCell="S1" sqref="S1"/>
    </sheetView>
  </sheetViews>
  <sheetFormatPr defaultRowHeight="14.4" x14ac:dyDescent="0.3"/>
  <cols>
    <col min="1" max="1" width="10" customWidth="1"/>
    <col min="2" max="2" width="23.21875" customWidth="1"/>
    <col min="3" max="3" width="21" customWidth="1"/>
    <col min="4" max="4" width="28" style="15" customWidth="1"/>
    <col min="5" max="6" width="24" customWidth="1"/>
    <col min="7" max="7" width="35" customWidth="1"/>
    <col min="8" max="8" width="32" customWidth="1"/>
    <col min="9" max="9" width="19" customWidth="1"/>
    <col min="10" max="10" width="22" customWidth="1"/>
    <col min="11" max="11" width="10" customWidth="1"/>
    <col min="12" max="12" width="12" customWidth="1"/>
    <col min="13" max="13" width="19" customWidth="1"/>
    <col min="14" max="14" width="15" customWidth="1"/>
    <col min="15" max="15" width="19.5546875" customWidth="1"/>
    <col min="16" max="16" width="17" customWidth="1"/>
    <col min="17" max="17" width="23.44140625" customWidth="1"/>
    <col min="18" max="18" width="25" customWidth="1"/>
    <col min="19" max="19" width="10" customWidth="1"/>
    <col min="20" max="20" width="14.21875" customWidth="1"/>
    <col min="21" max="21" width="10" customWidth="1"/>
    <col min="22" max="22" width="11.6640625" customWidth="1"/>
    <col min="23" max="23" width="17.88671875" customWidth="1"/>
    <col min="24" max="25" width="11.6640625" customWidth="1"/>
    <col min="26" max="26" width="18" customWidth="1"/>
    <col min="27" max="29" width="14" customWidth="1"/>
    <col min="30" max="31" width="16" customWidth="1"/>
    <col min="32" max="32" width="24" customWidth="1"/>
  </cols>
  <sheetData>
    <row r="1" spans="1:32" x14ac:dyDescent="0.3">
      <c r="A1" s="1" t="s">
        <v>0</v>
      </c>
      <c r="B1" s="1" t="s">
        <v>5216</v>
      </c>
      <c r="C1" s="16" t="s">
        <v>5199</v>
      </c>
      <c r="D1" s="14" t="s">
        <v>1</v>
      </c>
      <c r="E1" s="1" t="s">
        <v>2</v>
      </c>
      <c r="F1" s="1" t="s">
        <v>5202</v>
      </c>
      <c r="G1" s="1" t="s">
        <v>3</v>
      </c>
      <c r="H1" s="16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5211</v>
      </c>
      <c r="N1" s="1" t="s">
        <v>9</v>
      </c>
      <c r="O1" s="1" t="s">
        <v>5209</v>
      </c>
      <c r="P1" s="1" t="s">
        <v>10</v>
      </c>
      <c r="Q1" s="16" t="s">
        <v>5213</v>
      </c>
      <c r="R1" s="16" t="s">
        <v>5212</v>
      </c>
      <c r="S1" s="1" t="s">
        <v>11</v>
      </c>
      <c r="T1" s="16" t="s">
        <v>5214</v>
      </c>
      <c r="U1" s="1" t="s">
        <v>12</v>
      </c>
      <c r="V1" s="16" t="s">
        <v>5215</v>
      </c>
      <c r="W1" s="16" t="s">
        <v>5217</v>
      </c>
      <c r="X1" s="16" t="s">
        <v>5218</v>
      </c>
      <c r="Y1" s="16" t="s">
        <v>5224</v>
      </c>
      <c r="Z1" s="1" t="s">
        <v>13</v>
      </c>
      <c r="AA1" s="1" t="s">
        <v>14</v>
      </c>
      <c r="AB1" s="1" t="s">
        <v>15</v>
      </c>
      <c r="AC1" s="1" t="s">
        <v>16</v>
      </c>
      <c r="AD1" s="1" t="s">
        <v>17</v>
      </c>
      <c r="AE1" s="1" t="s">
        <v>5191</v>
      </c>
      <c r="AF1" s="1" t="s">
        <v>18</v>
      </c>
    </row>
    <row r="2" spans="1:32" x14ac:dyDescent="0.3">
      <c r="A2" s="2" t="s">
        <v>19</v>
      </c>
      <c r="B2" s="2">
        <f t="shared" ref="B2:B65" si="0">COUNTIF($A$2:$A$1993,A2)</f>
        <v>1</v>
      </c>
      <c r="C2" s="12">
        <f>IF(ISNUMBER(D2),D2,DATEVALUE(SUBSTITUTE(TRIM(D2),CHAR(160)," ")))</f>
        <v>46238.580534143519</v>
      </c>
      <c r="D2" s="13">
        <v>46238.580534143519</v>
      </c>
      <c r="E2" s="2" t="s">
        <v>20</v>
      </c>
      <c r="F2" s="2" t="str">
        <f t="shared" ref="F2:F65" si="1">IF(TRIM(G2)="","Missing Email","Email Available")</f>
        <v>Email Available</v>
      </c>
      <c r="G2" s="2" t="s">
        <v>21</v>
      </c>
      <c r="H2" s="2" t="s">
        <v>117</v>
      </c>
      <c r="I2" s="2" t="s">
        <v>22</v>
      </c>
      <c r="J2" s="2" t="s">
        <v>23</v>
      </c>
      <c r="K2" s="2">
        <v>1</v>
      </c>
      <c r="L2" s="2">
        <v>12.99</v>
      </c>
      <c r="M2" s="19">
        <f t="shared" ref="M2:M65" si="2">IF(ISNUMBER(L2),L2,VALUE(SUBSTITUTE(L2,"$","")))</f>
        <v>12.99</v>
      </c>
      <c r="N2" s="2" t="s">
        <v>24</v>
      </c>
      <c r="O2" s="2" t="str">
        <f t="shared" ref="O2:O65" si="3">IF(TRIM(N2)="","",UPPER(TRIM(SUBSTITUTE(N2,CHAR(160)," "))))</f>
        <v>SAVE20</v>
      </c>
      <c r="P2" s="2" t="s">
        <v>25</v>
      </c>
      <c r="Q2" s="19">
        <f t="shared" ref="Q2:Q65" si="4">IF(ISNUMBER(P2),P2,VALUE(TRIM(SUBSTITUTE(P2,"$",""))))</f>
        <v>2.6</v>
      </c>
      <c r="R2" s="2" t="str">
        <f t="shared" ref="R2:R65" si="5">IF(ISNUMBER(Q2),"Number","Text")</f>
        <v>Number</v>
      </c>
      <c r="S2" s="2">
        <v>5.99</v>
      </c>
      <c r="T2" s="19">
        <f t="shared" ref="T2:T65" si="6">IF(ISNUMBER(S2),S2,VALUE(TRIM(SUBSTITUTE(S2,"$",""))))</f>
        <v>5.99</v>
      </c>
      <c r="U2" s="2">
        <v>16.38</v>
      </c>
      <c r="V2" s="19">
        <f t="shared" ref="V2:V65" si="7">IF(ISNUMBER(U2),U2,VALUE(TRIM(SUBSTITUTE(U2,"$",""))))</f>
        <v>16.38</v>
      </c>
      <c r="W2" s="19">
        <f t="shared" ref="W2:W65" si="8">((M2*K2)-Q2)+T2</f>
        <v>16.380000000000003</v>
      </c>
      <c r="X2" s="19" t="str">
        <f t="shared" ref="X2:X65" si="9">IF(V2=W2,"True","False")</f>
        <v>True</v>
      </c>
      <c r="Y2" s="19" t="str">
        <f>IF(OR(W2&lt;'Cleaning Tasks'!$G$18,W2&gt;'Cleaning Tasks'!$H$18),"Outlier","Normal")</f>
        <v>Normal</v>
      </c>
      <c r="Z2" s="2" t="s">
        <v>26</v>
      </c>
      <c r="AA2" s="2" t="s">
        <v>27</v>
      </c>
      <c r="AB2" s="2" t="s">
        <v>28</v>
      </c>
      <c r="AC2" s="2" t="s">
        <v>29</v>
      </c>
      <c r="AD2" s="2" t="s">
        <v>30</v>
      </c>
      <c r="AE2" s="2" t="str">
        <f t="shared" ref="AE2:AE65" si="10">IF(AND(AC2="United States",AD2=""),"Missing state",IF(AD2="","Not Required","Valid"))</f>
        <v>Valid</v>
      </c>
      <c r="AF2" s="2" t="s">
        <v>31</v>
      </c>
    </row>
    <row r="3" spans="1:32" x14ac:dyDescent="0.3">
      <c r="A3" s="2" t="s">
        <v>32</v>
      </c>
      <c r="B3" s="2">
        <f t="shared" si="0"/>
        <v>1</v>
      </c>
      <c r="C3" s="12">
        <f>IF(ISNUMBER(D3),D3,DATEVALUE(SUBSTITUTE(TRIM(D3),CHAR(160)," ")))</f>
        <v>46238.583493333332</v>
      </c>
      <c r="D3" s="13">
        <v>46238.583493333332</v>
      </c>
      <c r="E3" s="2" t="s">
        <v>33</v>
      </c>
      <c r="F3" s="2" t="str">
        <f t="shared" si="1"/>
        <v>Email Available</v>
      </c>
      <c r="G3" s="2" t="s">
        <v>34</v>
      </c>
      <c r="H3" s="2" t="s">
        <v>35</v>
      </c>
      <c r="I3" s="2" t="s">
        <v>36</v>
      </c>
      <c r="J3" s="2" t="s">
        <v>37</v>
      </c>
      <c r="K3" s="2">
        <v>1</v>
      </c>
      <c r="L3" s="2">
        <v>21.99</v>
      </c>
      <c r="M3" s="19">
        <f t="shared" si="2"/>
        <v>21.99</v>
      </c>
      <c r="N3" s="2" t="s">
        <v>38</v>
      </c>
      <c r="O3" s="2" t="str">
        <f t="shared" si="3"/>
        <v>FREESHIP</v>
      </c>
      <c r="P3" s="2">
        <v>0</v>
      </c>
      <c r="Q3" s="19">
        <f t="shared" si="4"/>
        <v>0</v>
      </c>
      <c r="R3" s="2" t="str">
        <f t="shared" si="5"/>
        <v>Number</v>
      </c>
      <c r="S3" s="2">
        <v>0</v>
      </c>
      <c r="T3" s="19">
        <f t="shared" si="6"/>
        <v>0</v>
      </c>
      <c r="U3" s="2">
        <v>21.99</v>
      </c>
      <c r="V3" s="19">
        <f t="shared" si="7"/>
        <v>21.99</v>
      </c>
      <c r="W3" s="19">
        <f t="shared" si="8"/>
        <v>21.99</v>
      </c>
      <c r="X3" s="19" t="str">
        <f t="shared" si="9"/>
        <v>True</v>
      </c>
      <c r="Y3" s="19" t="str">
        <f>IF(OR(W3&lt;'Cleaning Tasks'!$G$18,W3&gt;'Cleaning Tasks'!$H$18),"Outlier","Normal")</f>
        <v>Normal</v>
      </c>
      <c r="Z3" s="2" t="s">
        <v>39</v>
      </c>
      <c r="AA3" s="2" t="s">
        <v>40</v>
      </c>
      <c r="AB3" s="2" t="s">
        <v>41</v>
      </c>
      <c r="AC3" s="2" t="s">
        <v>42</v>
      </c>
      <c r="AD3" s="2"/>
      <c r="AE3" s="2" t="str">
        <f t="shared" si="10"/>
        <v>Not Required</v>
      </c>
      <c r="AF3" s="2" t="s">
        <v>43</v>
      </c>
    </row>
    <row r="4" spans="1:32" x14ac:dyDescent="0.3">
      <c r="A4" s="2" t="s">
        <v>44</v>
      </c>
      <c r="B4" s="2">
        <f t="shared" si="0"/>
        <v>1</v>
      </c>
      <c r="C4" s="12">
        <f>DATE(VALUE(RIGHT(D4,4)),MATCH(LEFT(D4,3),{"Jan","Feb","Mar","Apr","May","Jun","Jul","Aug","Sep","Oct","Nov","Dec"},0),VALUE(MID(D4,5,2)))</f>
        <v>46238</v>
      </c>
      <c r="D4" s="13" t="s">
        <v>171</v>
      </c>
      <c r="E4" s="2" t="s">
        <v>554</v>
      </c>
      <c r="F4" s="2" t="str">
        <f t="shared" si="1"/>
        <v>Email Available</v>
      </c>
      <c r="G4" s="2" t="s">
        <v>45</v>
      </c>
      <c r="H4" s="2" t="s">
        <v>46</v>
      </c>
      <c r="I4" s="2" t="s">
        <v>47</v>
      </c>
      <c r="J4" s="2" t="s">
        <v>48</v>
      </c>
      <c r="K4" s="2">
        <v>1</v>
      </c>
      <c r="L4" s="2">
        <v>39.99</v>
      </c>
      <c r="M4" s="19">
        <f t="shared" si="2"/>
        <v>39.99</v>
      </c>
      <c r="N4" s="2"/>
      <c r="O4" s="2" t="str">
        <f t="shared" si="3"/>
        <v/>
      </c>
      <c r="P4" s="2">
        <v>0</v>
      </c>
      <c r="Q4" s="19">
        <f t="shared" si="4"/>
        <v>0</v>
      </c>
      <c r="R4" s="2" t="str">
        <f t="shared" si="5"/>
        <v>Number</v>
      </c>
      <c r="S4" s="2">
        <v>5.99</v>
      </c>
      <c r="T4" s="19">
        <f t="shared" si="6"/>
        <v>5.99</v>
      </c>
      <c r="U4" s="2">
        <v>45.98</v>
      </c>
      <c r="V4" s="19">
        <f t="shared" si="7"/>
        <v>45.98</v>
      </c>
      <c r="W4" s="19">
        <f t="shared" si="8"/>
        <v>45.980000000000004</v>
      </c>
      <c r="X4" s="19" t="str">
        <f t="shared" si="9"/>
        <v>True</v>
      </c>
      <c r="Y4" s="19" t="str">
        <f>IF(OR(W4&lt;'Cleaning Tasks'!$G$18,W4&gt;'Cleaning Tasks'!$H$18),"Outlier","Normal")</f>
        <v>Normal</v>
      </c>
      <c r="Z4" s="2" t="s">
        <v>49</v>
      </c>
      <c r="AA4" s="2" t="s">
        <v>27</v>
      </c>
      <c r="AB4" s="2" t="s">
        <v>50</v>
      </c>
      <c r="AC4" s="2" t="s">
        <v>29</v>
      </c>
      <c r="AD4" s="2" t="s">
        <v>51</v>
      </c>
      <c r="AE4" s="2" t="str">
        <f t="shared" si="10"/>
        <v>Valid</v>
      </c>
      <c r="AF4" s="2" t="s">
        <v>52</v>
      </c>
    </row>
    <row r="5" spans="1:32" x14ac:dyDescent="0.3">
      <c r="A5" s="2" t="s">
        <v>53</v>
      </c>
      <c r="B5" s="2">
        <f t="shared" si="0"/>
        <v>1</v>
      </c>
      <c r="C5" s="12">
        <f t="shared" ref="C5:C22" si="11">IF(ISNUMBER(D5),D5,DATEVALUE(SUBSTITUTE(TRIM(D5),CHAR(160)," ")))</f>
        <v>46238.587991828703</v>
      </c>
      <c r="D5" s="13">
        <v>46238.587991828703</v>
      </c>
      <c r="E5" s="2" t="s">
        <v>54</v>
      </c>
      <c r="F5" s="2" t="str">
        <f t="shared" si="1"/>
        <v>Email Available</v>
      </c>
      <c r="G5" s="2" t="s">
        <v>55</v>
      </c>
      <c r="H5" s="2" t="s">
        <v>56</v>
      </c>
      <c r="I5" s="2" t="s">
        <v>22</v>
      </c>
      <c r="J5" s="2" t="s">
        <v>57</v>
      </c>
      <c r="K5" s="2">
        <v>1</v>
      </c>
      <c r="L5" s="2">
        <v>9.99</v>
      </c>
      <c r="M5" s="19">
        <f t="shared" si="2"/>
        <v>9.99</v>
      </c>
      <c r="N5" s="2" t="s">
        <v>38</v>
      </c>
      <c r="O5" s="2" t="str">
        <f t="shared" si="3"/>
        <v>FREESHIP</v>
      </c>
      <c r="P5" s="2">
        <v>0</v>
      </c>
      <c r="Q5" s="19">
        <f t="shared" si="4"/>
        <v>0</v>
      </c>
      <c r="R5" s="2" t="str">
        <f t="shared" si="5"/>
        <v>Number</v>
      </c>
      <c r="S5" s="2">
        <v>0</v>
      </c>
      <c r="T5" s="19">
        <f t="shared" si="6"/>
        <v>0</v>
      </c>
      <c r="U5" s="2">
        <v>9.99</v>
      </c>
      <c r="V5" s="19">
        <f t="shared" si="7"/>
        <v>9.99</v>
      </c>
      <c r="W5" s="19">
        <f t="shared" si="8"/>
        <v>9.99</v>
      </c>
      <c r="X5" s="19" t="str">
        <f t="shared" si="9"/>
        <v>True</v>
      </c>
      <c r="Y5" s="19" t="str">
        <f>IF(OR(W5&lt;'Cleaning Tasks'!$G$18,W5&gt;'Cleaning Tasks'!$H$18),"Outlier","Normal")</f>
        <v>Normal</v>
      </c>
      <c r="Z5" s="2" t="s">
        <v>26</v>
      </c>
      <c r="AA5" s="2" t="s">
        <v>40</v>
      </c>
      <c r="AB5" s="2" t="s">
        <v>50</v>
      </c>
      <c r="AC5" s="2" t="s">
        <v>29</v>
      </c>
      <c r="AD5" s="2" t="s">
        <v>58</v>
      </c>
      <c r="AE5" s="2" t="str">
        <f t="shared" si="10"/>
        <v>Valid</v>
      </c>
      <c r="AF5" s="2" t="s">
        <v>59</v>
      </c>
    </row>
    <row r="6" spans="1:32" x14ac:dyDescent="0.3">
      <c r="A6" s="2" t="s">
        <v>60</v>
      </c>
      <c r="B6" s="2">
        <f t="shared" si="0"/>
        <v>1</v>
      </c>
      <c r="C6" s="12">
        <f t="shared" si="11"/>
        <v>46238.579003333332</v>
      </c>
      <c r="D6" s="13">
        <v>46238.579003333332</v>
      </c>
      <c r="E6" s="2" t="s">
        <v>61</v>
      </c>
      <c r="F6" s="2" t="str">
        <f t="shared" si="1"/>
        <v>Email Available</v>
      </c>
      <c r="G6" s="2" t="s">
        <v>62</v>
      </c>
      <c r="H6" s="2" t="s">
        <v>63</v>
      </c>
      <c r="I6" s="2" t="s">
        <v>47</v>
      </c>
      <c r="J6" s="2" t="s">
        <v>64</v>
      </c>
      <c r="K6" s="2">
        <v>1</v>
      </c>
      <c r="L6" s="2">
        <v>14.99</v>
      </c>
      <c r="M6" s="19">
        <f t="shared" si="2"/>
        <v>14.99</v>
      </c>
      <c r="N6" s="2" t="s">
        <v>65</v>
      </c>
      <c r="O6" s="2" t="str">
        <f t="shared" si="3"/>
        <v>WELCOME10</v>
      </c>
      <c r="P6" s="2">
        <v>1.5</v>
      </c>
      <c r="Q6" s="19">
        <f t="shared" si="4"/>
        <v>1.5</v>
      </c>
      <c r="R6" s="2" t="str">
        <f t="shared" si="5"/>
        <v>Number</v>
      </c>
      <c r="S6" s="2">
        <v>5.99</v>
      </c>
      <c r="T6" s="19">
        <f t="shared" si="6"/>
        <v>5.99</v>
      </c>
      <c r="U6" s="2">
        <v>19.48</v>
      </c>
      <c r="V6" s="19">
        <f t="shared" si="7"/>
        <v>19.48</v>
      </c>
      <c r="W6" s="19">
        <f t="shared" si="8"/>
        <v>19.48</v>
      </c>
      <c r="X6" s="19" t="str">
        <f t="shared" si="9"/>
        <v>True</v>
      </c>
      <c r="Y6" s="19" t="str">
        <f>IF(OR(W6&lt;'Cleaning Tasks'!$G$18,W6&gt;'Cleaning Tasks'!$H$18),"Outlier","Normal")</f>
        <v>Normal</v>
      </c>
      <c r="Z6" s="2" t="s">
        <v>66</v>
      </c>
      <c r="AA6" s="2" t="s">
        <v>27</v>
      </c>
      <c r="AB6" s="2" t="s">
        <v>50</v>
      </c>
      <c r="AC6" s="2" t="s">
        <v>29</v>
      </c>
      <c r="AD6" s="2" t="s">
        <v>67</v>
      </c>
      <c r="AE6" s="2" t="str">
        <f t="shared" si="10"/>
        <v>Valid</v>
      </c>
      <c r="AF6" s="2" t="s">
        <v>68</v>
      </c>
    </row>
    <row r="7" spans="1:32" x14ac:dyDescent="0.3">
      <c r="A7" s="2" t="s">
        <v>69</v>
      </c>
      <c r="B7" s="2">
        <f t="shared" si="0"/>
        <v>1</v>
      </c>
      <c r="C7" s="12">
        <f t="shared" si="11"/>
        <v>46238.583632303242</v>
      </c>
      <c r="D7" s="13">
        <v>46238.583632303242</v>
      </c>
      <c r="E7" s="2" t="s">
        <v>70</v>
      </c>
      <c r="F7" s="2" t="str">
        <f t="shared" si="1"/>
        <v>Email Available</v>
      </c>
      <c r="G7" s="2" t="s">
        <v>71</v>
      </c>
      <c r="H7" s="2" t="s">
        <v>56</v>
      </c>
      <c r="I7" s="2" t="s">
        <v>22</v>
      </c>
      <c r="J7" s="2" t="s">
        <v>57</v>
      </c>
      <c r="K7" s="2">
        <v>2</v>
      </c>
      <c r="L7" s="2">
        <v>9.99</v>
      </c>
      <c r="M7" s="19">
        <f t="shared" si="2"/>
        <v>9.99</v>
      </c>
      <c r="N7" s="2" t="s">
        <v>65</v>
      </c>
      <c r="O7" s="2" t="str">
        <f t="shared" si="3"/>
        <v>WELCOME10</v>
      </c>
      <c r="P7" s="2">
        <v>2</v>
      </c>
      <c r="Q7" s="19">
        <f t="shared" si="4"/>
        <v>2</v>
      </c>
      <c r="R7" s="2" t="str">
        <f t="shared" si="5"/>
        <v>Number</v>
      </c>
      <c r="S7" s="2">
        <v>4.99</v>
      </c>
      <c r="T7" s="19">
        <f t="shared" si="6"/>
        <v>4.99</v>
      </c>
      <c r="U7" s="2">
        <v>22.97</v>
      </c>
      <c r="V7" s="19">
        <f t="shared" si="7"/>
        <v>22.97</v>
      </c>
      <c r="W7" s="19">
        <f t="shared" si="8"/>
        <v>22.97</v>
      </c>
      <c r="X7" s="19" t="str">
        <f t="shared" si="9"/>
        <v>True</v>
      </c>
      <c r="Y7" s="19" t="str">
        <f>IF(OR(W7&lt;'Cleaning Tasks'!$G$18,W7&gt;'Cleaning Tasks'!$H$18),"Outlier","Normal")</f>
        <v>Normal</v>
      </c>
      <c r="Z7" s="2" t="s">
        <v>72</v>
      </c>
      <c r="AA7" s="2" t="s">
        <v>40</v>
      </c>
      <c r="AB7" s="2" t="s">
        <v>50</v>
      </c>
      <c r="AC7" s="2" t="s">
        <v>73</v>
      </c>
      <c r="AD7" s="2"/>
      <c r="AE7" s="2" t="str">
        <f t="shared" si="10"/>
        <v>Not Required</v>
      </c>
      <c r="AF7" s="2" t="s">
        <v>74</v>
      </c>
    </row>
    <row r="8" spans="1:32" x14ac:dyDescent="0.3">
      <c r="A8" s="2" t="s">
        <v>75</v>
      </c>
      <c r="B8" s="2">
        <f t="shared" si="0"/>
        <v>1</v>
      </c>
      <c r="C8" s="12">
        <f t="shared" si="11"/>
        <v>46238.587405729173</v>
      </c>
      <c r="D8" s="13">
        <v>46238.587405729173</v>
      </c>
      <c r="E8" s="2" t="s">
        <v>76</v>
      </c>
      <c r="F8" s="2" t="str">
        <f t="shared" si="1"/>
        <v>Email Available</v>
      </c>
      <c r="G8" s="2" t="s">
        <v>77</v>
      </c>
      <c r="H8" s="2" t="s">
        <v>78</v>
      </c>
      <c r="I8" s="2" t="s">
        <v>79</v>
      </c>
      <c r="J8" s="2" t="s">
        <v>80</v>
      </c>
      <c r="K8" s="2">
        <v>1</v>
      </c>
      <c r="L8" s="2">
        <v>89.99</v>
      </c>
      <c r="M8" s="19">
        <f t="shared" si="2"/>
        <v>89.99</v>
      </c>
      <c r="N8" s="2"/>
      <c r="O8" s="2" t="str">
        <f t="shared" si="3"/>
        <v/>
      </c>
      <c r="P8" s="2">
        <v>0</v>
      </c>
      <c r="Q8" s="19">
        <f t="shared" si="4"/>
        <v>0</v>
      </c>
      <c r="R8" s="2" t="str">
        <f t="shared" si="5"/>
        <v>Number</v>
      </c>
      <c r="S8" s="2">
        <v>0</v>
      </c>
      <c r="T8" s="19">
        <f t="shared" si="6"/>
        <v>0</v>
      </c>
      <c r="U8" s="2">
        <v>89.99</v>
      </c>
      <c r="V8" s="19">
        <f t="shared" si="7"/>
        <v>89.99</v>
      </c>
      <c r="W8" s="19">
        <f t="shared" si="8"/>
        <v>89.99</v>
      </c>
      <c r="X8" s="19" t="str">
        <f t="shared" si="9"/>
        <v>True</v>
      </c>
      <c r="Y8" s="19" t="str">
        <f>IF(OR(W8&lt;'Cleaning Tasks'!$G$18,W8&gt;'Cleaning Tasks'!$H$18),"Outlier","Normal")</f>
        <v>Outlier</v>
      </c>
      <c r="Z8" s="2" t="s">
        <v>66</v>
      </c>
      <c r="AA8" s="2" t="s">
        <v>27</v>
      </c>
      <c r="AB8" s="2" t="s">
        <v>41</v>
      </c>
      <c r="AC8" s="2" t="s">
        <v>73</v>
      </c>
      <c r="AD8" s="2"/>
      <c r="AE8" s="2" t="str">
        <f t="shared" si="10"/>
        <v>Not Required</v>
      </c>
      <c r="AF8" s="2" t="s">
        <v>81</v>
      </c>
    </row>
    <row r="9" spans="1:32" x14ac:dyDescent="0.3">
      <c r="A9" s="2" t="s">
        <v>82</v>
      </c>
      <c r="B9" s="2">
        <f t="shared" si="0"/>
        <v>1</v>
      </c>
      <c r="C9" s="12">
        <f t="shared" si="11"/>
        <v>46238.580096053243</v>
      </c>
      <c r="D9" s="13">
        <v>46238.580096053243</v>
      </c>
      <c r="E9" s="2" t="s">
        <v>83</v>
      </c>
      <c r="F9" s="2" t="str">
        <f t="shared" si="1"/>
        <v>Email Available</v>
      </c>
      <c r="G9" s="2" t="s">
        <v>84</v>
      </c>
      <c r="H9" s="2" t="s">
        <v>85</v>
      </c>
      <c r="I9" s="2" t="s">
        <v>86</v>
      </c>
      <c r="J9" s="2" t="s">
        <v>87</v>
      </c>
      <c r="K9" s="2">
        <v>1</v>
      </c>
      <c r="L9" s="2">
        <v>54.99</v>
      </c>
      <c r="M9" s="19">
        <f t="shared" si="2"/>
        <v>54.99</v>
      </c>
      <c r="N9" s="2"/>
      <c r="O9" s="2" t="str">
        <f t="shared" si="3"/>
        <v/>
      </c>
      <c r="P9" s="2">
        <v>0</v>
      </c>
      <c r="Q9" s="19">
        <f t="shared" si="4"/>
        <v>0</v>
      </c>
      <c r="R9" s="2" t="str">
        <f t="shared" si="5"/>
        <v>Number</v>
      </c>
      <c r="S9" s="2">
        <v>4.99</v>
      </c>
      <c r="T9" s="19">
        <f t="shared" si="6"/>
        <v>4.99</v>
      </c>
      <c r="U9" s="2">
        <v>59.98</v>
      </c>
      <c r="V9" s="19">
        <f t="shared" si="7"/>
        <v>59.98</v>
      </c>
      <c r="W9" s="19">
        <f t="shared" si="8"/>
        <v>59.980000000000004</v>
      </c>
      <c r="X9" s="19" t="str">
        <f t="shared" si="9"/>
        <v>True</v>
      </c>
      <c r="Y9" s="19" t="str">
        <f>IF(OR(W9&lt;'Cleaning Tasks'!$G$18,W9&gt;'Cleaning Tasks'!$H$18),"Outlier","Normal")</f>
        <v>Normal</v>
      </c>
      <c r="Z9" s="2" t="s">
        <v>49</v>
      </c>
      <c r="AA9" s="2" t="s">
        <v>88</v>
      </c>
      <c r="AB9" s="2" t="s">
        <v>50</v>
      </c>
      <c r="AC9" s="2" t="s">
        <v>29</v>
      </c>
      <c r="AD9" s="2" t="s">
        <v>89</v>
      </c>
      <c r="AE9" s="2" t="str">
        <f t="shared" si="10"/>
        <v>Valid</v>
      </c>
      <c r="AF9" s="2" t="s">
        <v>90</v>
      </c>
    </row>
    <row r="10" spans="1:32" x14ac:dyDescent="0.3">
      <c r="A10" s="2" t="s">
        <v>91</v>
      </c>
      <c r="B10" s="2">
        <f t="shared" si="0"/>
        <v>1</v>
      </c>
      <c r="C10" s="12">
        <f t="shared" si="11"/>
        <v>46238.588058969908</v>
      </c>
      <c r="D10" s="13">
        <v>46238.588058969908</v>
      </c>
      <c r="E10" s="2" t="s">
        <v>92</v>
      </c>
      <c r="F10" s="2" t="str">
        <f t="shared" si="1"/>
        <v>Email Available</v>
      </c>
      <c r="G10" s="2" t="s">
        <v>93</v>
      </c>
      <c r="H10" s="2" t="s">
        <v>85</v>
      </c>
      <c r="I10" s="2" t="s">
        <v>86</v>
      </c>
      <c r="J10" s="2" t="s">
        <v>87</v>
      </c>
      <c r="K10" s="2">
        <v>3</v>
      </c>
      <c r="L10" s="2">
        <v>54.99</v>
      </c>
      <c r="M10" s="19">
        <f t="shared" si="2"/>
        <v>54.99</v>
      </c>
      <c r="N10" s="2" t="s">
        <v>94</v>
      </c>
      <c r="O10" s="2" t="str">
        <f t="shared" si="3"/>
        <v>SAVE20</v>
      </c>
      <c r="P10" s="2">
        <v>32.99</v>
      </c>
      <c r="Q10" s="19">
        <f t="shared" si="4"/>
        <v>32.99</v>
      </c>
      <c r="R10" s="2" t="str">
        <f t="shared" si="5"/>
        <v>Number</v>
      </c>
      <c r="S10" s="2">
        <v>0</v>
      </c>
      <c r="T10" s="19">
        <f t="shared" si="6"/>
        <v>0</v>
      </c>
      <c r="U10" s="2" t="s">
        <v>95</v>
      </c>
      <c r="V10" s="19">
        <f t="shared" si="7"/>
        <v>131.97999999999999</v>
      </c>
      <c r="W10" s="19">
        <f t="shared" si="8"/>
        <v>131.97999999999999</v>
      </c>
      <c r="X10" s="19" t="str">
        <f t="shared" si="9"/>
        <v>True</v>
      </c>
      <c r="Y10" s="19" t="str">
        <f>IF(OR(W10&lt;'Cleaning Tasks'!$G$18,W10&gt;'Cleaning Tasks'!$H$18),"Outlier","Normal")</f>
        <v>Outlier</v>
      </c>
      <c r="Z10" s="2" t="s">
        <v>26</v>
      </c>
      <c r="AA10" s="2" t="s">
        <v>27</v>
      </c>
      <c r="AB10" s="2" t="s">
        <v>96</v>
      </c>
      <c r="AC10" s="2" t="s">
        <v>42</v>
      </c>
      <c r="AD10" s="2"/>
      <c r="AE10" s="2" t="str">
        <f t="shared" si="10"/>
        <v>Not Required</v>
      </c>
      <c r="AF10" s="2" t="s">
        <v>97</v>
      </c>
    </row>
    <row r="11" spans="1:32" x14ac:dyDescent="0.3">
      <c r="A11" s="2" t="s">
        <v>98</v>
      </c>
      <c r="B11" s="2">
        <f t="shared" si="0"/>
        <v>1</v>
      </c>
      <c r="C11" s="12">
        <f t="shared" si="11"/>
        <v>46238</v>
      </c>
      <c r="D11" s="13" t="s">
        <v>99</v>
      </c>
      <c r="E11" s="2" t="s">
        <v>100</v>
      </c>
      <c r="F11" s="2" t="str">
        <f t="shared" si="1"/>
        <v>Email Available</v>
      </c>
      <c r="G11" s="2" t="s">
        <v>101</v>
      </c>
      <c r="H11" s="2" t="s">
        <v>102</v>
      </c>
      <c r="I11" s="2" t="s">
        <v>103</v>
      </c>
      <c r="J11" s="2" t="s">
        <v>104</v>
      </c>
      <c r="K11" s="2">
        <v>1</v>
      </c>
      <c r="L11" s="2">
        <v>19.989999999999998</v>
      </c>
      <c r="M11" s="19">
        <f t="shared" si="2"/>
        <v>19.989999999999998</v>
      </c>
      <c r="N11" s="2" t="s">
        <v>65</v>
      </c>
      <c r="O11" s="2" t="str">
        <f t="shared" si="3"/>
        <v>WELCOME10</v>
      </c>
      <c r="P11" s="2">
        <v>2</v>
      </c>
      <c r="Q11" s="19">
        <f t="shared" si="4"/>
        <v>2</v>
      </c>
      <c r="R11" s="2" t="str">
        <f t="shared" si="5"/>
        <v>Number</v>
      </c>
      <c r="S11" s="2">
        <v>4.99</v>
      </c>
      <c r="T11" s="19">
        <f t="shared" si="6"/>
        <v>4.99</v>
      </c>
      <c r="U11" s="2">
        <v>22.98</v>
      </c>
      <c r="V11" s="19">
        <f t="shared" si="7"/>
        <v>22.98</v>
      </c>
      <c r="W11" s="19">
        <f t="shared" si="8"/>
        <v>22.979999999999997</v>
      </c>
      <c r="X11" s="19" t="str">
        <f t="shared" si="9"/>
        <v>True</v>
      </c>
      <c r="Y11" s="19" t="str">
        <f>IF(OR(W11&lt;'Cleaning Tasks'!$G$18,W11&gt;'Cleaning Tasks'!$H$18),"Outlier","Normal")</f>
        <v>Normal</v>
      </c>
      <c r="Z11" s="2" t="s">
        <v>72</v>
      </c>
      <c r="AA11" s="2" t="s">
        <v>27</v>
      </c>
      <c r="AB11" s="2" t="s">
        <v>41</v>
      </c>
      <c r="AC11" s="2" t="s">
        <v>105</v>
      </c>
      <c r="AD11" s="2"/>
      <c r="AE11" s="2" t="str">
        <f t="shared" si="10"/>
        <v>Not Required</v>
      </c>
      <c r="AF11" s="2" t="s">
        <v>106</v>
      </c>
    </row>
    <row r="12" spans="1:32" x14ac:dyDescent="0.3">
      <c r="A12" s="2" t="s">
        <v>107</v>
      </c>
      <c r="B12" s="2">
        <f t="shared" si="0"/>
        <v>1</v>
      </c>
      <c r="C12" s="12">
        <f t="shared" si="11"/>
        <v>46238.584763657411</v>
      </c>
      <c r="D12" s="13">
        <v>46238.584763657411</v>
      </c>
      <c r="E12" s="2" t="s">
        <v>108</v>
      </c>
      <c r="F12" s="2" t="str">
        <f t="shared" si="1"/>
        <v>Missing Email</v>
      </c>
      <c r="G12" s="2"/>
      <c r="H12" s="2" t="s">
        <v>109</v>
      </c>
      <c r="I12" s="2" t="s">
        <v>79</v>
      </c>
      <c r="J12" s="2" t="s">
        <v>110</v>
      </c>
      <c r="K12" s="2">
        <v>1</v>
      </c>
      <c r="L12" s="2">
        <v>22.99</v>
      </c>
      <c r="M12" s="19">
        <f t="shared" si="2"/>
        <v>22.99</v>
      </c>
      <c r="N12" s="2"/>
      <c r="O12" s="2" t="str">
        <f t="shared" si="3"/>
        <v/>
      </c>
      <c r="P12" s="2">
        <v>0</v>
      </c>
      <c r="Q12" s="19">
        <f t="shared" si="4"/>
        <v>0</v>
      </c>
      <c r="R12" s="2" t="str">
        <f t="shared" si="5"/>
        <v>Number</v>
      </c>
      <c r="S12" s="2">
        <v>7.99</v>
      </c>
      <c r="T12" s="19">
        <f t="shared" si="6"/>
        <v>7.99</v>
      </c>
      <c r="U12" s="2">
        <v>30.98</v>
      </c>
      <c r="V12" s="19">
        <f t="shared" si="7"/>
        <v>30.98</v>
      </c>
      <c r="W12" s="19">
        <f t="shared" si="8"/>
        <v>30.979999999999997</v>
      </c>
      <c r="X12" s="19" t="str">
        <f t="shared" si="9"/>
        <v>True</v>
      </c>
      <c r="Y12" s="19" t="str">
        <f>IF(OR(W12&lt;'Cleaning Tasks'!$G$18,W12&gt;'Cleaning Tasks'!$H$18),"Outlier","Normal")</f>
        <v>Normal</v>
      </c>
      <c r="Z12" s="2" t="s">
        <v>39</v>
      </c>
      <c r="AA12" s="2" t="s">
        <v>111</v>
      </c>
      <c r="AB12" s="2" t="s">
        <v>50</v>
      </c>
      <c r="AC12" s="2" t="s">
        <v>29</v>
      </c>
      <c r="AD12" s="2" t="s">
        <v>112</v>
      </c>
      <c r="AE12" s="2" t="str">
        <f t="shared" si="10"/>
        <v>Valid</v>
      </c>
      <c r="AF12" s="2" t="s">
        <v>113</v>
      </c>
    </row>
    <row r="13" spans="1:32" x14ac:dyDescent="0.3">
      <c r="A13" s="2" t="s">
        <v>114</v>
      </c>
      <c r="B13" s="2">
        <f t="shared" si="0"/>
        <v>1</v>
      </c>
      <c r="C13" s="12">
        <f t="shared" si="11"/>
        <v>46238.579571828697</v>
      </c>
      <c r="D13" s="13">
        <v>46238.579571828697</v>
      </c>
      <c r="E13" s="2" t="s">
        <v>115</v>
      </c>
      <c r="F13" s="2" t="str">
        <f t="shared" si="1"/>
        <v>Email Available</v>
      </c>
      <c r="G13" s="2" t="s">
        <v>116</v>
      </c>
      <c r="H13" s="2" t="s">
        <v>117</v>
      </c>
      <c r="I13" s="2" t="s">
        <v>22</v>
      </c>
      <c r="J13" s="2" t="s">
        <v>23</v>
      </c>
      <c r="K13" s="2">
        <v>1</v>
      </c>
      <c r="L13" s="2">
        <v>12.99</v>
      </c>
      <c r="M13" s="19">
        <f t="shared" si="2"/>
        <v>12.99</v>
      </c>
      <c r="N13" s="2" t="s">
        <v>118</v>
      </c>
      <c r="O13" s="2" t="str">
        <f t="shared" si="3"/>
        <v>BFCM25</v>
      </c>
      <c r="P13" s="2">
        <v>3.25</v>
      </c>
      <c r="Q13" s="19">
        <f t="shared" si="4"/>
        <v>3.25</v>
      </c>
      <c r="R13" s="2" t="str">
        <f t="shared" si="5"/>
        <v>Number</v>
      </c>
      <c r="S13" s="2">
        <v>4.99</v>
      </c>
      <c r="T13" s="19">
        <f t="shared" si="6"/>
        <v>4.99</v>
      </c>
      <c r="U13" s="2" t="s">
        <v>119</v>
      </c>
      <c r="V13" s="19">
        <f t="shared" si="7"/>
        <v>14.73</v>
      </c>
      <c r="W13" s="19">
        <f t="shared" si="8"/>
        <v>14.73</v>
      </c>
      <c r="X13" s="19" t="str">
        <f t="shared" si="9"/>
        <v>True</v>
      </c>
      <c r="Y13" s="19" t="str">
        <f>IF(OR(W13&lt;'Cleaning Tasks'!$G$18,W13&gt;'Cleaning Tasks'!$H$18),"Outlier","Normal")</f>
        <v>Normal</v>
      </c>
      <c r="Z13" s="2" t="s">
        <v>39</v>
      </c>
      <c r="AA13" s="2" t="s">
        <v>27</v>
      </c>
      <c r="AB13" s="2" t="s">
        <v>41</v>
      </c>
      <c r="AC13" s="2" t="s">
        <v>105</v>
      </c>
      <c r="AD13" s="2"/>
      <c r="AE13" s="2" t="str">
        <f t="shared" si="10"/>
        <v>Not Required</v>
      </c>
      <c r="AF13" s="2" t="s">
        <v>120</v>
      </c>
    </row>
    <row r="14" spans="1:32" x14ac:dyDescent="0.3">
      <c r="A14" s="2" t="s">
        <v>121</v>
      </c>
      <c r="B14" s="2">
        <f t="shared" si="0"/>
        <v>1</v>
      </c>
      <c r="C14" s="12">
        <f t="shared" si="11"/>
        <v>46238.585192662038</v>
      </c>
      <c r="D14" s="13">
        <v>46238.585192662038</v>
      </c>
      <c r="E14" s="2" t="s">
        <v>122</v>
      </c>
      <c r="F14" s="2" t="str">
        <f t="shared" si="1"/>
        <v>Email Available</v>
      </c>
      <c r="G14" s="2" t="s">
        <v>123</v>
      </c>
      <c r="H14" s="2" t="s">
        <v>124</v>
      </c>
      <c r="I14" s="2" t="s">
        <v>79</v>
      </c>
      <c r="J14" s="2" t="s">
        <v>125</v>
      </c>
      <c r="K14" s="2">
        <v>1</v>
      </c>
      <c r="L14" s="2">
        <v>13.99</v>
      </c>
      <c r="M14" s="19">
        <f t="shared" si="2"/>
        <v>13.99</v>
      </c>
      <c r="N14" s="2" t="s">
        <v>94</v>
      </c>
      <c r="O14" s="2" t="str">
        <f t="shared" si="3"/>
        <v>SAVE20</v>
      </c>
      <c r="P14" s="2">
        <v>2.8</v>
      </c>
      <c r="Q14" s="19">
        <f t="shared" si="4"/>
        <v>2.8</v>
      </c>
      <c r="R14" s="2" t="str">
        <f t="shared" si="5"/>
        <v>Number</v>
      </c>
      <c r="S14" s="2">
        <v>5.99</v>
      </c>
      <c r="T14" s="19">
        <f t="shared" si="6"/>
        <v>5.99</v>
      </c>
      <c r="U14" s="2">
        <v>17.18</v>
      </c>
      <c r="V14" s="19">
        <f t="shared" si="7"/>
        <v>17.18</v>
      </c>
      <c r="W14" s="19">
        <f t="shared" si="8"/>
        <v>17.18</v>
      </c>
      <c r="X14" s="19" t="str">
        <f t="shared" si="9"/>
        <v>True</v>
      </c>
      <c r="Y14" s="19" t="str">
        <f>IF(OR(W14&lt;'Cleaning Tasks'!$G$18,W14&gt;'Cleaning Tasks'!$H$18),"Outlier","Normal")</f>
        <v>Normal</v>
      </c>
      <c r="Z14" s="2" t="s">
        <v>66</v>
      </c>
      <c r="AA14" s="2" t="s">
        <v>88</v>
      </c>
      <c r="AB14" s="2" t="s">
        <v>96</v>
      </c>
      <c r="AC14" s="2" t="s">
        <v>42</v>
      </c>
      <c r="AD14" s="2"/>
      <c r="AE14" s="2" t="str">
        <f t="shared" si="10"/>
        <v>Not Required</v>
      </c>
      <c r="AF14" s="2" t="s">
        <v>126</v>
      </c>
    </row>
    <row r="15" spans="1:32" x14ac:dyDescent="0.3">
      <c r="A15" s="2" t="s">
        <v>127</v>
      </c>
      <c r="B15" s="2">
        <f t="shared" si="0"/>
        <v>1</v>
      </c>
      <c r="C15" s="12">
        <f t="shared" si="11"/>
        <v>46238.584850324078</v>
      </c>
      <c r="D15" s="13">
        <v>46238.584850324078</v>
      </c>
      <c r="E15" s="2" t="s">
        <v>128</v>
      </c>
      <c r="F15" s="2" t="str">
        <f t="shared" si="1"/>
        <v>Email Available</v>
      </c>
      <c r="G15" s="2" t="s">
        <v>129</v>
      </c>
      <c r="H15" s="2" t="s">
        <v>130</v>
      </c>
      <c r="I15" s="2" t="s">
        <v>103</v>
      </c>
      <c r="J15" s="2" t="s">
        <v>131</v>
      </c>
      <c r="K15" s="2">
        <v>1</v>
      </c>
      <c r="L15" s="2">
        <v>16.989999999999998</v>
      </c>
      <c r="M15" s="19">
        <f t="shared" si="2"/>
        <v>16.989999999999998</v>
      </c>
      <c r="N15" s="2"/>
      <c r="O15" s="2" t="str">
        <f t="shared" si="3"/>
        <v/>
      </c>
      <c r="P15" s="2">
        <v>0</v>
      </c>
      <c r="Q15" s="19">
        <f t="shared" si="4"/>
        <v>0</v>
      </c>
      <c r="R15" s="2" t="str">
        <f t="shared" si="5"/>
        <v>Number</v>
      </c>
      <c r="S15" s="2">
        <v>5.99</v>
      </c>
      <c r="T15" s="19">
        <f t="shared" si="6"/>
        <v>5.99</v>
      </c>
      <c r="U15" s="2">
        <v>22.98</v>
      </c>
      <c r="V15" s="19">
        <f t="shared" si="7"/>
        <v>22.98</v>
      </c>
      <c r="W15" s="19">
        <f t="shared" si="8"/>
        <v>22.979999999999997</v>
      </c>
      <c r="X15" s="19" t="str">
        <f t="shared" si="9"/>
        <v>True</v>
      </c>
      <c r="Y15" s="19" t="str">
        <f>IF(OR(W15&lt;'Cleaning Tasks'!$G$18,W15&gt;'Cleaning Tasks'!$H$18),"Outlier","Normal")</f>
        <v>Normal</v>
      </c>
      <c r="Z15" s="2" t="s">
        <v>49</v>
      </c>
      <c r="AA15" s="2" t="s">
        <v>27</v>
      </c>
      <c r="AB15" s="2" t="s">
        <v>50</v>
      </c>
      <c r="AC15" s="2" t="s">
        <v>29</v>
      </c>
      <c r="AD15" s="2" t="s">
        <v>89</v>
      </c>
      <c r="AE15" s="2" t="str">
        <f t="shared" si="10"/>
        <v>Valid</v>
      </c>
      <c r="AF15" s="2" t="s">
        <v>132</v>
      </c>
    </row>
    <row r="16" spans="1:32" x14ac:dyDescent="0.3">
      <c r="A16" s="2" t="s">
        <v>133</v>
      </c>
      <c r="B16" s="2">
        <f t="shared" si="0"/>
        <v>1</v>
      </c>
      <c r="C16" s="12">
        <f t="shared" si="11"/>
        <v>46238.589128518521</v>
      </c>
      <c r="D16" s="13">
        <v>46238.589128518521</v>
      </c>
      <c r="E16" s="2" t="s">
        <v>134</v>
      </c>
      <c r="F16" s="2" t="str">
        <f t="shared" si="1"/>
        <v>Email Available</v>
      </c>
      <c r="G16" s="2" t="s">
        <v>135</v>
      </c>
      <c r="H16" s="2" t="s">
        <v>109</v>
      </c>
      <c r="I16" s="2" t="s">
        <v>79</v>
      </c>
      <c r="J16" s="2" t="s">
        <v>110</v>
      </c>
      <c r="K16" s="2">
        <v>1</v>
      </c>
      <c r="L16" s="2">
        <v>22.99</v>
      </c>
      <c r="M16" s="19">
        <f t="shared" si="2"/>
        <v>22.99</v>
      </c>
      <c r="N16" s="2" t="s">
        <v>24</v>
      </c>
      <c r="O16" s="2" t="str">
        <f t="shared" si="3"/>
        <v>SAVE20</v>
      </c>
      <c r="P16" s="2">
        <v>4.5999999999999996</v>
      </c>
      <c r="Q16" s="19">
        <f t="shared" si="4"/>
        <v>4.5999999999999996</v>
      </c>
      <c r="R16" s="2" t="str">
        <f t="shared" si="5"/>
        <v>Number</v>
      </c>
      <c r="S16" s="2">
        <v>4.99</v>
      </c>
      <c r="T16" s="19">
        <f t="shared" si="6"/>
        <v>4.99</v>
      </c>
      <c r="U16" s="2">
        <v>23.38</v>
      </c>
      <c r="V16" s="19">
        <f t="shared" si="7"/>
        <v>23.38</v>
      </c>
      <c r="W16" s="19">
        <f t="shared" si="8"/>
        <v>23.380000000000003</v>
      </c>
      <c r="X16" s="19" t="str">
        <f t="shared" si="9"/>
        <v>True</v>
      </c>
      <c r="Y16" s="19" t="str">
        <f>IF(OR(W16&lt;'Cleaning Tasks'!$G$18,W16&gt;'Cleaning Tasks'!$H$18),"Outlier","Normal")</f>
        <v>Normal</v>
      </c>
      <c r="Z16" s="2" t="s">
        <v>26</v>
      </c>
      <c r="AA16" s="2" t="s">
        <v>111</v>
      </c>
      <c r="AB16" s="2" t="s">
        <v>50</v>
      </c>
      <c r="AC16" s="2" t="s">
        <v>29</v>
      </c>
      <c r="AD16" s="22" t="s">
        <v>341</v>
      </c>
      <c r="AE16" s="2" t="str">
        <f t="shared" si="10"/>
        <v>Valid</v>
      </c>
      <c r="AF16" s="2" t="s">
        <v>136</v>
      </c>
    </row>
    <row r="17" spans="1:32" x14ac:dyDescent="0.3">
      <c r="A17" s="2" t="s">
        <v>137</v>
      </c>
      <c r="B17" s="2">
        <f t="shared" si="0"/>
        <v>1</v>
      </c>
      <c r="C17" s="12">
        <f t="shared" si="11"/>
        <v>46238</v>
      </c>
      <c r="D17" s="13">
        <v>46238</v>
      </c>
      <c r="E17" s="2" t="s">
        <v>138</v>
      </c>
      <c r="F17" s="2" t="str">
        <f t="shared" si="1"/>
        <v>Email Available</v>
      </c>
      <c r="G17" s="2" t="s">
        <v>139</v>
      </c>
      <c r="H17" s="2" t="s">
        <v>78</v>
      </c>
      <c r="I17" s="2" t="s">
        <v>79</v>
      </c>
      <c r="J17" s="2" t="s">
        <v>80</v>
      </c>
      <c r="K17" s="2">
        <v>1</v>
      </c>
      <c r="L17" s="2">
        <v>89.99</v>
      </c>
      <c r="M17" s="19">
        <f t="shared" si="2"/>
        <v>89.99</v>
      </c>
      <c r="N17" s="2"/>
      <c r="O17" s="2" t="str">
        <f t="shared" si="3"/>
        <v/>
      </c>
      <c r="P17" s="2">
        <v>0</v>
      </c>
      <c r="Q17" s="19">
        <f t="shared" si="4"/>
        <v>0</v>
      </c>
      <c r="R17" s="2" t="str">
        <f t="shared" si="5"/>
        <v>Number</v>
      </c>
      <c r="S17" s="2">
        <v>0</v>
      </c>
      <c r="T17" s="19">
        <f t="shared" si="6"/>
        <v>0</v>
      </c>
      <c r="U17" s="2">
        <v>89.99</v>
      </c>
      <c r="V17" s="19">
        <f t="shared" si="7"/>
        <v>89.99</v>
      </c>
      <c r="W17" s="19">
        <f t="shared" si="8"/>
        <v>89.99</v>
      </c>
      <c r="X17" s="19" t="str">
        <f t="shared" si="9"/>
        <v>True</v>
      </c>
      <c r="Y17" s="19" t="str">
        <f>IF(OR(W17&lt;'Cleaning Tasks'!$G$18,W17&gt;'Cleaning Tasks'!$H$18),"Outlier","Normal")</f>
        <v>Outlier</v>
      </c>
      <c r="Z17" s="2" t="s">
        <v>26</v>
      </c>
      <c r="AA17" s="2" t="s">
        <v>111</v>
      </c>
      <c r="AB17" s="2" t="s">
        <v>50</v>
      </c>
      <c r="AC17" s="2" t="s">
        <v>29</v>
      </c>
      <c r="AD17" s="22" t="s">
        <v>140</v>
      </c>
      <c r="AE17" s="2" t="str">
        <f t="shared" si="10"/>
        <v>Valid</v>
      </c>
      <c r="AF17" s="2" t="s">
        <v>141</v>
      </c>
    </row>
    <row r="18" spans="1:32" x14ac:dyDescent="0.3">
      <c r="A18" s="2" t="s">
        <v>142</v>
      </c>
      <c r="B18" s="2">
        <f t="shared" si="0"/>
        <v>1</v>
      </c>
      <c r="C18" s="12">
        <f t="shared" si="11"/>
        <v>46238</v>
      </c>
      <c r="D18" s="13" t="s">
        <v>143</v>
      </c>
      <c r="E18" s="2" t="s">
        <v>144</v>
      </c>
      <c r="F18" s="2" t="str">
        <f t="shared" si="1"/>
        <v>Email Available</v>
      </c>
      <c r="G18" s="2" t="s">
        <v>145</v>
      </c>
      <c r="H18" s="2" t="s">
        <v>146</v>
      </c>
      <c r="I18" s="2" t="s">
        <v>47</v>
      </c>
      <c r="J18" s="2" t="s">
        <v>147</v>
      </c>
      <c r="K18" s="2">
        <v>2</v>
      </c>
      <c r="L18" s="2">
        <v>34.99</v>
      </c>
      <c r="M18" s="19">
        <f t="shared" si="2"/>
        <v>34.99</v>
      </c>
      <c r="N18" s="2"/>
      <c r="O18" s="2" t="str">
        <f t="shared" si="3"/>
        <v/>
      </c>
      <c r="P18" s="2">
        <v>0</v>
      </c>
      <c r="Q18" s="19">
        <f t="shared" si="4"/>
        <v>0</v>
      </c>
      <c r="R18" s="2" t="str">
        <f t="shared" si="5"/>
        <v>Number</v>
      </c>
      <c r="S18" s="2">
        <v>4.99</v>
      </c>
      <c r="T18" s="19">
        <f t="shared" si="6"/>
        <v>4.99</v>
      </c>
      <c r="U18" s="2">
        <v>74.97</v>
      </c>
      <c r="V18" s="19">
        <f t="shared" si="7"/>
        <v>74.97</v>
      </c>
      <c r="W18" s="19">
        <f t="shared" si="8"/>
        <v>74.97</v>
      </c>
      <c r="X18" s="19" t="str">
        <f t="shared" si="9"/>
        <v>True</v>
      </c>
      <c r="Y18" s="19" t="str">
        <f>IF(OR(W18&lt;'Cleaning Tasks'!$G$18,W18&gt;'Cleaning Tasks'!$H$18),"Outlier","Normal")</f>
        <v>Normal</v>
      </c>
      <c r="Z18" s="2" t="s">
        <v>39</v>
      </c>
      <c r="AA18" s="2" t="s">
        <v>27</v>
      </c>
      <c r="AB18" s="2" t="s">
        <v>50</v>
      </c>
      <c r="AC18" s="2" t="s">
        <v>105</v>
      </c>
      <c r="AD18" s="2"/>
      <c r="AE18" s="2" t="str">
        <f t="shared" si="10"/>
        <v>Not Required</v>
      </c>
      <c r="AF18" s="2" t="s">
        <v>148</v>
      </c>
    </row>
    <row r="19" spans="1:32" x14ac:dyDescent="0.3">
      <c r="A19" s="2" t="s">
        <v>149</v>
      </c>
      <c r="B19" s="2">
        <f t="shared" si="0"/>
        <v>1</v>
      </c>
      <c r="C19" s="12">
        <f t="shared" si="11"/>
        <v>46238</v>
      </c>
      <c r="D19" s="13" t="s">
        <v>143</v>
      </c>
      <c r="E19" s="2" t="s">
        <v>150</v>
      </c>
      <c r="F19" s="2" t="str">
        <f t="shared" si="1"/>
        <v>Email Available</v>
      </c>
      <c r="G19" s="2" t="s">
        <v>151</v>
      </c>
      <c r="H19" s="2" t="s">
        <v>152</v>
      </c>
      <c r="I19" s="2" t="s">
        <v>36</v>
      </c>
      <c r="J19" s="2" t="s">
        <v>153</v>
      </c>
      <c r="K19" s="2">
        <v>1</v>
      </c>
      <c r="L19" s="2">
        <v>29.99</v>
      </c>
      <c r="M19" s="19">
        <f t="shared" si="2"/>
        <v>29.99</v>
      </c>
      <c r="N19" s="2"/>
      <c r="O19" s="2" t="str">
        <f t="shared" si="3"/>
        <v/>
      </c>
      <c r="P19" s="2">
        <v>0</v>
      </c>
      <c r="Q19" s="19">
        <f t="shared" si="4"/>
        <v>0</v>
      </c>
      <c r="R19" s="2" t="str">
        <f t="shared" si="5"/>
        <v>Number</v>
      </c>
      <c r="S19" s="2">
        <v>7.99</v>
      </c>
      <c r="T19" s="19">
        <f t="shared" si="6"/>
        <v>7.99</v>
      </c>
      <c r="U19" s="2">
        <v>37.979999999999997</v>
      </c>
      <c r="V19" s="19">
        <f t="shared" si="7"/>
        <v>37.979999999999997</v>
      </c>
      <c r="W19" s="19">
        <f t="shared" si="8"/>
        <v>37.979999999999997</v>
      </c>
      <c r="X19" s="19" t="str">
        <f t="shared" si="9"/>
        <v>True</v>
      </c>
      <c r="Y19" s="19" t="str">
        <f>IF(OR(W19&lt;'Cleaning Tasks'!$G$18,W19&gt;'Cleaning Tasks'!$H$18),"Outlier","Normal")</f>
        <v>Normal</v>
      </c>
      <c r="Z19" s="2" t="s">
        <v>72</v>
      </c>
      <c r="AA19" s="2" t="s">
        <v>111</v>
      </c>
      <c r="AB19" s="2" t="s">
        <v>50</v>
      </c>
      <c r="AC19" s="2" t="s">
        <v>29</v>
      </c>
      <c r="AD19" s="22" t="s">
        <v>341</v>
      </c>
      <c r="AE19" s="2" t="str">
        <f t="shared" si="10"/>
        <v>Valid</v>
      </c>
      <c r="AF19" s="2" t="s">
        <v>154</v>
      </c>
    </row>
    <row r="20" spans="1:32" x14ac:dyDescent="0.3">
      <c r="A20" s="2" t="s">
        <v>155</v>
      </c>
      <c r="B20" s="2">
        <f t="shared" si="0"/>
        <v>1</v>
      </c>
      <c r="C20" s="12">
        <f t="shared" si="11"/>
        <v>46238.578883692127</v>
      </c>
      <c r="D20" s="13">
        <v>46238.578883692127</v>
      </c>
      <c r="E20" s="2" t="s">
        <v>156</v>
      </c>
      <c r="F20" s="2" t="str">
        <f t="shared" si="1"/>
        <v>Email Available</v>
      </c>
      <c r="G20" s="2" t="s">
        <v>157</v>
      </c>
      <c r="H20" s="2" t="s">
        <v>152</v>
      </c>
      <c r="I20" s="2" t="s">
        <v>36</v>
      </c>
      <c r="J20" s="2" t="s">
        <v>153</v>
      </c>
      <c r="K20" s="2">
        <v>1</v>
      </c>
      <c r="L20" s="2">
        <v>29.99</v>
      </c>
      <c r="M20" s="19">
        <f t="shared" si="2"/>
        <v>29.99</v>
      </c>
      <c r="N20" s="2" t="s">
        <v>38</v>
      </c>
      <c r="O20" s="2" t="str">
        <f t="shared" si="3"/>
        <v>FREESHIP</v>
      </c>
      <c r="P20" s="2">
        <v>0</v>
      </c>
      <c r="Q20" s="19">
        <f t="shared" si="4"/>
        <v>0</v>
      </c>
      <c r="R20" s="2" t="str">
        <f t="shared" si="5"/>
        <v>Number</v>
      </c>
      <c r="S20" s="2">
        <v>0</v>
      </c>
      <c r="T20" s="19">
        <f t="shared" si="6"/>
        <v>0</v>
      </c>
      <c r="U20" s="2">
        <v>29.99</v>
      </c>
      <c r="V20" s="19">
        <f t="shared" si="7"/>
        <v>29.99</v>
      </c>
      <c r="W20" s="19">
        <f t="shared" si="8"/>
        <v>29.99</v>
      </c>
      <c r="X20" s="19" t="str">
        <f t="shared" si="9"/>
        <v>True</v>
      </c>
      <c r="Y20" s="19" t="str">
        <f>IF(OR(W20&lt;'Cleaning Tasks'!$G$18,W20&gt;'Cleaning Tasks'!$H$18),"Outlier","Normal")</f>
        <v>Normal</v>
      </c>
      <c r="Z20" s="2" t="s">
        <v>72</v>
      </c>
      <c r="AA20" s="2" t="s">
        <v>27</v>
      </c>
      <c r="AB20" s="2" t="s">
        <v>50</v>
      </c>
      <c r="AC20" s="2" t="s">
        <v>105</v>
      </c>
      <c r="AD20" s="2"/>
      <c r="AE20" s="2" t="str">
        <f t="shared" si="10"/>
        <v>Not Required</v>
      </c>
      <c r="AF20" s="2" t="s">
        <v>158</v>
      </c>
    </row>
    <row r="21" spans="1:32" x14ac:dyDescent="0.3">
      <c r="A21" s="2" t="s">
        <v>159</v>
      </c>
      <c r="B21" s="2">
        <f t="shared" si="0"/>
        <v>1</v>
      </c>
      <c r="C21" s="12">
        <f t="shared" si="11"/>
        <v>46238.587520185189</v>
      </c>
      <c r="D21" s="13">
        <v>46238.587520185189</v>
      </c>
      <c r="E21" s="2" t="s">
        <v>160</v>
      </c>
      <c r="F21" s="2" t="str">
        <f t="shared" si="1"/>
        <v>Email Available</v>
      </c>
      <c r="G21" s="2" t="s">
        <v>161</v>
      </c>
      <c r="H21" s="2" t="s">
        <v>152</v>
      </c>
      <c r="I21" s="2" t="s">
        <v>36</v>
      </c>
      <c r="J21" s="2" t="s">
        <v>153</v>
      </c>
      <c r="K21" s="2">
        <v>1</v>
      </c>
      <c r="L21" s="2">
        <v>29.99</v>
      </c>
      <c r="M21" s="19">
        <f t="shared" si="2"/>
        <v>29.99</v>
      </c>
      <c r="N21" s="2" t="s">
        <v>24</v>
      </c>
      <c r="O21" s="2" t="str">
        <f t="shared" si="3"/>
        <v>SAVE20</v>
      </c>
      <c r="P21" s="2">
        <v>6</v>
      </c>
      <c r="Q21" s="19">
        <f t="shared" si="4"/>
        <v>6</v>
      </c>
      <c r="R21" s="2" t="str">
        <f t="shared" si="5"/>
        <v>Number</v>
      </c>
      <c r="S21" s="2">
        <v>5.99</v>
      </c>
      <c r="T21" s="19">
        <f t="shared" si="6"/>
        <v>5.99</v>
      </c>
      <c r="U21" s="2">
        <v>29.98</v>
      </c>
      <c r="V21" s="19">
        <f t="shared" si="7"/>
        <v>29.98</v>
      </c>
      <c r="W21" s="19">
        <f t="shared" si="8"/>
        <v>29.979999999999997</v>
      </c>
      <c r="X21" s="19" t="str">
        <f t="shared" si="9"/>
        <v>True</v>
      </c>
      <c r="Y21" s="19" t="str">
        <f>IF(OR(W21&lt;'Cleaning Tasks'!$G$18,W21&gt;'Cleaning Tasks'!$H$18),"Outlier","Normal")</f>
        <v>Normal</v>
      </c>
      <c r="Z21" s="2" t="s">
        <v>39</v>
      </c>
      <c r="AA21" s="2" t="s">
        <v>111</v>
      </c>
      <c r="AB21" s="2" t="s">
        <v>50</v>
      </c>
      <c r="AC21" s="2" t="s">
        <v>29</v>
      </c>
      <c r="AD21" s="2" t="s">
        <v>112</v>
      </c>
      <c r="AE21" s="2" t="str">
        <f t="shared" si="10"/>
        <v>Valid</v>
      </c>
      <c r="AF21" s="2" t="s">
        <v>162</v>
      </c>
    </row>
    <row r="22" spans="1:32" x14ac:dyDescent="0.3">
      <c r="A22" s="2" t="s">
        <v>163</v>
      </c>
      <c r="B22" s="2">
        <f t="shared" si="0"/>
        <v>1</v>
      </c>
      <c r="C22" s="12">
        <f t="shared" si="11"/>
        <v>46238.580030659723</v>
      </c>
      <c r="D22" s="13">
        <v>46238.580030659723</v>
      </c>
      <c r="E22" s="2" t="s">
        <v>164</v>
      </c>
      <c r="F22" s="2" t="str">
        <f t="shared" si="1"/>
        <v>Email Available</v>
      </c>
      <c r="G22" s="2" t="s">
        <v>165</v>
      </c>
      <c r="H22" s="2" t="s">
        <v>166</v>
      </c>
      <c r="I22" s="2" t="s">
        <v>103</v>
      </c>
      <c r="J22" s="2" t="s">
        <v>167</v>
      </c>
      <c r="K22" s="2">
        <v>1</v>
      </c>
      <c r="L22" s="2" t="s">
        <v>168</v>
      </c>
      <c r="M22" s="19">
        <f t="shared" si="2"/>
        <v>32.99</v>
      </c>
      <c r="N22" s="2" t="s">
        <v>118</v>
      </c>
      <c r="O22" s="2" t="str">
        <f t="shared" si="3"/>
        <v>BFCM25</v>
      </c>
      <c r="P22" s="2">
        <v>8.25</v>
      </c>
      <c r="Q22" s="19">
        <f t="shared" si="4"/>
        <v>8.25</v>
      </c>
      <c r="R22" s="2" t="str">
        <f t="shared" si="5"/>
        <v>Number</v>
      </c>
      <c r="S22" s="2">
        <v>4.99</v>
      </c>
      <c r="T22" s="19">
        <f t="shared" si="6"/>
        <v>4.99</v>
      </c>
      <c r="U22" s="2">
        <v>29.73</v>
      </c>
      <c r="V22" s="19">
        <f t="shared" si="7"/>
        <v>29.73</v>
      </c>
      <c r="W22" s="19">
        <f t="shared" si="8"/>
        <v>29.730000000000004</v>
      </c>
      <c r="X22" s="19" t="str">
        <f t="shared" si="9"/>
        <v>True</v>
      </c>
      <c r="Y22" s="19" t="str">
        <f>IF(OR(W22&lt;'Cleaning Tasks'!$G$18,W22&gt;'Cleaning Tasks'!$H$18),"Outlier","Normal")</f>
        <v>Normal</v>
      </c>
      <c r="Z22" s="2" t="s">
        <v>72</v>
      </c>
      <c r="AA22" s="2" t="s">
        <v>88</v>
      </c>
      <c r="AB22" s="2" t="s">
        <v>41</v>
      </c>
      <c r="AC22" s="2" t="s">
        <v>105</v>
      </c>
      <c r="AD22" s="2"/>
      <c r="AE22" s="2" t="str">
        <f t="shared" si="10"/>
        <v>Not Required</v>
      </c>
      <c r="AF22" s="2" t="s">
        <v>169</v>
      </c>
    </row>
    <row r="23" spans="1:32" x14ac:dyDescent="0.3">
      <c r="A23" s="2" t="s">
        <v>170</v>
      </c>
      <c r="B23" s="2">
        <f t="shared" si="0"/>
        <v>1</v>
      </c>
      <c r="C23" s="12">
        <f>DATE(VALUE(RIGHT(D23,4)),MATCH(LEFT(D23,3),{"Jan","Feb","Mar","Apr","May","Jun","Jul","Aug","Sep","Oct","Nov","Dec"},0),VALUE(MID(D23,5,2)))</f>
        <v>46238</v>
      </c>
      <c r="D23" s="13" t="s">
        <v>171</v>
      </c>
      <c r="E23" s="2" t="s">
        <v>172</v>
      </c>
      <c r="F23" s="2" t="str">
        <f t="shared" si="1"/>
        <v>Email Available</v>
      </c>
      <c r="G23" s="2" t="s">
        <v>173</v>
      </c>
      <c r="H23" s="2" t="s">
        <v>85</v>
      </c>
      <c r="I23" s="2" t="s">
        <v>86</v>
      </c>
      <c r="J23" s="2" t="s">
        <v>87</v>
      </c>
      <c r="K23" s="2">
        <v>2</v>
      </c>
      <c r="L23" s="2">
        <v>54.99</v>
      </c>
      <c r="M23" s="19">
        <f t="shared" si="2"/>
        <v>54.99</v>
      </c>
      <c r="N23" s="2"/>
      <c r="O23" s="2" t="str">
        <f t="shared" si="3"/>
        <v/>
      </c>
      <c r="P23" s="2">
        <v>0</v>
      </c>
      <c r="Q23" s="19">
        <f t="shared" si="4"/>
        <v>0</v>
      </c>
      <c r="R23" s="2" t="str">
        <f t="shared" si="5"/>
        <v>Number</v>
      </c>
      <c r="S23" s="2">
        <v>0</v>
      </c>
      <c r="T23" s="19">
        <f t="shared" si="6"/>
        <v>0</v>
      </c>
      <c r="U23" s="2">
        <v>109.98</v>
      </c>
      <c r="V23" s="19">
        <f t="shared" si="7"/>
        <v>109.98</v>
      </c>
      <c r="W23" s="19">
        <f t="shared" si="8"/>
        <v>109.98</v>
      </c>
      <c r="X23" s="19" t="str">
        <f t="shared" si="9"/>
        <v>True</v>
      </c>
      <c r="Y23" s="19" t="str">
        <f>IF(OR(W23&lt;'Cleaning Tasks'!$G$18,W23&gt;'Cleaning Tasks'!$H$18),"Outlier","Normal")</f>
        <v>Outlier</v>
      </c>
      <c r="Z23" s="2" t="s">
        <v>39</v>
      </c>
      <c r="AA23" s="2" t="s">
        <v>88</v>
      </c>
      <c r="AB23" s="2" t="s">
        <v>50</v>
      </c>
      <c r="AC23" s="2" t="s">
        <v>29</v>
      </c>
      <c r="AD23" s="2" t="s">
        <v>67</v>
      </c>
      <c r="AE23" s="2" t="str">
        <f t="shared" si="10"/>
        <v>Valid</v>
      </c>
      <c r="AF23" s="2" t="s">
        <v>174</v>
      </c>
    </row>
    <row r="24" spans="1:32" x14ac:dyDescent="0.3">
      <c r="A24" s="2" t="s">
        <v>175</v>
      </c>
      <c r="B24" s="2">
        <f t="shared" si="0"/>
        <v>1</v>
      </c>
      <c r="C24" s="12">
        <f t="shared" ref="C24:C31" si="12">IF(ISNUMBER(D24),D24,DATEVALUE(SUBSTITUTE(TRIM(D24),CHAR(160)," ")))</f>
        <v>46238.581411620369</v>
      </c>
      <c r="D24" s="13">
        <v>46238.581411620369</v>
      </c>
      <c r="E24" s="2" t="s">
        <v>176</v>
      </c>
      <c r="F24" s="2" t="str">
        <f t="shared" si="1"/>
        <v>Email Available</v>
      </c>
      <c r="G24" s="2" t="s">
        <v>177</v>
      </c>
      <c r="H24" s="2" t="s">
        <v>130</v>
      </c>
      <c r="I24" s="2" t="s">
        <v>103</v>
      </c>
      <c r="J24" s="2" t="s">
        <v>131</v>
      </c>
      <c r="K24" s="2">
        <v>1</v>
      </c>
      <c r="L24" s="2">
        <v>16.989999999999998</v>
      </c>
      <c r="M24" s="19">
        <f t="shared" si="2"/>
        <v>16.989999999999998</v>
      </c>
      <c r="N24" s="2" t="s">
        <v>118</v>
      </c>
      <c r="O24" s="2" t="str">
        <f t="shared" si="3"/>
        <v>BFCM25</v>
      </c>
      <c r="P24" s="2">
        <v>4.25</v>
      </c>
      <c r="Q24" s="19">
        <f t="shared" si="4"/>
        <v>4.25</v>
      </c>
      <c r="R24" s="2" t="str">
        <f t="shared" si="5"/>
        <v>Number</v>
      </c>
      <c r="S24" s="2">
        <v>7.99</v>
      </c>
      <c r="T24" s="19">
        <f t="shared" si="6"/>
        <v>7.99</v>
      </c>
      <c r="U24" s="2">
        <v>20.73</v>
      </c>
      <c r="V24" s="19">
        <f t="shared" si="7"/>
        <v>20.73</v>
      </c>
      <c r="W24" s="19">
        <f t="shared" si="8"/>
        <v>20.729999999999997</v>
      </c>
      <c r="X24" s="19" t="str">
        <f t="shared" si="9"/>
        <v>True</v>
      </c>
      <c r="Y24" s="19" t="str">
        <f>IF(OR(W24&lt;'Cleaning Tasks'!$G$18,W24&gt;'Cleaning Tasks'!$H$18),"Outlier","Normal")</f>
        <v>Normal</v>
      </c>
      <c r="Z24" s="2" t="s">
        <v>39</v>
      </c>
      <c r="AA24" s="2" t="s">
        <v>111</v>
      </c>
      <c r="AB24" s="2" t="s">
        <v>28</v>
      </c>
      <c r="AC24" s="2" t="s">
        <v>29</v>
      </c>
      <c r="AD24" s="2" t="s">
        <v>73</v>
      </c>
      <c r="AE24" s="2" t="str">
        <f t="shared" si="10"/>
        <v>Valid</v>
      </c>
      <c r="AF24" s="2" t="s">
        <v>178</v>
      </c>
    </row>
    <row r="25" spans="1:32" x14ac:dyDescent="0.3">
      <c r="A25" s="2" t="s">
        <v>179</v>
      </c>
      <c r="B25" s="2">
        <f t="shared" si="0"/>
        <v>1</v>
      </c>
      <c r="C25" s="12">
        <f t="shared" si="12"/>
        <v>46238.586193090283</v>
      </c>
      <c r="D25" s="13">
        <v>46238.586193090283</v>
      </c>
      <c r="E25" s="2" t="s">
        <v>180</v>
      </c>
      <c r="F25" s="2" t="str">
        <f t="shared" si="1"/>
        <v>Email Available</v>
      </c>
      <c r="G25" s="2" t="s">
        <v>181</v>
      </c>
      <c r="H25" s="2" t="s">
        <v>182</v>
      </c>
      <c r="I25" s="2" t="s">
        <v>36</v>
      </c>
      <c r="J25" s="2" t="s">
        <v>183</v>
      </c>
      <c r="K25" s="2">
        <v>1</v>
      </c>
      <c r="L25" s="2">
        <v>11.99</v>
      </c>
      <c r="M25" s="19">
        <f t="shared" si="2"/>
        <v>11.99</v>
      </c>
      <c r="N25" s="2"/>
      <c r="O25" s="2" t="str">
        <f t="shared" si="3"/>
        <v/>
      </c>
      <c r="P25" s="2" t="s">
        <v>184</v>
      </c>
      <c r="Q25" s="19">
        <f t="shared" si="4"/>
        <v>0</v>
      </c>
      <c r="R25" s="2" t="str">
        <f t="shared" si="5"/>
        <v>Number</v>
      </c>
      <c r="S25" s="2">
        <v>4.99</v>
      </c>
      <c r="T25" s="19">
        <f t="shared" si="6"/>
        <v>4.99</v>
      </c>
      <c r="U25" s="2" t="s">
        <v>185</v>
      </c>
      <c r="V25" s="19">
        <f t="shared" si="7"/>
        <v>16.98</v>
      </c>
      <c r="W25" s="19">
        <f t="shared" si="8"/>
        <v>16.98</v>
      </c>
      <c r="X25" s="19" t="str">
        <f t="shared" si="9"/>
        <v>True</v>
      </c>
      <c r="Y25" s="19" t="str">
        <f>IF(OR(W25&lt;'Cleaning Tasks'!$G$18,W25&gt;'Cleaning Tasks'!$H$18),"Outlier","Normal")</f>
        <v>Normal</v>
      </c>
      <c r="Z25" s="2" t="s">
        <v>26</v>
      </c>
      <c r="AA25" s="2" t="s">
        <v>27</v>
      </c>
      <c r="AB25" s="2" t="s">
        <v>41</v>
      </c>
      <c r="AC25" s="2" t="s">
        <v>29</v>
      </c>
      <c r="AD25" s="2" t="s">
        <v>58</v>
      </c>
      <c r="AE25" s="2" t="str">
        <f t="shared" si="10"/>
        <v>Valid</v>
      </c>
      <c r="AF25" s="2" t="s">
        <v>186</v>
      </c>
    </row>
    <row r="26" spans="1:32" x14ac:dyDescent="0.3">
      <c r="A26" s="2" t="s">
        <v>187</v>
      </c>
      <c r="B26" s="2">
        <f t="shared" si="0"/>
        <v>1</v>
      </c>
      <c r="C26" s="12">
        <f t="shared" si="12"/>
        <v>46238</v>
      </c>
      <c r="D26" s="13" t="s">
        <v>99</v>
      </c>
      <c r="E26" s="2" t="s">
        <v>188</v>
      </c>
      <c r="F26" s="2" t="str">
        <f t="shared" si="1"/>
        <v>Email Available</v>
      </c>
      <c r="G26" s="2" t="s">
        <v>189</v>
      </c>
      <c r="H26" s="2" t="s">
        <v>190</v>
      </c>
      <c r="I26" s="2" t="s">
        <v>191</v>
      </c>
      <c r="J26" s="2" t="s">
        <v>192</v>
      </c>
      <c r="K26" s="2">
        <v>2</v>
      </c>
      <c r="L26" s="2">
        <v>13.49</v>
      </c>
      <c r="M26" s="19">
        <f t="shared" si="2"/>
        <v>13.49</v>
      </c>
      <c r="N26" s="2" t="s">
        <v>65</v>
      </c>
      <c r="O26" s="2" t="str">
        <f t="shared" si="3"/>
        <v>WELCOME10</v>
      </c>
      <c r="P26" s="2">
        <v>2.7</v>
      </c>
      <c r="Q26" s="19">
        <f t="shared" si="4"/>
        <v>2.7</v>
      </c>
      <c r="R26" s="2" t="str">
        <f t="shared" si="5"/>
        <v>Number</v>
      </c>
      <c r="S26" s="2">
        <v>5.99</v>
      </c>
      <c r="T26" s="19">
        <f t="shared" si="6"/>
        <v>5.99</v>
      </c>
      <c r="U26" s="2">
        <v>30.27</v>
      </c>
      <c r="V26" s="19">
        <f t="shared" si="7"/>
        <v>30.27</v>
      </c>
      <c r="W26" s="19">
        <f t="shared" si="8"/>
        <v>30.270000000000003</v>
      </c>
      <c r="X26" s="19" t="str">
        <f t="shared" si="9"/>
        <v>True</v>
      </c>
      <c r="Y26" s="19" t="str">
        <f>IF(OR(W26&lt;'Cleaning Tasks'!$G$18,W26&gt;'Cleaning Tasks'!$H$18),"Outlier","Normal")</f>
        <v>Normal</v>
      </c>
      <c r="Z26" s="2" t="s">
        <v>26</v>
      </c>
      <c r="AA26" s="2" t="s">
        <v>40</v>
      </c>
      <c r="AB26" s="2" t="s">
        <v>28</v>
      </c>
      <c r="AC26" s="2" t="s">
        <v>29</v>
      </c>
      <c r="AD26" s="2" t="s">
        <v>30</v>
      </c>
      <c r="AE26" s="2" t="str">
        <f t="shared" si="10"/>
        <v>Valid</v>
      </c>
      <c r="AF26" s="2" t="s">
        <v>193</v>
      </c>
    </row>
    <row r="27" spans="1:32" x14ac:dyDescent="0.3">
      <c r="A27" s="2" t="s">
        <v>194</v>
      </c>
      <c r="B27" s="2">
        <f t="shared" si="0"/>
        <v>1</v>
      </c>
      <c r="C27" s="12">
        <f t="shared" si="12"/>
        <v>46238.586678159721</v>
      </c>
      <c r="D27" s="13">
        <v>46238.586678159721</v>
      </c>
      <c r="E27" s="2" t="s">
        <v>195</v>
      </c>
      <c r="F27" s="2" t="str">
        <f t="shared" si="1"/>
        <v>Email Available</v>
      </c>
      <c r="G27" s="2" t="s">
        <v>196</v>
      </c>
      <c r="H27" s="2" t="s">
        <v>78</v>
      </c>
      <c r="I27" s="2" t="s">
        <v>79</v>
      </c>
      <c r="J27" s="2" t="s">
        <v>80</v>
      </c>
      <c r="K27" s="2">
        <v>1</v>
      </c>
      <c r="L27" s="2">
        <v>89.99</v>
      </c>
      <c r="M27" s="19">
        <f t="shared" si="2"/>
        <v>89.99</v>
      </c>
      <c r="N27" s="2"/>
      <c r="O27" s="2" t="str">
        <f t="shared" si="3"/>
        <v/>
      </c>
      <c r="P27" s="2">
        <v>0</v>
      </c>
      <c r="Q27" s="19">
        <f t="shared" si="4"/>
        <v>0</v>
      </c>
      <c r="R27" s="2" t="str">
        <f t="shared" si="5"/>
        <v>Number</v>
      </c>
      <c r="S27" s="2">
        <v>0</v>
      </c>
      <c r="T27" s="19">
        <f t="shared" si="6"/>
        <v>0</v>
      </c>
      <c r="U27" s="2">
        <v>89.99</v>
      </c>
      <c r="V27" s="19">
        <f t="shared" si="7"/>
        <v>89.99</v>
      </c>
      <c r="W27" s="19">
        <f t="shared" si="8"/>
        <v>89.99</v>
      </c>
      <c r="X27" s="19" t="str">
        <f t="shared" si="9"/>
        <v>True</v>
      </c>
      <c r="Y27" s="19" t="str">
        <f>IF(OR(W27&lt;'Cleaning Tasks'!$G$18,W27&gt;'Cleaning Tasks'!$H$18),"Outlier","Normal")</f>
        <v>Outlier</v>
      </c>
      <c r="Z27" s="2" t="s">
        <v>72</v>
      </c>
      <c r="AA27" s="2" t="s">
        <v>111</v>
      </c>
      <c r="AB27" s="2" t="s">
        <v>50</v>
      </c>
      <c r="AC27" s="2" t="s">
        <v>29</v>
      </c>
      <c r="AD27" s="2" t="s">
        <v>51</v>
      </c>
      <c r="AE27" s="2" t="str">
        <f t="shared" si="10"/>
        <v>Valid</v>
      </c>
      <c r="AF27" s="2" t="s">
        <v>197</v>
      </c>
    </row>
    <row r="28" spans="1:32" x14ac:dyDescent="0.3">
      <c r="A28" s="2" t="s">
        <v>198</v>
      </c>
      <c r="B28" s="2">
        <f t="shared" si="0"/>
        <v>1</v>
      </c>
      <c r="C28" s="12">
        <f t="shared" si="12"/>
        <v>46238.582524097219</v>
      </c>
      <c r="D28" s="13">
        <v>46238.582524097219</v>
      </c>
      <c r="E28" s="2" t="s">
        <v>199</v>
      </c>
      <c r="F28" s="2" t="str">
        <f t="shared" si="1"/>
        <v>Email Available</v>
      </c>
      <c r="G28" s="2" t="s">
        <v>200</v>
      </c>
      <c r="H28" s="2" t="s">
        <v>201</v>
      </c>
      <c r="I28" s="2" t="s">
        <v>191</v>
      </c>
      <c r="J28" s="2" t="s">
        <v>202</v>
      </c>
      <c r="K28" s="2">
        <v>1</v>
      </c>
      <c r="L28" s="2">
        <v>24.99</v>
      </c>
      <c r="M28" s="19">
        <f t="shared" si="2"/>
        <v>24.99</v>
      </c>
      <c r="N28" s="2" t="s">
        <v>203</v>
      </c>
      <c r="O28" s="2" t="str">
        <f t="shared" si="3"/>
        <v>VIP15</v>
      </c>
      <c r="P28" s="2">
        <v>3.75</v>
      </c>
      <c r="Q28" s="19">
        <f t="shared" si="4"/>
        <v>3.75</v>
      </c>
      <c r="R28" s="2" t="str">
        <f t="shared" si="5"/>
        <v>Number</v>
      </c>
      <c r="S28" s="2">
        <v>7.99</v>
      </c>
      <c r="T28" s="19">
        <f t="shared" si="6"/>
        <v>7.99</v>
      </c>
      <c r="U28" s="2">
        <v>29.23</v>
      </c>
      <c r="V28" s="19">
        <f t="shared" si="7"/>
        <v>29.23</v>
      </c>
      <c r="W28" s="19">
        <f t="shared" si="8"/>
        <v>29.229999999999997</v>
      </c>
      <c r="X28" s="19" t="str">
        <f t="shared" si="9"/>
        <v>True</v>
      </c>
      <c r="Y28" s="19" t="str">
        <f>IF(OR(W28&lt;'Cleaning Tasks'!$G$18,W28&gt;'Cleaning Tasks'!$H$18),"Outlier","Normal")</f>
        <v>Normal</v>
      </c>
      <c r="Z28" s="2" t="s">
        <v>66</v>
      </c>
      <c r="AA28" s="2" t="s">
        <v>27</v>
      </c>
      <c r="AB28" s="2" t="s">
        <v>28</v>
      </c>
      <c r="AC28" s="2" t="s">
        <v>73</v>
      </c>
      <c r="AD28" s="2"/>
      <c r="AE28" s="2" t="str">
        <f t="shared" si="10"/>
        <v>Not Required</v>
      </c>
      <c r="AF28" s="2" t="s">
        <v>204</v>
      </c>
    </row>
    <row r="29" spans="1:32" x14ac:dyDescent="0.3">
      <c r="A29" s="2" t="s">
        <v>205</v>
      </c>
      <c r="B29" s="2">
        <f t="shared" si="0"/>
        <v>1</v>
      </c>
      <c r="C29" s="12">
        <f t="shared" si="12"/>
        <v>46238.579125081022</v>
      </c>
      <c r="D29" s="13">
        <v>46238.579125081022</v>
      </c>
      <c r="E29" s="2" t="s">
        <v>206</v>
      </c>
      <c r="F29" s="2" t="str">
        <f t="shared" si="1"/>
        <v>Email Available</v>
      </c>
      <c r="G29" s="2" t="s">
        <v>207</v>
      </c>
      <c r="H29" s="2" t="s">
        <v>56</v>
      </c>
      <c r="I29" s="2" t="s">
        <v>22</v>
      </c>
      <c r="J29" s="2" t="s">
        <v>57</v>
      </c>
      <c r="K29" s="2">
        <v>1</v>
      </c>
      <c r="L29" s="2" t="s">
        <v>208</v>
      </c>
      <c r="M29" s="19">
        <f t="shared" si="2"/>
        <v>9.99</v>
      </c>
      <c r="N29" s="2"/>
      <c r="O29" s="2" t="str">
        <f t="shared" si="3"/>
        <v/>
      </c>
      <c r="P29" s="2">
        <v>0</v>
      </c>
      <c r="Q29" s="19">
        <f t="shared" si="4"/>
        <v>0</v>
      </c>
      <c r="R29" s="2" t="str">
        <f t="shared" si="5"/>
        <v>Number</v>
      </c>
      <c r="S29" s="2">
        <v>7.99</v>
      </c>
      <c r="T29" s="19">
        <f t="shared" si="6"/>
        <v>7.99</v>
      </c>
      <c r="U29" s="2">
        <v>17.98</v>
      </c>
      <c r="V29" s="19">
        <f t="shared" si="7"/>
        <v>17.98</v>
      </c>
      <c r="W29" s="19">
        <f t="shared" si="8"/>
        <v>17.98</v>
      </c>
      <c r="X29" s="19" t="str">
        <f t="shared" si="9"/>
        <v>True</v>
      </c>
      <c r="Y29" s="19" t="str">
        <f>IF(OR(W29&lt;'Cleaning Tasks'!$G$18,W29&gt;'Cleaning Tasks'!$H$18),"Outlier","Normal")</f>
        <v>Normal</v>
      </c>
      <c r="Z29" s="2" t="s">
        <v>39</v>
      </c>
      <c r="AA29" s="2" t="s">
        <v>111</v>
      </c>
      <c r="AB29" s="2" t="s">
        <v>50</v>
      </c>
      <c r="AC29" s="2" t="s">
        <v>105</v>
      </c>
      <c r="AD29" s="2"/>
      <c r="AE29" s="2" t="str">
        <f t="shared" si="10"/>
        <v>Not Required</v>
      </c>
      <c r="AF29" s="2" t="s">
        <v>209</v>
      </c>
    </row>
    <row r="30" spans="1:32" x14ac:dyDescent="0.3">
      <c r="A30" s="2" t="s">
        <v>210</v>
      </c>
      <c r="B30" s="2">
        <f t="shared" si="0"/>
        <v>1</v>
      </c>
      <c r="C30" s="12">
        <f t="shared" si="12"/>
        <v>46238.579799432868</v>
      </c>
      <c r="D30" s="13">
        <v>46238.579799432868</v>
      </c>
      <c r="E30" s="2" t="s">
        <v>180</v>
      </c>
      <c r="F30" s="2" t="str">
        <f t="shared" si="1"/>
        <v>Email Available</v>
      </c>
      <c r="G30" s="2" t="s">
        <v>181</v>
      </c>
      <c r="H30" s="2" t="s">
        <v>190</v>
      </c>
      <c r="I30" s="2" t="s">
        <v>191</v>
      </c>
      <c r="J30" s="2" t="s">
        <v>192</v>
      </c>
      <c r="K30" s="2">
        <v>1</v>
      </c>
      <c r="L30" s="2">
        <v>13.49</v>
      </c>
      <c r="M30" s="19">
        <f t="shared" si="2"/>
        <v>13.49</v>
      </c>
      <c r="N30" s="2" t="s">
        <v>38</v>
      </c>
      <c r="O30" s="2" t="str">
        <f t="shared" si="3"/>
        <v>FREESHIP</v>
      </c>
      <c r="P30" s="2">
        <v>0</v>
      </c>
      <c r="Q30" s="19">
        <f t="shared" si="4"/>
        <v>0</v>
      </c>
      <c r="R30" s="2" t="str">
        <f t="shared" si="5"/>
        <v>Number</v>
      </c>
      <c r="S30" s="2">
        <v>0</v>
      </c>
      <c r="T30" s="19">
        <f t="shared" si="6"/>
        <v>0</v>
      </c>
      <c r="U30" s="2">
        <v>13.49</v>
      </c>
      <c r="V30" s="19">
        <f t="shared" si="7"/>
        <v>13.49</v>
      </c>
      <c r="W30" s="19">
        <f t="shared" si="8"/>
        <v>13.49</v>
      </c>
      <c r="X30" s="19" t="str">
        <f t="shared" si="9"/>
        <v>True</v>
      </c>
      <c r="Y30" s="19" t="str">
        <f>IF(OR(W30&lt;'Cleaning Tasks'!$G$18,W30&gt;'Cleaning Tasks'!$H$18),"Outlier","Normal")</f>
        <v>Normal</v>
      </c>
      <c r="Z30" s="2" t="s">
        <v>49</v>
      </c>
      <c r="AA30" s="2" t="s">
        <v>27</v>
      </c>
      <c r="AB30" s="2" t="s">
        <v>41</v>
      </c>
      <c r="AC30" s="2" t="s">
        <v>29</v>
      </c>
      <c r="AD30" s="2" t="s">
        <v>89</v>
      </c>
      <c r="AE30" s="2" t="str">
        <f t="shared" si="10"/>
        <v>Valid</v>
      </c>
      <c r="AF30" s="2" t="s">
        <v>211</v>
      </c>
    </row>
    <row r="31" spans="1:32" x14ac:dyDescent="0.3">
      <c r="A31" s="2" t="s">
        <v>212</v>
      </c>
      <c r="B31" s="2">
        <f t="shared" si="0"/>
        <v>1</v>
      </c>
      <c r="C31" s="12">
        <f t="shared" si="12"/>
        <v>46238.586074432867</v>
      </c>
      <c r="D31" s="13">
        <v>46238.586074432867</v>
      </c>
      <c r="E31" s="2" t="s">
        <v>213</v>
      </c>
      <c r="F31" s="2" t="str">
        <f t="shared" si="1"/>
        <v>Email Available</v>
      </c>
      <c r="G31" s="2" t="s">
        <v>214</v>
      </c>
      <c r="H31" s="2" t="s">
        <v>166</v>
      </c>
      <c r="I31" s="2" t="s">
        <v>103</v>
      </c>
      <c r="J31" s="2" t="s">
        <v>167</v>
      </c>
      <c r="K31" s="2">
        <v>2</v>
      </c>
      <c r="L31" s="2">
        <v>32.99</v>
      </c>
      <c r="M31" s="19">
        <f t="shared" si="2"/>
        <v>32.99</v>
      </c>
      <c r="N31" s="2"/>
      <c r="O31" s="2" t="str">
        <f t="shared" si="3"/>
        <v/>
      </c>
      <c r="P31" s="2">
        <v>0</v>
      </c>
      <c r="Q31" s="19">
        <f t="shared" si="4"/>
        <v>0</v>
      </c>
      <c r="R31" s="2" t="str">
        <f t="shared" si="5"/>
        <v>Number</v>
      </c>
      <c r="S31" s="2">
        <v>5.99</v>
      </c>
      <c r="T31" s="19">
        <f t="shared" si="6"/>
        <v>5.99</v>
      </c>
      <c r="U31" s="2">
        <v>71.97</v>
      </c>
      <c r="V31" s="19">
        <f t="shared" si="7"/>
        <v>71.97</v>
      </c>
      <c r="W31" s="19">
        <f t="shared" si="8"/>
        <v>71.97</v>
      </c>
      <c r="X31" s="19" t="str">
        <f t="shared" si="9"/>
        <v>True</v>
      </c>
      <c r="Y31" s="19" t="str">
        <f>IF(OR(W31&lt;'Cleaning Tasks'!$G$18,W31&gt;'Cleaning Tasks'!$H$18),"Outlier","Normal")</f>
        <v>Normal</v>
      </c>
      <c r="Z31" s="2" t="s">
        <v>39</v>
      </c>
      <c r="AA31" s="2" t="s">
        <v>27</v>
      </c>
      <c r="AB31" s="2" t="s">
        <v>50</v>
      </c>
      <c r="AC31" s="2" t="s">
        <v>29</v>
      </c>
      <c r="AD31" s="2" t="s">
        <v>89</v>
      </c>
      <c r="AE31" s="2" t="str">
        <f t="shared" si="10"/>
        <v>Valid</v>
      </c>
      <c r="AF31" s="2" t="s">
        <v>215</v>
      </c>
    </row>
    <row r="32" spans="1:32" x14ac:dyDescent="0.3">
      <c r="A32" s="2" t="s">
        <v>216</v>
      </c>
      <c r="B32" s="2">
        <f t="shared" si="0"/>
        <v>1</v>
      </c>
      <c r="C32" s="12">
        <f>DATE(VALUE(RIGHT(D32,4)),MATCH(LEFT(D32,3),{"Jan","Feb","Mar","Apr","May","Jun","Jul","Aug","Sep","Oct","Nov","Dec"},0),VALUE(MID(D32,5,2)))</f>
        <v>46238</v>
      </c>
      <c r="D32" s="13" t="s">
        <v>171</v>
      </c>
      <c r="E32" s="2" t="s">
        <v>164</v>
      </c>
      <c r="F32" s="2" t="str">
        <f t="shared" si="1"/>
        <v>Email Available</v>
      </c>
      <c r="G32" s="2" t="s">
        <v>165</v>
      </c>
      <c r="H32" s="2" t="s">
        <v>182</v>
      </c>
      <c r="I32" s="2" t="s">
        <v>36</v>
      </c>
      <c r="J32" s="2" t="s">
        <v>183</v>
      </c>
      <c r="K32" s="2">
        <v>1</v>
      </c>
      <c r="L32" s="2">
        <v>11.99</v>
      </c>
      <c r="M32" s="19">
        <f t="shared" si="2"/>
        <v>11.99</v>
      </c>
      <c r="N32" s="2" t="s">
        <v>24</v>
      </c>
      <c r="O32" s="2" t="str">
        <f t="shared" si="3"/>
        <v>SAVE20</v>
      </c>
      <c r="P32" s="2">
        <v>2.4</v>
      </c>
      <c r="Q32" s="19">
        <f t="shared" si="4"/>
        <v>2.4</v>
      </c>
      <c r="R32" s="2" t="str">
        <f t="shared" si="5"/>
        <v>Number</v>
      </c>
      <c r="S32" s="2">
        <v>7.99</v>
      </c>
      <c r="T32" s="19">
        <f t="shared" si="6"/>
        <v>7.99</v>
      </c>
      <c r="U32" s="2">
        <v>17.579999999999998</v>
      </c>
      <c r="V32" s="19">
        <f t="shared" si="7"/>
        <v>17.579999999999998</v>
      </c>
      <c r="W32" s="19">
        <f t="shared" si="8"/>
        <v>17.579999999999998</v>
      </c>
      <c r="X32" s="19" t="str">
        <f t="shared" si="9"/>
        <v>True</v>
      </c>
      <c r="Y32" s="19" t="str">
        <f>IF(OR(W32&lt;'Cleaning Tasks'!$G$18,W32&gt;'Cleaning Tasks'!$H$18),"Outlier","Normal")</f>
        <v>Normal</v>
      </c>
      <c r="Z32" s="2" t="s">
        <v>49</v>
      </c>
      <c r="AA32" s="2" t="s">
        <v>40</v>
      </c>
      <c r="AB32" s="2" t="s">
        <v>28</v>
      </c>
      <c r="AC32" s="2" t="s">
        <v>105</v>
      </c>
      <c r="AD32" s="2"/>
      <c r="AE32" s="2" t="str">
        <f t="shared" si="10"/>
        <v>Not Required</v>
      </c>
      <c r="AF32" s="2" t="s">
        <v>217</v>
      </c>
    </row>
    <row r="33" spans="1:32" x14ac:dyDescent="0.3">
      <c r="A33" s="2" t="s">
        <v>218</v>
      </c>
      <c r="B33" s="2">
        <f t="shared" si="0"/>
        <v>1</v>
      </c>
      <c r="C33" s="12">
        <f t="shared" ref="C33:C43" si="13">IF(ISNUMBER(D33),D33,DATEVALUE(SUBSTITUTE(TRIM(D33),CHAR(160)," ")))</f>
        <v>46238.589096898148</v>
      </c>
      <c r="D33" s="13">
        <v>46238.589096898148</v>
      </c>
      <c r="E33" s="2" t="s">
        <v>219</v>
      </c>
      <c r="F33" s="2" t="str">
        <f t="shared" si="1"/>
        <v>Email Available</v>
      </c>
      <c r="G33" s="2" t="s">
        <v>220</v>
      </c>
      <c r="H33" s="2" t="s">
        <v>221</v>
      </c>
      <c r="I33" s="2" t="s">
        <v>22</v>
      </c>
      <c r="J33" s="2" t="s">
        <v>222</v>
      </c>
      <c r="K33" s="2">
        <v>2</v>
      </c>
      <c r="L33" s="2">
        <v>17.989999999999998</v>
      </c>
      <c r="M33" s="19">
        <f t="shared" si="2"/>
        <v>17.989999999999998</v>
      </c>
      <c r="N33" s="2"/>
      <c r="O33" s="2" t="str">
        <f t="shared" si="3"/>
        <v/>
      </c>
      <c r="P33" s="2">
        <v>0</v>
      </c>
      <c r="Q33" s="19">
        <f t="shared" si="4"/>
        <v>0</v>
      </c>
      <c r="R33" s="2" t="str">
        <f t="shared" si="5"/>
        <v>Number</v>
      </c>
      <c r="S33" s="2">
        <v>4.99</v>
      </c>
      <c r="T33" s="19">
        <f t="shared" si="6"/>
        <v>4.99</v>
      </c>
      <c r="U33" s="2">
        <v>40.97</v>
      </c>
      <c r="V33" s="19">
        <f t="shared" si="7"/>
        <v>40.97</v>
      </c>
      <c r="W33" s="19">
        <f t="shared" si="8"/>
        <v>40.97</v>
      </c>
      <c r="X33" s="19" t="str">
        <f t="shared" si="9"/>
        <v>True</v>
      </c>
      <c r="Y33" s="19" t="str">
        <f>IF(OR(W33&lt;'Cleaning Tasks'!$G$18,W33&gt;'Cleaning Tasks'!$H$18),"Outlier","Normal")</f>
        <v>Normal</v>
      </c>
      <c r="Z33" s="2" t="s">
        <v>72</v>
      </c>
      <c r="AA33" s="2" t="s">
        <v>88</v>
      </c>
      <c r="AB33" s="2" t="s">
        <v>50</v>
      </c>
      <c r="AC33" s="2" t="s">
        <v>223</v>
      </c>
      <c r="AD33" s="2"/>
      <c r="AE33" s="2" t="str">
        <f t="shared" si="10"/>
        <v>Not Required</v>
      </c>
      <c r="AF33" s="2" t="s">
        <v>224</v>
      </c>
    </row>
    <row r="34" spans="1:32" x14ac:dyDescent="0.3">
      <c r="A34" s="2" t="s">
        <v>225</v>
      </c>
      <c r="B34" s="2">
        <f t="shared" si="0"/>
        <v>1</v>
      </c>
      <c r="C34" s="12">
        <f t="shared" si="13"/>
        <v>46238.585116678238</v>
      </c>
      <c r="D34" s="13">
        <v>46238.585116678238</v>
      </c>
      <c r="E34" s="2" t="s">
        <v>226</v>
      </c>
      <c r="F34" s="2" t="str">
        <f t="shared" si="1"/>
        <v>Email Available</v>
      </c>
      <c r="G34" s="2" t="s">
        <v>227</v>
      </c>
      <c r="H34" s="2" t="s">
        <v>201</v>
      </c>
      <c r="I34" s="2" t="s">
        <v>191</v>
      </c>
      <c r="J34" s="2" t="s">
        <v>202</v>
      </c>
      <c r="K34" s="2">
        <v>1</v>
      </c>
      <c r="L34" s="2">
        <v>24.99</v>
      </c>
      <c r="M34" s="19">
        <f t="shared" si="2"/>
        <v>24.99</v>
      </c>
      <c r="N34" s="2" t="s">
        <v>228</v>
      </c>
      <c r="O34" s="2" t="str">
        <f t="shared" si="3"/>
        <v>VIP15</v>
      </c>
      <c r="P34" s="2">
        <v>3.75</v>
      </c>
      <c r="Q34" s="19">
        <f t="shared" si="4"/>
        <v>3.75</v>
      </c>
      <c r="R34" s="2" t="str">
        <f t="shared" si="5"/>
        <v>Number</v>
      </c>
      <c r="S34" s="2">
        <v>5.99</v>
      </c>
      <c r="T34" s="19">
        <f t="shared" si="6"/>
        <v>5.99</v>
      </c>
      <c r="U34" s="2">
        <v>27.23</v>
      </c>
      <c r="V34" s="19">
        <f t="shared" si="7"/>
        <v>27.23</v>
      </c>
      <c r="W34" s="19">
        <f t="shared" si="8"/>
        <v>27.229999999999997</v>
      </c>
      <c r="X34" s="19" t="str">
        <f t="shared" si="9"/>
        <v>True</v>
      </c>
      <c r="Y34" s="19" t="str">
        <f>IF(OR(W34&lt;'Cleaning Tasks'!$G$18,W34&gt;'Cleaning Tasks'!$H$18),"Outlier","Normal")</f>
        <v>Normal</v>
      </c>
      <c r="Z34" s="2" t="s">
        <v>26</v>
      </c>
      <c r="AA34" s="2" t="s">
        <v>27</v>
      </c>
      <c r="AB34" s="2" t="s">
        <v>50</v>
      </c>
      <c r="AC34" s="2" t="s">
        <v>29</v>
      </c>
      <c r="AD34" s="2" t="s">
        <v>112</v>
      </c>
      <c r="AE34" s="2" t="str">
        <f t="shared" si="10"/>
        <v>Valid</v>
      </c>
      <c r="AF34" s="2" t="s">
        <v>229</v>
      </c>
    </row>
    <row r="35" spans="1:32" x14ac:dyDescent="0.3">
      <c r="A35" s="2" t="s">
        <v>230</v>
      </c>
      <c r="B35" s="2">
        <f t="shared" si="0"/>
        <v>1</v>
      </c>
      <c r="C35" s="12">
        <f t="shared" si="13"/>
        <v>46238.58039221065</v>
      </c>
      <c r="D35" s="13">
        <v>46238.58039221065</v>
      </c>
      <c r="E35" s="2" t="s">
        <v>231</v>
      </c>
      <c r="F35" s="2" t="str">
        <f t="shared" si="1"/>
        <v>Missing Email</v>
      </c>
      <c r="G35" s="2"/>
      <c r="H35" s="2" t="s">
        <v>124</v>
      </c>
      <c r="I35" s="2" t="s">
        <v>79</v>
      </c>
      <c r="J35" s="2" t="s">
        <v>125</v>
      </c>
      <c r="K35" s="2">
        <v>2</v>
      </c>
      <c r="L35" s="2">
        <v>13.99</v>
      </c>
      <c r="M35" s="19">
        <f t="shared" si="2"/>
        <v>13.99</v>
      </c>
      <c r="N35" s="2" t="s">
        <v>65</v>
      </c>
      <c r="O35" s="2" t="str">
        <f t="shared" si="3"/>
        <v>WELCOME10</v>
      </c>
      <c r="P35" s="2">
        <v>2.8</v>
      </c>
      <c r="Q35" s="19">
        <f t="shared" si="4"/>
        <v>2.8</v>
      </c>
      <c r="R35" s="2" t="str">
        <f t="shared" si="5"/>
        <v>Number</v>
      </c>
      <c r="S35" s="2">
        <v>4.99</v>
      </c>
      <c r="T35" s="19">
        <f t="shared" si="6"/>
        <v>4.99</v>
      </c>
      <c r="U35" s="2">
        <v>30.17</v>
      </c>
      <c r="V35" s="19">
        <f t="shared" si="7"/>
        <v>30.17</v>
      </c>
      <c r="W35" s="19">
        <f t="shared" si="8"/>
        <v>30.17</v>
      </c>
      <c r="X35" s="19" t="str">
        <f t="shared" si="9"/>
        <v>True</v>
      </c>
      <c r="Y35" s="19" t="str">
        <f>IF(OR(W35&lt;'Cleaning Tasks'!$G$18,W35&gt;'Cleaning Tasks'!$H$18),"Outlier","Normal")</f>
        <v>Normal</v>
      </c>
      <c r="Z35" s="2" t="s">
        <v>39</v>
      </c>
      <c r="AA35" s="2" t="s">
        <v>27</v>
      </c>
      <c r="AB35" s="2" t="s">
        <v>50</v>
      </c>
      <c r="AC35" s="2" t="s">
        <v>42</v>
      </c>
      <c r="AD35" s="2"/>
      <c r="AE35" s="2" t="str">
        <f t="shared" si="10"/>
        <v>Not Required</v>
      </c>
      <c r="AF35" s="2" t="s">
        <v>232</v>
      </c>
    </row>
    <row r="36" spans="1:32" x14ac:dyDescent="0.3">
      <c r="A36" s="2" t="s">
        <v>233</v>
      </c>
      <c r="B36" s="2">
        <f t="shared" si="0"/>
        <v>1</v>
      </c>
      <c r="C36" s="12">
        <f t="shared" si="13"/>
        <v>46238.58307148148</v>
      </c>
      <c r="D36" s="13">
        <v>46238.58307148148</v>
      </c>
      <c r="E36" s="2" t="s">
        <v>234</v>
      </c>
      <c r="F36" s="2" t="str">
        <f t="shared" si="1"/>
        <v>Email Available</v>
      </c>
      <c r="G36" s="2" t="s">
        <v>235</v>
      </c>
      <c r="H36" s="2" t="s">
        <v>236</v>
      </c>
      <c r="I36" s="2" t="s">
        <v>237</v>
      </c>
      <c r="J36" s="2" t="s">
        <v>238</v>
      </c>
      <c r="K36" s="2">
        <v>2</v>
      </c>
      <c r="L36" s="2">
        <v>27.99</v>
      </c>
      <c r="M36" s="19">
        <f t="shared" si="2"/>
        <v>27.99</v>
      </c>
      <c r="N36" s="2"/>
      <c r="O36" s="2" t="str">
        <f t="shared" si="3"/>
        <v/>
      </c>
      <c r="P36" s="2">
        <v>0</v>
      </c>
      <c r="Q36" s="19">
        <f t="shared" si="4"/>
        <v>0</v>
      </c>
      <c r="R36" s="2" t="str">
        <f t="shared" si="5"/>
        <v>Number</v>
      </c>
      <c r="S36" s="2">
        <v>5.99</v>
      </c>
      <c r="T36" s="19">
        <f t="shared" si="6"/>
        <v>5.99</v>
      </c>
      <c r="U36" s="2">
        <v>61.97</v>
      </c>
      <c r="V36" s="19">
        <f t="shared" si="7"/>
        <v>61.97</v>
      </c>
      <c r="W36" s="19">
        <f t="shared" si="8"/>
        <v>61.97</v>
      </c>
      <c r="X36" s="19" t="str">
        <f t="shared" si="9"/>
        <v>True</v>
      </c>
      <c r="Y36" s="19" t="str">
        <f>IF(OR(W36&lt;'Cleaning Tasks'!$G$18,W36&gt;'Cleaning Tasks'!$H$18),"Outlier","Normal")</f>
        <v>Normal</v>
      </c>
      <c r="Z36" s="2" t="s">
        <v>72</v>
      </c>
      <c r="AA36" s="2" t="s">
        <v>27</v>
      </c>
      <c r="AB36" s="2" t="s">
        <v>50</v>
      </c>
      <c r="AC36" s="2" t="s">
        <v>73</v>
      </c>
      <c r="AD36" s="2"/>
      <c r="AE36" s="2" t="str">
        <f t="shared" si="10"/>
        <v>Not Required</v>
      </c>
      <c r="AF36" s="2" t="s">
        <v>239</v>
      </c>
    </row>
    <row r="37" spans="1:32" x14ac:dyDescent="0.3">
      <c r="A37" s="2" t="s">
        <v>240</v>
      </c>
      <c r="B37" s="2">
        <f t="shared" si="0"/>
        <v>1</v>
      </c>
      <c r="C37" s="12">
        <f t="shared" si="13"/>
        <v>46238.580923831018</v>
      </c>
      <c r="D37" s="13">
        <v>46238.580923831018</v>
      </c>
      <c r="E37" s="2" t="s">
        <v>241</v>
      </c>
      <c r="F37" s="2" t="str">
        <f t="shared" si="1"/>
        <v>Email Available</v>
      </c>
      <c r="G37" s="2" t="s">
        <v>242</v>
      </c>
      <c r="H37" s="2" t="s">
        <v>63</v>
      </c>
      <c r="I37" s="2" t="s">
        <v>47</v>
      </c>
      <c r="J37" s="2" t="s">
        <v>64</v>
      </c>
      <c r="K37" s="2">
        <v>2</v>
      </c>
      <c r="L37" s="2">
        <v>14.99</v>
      </c>
      <c r="M37" s="19">
        <f t="shared" si="2"/>
        <v>14.99</v>
      </c>
      <c r="N37" s="2" t="s">
        <v>65</v>
      </c>
      <c r="O37" s="2" t="str">
        <f t="shared" si="3"/>
        <v>WELCOME10</v>
      </c>
      <c r="P37" s="2">
        <v>3</v>
      </c>
      <c r="Q37" s="19">
        <f t="shared" si="4"/>
        <v>3</v>
      </c>
      <c r="R37" s="2" t="str">
        <f t="shared" si="5"/>
        <v>Number</v>
      </c>
      <c r="S37" s="2">
        <v>7.99</v>
      </c>
      <c r="T37" s="19">
        <f t="shared" si="6"/>
        <v>7.99</v>
      </c>
      <c r="U37" s="2">
        <v>34.97</v>
      </c>
      <c r="V37" s="19">
        <f t="shared" si="7"/>
        <v>34.97</v>
      </c>
      <c r="W37" s="19">
        <f t="shared" si="8"/>
        <v>34.97</v>
      </c>
      <c r="X37" s="19" t="str">
        <f t="shared" si="9"/>
        <v>True</v>
      </c>
      <c r="Y37" s="19" t="str">
        <f>IF(OR(W37&lt;'Cleaning Tasks'!$G$18,W37&gt;'Cleaning Tasks'!$H$18),"Outlier","Normal")</f>
        <v>Normal</v>
      </c>
      <c r="Z37" s="2" t="s">
        <v>72</v>
      </c>
      <c r="AA37" s="2" t="s">
        <v>40</v>
      </c>
      <c r="AB37" s="2" t="s">
        <v>50</v>
      </c>
      <c r="AC37" s="2" t="s">
        <v>29</v>
      </c>
      <c r="AD37" s="2" t="s">
        <v>243</v>
      </c>
      <c r="AE37" s="2" t="str">
        <f t="shared" si="10"/>
        <v>Valid</v>
      </c>
      <c r="AF37" s="2" t="s">
        <v>244</v>
      </c>
    </row>
    <row r="38" spans="1:32" x14ac:dyDescent="0.3">
      <c r="A38" s="2" t="s">
        <v>245</v>
      </c>
      <c r="B38" s="2">
        <f t="shared" si="0"/>
        <v>1</v>
      </c>
      <c r="C38" s="12">
        <f t="shared" si="13"/>
        <v>46238</v>
      </c>
      <c r="D38" s="13">
        <v>46238</v>
      </c>
      <c r="E38" s="2" t="s">
        <v>246</v>
      </c>
      <c r="F38" s="2" t="str">
        <f t="shared" si="1"/>
        <v>Email Available</v>
      </c>
      <c r="G38" s="2" t="s">
        <v>247</v>
      </c>
      <c r="H38" s="2" t="s">
        <v>166</v>
      </c>
      <c r="I38" s="2" t="s">
        <v>103</v>
      </c>
      <c r="J38" s="2" t="s">
        <v>167</v>
      </c>
      <c r="K38" s="2">
        <v>2</v>
      </c>
      <c r="L38" s="2">
        <v>32.99</v>
      </c>
      <c r="M38" s="19">
        <f t="shared" si="2"/>
        <v>32.99</v>
      </c>
      <c r="N38" s="2" t="s">
        <v>24</v>
      </c>
      <c r="O38" s="2" t="str">
        <f t="shared" si="3"/>
        <v>SAVE20</v>
      </c>
      <c r="P38" s="2">
        <v>13.2</v>
      </c>
      <c r="Q38" s="19">
        <f t="shared" si="4"/>
        <v>13.2</v>
      </c>
      <c r="R38" s="2" t="str">
        <f t="shared" si="5"/>
        <v>Number</v>
      </c>
      <c r="S38" s="2">
        <v>5.99</v>
      </c>
      <c r="T38" s="19">
        <f t="shared" si="6"/>
        <v>5.99</v>
      </c>
      <c r="U38" s="2">
        <v>58.77</v>
      </c>
      <c r="V38" s="19">
        <f t="shared" si="7"/>
        <v>58.77</v>
      </c>
      <c r="W38" s="19">
        <f t="shared" si="8"/>
        <v>58.77</v>
      </c>
      <c r="X38" s="19" t="str">
        <f t="shared" si="9"/>
        <v>True</v>
      </c>
      <c r="Y38" s="19" t="str">
        <f>IF(OR(W38&lt;'Cleaning Tasks'!$G$18,W38&gt;'Cleaning Tasks'!$H$18),"Outlier","Normal")</f>
        <v>Normal</v>
      </c>
      <c r="Z38" s="2" t="s">
        <v>49</v>
      </c>
      <c r="AA38" s="2" t="s">
        <v>27</v>
      </c>
      <c r="AB38" s="2" t="s">
        <v>96</v>
      </c>
      <c r="AC38" s="2" t="s">
        <v>42</v>
      </c>
      <c r="AD38" s="2"/>
      <c r="AE38" s="2" t="str">
        <f t="shared" si="10"/>
        <v>Not Required</v>
      </c>
      <c r="AF38" s="2" t="s">
        <v>248</v>
      </c>
    </row>
    <row r="39" spans="1:32" x14ac:dyDescent="0.3">
      <c r="A39" s="2" t="s">
        <v>249</v>
      </c>
      <c r="B39" s="2">
        <f t="shared" si="0"/>
        <v>1</v>
      </c>
      <c r="C39" s="12">
        <f t="shared" si="13"/>
        <v>46238</v>
      </c>
      <c r="D39" s="13" t="s">
        <v>250</v>
      </c>
      <c r="E39" s="2" t="s">
        <v>251</v>
      </c>
      <c r="F39" s="2" t="str">
        <f t="shared" si="1"/>
        <v>Missing Email</v>
      </c>
      <c r="G39" s="2"/>
      <c r="H39" s="2" t="s">
        <v>117</v>
      </c>
      <c r="I39" s="2" t="s">
        <v>22</v>
      </c>
      <c r="J39" s="2" t="s">
        <v>23</v>
      </c>
      <c r="K39" s="2">
        <v>2</v>
      </c>
      <c r="L39" s="2">
        <v>12.99</v>
      </c>
      <c r="M39" s="19">
        <f t="shared" si="2"/>
        <v>12.99</v>
      </c>
      <c r="N39" s="2"/>
      <c r="O39" s="2" t="str">
        <f t="shared" si="3"/>
        <v/>
      </c>
      <c r="P39" s="2">
        <v>0</v>
      </c>
      <c r="Q39" s="19">
        <f t="shared" si="4"/>
        <v>0</v>
      </c>
      <c r="R39" s="2" t="str">
        <f t="shared" si="5"/>
        <v>Number</v>
      </c>
      <c r="S39" s="2">
        <v>4.99</v>
      </c>
      <c r="T39" s="19">
        <f t="shared" si="6"/>
        <v>4.99</v>
      </c>
      <c r="U39" s="2">
        <v>30.97</v>
      </c>
      <c r="V39" s="19">
        <f t="shared" si="7"/>
        <v>30.97</v>
      </c>
      <c r="W39" s="19">
        <f t="shared" si="8"/>
        <v>30.97</v>
      </c>
      <c r="X39" s="19" t="str">
        <f t="shared" si="9"/>
        <v>True</v>
      </c>
      <c r="Y39" s="19" t="str">
        <f>IF(OR(W39&lt;'Cleaning Tasks'!$G$18,W39&gt;'Cleaning Tasks'!$H$18),"Outlier","Normal")</f>
        <v>Normal</v>
      </c>
      <c r="Z39" s="2" t="s">
        <v>26</v>
      </c>
      <c r="AA39" s="2" t="s">
        <v>88</v>
      </c>
      <c r="AB39" s="2" t="s">
        <v>50</v>
      </c>
      <c r="AC39" s="2" t="s">
        <v>29</v>
      </c>
      <c r="AD39" s="2" t="s">
        <v>112</v>
      </c>
      <c r="AE39" s="2" t="str">
        <f t="shared" si="10"/>
        <v>Valid</v>
      </c>
      <c r="AF39" s="2" t="s">
        <v>252</v>
      </c>
    </row>
    <row r="40" spans="1:32" x14ac:dyDescent="0.3">
      <c r="A40" s="2" t="s">
        <v>253</v>
      </c>
      <c r="B40" s="2">
        <f t="shared" si="0"/>
        <v>1</v>
      </c>
      <c r="C40" s="12">
        <f t="shared" si="13"/>
        <v>46238.584945821764</v>
      </c>
      <c r="D40" s="13">
        <v>46238.584945821764</v>
      </c>
      <c r="E40" s="2" t="s">
        <v>254</v>
      </c>
      <c r="F40" s="2" t="str">
        <f t="shared" si="1"/>
        <v>Email Available</v>
      </c>
      <c r="G40" s="2" t="s">
        <v>255</v>
      </c>
      <c r="H40" s="2" t="s">
        <v>146</v>
      </c>
      <c r="I40" s="2" t="s">
        <v>47</v>
      </c>
      <c r="J40" s="2" t="s">
        <v>147</v>
      </c>
      <c r="K40" s="2">
        <v>1</v>
      </c>
      <c r="L40" s="2">
        <v>34.99</v>
      </c>
      <c r="M40" s="19">
        <f t="shared" si="2"/>
        <v>34.99</v>
      </c>
      <c r="N40" s="2" t="s">
        <v>65</v>
      </c>
      <c r="O40" s="2" t="str">
        <f t="shared" si="3"/>
        <v>WELCOME10</v>
      </c>
      <c r="P40" s="2" t="s">
        <v>256</v>
      </c>
      <c r="Q40" s="19">
        <f t="shared" si="4"/>
        <v>3.5</v>
      </c>
      <c r="R40" s="2" t="str">
        <f t="shared" si="5"/>
        <v>Number</v>
      </c>
      <c r="S40" s="2">
        <v>7.99</v>
      </c>
      <c r="T40" s="19">
        <f t="shared" si="6"/>
        <v>7.99</v>
      </c>
      <c r="U40" s="2">
        <v>39.479999999999997</v>
      </c>
      <c r="V40" s="19">
        <f t="shared" si="7"/>
        <v>39.479999999999997</v>
      </c>
      <c r="W40" s="19">
        <f t="shared" si="8"/>
        <v>39.480000000000004</v>
      </c>
      <c r="X40" s="19" t="str">
        <f t="shared" si="9"/>
        <v>True</v>
      </c>
      <c r="Y40" s="19" t="str">
        <f>IF(OR(W40&lt;'Cleaning Tasks'!$G$18,W40&gt;'Cleaning Tasks'!$H$18),"Outlier","Normal")</f>
        <v>Normal</v>
      </c>
      <c r="Z40" s="2" t="s">
        <v>26</v>
      </c>
      <c r="AA40" s="2" t="s">
        <v>111</v>
      </c>
      <c r="AB40" s="2" t="s">
        <v>50</v>
      </c>
      <c r="AC40" s="2" t="s">
        <v>29</v>
      </c>
      <c r="AD40" s="2" t="s">
        <v>243</v>
      </c>
      <c r="AE40" s="2" t="str">
        <f t="shared" si="10"/>
        <v>Valid</v>
      </c>
      <c r="AF40" s="2" t="s">
        <v>257</v>
      </c>
    </row>
    <row r="41" spans="1:32" x14ac:dyDescent="0.3">
      <c r="A41" s="2" t="s">
        <v>258</v>
      </c>
      <c r="B41" s="2">
        <f t="shared" si="0"/>
        <v>1</v>
      </c>
      <c r="C41" s="12">
        <f t="shared" si="13"/>
        <v>46238.585915659722</v>
      </c>
      <c r="D41" s="13">
        <v>46238.585915659722</v>
      </c>
      <c r="E41" s="2" t="s">
        <v>259</v>
      </c>
      <c r="F41" s="2" t="str">
        <f t="shared" si="1"/>
        <v>Email Available</v>
      </c>
      <c r="G41" s="2" t="s">
        <v>260</v>
      </c>
      <c r="H41" s="2" t="s">
        <v>261</v>
      </c>
      <c r="I41" s="2" t="s">
        <v>36</v>
      </c>
      <c r="J41" s="2" t="s">
        <v>262</v>
      </c>
      <c r="K41" s="2">
        <v>1</v>
      </c>
      <c r="L41" s="2">
        <v>15.49</v>
      </c>
      <c r="M41" s="19">
        <f t="shared" si="2"/>
        <v>15.49</v>
      </c>
      <c r="N41" s="2"/>
      <c r="O41" s="2" t="str">
        <f t="shared" si="3"/>
        <v/>
      </c>
      <c r="P41" s="2">
        <v>0</v>
      </c>
      <c r="Q41" s="19">
        <f t="shared" si="4"/>
        <v>0</v>
      </c>
      <c r="R41" s="2" t="str">
        <f t="shared" si="5"/>
        <v>Number</v>
      </c>
      <c r="S41" s="2">
        <v>7.99</v>
      </c>
      <c r="T41" s="19">
        <f t="shared" si="6"/>
        <v>7.99</v>
      </c>
      <c r="U41" s="2">
        <v>23.48</v>
      </c>
      <c r="V41" s="19">
        <f t="shared" si="7"/>
        <v>23.48</v>
      </c>
      <c r="W41" s="19">
        <f t="shared" si="8"/>
        <v>23.48</v>
      </c>
      <c r="X41" s="19" t="str">
        <f t="shared" si="9"/>
        <v>True</v>
      </c>
      <c r="Y41" s="19" t="str">
        <f>IF(OR(W41&lt;'Cleaning Tasks'!$G$18,W41&gt;'Cleaning Tasks'!$H$18),"Outlier","Normal")</f>
        <v>Normal</v>
      </c>
      <c r="Z41" s="2" t="s">
        <v>26</v>
      </c>
      <c r="AA41" s="2" t="s">
        <v>88</v>
      </c>
      <c r="AB41" s="2" t="s">
        <v>50</v>
      </c>
      <c r="AC41" s="2" t="s">
        <v>29</v>
      </c>
      <c r="AD41" s="2" t="s">
        <v>30</v>
      </c>
      <c r="AE41" s="2" t="str">
        <f t="shared" si="10"/>
        <v>Valid</v>
      </c>
      <c r="AF41" s="2" t="s">
        <v>263</v>
      </c>
    </row>
    <row r="42" spans="1:32" x14ac:dyDescent="0.3">
      <c r="A42" s="2" t="s">
        <v>264</v>
      </c>
      <c r="B42" s="2">
        <f t="shared" si="0"/>
        <v>1</v>
      </c>
      <c r="C42" s="12">
        <f t="shared" si="13"/>
        <v>46238.588462453707</v>
      </c>
      <c r="D42" s="13">
        <v>46238.588462453707</v>
      </c>
      <c r="E42" s="2" t="s">
        <v>265</v>
      </c>
      <c r="F42" s="2" t="str">
        <f t="shared" si="1"/>
        <v>Email Available</v>
      </c>
      <c r="G42" s="2" t="s">
        <v>266</v>
      </c>
      <c r="H42" s="2" t="s">
        <v>267</v>
      </c>
      <c r="I42" s="2" t="s">
        <v>22</v>
      </c>
      <c r="J42" s="2" t="s">
        <v>268</v>
      </c>
      <c r="K42" s="2">
        <v>1</v>
      </c>
      <c r="L42" s="2">
        <v>18.989999999999998</v>
      </c>
      <c r="M42" s="19">
        <f t="shared" si="2"/>
        <v>18.989999999999998</v>
      </c>
      <c r="N42" s="2" t="s">
        <v>118</v>
      </c>
      <c r="O42" s="2" t="str">
        <f t="shared" si="3"/>
        <v>BFCM25</v>
      </c>
      <c r="P42" s="2">
        <v>4.75</v>
      </c>
      <c r="Q42" s="19">
        <f t="shared" si="4"/>
        <v>4.75</v>
      </c>
      <c r="R42" s="2" t="str">
        <f t="shared" si="5"/>
        <v>Number</v>
      </c>
      <c r="S42" s="2">
        <v>7.99</v>
      </c>
      <c r="T42" s="19">
        <f t="shared" si="6"/>
        <v>7.99</v>
      </c>
      <c r="U42" s="2">
        <v>22.23</v>
      </c>
      <c r="V42" s="19">
        <f t="shared" si="7"/>
        <v>22.23</v>
      </c>
      <c r="W42" s="19">
        <f t="shared" si="8"/>
        <v>22.229999999999997</v>
      </c>
      <c r="X42" s="19" t="str">
        <f t="shared" si="9"/>
        <v>True</v>
      </c>
      <c r="Y42" s="19" t="str">
        <f>IF(OR(W42&lt;'Cleaning Tasks'!$G$18,W42&gt;'Cleaning Tasks'!$H$18),"Outlier","Normal")</f>
        <v>Normal</v>
      </c>
      <c r="Z42" s="2" t="s">
        <v>39</v>
      </c>
      <c r="AA42" s="2" t="s">
        <v>27</v>
      </c>
      <c r="AB42" s="2" t="s">
        <v>50</v>
      </c>
      <c r="AC42" s="2" t="s">
        <v>29</v>
      </c>
      <c r="AD42" s="2" t="s">
        <v>89</v>
      </c>
      <c r="AE42" s="2" t="str">
        <f t="shared" si="10"/>
        <v>Valid</v>
      </c>
      <c r="AF42" s="2" t="s">
        <v>269</v>
      </c>
    </row>
    <row r="43" spans="1:32" x14ac:dyDescent="0.3">
      <c r="A43" s="2" t="s">
        <v>270</v>
      </c>
      <c r="B43" s="2">
        <f t="shared" si="0"/>
        <v>1</v>
      </c>
      <c r="C43" s="12">
        <f t="shared" si="13"/>
        <v>46238.580140949067</v>
      </c>
      <c r="D43" s="13">
        <v>46238.580140949067</v>
      </c>
      <c r="E43" s="2" t="s">
        <v>271</v>
      </c>
      <c r="F43" s="2" t="str">
        <f t="shared" si="1"/>
        <v>Email Available</v>
      </c>
      <c r="G43" s="2" t="s">
        <v>272</v>
      </c>
      <c r="H43" s="2" t="s">
        <v>85</v>
      </c>
      <c r="I43" s="2" t="s">
        <v>86</v>
      </c>
      <c r="J43" s="2" t="s">
        <v>87</v>
      </c>
      <c r="K43" s="2">
        <v>1</v>
      </c>
      <c r="L43" s="2">
        <v>54.99</v>
      </c>
      <c r="M43" s="19">
        <f t="shared" si="2"/>
        <v>54.99</v>
      </c>
      <c r="N43" s="2" t="s">
        <v>203</v>
      </c>
      <c r="O43" s="2" t="str">
        <f t="shared" si="3"/>
        <v>VIP15</v>
      </c>
      <c r="P43" s="2">
        <v>8.25</v>
      </c>
      <c r="Q43" s="19">
        <f t="shared" si="4"/>
        <v>8.25</v>
      </c>
      <c r="R43" s="2" t="str">
        <f t="shared" si="5"/>
        <v>Number</v>
      </c>
      <c r="S43" s="2">
        <v>5.99</v>
      </c>
      <c r="T43" s="19">
        <f t="shared" si="6"/>
        <v>5.99</v>
      </c>
      <c r="U43" s="2">
        <v>52.73</v>
      </c>
      <c r="V43" s="19">
        <f t="shared" si="7"/>
        <v>52.73</v>
      </c>
      <c r="W43" s="19">
        <f t="shared" si="8"/>
        <v>52.730000000000004</v>
      </c>
      <c r="X43" s="19" t="str">
        <f t="shared" si="9"/>
        <v>True</v>
      </c>
      <c r="Y43" s="19" t="str">
        <f>IF(OR(W43&lt;'Cleaning Tasks'!$G$18,W43&gt;'Cleaning Tasks'!$H$18),"Outlier","Normal")</f>
        <v>Normal</v>
      </c>
      <c r="Z43" s="2" t="s">
        <v>72</v>
      </c>
      <c r="AA43" s="2" t="s">
        <v>27</v>
      </c>
      <c r="AB43" s="2" t="s">
        <v>50</v>
      </c>
      <c r="AC43" s="2" t="s">
        <v>42</v>
      </c>
      <c r="AD43" s="2"/>
      <c r="AE43" s="2" t="str">
        <f t="shared" si="10"/>
        <v>Not Required</v>
      </c>
      <c r="AF43" s="2" t="s">
        <v>273</v>
      </c>
    </row>
    <row r="44" spans="1:32" x14ac:dyDescent="0.3">
      <c r="A44" s="2" t="s">
        <v>274</v>
      </c>
      <c r="B44" s="2">
        <f t="shared" si="0"/>
        <v>1</v>
      </c>
      <c r="C44" s="12">
        <f>DATE(VALUE(RIGHT(D44,4)),MATCH(LEFT(D44,3),{"Jan","Feb","Mar","Apr","May","Jun","Jul","Aug","Sep","Oct","Nov","Dec"},0),VALUE(MID(D44,5,2)))</f>
        <v>46238</v>
      </c>
      <c r="D44" s="13" t="s">
        <v>171</v>
      </c>
      <c r="E44" s="2" t="s">
        <v>275</v>
      </c>
      <c r="F44" s="2" t="str">
        <f t="shared" si="1"/>
        <v>Email Available</v>
      </c>
      <c r="G44" s="2" t="s">
        <v>276</v>
      </c>
      <c r="H44" s="2" t="s">
        <v>56</v>
      </c>
      <c r="I44" s="2" t="s">
        <v>22</v>
      </c>
      <c r="J44" s="2" t="s">
        <v>57</v>
      </c>
      <c r="K44" s="2">
        <v>2</v>
      </c>
      <c r="L44" s="2">
        <v>9.99</v>
      </c>
      <c r="M44" s="19">
        <f t="shared" si="2"/>
        <v>9.99</v>
      </c>
      <c r="N44" s="2"/>
      <c r="O44" s="2" t="str">
        <f t="shared" si="3"/>
        <v/>
      </c>
      <c r="P44" s="2">
        <v>0</v>
      </c>
      <c r="Q44" s="19">
        <f t="shared" si="4"/>
        <v>0</v>
      </c>
      <c r="R44" s="2" t="str">
        <f t="shared" si="5"/>
        <v>Number</v>
      </c>
      <c r="S44" s="2">
        <v>5.99</v>
      </c>
      <c r="T44" s="19">
        <f t="shared" si="6"/>
        <v>5.99</v>
      </c>
      <c r="U44" s="2">
        <v>25.97</v>
      </c>
      <c r="V44" s="19">
        <f t="shared" si="7"/>
        <v>25.97</v>
      </c>
      <c r="W44" s="19">
        <f t="shared" si="8"/>
        <v>25.97</v>
      </c>
      <c r="X44" s="19" t="str">
        <f t="shared" si="9"/>
        <v>True</v>
      </c>
      <c r="Y44" s="19" t="str">
        <f>IF(OR(W44&lt;'Cleaning Tasks'!$G$18,W44&gt;'Cleaning Tasks'!$H$18),"Outlier","Normal")</f>
        <v>Normal</v>
      </c>
      <c r="Z44" s="2" t="s">
        <v>72</v>
      </c>
      <c r="AA44" s="2" t="s">
        <v>27</v>
      </c>
      <c r="AB44" s="2" t="s">
        <v>41</v>
      </c>
      <c r="AC44" s="2" t="s">
        <v>73</v>
      </c>
      <c r="AD44" s="2"/>
      <c r="AE44" s="2" t="str">
        <f t="shared" si="10"/>
        <v>Not Required</v>
      </c>
      <c r="AF44" s="2" t="s">
        <v>277</v>
      </c>
    </row>
    <row r="45" spans="1:32" x14ac:dyDescent="0.3">
      <c r="A45" s="2" t="s">
        <v>278</v>
      </c>
      <c r="B45" s="2">
        <f t="shared" si="0"/>
        <v>1</v>
      </c>
      <c r="C45" s="12">
        <f t="shared" ref="C45:C67" si="14">IF(ISNUMBER(D45),D45,DATEVALUE(SUBSTITUTE(TRIM(D45),CHAR(160)," ")))</f>
        <v>46238.579412118059</v>
      </c>
      <c r="D45" s="13">
        <v>46238.579412118059</v>
      </c>
      <c r="E45" s="2" t="s">
        <v>176</v>
      </c>
      <c r="F45" s="2" t="str">
        <f t="shared" si="1"/>
        <v>Email Available</v>
      </c>
      <c r="G45" s="2" t="s">
        <v>177</v>
      </c>
      <c r="H45" s="2" t="s">
        <v>279</v>
      </c>
      <c r="I45" s="2" t="s">
        <v>22</v>
      </c>
      <c r="J45" s="2" t="s">
        <v>280</v>
      </c>
      <c r="K45" s="2">
        <v>1</v>
      </c>
      <c r="L45" s="2">
        <v>24.99</v>
      </c>
      <c r="M45" s="19">
        <f t="shared" si="2"/>
        <v>24.99</v>
      </c>
      <c r="N45" s="2" t="s">
        <v>24</v>
      </c>
      <c r="O45" s="2" t="str">
        <f t="shared" si="3"/>
        <v>SAVE20</v>
      </c>
      <c r="P45" s="2">
        <v>5</v>
      </c>
      <c r="Q45" s="19">
        <f t="shared" si="4"/>
        <v>5</v>
      </c>
      <c r="R45" s="2" t="str">
        <f t="shared" si="5"/>
        <v>Number</v>
      </c>
      <c r="S45" s="2">
        <v>7.99</v>
      </c>
      <c r="T45" s="19">
        <f t="shared" si="6"/>
        <v>7.99</v>
      </c>
      <c r="U45" s="2">
        <v>27.98</v>
      </c>
      <c r="V45" s="19">
        <f t="shared" si="7"/>
        <v>27.98</v>
      </c>
      <c r="W45" s="19">
        <f t="shared" si="8"/>
        <v>27.979999999999997</v>
      </c>
      <c r="X45" s="19" t="str">
        <f t="shared" si="9"/>
        <v>True</v>
      </c>
      <c r="Y45" s="19" t="str">
        <f>IF(OR(W45&lt;'Cleaning Tasks'!$G$18,W45&gt;'Cleaning Tasks'!$H$18),"Outlier","Normal")</f>
        <v>Normal</v>
      </c>
      <c r="Z45" s="2" t="s">
        <v>49</v>
      </c>
      <c r="AA45" s="2" t="s">
        <v>40</v>
      </c>
      <c r="AB45" s="2" t="s">
        <v>96</v>
      </c>
      <c r="AC45" s="2" t="s">
        <v>29</v>
      </c>
      <c r="AD45" s="2" t="s">
        <v>30</v>
      </c>
      <c r="AE45" s="2" t="str">
        <f t="shared" si="10"/>
        <v>Valid</v>
      </c>
      <c r="AF45" s="2" t="s">
        <v>281</v>
      </c>
    </row>
    <row r="46" spans="1:32" x14ac:dyDescent="0.3">
      <c r="A46" s="2" t="s">
        <v>282</v>
      </c>
      <c r="B46" s="2">
        <f t="shared" si="0"/>
        <v>1</v>
      </c>
      <c r="C46" s="12">
        <f t="shared" si="14"/>
        <v>46238.589044282409</v>
      </c>
      <c r="D46" s="13">
        <v>46238.589044282409</v>
      </c>
      <c r="E46" s="2" t="s">
        <v>283</v>
      </c>
      <c r="F46" s="2" t="str">
        <f t="shared" si="1"/>
        <v>Email Available</v>
      </c>
      <c r="G46" s="2" t="s">
        <v>284</v>
      </c>
      <c r="H46" s="2" t="s">
        <v>261</v>
      </c>
      <c r="I46" s="2" t="s">
        <v>36</v>
      </c>
      <c r="J46" s="2" t="s">
        <v>262</v>
      </c>
      <c r="K46" s="2">
        <v>1</v>
      </c>
      <c r="L46" s="2">
        <v>15.49</v>
      </c>
      <c r="M46" s="19">
        <f t="shared" si="2"/>
        <v>15.49</v>
      </c>
      <c r="N46" s="2"/>
      <c r="O46" s="2" t="str">
        <f t="shared" si="3"/>
        <v/>
      </c>
      <c r="P46" s="2">
        <v>0</v>
      </c>
      <c r="Q46" s="19">
        <f t="shared" si="4"/>
        <v>0</v>
      </c>
      <c r="R46" s="2" t="str">
        <f t="shared" si="5"/>
        <v>Number</v>
      </c>
      <c r="S46" s="2">
        <v>5.99</v>
      </c>
      <c r="T46" s="19">
        <f t="shared" si="6"/>
        <v>5.99</v>
      </c>
      <c r="U46" s="2">
        <v>21.48</v>
      </c>
      <c r="V46" s="19">
        <f t="shared" si="7"/>
        <v>21.48</v>
      </c>
      <c r="W46" s="19">
        <f t="shared" si="8"/>
        <v>21.48</v>
      </c>
      <c r="X46" s="19" t="str">
        <f t="shared" si="9"/>
        <v>True</v>
      </c>
      <c r="Y46" s="19" t="str">
        <f>IF(OR(W46&lt;'Cleaning Tasks'!$G$18,W46&gt;'Cleaning Tasks'!$H$18),"Outlier","Normal")</f>
        <v>Normal</v>
      </c>
      <c r="Z46" s="2" t="s">
        <v>49</v>
      </c>
      <c r="AA46" s="2" t="s">
        <v>111</v>
      </c>
      <c r="AB46" s="2" t="s">
        <v>50</v>
      </c>
      <c r="AC46" s="2" t="s">
        <v>29</v>
      </c>
      <c r="AD46" s="2" t="s">
        <v>73</v>
      </c>
      <c r="AE46" s="2" t="str">
        <f t="shared" si="10"/>
        <v>Valid</v>
      </c>
      <c r="AF46" s="2" t="s">
        <v>285</v>
      </c>
    </row>
    <row r="47" spans="1:32" x14ac:dyDescent="0.3">
      <c r="A47" s="2" t="s">
        <v>286</v>
      </c>
      <c r="B47" s="2">
        <f t="shared" si="0"/>
        <v>1</v>
      </c>
      <c r="C47" s="12">
        <f t="shared" si="14"/>
        <v>46238.585457986112</v>
      </c>
      <c r="D47" s="13">
        <v>46238.585457986112</v>
      </c>
      <c r="E47" s="2" t="s">
        <v>287</v>
      </c>
      <c r="F47" s="2" t="str">
        <f t="shared" si="1"/>
        <v>Email Available</v>
      </c>
      <c r="G47" s="2" t="s">
        <v>288</v>
      </c>
      <c r="H47" s="2" t="s">
        <v>85</v>
      </c>
      <c r="I47" s="2" t="s">
        <v>86</v>
      </c>
      <c r="J47" s="2" t="s">
        <v>87</v>
      </c>
      <c r="K47" s="2">
        <v>1</v>
      </c>
      <c r="L47" s="2">
        <v>54.99</v>
      </c>
      <c r="M47" s="19">
        <f t="shared" si="2"/>
        <v>54.99</v>
      </c>
      <c r="N47" s="2" t="s">
        <v>203</v>
      </c>
      <c r="O47" s="2" t="str">
        <f t="shared" si="3"/>
        <v>VIP15</v>
      </c>
      <c r="P47" s="2">
        <v>8.25</v>
      </c>
      <c r="Q47" s="19">
        <f t="shared" si="4"/>
        <v>8.25</v>
      </c>
      <c r="R47" s="2" t="str">
        <f t="shared" si="5"/>
        <v>Number</v>
      </c>
      <c r="S47" s="2">
        <v>7.99</v>
      </c>
      <c r="T47" s="19">
        <f t="shared" si="6"/>
        <v>7.99</v>
      </c>
      <c r="U47" s="2">
        <v>54.73</v>
      </c>
      <c r="V47" s="19">
        <f t="shared" si="7"/>
        <v>54.73</v>
      </c>
      <c r="W47" s="19">
        <f t="shared" si="8"/>
        <v>54.730000000000004</v>
      </c>
      <c r="X47" s="19" t="str">
        <f t="shared" si="9"/>
        <v>True</v>
      </c>
      <c r="Y47" s="19" t="str">
        <f>IF(OR(W47&lt;'Cleaning Tasks'!$G$18,W47&gt;'Cleaning Tasks'!$H$18),"Outlier","Normal")</f>
        <v>Normal</v>
      </c>
      <c r="Z47" s="2" t="s">
        <v>49</v>
      </c>
      <c r="AA47" s="2" t="s">
        <v>27</v>
      </c>
      <c r="AB47" s="2" t="s">
        <v>50</v>
      </c>
      <c r="AC47" s="2" t="s">
        <v>29</v>
      </c>
      <c r="AD47" s="22" t="s">
        <v>243</v>
      </c>
      <c r="AE47" s="2" t="str">
        <f t="shared" si="10"/>
        <v>Valid</v>
      </c>
      <c r="AF47" s="2" t="s">
        <v>289</v>
      </c>
    </row>
    <row r="48" spans="1:32" x14ac:dyDescent="0.3">
      <c r="A48" s="2" t="s">
        <v>290</v>
      </c>
      <c r="B48" s="2">
        <f t="shared" si="0"/>
        <v>1</v>
      </c>
      <c r="C48" s="12">
        <f t="shared" si="14"/>
        <v>46238.58659467593</v>
      </c>
      <c r="D48" s="13">
        <v>46238.58659467593</v>
      </c>
      <c r="E48" s="2" t="s">
        <v>291</v>
      </c>
      <c r="F48" s="2" t="str">
        <f t="shared" si="1"/>
        <v>Email Available</v>
      </c>
      <c r="G48" s="2" t="s">
        <v>292</v>
      </c>
      <c r="H48" s="2" t="s">
        <v>152</v>
      </c>
      <c r="I48" s="2" t="s">
        <v>36</v>
      </c>
      <c r="J48" s="2" t="s">
        <v>153</v>
      </c>
      <c r="K48" s="2">
        <v>1</v>
      </c>
      <c r="L48" s="2">
        <v>29.99</v>
      </c>
      <c r="M48" s="19">
        <f t="shared" si="2"/>
        <v>29.99</v>
      </c>
      <c r="N48" s="2" t="s">
        <v>203</v>
      </c>
      <c r="O48" s="2" t="str">
        <f t="shared" si="3"/>
        <v>VIP15</v>
      </c>
      <c r="P48" s="2">
        <v>4.5</v>
      </c>
      <c r="Q48" s="19">
        <f t="shared" si="4"/>
        <v>4.5</v>
      </c>
      <c r="R48" s="2" t="str">
        <f t="shared" si="5"/>
        <v>Number</v>
      </c>
      <c r="S48" s="2">
        <v>7.99</v>
      </c>
      <c r="T48" s="19">
        <f t="shared" si="6"/>
        <v>7.99</v>
      </c>
      <c r="U48" s="2" t="s">
        <v>293</v>
      </c>
      <c r="V48" s="19">
        <f t="shared" si="7"/>
        <v>33.479999999999997</v>
      </c>
      <c r="W48" s="19">
        <f t="shared" si="8"/>
        <v>33.479999999999997</v>
      </c>
      <c r="X48" s="19" t="str">
        <f t="shared" si="9"/>
        <v>True</v>
      </c>
      <c r="Y48" s="19" t="str">
        <f>IF(OR(W48&lt;'Cleaning Tasks'!$G$18,W48&gt;'Cleaning Tasks'!$H$18),"Outlier","Normal")</f>
        <v>Normal</v>
      </c>
      <c r="Z48" s="2" t="s">
        <v>26</v>
      </c>
      <c r="AA48" s="2" t="s">
        <v>27</v>
      </c>
      <c r="AB48" s="2" t="s">
        <v>50</v>
      </c>
      <c r="AC48" s="2" t="s">
        <v>223</v>
      </c>
      <c r="AD48" s="2"/>
      <c r="AE48" s="2" t="str">
        <f t="shared" si="10"/>
        <v>Not Required</v>
      </c>
      <c r="AF48" s="2" t="s">
        <v>294</v>
      </c>
    </row>
    <row r="49" spans="1:32" x14ac:dyDescent="0.3">
      <c r="A49" s="2" t="s">
        <v>295</v>
      </c>
      <c r="B49" s="2">
        <f t="shared" si="0"/>
        <v>1</v>
      </c>
      <c r="C49" s="12">
        <f t="shared" si="14"/>
        <v>46238.58832560185</v>
      </c>
      <c r="D49" s="13">
        <v>46238.58832560185</v>
      </c>
      <c r="E49" s="2" t="s">
        <v>296</v>
      </c>
      <c r="F49" s="2" t="str">
        <f t="shared" si="1"/>
        <v>Email Available</v>
      </c>
      <c r="G49" s="2" t="s">
        <v>297</v>
      </c>
      <c r="H49" s="2" t="s">
        <v>201</v>
      </c>
      <c r="I49" s="2" t="s">
        <v>191</v>
      </c>
      <c r="J49" s="2" t="s">
        <v>202</v>
      </c>
      <c r="K49" s="2">
        <v>1</v>
      </c>
      <c r="L49" s="2">
        <v>24.99</v>
      </c>
      <c r="M49" s="19">
        <f t="shared" si="2"/>
        <v>24.99</v>
      </c>
      <c r="N49" s="2" t="s">
        <v>65</v>
      </c>
      <c r="O49" s="2" t="str">
        <f t="shared" si="3"/>
        <v>WELCOME10</v>
      </c>
      <c r="P49" s="2">
        <v>2.5</v>
      </c>
      <c r="Q49" s="19">
        <f t="shared" si="4"/>
        <v>2.5</v>
      </c>
      <c r="R49" s="2" t="str">
        <f t="shared" si="5"/>
        <v>Number</v>
      </c>
      <c r="S49" s="2">
        <v>5.99</v>
      </c>
      <c r="T49" s="19">
        <f t="shared" si="6"/>
        <v>5.99</v>
      </c>
      <c r="U49" s="2">
        <v>28.48</v>
      </c>
      <c r="V49" s="19">
        <f t="shared" si="7"/>
        <v>28.48</v>
      </c>
      <c r="W49" s="19">
        <f t="shared" si="8"/>
        <v>28.479999999999997</v>
      </c>
      <c r="X49" s="19" t="str">
        <f t="shared" si="9"/>
        <v>True</v>
      </c>
      <c r="Y49" s="19" t="str">
        <f>IF(OR(W49&lt;'Cleaning Tasks'!$G$18,W49&gt;'Cleaning Tasks'!$H$18),"Outlier","Normal")</f>
        <v>Normal</v>
      </c>
      <c r="Z49" s="2" t="s">
        <v>72</v>
      </c>
      <c r="AA49" s="2" t="s">
        <v>40</v>
      </c>
      <c r="AB49" s="2" t="s">
        <v>50</v>
      </c>
      <c r="AC49" s="2" t="s">
        <v>105</v>
      </c>
      <c r="AD49" s="2"/>
      <c r="AE49" s="2" t="str">
        <f t="shared" si="10"/>
        <v>Not Required</v>
      </c>
      <c r="AF49" s="2" t="s">
        <v>298</v>
      </c>
    </row>
    <row r="50" spans="1:32" x14ac:dyDescent="0.3">
      <c r="A50" s="2" t="s">
        <v>299</v>
      </c>
      <c r="B50" s="2">
        <f t="shared" si="0"/>
        <v>1</v>
      </c>
      <c r="C50" s="12">
        <f t="shared" si="14"/>
        <v>46238.585318680547</v>
      </c>
      <c r="D50" s="13">
        <v>46238.585318680547</v>
      </c>
      <c r="E50" s="2" t="s">
        <v>300</v>
      </c>
      <c r="F50" s="2" t="str">
        <f t="shared" si="1"/>
        <v>Email Available</v>
      </c>
      <c r="G50" s="2" t="s">
        <v>135</v>
      </c>
      <c r="H50" s="2" t="s">
        <v>182</v>
      </c>
      <c r="I50" s="2" t="s">
        <v>36</v>
      </c>
      <c r="J50" s="2" t="s">
        <v>183</v>
      </c>
      <c r="K50" s="2">
        <v>2</v>
      </c>
      <c r="L50" s="2">
        <v>11.99</v>
      </c>
      <c r="M50" s="19">
        <f t="shared" si="2"/>
        <v>11.99</v>
      </c>
      <c r="N50" s="2" t="s">
        <v>65</v>
      </c>
      <c r="O50" s="2" t="str">
        <f t="shared" si="3"/>
        <v>WELCOME10</v>
      </c>
      <c r="P50" s="2">
        <v>2.4</v>
      </c>
      <c r="Q50" s="19">
        <f t="shared" si="4"/>
        <v>2.4</v>
      </c>
      <c r="R50" s="2" t="str">
        <f t="shared" si="5"/>
        <v>Number</v>
      </c>
      <c r="S50" s="2">
        <v>5.99</v>
      </c>
      <c r="T50" s="19">
        <f t="shared" si="6"/>
        <v>5.99</v>
      </c>
      <c r="U50" s="2">
        <v>27.57</v>
      </c>
      <c r="V50" s="19">
        <f t="shared" si="7"/>
        <v>27.57</v>
      </c>
      <c r="W50" s="19">
        <f t="shared" si="8"/>
        <v>27.57</v>
      </c>
      <c r="X50" s="19" t="str">
        <f t="shared" si="9"/>
        <v>True</v>
      </c>
      <c r="Y50" s="19" t="str">
        <f>IF(OR(W50&lt;'Cleaning Tasks'!$G$18,W50&gt;'Cleaning Tasks'!$H$18),"Outlier","Normal")</f>
        <v>Normal</v>
      </c>
      <c r="Z50" s="2" t="s">
        <v>26</v>
      </c>
      <c r="AA50" s="2" t="s">
        <v>88</v>
      </c>
      <c r="AB50" s="2" t="s">
        <v>41</v>
      </c>
      <c r="AC50" s="2" t="s">
        <v>29</v>
      </c>
      <c r="AD50" s="2" t="s">
        <v>30</v>
      </c>
      <c r="AE50" s="2" t="str">
        <f t="shared" si="10"/>
        <v>Valid</v>
      </c>
      <c r="AF50" s="2" t="s">
        <v>301</v>
      </c>
    </row>
    <row r="51" spans="1:32" x14ac:dyDescent="0.3">
      <c r="A51" s="2" t="s">
        <v>302</v>
      </c>
      <c r="B51" s="2">
        <f t="shared" si="0"/>
        <v>1</v>
      </c>
      <c r="C51" s="12">
        <f t="shared" si="14"/>
        <v>46238.584662476853</v>
      </c>
      <c r="D51" s="13">
        <v>46238.584662476853</v>
      </c>
      <c r="E51" s="2" t="s">
        <v>303</v>
      </c>
      <c r="F51" s="2" t="str">
        <f t="shared" si="1"/>
        <v>Email Available</v>
      </c>
      <c r="G51" s="2" t="s">
        <v>304</v>
      </c>
      <c r="H51" s="2" t="s">
        <v>124</v>
      </c>
      <c r="I51" s="2" t="s">
        <v>79</v>
      </c>
      <c r="J51" s="2" t="s">
        <v>125</v>
      </c>
      <c r="K51" s="2">
        <v>1</v>
      </c>
      <c r="L51" s="2">
        <v>13.99</v>
      </c>
      <c r="M51" s="19">
        <f t="shared" si="2"/>
        <v>13.99</v>
      </c>
      <c r="N51" s="2" t="s">
        <v>118</v>
      </c>
      <c r="O51" s="2" t="str">
        <f t="shared" si="3"/>
        <v>BFCM25</v>
      </c>
      <c r="P51" s="2">
        <v>3.5</v>
      </c>
      <c r="Q51" s="19">
        <f t="shared" si="4"/>
        <v>3.5</v>
      </c>
      <c r="R51" s="2" t="str">
        <f t="shared" si="5"/>
        <v>Number</v>
      </c>
      <c r="S51" s="2">
        <v>4.99</v>
      </c>
      <c r="T51" s="19">
        <f t="shared" si="6"/>
        <v>4.99</v>
      </c>
      <c r="U51" s="2">
        <v>15.48</v>
      </c>
      <c r="V51" s="19">
        <f t="shared" si="7"/>
        <v>15.48</v>
      </c>
      <c r="W51" s="19">
        <f t="shared" si="8"/>
        <v>15.48</v>
      </c>
      <c r="X51" s="19" t="str">
        <f t="shared" si="9"/>
        <v>True</v>
      </c>
      <c r="Y51" s="19" t="str">
        <f>IF(OR(W51&lt;'Cleaning Tasks'!$G$18,W51&gt;'Cleaning Tasks'!$H$18),"Outlier","Normal")</f>
        <v>Normal</v>
      </c>
      <c r="Z51" s="2" t="s">
        <v>39</v>
      </c>
      <c r="AA51" s="2" t="s">
        <v>27</v>
      </c>
      <c r="AB51" s="2" t="s">
        <v>50</v>
      </c>
      <c r="AC51" s="2" t="s">
        <v>29</v>
      </c>
      <c r="AD51" s="2" t="s">
        <v>140</v>
      </c>
      <c r="AE51" s="2" t="str">
        <f t="shared" si="10"/>
        <v>Valid</v>
      </c>
      <c r="AF51" s="2" t="s">
        <v>305</v>
      </c>
    </row>
    <row r="52" spans="1:32" x14ac:dyDescent="0.3">
      <c r="A52" s="2" t="s">
        <v>306</v>
      </c>
      <c r="B52" s="2">
        <f t="shared" si="0"/>
        <v>1</v>
      </c>
      <c r="C52" s="12">
        <f t="shared" si="14"/>
        <v>46238.58280945602</v>
      </c>
      <c r="D52" s="13">
        <v>46238.58280945602</v>
      </c>
      <c r="E52" s="2" t="s">
        <v>307</v>
      </c>
      <c r="F52" s="2" t="str">
        <f t="shared" si="1"/>
        <v>Email Available</v>
      </c>
      <c r="G52" s="2" t="s">
        <v>308</v>
      </c>
      <c r="H52" s="2" t="s">
        <v>309</v>
      </c>
      <c r="I52" s="2" t="s">
        <v>36</v>
      </c>
      <c r="J52" s="2" t="s">
        <v>310</v>
      </c>
      <c r="K52" s="2">
        <v>1</v>
      </c>
      <c r="L52" s="2">
        <v>8.99</v>
      </c>
      <c r="M52" s="19">
        <f t="shared" si="2"/>
        <v>8.99</v>
      </c>
      <c r="N52" s="2" t="s">
        <v>118</v>
      </c>
      <c r="O52" s="2" t="str">
        <f t="shared" si="3"/>
        <v>BFCM25</v>
      </c>
      <c r="P52" s="2">
        <v>2.25</v>
      </c>
      <c r="Q52" s="19">
        <f t="shared" si="4"/>
        <v>2.25</v>
      </c>
      <c r="R52" s="2" t="str">
        <f t="shared" si="5"/>
        <v>Number</v>
      </c>
      <c r="S52" s="2">
        <v>7.99</v>
      </c>
      <c r="T52" s="19">
        <f t="shared" si="6"/>
        <v>7.99</v>
      </c>
      <c r="U52" s="2">
        <v>14.73</v>
      </c>
      <c r="V52" s="19">
        <f t="shared" si="7"/>
        <v>14.73</v>
      </c>
      <c r="W52" s="19">
        <f t="shared" si="8"/>
        <v>14.73</v>
      </c>
      <c r="X52" s="19" t="str">
        <f t="shared" si="9"/>
        <v>True</v>
      </c>
      <c r="Y52" s="19" t="str">
        <f>IF(OR(W52&lt;'Cleaning Tasks'!$G$18,W52&gt;'Cleaning Tasks'!$H$18),"Outlier","Normal")</f>
        <v>Normal</v>
      </c>
      <c r="Z52" s="2" t="s">
        <v>72</v>
      </c>
      <c r="AA52" s="2" t="s">
        <v>27</v>
      </c>
      <c r="AB52" s="2" t="s">
        <v>50</v>
      </c>
      <c r="AC52" s="2" t="s">
        <v>105</v>
      </c>
      <c r="AD52" s="2"/>
      <c r="AE52" s="2" t="str">
        <f t="shared" si="10"/>
        <v>Not Required</v>
      </c>
      <c r="AF52" s="2" t="s">
        <v>311</v>
      </c>
    </row>
    <row r="53" spans="1:32" x14ac:dyDescent="0.3">
      <c r="A53" s="2" t="s">
        <v>312</v>
      </c>
      <c r="B53" s="2">
        <f t="shared" si="0"/>
        <v>1</v>
      </c>
      <c r="C53" s="12">
        <f t="shared" si="14"/>
        <v>46238.585560856482</v>
      </c>
      <c r="D53" s="13">
        <v>46238.585560856482</v>
      </c>
      <c r="E53" s="2" t="s">
        <v>313</v>
      </c>
      <c r="F53" s="2" t="str">
        <f t="shared" si="1"/>
        <v>Email Available</v>
      </c>
      <c r="G53" s="2" t="s">
        <v>314</v>
      </c>
      <c r="H53" s="2" t="s">
        <v>117</v>
      </c>
      <c r="I53" s="2" t="s">
        <v>22</v>
      </c>
      <c r="J53" s="2" t="s">
        <v>23</v>
      </c>
      <c r="K53" s="2">
        <v>3</v>
      </c>
      <c r="L53" s="2">
        <v>12.99</v>
      </c>
      <c r="M53" s="19">
        <f t="shared" si="2"/>
        <v>12.99</v>
      </c>
      <c r="N53" s="2" t="s">
        <v>203</v>
      </c>
      <c r="O53" s="2" t="str">
        <f t="shared" si="3"/>
        <v>VIP15</v>
      </c>
      <c r="P53" s="2">
        <v>5.85</v>
      </c>
      <c r="Q53" s="19">
        <f t="shared" si="4"/>
        <v>5.85</v>
      </c>
      <c r="R53" s="2" t="str">
        <f t="shared" si="5"/>
        <v>Number</v>
      </c>
      <c r="S53" s="2">
        <v>7.99</v>
      </c>
      <c r="T53" s="19">
        <f t="shared" si="6"/>
        <v>7.99</v>
      </c>
      <c r="U53" s="2">
        <v>41.11</v>
      </c>
      <c r="V53" s="19">
        <f t="shared" si="7"/>
        <v>41.11</v>
      </c>
      <c r="W53" s="19">
        <f t="shared" si="8"/>
        <v>41.11</v>
      </c>
      <c r="X53" s="19" t="str">
        <f t="shared" si="9"/>
        <v>True</v>
      </c>
      <c r="Y53" s="19" t="str">
        <f>IF(OR(W53&lt;'Cleaning Tasks'!$G$18,W53&gt;'Cleaning Tasks'!$H$18),"Outlier","Normal")</f>
        <v>Normal</v>
      </c>
      <c r="Z53" s="2" t="s">
        <v>72</v>
      </c>
      <c r="AA53" s="2" t="s">
        <v>40</v>
      </c>
      <c r="AB53" s="2" t="s">
        <v>96</v>
      </c>
      <c r="AC53" s="2" t="s">
        <v>73</v>
      </c>
      <c r="AD53" s="2"/>
      <c r="AE53" s="2" t="str">
        <f t="shared" si="10"/>
        <v>Not Required</v>
      </c>
      <c r="AF53" s="2" t="s">
        <v>315</v>
      </c>
    </row>
    <row r="54" spans="1:32" x14ac:dyDescent="0.3">
      <c r="A54" s="2" t="s">
        <v>316</v>
      </c>
      <c r="B54" s="2">
        <f t="shared" si="0"/>
        <v>1</v>
      </c>
      <c r="C54" s="12">
        <f t="shared" si="14"/>
        <v>46238.588987442126</v>
      </c>
      <c r="D54" s="13">
        <v>46238.588987442126</v>
      </c>
      <c r="E54" s="2" t="s">
        <v>317</v>
      </c>
      <c r="F54" s="2" t="str">
        <f t="shared" si="1"/>
        <v>Missing Email</v>
      </c>
      <c r="G54" s="2"/>
      <c r="H54" s="2" t="s">
        <v>261</v>
      </c>
      <c r="I54" s="2" t="s">
        <v>36</v>
      </c>
      <c r="J54" s="2" t="s">
        <v>262</v>
      </c>
      <c r="K54" s="2">
        <v>2</v>
      </c>
      <c r="L54" s="2" t="s">
        <v>318</v>
      </c>
      <c r="M54" s="19">
        <f t="shared" si="2"/>
        <v>15.49</v>
      </c>
      <c r="N54" s="2"/>
      <c r="O54" s="2" t="str">
        <f t="shared" si="3"/>
        <v/>
      </c>
      <c r="P54" s="2">
        <v>0</v>
      </c>
      <c r="Q54" s="19">
        <f t="shared" si="4"/>
        <v>0</v>
      </c>
      <c r="R54" s="2" t="str">
        <f t="shared" si="5"/>
        <v>Number</v>
      </c>
      <c r="S54" s="2">
        <v>4.99</v>
      </c>
      <c r="T54" s="19">
        <f t="shared" si="6"/>
        <v>4.99</v>
      </c>
      <c r="U54" s="2">
        <v>35.97</v>
      </c>
      <c r="V54" s="19">
        <f t="shared" si="7"/>
        <v>35.97</v>
      </c>
      <c r="W54" s="19">
        <f t="shared" si="8"/>
        <v>35.97</v>
      </c>
      <c r="X54" s="19" t="str">
        <f t="shared" si="9"/>
        <v>True</v>
      </c>
      <c r="Y54" s="19" t="str">
        <f>IF(OR(W54&lt;'Cleaning Tasks'!$G$18,W54&gt;'Cleaning Tasks'!$H$18),"Outlier","Normal")</f>
        <v>Normal</v>
      </c>
      <c r="Z54" s="2" t="s">
        <v>26</v>
      </c>
      <c r="AA54" s="2" t="s">
        <v>40</v>
      </c>
      <c r="AB54" s="2" t="s">
        <v>96</v>
      </c>
      <c r="AC54" s="2" t="s">
        <v>29</v>
      </c>
      <c r="AD54" s="2" t="s">
        <v>51</v>
      </c>
      <c r="AE54" s="2" t="str">
        <f t="shared" si="10"/>
        <v>Valid</v>
      </c>
      <c r="AF54" s="2" t="s">
        <v>319</v>
      </c>
    </row>
    <row r="55" spans="1:32" x14ac:dyDescent="0.3">
      <c r="A55" s="2" t="s">
        <v>320</v>
      </c>
      <c r="B55" s="2">
        <f t="shared" si="0"/>
        <v>1</v>
      </c>
      <c r="C55" s="12">
        <f t="shared" si="14"/>
        <v>46238.579989502323</v>
      </c>
      <c r="D55" s="13">
        <v>46238.579989502323</v>
      </c>
      <c r="E55" s="2" t="s">
        <v>321</v>
      </c>
      <c r="F55" s="2" t="str">
        <f t="shared" si="1"/>
        <v>Email Available</v>
      </c>
      <c r="G55" s="2" t="s">
        <v>322</v>
      </c>
      <c r="H55" s="2" t="s">
        <v>267</v>
      </c>
      <c r="I55" s="2" t="s">
        <v>22</v>
      </c>
      <c r="J55" s="2" t="s">
        <v>268</v>
      </c>
      <c r="K55" s="2">
        <v>1</v>
      </c>
      <c r="L55" s="2">
        <v>18.989999999999998</v>
      </c>
      <c r="M55" s="19">
        <f t="shared" si="2"/>
        <v>18.989999999999998</v>
      </c>
      <c r="N55" s="2"/>
      <c r="O55" s="2" t="str">
        <f t="shared" si="3"/>
        <v/>
      </c>
      <c r="P55" s="2" t="s">
        <v>184</v>
      </c>
      <c r="Q55" s="19">
        <f t="shared" si="4"/>
        <v>0</v>
      </c>
      <c r="R55" s="2" t="str">
        <f t="shared" si="5"/>
        <v>Number</v>
      </c>
      <c r="S55" s="2">
        <v>4.99</v>
      </c>
      <c r="T55" s="19">
        <f t="shared" si="6"/>
        <v>4.99</v>
      </c>
      <c r="U55" s="2">
        <v>23.98</v>
      </c>
      <c r="V55" s="19">
        <f t="shared" si="7"/>
        <v>23.98</v>
      </c>
      <c r="W55" s="19">
        <f t="shared" si="8"/>
        <v>23.979999999999997</v>
      </c>
      <c r="X55" s="19" t="str">
        <f t="shared" si="9"/>
        <v>True</v>
      </c>
      <c r="Y55" s="19" t="str">
        <f>IF(OR(W55&lt;'Cleaning Tasks'!$G$18,W55&gt;'Cleaning Tasks'!$H$18),"Outlier","Normal")</f>
        <v>Normal</v>
      </c>
      <c r="Z55" s="2" t="s">
        <v>66</v>
      </c>
      <c r="AA55" s="2" t="s">
        <v>27</v>
      </c>
      <c r="AB55" s="2" t="s">
        <v>41</v>
      </c>
      <c r="AC55" s="2" t="s">
        <v>223</v>
      </c>
      <c r="AD55" s="2"/>
      <c r="AE55" s="2" t="str">
        <f t="shared" si="10"/>
        <v>Not Required</v>
      </c>
      <c r="AF55" s="2" t="s">
        <v>323</v>
      </c>
    </row>
    <row r="56" spans="1:32" x14ac:dyDescent="0.3">
      <c r="A56" s="2" t="s">
        <v>324</v>
      </c>
      <c r="B56" s="2">
        <f t="shared" si="0"/>
        <v>1</v>
      </c>
      <c r="C56" s="12">
        <f t="shared" si="14"/>
        <v>46238.587849675932</v>
      </c>
      <c r="D56" s="13">
        <v>46238.587849675932</v>
      </c>
      <c r="E56" s="2" t="s">
        <v>325</v>
      </c>
      <c r="F56" s="2" t="str">
        <f t="shared" si="1"/>
        <v>Email Available</v>
      </c>
      <c r="G56" s="2" t="s">
        <v>326</v>
      </c>
      <c r="H56" s="2" t="s">
        <v>146</v>
      </c>
      <c r="I56" s="2" t="s">
        <v>47</v>
      </c>
      <c r="J56" s="2" t="s">
        <v>147</v>
      </c>
      <c r="K56" s="2">
        <v>1</v>
      </c>
      <c r="L56" s="2">
        <v>34.99</v>
      </c>
      <c r="M56" s="19">
        <f t="shared" si="2"/>
        <v>34.99</v>
      </c>
      <c r="N56" s="2" t="s">
        <v>24</v>
      </c>
      <c r="O56" s="2" t="str">
        <f t="shared" si="3"/>
        <v>SAVE20</v>
      </c>
      <c r="P56" s="2">
        <v>7</v>
      </c>
      <c r="Q56" s="19">
        <f t="shared" si="4"/>
        <v>7</v>
      </c>
      <c r="R56" s="2" t="str">
        <f t="shared" si="5"/>
        <v>Number</v>
      </c>
      <c r="S56" s="2">
        <v>7.99</v>
      </c>
      <c r="T56" s="19">
        <f t="shared" si="6"/>
        <v>7.99</v>
      </c>
      <c r="U56" s="2">
        <v>35.979999999999997</v>
      </c>
      <c r="V56" s="19">
        <f t="shared" si="7"/>
        <v>35.979999999999997</v>
      </c>
      <c r="W56" s="19">
        <f t="shared" si="8"/>
        <v>35.980000000000004</v>
      </c>
      <c r="X56" s="19" t="str">
        <f t="shared" si="9"/>
        <v>True</v>
      </c>
      <c r="Y56" s="19" t="str">
        <f>IF(OR(W56&lt;'Cleaning Tasks'!$G$18,W56&gt;'Cleaning Tasks'!$H$18),"Outlier","Normal")</f>
        <v>Normal</v>
      </c>
      <c r="Z56" s="2" t="s">
        <v>49</v>
      </c>
      <c r="AA56" s="2" t="s">
        <v>40</v>
      </c>
      <c r="AB56" s="2" t="s">
        <v>28</v>
      </c>
      <c r="AC56" s="2" t="s">
        <v>29</v>
      </c>
      <c r="AD56" s="2" t="s">
        <v>30</v>
      </c>
      <c r="AE56" s="2" t="str">
        <f t="shared" si="10"/>
        <v>Valid</v>
      </c>
      <c r="AF56" s="2" t="s">
        <v>327</v>
      </c>
    </row>
    <row r="57" spans="1:32" x14ac:dyDescent="0.3">
      <c r="A57" s="2" t="s">
        <v>328</v>
      </c>
      <c r="B57" s="2">
        <f t="shared" si="0"/>
        <v>1</v>
      </c>
      <c r="C57" s="12">
        <f t="shared" si="14"/>
        <v>46238.58657172454</v>
      </c>
      <c r="D57" s="13">
        <v>46238.58657172454</v>
      </c>
      <c r="E57" s="2" t="s">
        <v>329</v>
      </c>
      <c r="F57" s="2" t="str">
        <f t="shared" si="1"/>
        <v>Email Available</v>
      </c>
      <c r="G57" s="2" t="s">
        <v>330</v>
      </c>
      <c r="H57" s="2" t="s">
        <v>267</v>
      </c>
      <c r="I57" s="2" t="s">
        <v>22</v>
      </c>
      <c r="J57" s="2" t="s">
        <v>268</v>
      </c>
      <c r="K57" s="2">
        <v>1</v>
      </c>
      <c r="L57" s="2">
        <v>18.989999999999998</v>
      </c>
      <c r="M57" s="19">
        <f t="shared" si="2"/>
        <v>18.989999999999998</v>
      </c>
      <c r="N57" s="2" t="s">
        <v>24</v>
      </c>
      <c r="O57" s="2" t="str">
        <f t="shared" si="3"/>
        <v>SAVE20</v>
      </c>
      <c r="P57" s="2">
        <v>3.8</v>
      </c>
      <c r="Q57" s="19">
        <f t="shared" si="4"/>
        <v>3.8</v>
      </c>
      <c r="R57" s="2" t="str">
        <f t="shared" si="5"/>
        <v>Number</v>
      </c>
      <c r="S57" s="2">
        <v>7.99</v>
      </c>
      <c r="T57" s="19">
        <f t="shared" si="6"/>
        <v>7.99</v>
      </c>
      <c r="U57" s="2">
        <v>23.18</v>
      </c>
      <c r="V57" s="19">
        <f t="shared" si="7"/>
        <v>23.18</v>
      </c>
      <c r="W57" s="19">
        <f t="shared" si="8"/>
        <v>23.18</v>
      </c>
      <c r="X57" s="19" t="str">
        <f t="shared" si="9"/>
        <v>True</v>
      </c>
      <c r="Y57" s="19" t="str">
        <f>IF(OR(W57&lt;'Cleaning Tasks'!$G$18,W57&gt;'Cleaning Tasks'!$H$18),"Outlier","Normal")</f>
        <v>Normal</v>
      </c>
      <c r="Z57" s="2" t="s">
        <v>66</v>
      </c>
      <c r="AA57" s="2" t="s">
        <v>111</v>
      </c>
      <c r="AB57" s="2" t="s">
        <v>50</v>
      </c>
      <c r="AC57" s="2" t="s">
        <v>331</v>
      </c>
      <c r="AD57" s="2"/>
      <c r="AE57" s="2" t="str">
        <f t="shared" si="10"/>
        <v>Not Required</v>
      </c>
      <c r="AF57" s="2" t="s">
        <v>332</v>
      </c>
    </row>
    <row r="58" spans="1:32" x14ac:dyDescent="0.3">
      <c r="A58" s="2" t="s">
        <v>333</v>
      </c>
      <c r="B58" s="2">
        <f t="shared" si="0"/>
        <v>1</v>
      </c>
      <c r="C58" s="12">
        <f t="shared" si="14"/>
        <v>46238.58249483796</v>
      </c>
      <c r="D58" s="13">
        <v>46238.58249483796</v>
      </c>
      <c r="E58" s="2" t="s">
        <v>334</v>
      </c>
      <c r="F58" s="2" t="str">
        <f t="shared" si="1"/>
        <v>Email Available</v>
      </c>
      <c r="G58" s="2" t="s">
        <v>335</v>
      </c>
      <c r="H58" s="2" t="s">
        <v>261</v>
      </c>
      <c r="I58" s="2" t="s">
        <v>36</v>
      </c>
      <c r="J58" s="2" t="s">
        <v>262</v>
      </c>
      <c r="K58" s="2">
        <v>1</v>
      </c>
      <c r="L58" s="2">
        <v>15.49</v>
      </c>
      <c r="M58" s="19">
        <f t="shared" si="2"/>
        <v>15.49</v>
      </c>
      <c r="N58" s="2" t="s">
        <v>65</v>
      </c>
      <c r="O58" s="2" t="str">
        <f t="shared" si="3"/>
        <v>WELCOME10</v>
      </c>
      <c r="P58" s="2">
        <v>1.55</v>
      </c>
      <c r="Q58" s="19">
        <f t="shared" si="4"/>
        <v>1.55</v>
      </c>
      <c r="R58" s="2" t="str">
        <f t="shared" si="5"/>
        <v>Number</v>
      </c>
      <c r="S58" s="2">
        <v>5.99</v>
      </c>
      <c r="T58" s="19">
        <f t="shared" si="6"/>
        <v>5.99</v>
      </c>
      <c r="U58" s="2">
        <v>19.93</v>
      </c>
      <c r="V58" s="19">
        <f t="shared" si="7"/>
        <v>19.93</v>
      </c>
      <c r="W58" s="19">
        <f t="shared" si="8"/>
        <v>19.93</v>
      </c>
      <c r="X58" s="19" t="str">
        <f t="shared" si="9"/>
        <v>True</v>
      </c>
      <c r="Y58" s="19" t="str">
        <f>IF(OR(W58&lt;'Cleaning Tasks'!$G$18,W58&gt;'Cleaning Tasks'!$H$18),"Outlier","Normal")</f>
        <v>Normal</v>
      </c>
      <c r="Z58" s="2" t="s">
        <v>39</v>
      </c>
      <c r="AA58" s="2" t="s">
        <v>27</v>
      </c>
      <c r="AB58" s="2" t="s">
        <v>50</v>
      </c>
      <c r="AC58" s="2" t="s">
        <v>42</v>
      </c>
      <c r="AD58" s="2"/>
      <c r="AE58" s="2" t="str">
        <f t="shared" si="10"/>
        <v>Not Required</v>
      </c>
      <c r="AF58" s="2" t="s">
        <v>336</v>
      </c>
    </row>
    <row r="59" spans="1:32" x14ac:dyDescent="0.3">
      <c r="A59" s="2" t="s">
        <v>337</v>
      </c>
      <c r="B59" s="2">
        <f t="shared" si="0"/>
        <v>1</v>
      </c>
      <c r="C59" s="12">
        <f t="shared" si="14"/>
        <v>46238</v>
      </c>
      <c r="D59" s="13" t="s">
        <v>338</v>
      </c>
      <c r="E59" s="2" t="s">
        <v>339</v>
      </c>
      <c r="F59" s="2" t="str">
        <f t="shared" si="1"/>
        <v>Missing Email</v>
      </c>
      <c r="G59" s="2"/>
      <c r="H59" s="2" t="s">
        <v>146</v>
      </c>
      <c r="I59" s="2" t="s">
        <v>47</v>
      </c>
      <c r="J59" s="2" t="s">
        <v>147</v>
      </c>
      <c r="K59" s="2">
        <v>1</v>
      </c>
      <c r="L59" s="2" t="s">
        <v>340</v>
      </c>
      <c r="M59" s="19">
        <f t="shared" si="2"/>
        <v>34.99</v>
      </c>
      <c r="N59" s="2"/>
      <c r="O59" s="2" t="str">
        <f t="shared" si="3"/>
        <v/>
      </c>
      <c r="P59" s="2">
        <v>0</v>
      </c>
      <c r="Q59" s="19">
        <f t="shared" si="4"/>
        <v>0</v>
      </c>
      <c r="R59" s="2" t="str">
        <f t="shared" si="5"/>
        <v>Number</v>
      </c>
      <c r="S59" s="2">
        <v>7.99</v>
      </c>
      <c r="T59" s="19">
        <f t="shared" si="6"/>
        <v>7.99</v>
      </c>
      <c r="U59" s="2">
        <v>42.98</v>
      </c>
      <c r="V59" s="19">
        <f t="shared" si="7"/>
        <v>42.98</v>
      </c>
      <c r="W59" s="19">
        <f t="shared" si="8"/>
        <v>42.980000000000004</v>
      </c>
      <c r="X59" s="19" t="str">
        <f t="shared" si="9"/>
        <v>True</v>
      </c>
      <c r="Y59" s="19" t="str">
        <f>IF(OR(W59&lt;'Cleaning Tasks'!$G$18,W59&gt;'Cleaning Tasks'!$H$18),"Outlier","Normal")</f>
        <v>Normal</v>
      </c>
      <c r="Z59" s="2" t="s">
        <v>39</v>
      </c>
      <c r="AA59" s="2" t="s">
        <v>27</v>
      </c>
      <c r="AB59" s="2" t="s">
        <v>50</v>
      </c>
      <c r="AC59" s="2" t="s">
        <v>29</v>
      </c>
      <c r="AD59" s="2" t="s">
        <v>341</v>
      </c>
      <c r="AE59" s="2" t="str">
        <f t="shared" si="10"/>
        <v>Valid</v>
      </c>
      <c r="AF59" s="2" t="s">
        <v>342</v>
      </c>
    </row>
    <row r="60" spans="1:32" x14ac:dyDescent="0.3">
      <c r="A60" s="2" t="s">
        <v>343</v>
      </c>
      <c r="B60" s="2">
        <f t="shared" si="0"/>
        <v>1</v>
      </c>
      <c r="C60" s="12">
        <f t="shared" si="14"/>
        <v>46238.58708636574</v>
      </c>
      <c r="D60" s="13">
        <v>46238.58708636574</v>
      </c>
      <c r="E60" s="2" t="s">
        <v>251</v>
      </c>
      <c r="F60" s="2" t="str">
        <f t="shared" si="1"/>
        <v>Email Available</v>
      </c>
      <c r="G60" s="2" t="s">
        <v>344</v>
      </c>
      <c r="H60" s="2" t="s">
        <v>236</v>
      </c>
      <c r="I60" s="2" t="s">
        <v>237</v>
      </c>
      <c r="J60" s="2" t="s">
        <v>238</v>
      </c>
      <c r="K60" s="2">
        <v>1</v>
      </c>
      <c r="L60" s="2">
        <v>27.99</v>
      </c>
      <c r="M60" s="19">
        <f t="shared" si="2"/>
        <v>27.99</v>
      </c>
      <c r="N60" s="2"/>
      <c r="O60" s="2" t="str">
        <f t="shared" si="3"/>
        <v/>
      </c>
      <c r="P60" s="2">
        <v>0</v>
      </c>
      <c r="Q60" s="19">
        <f t="shared" si="4"/>
        <v>0</v>
      </c>
      <c r="R60" s="2" t="str">
        <f t="shared" si="5"/>
        <v>Number</v>
      </c>
      <c r="S60" s="2">
        <v>5.99</v>
      </c>
      <c r="T60" s="19">
        <f t="shared" si="6"/>
        <v>5.99</v>
      </c>
      <c r="U60" s="2">
        <v>33.979999999999997</v>
      </c>
      <c r="V60" s="19">
        <f t="shared" si="7"/>
        <v>33.979999999999997</v>
      </c>
      <c r="W60" s="19">
        <f t="shared" si="8"/>
        <v>33.979999999999997</v>
      </c>
      <c r="X60" s="19" t="str">
        <f t="shared" si="9"/>
        <v>True</v>
      </c>
      <c r="Y60" s="19" t="str">
        <f>IF(OR(W60&lt;'Cleaning Tasks'!$G$18,W60&gt;'Cleaning Tasks'!$H$18),"Outlier","Normal")</f>
        <v>Normal</v>
      </c>
      <c r="Z60" s="2" t="s">
        <v>66</v>
      </c>
      <c r="AA60" s="2" t="s">
        <v>88</v>
      </c>
      <c r="AB60" s="2" t="s">
        <v>50</v>
      </c>
      <c r="AC60" s="2" t="s">
        <v>29</v>
      </c>
      <c r="AD60" s="22" t="s">
        <v>140</v>
      </c>
      <c r="AE60" s="2" t="str">
        <f t="shared" si="10"/>
        <v>Valid</v>
      </c>
      <c r="AF60" s="2" t="s">
        <v>345</v>
      </c>
    </row>
    <row r="61" spans="1:32" x14ac:dyDescent="0.3">
      <c r="A61" s="2" t="s">
        <v>346</v>
      </c>
      <c r="B61" s="2">
        <f t="shared" si="0"/>
        <v>1</v>
      </c>
      <c r="C61" s="12">
        <f t="shared" si="14"/>
        <v>46238.581921550933</v>
      </c>
      <c r="D61" s="13">
        <v>46238.581921550933</v>
      </c>
      <c r="E61" s="2" t="s">
        <v>347</v>
      </c>
      <c r="F61" s="2" t="str">
        <f t="shared" si="1"/>
        <v>Email Available</v>
      </c>
      <c r="G61" s="2" t="s">
        <v>348</v>
      </c>
      <c r="H61" s="2" t="s">
        <v>146</v>
      </c>
      <c r="I61" s="2" t="s">
        <v>47</v>
      </c>
      <c r="J61" s="2" t="s">
        <v>147</v>
      </c>
      <c r="K61" s="2">
        <v>2</v>
      </c>
      <c r="L61" s="2" t="s">
        <v>340</v>
      </c>
      <c r="M61" s="19">
        <f t="shared" si="2"/>
        <v>34.99</v>
      </c>
      <c r="N61" s="2"/>
      <c r="O61" s="2" t="str">
        <f t="shared" si="3"/>
        <v/>
      </c>
      <c r="P61" s="2">
        <v>0</v>
      </c>
      <c r="Q61" s="19">
        <f t="shared" si="4"/>
        <v>0</v>
      </c>
      <c r="R61" s="2" t="str">
        <f t="shared" si="5"/>
        <v>Number</v>
      </c>
      <c r="S61" s="2">
        <v>5.99</v>
      </c>
      <c r="T61" s="19">
        <f t="shared" si="6"/>
        <v>5.99</v>
      </c>
      <c r="U61" s="2">
        <v>75.97</v>
      </c>
      <c r="V61" s="19">
        <f t="shared" si="7"/>
        <v>75.97</v>
      </c>
      <c r="W61" s="19">
        <f t="shared" si="8"/>
        <v>75.97</v>
      </c>
      <c r="X61" s="19" t="str">
        <f t="shared" si="9"/>
        <v>True</v>
      </c>
      <c r="Y61" s="19" t="str">
        <f>IF(OR(W61&lt;'Cleaning Tasks'!$G$18,W61&gt;'Cleaning Tasks'!$H$18),"Outlier","Normal")</f>
        <v>Normal</v>
      </c>
      <c r="Z61" s="2" t="s">
        <v>66</v>
      </c>
      <c r="AA61" s="2" t="s">
        <v>27</v>
      </c>
      <c r="AB61" s="2" t="s">
        <v>50</v>
      </c>
      <c r="AC61" s="2" t="s">
        <v>223</v>
      </c>
      <c r="AD61" s="2"/>
      <c r="AE61" s="2" t="str">
        <f t="shared" si="10"/>
        <v>Not Required</v>
      </c>
      <c r="AF61" s="2" t="s">
        <v>349</v>
      </c>
    </row>
    <row r="62" spans="1:32" x14ac:dyDescent="0.3">
      <c r="A62" s="2" t="s">
        <v>350</v>
      </c>
      <c r="B62" s="2">
        <f t="shared" si="0"/>
        <v>1</v>
      </c>
      <c r="C62" s="12">
        <f t="shared" si="14"/>
        <v>46238.585806030103</v>
      </c>
      <c r="D62" s="13">
        <v>46238.585806030103</v>
      </c>
      <c r="E62" s="2" t="s">
        <v>321</v>
      </c>
      <c r="F62" s="2" t="str">
        <f t="shared" si="1"/>
        <v>Email Available</v>
      </c>
      <c r="G62" s="2" t="s">
        <v>322</v>
      </c>
      <c r="H62" s="2" t="s">
        <v>309</v>
      </c>
      <c r="I62" s="2" t="s">
        <v>36</v>
      </c>
      <c r="J62" s="2" t="s">
        <v>310</v>
      </c>
      <c r="K62" s="2">
        <v>2</v>
      </c>
      <c r="L62" s="2">
        <v>8.99</v>
      </c>
      <c r="M62" s="19">
        <f t="shared" si="2"/>
        <v>8.99</v>
      </c>
      <c r="N62" s="2" t="s">
        <v>38</v>
      </c>
      <c r="O62" s="2" t="str">
        <f t="shared" si="3"/>
        <v>FREESHIP</v>
      </c>
      <c r="P62" s="2">
        <v>0</v>
      </c>
      <c r="Q62" s="19">
        <f t="shared" si="4"/>
        <v>0</v>
      </c>
      <c r="R62" s="2" t="str">
        <f t="shared" si="5"/>
        <v>Number</v>
      </c>
      <c r="S62" s="2">
        <v>0</v>
      </c>
      <c r="T62" s="19">
        <f t="shared" si="6"/>
        <v>0</v>
      </c>
      <c r="U62" s="2">
        <v>17.98</v>
      </c>
      <c r="V62" s="19">
        <f t="shared" si="7"/>
        <v>17.98</v>
      </c>
      <c r="W62" s="19">
        <f t="shared" si="8"/>
        <v>17.98</v>
      </c>
      <c r="X62" s="19" t="str">
        <f t="shared" si="9"/>
        <v>True</v>
      </c>
      <c r="Y62" s="19" t="str">
        <f>IF(OR(W62&lt;'Cleaning Tasks'!$G$18,W62&gt;'Cleaning Tasks'!$H$18),"Outlier","Normal")</f>
        <v>Normal</v>
      </c>
      <c r="Z62" s="2" t="s">
        <v>49</v>
      </c>
      <c r="AA62" s="2" t="s">
        <v>27</v>
      </c>
      <c r="AB62" s="2" t="s">
        <v>96</v>
      </c>
      <c r="AC62" s="2" t="s">
        <v>223</v>
      </c>
      <c r="AD62" s="2"/>
      <c r="AE62" s="2" t="str">
        <f t="shared" si="10"/>
        <v>Not Required</v>
      </c>
      <c r="AF62" s="2" t="s">
        <v>351</v>
      </c>
    </row>
    <row r="63" spans="1:32" x14ac:dyDescent="0.3">
      <c r="A63" s="2" t="s">
        <v>352</v>
      </c>
      <c r="B63" s="2">
        <f t="shared" si="0"/>
        <v>1</v>
      </c>
      <c r="C63" s="12">
        <f t="shared" si="14"/>
        <v>46238.583435289351</v>
      </c>
      <c r="D63" s="13">
        <v>46238.583435289351</v>
      </c>
      <c r="E63" s="2" t="s">
        <v>353</v>
      </c>
      <c r="F63" s="2" t="str">
        <f t="shared" si="1"/>
        <v>Email Available</v>
      </c>
      <c r="G63" s="2" t="s">
        <v>354</v>
      </c>
      <c r="H63" s="2" t="s">
        <v>146</v>
      </c>
      <c r="I63" s="2" t="s">
        <v>47</v>
      </c>
      <c r="J63" s="2" t="s">
        <v>147</v>
      </c>
      <c r="K63" s="2">
        <v>1</v>
      </c>
      <c r="L63" s="2">
        <v>34.99</v>
      </c>
      <c r="M63" s="19">
        <f t="shared" si="2"/>
        <v>34.99</v>
      </c>
      <c r="N63" s="2" t="s">
        <v>38</v>
      </c>
      <c r="O63" s="2" t="str">
        <f t="shared" si="3"/>
        <v>FREESHIP</v>
      </c>
      <c r="P63" s="2">
        <v>0</v>
      </c>
      <c r="Q63" s="19">
        <f t="shared" si="4"/>
        <v>0</v>
      </c>
      <c r="R63" s="2" t="str">
        <f t="shared" si="5"/>
        <v>Number</v>
      </c>
      <c r="S63" s="2">
        <v>0</v>
      </c>
      <c r="T63" s="19">
        <f t="shared" si="6"/>
        <v>0</v>
      </c>
      <c r="U63" s="2">
        <v>34.99</v>
      </c>
      <c r="V63" s="19">
        <f t="shared" si="7"/>
        <v>34.99</v>
      </c>
      <c r="W63" s="19">
        <f t="shared" si="8"/>
        <v>34.99</v>
      </c>
      <c r="X63" s="19" t="str">
        <f t="shared" si="9"/>
        <v>True</v>
      </c>
      <c r="Y63" s="19" t="str">
        <f>IF(OR(W63&lt;'Cleaning Tasks'!$G$18,W63&gt;'Cleaning Tasks'!$H$18),"Outlier","Normal")</f>
        <v>Normal</v>
      </c>
      <c r="Z63" s="2" t="s">
        <v>39</v>
      </c>
      <c r="AA63" s="2" t="s">
        <v>27</v>
      </c>
      <c r="AB63" s="2" t="s">
        <v>96</v>
      </c>
      <c r="AC63" s="2" t="s">
        <v>223</v>
      </c>
      <c r="AD63" s="2"/>
      <c r="AE63" s="2" t="str">
        <f t="shared" si="10"/>
        <v>Not Required</v>
      </c>
      <c r="AF63" s="2" t="s">
        <v>355</v>
      </c>
    </row>
    <row r="64" spans="1:32" x14ac:dyDescent="0.3">
      <c r="A64" s="2" t="s">
        <v>356</v>
      </c>
      <c r="B64" s="2">
        <f t="shared" si="0"/>
        <v>1</v>
      </c>
      <c r="C64" s="12">
        <f t="shared" si="14"/>
        <v>46238.587680486111</v>
      </c>
      <c r="D64" s="13">
        <v>46238.587680486111</v>
      </c>
      <c r="E64" s="2" t="s">
        <v>357</v>
      </c>
      <c r="F64" s="2" t="str">
        <f t="shared" si="1"/>
        <v>Email Available</v>
      </c>
      <c r="G64" s="2" t="s">
        <v>358</v>
      </c>
      <c r="H64" s="2" t="s">
        <v>109</v>
      </c>
      <c r="I64" s="2" t="s">
        <v>79</v>
      </c>
      <c r="J64" s="2" t="s">
        <v>110</v>
      </c>
      <c r="K64" s="2">
        <v>2</v>
      </c>
      <c r="L64" s="2">
        <v>22.99</v>
      </c>
      <c r="M64" s="19">
        <f t="shared" si="2"/>
        <v>22.99</v>
      </c>
      <c r="N64" s="2" t="s">
        <v>38</v>
      </c>
      <c r="O64" s="2" t="str">
        <f t="shared" si="3"/>
        <v>FREESHIP</v>
      </c>
      <c r="P64" s="2">
        <v>0</v>
      </c>
      <c r="Q64" s="19">
        <f t="shared" si="4"/>
        <v>0</v>
      </c>
      <c r="R64" s="2" t="str">
        <f t="shared" si="5"/>
        <v>Number</v>
      </c>
      <c r="S64" s="2">
        <v>0</v>
      </c>
      <c r="T64" s="19">
        <f t="shared" si="6"/>
        <v>0</v>
      </c>
      <c r="U64" s="2">
        <v>45.98</v>
      </c>
      <c r="V64" s="19">
        <f t="shared" si="7"/>
        <v>45.98</v>
      </c>
      <c r="W64" s="19">
        <f t="shared" si="8"/>
        <v>45.98</v>
      </c>
      <c r="X64" s="19" t="str">
        <f t="shared" si="9"/>
        <v>True</v>
      </c>
      <c r="Y64" s="19" t="str">
        <f>IF(OR(W64&lt;'Cleaning Tasks'!$G$18,W64&gt;'Cleaning Tasks'!$H$18),"Outlier","Normal")</f>
        <v>Normal</v>
      </c>
      <c r="Z64" s="2" t="s">
        <v>66</v>
      </c>
      <c r="AA64" s="2" t="s">
        <v>27</v>
      </c>
      <c r="AB64" s="2" t="s">
        <v>50</v>
      </c>
      <c r="AC64" s="2" t="s">
        <v>73</v>
      </c>
      <c r="AD64" s="2"/>
      <c r="AE64" s="2" t="str">
        <f t="shared" si="10"/>
        <v>Not Required</v>
      </c>
      <c r="AF64" s="2" t="s">
        <v>359</v>
      </c>
    </row>
    <row r="65" spans="1:32" x14ac:dyDescent="0.3">
      <c r="A65" s="2" t="s">
        <v>360</v>
      </c>
      <c r="B65" s="2">
        <f t="shared" si="0"/>
        <v>1</v>
      </c>
      <c r="C65" s="12">
        <f t="shared" si="14"/>
        <v>46238.589029236107</v>
      </c>
      <c r="D65" s="13">
        <v>46238.589029236107</v>
      </c>
      <c r="E65" s="2" t="s">
        <v>92</v>
      </c>
      <c r="F65" s="2" t="str">
        <f t="shared" si="1"/>
        <v>Email Available</v>
      </c>
      <c r="G65" s="2" t="s">
        <v>93</v>
      </c>
      <c r="H65" s="2" t="s">
        <v>361</v>
      </c>
      <c r="I65" s="2" t="s">
        <v>86</v>
      </c>
      <c r="J65" s="2" t="s">
        <v>362</v>
      </c>
      <c r="K65" s="2">
        <v>2</v>
      </c>
      <c r="L65" s="2" t="s">
        <v>363</v>
      </c>
      <c r="M65" s="19">
        <f t="shared" si="2"/>
        <v>54.99</v>
      </c>
      <c r="N65" s="2"/>
      <c r="O65" s="2" t="str">
        <f t="shared" si="3"/>
        <v/>
      </c>
      <c r="P65" s="2">
        <v>0</v>
      </c>
      <c r="Q65" s="19">
        <f t="shared" si="4"/>
        <v>0</v>
      </c>
      <c r="R65" s="2" t="str">
        <f t="shared" si="5"/>
        <v>Number</v>
      </c>
      <c r="S65" s="2">
        <v>0</v>
      </c>
      <c r="T65" s="19">
        <f t="shared" si="6"/>
        <v>0</v>
      </c>
      <c r="U65" s="2">
        <v>109.98</v>
      </c>
      <c r="V65" s="19">
        <f t="shared" si="7"/>
        <v>109.98</v>
      </c>
      <c r="W65" s="19">
        <f t="shared" si="8"/>
        <v>109.98</v>
      </c>
      <c r="X65" s="19" t="str">
        <f t="shared" si="9"/>
        <v>True</v>
      </c>
      <c r="Y65" s="19" t="str">
        <f>IF(OR(W65&lt;'Cleaning Tasks'!$G$18,W65&gt;'Cleaning Tasks'!$H$18),"Outlier","Normal")</f>
        <v>Outlier</v>
      </c>
      <c r="Z65" s="2" t="s">
        <v>66</v>
      </c>
      <c r="AA65" s="2" t="s">
        <v>27</v>
      </c>
      <c r="AB65" s="2" t="s">
        <v>96</v>
      </c>
      <c r="AC65" s="2" t="s">
        <v>42</v>
      </c>
      <c r="AD65" s="2"/>
      <c r="AE65" s="2" t="str">
        <f t="shared" si="10"/>
        <v>Not Required</v>
      </c>
      <c r="AF65" s="2" t="s">
        <v>364</v>
      </c>
    </row>
    <row r="66" spans="1:32" x14ac:dyDescent="0.3">
      <c r="A66" s="2" t="s">
        <v>365</v>
      </c>
      <c r="B66" s="2">
        <f t="shared" ref="B66:B129" si="15">COUNTIF($A$2:$A$1993,A66)</f>
        <v>1</v>
      </c>
      <c r="C66" s="12">
        <f t="shared" si="14"/>
        <v>46238.584926076393</v>
      </c>
      <c r="D66" s="13">
        <v>46238.584926076393</v>
      </c>
      <c r="E66" s="2" t="s">
        <v>366</v>
      </c>
      <c r="F66" s="2" t="str">
        <f t="shared" ref="F66:F129" si="16">IF(TRIM(G66)="","Missing Email","Email Available")</f>
        <v>Email Available</v>
      </c>
      <c r="G66" s="2" t="s">
        <v>367</v>
      </c>
      <c r="H66" s="2" t="s">
        <v>78</v>
      </c>
      <c r="I66" s="2" t="s">
        <v>79</v>
      </c>
      <c r="J66" s="2" t="s">
        <v>80</v>
      </c>
      <c r="K66" s="2">
        <v>4</v>
      </c>
      <c r="L66" s="2">
        <v>89.99</v>
      </c>
      <c r="M66" s="19">
        <f t="shared" ref="M66:M129" si="17">IF(ISNUMBER(L66),L66,VALUE(SUBSTITUTE(L66,"$","")))</f>
        <v>89.99</v>
      </c>
      <c r="N66" s="2"/>
      <c r="O66" s="2" t="str">
        <f t="shared" ref="O66:O129" si="18">IF(TRIM(N66)="","",UPPER(TRIM(SUBSTITUTE(N66,CHAR(160)," "))))</f>
        <v/>
      </c>
      <c r="P66" s="2">
        <v>0</v>
      </c>
      <c r="Q66" s="19">
        <f t="shared" ref="Q66:Q129" si="19">IF(ISNUMBER(P66),P66,VALUE(TRIM(SUBSTITUTE(P66,"$",""))))</f>
        <v>0</v>
      </c>
      <c r="R66" s="2" t="str">
        <f t="shared" ref="R66:R129" si="20">IF(ISNUMBER(Q66),"Number","Text")</f>
        <v>Number</v>
      </c>
      <c r="S66" s="2">
        <v>0</v>
      </c>
      <c r="T66" s="19">
        <f t="shared" ref="T66:T129" si="21">IF(ISNUMBER(S66),S66,VALUE(TRIM(SUBSTITUTE(S66,"$",""))))</f>
        <v>0</v>
      </c>
      <c r="U66" s="2">
        <v>359.96</v>
      </c>
      <c r="V66" s="19">
        <f t="shared" ref="V66:V129" si="22">IF(ISNUMBER(U66),U66,VALUE(TRIM(SUBSTITUTE(U66,"$",""))))</f>
        <v>359.96</v>
      </c>
      <c r="W66" s="19">
        <f t="shared" ref="W66:W129" si="23">((M66*K66)-Q66)+T66</f>
        <v>359.96</v>
      </c>
      <c r="X66" s="19" t="str">
        <f t="shared" ref="X66:X129" si="24">IF(V66=W66,"True","False")</f>
        <v>True</v>
      </c>
      <c r="Y66" s="19" t="str">
        <f>IF(OR(W66&lt;'Cleaning Tasks'!$G$18,W66&gt;'Cleaning Tasks'!$H$18),"Outlier","Normal")</f>
        <v>Outlier</v>
      </c>
      <c r="Z66" s="2" t="s">
        <v>66</v>
      </c>
      <c r="AA66" s="2" t="s">
        <v>88</v>
      </c>
      <c r="AB66" s="2" t="s">
        <v>50</v>
      </c>
      <c r="AC66" s="2" t="s">
        <v>331</v>
      </c>
      <c r="AD66" s="2"/>
      <c r="AE66" s="2" t="str">
        <f t="shared" ref="AE66:AE129" si="25">IF(AND(AC66="United States",AD66=""),"Missing state",IF(AD66="","Not Required","Valid"))</f>
        <v>Not Required</v>
      </c>
      <c r="AF66" s="2" t="s">
        <v>368</v>
      </c>
    </row>
    <row r="67" spans="1:32" x14ac:dyDescent="0.3">
      <c r="A67" s="2" t="s">
        <v>369</v>
      </c>
      <c r="B67" s="2">
        <f t="shared" si="15"/>
        <v>1</v>
      </c>
      <c r="C67" s="12">
        <f t="shared" si="14"/>
        <v>46238.584687789349</v>
      </c>
      <c r="D67" s="13">
        <v>46238.584687789349</v>
      </c>
      <c r="E67" s="2" t="s">
        <v>370</v>
      </c>
      <c r="F67" s="2" t="str">
        <f t="shared" si="16"/>
        <v>Email Available</v>
      </c>
      <c r="G67" s="2" t="s">
        <v>371</v>
      </c>
      <c r="H67" s="2" t="s">
        <v>35</v>
      </c>
      <c r="I67" s="2" t="s">
        <v>36</v>
      </c>
      <c r="J67" s="2" t="s">
        <v>37</v>
      </c>
      <c r="K67" s="2">
        <v>2</v>
      </c>
      <c r="L67" s="2">
        <v>21.99</v>
      </c>
      <c r="M67" s="19">
        <f t="shared" si="17"/>
        <v>21.99</v>
      </c>
      <c r="N67" s="2" t="s">
        <v>38</v>
      </c>
      <c r="O67" s="2" t="str">
        <f t="shared" si="18"/>
        <v>FREESHIP</v>
      </c>
      <c r="P67" s="2">
        <v>0</v>
      </c>
      <c r="Q67" s="19">
        <f t="shared" si="19"/>
        <v>0</v>
      </c>
      <c r="R67" s="2" t="str">
        <f t="shared" si="20"/>
        <v>Number</v>
      </c>
      <c r="S67" s="2">
        <v>0</v>
      </c>
      <c r="T67" s="19">
        <f t="shared" si="21"/>
        <v>0</v>
      </c>
      <c r="U67" s="2">
        <v>43.98</v>
      </c>
      <c r="V67" s="19">
        <f t="shared" si="22"/>
        <v>43.98</v>
      </c>
      <c r="W67" s="19">
        <f t="shared" si="23"/>
        <v>43.98</v>
      </c>
      <c r="X67" s="19" t="str">
        <f t="shared" si="24"/>
        <v>True</v>
      </c>
      <c r="Y67" s="19" t="str">
        <f>IF(OR(W67&lt;'Cleaning Tasks'!$G$18,W67&gt;'Cleaning Tasks'!$H$18),"Outlier","Normal")</f>
        <v>Normal</v>
      </c>
      <c r="Z67" s="2" t="s">
        <v>49</v>
      </c>
      <c r="AA67" s="2" t="s">
        <v>27</v>
      </c>
      <c r="AB67" s="2" t="s">
        <v>50</v>
      </c>
      <c r="AC67" s="2" t="s">
        <v>223</v>
      </c>
      <c r="AD67" s="2"/>
      <c r="AE67" s="2" t="str">
        <f t="shared" si="25"/>
        <v>Not Required</v>
      </c>
      <c r="AF67" s="2" t="s">
        <v>372</v>
      </c>
    </row>
    <row r="68" spans="1:32" x14ac:dyDescent="0.3">
      <c r="A68" s="2" t="s">
        <v>373</v>
      </c>
      <c r="B68" s="2">
        <f t="shared" si="15"/>
        <v>1</v>
      </c>
      <c r="C68" s="12">
        <f>DATE(VALUE(RIGHT(D68,4)),MATCH(LEFT(D68,3),{"Jan","Feb","Mar","Apr","May","Jun","Jul","Aug","Sep","Oct","Nov","Dec"},0),VALUE(MID(D68,5,2)))</f>
        <v>46238</v>
      </c>
      <c r="D68" s="13" t="s">
        <v>171</v>
      </c>
      <c r="E68" s="2" t="s">
        <v>188</v>
      </c>
      <c r="F68" s="2" t="str">
        <f t="shared" si="16"/>
        <v>Missing Email</v>
      </c>
      <c r="G68" s="2"/>
      <c r="H68" s="2" t="s">
        <v>117</v>
      </c>
      <c r="I68" s="2" t="s">
        <v>22</v>
      </c>
      <c r="J68" s="2" t="s">
        <v>23</v>
      </c>
      <c r="K68" s="2">
        <v>2</v>
      </c>
      <c r="L68" s="2">
        <v>12.99</v>
      </c>
      <c r="M68" s="19">
        <f t="shared" si="17"/>
        <v>12.99</v>
      </c>
      <c r="N68" s="2" t="s">
        <v>374</v>
      </c>
      <c r="O68" s="2" t="str">
        <f t="shared" si="18"/>
        <v>FREESHIP</v>
      </c>
      <c r="P68" s="2">
        <v>0</v>
      </c>
      <c r="Q68" s="19">
        <f t="shared" si="19"/>
        <v>0</v>
      </c>
      <c r="R68" s="2" t="str">
        <f t="shared" si="20"/>
        <v>Number</v>
      </c>
      <c r="S68" s="2">
        <v>0</v>
      </c>
      <c r="T68" s="19">
        <f t="shared" si="21"/>
        <v>0</v>
      </c>
      <c r="U68" s="2">
        <v>25.98</v>
      </c>
      <c r="V68" s="19">
        <f t="shared" si="22"/>
        <v>25.98</v>
      </c>
      <c r="W68" s="19">
        <f t="shared" si="23"/>
        <v>25.98</v>
      </c>
      <c r="X68" s="19" t="str">
        <f t="shared" si="24"/>
        <v>True</v>
      </c>
      <c r="Y68" s="19" t="str">
        <f>IF(OR(W68&lt;'Cleaning Tasks'!$G$18,W68&gt;'Cleaning Tasks'!$H$18),"Outlier","Normal")</f>
        <v>Normal</v>
      </c>
      <c r="Z68" s="2" t="s">
        <v>66</v>
      </c>
      <c r="AA68" s="2" t="s">
        <v>27</v>
      </c>
      <c r="AB68" s="2" t="s">
        <v>50</v>
      </c>
      <c r="AC68" s="2" t="s">
        <v>29</v>
      </c>
      <c r="AD68" s="2" t="s">
        <v>140</v>
      </c>
      <c r="AE68" s="2" t="str">
        <f t="shared" si="25"/>
        <v>Valid</v>
      </c>
      <c r="AF68" s="2" t="s">
        <v>375</v>
      </c>
    </row>
    <row r="69" spans="1:32" x14ac:dyDescent="0.3">
      <c r="A69" s="2" t="s">
        <v>376</v>
      </c>
      <c r="B69" s="2">
        <f t="shared" si="15"/>
        <v>1</v>
      </c>
      <c r="C69" s="12">
        <f t="shared" ref="C69:C100" si="26">IF(ISNUMBER(D69),D69,DATEVALUE(SUBSTITUTE(TRIM(D69),CHAR(160)," ")))</f>
        <v>46238.586117777777</v>
      </c>
      <c r="D69" s="13">
        <v>46238.586117777777</v>
      </c>
      <c r="E69" s="2" t="s">
        <v>377</v>
      </c>
      <c r="F69" s="2" t="str">
        <f t="shared" si="16"/>
        <v>Email Available</v>
      </c>
      <c r="G69" s="2" t="s">
        <v>378</v>
      </c>
      <c r="H69" s="2" t="s">
        <v>221</v>
      </c>
      <c r="I69" s="2" t="s">
        <v>22</v>
      </c>
      <c r="J69" s="2" t="s">
        <v>222</v>
      </c>
      <c r="K69" s="2">
        <v>1</v>
      </c>
      <c r="L69" s="2">
        <v>17.989999999999998</v>
      </c>
      <c r="M69" s="19">
        <f t="shared" si="17"/>
        <v>17.989999999999998</v>
      </c>
      <c r="N69" s="2" t="s">
        <v>65</v>
      </c>
      <c r="O69" s="2" t="str">
        <f t="shared" si="18"/>
        <v>WELCOME10</v>
      </c>
      <c r="P69" s="2">
        <v>1.8</v>
      </c>
      <c r="Q69" s="19">
        <f t="shared" si="19"/>
        <v>1.8</v>
      </c>
      <c r="R69" s="2" t="str">
        <f t="shared" si="20"/>
        <v>Number</v>
      </c>
      <c r="S69" s="2">
        <v>7.99</v>
      </c>
      <c r="T69" s="19">
        <f t="shared" si="21"/>
        <v>7.99</v>
      </c>
      <c r="U69" s="2">
        <v>24.18</v>
      </c>
      <c r="V69" s="19">
        <f t="shared" si="22"/>
        <v>24.18</v>
      </c>
      <c r="W69" s="19">
        <f t="shared" si="23"/>
        <v>24.18</v>
      </c>
      <c r="X69" s="19" t="str">
        <f t="shared" si="24"/>
        <v>True</v>
      </c>
      <c r="Y69" s="19" t="str">
        <f>IF(OR(W69&lt;'Cleaning Tasks'!$G$18,W69&gt;'Cleaning Tasks'!$H$18),"Outlier","Normal")</f>
        <v>Normal</v>
      </c>
      <c r="Z69" s="2" t="s">
        <v>49</v>
      </c>
      <c r="AA69" s="2" t="s">
        <v>27</v>
      </c>
      <c r="AB69" s="2" t="s">
        <v>28</v>
      </c>
      <c r="AC69" s="2" t="s">
        <v>73</v>
      </c>
      <c r="AD69" s="2"/>
      <c r="AE69" s="2" t="str">
        <f t="shared" si="25"/>
        <v>Not Required</v>
      </c>
      <c r="AF69" s="2" t="s">
        <v>379</v>
      </c>
    </row>
    <row r="70" spans="1:32" x14ac:dyDescent="0.3">
      <c r="A70" s="2" t="s">
        <v>380</v>
      </c>
      <c r="B70" s="2">
        <f t="shared" si="15"/>
        <v>1</v>
      </c>
      <c r="C70" s="12">
        <f t="shared" si="26"/>
        <v>46238.583583576386</v>
      </c>
      <c r="D70" s="13">
        <v>46238.583583576386</v>
      </c>
      <c r="E70" s="2" t="s">
        <v>381</v>
      </c>
      <c r="F70" s="2" t="str">
        <f t="shared" si="16"/>
        <v>Email Available</v>
      </c>
      <c r="G70" s="2" t="s">
        <v>382</v>
      </c>
      <c r="H70" s="2" t="s">
        <v>46</v>
      </c>
      <c r="I70" s="2" t="s">
        <v>47</v>
      </c>
      <c r="J70" s="2" t="s">
        <v>48</v>
      </c>
      <c r="K70" s="2">
        <v>1</v>
      </c>
      <c r="L70" s="2">
        <v>39.99</v>
      </c>
      <c r="M70" s="19">
        <f t="shared" si="17"/>
        <v>39.99</v>
      </c>
      <c r="N70" s="2"/>
      <c r="O70" s="2" t="str">
        <f t="shared" si="18"/>
        <v/>
      </c>
      <c r="P70" s="2">
        <v>0</v>
      </c>
      <c r="Q70" s="19">
        <f t="shared" si="19"/>
        <v>0</v>
      </c>
      <c r="R70" s="2" t="str">
        <f t="shared" si="20"/>
        <v>Number</v>
      </c>
      <c r="S70" s="2">
        <v>4.99</v>
      </c>
      <c r="T70" s="19">
        <f t="shared" si="21"/>
        <v>4.99</v>
      </c>
      <c r="U70" s="2">
        <v>44.98</v>
      </c>
      <c r="V70" s="19">
        <f t="shared" si="22"/>
        <v>44.98</v>
      </c>
      <c r="W70" s="19">
        <f t="shared" si="23"/>
        <v>44.980000000000004</v>
      </c>
      <c r="X70" s="19" t="str">
        <f t="shared" si="24"/>
        <v>True</v>
      </c>
      <c r="Y70" s="19" t="str">
        <f>IF(OR(W70&lt;'Cleaning Tasks'!$G$18,W70&gt;'Cleaning Tasks'!$H$18),"Outlier","Normal")</f>
        <v>Normal</v>
      </c>
      <c r="Z70" s="2" t="s">
        <v>49</v>
      </c>
      <c r="AA70" s="2" t="s">
        <v>27</v>
      </c>
      <c r="AB70" s="2" t="s">
        <v>41</v>
      </c>
      <c r="AC70" s="2" t="s">
        <v>29</v>
      </c>
      <c r="AD70" s="22" t="s">
        <v>140</v>
      </c>
      <c r="AE70" s="2" t="str">
        <f t="shared" si="25"/>
        <v>Valid</v>
      </c>
      <c r="AF70" s="2" t="s">
        <v>383</v>
      </c>
    </row>
    <row r="71" spans="1:32" x14ac:dyDescent="0.3">
      <c r="A71" s="2" t="s">
        <v>384</v>
      </c>
      <c r="B71" s="2">
        <f t="shared" si="15"/>
        <v>1</v>
      </c>
      <c r="C71" s="12">
        <f t="shared" si="26"/>
        <v>46238.584126562499</v>
      </c>
      <c r="D71" s="13">
        <v>46238.584126562499</v>
      </c>
      <c r="E71" s="2" t="s">
        <v>385</v>
      </c>
      <c r="F71" s="2" t="str">
        <f t="shared" si="16"/>
        <v>Email Available</v>
      </c>
      <c r="G71" s="2" t="s">
        <v>386</v>
      </c>
      <c r="H71" s="2" t="s">
        <v>201</v>
      </c>
      <c r="I71" s="2" t="s">
        <v>191</v>
      </c>
      <c r="J71" s="2" t="s">
        <v>202</v>
      </c>
      <c r="K71" s="2">
        <v>1</v>
      </c>
      <c r="L71" s="2">
        <v>24.99</v>
      </c>
      <c r="M71" s="19">
        <f t="shared" si="17"/>
        <v>24.99</v>
      </c>
      <c r="N71" s="2" t="s">
        <v>203</v>
      </c>
      <c r="O71" s="2" t="str">
        <f t="shared" si="18"/>
        <v>VIP15</v>
      </c>
      <c r="P71" s="2">
        <v>3.75</v>
      </c>
      <c r="Q71" s="19">
        <f t="shared" si="19"/>
        <v>3.75</v>
      </c>
      <c r="R71" s="2" t="str">
        <f t="shared" si="20"/>
        <v>Number</v>
      </c>
      <c r="S71" s="2">
        <v>4.99</v>
      </c>
      <c r="T71" s="19">
        <f t="shared" si="21"/>
        <v>4.99</v>
      </c>
      <c r="U71" s="2">
        <v>26.23</v>
      </c>
      <c r="V71" s="19">
        <f t="shared" si="22"/>
        <v>26.23</v>
      </c>
      <c r="W71" s="19">
        <f t="shared" si="23"/>
        <v>26.229999999999997</v>
      </c>
      <c r="X71" s="19" t="str">
        <f t="shared" si="24"/>
        <v>True</v>
      </c>
      <c r="Y71" s="19" t="str">
        <f>IF(OR(W71&lt;'Cleaning Tasks'!$G$18,W71&gt;'Cleaning Tasks'!$H$18),"Outlier","Normal")</f>
        <v>Normal</v>
      </c>
      <c r="Z71" s="2" t="s">
        <v>72</v>
      </c>
      <c r="AA71" s="2" t="s">
        <v>27</v>
      </c>
      <c r="AB71" s="2" t="s">
        <v>50</v>
      </c>
      <c r="AC71" s="2" t="s">
        <v>105</v>
      </c>
      <c r="AD71" s="2"/>
      <c r="AE71" s="2" t="str">
        <f t="shared" si="25"/>
        <v>Not Required</v>
      </c>
      <c r="AF71" s="2" t="s">
        <v>387</v>
      </c>
    </row>
    <row r="72" spans="1:32" x14ac:dyDescent="0.3">
      <c r="A72" s="2" t="s">
        <v>388</v>
      </c>
      <c r="B72" s="2">
        <f t="shared" si="15"/>
        <v>1</v>
      </c>
      <c r="C72" s="12">
        <f t="shared" si="26"/>
        <v>46238.5800121875</v>
      </c>
      <c r="D72" s="13">
        <v>46238.5800121875</v>
      </c>
      <c r="E72" s="2" t="s">
        <v>389</v>
      </c>
      <c r="F72" s="2" t="str">
        <f t="shared" si="16"/>
        <v>Email Available</v>
      </c>
      <c r="G72" s="2" t="s">
        <v>390</v>
      </c>
      <c r="H72" s="2" t="s">
        <v>56</v>
      </c>
      <c r="I72" s="2" t="s">
        <v>22</v>
      </c>
      <c r="J72" s="2" t="s">
        <v>57</v>
      </c>
      <c r="K72" s="2">
        <v>2</v>
      </c>
      <c r="L72" s="2">
        <v>9.99</v>
      </c>
      <c r="M72" s="19">
        <f t="shared" si="17"/>
        <v>9.99</v>
      </c>
      <c r="N72" s="2" t="s">
        <v>391</v>
      </c>
      <c r="O72" s="2" t="str">
        <f t="shared" si="18"/>
        <v>BFCM25</v>
      </c>
      <c r="P72" s="2">
        <v>5</v>
      </c>
      <c r="Q72" s="19">
        <f t="shared" si="19"/>
        <v>5</v>
      </c>
      <c r="R72" s="2" t="str">
        <f t="shared" si="20"/>
        <v>Number</v>
      </c>
      <c r="S72" s="2">
        <v>5.99</v>
      </c>
      <c r="T72" s="19">
        <f t="shared" si="21"/>
        <v>5.99</v>
      </c>
      <c r="U72" s="2">
        <v>20.97</v>
      </c>
      <c r="V72" s="19">
        <f t="shared" si="22"/>
        <v>20.97</v>
      </c>
      <c r="W72" s="19">
        <f t="shared" si="23"/>
        <v>20.97</v>
      </c>
      <c r="X72" s="19" t="str">
        <f t="shared" si="24"/>
        <v>True</v>
      </c>
      <c r="Y72" s="19" t="str">
        <f>IF(OR(W72&lt;'Cleaning Tasks'!$G$18,W72&gt;'Cleaning Tasks'!$H$18),"Outlier","Normal")</f>
        <v>Normal</v>
      </c>
      <c r="Z72" s="2" t="s">
        <v>39</v>
      </c>
      <c r="AA72" s="2" t="s">
        <v>88</v>
      </c>
      <c r="AB72" s="2" t="s">
        <v>50</v>
      </c>
      <c r="AC72" s="2" t="s">
        <v>331</v>
      </c>
      <c r="AD72" s="2"/>
      <c r="AE72" s="2" t="str">
        <f t="shared" si="25"/>
        <v>Not Required</v>
      </c>
      <c r="AF72" s="2" t="s">
        <v>392</v>
      </c>
    </row>
    <row r="73" spans="1:32" x14ac:dyDescent="0.3">
      <c r="A73" s="2" t="s">
        <v>393</v>
      </c>
      <c r="B73" s="2">
        <f t="shared" si="15"/>
        <v>1</v>
      </c>
      <c r="C73" s="12">
        <f t="shared" si="26"/>
        <v>46238</v>
      </c>
      <c r="D73" s="13">
        <v>46238</v>
      </c>
      <c r="E73" s="2" t="s">
        <v>394</v>
      </c>
      <c r="F73" s="2" t="str">
        <f t="shared" si="16"/>
        <v>Email Available</v>
      </c>
      <c r="G73" s="2" t="s">
        <v>395</v>
      </c>
      <c r="H73" s="2" t="s">
        <v>309</v>
      </c>
      <c r="I73" s="2" t="s">
        <v>36</v>
      </c>
      <c r="J73" s="2" t="s">
        <v>310</v>
      </c>
      <c r="K73" s="2">
        <v>1</v>
      </c>
      <c r="L73" s="2">
        <v>8.99</v>
      </c>
      <c r="M73" s="19">
        <f t="shared" si="17"/>
        <v>8.99</v>
      </c>
      <c r="N73" s="2"/>
      <c r="O73" s="2" t="str">
        <f t="shared" si="18"/>
        <v/>
      </c>
      <c r="P73" s="2">
        <v>0</v>
      </c>
      <c r="Q73" s="19">
        <f t="shared" si="19"/>
        <v>0</v>
      </c>
      <c r="R73" s="2" t="str">
        <f t="shared" si="20"/>
        <v>Number</v>
      </c>
      <c r="S73" s="2">
        <v>5.99</v>
      </c>
      <c r="T73" s="19">
        <f t="shared" si="21"/>
        <v>5.99</v>
      </c>
      <c r="U73" s="2">
        <v>14.98</v>
      </c>
      <c r="V73" s="19">
        <f t="shared" si="22"/>
        <v>14.98</v>
      </c>
      <c r="W73" s="19">
        <f t="shared" si="23"/>
        <v>14.98</v>
      </c>
      <c r="X73" s="19" t="str">
        <f t="shared" si="24"/>
        <v>True</v>
      </c>
      <c r="Y73" s="19" t="str">
        <f>IF(OR(W73&lt;'Cleaning Tasks'!$G$18,W73&gt;'Cleaning Tasks'!$H$18),"Outlier","Normal")</f>
        <v>Normal</v>
      </c>
      <c r="Z73" s="2" t="s">
        <v>66</v>
      </c>
      <c r="AA73" s="2" t="s">
        <v>27</v>
      </c>
      <c r="AB73" s="2" t="s">
        <v>41</v>
      </c>
      <c r="AC73" s="2" t="s">
        <v>73</v>
      </c>
      <c r="AD73" s="2"/>
      <c r="AE73" s="2" t="str">
        <f t="shared" si="25"/>
        <v>Not Required</v>
      </c>
      <c r="AF73" s="2" t="s">
        <v>396</v>
      </c>
    </row>
    <row r="74" spans="1:32" x14ac:dyDescent="0.3">
      <c r="A74" s="2" t="s">
        <v>397</v>
      </c>
      <c r="B74" s="2">
        <f t="shared" si="15"/>
        <v>1</v>
      </c>
      <c r="C74" s="12">
        <f t="shared" si="26"/>
        <v>46238.588341863433</v>
      </c>
      <c r="D74" s="13">
        <v>46238.588341863433</v>
      </c>
      <c r="E74" s="2" t="s">
        <v>398</v>
      </c>
      <c r="F74" s="2" t="str">
        <f t="shared" si="16"/>
        <v>Email Available</v>
      </c>
      <c r="G74" s="2" t="s">
        <v>399</v>
      </c>
      <c r="H74" s="2" t="s">
        <v>63</v>
      </c>
      <c r="I74" s="2" t="s">
        <v>47</v>
      </c>
      <c r="J74" s="2" t="s">
        <v>64</v>
      </c>
      <c r="K74" s="2">
        <v>1</v>
      </c>
      <c r="L74" s="2">
        <v>14.99</v>
      </c>
      <c r="M74" s="19">
        <f t="shared" si="17"/>
        <v>14.99</v>
      </c>
      <c r="N74" s="2" t="s">
        <v>65</v>
      </c>
      <c r="O74" s="2" t="str">
        <f t="shared" si="18"/>
        <v>WELCOME10</v>
      </c>
      <c r="P74" s="2">
        <v>1.5</v>
      </c>
      <c r="Q74" s="19">
        <f t="shared" si="19"/>
        <v>1.5</v>
      </c>
      <c r="R74" s="2" t="str">
        <f t="shared" si="20"/>
        <v>Number</v>
      </c>
      <c r="S74" s="2">
        <v>7.99</v>
      </c>
      <c r="T74" s="19">
        <f t="shared" si="21"/>
        <v>7.99</v>
      </c>
      <c r="U74" s="2">
        <v>21.48</v>
      </c>
      <c r="V74" s="19">
        <f t="shared" si="22"/>
        <v>21.48</v>
      </c>
      <c r="W74" s="19">
        <f t="shared" si="23"/>
        <v>21.48</v>
      </c>
      <c r="X74" s="19" t="str">
        <f t="shared" si="24"/>
        <v>True</v>
      </c>
      <c r="Y74" s="19" t="str">
        <f>IF(OR(W74&lt;'Cleaning Tasks'!$G$18,W74&gt;'Cleaning Tasks'!$H$18),"Outlier","Normal")</f>
        <v>Normal</v>
      </c>
      <c r="Z74" s="2" t="s">
        <v>39</v>
      </c>
      <c r="AA74" s="2" t="s">
        <v>111</v>
      </c>
      <c r="AB74" s="2" t="s">
        <v>41</v>
      </c>
      <c r="AC74" s="2" t="s">
        <v>29</v>
      </c>
      <c r="AD74" s="2" t="s">
        <v>30</v>
      </c>
      <c r="AE74" s="2" t="str">
        <f t="shared" si="25"/>
        <v>Valid</v>
      </c>
      <c r="AF74" s="2" t="s">
        <v>400</v>
      </c>
    </row>
    <row r="75" spans="1:32" x14ac:dyDescent="0.3">
      <c r="A75" s="2" t="s">
        <v>401</v>
      </c>
      <c r="B75" s="2">
        <f t="shared" si="15"/>
        <v>1</v>
      </c>
      <c r="C75" s="12">
        <f t="shared" si="26"/>
        <v>46238.581820775456</v>
      </c>
      <c r="D75" s="13">
        <v>46238.581820775456</v>
      </c>
      <c r="E75" s="2" t="s">
        <v>92</v>
      </c>
      <c r="F75" s="2" t="str">
        <f t="shared" si="16"/>
        <v>Email Available</v>
      </c>
      <c r="G75" s="2" t="s">
        <v>93</v>
      </c>
      <c r="H75" s="2" t="s">
        <v>182</v>
      </c>
      <c r="I75" s="2" t="s">
        <v>36</v>
      </c>
      <c r="J75" s="2" t="s">
        <v>183</v>
      </c>
      <c r="K75" s="2">
        <v>1</v>
      </c>
      <c r="L75" s="2" t="s">
        <v>402</v>
      </c>
      <c r="M75" s="19">
        <f t="shared" si="17"/>
        <v>11.99</v>
      </c>
      <c r="N75" s="2" t="s">
        <v>24</v>
      </c>
      <c r="O75" s="2" t="str">
        <f t="shared" si="18"/>
        <v>SAVE20</v>
      </c>
      <c r="P75" s="2">
        <v>2.4</v>
      </c>
      <c r="Q75" s="19">
        <f t="shared" si="19"/>
        <v>2.4</v>
      </c>
      <c r="R75" s="2" t="str">
        <f t="shared" si="20"/>
        <v>Number</v>
      </c>
      <c r="S75" s="2">
        <v>7.99</v>
      </c>
      <c r="T75" s="19">
        <f t="shared" si="21"/>
        <v>7.99</v>
      </c>
      <c r="U75" s="2">
        <v>17.579999999999998</v>
      </c>
      <c r="V75" s="19">
        <f t="shared" si="22"/>
        <v>17.579999999999998</v>
      </c>
      <c r="W75" s="19">
        <f t="shared" si="23"/>
        <v>17.579999999999998</v>
      </c>
      <c r="X75" s="19" t="str">
        <f t="shared" si="24"/>
        <v>True</v>
      </c>
      <c r="Y75" s="19" t="str">
        <f>IF(OR(W75&lt;'Cleaning Tasks'!$G$18,W75&gt;'Cleaning Tasks'!$H$18),"Outlier","Normal")</f>
        <v>Normal</v>
      </c>
      <c r="Z75" s="2" t="s">
        <v>66</v>
      </c>
      <c r="AA75" s="2" t="s">
        <v>40</v>
      </c>
      <c r="AB75" s="2" t="s">
        <v>41</v>
      </c>
      <c r="AC75" s="2" t="s">
        <v>42</v>
      </c>
      <c r="AD75" s="2"/>
      <c r="AE75" s="2" t="str">
        <f t="shared" si="25"/>
        <v>Not Required</v>
      </c>
      <c r="AF75" s="2" t="s">
        <v>403</v>
      </c>
    </row>
    <row r="76" spans="1:32" x14ac:dyDescent="0.3">
      <c r="A76" s="2" t="s">
        <v>404</v>
      </c>
      <c r="B76" s="2">
        <f t="shared" si="15"/>
        <v>1</v>
      </c>
      <c r="C76" s="12">
        <f t="shared" si="26"/>
        <v>46238.579157337961</v>
      </c>
      <c r="D76" s="13">
        <v>46238.579157337961</v>
      </c>
      <c r="E76" s="2" t="s">
        <v>405</v>
      </c>
      <c r="F76" s="2" t="str">
        <f t="shared" si="16"/>
        <v>Email Available</v>
      </c>
      <c r="G76" s="2" t="s">
        <v>406</v>
      </c>
      <c r="H76" s="2" t="s">
        <v>190</v>
      </c>
      <c r="I76" s="2" t="s">
        <v>191</v>
      </c>
      <c r="J76" s="2" t="s">
        <v>192</v>
      </c>
      <c r="K76" s="2">
        <v>2</v>
      </c>
      <c r="L76" s="2">
        <v>13.49</v>
      </c>
      <c r="M76" s="19">
        <f t="shared" si="17"/>
        <v>13.49</v>
      </c>
      <c r="N76" s="2" t="s">
        <v>24</v>
      </c>
      <c r="O76" s="2" t="str">
        <f t="shared" si="18"/>
        <v>SAVE20</v>
      </c>
      <c r="P76" s="2">
        <v>5.4</v>
      </c>
      <c r="Q76" s="19">
        <f t="shared" si="19"/>
        <v>5.4</v>
      </c>
      <c r="R76" s="2" t="str">
        <f t="shared" si="20"/>
        <v>Number</v>
      </c>
      <c r="S76" s="2">
        <v>5.99</v>
      </c>
      <c r="T76" s="19">
        <f t="shared" si="21"/>
        <v>5.99</v>
      </c>
      <c r="U76" s="2">
        <v>27.57</v>
      </c>
      <c r="V76" s="19">
        <f t="shared" si="22"/>
        <v>27.57</v>
      </c>
      <c r="W76" s="19">
        <f t="shared" si="23"/>
        <v>27.57</v>
      </c>
      <c r="X76" s="19" t="str">
        <f t="shared" si="24"/>
        <v>True</v>
      </c>
      <c r="Y76" s="19" t="str">
        <f>IF(OR(W76&lt;'Cleaning Tasks'!$G$18,W76&gt;'Cleaning Tasks'!$H$18),"Outlier","Normal")</f>
        <v>Normal</v>
      </c>
      <c r="Z76" s="2" t="s">
        <v>72</v>
      </c>
      <c r="AA76" s="2" t="s">
        <v>88</v>
      </c>
      <c r="AB76" s="2" t="s">
        <v>50</v>
      </c>
      <c r="AC76" s="2" t="s">
        <v>29</v>
      </c>
      <c r="AD76" s="2" t="s">
        <v>89</v>
      </c>
      <c r="AE76" s="2" t="str">
        <f t="shared" si="25"/>
        <v>Valid</v>
      </c>
      <c r="AF76" s="2" t="s">
        <v>407</v>
      </c>
    </row>
    <row r="77" spans="1:32" x14ac:dyDescent="0.3">
      <c r="A77" s="2" t="s">
        <v>408</v>
      </c>
      <c r="B77" s="2">
        <f t="shared" si="15"/>
        <v>1</v>
      </c>
      <c r="C77" s="12">
        <f t="shared" si="26"/>
        <v>46238.578979687503</v>
      </c>
      <c r="D77" s="13">
        <v>46238.578979687503</v>
      </c>
      <c r="E77" s="2" t="s">
        <v>409</v>
      </c>
      <c r="F77" s="2" t="str">
        <f t="shared" si="16"/>
        <v>Email Available</v>
      </c>
      <c r="G77" s="2" t="s">
        <v>410</v>
      </c>
      <c r="H77" s="2" t="s">
        <v>267</v>
      </c>
      <c r="I77" s="2" t="s">
        <v>22</v>
      </c>
      <c r="J77" s="2" t="s">
        <v>268</v>
      </c>
      <c r="K77" s="2">
        <v>1</v>
      </c>
      <c r="L77" s="2">
        <v>18.989999999999998</v>
      </c>
      <c r="M77" s="19">
        <f t="shared" si="17"/>
        <v>18.989999999999998</v>
      </c>
      <c r="N77" s="2" t="s">
        <v>38</v>
      </c>
      <c r="O77" s="2" t="str">
        <f t="shared" si="18"/>
        <v>FREESHIP</v>
      </c>
      <c r="P77" s="2">
        <v>0</v>
      </c>
      <c r="Q77" s="19">
        <f t="shared" si="19"/>
        <v>0</v>
      </c>
      <c r="R77" s="2" t="str">
        <f t="shared" si="20"/>
        <v>Number</v>
      </c>
      <c r="S77" s="2">
        <v>0</v>
      </c>
      <c r="T77" s="19">
        <f t="shared" si="21"/>
        <v>0</v>
      </c>
      <c r="U77" s="2">
        <v>18.989999999999998</v>
      </c>
      <c r="V77" s="19">
        <f t="shared" si="22"/>
        <v>18.989999999999998</v>
      </c>
      <c r="W77" s="19">
        <f t="shared" si="23"/>
        <v>18.989999999999998</v>
      </c>
      <c r="X77" s="19" t="str">
        <f t="shared" si="24"/>
        <v>True</v>
      </c>
      <c r="Y77" s="19" t="str">
        <f>IF(OR(W77&lt;'Cleaning Tasks'!$G$18,W77&gt;'Cleaning Tasks'!$H$18),"Outlier","Normal")</f>
        <v>Normal</v>
      </c>
      <c r="Z77" s="2" t="s">
        <v>72</v>
      </c>
      <c r="AA77" s="2" t="s">
        <v>27</v>
      </c>
      <c r="AB77" s="2" t="s">
        <v>41</v>
      </c>
      <c r="AC77" s="2" t="s">
        <v>42</v>
      </c>
      <c r="AD77" s="2"/>
      <c r="AE77" s="2" t="str">
        <f t="shared" si="25"/>
        <v>Not Required</v>
      </c>
      <c r="AF77" s="2" t="s">
        <v>411</v>
      </c>
    </row>
    <row r="78" spans="1:32" x14ac:dyDescent="0.3">
      <c r="A78" s="2" t="s">
        <v>412</v>
      </c>
      <c r="B78" s="2">
        <f t="shared" si="15"/>
        <v>1</v>
      </c>
      <c r="C78" s="12">
        <f t="shared" si="26"/>
        <v>46238</v>
      </c>
      <c r="D78" s="13" t="s">
        <v>143</v>
      </c>
      <c r="E78" s="2" t="s">
        <v>413</v>
      </c>
      <c r="F78" s="2" t="str">
        <f t="shared" si="16"/>
        <v>Email Available</v>
      </c>
      <c r="G78" s="2" t="s">
        <v>414</v>
      </c>
      <c r="H78" s="2" t="s">
        <v>117</v>
      </c>
      <c r="I78" s="2" t="s">
        <v>22</v>
      </c>
      <c r="J78" s="2" t="s">
        <v>23</v>
      </c>
      <c r="K78" s="2">
        <v>2</v>
      </c>
      <c r="L78" s="2">
        <v>12.99</v>
      </c>
      <c r="M78" s="19">
        <f t="shared" si="17"/>
        <v>12.99</v>
      </c>
      <c r="N78" s="2" t="s">
        <v>38</v>
      </c>
      <c r="O78" s="2" t="str">
        <f t="shared" si="18"/>
        <v>FREESHIP</v>
      </c>
      <c r="P78" s="2">
        <v>0</v>
      </c>
      <c r="Q78" s="19">
        <f t="shared" si="19"/>
        <v>0</v>
      </c>
      <c r="R78" s="2" t="str">
        <f t="shared" si="20"/>
        <v>Number</v>
      </c>
      <c r="S78" s="2">
        <v>0</v>
      </c>
      <c r="T78" s="19">
        <f t="shared" si="21"/>
        <v>0</v>
      </c>
      <c r="U78" s="2">
        <v>25.98</v>
      </c>
      <c r="V78" s="19">
        <f t="shared" si="22"/>
        <v>25.98</v>
      </c>
      <c r="W78" s="19">
        <f t="shared" si="23"/>
        <v>25.98</v>
      </c>
      <c r="X78" s="19" t="str">
        <f t="shared" si="24"/>
        <v>True</v>
      </c>
      <c r="Y78" s="19" t="str">
        <f>IF(OR(W78&lt;'Cleaning Tasks'!$G$18,W78&gt;'Cleaning Tasks'!$H$18),"Outlier","Normal")</f>
        <v>Normal</v>
      </c>
      <c r="Z78" s="2" t="s">
        <v>39</v>
      </c>
      <c r="AA78" s="2" t="s">
        <v>111</v>
      </c>
      <c r="AB78" s="2" t="s">
        <v>41</v>
      </c>
      <c r="AC78" s="2" t="s">
        <v>331</v>
      </c>
      <c r="AD78" s="2"/>
      <c r="AE78" s="2" t="str">
        <f t="shared" si="25"/>
        <v>Not Required</v>
      </c>
      <c r="AF78" s="2" t="s">
        <v>415</v>
      </c>
    </row>
    <row r="79" spans="1:32" x14ac:dyDescent="0.3">
      <c r="A79" s="2" t="s">
        <v>416</v>
      </c>
      <c r="B79" s="2">
        <f t="shared" si="15"/>
        <v>1</v>
      </c>
      <c r="C79" s="12">
        <f t="shared" si="26"/>
        <v>46238.585259560183</v>
      </c>
      <c r="D79" s="13">
        <v>46238.585259560183</v>
      </c>
      <c r="E79" s="2" t="s">
        <v>417</v>
      </c>
      <c r="F79" s="2" t="str">
        <f t="shared" si="16"/>
        <v>Email Available</v>
      </c>
      <c r="G79" s="2" t="s">
        <v>418</v>
      </c>
      <c r="H79" s="2" t="s">
        <v>309</v>
      </c>
      <c r="I79" s="2" t="s">
        <v>36</v>
      </c>
      <c r="J79" s="2" t="s">
        <v>310</v>
      </c>
      <c r="K79" s="2">
        <v>1</v>
      </c>
      <c r="L79" s="2">
        <v>8.99</v>
      </c>
      <c r="M79" s="19">
        <f t="shared" si="17"/>
        <v>8.99</v>
      </c>
      <c r="N79" s="2"/>
      <c r="O79" s="2" t="str">
        <f t="shared" si="18"/>
        <v/>
      </c>
      <c r="P79" s="2">
        <v>0</v>
      </c>
      <c r="Q79" s="19">
        <f t="shared" si="19"/>
        <v>0</v>
      </c>
      <c r="R79" s="2" t="str">
        <f t="shared" si="20"/>
        <v>Number</v>
      </c>
      <c r="S79" s="2">
        <v>4.99</v>
      </c>
      <c r="T79" s="19">
        <f t="shared" si="21"/>
        <v>4.99</v>
      </c>
      <c r="U79" s="2">
        <v>13.98</v>
      </c>
      <c r="V79" s="19">
        <f t="shared" si="22"/>
        <v>13.98</v>
      </c>
      <c r="W79" s="19">
        <f t="shared" si="23"/>
        <v>13.98</v>
      </c>
      <c r="X79" s="19" t="str">
        <f t="shared" si="24"/>
        <v>True</v>
      </c>
      <c r="Y79" s="19" t="str">
        <f>IF(OR(W79&lt;'Cleaning Tasks'!$G$18,W79&gt;'Cleaning Tasks'!$H$18),"Outlier","Normal")</f>
        <v>Normal</v>
      </c>
      <c r="Z79" s="2" t="s">
        <v>26</v>
      </c>
      <c r="AA79" s="2" t="s">
        <v>27</v>
      </c>
      <c r="AB79" s="2" t="s">
        <v>96</v>
      </c>
      <c r="AC79" s="2" t="s">
        <v>29</v>
      </c>
      <c r="AD79" s="2" t="s">
        <v>51</v>
      </c>
      <c r="AE79" s="2" t="str">
        <f t="shared" si="25"/>
        <v>Valid</v>
      </c>
      <c r="AF79" s="2" t="s">
        <v>419</v>
      </c>
    </row>
    <row r="80" spans="1:32" x14ac:dyDescent="0.3">
      <c r="A80" s="2" t="s">
        <v>420</v>
      </c>
      <c r="B80" s="2">
        <f t="shared" si="15"/>
        <v>1</v>
      </c>
      <c r="C80" s="12">
        <f t="shared" si="26"/>
        <v>46238.583398969909</v>
      </c>
      <c r="D80" s="13">
        <v>46238.583398969909</v>
      </c>
      <c r="E80" s="2" t="s">
        <v>421</v>
      </c>
      <c r="F80" s="2" t="str">
        <f t="shared" si="16"/>
        <v>Email Available</v>
      </c>
      <c r="G80" s="2" t="s">
        <v>422</v>
      </c>
      <c r="H80" s="2" t="s">
        <v>201</v>
      </c>
      <c r="I80" s="2" t="s">
        <v>191</v>
      </c>
      <c r="J80" s="2" t="s">
        <v>202</v>
      </c>
      <c r="K80" s="2">
        <v>1</v>
      </c>
      <c r="L80" s="2">
        <v>24.99</v>
      </c>
      <c r="M80" s="19">
        <f t="shared" si="17"/>
        <v>24.99</v>
      </c>
      <c r="N80" s="2"/>
      <c r="O80" s="2" t="str">
        <f t="shared" si="18"/>
        <v/>
      </c>
      <c r="P80" s="2">
        <v>0</v>
      </c>
      <c r="Q80" s="19">
        <f t="shared" si="19"/>
        <v>0</v>
      </c>
      <c r="R80" s="2" t="str">
        <f t="shared" si="20"/>
        <v>Number</v>
      </c>
      <c r="S80" s="2">
        <v>5.99</v>
      </c>
      <c r="T80" s="19">
        <f t="shared" si="21"/>
        <v>5.99</v>
      </c>
      <c r="U80" s="2">
        <v>30.98</v>
      </c>
      <c r="V80" s="19">
        <f t="shared" si="22"/>
        <v>30.98</v>
      </c>
      <c r="W80" s="19">
        <f t="shared" si="23"/>
        <v>30.979999999999997</v>
      </c>
      <c r="X80" s="19" t="str">
        <f t="shared" si="24"/>
        <v>True</v>
      </c>
      <c r="Y80" s="19" t="str">
        <f>IF(OR(W80&lt;'Cleaning Tasks'!$G$18,W80&gt;'Cleaning Tasks'!$H$18),"Outlier","Normal")</f>
        <v>Normal</v>
      </c>
      <c r="Z80" s="2" t="s">
        <v>49</v>
      </c>
      <c r="AA80" s="2" t="s">
        <v>27</v>
      </c>
      <c r="AB80" s="2" t="s">
        <v>50</v>
      </c>
      <c r="AC80" s="2" t="s">
        <v>29</v>
      </c>
      <c r="AD80" s="2" t="s">
        <v>58</v>
      </c>
      <c r="AE80" s="2" t="str">
        <f t="shared" si="25"/>
        <v>Valid</v>
      </c>
      <c r="AF80" s="2" t="s">
        <v>423</v>
      </c>
    </row>
    <row r="81" spans="1:32" x14ac:dyDescent="0.3">
      <c r="A81" s="2" t="s">
        <v>424</v>
      </c>
      <c r="B81" s="2">
        <f t="shared" si="15"/>
        <v>1</v>
      </c>
      <c r="C81" s="12">
        <f t="shared" si="26"/>
        <v>46238.579795451391</v>
      </c>
      <c r="D81" s="13">
        <v>46238.579795451391</v>
      </c>
      <c r="E81" s="2" t="s">
        <v>425</v>
      </c>
      <c r="F81" s="2" t="str">
        <f t="shared" si="16"/>
        <v>Email Available</v>
      </c>
      <c r="G81" s="2" t="s">
        <v>426</v>
      </c>
      <c r="H81" s="2" t="s">
        <v>267</v>
      </c>
      <c r="I81" s="2" t="s">
        <v>22</v>
      </c>
      <c r="J81" s="2" t="s">
        <v>268</v>
      </c>
      <c r="K81" s="2">
        <v>1</v>
      </c>
      <c r="L81" s="2">
        <v>18.989999999999998</v>
      </c>
      <c r="M81" s="19">
        <f t="shared" si="17"/>
        <v>18.989999999999998</v>
      </c>
      <c r="N81" s="2"/>
      <c r="O81" s="2" t="str">
        <f t="shared" si="18"/>
        <v/>
      </c>
      <c r="P81" s="2">
        <v>0</v>
      </c>
      <c r="Q81" s="19">
        <f t="shared" si="19"/>
        <v>0</v>
      </c>
      <c r="R81" s="2" t="str">
        <f t="shared" si="20"/>
        <v>Number</v>
      </c>
      <c r="S81" s="2">
        <v>4.99</v>
      </c>
      <c r="T81" s="19">
        <f t="shared" si="21"/>
        <v>4.99</v>
      </c>
      <c r="U81" s="2">
        <v>23.98</v>
      </c>
      <c r="V81" s="19">
        <f t="shared" si="22"/>
        <v>23.98</v>
      </c>
      <c r="W81" s="19">
        <f t="shared" si="23"/>
        <v>23.979999999999997</v>
      </c>
      <c r="X81" s="19" t="str">
        <f t="shared" si="24"/>
        <v>True</v>
      </c>
      <c r="Y81" s="19" t="str">
        <f>IF(OR(W81&lt;'Cleaning Tasks'!$G$18,W81&gt;'Cleaning Tasks'!$H$18),"Outlier","Normal")</f>
        <v>Normal</v>
      </c>
      <c r="Z81" s="2" t="s">
        <v>66</v>
      </c>
      <c r="AA81" s="2" t="s">
        <v>88</v>
      </c>
      <c r="AB81" s="2" t="s">
        <v>50</v>
      </c>
      <c r="AC81" s="2" t="s">
        <v>331</v>
      </c>
      <c r="AD81" s="2"/>
      <c r="AE81" s="2" t="str">
        <f t="shared" si="25"/>
        <v>Not Required</v>
      </c>
      <c r="AF81" s="2" t="s">
        <v>427</v>
      </c>
    </row>
    <row r="82" spans="1:32" x14ac:dyDescent="0.3">
      <c r="A82" s="2" t="s">
        <v>428</v>
      </c>
      <c r="B82" s="2">
        <f t="shared" si="15"/>
        <v>1</v>
      </c>
      <c r="C82" s="12">
        <f t="shared" si="26"/>
        <v>46238.584806701387</v>
      </c>
      <c r="D82" s="13">
        <v>46238.584806701387</v>
      </c>
      <c r="E82" s="2" t="s">
        <v>357</v>
      </c>
      <c r="F82" s="2" t="str">
        <f t="shared" si="16"/>
        <v>Email Available</v>
      </c>
      <c r="G82" s="2" t="s">
        <v>358</v>
      </c>
      <c r="H82" s="2" t="s">
        <v>166</v>
      </c>
      <c r="I82" s="2" t="s">
        <v>103</v>
      </c>
      <c r="J82" s="2" t="s">
        <v>167</v>
      </c>
      <c r="K82" s="2">
        <v>3</v>
      </c>
      <c r="L82" s="2">
        <v>32.99</v>
      </c>
      <c r="M82" s="19">
        <f t="shared" si="17"/>
        <v>32.99</v>
      </c>
      <c r="N82" s="2" t="s">
        <v>38</v>
      </c>
      <c r="O82" s="2" t="str">
        <f t="shared" si="18"/>
        <v>FREESHIP</v>
      </c>
      <c r="P82" s="2" t="s">
        <v>184</v>
      </c>
      <c r="Q82" s="19">
        <f t="shared" si="19"/>
        <v>0</v>
      </c>
      <c r="R82" s="2" t="str">
        <f t="shared" si="20"/>
        <v>Number</v>
      </c>
      <c r="S82" s="2">
        <v>0</v>
      </c>
      <c r="T82" s="19">
        <f t="shared" si="21"/>
        <v>0</v>
      </c>
      <c r="U82" s="2">
        <v>98.97</v>
      </c>
      <c r="V82" s="19">
        <f t="shared" si="22"/>
        <v>98.97</v>
      </c>
      <c r="W82" s="19">
        <f t="shared" si="23"/>
        <v>98.97</v>
      </c>
      <c r="X82" s="19" t="str">
        <f t="shared" si="24"/>
        <v>True</v>
      </c>
      <c r="Y82" s="19" t="str">
        <f>IF(OR(W82&lt;'Cleaning Tasks'!$G$18,W82&gt;'Cleaning Tasks'!$H$18),"Outlier","Normal")</f>
        <v>Outlier</v>
      </c>
      <c r="Z82" s="2" t="s">
        <v>39</v>
      </c>
      <c r="AA82" s="2" t="s">
        <v>27</v>
      </c>
      <c r="AB82" s="2" t="s">
        <v>96</v>
      </c>
      <c r="AC82" s="2" t="s">
        <v>73</v>
      </c>
      <c r="AD82" s="2"/>
      <c r="AE82" s="2" t="str">
        <f t="shared" si="25"/>
        <v>Not Required</v>
      </c>
      <c r="AF82" s="2" t="s">
        <v>429</v>
      </c>
    </row>
    <row r="83" spans="1:32" x14ac:dyDescent="0.3">
      <c r="A83" s="2" t="s">
        <v>430</v>
      </c>
      <c r="B83" s="2">
        <f t="shared" si="15"/>
        <v>1</v>
      </c>
      <c r="C83" s="12">
        <f t="shared" si="26"/>
        <v>46238</v>
      </c>
      <c r="D83" s="13">
        <v>46238</v>
      </c>
      <c r="E83" s="2" t="s">
        <v>431</v>
      </c>
      <c r="F83" s="2" t="str">
        <f t="shared" si="16"/>
        <v>Email Available</v>
      </c>
      <c r="G83" s="2" t="s">
        <v>432</v>
      </c>
      <c r="H83" s="2" t="s">
        <v>117</v>
      </c>
      <c r="I83" s="2" t="s">
        <v>22</v>
      </c>
      <c r="J83" s="2" t="s">
        <v>23</v>
      </c>
      <c r="K83" s="2">
        <v>1</v>
      </c>
      <c r="L83" s="2">
        <v>12.99</v>
      </c>
      <c r="M83" s="19">
        <f t="shared" si="17"/>
        <v>12.99</v>
      </c>
      <c r="N83" s="2" t="s">
        <v>24</v>
      </c>
      <c r="O83" s="2" t="str">
        <f t="shared" si="18"/>
        <v>SAVE20</v>
      </c>
      <c r="P83" s="2">
        <v>2.6</v>
      </c>
      <c r="Q83" s="19">
        <f t="shared" si="19"/>
        <v>2.6</v>
      </c>
      <c r="R83" s="2" t="str">
        <f t="shared" si="20"/>
        <v>Number</v>
      </c>
      <c r="S83" s="2">
        <v>4.99</v>
      </c>
      <c r="T83" s="19">
        <f t="shared" si="21"/>
        <v>4.99</v>
      </c>
      <c r="U83" s="2" t="s">
        <v>433</v>
      </c>
      <c r="V83" s="19">
        <f t="shared" si="22"/>
        <v>15.38</v>
      </c>
      <c r="W83" s="19">
        <f t="shared" si="23"/>
        <v>15.38</v>
      </c>
      <c r="X83" s="19" t="str">
        <f t="shared" si="24"/>
        <v>True</v>
      </c>
      <c r="Y83" s="19" t="str">
        <f>IF(OR(W83&lt;'Cleaning Tasks'!$G$18,W83&gt;'Cleaning Tasks'!$H$18),"Outlier","Normal")</f>
        <v>Normal</v>
      </c>
      <c r="Z83" s="2" t="s">
        <v>26</v>
      </c>
      <c r="AA83" s="2" t="s">
        <v>27</v>
      </c>
      <c r="AB83" s="2" t="s">
        <v>41</v>
      </c>
      <c r="AC83" s="2" t="s">
        <v>105</v>
      </c>
      <c r="AD83" s="2"/>
      <c r="AE83" s="2" t="str">
        <f t="shared" si="25"/>
        <v>Not Required</v>
      </c>
      <c r="AF83" s="2" t="s">
        <v>434</v>
      </c>
    </row>
    <row r="84" spans="1:32" x14ac:dyDescent="0.3">
      <c r="A84" s="2" t="s">
        <v>435</v>
      </c>
      <c r="B84" s="2">
        <f t="shared" si="15"/>
        <v>1</v>
      </c>
      <c r="C84" s="12">
        <f t="shared" si="26"/>
        <v>46238.579809074072</v>
      </c>
      <c r="D84" s="13">
        <v>46238.579809074072</v>
      </c>
      <c r="E84" s="2" t="s">
        <v>436</v>
      </c>
      <c r="F84" s="2" t="str">
        <f t="shared" si="16"/>
        <v>Email Available</v>
      </c>
      <c r="G84" s="2" t="s">
        <v>437</v>
      </c>
      <c r="H84" s="2" t="s">
        <v>361</v>
      </c>
      <c r="I84" s="2" t="s">
        <v>86</v>
      </c>
      <c r="J84" s="2" t="s">
        <v>362</v>
      </c>
      <c r="K84" s="2">
        <v>1</v>
      </c>
      <c r="L84" s="2">
        <v>54.99</v>
      </c>
      <c r="M84" s="19">
        <f t="shared" si="17"/>
        <v>54.99</v>
      </c>
      <c r="N84" s="2" t="s">
        <v>24</v>
      </c>
      <c r="O84" s="2" t="str">
        <f t="shared" si="18"/>
        <v>SAVE20</v>
      </c>
      <c r="P84" s="2" t="s">
        <v>438</v>
      </c>
      <c r="Q84" s="19">
        <f t="shared" si="19"/>
        <v>11</v>
      </c>
      <c r="R84" s="2" t="str">
        <f t="shared" si="20"/>
        <v>Number</v>
      </c>
      <c r="S84" s="2">
        <v>5.99</v>
      </c>
      <c r="T84" s="19">
        <f t="shared" si="21"/>
        <v>5.99</v>
      </c>
      <c r="U84" s="2">
        <v>49.98</v>
      </c>
      <c r="V84" s="19">
        <f t="shared" si="22"/>
        <v>49.98</v>
      </c>
      <c r="W84" s="19">
        <f t="shared" si="23"/>
        <v>49.980000000000004</v>
      </c>
      <c r="X84" s="19" t="str">
        <f t="shared" si="24"/>
        <v>True</v>
      </c>
      <c r="Y84" s="19" t="str">
        <f>IF(OR(W84&lt;'Cleaning Tasks'!$G$18,W84&gt;'Cleaning Tasks'!$H$18),"Outlier","Normal")</f>
        <v>Normal</v>
      </c>
      <c r="Z84" s="2" t="s">
        <v>66</v>
      </c>
      <c r="AA84" s="2" t="s">
        <v>27</v>
      </c>
      <c r="AB84" s="2" t="s">
        <v>50</v>
      </c>
      <c r="AC84" s="2" t="s">
        <v>42</v>
      </c>
      <c r="AD84" s="2"/>
      <c r="AE84" s="2" t="str">
        <f t="shared" si="25"/>
        <v>Not Required</v>
      </c>
      <c r="AF84" s="2" t="s">
        <v>439</v>
      </c>
    </row>
    <row r="85" spans="1:32" x14ac:dyDescent="0.3">
      <c r="A85" s="2" t="s">
        <v>440</v>
      </c>
      <c r="B85" s="2">
        <f t="shared" si="15"/>
        <v>1</v>
      </c>
      <c r="C85" s="12">
        <f t="shared" si="26"/>
        <v>46238.588624571763</v>
      </c>
      <c r="D85" s="13">
        <v>46238.588624571763</v>
      </c>
      <c r="E85" s="2" t="s">
        <v>441</v>
      </c>
      <c r="F85" s="2" t="str">
        <f t="shared" si="16"/>
        <v>Email Available</v>
      </c>
      <c r="G85" s="2" t="s">
        <v>442</v>
      </c>
      <c r="H85" s="2" t="s">
        <v>267</v>
      </c>
      <c r="I85" s="2" t="s">
        <v>22</v>
      </c>
      <c r="J85" s="2" t="s">
        <v>268</v>
      </c>
      <c r="K85" s="2">
        <v>1</v>
      </c>
      <c r="L85" s="2">
        <v>18.989999999999998</v>
      </c>
      <c r="M85" s="19">
        <f t="shared" si="17"/>
        <v>18.989999999999998</v>
      </c>
      <c r="N85" s="2"/>
      <c r="O85" s="2" t="str">
        <f t="shared" si="18"/>
        <v/>
      </c>
      <c r="P85" s="2">
        <v>0</v>
      </c>
      <c r="Q85" s="19">
        <f t="shared" si="19"/>
        <v>0</v>
      </c>
      <c r="R85" s="2" t="str">
        <f t="shared" si="20"/>
        <v>Number</v>
      </c>
      <c r="S85" s="2">
        <v>4.99</v>
      </c>
      <c r="T85" s="19">
        <f t="shared" si="21"/>
        <v>4.99</v>
      </c>
      <c r="U85" s="2">
        <v>23.98</v>
      </c>
      <c r="V85" s="19">
        <f t="shared" si="22"/>
        <v>23.98</v>
      </c>
      <c r="W85" s="19">
        <f t="shared" si="23"/>
        <v>23.979999999999997</v>
      </c>
      <c r="X85" s="19" t="str">
        <f t="shared" si="24"/>
        <v>True</v>
      </c>
      <c r="Y85" s="19" t="str">
        <f>IF(OR(W85&lt;'Cleaning Tasks'!$G$18,W85&gt;'Cleaning Tasks'!$H$18),"Outlier","Normal")</f>
        <v>Normal</v>
      </c>
      <c r="Z85" s="2" t="s">
        <v>66</v>
      </c>
      <c r="AA85" s="2" t="s">
        <v>27</v>
      </c>
      <c r="AB85" s="2" t="s">
        <v>41</v>
      </c>
      <c r="AC85" s="2" t="s">
        <v>29</v>
      </c>
      <c r="AD85" s="2" t="s">
        <v>89</v>
      </c>
      <c r="AE85" s="2" t="str">
        <f t="shared" si="25"/>
        <v>Valid</v>
      </c>
      <c r="AF85" s="2" t="s">
        <v>443</v>
      </c>
    </row>
    <row r="86" spans="1:32" x14ac:dyDescent="0.3">
      <c r="A86" s="2" t="s">
        <v>444</v>
      </c>
      <c r="B86" s="2">
        <f t="shared" si="15"/>
        <v>1</v>
      </c>
      <c r="C86" s="12">
        <f t="shared" si="26"/>
        <v>46238.583879837963</v>
      </c>
      <c r="D86" s="13">
        <v>46238.583879837963</v>
      </c>
      <c r="E86" s="2" t="s">
        <v>339</v>
      </c>
      <c r="F86" s="2" t="str">
        <f t="shared" si="16"/>
        <v>Email Available</v>
      </c>
      <c r="G86" s="2" t="s">
        <v>445</v>
      </c>
      <c r="H86" s="2" t="s">
        <v>63</v>
      </c>
      <c r="I86" s="2" t="s">
        <v>47</v>
      </c>
      <c r="J86" s="2" t="s">
        <v>446</v>
      </c>
      <c r="K86" s="2">
        <v>1</v>
      </c>
      <c r="L86" s="2">
        <v>14.99</v>
      </c>
      <c r="M86" s="19">
        <f t="shared" si="17"/>
        <v>14.99</v>
      </c>
      <c r="N86" s="2" t="s">
        <v>24</v>
      </c>
      <c r="O86" s="2" t="str">
        <f t="shared" si="18"/>
        <v>SAVE20</v>
      </c>
      <c r="P86" s="2">
        <v>3</v>
      </c>
      <c r="Q86" s="19">
        <f t="shared" si="19"/>
        <v>3</v>
      </c>
      <c r="R86" s="2" t="str">
        <f t="shared" si="20"/>
        <v>Number</v>
      </c>
      <c r="S86" s="2">
        <v>4.99</v>
      </c>
      <c r="T86" s="19">
        <f t="shared" si="21"/>
        <v>4.99</v>
      </c>
      <c r="U86" s="2" t="s">
        <v>185</v>
      </c>
      <c r="V86" s="19">
        <f t="shared" si="22"/>
        <v>16.98</v>
      </c>
      <c r="W86" s="19">
        <f t="shared" si="23"/>
        <v>16.98</v>
      </c>
      <c r="X86" s="19" t="str">
        <f t="shared" si="24"/>
        <v>True</v>
      </c>
      <c r="Y86" s="19" t="str">
        <f>IF(OR(W86&lt;'Cleaning Tasks'!$G$18,W86&gt;'Cleaning Tasks'!$H$18),"Outlier","Normal")</f>
        <v>Normal</v>
      </c>
      <c r="Z86" s="2" t="s">
        <v>26</v>
      </c>
      <c r="AA86" s="2" t="s">
        <v>88</v>
      </c>
      <c r="AB86" s="2" t="s">
        <v>50</v>
      </c>
      <c r="AC86" s="2" t="s">
        <v>29</v>
      </c>
      <c r="AD86" s="2" t="s">
        <v>447</v>
      </c>
      <c r="AE86" s="2" t="str">
        <f t="shared" si="25"/>
        <v>Valid</v>
      </c>
      <c r="AF86" s="2" t="s">
        <v>186</v>
      </c>
    </row>
    <row r="87" spans="1:32" x14ac:dyDescent="0.3">
      <c r="A87" s="2" t="s">
        <v>448</v>
      </c>
      <c r="B87" s="2">
        <f t="shared" si="15"/>
        <v>1</v>
      </c>
      <c r="C87" s="12">
        <f t="shared" si="26"/>
        <v>46238.58185347222</v>
      </c>
      <c r="D87" s="13">
        <v>46238.58185347222</v>
      </c>
      <c r="E87" s="2" t="s">
        <v>449</v>
      </c>
      <c r="F87" s="2" t="str">
        <f t="shared" si="16"/>
        <v>Email Available</v>
      </c>
      <c r="G87" s="2" t="s">
        <v>450</v>
      </c>
      <c r="H87" s="2" t="s">
        <v>102</v>
      </c>
      <c r="I87" s="2" t="s">
        <v>103</v>
      </c>
      <c r="J87" s="2" t="s">
        <v>104</v>
      </c>
      <c r="K87" s="2">
        <v>1</v>
      </c>
      <c r="L87" s="2" t="s">
        <v>451</v>
      </c>
      <c r="M87" s="19">
        <f t="shared" si="17"/>
        <v>19.989999999999998</v>
      </c>
      <c r="N87" s="2"/>
      <c r="O87" s="2" t="str">
        <f t="shared" si="18"/>
        <v/>
      </c>
      <c r="P87" s="2">
        <v>0</v>
      </c>
      <c r="Q87" s="19">
        <f t="shared" si="19"/>
        <v>0</v>
      </c>
      <c r="R87" s="2" t="str">
        <f t="shared" si="20"/>
        <v>Number</v>
      </c>
      <c r="S87" s="2">
        <v>4.99</v>
      </c>
      <c r="T87" s="19">
        <f t="shared" si="21"/>
        <v>4.99</v>
      </c>
      <c r="U87" s="2">
        <v>24.98</v>
      </c>
      <c r="V87" s="19">
        <f t="shared" si="22"/>
        <v>24.98</v>
      </c>
      <c r="W87" s="19">
        <f t="shared" si="23"/>
        <v>24.979999999999997</v>
      </c>
      <c r="X87" s="19" t="str">
        <f t="shared" si="24"/>
        <v>True</v>
      </c>
      <c r="Y87" s="19" t="str">
        <f>IF(OR(W87&lt;'Cleaning Tasks'!$G$18,W87&gt;'Cleaning Tasks'!$H$18),"Outlier","Normal")</f>
        <v>Normal</v>
      </c>
      <c r="Z87" s="2" t="s">
        <v>72</v>
      </c>
      <c r="AA87" s="2" t="s">
        <v>40</v>
      </c>
      <c r="AB87" s="2" t="s">
        <v>50</v>
      </c>
      <c r="AC87" s="2" t="s">
        <v>29</v>
      </c>
      <c r="AD87" s="2" t="s">
        <v>447</v>
      </c>
      <c r="AE87" s="2" t="str">
        <f t="shared" si="25"/>
        <v>Valid</v>
      </c>
      <c r="AF87" s="2" t="s">
        <v>452</v>
      </c>
    </row>
    <row r="88" spans="1:32" x14ac:dyDescent="0.3">
      <c r="A88" s="2" t="s">
        <v>453</v>
      </c>
      <c r="B88" s="2">
        <f t="shared" si="15"/>
        <v>1</v>
      </c>
      <c r="C88" s="12">
        <f t="shared" si="26"/>
        <v>46238.579148657409</v>
      </c>
      <c r="D88" s="13">
        <v>46238.579148657409</v>
      </c>
      <c r="E88" s="2" t="s">
        <v>454</v>
      </c>
      <c r="F88" s="2" t="str">
        <f t="shared" si="16"/>
        <v>Email Available</v>
      </c>
      <c r="G88" s="2" t="s">
        <v>455</v>
      </c>
      <c r="H88" s="2" t="s">
        <v>102</v>
      </c>
      <c r="I88" s="2" t="s">
        <v>103</v>
      </c>
      <c r="J88" s="2" t="s">
        <v>104</v>
      </c>
      <c r="K88" s="2">
        <v>2</v>
      </c>
      <c r="L88" s="2">
        <v>19.989999999999998</v>
      </c>
      <c r="M88" s="19">
        <f t="shared" si="17"/>
        <v>19.989999999999998</v>
      </c>
      <c r="N88" s="2" t="s">
        <v>203</v>
      </c>
      <c r="O88" s="2" t="str">
        <f t="shared" si="18"/>
        <v>VIP15</v>
      </c>
      <c r="P88" s="2">
        <v>6</v>
      </c>
      <c r="Q88" s="19">
        <f t="shared" si="19"/>
        <v>6</v>
      </c>
      <c r="R88" s="2" t="str">
        <f t="shared" si="20"/>
        <v>Number</v>
      </c>
      <c r="S88" s="2">
        <v>7.99</v>
      </c>
      <c r="T88" s="19">
        <f t="shared" si="21"/>
        <v>7.99</v>
      </c>
      <c r="U88" s="2" t="s">
        <v>456</v>
      </c>
      <c r="V88" s="19">
        <f t="shared" si="22"/>
        <v>41.97</v>
      </c>
      <c r="W88" s="19">
        <f t="shared" si="23"/>
        <v>41.97</v>
      </c>
      <c r="X88" s="19" t="str">
        <f t="shared" si="24"/>
        <v>True</v>
      </c>
      <c r="Y88" s="19" t="str">
        <f>IF(OR(W88&lt;'Cleaning Tasks'!$G$18,W88&gt;'Cleaning Tasks'!$H$18),"Outlier","Normal")</f>
        <v>Normal</v>
      </c>
      <c r="Z88" s="2" t="s">
        <v>66</v>
      </c>
      <c r="AA88" s="2" t="s">
        <v>27</v>
      </c>
      <c r="AB88" s="2" t="s">
        <v>41</v>
      </c>
      <c r="AC88" s="2" t="s">
        <v>331</v>
      </c>
      <c r="AD88" s="2"/>
      <c r="AE88" s="2" t="str">
        <f t="shared" si="25"/>
        <v>Not Required</v>
      </c>
      <c r="AF88" s="2" t="s">
        <v>457</v>
      </c>
    </row>
    <row r="89" spans="1:32" x14ac:dyDescent="0.3">
      <c r="A89" s="2" t="s">
        <v>458</v>
      </c>
      <c r="B89" s="2">
        <f t="shared" si="15"/>
        <v>1</v>
      </c>
      <c r="C89" s="12">
        <f t="shared" si="26"/>
        <v>46238.588154780089</v>
      </c>
      <c r="D89" s="13">
        <v>46238.588154780089</v>
      </c>
      <c r="E89" s="2" t="s">
        <v>459</v>
      </c>
      <c r="F89" s="2" t="str">
        <f t="shared" si="16"/>
        <v>Email Available</v>
      </c>
      <c r="G89" s="2" t="s">
        <v>460</v>
      </c>
      <c r="H89" s="2" t="s">
        <v>201</v>
      </c>
      <c r="I89" s="2" t="s">
        <v>191</v>
      </c>
      <c r="J89" s="2" t="s">
        <v>202</v>
      </c>
      <c r="K89" s="2">
        <v>2</v>
      </c>
      <c r="L89" s="2">
        <v>24.99</v>
      </c>
      <c r="M89" s="19">
        <f t="shared" si="17"/>
        <v>24.99</v>
      </c>
      <c r="N89" s="2" t="s">
        <v>38</v>
      </c>
      <c r="O89" s="2" t="str">
        <f t="shared" si="18"/>
        <v>FREESHIP</v>
      </c>
      <c r="P89" s="2">
        <v>0</v>
      </c>
      <c r="Q89" s="19">
        <f t="shared" si="19"/>
        <v>0</v>
      </c>
      <c r="R89" s="2" t="str">
        <f t="shared" si="20"/>
        <v>Number</v>
      </c>
      <c r="S89" s="2">
        <v>0</v>
      </c>
      <c r="T89" s="19">
        <f t="shared" si="21"/>
        <v>0</v>
      </c>
      <c r="U89" s="2">
        <v>49.98</v>
      </c>
      <c r="V89" s="19">
        <f t="shared" si="22"/>
        <v>49.98</v>
      </c>
      <c r="W89" s="19">
        <f t="shared" si="23"/>
        <v>49.98</v>
      </c>
      <c r="X89" s="19" t="str">
        <f t="shared" si="24"/>
        <v>True</v>
      </c>
      <c r="Y89" s="19" t="str">
        <f>IF(OR(W89&lt;'Cleaning Tasks'!$G$18,W89&gt;'Cleaning Tasks'!$H$18),"Outlier","Normal")</f>
        <v>Normal</v>
      </c>
      <c r="Z89" s="2" t="s">
        <v>49</v>
      </c>
      <c r="AA89" s="2" t="s">
        <v>27</v>
      </c>
      <c r="AB89" s="2" t="s">
        <v>50</v>
      </c>
      <c r="AC89" s="2" t="s">
        <v>223</v>
      </c>
      <c r="AD89" s="2"/>
      <c r="AE89" s="2" t="str">
        <f t="shared" si="25"/>
        <v>Not Required</v>
      </c>
      <c r="AF89" s="2" t="s">
        <v>461</v>
      </c>
    </row>
    <row r="90" spans="1:32" x14ac:dyDescent="0.3">
      <c r="A90" s="2" t="s">
        <v>462</v>
      </c>
      <c r="B90" s="2">
        <f t="shared" si="15"/>
        <v>1</v>
      </c>
      <c r="C90" s="12">
        <f t="shared" si="26"/>
        <v>46238.579931053238</v>
      </c>
      <c r="D90" s="13">
        <v>46238.579931053238</v>
      </c>
      <c r="E90" s="2" t="s">
        <v>463</v>
      </c>
      <c r="F90" s="2" t="str">
        <f t="shared" si="16"/>
        <v>Email Available</v>
      </c>
      <c r="G90" s="2" t="s">
        <v>464</v>
      </c>
      <c r="H90" s="2" t="s">
        <v>279</v>
      </c>
      <c r="I90" s="2" t="s">
        <v>22</v>
      </c>
      <c r="J90" s="2" t="s">
        <v>280</v>
      </c>
      <c r="K90" s="2">
        <v>1</v>
      </c>
      <c r="L90" s="2">
        <v>24.99</v>
      </c>
      <c r="M90" s="19">
        <f t="shared" si="17"/>
        <v>24.99</v>
      </c>
      <c r="N90" s="2" t="s">
        <v>118</v>
      </c>
      <c r="O90" s="2" t="str">
        <f t="shared" si="18"/>
        <v>BFCM25</v>
      </c>
      <c r="P90" s="2">
        <v>6.25</v>
      </c>
      <c r="Q90" s="19">
        <f t="shared" si="19"/>
        <v>6.25</v>
      </c>
      <c r="R90" s="2" t="str">
        <f t="shared" si="20"/>
        <v>Number</v>
      </c>
      <c r="S90" s="2">
        <v>7.99</v>
      </c>
      <c r="T90" s="19">
        <f t="shared" si="21"/>
        <v>7.99</v>
      </c>
      <c r="U90" s="2">
        <v>26.73</v>
      </c>
      <c r="V90" s="19">
        <f t="shared" si="22"/>
        <v>26.73</v>
      </c>
      <c r="W90" s="19">
        <f t="shared" si="23"/>
        <v>26.729999999999997</v>
      </c>
      <c r="X90" s="19" t="str">
        <f t="shared" si="24"/>
        <v>True</v>
      </c>
      <c r="Y90" s="19" t="str">
        <f>IF(OR(W90&lt;'Cleaning Tasks'!$G$18,W90&gt;'Cleaning Tasks'!$H$18),"Outlier","Normal")</f>
        <v>Normal</v>
      </c>
      <c r="Z90" s="2" t="s">
        <v>72</v>
      </c>
      <c r="AA90" s="2" t="s">
        <v>27</v>
      </c>
      <c r="AB90" s="2" t="s">
        <v>41</v>
      </c>
      <c r="AC90" s="2" t="s">
        <v>42</v>
      </c>
      <c r="AD90" s="2"/>
      <c r="AE90" s="2" t="str">
        <f t="shared" si="25"/>
        <v>Not Required</v>
      </c>
      <c r="AF90" s="2" t="s">
        <v>465</v>
      </c>
    </row>
    <row r="91" spans="1:32" x14ac:dyDescent="0.3">
      <c r="A91" s="2" t="s">
        <v>466</v>
      </c>
      <c r="B91" s="2">
        <f t="shared" si="15"/>
        <v>1</v>
      </c>
      <c r="C91" s="12">
        <f t="shared" si="26"/>
        <v>46238.579289884263</v>
      </c>
      <c r="D91" s="13">
        <v>46238.579289884263</v>
      </c>
      <c r="E91" s="2" t="s">
        <v>20</v>
      </c>
      <c r="F91" s="2" t="str">
        <f t="shared" si="16"/>
        <v>Email Available</v>
      </c>
      <c r="G91" s="2" t="s">
        <v>21</v>
      </c>
      <c r="H91" s="2" t="s">
        <v>78</v>
      </c>
      <c r="I91" s="2" t="s">
        <v>79</v>
      </c>
      <c r="J91" s="2" t="s">
        <v>80</v>
      </c>
      <c r="K91" s="2">
        <v>1</v>
      </c>
      <c r="L91" s="2">
        <v>89.99</v>
      </c>
      <c r="M91" s="19">
        <f t="shared" si="17"/>
        <v>89.99</v>
      </c>
      <c r="N91" s="2" t="s">
        <v>65</v>
      </c>
      <c r="O91" s="2" t="str">
        <f t="shared" si="18"/>
        <v>WELCOME10</v>
      </c>
      <c r="P91" s="2">
        <v>9</v>
      </c>
      <c r="Q91" s="19">
        <f t="shared" si="19"/>
        <v>9</v>
      </c>
      <c r="R91" s="2" t="str">
        <f t="shared" si="20"/>
        <v>Number</v>
      </c>
      <c r="S91" s="2">
        <v>0</v>
      </c>
      <c r="T91" s="19">
        <f t="shared" si="21"/>
        <v>0</v>
      </c>
      <c r="U91" s="2">
        <v>80.989999999999995</v>
      </c>
      <c r="V91" s="19">
        <f t="shared" si="22"/>
        <v>80.989999999999995</v>
      </c>
      <c r="W91" s="19">
        <f t="shared" si="23"/>
        <v>80.989999999999995</v>
      </c>
      <c r="X91" s="19" t="str">
        <f t="shared" si="24"/>
        <v>True</v>
      </c>
      <c r="Y91" s="19" t="str">
        <f>IF(OR(W91&lt;'Cleaning Tasks'!$G$18,W91&gt;'Cleaning Tasks'!$H$18),"Outlier","Normal")</f>
        <v>Normal</v>
      </c>
      <c r="Z91" s="2" t="s">
        <v>72</v>
      </c>
      <c r="AA91" s="2" t="s">
        <v>27</v>
      </c>
      <c r="AB91" s="2" t="s">
        <v>50</v>
      </c>
      <c r="AC91" s="2" t="s">
        <v>29</v>
      </c>
      <c r="AD91" s="2" t="s">
        <v>67</v>
      </c>
      <c r="AE91" s="2" t="str">
        <f t="shared" si="25"/>
        <v>Valid</v>
      </c>
      <c r="AF91" s="2" t="s">
        <v>467</v>
      </c>
    </row>
    <row r="92" spans="1:32" x14ac:dyDescent="0.3">
      <c r="A92" s="2" t="s">
        <v>468</v>
      </c>
      <c r="B92" s="2">
        <f t="shared" si="15"/>
        <v>1</v>
      </c>
      <c r="C92" s="12">
        <f t="shared" si="26"/>
        <v>46238.581598356483</v>
      </c>
      <c r="D92" s="13">
        <v>46238.581598356483</v>
      </c>
      <c r="E92" s="2" t="s">
        <v>469</v>
      </c>
      <c r="F92" s="2" t="str">
        <f t="shared" si="16"/>
        <v>Email Available</v>
      </c>
      <c r="G92" s="2" t="s">
        <v>470</v>
      </c>
      <c r="H92" s="2" t="s">
        <v>182</v>
      </c>
      <c r="I92" s="2" t="s">
        <v>36</v>
      </c>
      <c r="J92" s="2" t="s">
        <v>183</v>
      </c>
      <c r="K92" s="2">
        <v>1</v>
      </c>
      <c r="L92" s="2">
        <v>11.99</v>
      </c>
      <c r="M92" s="19">
        <f t="shared" si="17"/>
        <v>11.99</v>
      </c>
      <c r="N92" s="2" t="s">
        <v>118</v>
      </c>
      <c r="O92" s="2" t="str">
        <f t="shared" si="18"/>
        <v>BFCM25</v>
      </c>
      <c r="P92" s="2">
        <v>3</v>
      </c>
      <c r="Q92" s="19">
        <f t="shared" si="19"/>
        <v>3</v>
      </c>
      <c r="R92" s="2" t="str">
        <f t="shared" si="20"/>
        <v>Number</v>
      </c>
      <c r="S92" s="2">
        <v>7.99</v>
      </c>
      <c r="T92" s="19">
        <f t="shared" si="21"/>
        <v>7.99</v>
      </c>
      <c r="U92" s="2">
        <v>16.98</v>
      </c>
      <c r="V92" s="19">
        <f t="shared" si="22"/>
        <v>16.98</v>
      </c>
      <c r="W92" s="19">
        <f t="shared" si="23"/>
        <v>16.98</v>
      </c>
      <c r="X92" s="19" t="str">
        <f t="shared" si="24"/>
        <v>True</v>
      </c>
      <c r="Y92" s="19" t="str">
        <f>IF(OR(W92&lt;'Cleaning Tasks'!$G$18,W92&gt;'Cleaning Tasks'!$H$18),"Outlier","Normal")</f>
        <v>Normal</v>
      </c>
      <c r="Z92" s="2" t="s">
        <v>66</v>
      </c>
      <c r="AA92" s="2" t="s">
        <v>40</v>
      </c>
      <c r="AB92" s="2" t="s">
        <v>50</v>
      </c>
      <c r="AC92" s="2" t="s">
        <v>223</v>
      </c>
      <c r="AD92" s="2"/>
      <c r="AE92" s="2" t="str">
        <f t="shared" si="25"/>
        <v>Not Required</v>
      </c>
      <c r="AF92" s="2" t="s">
        <v>471</v>
      </c>
    </row>
    <row r="93" spans="1:32" x14ac:dyDescent="0.3">
      <c r="A93" s="2" t="s">
        <v>472</v>
      </c>
      <c r="B93" s="2">
        <f t="shared" si="15"/>
        <v>1</v>
      </c>
      <c r="C93" s="12">
        <f t="shared" si="26"/>
        <v>46238.585861921303</v>
      </c>
      <c r="D93" s="13">
        <v>46238.585861921303</v>
      </c>
      <c r="E93" s="2" t="s">
        <v>473</v>
      </c>
      <c r="F93" s="2" t="str">
        <f t="shared" si="16"/>
        <v>Email Available</v>
      </c>
      <c r="G93" s="2" t="s">
        <v>474</v>
      </c>
      <c r="H93" s="2" t="s">
        <v>166</v>
      </c>
      <c r="I93" s="2" t="s">
        <v>103</v>
      </c>
      <c r="J93" s="2" t="s">
        <v>167</v>
      </c>
      <c r="K93" s="2">
        <v>1</v>
      </c>
      <c r="L93" s="2">
        <v>32.99</v>
      </c>
      <c r="M93" s="19">
        <f t="shared" si="17"/>
        <v>32.99</v>
      </c>
      <c r="N93" s="2" t="s">
        <v>203</v>
      </c>
      <c r="O93" s="2" t="str">
        <f t="shared" si="18"/>
        <v>VIP15</v>
      </c>
      <c r="P93" s="2">
        <v>4.95</v>
      </c>
      <c r="Q93" s="19">
        <f t="shared" si="19"/>
        <v>4.95</v>
      </c>
      <c r="R93" s="2" t="str">
        <f t="shared" si="20"/>
        <v>Number</v>
      </c>
      <c r="S93" s="2">
        <v>4.99</v>
      </c>
      <c r="T93" s="19">
        <f t="shared" si="21"/>
        <v>4.99</v>
      </c>
      <c r="U93" s="2">
        <v>33.03</v>
      </c>
      <c r="V93" s="19">
        <f t="shared" si="22"/>
        <v>33.03</v>
      </c>
      <c r="W93" s="19">
        <f t="shared" si="23"/>
        <v>33.03</v>
      </c>
      <c r="X93" s="19" t="str">
        <f t="shared" si="24"/>
        <v>True</v>
      </c>
      <c r="Y93" s="19" t="str">
        <f>IF(OR(W93&lt;'Cleaning Tasks'!$G$18,W93&gt;'Cleaning Tasks'!$H$18),"Outlier","Normal")</f>
        <v>Normal</v>
      </c>
      <c r="Z93" s="2" t="s">
        <v>49</v>
      </c>
      <c r="AA93" s="2" t="s">
        <v>88</v>
      </c>
      <c r="AB93" s="2" t="s">
        <v>50</v>
      </c>
      <c r="AC93" s="2" t="s">
        <v>73</v>
      </c>
      <c r="AD93" s="2"/>
      <c r="AE93" s="2" t="str">
        <f t="shared" si="25"/>
        <v>Not Required</v>
      </c>
      <c r="AF93" s="2" t="s">
        <v>475</v>
      </c>
    </row>
    <row r="94" spans="1:32" x14ac:dyDescent="0.3">
      <c r="A94" s="2" t="s">
        <v>476</v>
      </c>
      <c r="B94" s="2">
        <f t="shared" si="15"/>
        <v>1</v>
      </c>
      <c r="C94" s="12">
        <f t="shared" si="26"/>
        <v>46238.584839074072</v>
      </c>
      <c r="D94" s="13">
        <v>46238.584839074072</v>
      </c>
      <c r="E94" s="2" t="s">
        <v>477</v>
      </c>
      <c r="F94" s="2" t="str">
        <f t="shared" si="16"/>
        <v>Email Available</v>
      </c>
      <c r="G94" s="2" t="s">
        <v>478</v>
      </c>
      <c r="H94" s="2" t="s">
        <v>152</v>
      </c>
      <c r="I94" s="2" t="s">
        <v>36</v>
      </c>
      <c r="J94" s="2" t="s">
        <v>153</v>
      </c>
      <c r="K94" s="2">
        <v>1</v>
      </c>
      <c r="L94" s="2">
        <v>29.99</v>
      </c>
      <c r="M94" s="19">
        <f t="shared" si="17"/>
        <v>29.99</v>
      </c>
      <c r="N94" s="2"/>
      <c r="O94" s="2" t="str">
        <f t="shared" si="18"/>
        <v/>
      </c>
      <c r="P94" s="2">
        <v>0</v>
      </c>
      <c r="Q94" s="19">
        <f t="shared" si="19"/>
        <v>0</v>
      </c>
      <c r="R94" s="2" t="str">
        <f t="shared" si="20"/>
        <v>Number</v>
      </c>
      <c r="S94" s="2">
        <v>7.99</v>
      </c>
      <c r="T94" s="19">
        <f t="shared" si="21"/>
        <v>7.99</v>
      </c>
      <c r="U94" s="2">
        <v>37.979999999999997</v>
      </c>
      <c r="V94" s="19">
        <f t="shared" si="22"/>
        <v>37.979999999999997</v>
      </c>
      <c r="W94" s="19">
        <f t="shared" si="23"/>
        <v>37.979999999999997</v>
      </c>
      <c r="X94" s="19" t="str">
        <f t="shared" si="24"/>
        <v>True</v>
      </c>
      <c r="Y94" s="19" t="str">
        <f>IF(OR(W94&lt;'Cleaning Tasks'!$G$18,W94&gt;'Cleaning Tasks'!$H$18),"Outlier","Normal")</f>
        <v>Normal</v>
      </c>
      <c r="Z94" s="2" t="s">
        <v>49</v>
      </c>
      <c r="AA94" s="2" t="s">
        <v>40</v>
      </c>
      <c r="AB94" s="2" t="s">
        <v>50</v>
      </c>
      <c r="AC94" s="2" t="s">
        <v>29</v>
      </c>
      <c r="AD94" s="2" t="s">
        <v>112</v>
      </c>
      <c r="AE94" s="2" t="str">
        <f t="shared" si="25"/>
        <v>Valid</v>
      </c>
      <c r="AF94" s="2" t="s">
        <v>479</v>
      </c>
    </row>
    <row r="95" spans="1:32" x14ac:dyDescent="0.3">
      <c r="A95" s="2" t="s">
        <v>480</v>
      </c>
      <c r="B95" s="2">
        <f t="shared" si="15"/>
        <v>1</v>
      </c>
      <c r="C95" s="12">
        <f t="shared" si="26"/>
        <v>46238.584454884258</v>
      </c>
      <c r="D95" s="13">
        <v>46238.584454884258</v>
      </c>
      <c r="E95" s="2" t="s">
        <v>481</v>
      </c>
      <c r="F95" s="2" t="str">
        <f t="shared" si="16"/>
        <v>Email Available</v>
      </c>
      <c r="G95" s="2" t="s">
        <v>482</v>
      </c>
      <c r="H95" s="2" t="s">
        <v>267</v>
      </c>
      <c r="I95" s="2" t="s">
        <v>22</v>
      </c>
      <c r="J95" s="2" t="s">
        <v>268</v>
      </c>
      <c r="K95" s="2">
        <v>1</v>
      </c>
      <c r="L95" s="2">
        <v>18.989999999999998</v>
      </c>
      <c r="M95" s="19">
        <f t="shared" si="17"/>
        <v>18.989999999999998</v>
      </c>
      <c r="N95" s="2"/>
      <c r="O95" s="2" t="str">
        <f t="shared" si="18"/>
        <v/>
      </c>
      <c r="P95" s="2">
        <v>0</v>
      </c>
      <c r="Q95" s="19">
        <f t="shared" si="19"/>
        <v>0</v>
      </c>
      <c r="R95" s="2" t="str">
        <f t="shared" si="20"/>
        <v>Number</v>
      </c>
      <c r="S95" s="2">
        <v>7.99</v>
      </c>
      <c r="T95" s="19">
        <f t="shared" si="21"/>
        <v>7.99</v>
      </c>
      <c r="U95" s="2">
        <v>26.98</v>
      </c>
      <c r="V95" s="19">
        <f t="shared" si="22"/>
        <v>26.98</v>
      </c>
      <c r="W95" s="19">
        <f t="shared" si="23"/>
        <v>26.979999999999997</v>
      </c>
      <c r="X95" s="19" t="str">
        <f t="shared" si="24"/>
        <v>True</v>
      </c>
      <c r="Y95" s="19" t="str">
        <f>IF(OR(W95&lt;'Cleaning Tasks'!$G$18,W95&gt;'Cleaning Tasks'!$H$18),"Outlier","Normal")</f>
        <v>Normal</v>
      </c>
      <c r="Z95" s="2" t="s">
        <v>39</v>
      </c>
      <c r="AA95" s="2" t="s">
        <v>40</v>
      </c>
      <c r="AB95" s="2" t="s">
        <v>96</v>
      </c>
      <c r="AC95" s="2" t="s">
        <v>29</v>
      </c>
      <c r="AD95" s="2" t="s">
        <v>341</v>
      </c>
      <c r="AE95" s="2" t="str">
        <f t="shared" si="25"/>
        <v>Valid</v>
      </c>
      <c r="AF95" s="2" t="s">
        <v>483</v>
      </c>
    </row>
    <row r="96" spans="1:32" x14ac:dyDescent="0.3">
      <c r="A96" s="2" t="s">
        <v>484</v>
      </c>
      <c r="B96" s="2">
        <f t="shared" si="15"/>
        <v>1</v>
      </c>
      <c r="C96" s="12">
        <f t="shared" si="26"/>
        <v>46238.580745694453</v>
      </c>
      <c r="D96" s="13">
        <v>46238.580745694453</v>
      </c>
      <c r="E96" s="2" t="s">
        <v>485</v>
      </c>
      <c r="F96" s="2" t="str">
        <f t="shared" si="16"/>
        <v>Email Available</v>
      </c>
      <c r="G96" s="2" t="s">
        <v>486</v>
      </c>
      <c r="H96" s="2" t="s">
        <v>63</v>
      </c>
      <c r="I96" s="2" t="s">
        <v>47</v>
      </c>
      <c r="J96" s="2" t="s">
        <v>446</v>
      </c>
      <c r="K96" s="2">
        <v>2</v>
      </c>
      <c r="L96" s="2">
        <v>14.99</v>
      </c>
      <c r="M96" s="19">
        <f t="shared" si="17"/>
        <v>14.99</v>
      </c>
      <c r="N96" s="2" t="s">
        <v>203</v>
      </c>
      <c r="O96" s="2" t="str">
        <f t="shared" si="18"/>
        <v>VIP15</v>
      </c>
      <c r="P96" s="2">
        <v>4.5</v>
      </c>
      <c r="Q96" s="19">
        <f t="shared" si="19"/>
        <v>4.5</v>
      </c>
      <c r="R96" s="2" t="str">
        <f t="shared" si="20"/>
        <v>Number</v>
      </c>
      <c r="S96" s="2">
        <v>7.99</v>
      </c>
      <c r="T96" s="19">
        <f t="shared" si="21"/>
        <v>7.99</v>
      </c>
      <c r="U96" s="2">
        <v>33.47</v>
      </c>
      <c r="V96" s="19">
        <f t="shared" si="22"/>
        <v>33.47</v>
      </c>
      <c r="W96" s="19">
        <f t="shared" si="23"/>
        <v>33.47</v>
      </c>
      <c r="X96" s="19" t="str">
        <f t="shared" si="24"/>
        <v>True</v>
      </c>
      <c r="Y96" s="19" t="str">
        <f>IF(OR(W96&lt;'Cleaning Tasks'!$G$18,W96&gt;'Cleaning Tasks'!$H$18),"Outlier","Normal")</f>
        <v>Normal</v>
      </c>
      <c r="Z96" s="2" t="s">
        <v>39</v>
      </c>
      <c r="AA96" s="2" t="s">
        <v>40</v>
      </c>
      <c r="AB96" s="2" t="s">
        <v>41</v>
      </c>
      <c r="AC96" s="2" t="s">
        <v>73</v>
      </c>
      <c r="AD96" s="2"/>
      <c r="AE96" s="2" t="str">
        <f t="shared" si="25"/>
        <v>Not Required</v>
      </c>
      <c r="AF96" s="2" t="s">
        <v>487</v>
      </c>
    </row>
    <row r="97" spans="1:32" x14ac:dyDescent="0.3">
      <c r="A97" s="2" t="s">
        <v>488</v>
      </c>
      <c r="B97" s="2">
        <f t="shared" si="15"/>
        <v>1</v>
      </c>
      <c r="C97" s="12">
        <f t="shared" si="26"/>
        <v>46238.589044733802</v>
      </c>
      <c r="D97" s="13">
        <v>46238.589044733802</v>
      </c>
      <c r="E97" s="2" t="s">
        <v>489</v>
      </c>
      <c r="F97" s="2" t="str">
        <f t="shared" si="16"/>
        <v>Email Available</v>
      </c>
      <c r="G97" s="2" t="s">
        <v>490</v>
      </c>
      <c r="H97" s="2" t="s">
        <v>117</v>
      </c>
      <c r="I97" s="2" t="s">
        <v>22</v>
      </c>
      <c r="J97" s="2" t="s">
        <v>23</v>
      </c>
      <c r="K97" s="2">
        <v>2</v>
      </c>
      <c r="L97" s="2">
        <v>12.99</v>
      </c>
      <c r="M97" s="19">
        <f t="shared" si="17"/>
        <v>12.99</v>
      </c>
      <c r="N97" s="2"/>
      <c r="O97" s="2" t="str">
        <f t="shared" si="18"/>
        <v/>
      </c>
      <c r="P97" s="2">
        <v>0</v>
      </c>
      <c r="Q97" s="19">
        <f t="shared" si="19"/>
        <v>0</v>
      </c>
      <c r="R97" s="2" t="str">
        <f t="shared" si="20"/>
        <v>Number</v>
      </c>
      <c r="S97" s="2">
        <v>4.99</v>
      </c>
      <c r="T97" s="19">
        <f t="shared" si="21"/>
        <v>4.99</v>
      </c>
      <c r="U97" s="2" t="s">
        <v>491</v>
      </c>
      <c r="V97" s="19">
        <f t="shared" si="22"/>
        <v>30.97</v>
      </c>
      <c r="W97" s="19">
        <f t="shared" si="23"/>
        <v>30.97</v>
      </c>
      <c r="X97" s="19" t="str">
        <f t="shared" si="24"/>
        <v>True</v>
      </c>
      <c r="Y97" s="19" t="str">
        <f>IF(OR(W97&lt;'Cleaning Tasks'!$G$18,W97&gt;'Cleaning Tasks'!$H$18),"Outlier","Normal")</f>
        <v>Normal</v>
      </c>
      <c r="Z97" s="2" t="s">
        <v>66</v>
      </c>
      <c r="AA97" s="2" t="s">
        <v>40</v>
      </c>
      <c r="AB97" s="2" t="s">
        <v>28</v>
      </c>
      <c r="AC97" s="2" t="s">
        <v>29</v>
      </c>
      <c r="AD97" s="22" t="s">
        <v>51</v>
      </c>
      <c r="AE97" s="2" t="str">
        <f t="shared" si="25"/>
        <v>Valid</v>
      </c>
      <c r="AF97" s="2" t="s">
        <v>492</v>
      </c>
    </row>
    <row r="98" spans="1:32" x14ac:dyDescent="0.3">
      <c r="A98" s="2" t="s">
        <v>493</v>
      </c>
      <c r="B98" s="2">
        <f t="shared" si="15"/>
        <v>1</v>
      </c>
      <c r="C98" s="12">
        <f t="shared" si="26"/>
        <v>46238.58835135417</v>
      </c>
      <c r="D98" s="13">
        <v>46238.58835135417</v>
      </c>
      <c r="E98" s="2" t="s">
        <v>494</v>
      </c>
      <c r="F98" s="2" t="str">
        <f t="shared" si="16"/>
        <v>Email Available</v>
      </c>
      <c r="G98" s="2" t="s">
        <v>495</v>
      </c>
      <c r="H98" s="2" t="s">
        <v>201</v>
      </c>
      <c r="I98" s="2" t="s">
        <v>191</v>
      </c>
      <c r="J98" s="2" t="s">
        <v>202</v>
      </c>
      <c r="K98" s="2">
        <v>3</v>
      </c>
      <c r="L98" s="2">
        <v>24.99</v>
      </c>
      <c r="M98" s="19">
        <f t="shared" si="17"/>
        <v>24.99</v>
      </c>
      <c r="N98" s="2"/>
      <c r="O98" s="2" t="str">
        <f t="shared" si="18"/>
        <v/>
      </c>
      <c r="P98" s="2">
        <v>0</v>
      </c>
      <c r="Q98" s="19">
        <f t="shared" si="19"/>
        <v>0</v>
      </c>
      <c r="R98" s="2" t="str">
        <f t="shared" si="20"/>
        <v>Number</v>
      </c>
      <c r="S98" s="2">
        <v>4.99</v>
      </c>
      <c r="T98" s="19">
        <f t="shared" si="21"/>
        <v>4.99</v>
      </c>
      <c r="U98" s="2" t="s">
        <v>496</v>
      </c>
      <c r="V98" s="19">
        <f t="shared" si="22"/>
        <v>79.959999999999994</v>
      </c>
      <c r="W98" s="19">
        <f t="shared" si="23"/>
        <v>79.959999999999994</v>
      </c>
      <c r="X98" s="19" t="str">
        <f t="shared" si="24"/>
        <v>True</v>
      </c>
      <c r="Y98" s="19" t="str">
        <f>IF(OR(W98&lt;'Cleaning Tasks'!$G$18,W98&gt;'Cleaning Tasks'!$H$18),"Outlier","Normal")</f>
        <v>Normal</v>
      </c>
      <c r="Z98" s="2" t="s">
        <v>49</v>
      </c>
      <c r="AA98" s="2" t="s">
        <v>40</v>
      </c>
      <c r="AB98" s="2" t="s">
        <v>50</v>
      </c>
      <c r="AC98" s="2" t="s">
        <v>105</v>
      </c>
      <c r="AD98" s="2"/>
      <c r="AE98" s="2" t="str">
        <f t="shared" si="25"/>
        <v>Not Required</v>
      </c>
      <c r="AF98" s="2" t="s">
        <v>497</v>
      </c>
    </row>
    <row r="99" spans="1:32" x14ac:dyDescent="0.3">
      <c r="A99" s="2" t="s">
        <v>498</v>
      </c>
      <c r="B99" s="2">
        <f t="shared" si="15"/>
        <v>1</v>
      </c>
      <c r="C99" s="12">
        <f t="shared" si="26"/>
        <v>46238</v>
      </c>
      <c r="D99" s="13" t="s">
        <v>250</v>
      </c>
      <c r="E99" s="2" t="s">
        <v>499</v>
      </c>
      <c r="F99" s="2" t="str">
        <f t="shared" si="16"/>
        <v>Email Available</v>
      </c>
      <c r="G99" s="2" t="s">
        <v>500</v>
      </c>
      <c r="H99" s="2" t="s">
        <v>236</v>
      </c>
      <c r="I99" s="2" t="s">
        <v>237</v>
      </c>
      <c r="J99" s="2" t="s">
        <v>238</v>
      </c>
      <c r="K99" s="2">
        <v>2</v>
      </c>
      <c r="L99" s="2">
        <v>27.99</v>
      </c>
      <c r="M99" s="19">
        <f t="shared" si="17"/>
        <v>27.99</v>
      </c>
      <c r="N99" s="2"/>
      <c r="O99" s="2" t="str">
        <f t="shared" si="18"/>
        <v/>
      </c>
      <c r="P99" s="2">
        <v>0</v>
      </c>
      <c r="Q99" s="19">
        <f t="shared" si="19"/>
        <v>0</v>
      </c>
      <c r="R99" s="2" t="str">
        <f t="shared" si="20"/>
        <v>Number</v>
      </c>
      <c r="S99" s="2">
        <v>7.99</v>
      </c>
      <c r="T99" s="19">
        <f t="shared" si="21"/>
        <v>7.99</v>
      </c>
      <c r="U99" s="2">
        <v>63.97</v>
      </c>
      <c r="V99" s="19">
        <f t="shared" si="22"/>
        <v>63.97</v>
      </c>
      <c r="W99" s="19">
        <f t="shared" si="23"/>
        <v>63.97</v>
      </c>
      <c r="X99" s="19" t="str">
        <f t="shared" si="24"/>
        <v>True</v>
      </c>
      <c r="Y99" s="19" t="str">
        <f>IF(OR(W99&lt;'Cleaning Tasks'!$G$18,W99&gt;'Cleaning Tasks'!$H$18),"Outlier","Normal")</f>
        <v>Normal</v>
      </c>
      <c r="Z99" s="2" t="s">
        <v>26</v>
      </c>
      <c r="AA99" s="2" t="s">
        <v>40</v>
      </c>
      <c r="AB99" s="2" t="s">
        <v>50</v>
      </c>
      <c r="AC99" s="2" t="s">
        <v>29</v>
      </c>
      <c r="AD99" s="2" t="s">
        <v>447</v>
      </c>
      <c r="AE99" s="2" t="str">
        <f t="shared" si="25"/>
        <v>Valid</v>
      </c>
      <c r="AF99" s="2" t="s">
        <v>501</v>
      </c>
    </row>
    <row r="100" spans="1:32" x14ac:dyDescent="0.3">
      <c r="A100" s="2" t="s">
        <v>502</v>
      </c>
      <c r="B100" s="2">
        <f t="shared" si="15"/>
        <v>1</v>
      </c>
      <c r="C100" s="12">
        <f t="shared" si="26"/>
        <v>46238.583343958337</v>
      </c>
      <c r="D100" s="13">
        <v>46238.583343958337</v>
      </c>
      <c r="E100" s="2" t="s">
        <v>503</v>
      </c>
      <c r="F100" s="2" t="str">
        <f t="shared" si="16"/>
        <v>Email Available</v>
      </c>
      <c r="G100" s="2" t="s">
        <v>504</v>
      </c>
      <c r="H100" s="2" t="s">
        <v>85</v>
      </c>
      <c r="I100" s="2" t="s">
        <v>86</v>
      </c>
      <c r="J100" s="2" t="s">
        <v>87</v>
      </c>
      <c r="K100" s="2">
        <v>1</v>
      </c>
      <c r="L100" s="2">
        <v>54.99</v>
      </c>
      <c r="M100" s="19">
        <f t="shared" si="17"/>
        <v>54.99</v>
      </c>
      <c r="N100" s="2" t="s">
        <v>118</v>
      </c>
      <c r="O100" s="2" t="str">
        <f t="shared" si="18"/>
        <v>BFCM25</v>
      </c>
      <c r="P100" s="2">
        <v>13.75</v>
      </c>
      <c r="Q100" s="19">
        <f t="shared" si="19"/>
        <v>13.75</v>
      </c>
      <c r="R100" s="2" t="str">
        <f t="shared" si="20"/>
        <v>Number</v>
      </c>
      <c r="S100" s="2">
        <v>5.99</v>
      </c>
      <c r="T100" s="19">
        <f t="shared" si="21"/>
        <v>5.99</v>
      </c>
      <c r="U100" s="2">
        <v>47.23</v>
      </c>
      <c r="V100" s="19">
        <f t="shared" si="22"/>
        <v>47.23</v>
      </c>
      <c r="W100" s="19">
        <f t="shared" si="23"/>
        <v>47.230000000000004</v>
      </c>
      <c r="X100" s="19" t="str">
        <f t="shared" si="24"/>
        <v>True</v>
      </c>
      <c r="Y100" s="19" t="str">
        <f>IF(OR(W100&lt;'Cleaning Tasks'!$G$18,W100&gt;'Cleaning Tasks'!$H$18),"Outlier","Normal")</f>
        <v>Normal</v>
      </c>
      <c r="Z100" s="2" t="s">
        <v>39</v>
      </c>
      <c r="AA100" s="2" t="s">
        <v>111</v>
      </c>
      <c r="AB100" s="2" t="s">
        <v>50</v>
      </c>
      <c r="AC100" s="2" t="s">
        <v>29</v>
      </c>
      <c r="AD100" s="2" t="s">
        <v>447</v>
      </c>
      <c r="AE100" s="2" t="str">
        <f t="shared" si="25"/>
        <v>Valid</v>
      </c>
      <c r="AF100" s="2" t="s">
        <v>505</v>
      </c>
    </row>
    <row r="101" spans="1:32" x14ac:dyDescent="0.3">
      <c r="A101" s="2" t="s">
        <v>506</v>
      </c>
      <c r="B101" s="2">
        <f t="shared" si="15"/>
        <v>1</v>
      </c>
      <c r="C101" s="12">
        <f t="shared" ref="C101:C132" si="27">IF(ISNUMBER(D101),D101,DATEVALUE(SUBSTITUTE(TRIM(D101),CHAR(160)," ")))</f>
        <v>46238.581099467592</v>
      </c>
      <c r="D101" s="13">
        <v>46238.581099467592</v>
      </c>
      <c r="E101" s="2" t="s">
        <v>507</v>
      </c>
      <c r="F101" s="2" t="str">
        <f t="shared" si="16"/>
        <v>Email Available</v>
      </c>
      <c r="G101" s="2" t="s">
        <v>508</v>
      </c>
      <c r="H101" s="2" t="s">
        <v>85</v>
      </c>
      <c r="I101" s="2" t="s">
        <v>86</v>
      </c>
      <c r="J101" s="2" t="s">
        <v>87</v>
      </c>
      <c r="K101" s="2">
        <v>1</v>
      </c>
      <c r="L101" s="2">
        <v>54.99</v>
      </c>
      <c r="M101" s="19">
        <f t="shared" si="17"/>
        <v>54.99</v>
      </c>
      <c r="N101" s="2" t="s">
        <v>65</v>
      </c>
      <c r="O101" s="2" t="str">
        <f t="shared" si="18"/>
        <v>WELCOME10</v>
      </c>
      <c r="P101" s="2">
        <v>5.5</v>
      </c>
      <c r="Q101" s="19">
        <f t="shared" si="19"/>
        <v>5.5</v>
      </c>
      <c r="R101" s="2" t="str">
        <f t="shared" si="20"/>
        <v>Number</v>
      </c>
      <c r="S101" s="2">
        <v>7.99</v>
      </c>
      <c r="T101" s="19">
        <f t="shared" si="21"/>
        <v>7.99</v>
      </c>
      <c r="U101" s="2" t="s">
        <v>509</v>
      </c>
      <c r="V101" s="19">
        <f t="shared" si="22"/>
        <v>57.48</v>
      </c>
      <c r="W101" s="19">
        <f t="shared" si="23"/>
        <v>57.480000000000004</v>
      </c>
      <c r="X101" s="19" t="str">
        <f t="shared" si="24"/>
        <v>True</v>
      </c>
      <c r="Y101" s="19" t="str">
        <f>IF(OR(W101&lt;'Cleaning Tasks'!$G$18,W101&gt;'Cleaning Tasks'!$H$18),"Outlier","Normal")</f>
        <v>Normal</v>
      </c>
      <c r="Z101" s="2" t="s">
        <v>49</v>
      </c>
      <c r="AA101" s="2" t="s">
        <v>40</v>
      </c>
      <c r="AB101" s="2" t="s">
        <v>50</v>
      </c>
      <c r="AC101" s="2" t="s">
        <v>331</v>
      </c>
      <c r="AD101" s="2"/>
      <c r="AE101" s="2" t="str">
        <f t="shared" si="25"/>
        <v>Not Required</v>
      </c>
      <c r="AF101" s="2" t="s">
        <v>510</v>
      </c>
    </row>
    <row r="102" spans="1:32" x14ac:dyDescent="0.3">
      <c r="A102" s="2" t="s">
        <v>511</v>
      </c>
      <c r="B102" s="2">
        <f t="shared" si="15"/>
        <v>1</v>
      </c>
      <c r="C102" s="12">
        <f t="shared" si="27"/>
        <v>46238.579269351852</v>
      </c>
      <c r="D102" s="13">
        <v>46238.579269351852</v>
      </c>
      <c r="E102" s="2" t="s">
        <v>459</v>
      </c>
      <c r="F102" s="2" t="str">
        <f t="shared" si="16"/>
        <v>Email Available</v>
      </c>
      <c r="G102" s="2" t="s">
        <v>460</v>
      </c>
      <c r="H102" s="2" t="s">
        <v>117</v>
      </c>
      <c r="I102" s="2" t="s">
        <v>22</v>
      </c>
      <c r="J102" s="2" t="s">
        <v>23</v>
      </c>
      <c r="K102" s="2">
        <v>1</v>
      </c>
      <c r="L102" s="2">
        <v>12.99</v>
      </c>
      <c r="M102" s="19">
        <f t="shared" si="17"/>
        <v>12.99</v>
      </c>
      <c r="N102" s="2" t="s">
        <v>38</v>
      </c>
      <c r="O102" s="2" t="str">
        <f t="shared" si="18"/>
        <v>FREESHIP</v>
      </c>
      <c r="P102" s="2" t="s">
        <v>184</v>
      </c>
      <c r="Q102" s="19">
        <f t="shared" si="19"/>
        <v>0</v>
      </c>
      <c r="R102" s="2" t="str">
        <f t="shared" si="20"/>
        <v>Number</v>
      </c>
      <c r="S102" s="2">
        <v>0</v>
      </c>
      <c r="T102" s="19">
        <f t="shared" si="21"/>
        <v>0</v>
      </c>
      <c r="U102" s="2">
        <v>12.99</v>
      </c>
      <c r="V102" s="19">
        <f t="shared" si="22"/>
        <v>12.99</v>
      </c>
      <c r="W102" s="19">
        <f t="shared" si="23"/>
        <v>12.99</v>
      </c>
      <c r="X102" s="19" t="str">
        <f t="shared" si="24"/>
        <v>True</v>
      </c>
      <c r="Y102" s="19" t="str">
        <f>IF(OR(W102&lt;'Cleaning Tasks'!$G$18,W102&gt;'Cleaning Tasks'!$H$18),"Outlier","Normal")</f>
        <v>Normal</v>
      </c>
      <c r="Z102" s="2" t="s">
        <v>39</v>
      </c>
      <c r="AA102" s="2" t="s">
        <v>40</v>
      </c>
      <c r="AB102" s="2" t="s">
        <v>50</v>
      </c>
      <c r="AC102" s="2" t="s">
        <v>223</v>
      </c>
      <c r="AD102" s="2"/>
      <c r="AE102" s="2" t="str">
        <f t="shared" si="25"/>
        <v>Not Required</v>
      </c>
      <c r="AF102" s="2" t="s">
        <v>512</v>
      </c>
    </row>
    <row r="103" spans="1:32" x14ac:dyDescent="0.3">
      <c r="A103" s="2" t="s">
        <v>513</v>
      </c>
      <c r="B103" s="2">
        <f t="shared" si="15"/>
        <v>1</v>
      </c>
      <c r="C103" s="12">
        <f t="shared" si="27"/>
        <v>46238.581460740737</v>
      </c>
      <c r="D103" s="13">
        <v>46238.581460740737</v>
      </c>
      <c r="E103" s="2" t="s">
        <v>431</v>
      </c>
      <c r="F103" s="2" t="str">
        <f t="shared" si="16"/>
        <v>Email Available</v>
      </c>
      <c r="G103" s="2" t="s">
        <v>432</v>
      </c>
      <c r="H103" s="2" t="s">
        <v>35</v>
      </c>
      <c r="I103" s="2" t="s">
        <v>36</v>
      </c>
      <c r="J103" s="2" t="s">
        <v>37</v>
      </c>
      <c r="K103" s="2">
        <v>1</v>
      </c>
      <c r="L103" s="2">
        <v>21.99</v>
      </c>
      <c r="M103" s="19">
        <f t="shared" si="17"/>
        <v>21.99</v>
      </c>
      <c r="N103" s="2"/>
      <c r="O103" s="2" t="str">
        <f t="shared" si="18"/>
        <v/>
      </c>
      <c r="P103" s="2">
        <v>0</v>
      </c>
      <c r="Q103" s="19">
        <f t="shared" si="19"/>
        <v>0</v>
      </c>
      <c r="R103" s="2" t="str">
        <f t="shared" si="20"/>
        <v>Number</v>
      </c>
      <c r="S103" s="2">
        <v>5.99</v>
      </c>
      <c r="T103" s="19">
        <f t="shared" si="21"/>
        <v>5.99</v>
      </c>
      <c r="U103" s="2">
        <v>27.98</v>
      </c>
      <c r="V103" s="19">
        <f t="shared" si="22"/>
        <v>27.98</v>
      </c>
      <c r="W103" s="19">
        <f t="shared" si="23"/>
        <v>27.979999999999997</v>
      </c>
      <c r="X103" s="19" t="str">
        <f t="shared" si="24"/>
        <v>True</v>
      </c>
      <c r="Y103" s="19" t="str">
        <f>IF(OR(W103&lt;'Cleaning Tasks'!$G$18,W103&gt;'Cleaning Tasks'!$H$18),"Outlier","Normal")</f>
        <v>Normal</v>
      </c>
      <c r="Z103" s="2" t="s">
        <v>72</v>
      </c>
      <c r="AA103" s="2" t="s">
        <v>88</v>
      </c>
      <c r="AB103" s="2" t="s">
        <v>41</v>
      </c>
      <c r="AC103" s="2" t="s">
        <v>105</v>
      </c>
      <c r="AD103" s="2"/>
      <c r="AE103" s="2" t="str">
        <f t="shared" si="25"/>
        <v>Not Required</v>
      </c>
      <c r="AF103" s="2" t="s">
        <v>514</v>
      </c>
    </row>
    <row r="104" spans="1:32" x14ac:dyDescent="0.3">
      <c r="A104" s="2" t="s">
        <v>515</v>
      </c>
      <c r="B104" s="2">
        <f t="shared" si="15"/>
        <v>1</v>
      </c>
      <c r="C104" s="12">
        <f t="shared" si="27"/>
        <v>46238.581291770832</v>
      </c>
      <c r="D104" s="13">
        <v>46238.581291770832</v>
      </c>
      <c r="E104" s="2" t="s">
        <v>516</v>
      </c>
      <c r="F104" s="2" t="str">
        <f t="shared" si="16"/>
        <v>Email Available</v>
      </c>
      <c r="G104" s="2" t="s">
        <v>517</v>
      </c>
      <c r="H104" s="2" t="s">
        <v>117</v>
      </c>
      <c r="I104" s="2" t="s">
        <v>22</v>
      </c>
      <c r="J104" s="2" t="s">
        <v>23</v>
      </c>
      <c r="K104" s="2">
        <v>1</v>
      </c>
      <c r="L104" s="2">
        <v>12.99</v>
      </c>
      <c r="M104" s="19">
        <f t="shared" si="17"/>
        <v>12.99</v>
      </c>
      <c r="N104" s="2" t="s">
        <v>118</v>
      </c>
      <c r="O104" s="2" t="str">
        <f t="shared" si="18"/>
        <v>BFCM25</v>
      </c>
      <c r="P104" s="2">
        <v>3.25</v>
      </c>
      <c r="Q104" s="19">
        <f t="shared" si="19"/>
        <v>3.25</v>
      </c>
      <c r="R104" s="2" t="str">
        <f t="shared" si="20"/>
        <v>Number</v>
      </c>
      <c r="S104" s="2">
        <v>4.99</v>
      </c>
      <c r="T104" s="19">
        <f t="shared" si="21"/>
        <v>4.99</v>
      </c>
      <c r="U104" s="2">
        <v>14.73</v>
      </c>
      <c r="V104" s="19">
        <f t="shared" si="22"/>
        <v>14.73</v>
      </c>
      <c r="W104" s="19">
        <f t="shared" si="23"/>
        <v>14.73</v>
      </c>
      <c r="X104" s="19" t="str">
        <f t="shared" si="24"/>
        <v>True</v>
      </c>
      <c r="Y104" s="19" t="str">
        <f>IF(OR(W104&lt;'Cleaning Tasks'!$G$18,W104&gt;'Cleaning Tasks'!$H$18),"Outlier","Normal")</f>
        <v>Normal</v>
      </c>
      <c r="Z104" s="2" t="s">
        <v>26</v>
      </c>
      <c r="AA104" s="2" t="s">
        <v>111</v>
      </c>
      <c r="AB104" s="2" t="s">
        <v>50</v>
      </c>
      <c r="AC104" s="2" t="s">
        <v>29</v>
      </c>
      <c r="AD104" s="2" t="s">
        <v>341</v>
      </c>
      <c r="AE104" s="2" t="str">
        <f t="shared" si="25"/>
        <v>Valid</v>
      </c>
      <c r="AF104" s="2" t="s">
        <v>518</v>
      </c>
    </row>
    <row r="105" spans="1:32" x14ac:dyDescent="0.3">
      <c r="A105" s="2" t="s">
        <v>519</v>
      </c>
      <c r="B105" s="2">
        <f t="shared" si="15"/>
        <v>1</v>
      </c>
      <c r="C105" s="12">
        <f t="shared" si="27"/>
        <v>46238.586120810192</v>
      </c>
      <c r="D105" s="13">
        <v>46238.586120810192</v>
      </c>
      <c r="E105" s="2" t="s">
        <v>473</v>
      </c>
      <c r="F105" s="2" t="str">
        <f t="shared" si="16"/>
        <v>Email Available</v>
      </c>
      <c r="G105" s="2" t="s">
        <v>474</v>
      </c>
      <c r="H105" s="2" t="s">
        <v>130</v>
      </c>
      <c r="I105" s="2" t="s">
        <v>103</v>
      </c>
      <c r="J105" s="2" t="s">
        <v>131</v>
      </c>
      <c r="K105" s="2">
        <v>1</v>
      </c>
      <c r="L105" s="2">
        <v>16.989999999999998</v>
      </c>
      <c r="M105" s="19">
        <f t="shared" si="17"/>
        <v>16.989999999999998</v>
      </c>
      <c r="N105" s="2"/>
      <c r="O105" s="2" t="str">
        <f t="shared" si="18"/>
        <v/>
      </c>
      <c r="P105" s="2">
        <v>0</v>
      </c>
      <c r="Q105" s="19">
        <f t="shared" si="19"/>
        <v>0</v>
      </c>
      <c r="R105" s="2" t="str">
        <f t="shared" si="20"/>
        <v>Number</v>
      </c>
      <c r="S105" s="2">
        <v>5.99</v>
      </c>
      <c r="T105" s="19">
        <f t="shared" si="21"/>
        <v>5.99</v>
      </c>
      <c r="U105" s="2">
        <v>22.98</v>
      </c>
      <c r="V105" s="19">
        <f t="shared" si="22"/>
        <v>22.98</v>
      </c>
      <c r="W105" s="19">
        <f t="shared" si="23"/>
        <v>22.979999999999997</v>
      </c>
      <c r="X105" s="19" t="str">
        <f t="shared" si="24"/>
        <v>True</v>
      </c>
      <c r="Y105" s="19" t="str">
        <f>IF(OR(W105&lt;'Cleaning Tasks'!$G$18,W105&gt;'Cleaning Tasks'!$H$18),"Outlier","Normal")</f>
        <v>Normal</v>
      </c>
      <c r="Z105" s="2" t="s">
        <v>72</v>
      </c>
      <c r="AA105" s="2" t="s">
        <v>40</v>
      </c>
      <c r="AB105" s="2" t="s">
        <v>28</v>
      </c>
      <c r="AC105" s="2" t="s">
        <v>73</v>
      </c>
      <c r="AD105" s="2"/>
      <c r="AE105" s="2" t="str">
        <f t="shared" si="25"/>
        <v>Not Required</v>
      </c>
      <c r="AF105" s="2" t="s">
        <v>520</v>
      </c>
    </row>
    <row r="106" spans="1:32" x14ac:dyDescent="0.3">
      <c r="A106" s="2" t="s">
        <v>521</v>
      </c>
      <c r="B106" s="2">
        <f t="shared" si="15"/>
        <v>1</v>
      </c>
      <c r="C106" s="12">
        <f t="shared" si="27"/>
        <v>46238.580952557873</v>
      </c>
      <c r="D106" s="13">
        <v>46238.580952557873</v>
      </c>
      <c r="E106" s="2" t="s">
        <v>172</v>
      </c>
      <c r="F106" s="2" t="str">
        <f t="shared" si="16"/>
        <v>Email Available</v>
      </c>
      <c r="G106" s="2" t="s">
        <v>173</v>
      </c>
      <c r="H106" s="2" t="s">
        <v>166</v>
      </c>
      <c r="I106" s="2" t="s">
        <v>103</v>
      </c>
      <c r="J106" s="2" t="s">
        <v>167</v>
      </c>
      <c r="K106" s="2">
        <v>1</v>
      </c>
      <c r="L106" s="2">
        <v>32.99</v>
      </c>
      <c r="M106" s="19">
        <f t="shared" si="17"/>
        <v>32.99</v>
      </c>
      <c r="N106" s="2" t="s">
        <v>38</v>
      </c>
      <c r="O106" s="2" t="str">
        <f t="shared" si="18"/>
        <v>FREESHIP</v>
      </c>
      <c r="P106" s="2">
        <v>0</v>
      </c>
      <c r="Q106" s="19">
        <f t="shared" si="19"/>
        <v>0</v>
      </c>
      <c r="R106" s="2" t="str">
        <f t="shared" si="20"/>
        <v>Number</v>
      </c>
      <c r="S106" s="2">
        <v>0</v>
      </c>
      <c r="T106" s="19">
        <f t="shared" si="21"/>
        <v>0</v>
      </c>
      <c r="U106" s="2">
        <v>32.99</v>
      </c>
      <c r="V106" s="19">
        <f t="shared" si="22"/>
        <v>32.99</v>
      </c>
      <c r="W106" s="19">
        <f t="shared" si="23"/>
        <v>32.99</v>
      </c>
      <c r="X106" s="19" t="str">
        <f t="shared" si="24"/>
        <v>True</v>
      </c>
      <c r="Y106" s="19" t="str">
        <f>IF(OR(W106&lt;'Cleaning Tasks'!$G$18,W106&gt;'Cleaning Tasks'!$H$18),"Outlier","Normal")</f>
        <v>Normal</v>
      </c>
      <c r="Z106" s="2" t="s">
        <v>39</v>
      </c>
      <c r="AA106" s="2" t="s">
        <v>40</v>
      </c>
      <c r="AB106" s="2" t="s">
        <v>50</v>
      </c>
      <c r="AC106" s="2" t="s">
        <v>29</v>
      </c>
      <c r="AD106" s="2" t="s">
        <v>58</v>
      </c>
      <c r="AE106" s="2" t="str">
        <f t="shared" si="25"/>
        <v>Valid</v>
      </c>
      <c r="AF106" s="2" t="s">
        <v>522</v>
      </c>
    </row>
    <row r="107" spans="1:32" x14ac:dyDescent="0.3">
      <c r="A107" s="2" t="s">
        <v>523</v>
      </c>
      <c r="B107" s="2">
        <f t="shared" si="15"/>
        <v>1</v>
      </c>
      <c r="C107" s="12">
        <f t="shared" si="27"/>
        <v>46238.586465439817</v>
      </c>
      <c r="D107" s="13">
        <v>46238.586465439817</v>
      </c>
      <c r="E107" s="2" t="s">
        <v>524</v>
      </c>
      <c r="F107" s="2" t="str">
        <f t="shared" si="16"/>
        <v>Email Available</v>
      </c>
      <c r="G107" s="2" t="s">
        <v>525</v>
      </c>
      <c r="H107" s="2" t="s">
        <v>221</v>
      </c>
      <c r="I107" s="2" t="s">
        <v>22</v>
      </c>
      <c r="J107" s="2" t="s">
        <v>222</v>
      </c>
      <c r="K107" s="2">
        <v>1</v>
      </c>
      <c r="L107" s="2">
        <v>17.989999999999998</v>
      </c>
      <c r="M107" s="19">
        <f t="shared" si="17"/>
        <v>17.989999999999998</v>
      </c>
      <c r="N107" s="2" t="s">
        <v>38</v>
      </c>
      <c r="O107" s="2" t="str">
        <f t="shared" si="18"/>
        <v>FREESHIP</v>
      </c>
      <c r="P107" s="2">
        <v>0</v>
      </c>
      <c r="Q107" s="19">
        <f t="shared" si="19"/>
        <v>0</v>
      </c>
      <c r="R107" s="2" t="str">
        <f t="shared" si="20"/>
        <v>Number</v>
      </c>
      <c r="S107" s="2">
        <v>0</v>
      </c>
      <c r="T107" s="19">
        <f t="shared" si="21"/>
        <v>0</v>
      </c>
      <c r="U107" s="2">
        <v>17.989999999999998</v>
      </c>
      <c r="V107" s="19">
        <f t="shared" si="22"/>
        <v>17.989999999999998</v>
      </c>
      <c r="W107" s="19">
        <f t="shared" si="23"/>
        <v>17.989999999999998</v>
      </c>
      <c r="X107" s="19" t="str">
        <f t="shared" si="24"/>
        <v>True</v>
      </c>
      <c r="Y107" s="19" t="str">
        <f>IF(OR(W107&lt;'Cleaning Tasks'!$G$18,W107&gt;'Cleaning Tasks'!$H$18),"Outlier","Normal")</f>
        <v>Normal</v>
      </c>
      <c r="Z107" s="2" t="s">
        <v>49</v>
      </c>
      <c r="AA107" s="2" t="s">
        <v>88</v>
      </c>
      <c r="AB107" s="2" t="s">
        <v>96</v>
      </c>
      <c r="AC107" s="2" t="s">
        <v>223</v>
      </c>
      <c r="AD107" s="2"/>
      <c r="AE107" s="2" t="str">
        <f t="shared" si="25"/>
        <v>Not Required</v>
      </c>
      <c r="AF107" s="2" t="s">
        <v>526</v>
      </c>
    </row>
    <row r="108" spans="1:32" x14ac:dyDescent="0.3">
      <c r="A108" s="2" t="s">
        <v>527</v>
      </c>
      <c r="B108" s="2">
        <f t="shared" si="15"/>
        <v>1</v>
      </c>
      <c r="C108" s="12">
        <f t="shared" si="27"/>
        <v>46238</v>
      </c>
      <c r="D108" s="13">
        <v>46238</v>
      </c>
      <c r="E108" s="2" t="s">
        <v>528</v>
      </c>
      <c r="F108" s="2" t="str">
        <f t="shared" si="16"/>
        <v>Email Available</v>
      </c>
      <c r="G108" s="2" t="s">
        <v>529</v>
      </c>
      <c r="H108" s="2" t="s">
        <v>146</v>
      </c>
      <c r="I108" s="2" t="s">
        <v>47</v>
      </c>
      <c r="J108" s="2" t="s">
        <v>147</v>
      </c>
      <c r="K108" s="2">
        <v>2</v>
      </c>
      <c r="L108" s="2">
        <v>34.99</v>
      </c>
      <c r="M108" s="19">
        <f t="shared" si="17"/>
        <v>34.99</v>
      </c>
      <c r="N108" s="2"/>
      <c r="O108" s="2" t="str">
        <f t="shared" si="18"/>
        <v/>
      </c>
      <c r="P108" s="2">
        <v>0</v>
      </c>
      <c r="Q108" s="19">
        <f t="shared" si="19"/>
        <v>0</v>
      </c>
      <c r="R108" s="2" t="str">
        <f t="shared" si="20"/>
        <v>Number</v>
      </c>
      <c r="S108" s="2">
        <v>4.99</v>
      </c>
      <c r="T108" s="19">
        <f t="shared" si="21"/>
        <v>4.99</v>
      </c>
      <c r="U108" s="2">
        <v>74.97</v>
      </c>
      <c r="V108" s="19">
        <f t="shared" si="22"/>
        <v>74.97</v>
      </c>
      <c r="W108" s="19">
        <f t="shared" si="23"/>
        <v>74.97</v>
      </c>
      <c r="X108" s="19" t="str">
        <f t="shared" si="24"/>
        <v>True</v>
      </c>
      <c r="Y108" s="19" t="str">
        <f>IF(OR(W108&lt;'Cleaning Tasks'!$G$18,W108&gt;'Cleaning Tasks'!$H$18),"Outlier","Normal")</f>
        <v>Normal</v>
      </c>
      <c r="Z108" s="2" t="s">
        <v>72</v>
      </c>
      <c r="AA108" s="2" t="s">
        <v>111</v>
      </c>
      <c r="AB108" s="2" t="s">
        <v>96</v>
      </c>
      <c r="AC108" s="2" t="s">
        <v>29</v>
      </c>
      <c r="AD108" s="2" t="s">
        <v>51</v>
      </c>
      <c r="AE108" s="2" t="str">
        <f t="shared" si="25"/>
        <v>Valid</v>
      </c>
      <c r="AF108" s="2" t="s">
        <v>530</v>
      </c>
    </row>
    <row r="109" spans="1:32" x14ac:dyDescent="0.3">
      <c r="A109" s="2" t="s">
        <v>531</v>
      </c>
      <c r="B109" s="2">
        <f t="shared" si="15"/>
        <v>1</v>
      </c>
      <c r="C109" s="12">
        <f t="shared" si="27"/>
        <v>46238.586723703702</v>
      </c>
      <c r="D109" s="13">
        <v>46238.586723703702</v>
      </c>
      <c r="E109" s="2" t="s">
        <v>532</v>
      </c>
      <c r="F109" s="2" t="str">
        <f t="shared" si="16"/>
        <v>Email Available</v>
      </c>
      <c r="G109" s="2" t="s">
        <v>533</v>
      </c>
      <c r="H109" s="2" t="s">
        <v>236</v>
      </c>
      <c r="I109" s="2" t="s">
        <v>237</v>
      </c>
      <c r="J109" s="2" t="s">
        <v>238</v>
      </c>
      <c r="K109" s="2">
        <v>2</v>
      </c>
      <c r="L109" s="2">
        <v>27.99</v>
      </c>
      <c r="M109" s="19">
        <f t="shared" si="17"/>
        <v>27.99</v>
      </c>
      <c r="N109" s="2" t="s">
        <v>38</v>
      </c>
      <c r="O109" s="2" t="str">
        <f t="shared" si="18"/>
        <v>FREESHIP</v>
      </c>
      <c r="P109" s="2">
        <v>0</v>
      </c>
      <c r="Q109" s="19">
        <f t="shared" si="19"/>
        <v>0</v>
      </c>
      <c r="R109" s="2" t="str">
        <f t="shared" si="20"/>
        <v>Number</v>
      </c>
      <c r="S109" s="2">
        <v>0</v>
      </c>
      <c r="T109" s="19">
        <f t="shared" si="21"/>
        <v>0</v>
      </c>
      <c r="U109" s="2">
        <v>55.98</v>
      </c>
      <c r="V109" s="19">
        <f t="shared" si="22"/>
        <v>55.98</v>
      </c>
      <c r="W109" s="19">
        <f t="shared" si="23"/>
        <v>55.98</v>
      </c>
      <c r="X109" s="19" t="str">
        <f t="shared" si="24"/>
        <v>True</v>
      </c>
      <c r="Y109" s="19" t="str">
        <f>IF(OR(W109&lt;'Cleaning Tasks'!$G$18,W109&gt;'Cleaning Tasks'!$H$18),"Outlier","Normal")</f>
        <v>Normal</v>
      </c>
      <c r="Z109" s="2" t="s">
        <v>72</v>
      </c>
      <c r="AA109" s="2" t="s">
        <v>111</v>
      </c>
      <c r="AB109" s="2" t="s">
        <v>50</v>
      </c>
      <c r="AC109" s="2" t="s">
        <v>73</v>
      </c>
      <c r="AD109" s="2"/>
      <c r="AE109" s="2" t="str">
        <f t="shared" si="25"/>
        <v>Not Required</v>
      </c>
      <c r="AF109" s="2" t="s">
        <v>534</v>
      </c>
    </row>
    <row r="110" spans="1:32" x14ac:dyDescent="0.3">
      <c r="A110" s="2" t="s">
        <v>535</v>
      </c>
      <c r="B110" s="2">
        <f t="shared" si="15"/>
        <v>1</v>
      </c>
      <c r="C110" s="12">
        <f t="shared" si="27"/>
        <v>46238.581821979169</v>
      </c>
      <c r="D110" s="13">
        <v>46238.581821979169</v>
      </c>
      <c r="E110" s="2" t="s">
        <v>536</v>
      </c>
      <c r="F110" s="2" t="str">
        <f t="shared" si="16"/>
        <v>Email Available</v>
      </c>
      <c r="G110" s="2" t="s">
        <v>537</v>
      </c>
      <c r="H110" s="2" t="s">
        <v>35</v>
      </c>
      <c r="I110" s="2" t="s">
        <v>36</v>
      </c>
      <c r="J110" s="2" t="s">
        <v>37</v>
      </c>
      <c r="K110" s="2">
        <v>2</v>
      </c>
      <c r="L110" s="2">
        <v>21.99</v>
      </c>
      <c r="M110" s="19">
        <f t="shared" si="17"/>
        <v>21.99</v>
      </c>
      <c r="N110" s="2" t="s">
        <v>38</v>
      </c>
      <c r="O110" s="2" t="str">
        <f t="shared" si="18"/>
        <v>FREESHIP</v>
      </c>
      <c r="P110" s="2">
        <v>0</v>
      </c>
      <c r="Q110" s="19">
        <f t="shared" si="19"/>
        <v>0</v>
      </c>
      <c r="R110" s="2" t="str">
        <f t="shared" si="20"/>
        <v>Number</v>
      </c>
      <c r="S110" s="2">
        <v>0</v>
      </c>
      <c r="T110" s="19">
        <f t="shared" si="21"/>
        <v>0</v>
      </c>
      <c r="U110" s="2" t="s">
        <v>538</v>
      </c>
      <c r="V110" s="19">
        <f t="shared" si="22"/>
        <v>43.98</v>
      </c>
      <c r="W110" s="19">
        <f t="shared" si="23"/>
        <v>43.98</v>
      </c>
      <c r="X110" s="19" t="str">
        <f t="shared" si="24"/>
        <v>True</v>
      </c>
      <c r="Y110" s="19" t="str">
        <f>IF(OR(W110&lt;'Cleaning Tasks'!$G$18,W110&gt;'Cleaning Tasks'!$H$18),"Outlier","Normal")</f>
        <v>Normal</v>
      </c>
      <c r="Z110" s="2" t="s">
        <v>26</v>
      </c>
      <c r="AA110" s="2" t="s">
        <v>27</v>
      </c>
      <c r="AB110" s="2" t="s">
        <v>28</v>
      </c>
      <c r="AC110" s="2" t="s">
        <v>223</v>
      </c>
      <c r="AD110" s="2"/>
      <c r="AE110" s="2" t="str">
        <f t="shared" si="25"/>
        <v>Not Required</v>
      </c>
      <c r="AF110" s="2" t="s">
        <v>539</v>
      </c>
    </row>
    <row r="111" spans="1:32" x14ac:dyDescent="0.3">
      <c r="A111" s="2" t="s">
        <v>540</v>
      </c>
      <c r="B111" s="2">
        <f t="shared" si="15"/>
        <v>1</v>
      </c>
      <c r="C111" s="12">
        <f t="shared" si="27"/>
        <v>46238.585312442126</v>
      </c>
      <c r="D111" s="13">
        <v>46238.585312442126</v>
      </c>
      <c r="E111" s="2" t="s">
        <v>541</v>
      </c>
      <c r="F111" s="2" t="str">
        <f t="shared" si="16"/>
        <v>Email Available</v>
      </c>
      <c r="G111" s="2" t="s">
        <v>542</v>
      </c>
      <c r="H111" s="2" t="s">
        <v>261</v>
      </c>
      <c r="I111" s="2" t="s">
        <v>36</v>
      </c>
      <c r="J111" s="2" t="s">
        <v>262</v>
      </c>
      <c r="K111" s="2">
        <v>1</v>
      </c>
      <c r="L111" s="2">
        <v>15.49</v>
      </c>
      <c r="M111" s="19">
        <f t="shared" si="17"/>
        <v>15.49</v>
      </c>
      <c r="N111" s="2" t="s">
        <v>38</v>
      </c>
      <c r="O111" s="2" t="str">
        <f t="shared" si="18"/>
        <v>FREESHIP</v>
      </c>
      <c r="P111" s="2">
        <v>0</v>
      </c>
      <c r="Q111" s="19">
        <f t="shared" si="19"/>
        <v>0</v>
      </c>
      <c r="R111" s="2" t="str">
        <f t="shared" si="20"/>
        <v>Number</v>
      </c>
      <c r="S111" s="2">
        <v>0</v>
      </c>
      <c r="T111" s="19">
        <f t="shared" si="21"/>
        <v>0</v>
      </c>
      <c r="U111" s="2">
        <v>15.49</v>
      </c>
      <c r="V111" s="19">
        <f t="shared" si="22"/>
        <v>15.49</v>
      </c>
      <c r="W111" s="19">
        <f t="shared" si="23"/>
        <v>15.49</v>
      </c>
      <c r="X111" s="19" t="str">
        <f t="shared" si="24"/>
        <v>True</v>
      </c>
      <c r="Y111" s="19" t="str">
        <f>IF(OR(W111&lt;'Cleaning Tasks'!$G$18,W111&gt;'Cleaning Tasks'!$H$18),"Outlier","Normal")</f>
        <v>Normal</v>
      </c>
      <c r="Z111" s="2" t="s">
        <v>72</v>
      </c>
      <c r="AA111" s="2" t="s">
        <v>111</v>
      </c>
      <c r="AB111" s="2" t="s">
        <v>50</v>
      </c>
      <c r="AC111" s="2" t="s">
        <v>105</v>
      </c>
      <c r="AD111" s="2"/>
      <c r="AE111" s="2" t="str">
        <f t="shared" si="25"/>
        <v>Not Required</v>
      </c>
      <c r="AF111" s="2" t="s">
        <v>543</v>
      </c>
    </row>
    <row r="112" spans="1:32" x14ac:dyDescent="0.3">
      <c r="A112" s="2" t="s">
        <v>544</v>
      </c>
      <c r="B112" s="2">
        <f t="shared" si="15"/>
        <v>1</v>
      </c>
      <c r="C112" s="12">
        <f t="shared" si="27"/>
        <v>46238</v>
      </c>
      <c r="D112" s="13">
        <v>46238</v>
      </c>
      <c r="E112" s="2" t="s">
        <v>545</v>
      </c>
      <c r="F112" s="2" t="str">
        <f t="shared" si="16"/>
        <v>Email Available</v>
      </c>
      <c r="G112" s="2" t="s">
        <v>546</v>
      </c>
      <c r="H112" s="2" t="s">
        <v>63</v>
      </c>
      <c r="I112" s="2" t="s">
        <v>47</v>
      </c>
      <c r="J112" s="2" t="s">
        <v>64</v>
      </c>
      <c r="K112" s="2">
        <v>1</v>
      </c>
      <c r="L112" s="2">
        <v>14.99</v>
      </c>
      <c r="M112" s="19">
        <f t="shared" si="17"/>
        <v>14.99</v>
      </c>
      <c r="N112" s="2" t="s">
        <v>24</v>
      </c>
      <c r="O112" s="2" t="str">
        <f t="shared" si="18"/>
        <v>SAVE20</v>
      </c>
      <c r="P112" s="2">
        <v>3</v>
      </c>
      <c r="Q112" s="19">
        <f t="shared" si="19"/>
        <v>3</v>
      </c>
      <c r="R112" s="2" t="str">
        <f t="shared" si="20"/>
        <v>Number</v>
      </c>
      <c r="S112" s="2">
        <v>5.99</v>
      </c>
      <c r="T112" s="19">
        <f t="shared" si="21"/>
        <v>5.99</v>
      </c>
      <c r="U112" s="2" t="s">
        <v>547</v>
      </c>
      <c r="V112" s="19">
        <f t="shared" si="22"/>
        <v>17.98</v>
      </c>
      <c r="W112" s="19">
        <f t="shared" si="23"/>
        <v>17.98</v>
      </c>
      <c r="X112" s="19" t="str">
        <f t="shared" si="24"/>
        <v>True</v>
      </c>
      <c r="Y112" s="19" t="str">
        <f>IF(OR(W112&lt;'Cleaning Tasks'!$G$18,W112&gt;'Cleaning Tasks'!$H$18),"Outlier","Normal")</f>
        <v>Normal</v>
      </c>
      <c r="Z112" s="2" t="s">
        <v>66</v>
      </c>
      <c r="AA112" s="2" t="s">
        <v>27</v>
      </c>
      <c r="AB112" s="2" t="s">
        <v>96</v>
      </c>
      <c r="AC112" s="2" t="s">
        <v>223</v>
      </c>
      <c r="AD112" s="2"/>
      <c r="AE112" s="2" t="str">
        <f t="shared" si="25"/>
        <v>Not Required</v>
      </c>
      <c r="AF112" s="2" t="s">
        <v>548</v>
      </c>
    </row>
    <row r="113" spans="1:32" x14ac:dyDescent="0.3">
      <c r="A113" s="2" t="s">
        <v>549</v>
      </c>
      <c r="B113" s="2">
        <f t="shared" si="15"/>
        <v>1</v>
      </c>
      <c r="C113" s="12">
        <f t="shared" si="27"/>
        <v>46238.588280810189</v>
      </c>
      <c r="D113" s="13">
        <v>46238.588280810189</v>
      </c>
      <c r="E113" s="2" t="s">
        <v>550</v>
      </c>
      <c r="F113" s="2" t="str">
        <f t="shared" si="16"/>
        <v>Email Available</v>
      </c>
      <c r="G113" s="2" t="s">
        <v>551</v>
      </c>
      <c r="H113" s="2" t="s">
        <v>146</v>
      </c>
      <c r="I113" s="2" t="s">
        <v>47</v>
      </c>
      <c r="J113" s="2" t="s">
        <v>147</v>
      </c>
      <c r="K113" s="2">
        <v>1</v>
      </c>
      <c r="L113" s="2">
        <v>34.99</v>
      </c>
      <c r="M113" s="19">
        <f t="shared" si="17"/>
        <v>34.99</v>
      </c>
      <c r="N113" s="2"/>
      <c r="O113" s="2" t="str">
        <f t="shared" si="18"/>
        <v/>
      </c>
      <c r="P113" s="2">
        <v>0</v>
      </c>
      <c r="Q113" s="19">
        <f t="shared" si="19"/>
        <v>0</v>
      </c>
      <c r="R113" s="2" t="str">
        <f t="shared" si="20"/>
        <v>Number</v>
      </c>
      <c r="S113" s="2">
        <v>5.99</v>
      </c>
      <c r="T113" s="19">
        <f t="shared" si="21"/>
        <v>5.99</v>
      </c>
      <c r="U113" s="2">
        <v>40.98</v>
      </c>
      <c r="V113" s="19">
        <f t="shared" si="22"/>
        <v>40.98</v>
      </c>
      <c r="W113" s="19">
        <f t="shared" si="23"/>
        <v>40.980000000000004</v>
      </c>
      <c r="X113" s="19" t="str">
        <f t="shared" si="24"/>
        <v>True</v>
      </c>
      <c r="Y113" s="19" t="str">
        <f>IF(OR(W113&lt;'Cleaning Tasks'!$G$18,W113&gt;'Cleaning Tasks'!$H$18),"Outlier","Normal")</f>
        <v>Normal</v>
      </c>
      <c r="Z113" s="2" t="s">
        <v>72</v>
      </c>
      <c r="AA113" s="2" t="s">
        <v>111</v>
      </c>
      <c r="AB113" s="2" t="s">
        <v>50</v>
      </c>
      <c r="AC113" s="2" t="s">
        <v>29</v>
      </c>
      <c r="AD113" s="2" t="s">
        <v>140</v>
      </c>
      <c r="AE113" s="2" t="str">
        <f t="shared" si="25"/>
        <v>Valid</v>
      </c>
      <c r="AF113" s="2" t="s">
        <v>552</v>
      </c>
    </row>
    <row r="114" spans="1:32" x14ac:dyDescent="0.3">
      <c r="A114" s="2" t="s">
        <v>553</v>
      </c>
      <c r="B114" s="2">
        <f t="shared" si="15"/>
        <v>1</v>
      </c>
      <c r="C114" s="12">
        <f t="shared" si="27"/>
        <v>46238.585509490738</v>
      </c>
      <c r="D114" s="13">
        <v>46238.585509490738</v>
      </c>
      <c r="E114" s="2" t="s">
        <v>554</v>
      </c>
      <c r="F114" s="2" t="str">
        <f t="shared" si="16"/>
        <v>Email Available</v>
      </c>
      <c r="G114" s="2" t="s">
        <v>45</v>
      </c>
      <c r="H114" s="2" t="s">
        <v>146</v>
      </c>
      <c r="I114" s="2" t="s">
        <v>47</v>
      </c>
      <c r="J114" s="2" t="s">
        <v>147</v>
      </c>
      <c r="K114" s="2">
        <v>2</v>
      </c>
      <c r="L114" s="2">
        <v>34.99</v>
      </c>
      <c r="M114" s="19">
        <f t="shared" si="17"/>
        <v>34.99</v>
      </c>
      <c r="N114" s="2"/>
      <c r="O114" s="2" t="str">
        <f t="shared" si="18"/>
        <v/>
      </c>
      <c r="P114" s="2">
        <v>0</v>
      </c>
      <c r="Q114" s="19">
        <f t="shared" si="19"/>
        <v>0</v>
      </c>
      <c r="R114" s="2" t="str">
        <f t="shared" si="20"/>
        <v>Number</v>
      </c>
      <c r="S114" s="2">
        <v>4.99</v>
      </c>
      <c r="T114" s="19">
        <f t="shared" si="21"/>
        <v>4.99</v>
      </c>
      <c r="U114" s="2">
        <v>74.97</v>
      </c>
      <c r="V114" s="19">
        <f t="shared" si="22"/>
        <v>74.97</v>
      </c>
      <c r="W114" s="19">
        <f t="shared" si="23"/>
        <v>74.97</v>
      </c>
      <c r="X114" s="19" t="str">
        <f t="shared" si="24"/>
        <v>True</v>
      </c>
      <c r="Y114" s="19" t="str">
        <f>IF(OR(W114&lt;'Cleaning Tasks'!$G$18,W114&gt;'Cleaning Tasks'!$H$18),"Outlier","Normal")</f>
        <v>Normal</v>
      </c>
      <c r="Z114" s="2" t="s">
        <v>39</v>
      </c>
      <c r="AA114" s="2" t="s">
        <v>40</v>
      </c>
      <c r="AB114" s="2" t="s">
        <v>50</v>
      </c>
      <c r="AC114" s="2" t="s">
        <v>29</v>
      </c>
      <c r="AD114" s="2" t="s">
        <v>67</v>
      </c>
      <c r="AE114" s="2" t="str">
        <f t="shared" si="25"/>
        <v>Valid</v>
      </c>
      <c r="AF114" s="2" t="s">
        <v>555</v>
      </c>
    </row>
    <row r="115" spans="1:32" x14ac:dyDescent="0.3">
      <c r="A115" s="2" t="s">
        <v>556</v>
      </c>
      <c r="B115" s="2">
        <f t="shared" si="15"/>
        <v>1</v>
      </c>
      <c r="C115" s="12">
        <f t="shared" si="27"/>
        <v>46238</v>
      </c>
      <c r="D115" s="13">
        <v>46238</v>
      </c>
      <c r="E115" s="2" t="s">
        <v>557</v>
      </c>
      <c r="F115" s="2" t="str">
        <f t="shared" si="16"/>
        <v>Email Available</v>
      </c>
      <c r="G115" s="2" t="s">
        <v>558</v>
      </c>
      <c r="H115" s="2" t="s">
        <v>117</v>
      </c>
      <c r="I115" s="2" t="s">
        <v>22</v>
      </c>
      <c r="J115" s="2" t="s">
        <v>23</v>
      </c>
      <c r="K115" s="2">
        <v>1</v>
      </c>
      <c r="L115" s="2">
        <v>12.99</v>
      </c>
      <c r="M115" s="19">
        <f t="shared" si="17"/>
        <v>12.99</v>
      </c>
      <c r="N115" s="2" t="s">
        <v>38</v>
      </c>
      <c r="O115" s="2" t="str">
        <f t="shared" si="18"/>
        <v>FREESHIP</v>
      </c>
      <c r="P115" s="2">
        <v>0</v>
      </c>
      <c r="Q115" s="19">
        <f t="shared" si="19"/>
        <v>0</v>
      </c>
      <c r="R115" s="2" t="str">
        <f t="shared" si="20"/>
        <v>Number</v>
      </c>
      <c r="S115" s="2">
        <v>0</v>
      </c>
      <c r="T115" s="19">
        <f t="shared" si="21"/>
        <v>0</v>
      </c>
      <c r="U115" s="2">
        <v>12.99</v>
      </c>
      <c r="V115" s="19">
        <f t="shared" si="22"/>
        <v>12.99</v>
      </c>
      <c r="W115" s="19">
        <f t="shared" si="23"/>
        <v>12.99</v>
      </c>
      <c r="X115" s="19" t="str">
        <f t="shared" si="24"/>
        <v>True</v>
      </c>
      <c r="Y115" s="19" t="str">
        <f>IF(OR(W115&lt;'Cleaning Tasks'!$G$18,W115&gt;'Cleaning Tasks'!$H$18),"Outlier","Normal")</f>
        <v>Normal</v>
      </c>
      <c r="Z115" s="2" t="s">
        <v>66</v>
      </c>
      <c r="AA115" s="2" t="s">
        <v>27</v>
      </c>
      <c r="AB115" s="2" t="s">
        <v>50</v>
      </c>
      <c r="AC115" s="2" t="s">
        <v>42</v>
      </c>
      <c r="AD115" s="2"/>
      <c r="AE115" s="2" t="str">
        <f t="shared" si="25"/>
        <v>Not Required</v>
      </c>
      <c r="AF115" s="2" t="s">
        <v>559</v>
      </c>
    </row>
    <row r="116" spans="1:32" x14ac:dyDescent="0.3">
      <c r="A116" s="2" t="s">
        <v>560</v>
      </c>
      <c r="B116" s="2">
        <f t="shared" si="15"/>
        <v>1</v>
      </c>
      <c r="C116" s="12">
        <f t="shared" si="27"/>
        <v>46238.580781701392</v>
      </c>
      <c r="D116" s="13">
        <v>46238.580781701392</v>
      </c>
      <c r="E116" s="2" t="s">
        <v>561</v>
      </c>
      <c r="F116" s="2" t="str">
        <f t="shared" si="16"/>
        <v>Email Available</v>
      </c>
      <c r="G116" s="2" t="s">
        <v>562</v>
      </c>
      <c r="H116" s="2" t="s">
        <v>35</v>
      </c>
      <c r="I116" s="2" t="s">
        <v>36</v>
      </c>
      <c r="J116" s="2" t="s">
        <v>37</v>
      </c>
      <c r="K116" s="2">
        <v>2</v>
      </c>
      <c r="L116" s="2" t="s">
        <v>563</v>
      </c>
      <c r="M116" s="19">
        <f t="shared" si="17"/>
        <v>21.99</v>
      </c>
      <c r="N116" s="2" t="s">
        <v>38</v>
      </c>
      <c r="O116" s="2" t="str">
        <f t="shared" si="18"/>
        <v>FREESHIP</v>
      </c>
      <c r="P116" s="2">
        <v>0</v>
      </c>
      <c r="Q116" s="19">
        <f t="shared" si="19"/>
        <v>0</v>
      </c>
      <c r="R116" s="2" t="str">
        <f t="shared" si="20"/>
        <v>Number</v>
      </c>
      <c r="S116" s="2">
        <v>0</v>
      </c>
      <c r="T116" s="19">
        <f t="shared" si="21"/>
        <v>0</v>
      </c>
      <c r="U116" s="2">
        <v>43.98</v>
      </c>
      <c r="V116" s="19">
        <f t="shared" si="22"/>
        <v>43.98</v>
      </c>
      <c r="W116" s="19">
        <f t="shared" si="23"/>
        <v>43.98</v>
      </c>
      <c r="X116" s="19" t="str">
        <f t="shared" si="24"/>
        <v>True</v>
      </c>
      <c r="Y116" s="19" t="str">
        <f>IF(OR(W116&lt;'Cleaning Tasks'!$G$18,W116&gt;'Cleaning Tasks'!$H$18),"Outlier","Normal")</f>
        <v>Normal</v>
      </c>
      <c r="Z116" s="2" t="s">
        <v>26</v>
      </c>
      <c r="AA116" s="2" t="s">
        <v>27</v>
      </c>
      <c r="AB116" s="2" t="s">
        <v>50</v>
      </c>
      <c r="AC116" s="2" t="s">
        <v>331</v>
      </c>
      <c r="AD116" s="2"/>
      <c r="AE116" s="2" t="str">
        <f t="shared" si="25"/>
        <v>Not Required</v>
      </c>
      <c r="AF116" s="2" t="s">
        <v>564</v>
      </c>
    </row>
    <row r="117" spans="1:32" x14ac:dyDescent="0.3">
      <c r="A117" s="2" t="s">
        <v>565</v>
      </c>
      <c r="B117" s="2">
        <f t="shared" si="15"/>
        <v>1</v>
      </c>
      <c r="C117" s="12">
        <f t="shared" si="27"/>
        <v>46238.584644930554</v>
      </c>
      <c r="D117" s="13">
        <v>46238.584644930554</v>
      </c>
      <c r="E117" s="2" t="s">
        <v>566</v>
      </c>
      <c r="F117" s="2" t="str">
        <f t="shared" si="16"/>
        <v>Email Available</v>
      </c>
      <c r="G117" s="2" t="s">
        <v>567</v>
      </c>
      <c r="H117" s="2" t="s">
        <v>236</v>
      </c>
      <c r="I117" s="2" t="s">
        <v>237</v>
      </c>
      <c r="J117" s="2" t="s">
        <v>238</v>
      </c>
      <c r="K117" s="2">
        <v>1</v>
      </c>
      <c r="L117" s="2">
        <v>27.99</v>
      </c>
      <c r="M117" s="19">
        <f t="shared" si="17"/>
        <v>27.99</v>
      </c>
      <c r="N117" s="2" t="s">
        <v>24</v>
      </c>
      <c r="O117" s="2" t="str">
        <f t="shared" si="18"/>
        <v>SAVE20</v>
      </c>
      <c r="P117" s="2">
        <v>5.6</v>
      </c>
      <c r="Q117" s="19">
        <f t="shared" si="19"/>
        <v>5.6</v>
      </c>
      <c r="R117" s="2" t="str">
        <f t="shared" si="20"/>
        <v>Number</v>
      </c>
      <c r="S117" s="2">
        <v>4.99</v>
      </c>
      <c r="T117" s="19">
        <f t="shared" si="21"/>
        <v>4.99</v>
      </c>
      <c r="U117" s="2">
        <v>27.38</v>
      </c>
      <c r="V117" s="19">
        <f t="shared" si="22"/>
        <v>27.38</v>
      </c>
      <c r="W117" s="19">
        <f t="shared" si="23"/>
        <v>27.380000000000003</v>
      </c>
      <c r="X117" s="19" t="str">
        <f t="shared" si="24"/>
        <v>True</v>
      </c>
      <c r="Y117" s="19" t="str">
        <f>IF(OR(W117&lt;'Cleaning Tasks'!$G$18,W117&gt;'Cleaning Tasks'!$H$18),"Outlier","Normal")</f>
        <v>Normal</v>
      </c>
      <c r="Z117" s="2" t="s">
        <v>72</v>
      </c>
      <c r="AA117" s="2" t="s">
        <v>27</v>
      </c>
      <c r="AB117" s="2" t="s">
        <v>28</v>
      </c>
      <c r="AC117" s="2" t="s">
        <v>105</v>
      </c>
      <c r="AD117" s="2"/>
      <c r="AE117" s="2" t="str">
        <f t="shared" si="25"/>
        <v>Not Required</v>
      </c>
      <c r="AF117" s="2" t="s">
        <v>345</v>
      </c>
    </row>
    <row r="118" spans="1:32" x14ac:dyDescent="0.3">
      <c r="A118" s="2" t="s">
        <v>568</v>
      </c>
      <c r="B118" s="2">
        <f t="shared" si="15"/>
        <v>1</v>
      </c>
      <c r="C118" s="12">
        <f t="shared" si="27"/>
        <v>46238</v>
      </c>
      <c r="D118" s="13" t="s">
        <v>99</v>
      </c>
      <c r="E118" s="2" t="s">
        <v>569</v>
      </c>
      <c r="F118" s="2" t="str">
        <f t="shared" si="16"/>
        <v>Email Available</v>
      </c>
      <c r="G118" s="2" t="s">
        <v>570</v>
      </c>
      <c r="H118" s="2" t="s">
        <v>78</v>
      </c>
      <c r="I118" s="2" t="s">
        <v>79</v>
      </c>
      <c r="J118" s="2" t="s">
        <v>80</v>
      </c>
      <c r="K118" s="2">
        <v>1</v>
      </c>
      <c r="L118" s="2" t="s">
        <v>571</v>
      </c>
      <c r="M118" s="19">
        <f t="shared" si="17"/>
        <v>89.99</v>
      </c>
      <c r="N118" s="2"/>
      <c r="O118" s="2" t="str">
        <f t="shared" si="18"/>
        <v/>
      </c>
      <c r="P118" s="2">
        <v>0</v>
      </c>
      <c r="Q118" s="19">
        <f t="shared" si="19"/>
        <v>0</v>
      </c>
      <c r="R118" s="2" t="str">
        <f t="shared" si="20"/>
        <v>Number</v>
      </c>
      <c r="S118" s="2">
        <v>0</v>
      </c>
      <c r="T118" s="19">
        <f t="shared" si="21"/>
        <v>0</v>
      </c>
      <c r="U118" s="2">
        <v>89.99</v>
      </c>
      <c r="V118" s="19">
        <f t="shared" si="22"/>
        <v>89.99</v>
      </c>
      <c r="W118" s="19">
        <f t="shared" si="23"/>
        <v>89.99</v>
      </c>
      <c r="X118" s="19" t="str">
        <f t="shared" si="24"/>
        <v>True</v>
      </c>
      <c r="Y118" s="19" t="str">
        <f>IF(OR(W118&lt;'Cleaning Tasks'!$G$18,W118&gt;'Cleaning Tasks'!$H$18),"Outlier","Normal")</f>
        <v>Outlier</v>
      </c>
      <c r="Z118" s="2" t="s">
        <v>72</v>
      </c>
      <c r="AA118" s="2" t="s">
        <v>88</v>
      </c>
      <c r="AB118" s="2" t="s">
        <v>50</v>
      </c>
      <c r="AC118" s="2" t="s">
        <v>105</v>
      </c>
      <c r="AD118" s="2"/>
      <c r="AE118" s="2" t="str">
        <f t="shared" si="25"/>
        <v>Not Required</v>
      </c>
      <c r="AF118" s="2" t="s">
        <v>572</v>
      </c>
    </row>
    <row r="119" spans="1:32" x14ac:dyDescent="0.3">
      <c r="A119" s="2" t="s">
        <v>573</v>
      </c>
      <c r="B119" s="2">
        <f t="shared" si="15"/>
        <v>1</v>
      </c>
      <c r="C119" s="12">
        <f t="shared" si="27"/>
        <v>46238.583784826391</v>
      </c>
      <c r="D119" s="13">
        <v>46238.583784826391</v>
      </c>
      <c r="E119" s="2" t="s">
        <v>574</v>
      </c>
      <c r="F119" s="2" t="str">
        <f t="shared" si="16"/>
        <v>Missing Email</v>
      </c>
      <c r="G119" s="2"/>
      <c r="H119" s="2" t="s">
        <v>279</v>
      </c>
      <c r="I119" s="2" t="s">
        <v>22</v>
      </c>
      <c r="J119" s="2" t="s">
        <v>280</v>
      </c>
      <c r="K119" s="2">
        <v>1</v>
      </c>
      <c r="L119" s="2">
        <v>24.99</v>
      </c>
      <c r="M119" s="19">
        <f t="shared" si="17"/>
        <v>24.99</v>
      </c>
      <c r="N119" s="2"/>
      <c r="O119" s="2" t="str">
        <f t="shared" si="18"/>
        <v/>
      </c>
      <c r="P119" s="2">
        <v>0</v>
      </c>
      <c r="Q119" s="19">
        <f t="shared" si="19"/>
        <v>0</v>
      </c>
      <c r="R119" s="2" t="str">
        <f t="shared" si="20"/>
        <v>Number</v>
      </c>
      <c r="S119" s="2">
        <v>4.99</v>
      </c>
      <c r="T119" s="19">
        <f t="shared" si="21"/>
        <v>4.99</v>
      </c>
      <c r="U119" s="2">
        <v>29.98</v>
      </c>
      <c r="V119" s="19">
        <f t="shared" si="22"/>
        <v>29.98</v>
      </c>
      <c r="W119" s="19">
        <f t="shared" si="23"/>
        <v>29.979999999999997</v>
      </c>
      <c r="X119" s="19" t="str">
        <f t="shared" si="24"/>
        <v>True</v>
      </c>
      <c r="Y119" s="19" t="str">
        <f>IF(OR(W119&lt;'Cleaning Tasks'!$G$18,W119&gt;'Cleaning Tasks'!$H$18),"Outlier","Normal")</f>
        <v>Normal</v>
      </c>
      <c r="Z119" s="2" t="s">
        <v>72</v>
      </c>
      <c r="AA119" s="2" t="s">
        <v>27</v>
      </c>
      <c r="AB119" s="2" t="s">
        <v>50</v>
      </c>
      <c r="AC119" s="2" t="s">
        <v>29</v>
      </c>
      <c r="AD119" s="2" t="s">
        <v>89</v>
      </c>
      <c r="AE119" s="2" t="str">
        <f t="shared" si="25"/>
        <v>Valid</v>
      </c>
      <c r="AF119" s="2" t="s">
        <v>575</v>
      </c>
    </row>
    <row r="120" spans="1:32" x14ac:dyDescent="0.3">
      <c r="A120" s="2" t="s">
        <v>576</v>
      </c>
      <c r="B120" s="2">
        <f t="shared" si="15"/>
        <v>1</v>
      </c>
      <c r="C120" s="12">
        <f t="shared" si="27"/>
        <v>46238.579009988433</v>
      </c>
      <c r="D120" s="13">
        <v>46238.579009988433</v>
      </c>
      <c r="E120" s="2" t="s">
        <v>577</v>
      </c>
      <c r="F120" s="2" t="str">
        <f t="shared" si="16"/>
        <v>Email Available</v>
      </c>
      <c r="G120" s="2" t="s">
        <v>578</v>
      </c>
      <c r="H120" s="2" t="s">
        <v>309</v>
      </c>
      <c r="I120" s="2" t="s">
        <v>36</v>
      </c>
      <c r="J120" s="2" t="s">
        <v>310</v>
      </c>
      <c r="K120" s="2">
        <v>2</v>
      </c>
      <c r="L120" s="2">
        <v>8.99</v>
      </c>
      <c r="M120" s="19">
        <f t="shared" si="17"/>
        <v>8.99</v>
      </c>
      <c r="N120" s="2" t="s">
        <v>118</v>
      </c>
      <c r="O120" s="2" t="str">
        <f t="shared" si="18"/>
        <v>BFCM25</v>
      </c>
      <c r="P120" s="2">
        <v>4.5</v>
      </c>
      <c r="Q120" s="19">
        <f t="shared" si="19"/>
        <v>4.5</v>
      </c>
      <c r="R120" s="2" t="str">
        <f t="shared" si="20"/>
        <v>Number</v>
      </c>
      <c r="S120" s="2">
        <v>5.99</v>
      </c>
      <c r="T120" s="19">
        <f t="shared" si="21"/>
        <v>5.99</v>
      </c>
      <c r="U120" s="2">
        <v>19.47</v>
      </c>
      <c r="V120" s="19">
        <f t="shared" si="22"/>
        <v>19.47</v>
      </c>
      <c r="W120" s="19">
        <f t="shared" si="23"/>
        <v>19.47</v>
      </c>
      <c r="X120" s="19" t="str">
        <f t="shared" si="24"/>
        <v>True</v>
      </c>
      <c r="Y120" s="19" t="str">
        <f>IF(OR(W120&lt;'Cleaning Tasks'!$G$18,W120&gt;'Cleaning Tasks'!$H$18),"Outlier","Normal")</f>
        <v>Normal</v>
      </c>
      <c r="Z120" s="2" t="s">
        <v>66</v>
      </c>
      <c r="AA120" s="2" t="s">
        <v>40</v>
      </c>
      <c r="AB120" s="2" t="s">
        <v>50</v>
      </c>
      <c r="AC120" s="2" t="s">
        <v>331</v>
      </c>
      <c r="AD120" s="2"/>
      <c r="AE120" s="2" t="str">
        <f t="shared" si="25"/>
        <v>Not Required</v>
      </c>
      <c r="AF120" s="2" t="s">
        <v>579</v>
      </c>
    </row>
    <row r="121" spans="1:32" x14ac:dyDescent="0.3">
      <c r="A121" s="2" t="s">
        <v>580</v>
      </c>
      <c r="B121" s="2">
        <f t="shared" si="15"/>
        <v>1</v>
      </c>
      <c r="C121" s="12">
        <f t="shared" si="27"/>
        <v>46238.585485358803</v>
      </c>
      <c r="D121" s="13">
        <v>46238.585485358803</v>
      </c>
      <c r="E121" s="2" t="s">
        <v>581</v>
      </c>
      <c r="F121" s="2" t="str">
        <f t="shared" si="16"/>
        <v>Email Available</v>
      </c>
      <c r="G121" s="2" t="s">
        <v>582</v>
      </c>
      <c r="H121" s="2" t="s">
        <v>267</v>
      </c>
      <c r="I121" s="2" t="s">
        <v>22</v>
      </c>
      <c r="J121" s="2" t="s">
        <v>268</v>
      </c>
      <c r="K121" s="2">
        <v>1</v>
      </c>
      <c r="L121" s="2">
        <v>18.989999999999998</v>
      </c>
      <c r="M121" s="19">
        <f t="shared" si="17"/>
        <v>18.989999999999998</v>
      </c>
      <c r="N121" s="2"/>
      <c r="O121" s="2" t="str">
        <f t="shared" si="18"/>
        <v/>
      </c>
      <c r="P121" s="2">
        <v>0</v>
      </c>
      <c r="Q121" s="19">
        <f t="shared" si="19"/>
        <v>0</v>
      </c>
      <c r="R121" s="2" t="str">
        <f t="shared" si="20"/>
        <v>Number</v>
      </c>
      <c r="S121" s="2">
        <v>7.99</v>
      </c>
      <c r="T121" s="19">
        <f t="shared" si="21"/>
        <v>7.99</v>
      </c>
      <c r="U121" s="2" t="s">
        <v>583</v>
      </c>
      <c r="V121" s="19">
        <f t="shared" si="22"/>
        <v>26.98</v>
      </c>
      <c r="W121" s="19">
        <f t="shared" si="23"/>
        <v>26.979999999999997</v>
      </c>
      <c r="X121" s="19" t="str">
        <f t="shared" si="24"/>
        <v>True</v>
      </c>
      <c r="Y121" s="19" t="str">
        <f>IF(OR(W121&lt;'Cleaning Tasks'!$G$18,W121&gt;'Cleaning Tasks'!$H$18),"Outlier","Normal")</f>
        <v>Normal</v>
      </c>
      <c r="Z121" s="2" t="s">
        <v>49</v>
      </c>
      <c r="AA121" s="2" t="s">
        <v>40</v>
      </c>
      <c r="AB121" s="2" t="s">
        <v>50</v>
      </c>
      <c r="AC121" s="2" t="s">
        <v>29</v>
      </c>
      <c r="AD121" s="2" t="s">
        <v>112</v>
      </c>
      <c r="AE121" s="2" t="str">
        <f t="shared" si="25"/>
        <v>Valid</v>
      </c>
      <c r="AF121" s="2" t="s">
        <v>584</v>
      </c>
    </row>
    <row r="122" spans="1:32" x14ac:dyDescent="0.3">
      <c r="A122" s="2" t="s">
        <v>585</v>
      </c>
      <c r="B122" s="2">
        <f t="shared" si="15"/>
        <v>1</v>
      </c>
      <c r="C122" s="12">
        <f t="shared" si="27"/>
        <v>46238.588570462962</v>
      </c>
      <c r="D122" s="13">
        <v>46238.588570462962</v>
      </c>
      <c r="E122" s="2" t="s">
        <v>586</v>
      </c>
      <c r="F122" s="2" t="str">
        <f t="shared" si="16"/>
        <v>Email Available</v>
      </c>
      <c r="G122" s="2" t="s">
        <v>587</v>
      </c>
      <c r="H122" s="2" t="s">
        <v>130</v>
      </c>
      <c r="I122" s="2" t="s">
        <v>103</v>
      </c>
      <c r="J122" s="2" t="s">
        <v>131</v>
      </c>
      <c r="K122" s="2">
        <v>1</v>
      </c>
      <c r="L122" s="2">
        <v>16.989999999999998</v>
      </c>
      <c r="M122" s="19">
        <f t="shared" si="17"/>
        <v>16.989999999999998</v>
      </c>
      <c r="N122" s="2" t="s">
        <v>203</v>
      </c>
      <c r="O122" s="2" t="str">
        <f t="shared" si="18"/>
        <v>VIP15</v>
      </c>
      <c r="P122" s="2">
        <v>2.5499999999999998</v>
      </c>
      <c r="Q122" s="19">
        <f t="shared" si="19"/>
        <v>2.5499999999999998</v>
      </c>
      <c r="R122" s="2" t="str">
        <f t="shared" si="20"/>
        <v>Number</v>
      </c>
      <c r="S122" s="2">
        <v>7.99</v>
      </c>
      <c r="T122" s="19">
        <f t="shared" si="21"/>
        <v>7.99</v>
      </c>
      <c r="U122" s="2">
        <v>22.43</v>
      </c>
      <c r="V122" s="19">
        <f t="shared" si="22"/>
        <v>22.43</v>
      </c>
      <c r="W122" s="19">
        <f t="shared" si="23"/>
        <v>22.43</v>
      </c>
      <c r="X122" s="19" t="str">
        <f t="shared" si="24"/>
        <v>True</v>
      </c>
      <c r="Y122" s="19" t="str">
        <f>IF(OR(W122&lt;'Cleaning Tasks'!$G$18,W122&gt;'Cleaning Tasks'!$H$18),"Outlier","Normal")</f>
        <v>Normal</v>
      </c>
      <c r="Z122" s="2" t="s">
        <v>72</v>
      </c>
      <c r="AA122" s="2" t="s">
        <v>27</v>
      </c>
      <c r="AB122" s="2" t="s">
        <v>50</v>
      </c>
      <c r="AC122" s="2" t="s">
        <v>29</v>
      </c>
      <c r="AD122" s="2" t="s">
        <v>30</v>
      </c>
      <c r="AE122" s="2" t="str">
        <f t="shared" si="25"/>
        <v>Valid</v>
      </c>
      <c r="AF122" s="2" t="s">
        <v>588</v>
      </c>
    </row>
    <row r="123" spans="1:32" x14ac:dyDescent="0.3">
      <c r="A123" s="2" t="s">
        <v>589</v>
      </c>
      <c r="B123" s="2">
        <f t="shared" si="15"/>
        <v>1</v>
      </c>
      <c r="C123" s="12">
        <f t="shared" si="27"/>
        <v>46238.581638020827</v>
      </c>
      <c r="D123" s="13">
        <v>46238.581638020827</v>
      </c>
      <c r="E123" s="2" t="s">
        <v>339</v>
      </c>
      <c r="F123" s="2" t="str">
        <f t="shared" si="16"/>
        <v>Email Available</v>
      </c>
      <c r="G123" s="2" t="s">
        <v>445</v>
      </c>
      <c r="H123" s="2" t="s">
        <v>182</v>
      </c>
      <c r="I123" s="2" t="s">
        <v>36</v>
      </c>
      <c r="J123" s="2" t="s">
        <v>183</v>
      </c>
      <c r="K123" s="2">
        <v>1</v>
      </c>
      <c r="L123" s="2">
        <v>11.99</v>
      </c>
      <c r="M123" s="19">
        <f t="shared" si="17"/>
        <v>11.99</v>
      </c>
      <c r="N123" s="2"/>
      <c r="O123" s="2" t="str">
        <f t="shared" si="18"/>
        <v/>
      </c>
      <c r="P123" s="2">
        <v>0</v>
      </c>
      <c r="Q123" s="19">
        <f t="shared" si="19"/>
        <v>0</v>
      </c>
      <c r="R123" s="2" t="str">
        <f t="shared" si="20"/>
        <v>Number</v>
      </c>
      <c r="S123" s="2">
        <v>7.99</v>
      </c>
      <c r="T123" s="19">
        <f t="shared" si="21"/>
        <v>7.99</v>
      </c>
      <c r="U123" s="2">
        <v>19.98</v>
      </c>
      <c r="V123" s="19">
        <f t="shared" si="22"/>
        <v>19.98</v>
      </c>
      <c r="W123" s="19">
        <f t="shared" si="23"/>
        <v>19.98</v>
      </c>
      <c r="X123" s="19" t="str">
        <f t="shared" si="24"/>
        <v>True</v>
      </c>
      <c r="Y123" s="19" t="str">
        <f>IF(OR(W123&lt;'Cleaning Tasks'!$G$18,W123&gt;'Cleaning Tasks'!$H$18),"Outlier","Normal")</f>
        <v>Normal</v>
      </c>
      <c r="Z123" s="2" t="s">
        <v>49</v>
      </c>
      <c r="AA123" s="2" t="s">
        <v>27</v>
      </c>
      <c r="AB123" s="2" t="s">
        <v>50</v>
      </c>
      <c r="AC123" s="2" t="s">
        <v>29</v>
      </c>
      <c r="AD123" s="2" t="s">
        <v>58</v>
      </c>
      <c r="AE123" s="2" t="str">
        <f t="shared" si="25"/>
        <v>Valid</v>
      </c>
      <c r="AF123" s="2" t="s">
        <v>590</v>
      </c>
    </row>
    <row r="124" spans="1:32" x14ac:dyDescent="0.3">
      <c r="A124" s="2" t="s">
        <v>591</v>
      </c>
      <c r="B124" s="2">
        <f t="shared" si="15"/>
        <v>1</v>
      </c>
      <c r="C124" s="12">
        <f t="shared" si="27"/>
        <v>46238.580238946757</v>
      </c>
      <c r="D124" s="13">
        <v>46238.580238946757</v>
      </c>
      <c r="E124" s="2" t="s">
        <v>592</v>
      </c>
      <c r="F124" s="2" t="str">
        <f t="shared" si="16"/>
        <v>Email Available</v>
      </c>
      <c r="G124" s="2" t="s">
        <v>593</v>
      </c>
      <c r="H124" s="2" t="s">
        <v>267</v>
      </c>
      <c r="I124" s="2" t="s">
        <v>22</v>
      </c>
      <c r="J124" s="2" t="s">
        <v>268</v>
      </c>
      <c r="K124" s="2">
        <v>1</v>
      </c>
      <c r="L124" s="2">
        <v>18.989999999999998</v>
      </c>
      <c r="M124" s="19">
        <f t="shared" si="17"/>
        <v>18.989999999999998</v>
      </c>
      <c r="N124" s="2" t="s">
        <v>65</v>
      </c>
      <c r="O124" s="2" t="str">
        <f t="shared" si="18"/>
        <v>WELCOME10</v>
      </c>
      <c r="P124" s="2" t="s">
        <v>594</v>
      </c>
      <c r="Q124" s="19">
        <f t="shared" si="19"/>
        <v>1.9</v>
      </c>
      <c r="R124" s="2" t="str">
        <f t="shared" si="20"/>
        <v>Number</v>
      </c>
      <c r="S124" s="2">
        <v>5.99</v>
      </c>
      <c r="T124" s="19">
        <f t="shared" si="21"/>
        <v>5.99</v>
      </c>
      <c r="U124" s="2">
        <v>23.08</v>
      </c>
      <c r="V124" s="19">
        <f t="shared" si="22"/>
        <v>23.08</v>
      </c>
      <c r="W124" s="19">
        <f t="shared" si="23"/>
        <v>23.08</v>
      </c>
      <c r="X124" s="19" t="str">
        <f t="shared" si="24"/>
        <v>True</v>
      </c>
      <c r="Y124" s="19" t="str">
        <f>IF(OR(W124&lt;'Cleaning Tasks'!$G$18,W124&gt;'Cleaning Tasks'!$H$18),"Outlier","Normal")</f>
        <v>Normal</v>
      </c>
      <c r="Z124" s="2" t="s">
        <v>49</v>
      </c>
      <c r="AA124" s="2" t="s">
        <v>27</v>
      </c>
      <c r="AB124" s="2" t="s">
        <v>50</v>
      </c>
      <c r="AC124" s="2" t="s">
        <v>29</v>
      </c>
      <c r="AD124" s="22" t="s">
        <v>51</v>
      </c>
      <c r="AE124" s="2" t="str">
        <f t="shared" si="25"/>
        <v>Valid</v>
      </c>
      <c r="AF124" s="2" t="s">
        <v>595</v>
      </c>
    </row>
    <row r="125" spans="1:32" x14ac:dyDescent="0.3">
      <c r="A125" s="2" t="s">
        <v>596</v>
      </c>
      <c r="B125" s="2">
        <f t="shared" si="15"/>
        <v>1</v>
      </c>
      <c r="C125" s="12">
        <f t="shared" si="27"/>
        <v>46238.584284849538</v>
      </c>
      <c r="D125" s="13">
        <v>46238.584284849538</v>
      </c>
      <c r="E125" s="2" t="s">
        <v>597</v>
      </c>
      <c r="F125" s="2" t="str">
        <f t="shared" si="16"/>
        <v>Email Available</v>
      </c>
      <c r="G125" s="2" t="s">
        <v>598</v>
      </c>
      <c r="H125" s="2" t="s">
        <v>236</v>
      </c>
      <c r="I125" s="2" t="s">
        <v>237</v>
      </c>
      <c r="J125" s="2" t="s">
        <v>238</v>
      </c>
      <c r="K125" s="2">
        <v>3</v>
      </c>
      <c r="L125" s="2">
        <v>27.99</v>
      </c>
      <c r="M125" s="19">
        <f t="shared" si="17"/>
        <v>27.99</v>
      </c>
      <c r="N125" s="2" t="s">
        <v>24</v>
      </c>
      <c r="O125" s="2" t="str">
        <f t="shared" si="18"/>
        <v>SAVE20</v>
      </c>
      <c r="P125" s="2" t="s">
        <v>599</v>
      </c>
      <c r="Q125" s="19">
        <f t="shared" si="19"/>
        <v>16.79</v>
      </c>
      <c r="R125" s="2" t="str">
        <f t="shared" si="20"/>
        <v>Number</v>
      </c>
      <c r="S125" s="2">
        <v>0</v>
      </c>
      <c r="T125" s="19">
        <f t="shared" si="21"/>
        <v>0</v>
      </c>
      <c r="U125" s="2">
        <v>67.180000000000007</v>
      </c>
      <c r="V125" s="19">
        <f t="shared" si="22"/>
        <v>67.180000000000007</v>
      </c>
      <c r="W125" s="19">
        <f t="shared" si="23"/>
        <v>67.180000000000007</v>
      </c>
      <c r="X125" s="19" t="str">
        <f t="shared" si="24"/>
        <v>True</v>
      </c>
      <c r="Y125" s="19" t="str">
        <f>IF(OR(W125&lt;'Cleaning Tasks'!$G$18,W125&gt;'Cleaning Tasks'!$H$18),"Outlier","Normal")</f>
        <v>Normal</v>
      </c>
      <c r="Z125" s="2" t="s">
        <v>39</v>
      </c>
      <c r="AA125" s="2" t="s">
        <v>40</v>
      </c>
      <c r="AB125" s="2" t="s">
        <v>50</v>
      </c>
      <c r="AC125" s="2" t="s">
        <v>29</v>
      </c>
      <c r="AD125" s="2" t="s">
        <v>51</v>
      </c>
      <c r="AE125" s="2" t="str">
        <f t="shared" si="25"/>
        <v>Valid</v>
      </c>
      <c r="AF125" s="2" t="s">
        <v>600</v>
      </c>
    </row>
    <row r="126" spans="1:32" x14ac:dyDescent="0.3">
      <c r="A126" s="2" t="s">
        <v>601</v>
      </c>
      <c r="B126" s="2">
        <f t="shared" si="15"/>
        <v>1</v>
      </c>
      <c r="C126" s="12">
        <f t="shared" si="27"/>
        <v>46238</v>
      </c>
      <c r="D126" s="13">
        <v>46238</v>
      </c>
      <c r="E126" s="2" t="s">
        <v>602</v>
      </c>
      <c r="F126" s="2" t="str">
        <f t="shared" si="16"/>
        <v>Email Available</v>
      </c>
      <c r="G126" s="2" t="s">
        <v>603</v>
      </c>
      <c r="H126" s="2" t="s">
        <v>279</v>
      </c>
      <c r="I126" s="2" t="s">
        <v>22</v>
      </c>
      <c r="J126" s="2" t="s">
        <v>280</v>
      </c>
      <c r="K126" s="2">
        <v>1</v>
      </c>
      <c r="L126" s="2">
        <v>24.99</v>
      </c>
      <c r="M126" s="19">
        <f t="shared" si="17"/>
        <v>24.99</v>
      </c>
      <c r="N126" s="2" t="s">
        <v>203</v>
      </c>
      <c r="O126" s="2" t="str">
        <f t="shared" si="18"/>
        <v>VIP15</v>
      </c>
      <c r="P126" s="2">
        <v>3.75</v>
      </c>
      <c r="Q126" s="19">
        <f t="shared" si="19"/>
        <v>3.75</v>
      </c>
      <c r="R126" s="2" t="str">
        <f t="shared" si="20"/>
        <v>Number</v>
      </c>
      <c r="S126" s="2">
        <v>4.99</v>
      </c>
      <c r="T126" s="19">
        <f t="shared" si="21"/>
        <v>4.99</v>
      </c>
      <c r="U126" s="2">
        <v>26.23</v>
      </c>
      <c r="V126" s="19">
        <f t="shared" si="22"/>
        <v>26.23</v>
      </c>
      <c r="W126" s="19">
        <f t="shared" si="23"/>
        <v>26.229999999999997</v>
      </c>
      <c r="X126" s="19" t="str">
        <f t="shared" si="24"/>
        <v>True</v>
      </c>
      <c r="Y126" s="19" t="str">
        <f>IF(OR(W126&lt;'Cleaning Tasks'!$G$18,W126&gt;'Cleaning Tasks'!$H$18),"Outlier","Normal")</f>
        <v>Normal</v>
      </c>
      <c r="Z126" s="2" t="s">
        <v>66</v>
      </c>
      <c r="AA126" s="2" t="s">
        <v>111</v>
      </c>
      <c r="AB126" s="2" t="s">
        <v>28</v>
      </c>
      <c r="AC126" s="2" t="s">
        <v>42</v>
      </c>
      <c r="AD126" s="2"/>
      <c r="AE126" s="2" t="str">
        <f t="shared" si="25"/>
        <v>Not Required</v>
      </c>
      <c r="AF126" s="2" t="s">
        <v>604</v>
      </c>
    </row>
    <row r="127" spans="1:32" x14ac:dyDescent="0.3">
      <c r="A127" s="2" t="s">
        <v>605</v>
      </c>
      <c r="B127" s="2">
        <f t="shared" si="15"/>
        <v>1</v>
      </c>
      <c r="C127" s="12">
        <f t="shared" si="27"/>
        <v>46238.582096006947</v>
      </c>
      <c r="D127" s="13">
        <v>46238.582096006947</v>
      </c>
      <c r="E127" s="2" t="s">
        <v>606</v>
      </c>
      <c r="F127" s="2" t="str">
        <f t="shared" si="16"/>
        <v>Email Available</v>
      </c>
      <c r="G127" s="2" t="s">
        <v>607</v>
      </c>
      <c r="H127" s="2" t="s">
        <v>182</v>
      </c>
      <c r="I127" s="2" t="s">
        <v>36</v>
      </c>
      <c r="J127" s="2" t="s">
        <v>183</v>
      </c>
      <c r="K127" s="2">
        <v>1</v>
      </c>
      <c r="L127" s="2">
        <v>11.99</v>
      </c>
      <c r="M127" s="19">
        <f t="shared" si="17"/>
        <v>11.99</v>
      </c>
      <c r="N127" s="2" t="s">
        <v>203</v>
      </c>
      <c r="O127" s="2" t="str">
        <f t="shared" si="18"/>
        <v>VIP15</v>
      </c>
      <c r="P127" s="2">
        <v>1.8</v>
      </c>
      <c r="Q127" s="19">
        <f t="shared" si="19"/>
        <v>1.8</v>
      </c>
      <c r="R127" s="2" t="str">
        <f t="shared" si="20"/>
        <v>Number</v>
      </c>
      <c r="S127" s="2">
        <v>5.99</v>
      </c>
      <c r="T127" s="19">
        <f t="shared" si="21"/>
        <v>5.99</v>
      </c>
      <c r="U127" s="2">
        <v>16.18</v>
      </c>
      <c r="V127" s="19">
        <f t="shared" si="22"/>
        <v>16.18</v>
      </c>
      <c r="W127" s="19">
        <f t="shared" si="23"/>
        <v>16.18</v>
      </c>
      <c r="X127" s="19" t="str">
        <f t="shared" si="24"/>
        <v>True</v>
      </c>
      <c r="Y127" s="19" t="str">
        <f>IF(OR(W127&lt;'Cleaning Tasks'!$G$18,W127&gt;'Cleaning Tasks'!$H$18),"Outlier","Normal")</f>
        <v>Normal</v>
      </c>
      <c r="Z127" s="2" t="s">
        <v>72</v>
      </c>
      <c r="AA127" s="2" t="s">
        <v>40</v>
      </c>
      <c r="AB127" s="2" t="s">
        <v>41</v>
      </c>
      <c r="AC127" s="2" t="s">
        <v>42</v>
      </c>
      <c r="AD127" s="2"/>
      <c r="AE127" s="2" t="str">
        <f t="shared" si="25"/>
        <v>Not Required</v>
      </c>
      <c r="AF127" s="2" t="s">
        <v>608</v>
      </c>
    </row>
    <row r="128" spans="1:32" x14ac:dyDescent="0.3">
      <c r="A128" s="2" t="s">
        <v>609</v>
      </c>
      <c r="B128" s="2">
        <f t="shared" si="15"/>
        <v>1</v>
      </c>
      <c r="C128" s="12">
        <f t="shared" si="27"/>
        <v>46238.586027013887</v>
      </c>
      <c r="D128" s="13">
        <v>46238.586027013887</v>
      </c>
      <c r="E128" s="2" t="s">
        <v>160</v>
      </c>
      <c r="F128" s="2" t="str">
        <f t="shared" si="16"/>
        <v>Email Available</v>
      </c>
      <c r="G128" s="2" t="s">
        <v>161</v>
      </c>
      <c r="H128" s="2" t="s">
        <v>152</v>
      </c>
      <c r="I128" s="2" t="s">
        <v>36</v>
      </c>
      <c r="J128" s="2" t="s">
        <v>153</v>
      </c>
      <c r="K128" s="2">
        <v>1</v>
      </c>
      <c r="L128" s="2" t="s">
        <v>610</v>
      </c>
      <c r="M128" s="19">
        <f t="shared" si="17"/>
        <v>29.99</v>
      </c>
      <c r="N128" s="2"/>
      <c r="O128" s="2" t="str">
        <f t="shared" si="18"/>
        <v/>
      </c>
      <c r="P128" s="2">
        <v>0</v>
      </c>
      <c r="Q128" s="19">
        <f t="shared" si="19"/>
        <v>0</v>
      </c>
      <c r="R128" s="2" t="str">
        <f t="shared" si="20"/>
        <v>Number</v>
      </c>
      <c r="S128" s="2">
        <v>4.99</v>
      </c>
      <c r="T128" s="19">
        <f t="shared" si="21"/>
        <v>4.99</v>
      </c>
      <c r="U128" s="2">
        <v>34.979999999999997</v>
      </c>
      <c r="V128" s="19">
        <f t="shared" si="22"/>
        <v>34.979999999999997</v>
      </c>
      <c r="W128" s="19">
        <f t="shared" si="23"/>
        <v>34.979999999999997</v>
      </c>
      <c r="X128" s="19" t="str">
        <f t="shared" si="24"/>
        <v>True</v>
      </c>
      <c r="Y128" s="19" t="str">
        <f>IF(OR(W128&lt;'Cleaning Tasks'!$G$18,W128&gt;'Cleaning Tasks'!$H$18),"Outlier","Normal")</f>
        <v>Normal</v>
      </c>
      <c r="Z128" s="2" t="s">
        <v>39</v>
      </c>
      <c r="AA128" s="2" t="s">
        <v>111</v>
      </c>
      <c r="AB128" s="2" t="s">
        <v>96</v>
      </c>
      <c r="AC128" s="2" t="s">
        <v>29</v>
      </c>
      <c r="AD128" s="2" t="s">
        <v>112</v>
      </c>
      <c r="AE128" s="2" t="str">
        <f t="shared" si="25"/>
        <v>Valid</v>
      </c>
      <c r="AF128" s="2" t="s">
        <v>611</v>
      </c>
    </row>
    <row r="129" spans="1:32" x14ac:dyDescent="0.3">
      <c r="A129" s="2" t="s">
        <v>612</v>
      </c>
      <c r="B129" s="2">
        <f t="shared" si="15"/>
        <v>1</v>
      </c>
      <c r="C129" s="12">
        <f t="shared" si="27"/>
        <v>46238.579707476849</v>
      </c>
      <c r="D129" s="13">
        <v>46238.579707476849</v>
      </c>
      <c r="E129" s="2" t="s">
        <v>613</v>
      </c>
      <c r="F129" s="2" t="str">
        <f t="shared" si="16"/>
        <v>Email Available</v>
      </c>
      <c r="G129" s="2" t="s">
        <v>614</v>
      </c>
      <c r="H129" s="2" t="s">
        <v>146</v>
      </c>
      <c r="I129" s="2" t="s">
        <v>47</v>
      </c>
      <c r="J129" s="2" t="s">
        <v>147</v>
      </c>
      <c r="K129" s="2">
        <v>1</v>
      </c>
      <c r="L129" s="2">
        <v>34.99</v>
      </c>
      <c r="M129" s="19">
        <f t="shared" si="17"/>
        <v>34.99</v>
      </c>
      <c r="N129" s="2" t="s">
        <v>118</v>
      </c>
      <c r="O129" s="2" t="str">
        <f t="shared" si="18"/>
        <v>BFCM25</v>
      </c>
      <c r="P129" s="2">
        <v>8.75</v>
      </c>
      <c r="Q129" s="19">
        <f t="shared" si="19"/>
        <v>8.75</v>
      </c>
      <c r="R129" s="2" t="str">
        <f t="shared" si="20"/>
        <v>Number</v>
      </c>
      <c r="S129" s="2">
        <v>4.99</v>
      </c>
      <c r="T129" s="19">
        <f t="shared" si="21"/>
        <v>4.99</v>
      </c>
      <c r="U129" s="2">
        <v>31.23</v>
      </c>
      <c r="V129" s="19">
        <f t="shared" si="22"/>
        <v>31.23</v>
      </c>
      <c r="W129" s="19">
        <f t="shared" si="23"/>
        <v>31.230000000000004</v>
      </c>
      <c r="X129" s="19" t="str">
        <f t="shared" si="24"/>
        <v>True</v>
      </c>
      <c r="Y129" s="19" t="str">
        <f>IF(OR(W129&lt;'Cleaning Tasks'!$G$18,W129&gt;'Cleaning Tasks'!$H$18),"Outlier","Normal")</f>
        <v>Normal</v>
      </c>
      <c r="Z129" s="2" t="s">
        <v>26</v>
      </c>
      <c r="AA129" s="2" t="s">
        <v>111</v>
      </c>
      <c r="AB129" s="2" t="s">
        <v>50</v>
      </c>
      <c r="AC129" s="2" t="s">
        <v>29</v>
      </c>
      <c r="AD129" s="2" t="s">
        <v>140</v>
      </c>
      <c r="AE129" s="2" t="str">
        <f t="shared" si="25"/>
        <v>Valid</v>
      </c>
      <c r="AF129" s="2" t="s">
        <v>615</v>
      </c>
    </row>
    <row r="130" spans="1:32" x14ac:dyDescent="0.3">
      <c r="A130" s="2" t="s">
        <v>616</v>
      </c>
      <c r="B130" s="2">
        <f t="shared" ref="B130:B193" si="28">COUNTIF($A$2:$A$1993,A130)</f>
        <v>1</v>
      </c>
      <c r="C130" s="12">
        <f t="shared" si="27"/>
        <v>46238.588248425927</v>
      </c>
      <c r="D130" s="13">
        <v>46238.588248425927</v>
      </c>
      <c r="E130" s="2" t="s">
        <v>617</v>
      </c>
      <c r="F130" s="2" t="str">
        <f t="shared" ref="F130:F193" si="29">IF(TRIM(G130)="","Missing Email","Email Available")</f>
        <v>Email Available</v>
      </c>
      <c r="G130" s="2" t="s">
        <v>618</v>
      </c>
      <c r="H130" s="2" t="s">
        <v>146</v>
      </c>
      <c r="I130" s="2" t="s">
        <v>47</v>
      </c>
      <c r="J130" s="2" t="s">
        <v>147</v>
      </c>
      <c r="K130" s="2">
        <v>1</v>
      </c>
      <c r="L130" s="2">
        <v>34.99</v>
      </c>
      <c r="M130" s="19">
        <f t="shared" ref="M130:M193" si="30">IF(ISNUMBER(L130),L130,VALUE(SUBSTITUTE(L130,"$","")))</f>
        <v>34.99</v>
      </c>
      <c r="N130" s="2" t="s">
        <v>65</v>
      </c>
      <c r="O130" s="2" t="str">
        <f t="shared" ref="O130:O193" si="31">IF(TRIM(N130)="","",UPPER(TRIM(SUBSTITUTE(N130,CHAR(160)," "))))</f>
        <v>WELCOME10</v>
      </c>
      <c r="P130" s="2">
        <v>3.5</v>
      </c>
      <c r="Q130" s="19">
        <f t="shared" ref="Q130:Q193" si="32">IF(ISNUMBER(P130),P130,VALUE(TRIM(SUBSTITUTE(P130,"$",""))))</f>
        <v>3.5</v>
      </c>
      <c r="R130" s="2" t="str">
        <f t="shared" ref="R130:R193" si="33">IF(ISNUMBER(Q130),"Number","Text")</f>
        <v>Number</v>
      </c>
      <c r="S130" s="2">
        <v>7.99</v>
      </c>
      <c r="T130" s="19">
        <f t="shared" ref="T130:T193" si="34">IF(ISNUMBER(S130),S130,VALUE(TRIM(SUBSTITUTE(S130,"$",""))))</f>
        <v>7.99</v>
      </c>
      <c r="U130" s="2">
        <v>39.479999999999997</v>
      </c>
      <c r="V130" s="19">
        <f t="shared" ref="V130:V193" si="35">IF(ISNUMBER(U130),U130,VALUE(TRIM(SUBSTITUTE(U130,"$",""))))</f>
        <v>39.479999999999997</v>
      </c>
      <c r="W130" s="19">
        <f t="shared" ref="W130:W193" si="36">((M130*K130)-Q130)+T130</f>
        <v>39.480000000000004</v>
      </c>
      <c r="X130" s="19" t="str">
        <f t="shared" ref="X130:X193" si="37">IF(V130=W130,"True","False")</f>
        <v>True</v>
      </c>
      <c r="Y130" s="19" t="str">
        <f>IF(OR(W130&lt;'Cleaning Tasks'!$G$18,W130&gt;'Cleaning Tasks'!$H$18),"Outlier","Normal")</f>
        <v>Normal</v>
      </c>
      <c r="Z130" s="2" t="s">
        <v>26</v>
      </c>
      <c r="AA130" s="2" t="s">
        <v>27</v>
      </c>
      <c r="AB130" s="2" t="s">
        <v>50</v>
      </c>
      <c r="AC130" s="2" t="s">
        <v>105</v>
      </c>
      <c r="AD130" s="2"/>
      <c r="AE130" s="2" t="str">
        <f t="shared" ref="AE130:AE193" si="38">IF(AND(AC130="United States",AD130=""),"Missing state",IF(AD130="","Not Required","Valid"))</f>
        <v>Not Required</v>
      </c>
      <c r="AF130" s="2" t="s">
        <v>619</v>
      </c>
    </row>
    <row r="131" spans="1:32" x14ac:dyDescent="0.3">
      <c r="A131" s="2" t="s">
        <v>620</v>
      </c>
      <c r="B131" s="2">
        <f t="shared" si="28"/>
        <v>1</v>
      </c>
      <c r="C131" s="12">
        <f t="shared" si="27"/>
        <v>46238.582763217593</v>
      </c>
      <c r="D131" s="13">
        <v>46238.582763217593</v>
      </c>
      <c r="E131" s="2" t="s">
        <v>621</v>
      </c>
      <c r="F131" s="2" t="str">
        <f t="shared" si="29"/>
        <v>Email Available</v>
      </c>
      <c r="G131" s="2" t="s">
        <v>622</v>
      </c>
      <c r="H131" s="2" t="s">
        <v>85</v>
      </c>
      <c r="I131" s="2" t="s">
        <v>86</v>
      </c>
      <c r="J131" s="2" t="s">
        <v>87</v>
      </c>
      <c r="K131" s="2">
        <v>1</v>
      </c>
      <c r="L131" s="2">
        <v>54.99</v>
      </c>
      <c r="M131" s="19">
        <f t="shared" si="30"/>
        <v>54.99</v>
      </c>
      <c r="N131" s="2" t="s">
        <v>228</v>
      </c>
      <c r="O131" s="2" t="str">
        <f t="shared" si="31"/>
        <v>VIP15</v>
      </c>
      <c r="P131" s="2">
        <v>8.25</v>
      </c>
      <c r="Q131" s="19">
        <f t="shared" si="32"/>
        <v>8.25</v>
      </c>
      <c r="R131" s="2" t="str">
        <f t="shared" si="33"/>
        <v>Number</v>
      </c>
      <c r="S131" s="2">
        <v>4.99</v>
      </c>
      <c r="T131" s="19">
        <f t="shared" si="34"/>
        <v>4.99</v>
      </c>
      <c r="U131" s="2">
        <v>51.73</v>
      </c>
      <c r="V131" s="19">
        <f t="shared" si="35"/>
        <v>51.73</v>
      </c>
      <c r="W131" s="19">
        <f t="shared" si="36"/>
        <v>51.730000000000004</v>
      </c>
      <c r="X131" s="19" t="str">
        <f t="shared" si="37"/>
        <v>True</v>
      </c>
      <c r="Y131" s="19" t="str">
        <f>IF(OR(W131&lt;'Cleaning Tasks'!$G$18,W131&gt;'Cleaning Tasks'!$H$18),"Outlier","Normal")</f>
        <v>Normal</v>
      </c>
      <c r="Z131" s="2" t="s">
        <v>72</v>
      </c>
      <c r="AA131" s="2" t="s">
        <v>88</v>
      </c>
      <c r="AB131" s="2" t="s">
        <v>50</v>
      </c>
      <c r="AC131" s="2" t="s">
        <v>29</v>
      </c>
      <c r="AD131" s="2" t="s">
        <v>112</v>
      </c>
      <c r="AE131" s="2" t="str">
        <f t="shared" si="38"/>
        <v>Valid</v>
      </c>
      <c r="AF131" s="2" t="s">
        <v>623</v>
      </c>
    </row>
    <row r="132" spans="1:32" x14ac:dyDescent="0.3">
      <c r="A132" s="2" t="s">
        <v>624</v>
      </c>
      <c r="B132" s="2">
        <f t="shared" si="28"/>
        <v>1</v>
      </c>
      <c r="C132" s="12">
        <f t="shared" si="27"/>
        <v>46238.579130879632</v>
      </c>
      <c r="D132" s="13">
        <v>46238.579130879632</v>
      </c>
      <c r="E132" s="2" t="s">
        <v>625</v>
      </c>
      <c r="F132" s="2" t="str">
        <f t="shared" si="29"/>
        <v>Email Available</v>
      </c>
      <c r="G132" s="2" t="s">
        <v>626</v>
      </c>
      <c r="H132" s="2" t="s">
        <v>261</v>
      </c>
      <c r="I132" s="2" t="s">
        <v>36</v>
      </c>
      <c r="J132" s="2" t="s">
        <v>262</v>
      </c>
      <c r="K132" s="2">
        <v>1</v>
      </c>
      <c r="L132" s="2">
        <v>15.49</v>
      </c>
      <c r="M132" s="19">
        <f t="shared" si="30"/>
        <v>15.49</v>
      </c>
      <c r="N132" s="2"/>
      <c r="O132" s="2" t="str">
        <f t="shared" si="31"/>
        <v/>
      </c>
      <c r="P132" s="2">
        <v>0</v>
      </c>
      <c r="Q132" s="19">
        <f t="shared" si="32"/>
        <v>0</v>
      </c>
      <c r="R132" s="2" t="str">
        <f t="shared" si="33"/>
        <v>Number</v>
      </c>
      <c r="S132" s="2">
        <v>4.99</v>
      </c>
      <c r="T132" s="19">
        <f t="shared" si="34"/>
        <v>4.99</v>
      </c>
      <c r="U132" s="2">
        <v>20.48</v>
      </c>
      <c r="V132" s="19">
        <f t="shared" si="35"/>
        <v>20.48</v>
      </c>
      <c r="W132" s="19">
        <f t="shared" si="36"/>
        <v>20.48</v>
      </c>
      <c r="X132" s="19" t="str">
        <f t="shared" si="37"/>
        <v>True</v>
      </c>
      <c r="Y132" s="19" t="str">
        <f>IF(OR(W132&lt;'Cleaning Tasks'!$G$18,W132&gt;'Cleaning Tasks'!$H$18),"Outlier","Normal")</f>
        <v>Normal</v>
      </c>
      <c r="Z132" s="2" t="s">
        <v>39</v>
      </c>
      <c r="AA132" s="2" t="s">
        <v>40</v>
      </c>
      <c r="AB132" s="2" t="s">
        <v>50</v>
      </c>
      <c r="AC132" s="2" t="s">
        <v>29</v>
      </c>
      <c r="AD132" s="2" t="s">
        <v>67</v>
      </c>
      <c r="AE132" s="2" t="str">
        <f t="shared" si="38"/>
        <v>Valid</v>
      </c>
      <c r="AF132" s="2" t="s">
        <v>627</v>
      </c>
    </row>
    <row r="133" spans="1:32" x14ac:dyDescent="0.3">
      <c r="A133" s="2" t="s">
        <v>628</v>
      </c>
      <c r="B133" s="2">
        <f t="shared" si="28"/>
        <v>1</v>
      </c>
      <c r="C133" s="12">
        <f t="shared" ref="C133:C164" si="39">IF(ISNUMBER(D133),D133,DATEVALUE(SUBSTITUTE(TRIM(D133),CHAR(160)," ")))</f>
        <v>46238</v>
      </c>
      <c r="D133" s="13">
        <v>46238</v>
      </c>
      <c r="E133" s="2" t="s">
        <v>629</v>
      </c>
      <c r="F133" s="2" t="str">
        <f t="shared" si="29"/>
        <v>Email Available</v>
      </c>
      <c r="G133" s="2" t="s">
        <v>630</v>
      </c>
      <c r="H133" s="2" t="s">
        <v>267</v>
      </c>
      <c r="I133" s="2" t="s">
        <v>22</v>
      </c>
      <c r="J133" s="2" t="s">
        <v>268</v>
      </c>
      <c r="K133" s="2">
        <v>1</v>
      </c>
      <c r="L133" s="2" t="s">
        <v>631</v>
      </c>
      <c r="M133" s="19">
        <f t="shared" si="30"/>
        <v>18.989999999999998</v>
      </c>
      <c r="N133" s="2" t="s">
        <v>65</v>
      </c>
      <c r="O133" s="2" t="str">
        <f t="shared" si="31"/>
        <v>WELCOME10</v>
      </c>
      <c r="P133" s="2">
        <v>1.9</v>
      </c>
      <c r="Q133" s="19">
        <f t="shared" si="32"/>
        <v>1.9</v>
      </c>
      <c r="R133" s="2" t="str">
        <f t="shared" si="33"/>
        <v>Number</v>
      </c>
      <c r="S133" s="2">
        <v>5.99</v>
      </c>
      <c r="T133" s="19">
        <f t="shared" si="34"/>
        <v>5.99</v>
      </c>
      <c r="U133" s="2" t="s">
        <v>632</v>
      </c>
      <c r="V133" s="19">
        <f t="shared" si="35"/>
        <v>23.08</v>
      </c>
      <c r="W133" s="19">
        <f t="shared" si="36"/>
        <v>23.08</v>
      </c>
      <c r="X133" s="19" t="str">
        <f t="shared" si="37"/>
        <v>True</v>
      </c>
      <c r="Y133" s="19" t="str">
        <f>IF(OR(W133&lt;'Cleaning Tasks'!$G$18,W133&gt;'Cleaning Tasks'!$H$18),"Outlier","Normal")</f>
        <v>Normal</v>
      </c>
      <c r="Z133" s="2" t="s">
        <v>49</v>
      </c>
      <c r="AA133" s="2" t="s">
        <v>27</v>
      </c>
      <c r="AB133" s="2" t="s">
        <v>28</v>
      </c>
      <c r="AC133" s="2" t="s">
        <v>29</v>
      </c>
      <c r="AD133" s="2" t="s">
        <v>112</v>
      </c>
      <c r="AE133" s="2" t="str">
        <f t="shared" si="38"/>
        <v>Valid</v>
      </c>
      <c r="AF133" s="2" t="s">
        <v>633</v>
      </c>
    </row>
    <row r="134" spans="1:32" x14ac:dyDescent="0.3">
      <c r="A134" s="2" t="s">
        <v>634</v>
      </c>
      <c r="B134" s="2">
        <f t="shared" si="28"/>
        <v>1</v>
      </c>
      <c r="C134" s="12">
        <f t="shared" si="39"/>
        <v>46238.585360173609</v>
      </c>
      <c r="D134" s="13">
        <v>46238.585360173609</v>
      </c>
      <c r="E134" s="2" t="s">
        <v>635</v>
      </c>
      <c r="F134" s="2" t="str">
        <f t="shared" si="29"/>
        <v>Email Available</v>
      </c>
      <c r="G134" s="2" t="s">
        <v>636</v>
      </c>
      <c r="H134" s="2" t="s">
        <v>261</v>
      </c>
      <c r="I134" s="2" t="s">
        <v>36</v>
      </c>
      <c r="J134" s="2" t="s">
        <v>262</v>
      </c>
      <c r="K134" s="2">
        <v>3</v>
      </c>
      <c r="L134" s="2">
        <v>15.49</v>
      </c>
      <c r="M134" s="19">
        <f t="shared" si="30"/>
        <v>15.49</v>
      </c>
      <c r="N134" s="2"/>
      <c r="O134" s="2" t="str">
        <f t="shared" si="31"/>
        <v/>
      </c>
      <c r="P134" s="2" t="s">
        <v>184</v>
      </c>
      <c r="Q134" s="19">
        <f t="shared" si="32"/>
        <v>0</v>
      </c>
      <c r="R134" s="2" t="str">
        <f t="shared" si="33"/>
        <v>Number</v>
      </c>
      <c r="S134" s="2">
        <v>5.99</v>
      </c>
      <c r="T134" s="19">
        <f t="shared" si="34"/>
        <v>5.99</v>
      </c>
      <c r="U134" s="2">
        <v>52.46</v>
      </c>
      <c r="V134" s="19">
        <f t="shared" si="35"/>
        <v>52.46</v>
      </c>
      <c r="W134" s="19">
        <f t="shared" si="36"/>
        <v>52.46</v>
      </c>
      <c r="X134" s="19" t="str">
        <f t="shared" si="37"/>
        <v>True</v>
      </c>
      <c r="Y134" s="19" t="str">
        <f>IF(OR(W134&lt;'Cleaning Tasks'!$G$18,W134&gt;'Cleaning Tasks'!$H$18),"Outlier","Normal")</f>
        <v>Normal</v>
      </c>
      <c r="Z134" s="2" t="s">
        <v>72</v>
      </c>
      <c r="AA134" s="2" t="s">
        <v>27</v>
      </c>
      <c r="AB134" s="2" t="s">
        <v>50</v>
      </c>
      <c r="AC134" s="2" t="s">
        <v>29</v>
      </c>
      <c r="AD134" s="2" t="s">
        <v>112</v>
      </c>
      <c r="AE134" s="2" t="str">
        <f t="shared" si="38"/>
        <v>Valid</v>
      </c>
      <c r="AF134" s="2" t="s">
        <v>637</v>
      </c>
    </row>
    <row r="135" spans="1:32" x14ac:dyDescent="0.3">
      <c r="A135" s="2" t="s">
        <v>638</v>
      </c>
      <c r="B135" s="2">
        <f t="shared" si="28"/>
        <v>1</v>
      </c>
      <c r="C135" s="12">
        <f t="shared" si="39"/>
        <v>46238.58513201389</v>
      </c>
      <c r="D135" s="13">
        <v>46238.58513201389</v>
      </c>
      <c r="E135" s="2" t="s">
        <v>639</v>
      </c>
      <c r="F135" s="2" t="str">
        <f t="shared" si="29"/>
        <v>Email Available</v>
      </c>
      <c r="G135" s="2" t="s">
        <v>640</v>
      </c>
      <c r="H135" s="2" t="s">
        <v>261</v>
      </c>
      <c r="I135" s="2" t="s">
        <v>36</v>
      </c>
      <c r="J135" s="2" t="s">
        <v>262</v>
      </c>
      <c r="K135" s="2">
        <v>1</v>
      </c>
      <c r="L135" s="2">
        <v>15.49</v>
      </c>
      <c r="M135" s="19">
        <f t="shared" si="30"/>
        <v>15.49</v>
      </c>
      <c r="N135" s="2" t="s">
        <v>24</v>
      </c>
      <c r="O135" s="2" t="str">
        <f t="shared" si="31"/>
        <v>SAVE20</v>
      </c>
      <c r="P135" s="2">
        <v>3.1</v>
      </c>
      <c r="Q135" s="19">
        <f t="shared" si="32"/>
        <v>3.1</v>
      </c>
      <c r="R135" s="2" t="str">
        <f t="shared" si="33"/>
        <v>Number</v>
      </c>
      <c r="S135" s="2">
        <v>5.99</v>
      </c>
      <c r="T135" s="19">
        <f t="shared" si="34"/>
        <v>5.99</v>
      </c>
      <c r="U135" s="2">
        <v>18.38</v>
      </c>
      <c r="V135" s="19">
        <f t="shared" si="35"/>
        <v>18.38</v>
      </c>
      <c r="W135" s="19">
        <f t="shared" si="36"/>
        <v>18.380000000000003</v>
      </c>
      <c r="X135" s="19" t="str">
        <f t="shared" si="37"/>
        <v>True</v>
      </c>
      <c r="Y135" s="19" t="str">
        <f>IF(OR(W135&lt;'Cleaning Tasks'!$G$18,W135&gt;'Cleaning Tasks'!$H$18),"Outlier","Normal")</f>
        <v>Normal</v>
      </c>
      <c r="Z135" s="2" t="s">
        <v>39</v>
      </c>
      <c r="AA135" s="2" t="s">
        <v>27</v>
      </c>
      <c r="AB135" s="2" t="s">
        <v>50</v>
      </c>
      <c r="AC135" s="2" t="s">
        <v>29</v>
      </c>
      <c r="AD135" s="2" t="s">
        <v>30</v>
      </c>
      <c r="AE135" s="2" t="str">
        <f t="shared" si="38"/>
        <v>Valid</v>
      </c>
      <c r="AF135" s="2" t="s">
        <v>641</v>
      </c>
    </row>
    <row r="136" spans="1:32" x14ac:dyDescent="0.3">
      <c r="A136" s="2" t="s">
        <v>642</v>
      </c>
      <c r="B136" s="2">
        <f t="shared" si="28"/>
        <v>1</v>
      </c>
      <c r="C136" s="12">
        <f t="shared" si="39"/>
        <v>46238.586027245372</v>
      </c>
      <c r="D136" s="13">
        <v>46238.586027245372</v>
      </c>
      <c r="E136" s="2" t="s">
        <v>643</v>
      </c>
      <c r="F136" s="2" t="str">
        <f t="shared" si="29"/>
        <v>Email Available</v>
      </c>
      <c r="G136" s="2" t="s">
        <v>644</v>
      </c>
      <c r="H136" s="2" t="s">
        <v>152</v>
      </c>
      <c r="I136" s="2" t="s">
        <v>36</v>
      </c>
      <c r="J136" s="2" t="s">
        <v>153</v>
      </c>
      <c r="K136" s="2">
        <v>1</v>
      </c>
      <c r="L136" s="2">
        <v>29.99</v>
      </c>
      <c r="M136" s="19">
        <f t="shared" si="30"/>
        <v>29.99</v>
      </c>
      <c r="N136" s="2"/>
      <c r="O136" s="2" t="str">
        <f t="shared" si="31"/>
        <v/>
      </c>
      <c r="P136" s="2">
        <v>0</v>
      </c>
      <c r="Q136" s="19">
        <f t="shared" si="32"/>
        <v>0</v>
      </c>
      <c r="R136" s="2" t="str">
        <f t="shared" si="33"/>
        <v>Number</v>
      </c>
      <c r="S136" s="2">
        <v>5.99</v>
      </c>
      <c r="T136" s="19">
        <f t="shared" si="34"/>
        <v>5.99</v>
      </c>
      <c r="U136" s="2">
        <v>35.979999999999997</v>
      </c>
      <c r="V136" s="19">
        <f t="shared" si="35"/>
        <v>35.979999999999997</v>
      </c>
      <c r="W136" s="19">
        <f t="shared" si="36"/>
        <v>35.979999999999997</v>
      </c>
      <c r="X136" s="19" t="str">
        <f t="shared" si="37"/>
        <v>True</v>
      </c>
      <c r="Y136" s="19" t="str">
        <f>IF(OR(W136&lt;'Cleaning Tasks'!$G$18,W136&gt;'Cleaning Tasks'!$H$18),"Outlier","Normal")</f>
        <v>Normal</v>
      </c>
      <c r="Z136" s="2" t="s">
        <v>72</v>
      </c>
      <c r="AA136" s="2" t="s">
        <v>111</v>
      </c>
      <c r="AB136" s="2" t="s">
        <v>50</v>
      </c>
      <c r="AC136" s="2" t="s">
        <v>29</v>
      </c>
      <c r="AD136" s="2" t="s">
        <v>58</v>
      </c>
      <c r="AE136" s="2" t="str">
        <f t="shared" si="38"/>
        <v>Valid</v>
      </c>
      <c r="AF136" s="2" t="s">
        <v>645</v>
      </c>
    </row>
    <row r="137" spans="1:32" x14ac:dyDescent="0.3">
      <c r="A137" s="2" t="s">
        <v>646</v>
      </c>
      <c r="B137" s="2">
        <f t="shared" si="28"/>
        <v>1</v>
      </c>
      <c r="C137" s="12">
        <f t="shared" si="39"/>
        <v>46238.582609988429</v>
      </c>
      <c r="D137" s="13">
        <v>46238.582609988429</v>
      </c>
      <c r="E137" s="2" t="s">
        <v>647</v>
      </c>
      <c r="F137" s="2" t="str">
        <f t="shared" si="29"/>
        <v>Email Available</v>
      </c>
      <c r="G137" s="2" t="s">
        <v>648</v>
      </c>
      <c r="H137" s="2" t="s">
        <v>236</v>
      </c>
      <c r="I137" s="2" t="s">
        <v>237</v>
      </c>
      <c r="J137" s="2" t="s">
        <v>238</v>
      </c>
      <c r="K137" s="2">
        <v>1</v>
      </c>
      <c r="L137" s="2">
        <v>27.99</v>
      </c>
      <c r="M137" s="19">
        <f t="shared" si="30"/>
        <v>27.99</v>
      </c>
      <c r="N137" s="2"/>
      <c r="O137" s="2" t="str">
        <f t="shared" si="31"/>
        <v/>
      </c>
      <c r="P137" s="2">
        <v>0</v>
      </c>
      <c r="Q137" s="19">
        <f t="shared" si="32"/>
        <v>0</v>
      </c>
      <c r="R137" s="2" t="str">
        <f t="shared" si="33"/>
        <v>Number</v>
      </c>
      <c r="S137" s="2">
        <v>7.99</v>
      </c>
      <c r="T137" s="19">
        <f t="shared" si="34"/>
        <v>7.99</v>
      </c>
      <c r="U137" s="2">
        <v>35.979999999999997</v>
      </c>
      <c r="V137" s="19">
        <f t="shared" si="35"/>
        <v>35.979999999999997</v>
      </c>
      <c r="W137" s="19">
        <f t="shared" si="36"/>
        <v>35.979999999999997</v>
      </c>
      <c r="X137" s="19" t="str">
        <f t="shared" si="37"/>
        <v>True</v>
      </c>
      <c r="Y137" s="19" t="str">
        <f>IF(OR(W137&lt;'Cleaning Tasks'!$G$18,W137&gt;'Cleaning Tasks'!$H$18),"Outlier","Normal")</f>
        <v>Normal</v>
      </c>
      <c r="Z137" s="2" t="s">
        <v>39</v>
      </c>
      <c r="AA137" s="2" t="s">
        <v>27</v>
      </c>
      <c r="AB137" s="2" t="s">
        <v>96</v>
      </c>
      <c r="AC137" s="2" t="s">
        <v>223</v>
      </c>
      <c r="AD137" s="2"/>
      <c r="AE137" s="2" t="str">
        <f t="shared" si="38"/>
        <v>Not Required</v>
      </c>
      <c r="AF137" s="2" t="s">
        <v>649</v>
      </c>
    </row>
    <row r="138" spans="1:32" x14ac:dyDescent="0.3">
      <c r="A138" s="2" t="s">
        <v>650</v>
      </c>
      <c r="B138" s="2">
        <f t="shared" si="28"/>
        <v>1</v>
      </c>
      <c r="C138" s="12">
        <f t="shared" si="39"/>
        <v>46238.582541990741</v>
      </c>
      <c r="D138" s="13">
        <v>46238.582541990741</v>
      </c>
      <c r="E138" s="2" t="s">
        <v>651</v>
      </c>
      <c r="F138" s="2" t="str">
        <f t="shared" si="29"/>
        <v>Email Available</v>
      </c>
      <c r="G138" s="2" t="s">
        <v>630</v>
      </c>
      <c r="H138" s="2" t="s">
        <v>166</v>
      </c>
      <c r="I138" s="2" t="s">
        <v>103</v>
      </c>
      <c r="J138" s="2" t="s">
        <v>167</v>
      </c>
      <c r="K138" s="2">
        <v>1</v>
      </c>
      <c r="L138" s="2">
        <v>32.99</v>
      </c>
      <c r="M138" s="19">
        <f t="shared" si="30"/>
        <v>32.99</v>
      </c>
      <c r="N138" s="2" t="s">
        <v>38</v>
      </c>
      <c r="O138" s="2" t="str">
        <f t="shared" si="31"/>
        <v>FREESHIP</v>
      </c>
      <c r="P138" s="2">
        <v>0</v>
      </c>
      <c r="Q138" s="19">
        <f t="shared" si="32"/>
        <v>0</v>
      </c>
      <c r="R138" s="2" t="str">
        <f t="shared" si="33"/>
        <v>Number</v>
      </c>
      <c r="S138" s="2">
        <v>0</v>
      </c>
      <c r="T138" s="19">
        <f t="shared" si="34"/>
        <v>0</v>
      </c>
      <c r="U138" s="2">
        <v>32.99</v>
      </c>
      <c r="V138" s="19">
        <f t="shared" si="35"/>
        <v>32.99</v>
      </c>
      <c r="W138" s="19">
        <f t="shared" si="36"/>
        <v>32.99</v>
      </c>
      <c r="X138" s="19" t="str">
        <f t="shared" si="37"/>
        <v>True</v>
      </c>
      <c r="Y138" s="19" t="str">
        <f>IF(OR(W138&lt;'Cleaning Tasks'!$G$18,W138&gt;'Cleaning Tasks'!$H$18),"Outlier","Normal")</f>
        <v>Normal</v>
      </c>
      <c r="Z138" s="2" t="s">
        <v>49</v>
      </c>
      <c r="AA138" s="2" t="s">
        <v>88</v>
      </c>
      <c r="AB138" s="2" t="s">
        <v>41</v>
      </c>
      <c r="AC138" s="2" t="s">
        <v>29</v>
      </c>
      <c r="AD138" s="2" t="s">
        <v>341</v>
      </c>
      <c r="AE138" s="2" t="str">
        <f t="shared" si="38"/>
        <v>Valid</v>
      </c>
      <c r="AF138" s="2" t="s">
        <v>652</v>
      </c>
    </row>
    <row r="139" spans="1:32" x14ac:dyDescent="0.3">
      <c r="A139" s="2" t="s">
        <v>653</v>
      </c>
      <c r="B139" s="2">
        <f t="shared" si="28"/>
        <v>1</v>
      </c>
      <c r="C139" s="12">
        <f t="shared" si="39"/>
        <v>46238</v>
      </c>
      <c r="D139" s="13">
        <v>46238</v>
      </c>
      <c r="E139" s="2" t="s">
        <v>654</v>
      </c>
      <c r="F139" s="2" t="str">
        <f t="shared" si="29"/>
        <v>Email Available</v>
      </c>
      <c r="G139" s="2" t="s">
        <v>655</v>
      </c>
      <c r="H139" s="2" t="s">
        <v>221</v>
      </c>
      <c r="I139" s="2" t="s">
        <v>22</v>
      </c>
      <c r="J139" s="2" t="s">
        <v>222</v>
      </c>
      <c r="K139" s="2">
        <v>1</v>
      </c>
      <c r="L139" s="2">
        <v>17.989999999999998</v>
      </c>
      <c r="M139" s="19">
        <f t="shared" si="30"/>
        <v>17.989999999999998</v>
      </c>
      <c r="N139" s="2"/>
      <c r="O139" s="2" t="str">
        <f t="shared" si="31"/>
        <v/>
      </c>
      <c r="P139" s="2">
        <v>0</v>
      </c>
      <c r="Q139" s="19">
        <f t="shared" si="32"/>
        <v>0</v>
      </c>
      <c r="R139" s="2" t="str">
        <f t="shared" si="33"/>
        <v>Number</v>
      </c>
      <c r="S139" s="2">
        <v>4.99</v>
      </c>
      <c r="T139" s="19">
        <f t="shared" si="34"/>
        <v>4.99</v>
      </c>
      <c r="U139" s="2">
        <v>22.98</v>
      </c>
      <c r="V139" s="19">
        <f t="shared" si="35"/>
        <v>22.98</v>
      </c>
      <c r="W139" s="19">
        <f t="shared" si="36"/>
        <v>22.979999999999997</v>
      </c>
      <c r="X139" s="19" t="str">
        <f t="shared" si="37"/>
        <v>True</v>
      </c>
      <c r="Y139" s="19" t="str">
        <f>IF(OR(W139&lt;'Cleaning Tasks'!$G$18,W139&gt;'Cleaning Tasks'!$H$18),"Outlier","Normal")</f>
        <v>Normal</v>
      </c>
      <c r="Z139" s="2" t="s">
        <v>26</v>
      </c>
      <c r="AA139" s="2" t="s">
        <v>40</v>
      </c>
      <c r="AB139" s="2" t="s">
        <v>50</v>
      </c>
      <c r="AC139" s="2" t="s">
        <v>29</v>
      </c>
      <c r="AD139" s="2" t="s">
        <v>30</v>
      </c>
      <c r="AE139" s="2" t="str">
        <f t="shared" si="38"/>
        <v>Valid</v>
      </c>
      <c r="AF139" s="2" t="s">
        <v>656</v>
      </c>
    </row>
    <row r="140" spans="1:32" x14ac:dyDescent="0.3">
      <c r="A140" s="2" t="s">
        <v>657</v>
      </c>
      <c r="B140" s="2">
        <f t="shared" si="28"/>
        <v>1</v>
      </c>
      <c r="C140" s="12">
        <f t="shared" si="39"/>
        <v>46238</v>
      </c>
      <c r="D140" s="13">
        <v>46238</v>
      </c>
      <c r="E140" s="2" t="s">
        <v>658</v>
      </c>
      <c r="F140" s="2" t="str">
        <f t="shared" si="29"/>
        <v>Email Available</v>
      </c>
      <c r="G140" s="2" t="s">
        <v>659</v>
      </c>
      <c r="H140" s="2" t="s">
        <v>124</v>
      </c>
      <c r="I140" s="2" t="s">
        <v>79</v>
      </c>
      <c r="J140" s="2" t="s">
        <v>125</v>
      </c>
      <c r="K140" s="2">
        <v>1</v>
      </c>
      <c r="L140" s="2">
        <v>13.99</v>
      </c>
      <c r="M140" s="19">
        <f t="shared" si="30"/>
        <v>13.99</v>
      </c>
      <c r="N140" s="2" t="s">
        <v>118</v>
      </c>
      <c r="O140" s="2" t="str">
        <f t="shared" si="31"/>
        <v>BFCM25</v>
      </c>
      <c r="P140" s="2">
        <v>3.5</v>
      </c>
      <c r="Q140" s="19">
        <f t="shared" si="32"/>
        <v>3.5</v>
      </c>
      <c r="R140" s="2" t="str">
        <f t="shared" si="33"/>
        <v>Number</v>
      </c>
      <c r="S140" s="2">
        <v>5.99</v>
      </c>
      <c r="T140" s="19">
        <f t="shared" si="34"/>
        <v>5.99</v>
      </c>
      <c r="U140" s="2">
        <v>16.48</v>
      </c>
      <c r="V140" s="19">
        <f t="shared" si="35"/>
        <v>16.48</v>
      </c>
      <c r="W140" s="19">
        <f t="shared" si="36"/>
        <v>16.48</v>
      </c>
      <c r="X140" s="19" t="str">
        <f t="shared" si="37"/>
        <v>True</v>
      </c>
      <c r="Y140" s="19" t="str">
        <f>IF(OR(W140&lt;'Cleaning Tasks'!$G$18,W140&gt;'Cleaning Tasks'!$H$18),"Outlier","Normal")</f>
        <v>Normal</v>
      </c>
      <c r="Z140" s="2" t="s">
        <v>72</v>
      </c>
      <c r="AA140" s="2" t="s">
        <v>27</v>
      </c>
      <c r="AB140" s="2" t="s">
        <v>50</v>
      </c>
      <c r="AC140" s="2" t="s">
        <v>73</v>
      </c>
      <c r="AD140" s="2"/>
      <c r="AE140" s="2" t="str">
        <f t="shared" si="38"/>
        <v>Not Required</v>
      </c>
      <c r="AF140" s="2" t="s">
        <v>660</v>
      </c>
    </row>
    <row r="141" spans="1:32" x14ac:dyDescent="0.3">
      <c r="A141" s="2" t="s">
        <v>661</v>
      </c>
      <c r="B141" s="2">
        <f t="shared" si="28"/>
        <v>1</v>
      </c>
      <c r="C141" s="12">
        <f t="shared" si="39"/>
        <v>46238.584555717593</v>
      </c>
      <c r="D141" s="13">
        <v>46238.584555717593</v>
      </c>
      <c r="E141" s="2" t="s">
        <v>662</v>
      </c>
      <c r="F141" s="2" t="str">
        <f t="shared" si="29"/>
        <v>Email Available</v>
      </c>
      <c r="G141" s="2" t="s">
        <v>663</v>
      </c>
      <c r="H141" s="2" t="s">
        <v>63</v>
      </c>
      <c r="I141" s="2" t="s">
        <v>47</v>
      </c>
      <c r="J141" s="2" t="s">
        <v>64</v>
      </c>
      <c r="K141" s="2">
        <v>1</v>
      </c>
      <c r="L141" s="2">
        <v>14.99</v>
      </c>
      <c r="M141" s="19">
        <f t="shared" si="30"/>
        <v>14.99</v>
      </c>
      <c r="N141" s="2"/>
      <c r="O141" s="2" t="str">
        <f t="shared" si="31"/>
        <v/>
      </c>
      <c r="P141" s="2">
        <v>0</v>
      </c>
      <c r="Q141" s="19">
        <f t="shared" si="32"/>
        <v>0</v>
      </c>
      <c r="R141" s="2" t="str">
        <f t="shared" si="33"/>
        <v>Number</v>
      </c>
      <c r="S141" s="2">
        <v>4.99</v>
      </c>
      <c r="T141" s="19">
        <f t="shared" si="34"/>
        <v>4.99</v>
      </c>
      <c r="U141" s="2">
        <v>19.98</v>
      </c>
      <c r="V141" s="19">
        <f t="shared" si="35"/>
        <v>19.98</v>
      </c>
      <c r="W141" s="19">
        <f t="shared" si="36"/>
        <v>19.98</v>
      </c>
      <c r="X141" s="19" t="str">
        <f t="shared" si="37"/>
        <v>True</v>
      </c>
      <c r="Y141" s="19" t="str">
        <f>IF(OR(W141&lt;'Cleaning Tasks'!$G$18,W141&gt;'Cleaning Tasks'!$H$18),"Outlier","Normal")</f>
        <v>Normal</v>
      </c>
      <c r="Z141" s="2" t="s">
        <v>66</v>
      </c>
      <c r="AA141" s="2" t="s">
        <v>111</v>
      </c>
      <c r="AB141" s="2" t="s">
        <v>41</v>
      </c>
      <c r="AC141" s="2" t="s">
        <v>331</v>
      </c>
      <c r="AD141" s="2"/>
      <c r="AE141" s="2" t="str">
        <f t="shared" si="38"/>
        <v>Not Required</v>
      </c>
      <c r="AF141" s="2" t="s">
        <v>664</v>
      </c>
    </row>
    <row r="142" spans="1:32" x14ac:dyDescent="0.3">
      <c r="A142" s="2" t="s">
        <v>665</v>
      </c>
      <c r="B142" s="2">
        <f t="shared" si="28"/>
        <v>1</v>
      </c>
      <c r="C142" s="12">
        <f t="shared" si="39"/>
        <v>46238.588818090277</v>
      </c>
      <c r="D142" s="13">
        <v>46238.588818090277</v>
      </c>
      <c r="E142" s="2" t="s">
        <v>666</v>
      </c>
      <c r="F142" s="2" t="str">
        <f t="shared" si="29"/>
        <v>Email Available</v>
      </c>
      <c r="G142" s="2" t="s">
        <v>667</v>
      </c>
      <c r="H142" s="2" t="s">
        <v>267</v>
      </c>
      <c r="I142" s="2" t="s">
        <v>22</v>
      </c>
      <c r="J142" s="2" t="s">
        <v>268</v>
      </c>
      <c r="K142" s="2">
        <v>1</v>
      </c>
      <c r="L142" s="2">
        <v>18.989999999999998</v>
      </c>
      <c r="M142" s="19">
        <f t="shared" si="30"/>
        <v>18.989999999999998</v>
      </c>
      <c r="N142" s="2"/>
      <c r="O142" s="2" t="str">
        <f t="shared" si="31"/>
        <v/>
      </c>
      <c r="P142" s="2">
        <v>0</v>
      </c>
      <c r="Q142" s="19">
        <f t="shared" si="32"/>
        <v>0</v>
      </c>
      <c r="R142" s="2" t="str">
        <f t="shared" si="33"/>
        <v>Number</v>
      </c>
      <c r="S142" s="2">
        <v>7.99</v>
      </c>
      <c r="T142" s="19">
        <f t="shared" si="34"/>
        <v>7.99</v>
      </c>
      <c r="U142" s="2">
        <v>26.98</v>
      </c>
      <c r="V142" s="19">
        <f t="shared" si="35"/>
        <v>26.98</v>
      </c>
      <c r="W142" s="19">
        <f t="shared" si="36"/>
        <v>26.979999999999997</v>
      </c>
      <c r="X142" s="19" t="str">
        <f t="shared" si="37"/>
        <v>True</v>
      </c>
      <c r="Y142" s="19" t="str">
        <f>IF(OR(W142&lt;'Cleaning Tasks'!$G$18,W142&gt;'Cleaning Tasks'!$H$18),"Outlier","Normal")</f>
        <v>Normal</v>
      </c>
      <c r="Z142" s="2" t="s">
        <v>66</v>
      </c>
      <c r="AA142" s="2" t="s">
        <v>88</v>
      </c>
      <c r="AB142" s="2" t="s">
        <v>41</v>
      </c>
      <c r="AC142" s="2" t="s">
        <v>223</v>
      </c>
      <c r="AD142" s="2"/>
      <c r="AE142" s="2" t="str">
        <f t="shared" si="38"/>
        <v>Not Required</v>
      </c>
      <c r="AF142" s="2" t="s">
        <v>668</v>
      </c>
    </row>
    <row r="143" spans="1:32" x14ac:dyDescent="0.3">
      <c r="A143" s="2" t="s">
        <v>669</v>
      </c>
      <c r="B143" s="2">
        <f t="shared" si="28"/>
        <v>1</v>
      </c>
      <c r="C143" s="12">
        <f t="shared" si="39"/>
        <v>46238.583369178239</v>
      </c>
      <c r="D143" s="13">
        <v>46238.583369178239</v>
      </c>
      <c r="E143" s="2"/>
      <c r="F143" s="2" t="str">
        <f t="shared" si="29"/>
        <v>Email Available</v>
      </c>
      <c r="G143" s="2" t="s">
        <v>670</v>
      </c>
      <c r="H143" s="2" t="s">
        <v>124</v>
      </c>
      <c r="I143" s="2" t="s">
        <v>79</v>
      </c>
      <c r="J143" s="2" t="s">
        <v>125</v>
      </c>
      <c r="K143" s="2">
        <v>2</v>
      </c>
      <c r="L143" s="2">
        <v>13.99</v>
      </c>
      <c r="M143" s="19">
        <f t="shared" si="30"/>
        <v>13.99</v>
      </c>
      <c r="N143" s="2" t="s">
        <v>38</v>
      </c>
      <c r="O143" s="2" t="str">
        <f t="shared" si="31"/>
        <v>FREESHIP</v>
      </c>
      <c r="P143" s="2">
        <v>0</v>
      </c>
      <c r="Q143" s="19">
        <f t="shared" si="32"/>
        <v>0</v>
      </c>
      <c r="R143" s="2" t="str">
        <f t="shared" si="33"/>
        <v>Number</v>
      </c>
      <c r="S143" s="2">
        <v>0</v>
      </c>
      <c r="T143" s="19">
        <f t="shared" si="34"/>
        <v>0</v>
      </c>
      <c r="U143" s="2">
        <v>27.98</v>
      </c>
      <c r="V143" s="19">
        <f t="shared" si="35"/>
        <v>27.98</v>
      </c>
      <c r="W143" s="19">
        <f t="shared" si="36"/>
        <v>27.98</v>
      </c>
      <c r="X143" s="19" t="str">
        <f t="shared" si="37"/>
        <v>True</v>
      </c>
      <c r="Y143" s="19" t="str">
        <f>IF(OR(W143&lt;'Cleaning Tasks'!$G$18,W143&gt;'Cleaning Tasks'!$H$18),"Outlier","Normal")</f>
        <v>Normal</v>
      </c>
      <c r="Z143" s="2" t="s">
        <v>49</v>
      </c>
      <c r="AA143" s="2" t="s">
        <v>111</v>
      </c>
      <c r="AB143" s="2" t="s">
        <v>50</v>
      </c>
      <c r="AC143" s="2" t="s">
        <v>29</v>
      </c>
      <c r="AD143" s="22" t="s">
        <v>140</v>
      </c>
      <c r="AE143" s="2" t="str">
        <f t="shared" si="38"/>
        <v>Valid</v>
      </c>
      <c r="AF143" s="2" t="s">
        <v>671</v>
      </c>
    </row>
    <row r="144" spans="1:32" x14ac:dyDescent="0.3">
      <c r="A144" s="2" t="s">
        <v>672</v>
      </c>
      <c r="B144" s="2">
        <f t="shared" si="28"/>
        <v>1</v>
      </c>
      <c r="C144" s="12">
        <f t="shared" si="39"/>
        <v>46238.587865949077</v>
      </c>
      <c r="D144" s="13">
        <v>46238.587865949077</v>
      </c>
      <c r="E144" s="2" t="s">
        <v>673</v>
      </c>
      <c r="F144" s="2" t="str">
        <f t="shared" si="29"/>
        <v>Email Available</v>
      </c>
      <c r="G144" s="2" t="s">
        <v>674</v>
      </c>
      <c r="H144" s="2" t="s">
        <v>102</v>
      </c>
      <c r="I144" s="2" t="s">
        <v>103</v>
      </c>
      <c r="J144" s="2" t="s">
        <v>104</v>
      </c>
      <c r="K144" s="2">
        <v>3</v>
      </c>
      <c r="L144" s="2">
        <v>19.989999999999998</v>
      </c>
      <c r="M144" s="19">
        <f t="shared" si="30"/>
        <v>19.989999999999998</v>
      </c>
      <c r="N144" s="2" t="s">
        <v>24</v>
      </c>
      <c r="O144" s="2" t="str">
        <f t="shared" si="31"/>
        <v>SAVE20</v>
      </c>
      <c r="P144" s="2">
        <v>11.99</v>
      </c>
      <c r="Q144" s="19">
        <f t="shared" si="32"/>
        <v>11.99</v>
      </c>
      <c r="R144" s="2" t="str">
        <f t="shared" si="33"/>
        <v>Number</v>
      </c>
      <c r="S144" s="2">
        <v>5.99</v>
      </c>
      <c r="T144" s="19">
        <f t="shared" si="34"/>
        <v>5.99</v>
      </c>
      <c r="U144" s="2">
        <v>53.97</v>
      </c>
      <c r="V144" s="19">
        <f t="shared" si="35"/>
        <v>53.97</v>
      </c>
      <c r="W144" s="19">
        <f t="shared" si="36"/>
        <v>53.97</v>
      </c>
      <c r="X144" s="19" t="str">
        <f t="shared" si="37"/>
        <v>True</v>
      </c>
      <c r="Y144" s="19" t="str">
        <f>IF(OR(W144&lt;'Cleaning Tasks'!$G$18,W144&gt;'Cleaning Tasks'!$H$18),"Outlier","Normal")</f>
        <v>Normal</v>
      </c>
      <c r="Z144" s="2" t="s">
        <v>39</v>
      </c>
      <c r="AA144" s="2" t="s">
        <v>27</v>
      </c>
      <c r="AB144" s="2" t="s">
        <v>50</v>
      </c>
      <c r="AC144" s="2" t="s">
        <v>73</v>
      </c>
      <c r="AD144" s="2"/>
      <c r="AE144" s="2" t="str">
        <f t="shared" si="38"/>
        <v>Not Required</v>
      </c>
      <c r="AF144" s="2" t="s">
        <v>675</v>
      </c>
    </row>
    <row r="145" spans="1:32" x14ac:dyDescent="0.3">
      <c r="A145" s="2" t="s">
        <v>676</v>
      </c>
      <c r="B145" s="2">
        <f t="shared" si="28"/>
        <v>1</v>
      </c>
      <c r="C145" s="12">
        <f t="shared" si="39"/>
        <v>46238.588466770831</v>
      </c>
      <c r="D145" s="13">
        <v>46238.588466770831</v>
      </c>
      <c r="E145" s="2" t="s">
        <v>677</v>
      </c>
      <c r="F145" s="2" t="str">
        <f t="shared" si="29"/>
        <v>Email Available</v>
      </c>
      <c r="G145" s="2" t="s">
        <v>478</v>
      </c>
      <c r="H145" s="2" t="s">
        <v>267</v>
      </c>
      <c r="I145" s="2" t="s">
        <v>22</v>
      </c>
      <c r="J145" s="2" t="s">
        <v>268</v>
      </c>
      <c r="K145" s="2">
        <v>1</v>
      </c>
      <c r="L145" s="2">
        <v>18.989999999999998</v>
      </c>
      <c r="M145" s="19">
        <f t="shared" si="30"/>
        <v>18.989999999999998</v>
      </c>
      <c r="N145" s="2"/>
      <c r="O145" s="2" t="str">
        <f t="shared" si="31"/>
        <v/>
      </c>
      <c r="P145" s="2">
        <v>0</v>
      </c>
      <c r="Q145" s="19">
        <f t="shared" si="32"/>
        <v>0</v>
      </c>
      <c r="R145" s="2" t="str">
        <f t="shared" si="33"/>
        <v>Number</v>
      </c>
      <c r="S145" s="2">
        <v>4.99</v>
      </c>
      <c r="T145" s="19">
        <f t="shared" si="34"/>
        <v>4.99</v>
      </c>
      <c r="U145" s="2">
        <v>23.98</v>
      </c>
      <c r="V145" s="19">
        <f t="shared" si="35"/>
        <v>23.98</v>
      </c>
      <c r="W145" s="19">
        <f t="shared" si="36"/>
        <v>23.979999999999997</v>
      </c>
      <c r="X145" s="19" t="str">
        <f t="shared" si="37"/>
        <v>True</v>
      </c>
      <c r="Y145" s="19" t="str">
        <f>IF(OR(W145&lt;'Cleaning Tasks'!$G$18,W145&gt;'Cleaning Tasks'!$H$18),"Outlier","Normal")</f>
        <v>Normal</v>
      </c>
      <c r="Z145" s="2" t="s">
        <v>39</v>
      </c>
      <c r="AA145" s="2" t="s">
        <v>27</v>
      </c>
      <c r="AB145" s="2" t="s">
        <v>28</v>
      </c>
      <c r="AC145" s="2" t="s">
        <v>29</v>
      </c>
      <c r="AD145" s="22" t="s">
        <v>140</v>
      </c>
      <c r="AE145" s="2" t="str">
        <f t="shared" si="38"/>
        <v>Valid</v>
      </c>
      <c r="AF145" s="2" t="s">
        <v>678</v>
      </c>
    </row>
    <row r="146" spans="1:32" x14ac:dyDescent="0.3">
      <c r="A146" s="2" t="s">
        <v>679</v>
      </c>
      <c r="B146" s="2">
        <f t="shared" si="28"/>
        <v>1</v>
      </c>
      <c r="C146" s="12">
        <f t="shared" si="39"/>
        <v>46238</v>
      </c>
      <c r="D146" s="13" t="s">
        <v>143</v>
      </c>
      <c r="E146" s="2" t="s">
        <v>283</v>
      </c>
      <c r="F146" s="2" t="str">
        <f t="shared" si="29"/>
        <v>Email Available</v>
      </c>
      <c r="G146" s="2" t="s">
        <v>284</v>
      </c>
      <c r="H146" s="2" t="s">
        <v>124</v>
      </c>
      <c r="I146" s="2" t="s">
        <v>79</v>
      </c>
      <c r="J146" s="2" t="s">
        <v>125</v>
      </c>
      <c r="K146" s="2">
        <v>1</v>
      </c>
      <c r="L146" s="2">
        <v>13.99</v>
      </c>
      <c r="M146" s="19">
        <f t="shared" si="30"/>
        <v>13.99</v>
      </c>
      <c r="N146" s="2" t="s">
        <v>24</v>
      </c>
      <c r="O146" s="2" t="str">
        <f t="shared" si="31"/>
        <v>SAVE20</v>
      </c>
      <c r="P146" s="2">
        <v>2.8</v>
      </c>
      <c r="Q146" s="19">
        <f t="shared" si="32"/>
        <v>2.8</v>
      </c>
      <c r="R146" s="2" t="str">
        <f t="shared" si="33"/>
        <v>Number</v>
      </c>
      <c r="S146" s="2">
        <v>7.99</v>
      </c>
      <c r="T146" s="19">
        <f t="shared" si="34"/>
        <v>7.99</v>
      </c>
      <c r="U146" s="2">
        <v>19.18</v>
      </c>
      <c r="V146" s="19">
        <f t="shared" si="35"/>
        <v>19.18</v>
      </c>
      <c r="W146" s="19">
        <f t="shared" si="36"/>
        <v>19.18</v>
      </c>
      <c r="X146" s="19" t="str">
        <f t="shared" si="37"/>
        <v>True</v>
      </c>
      <c r="Y146" s="19" t="str">
        <f>IF(OR(W146&lt;'Cleaning Tasks'!$G$18,W146&gt;'Cleaning Tasks'!$H$18),"Outlier","Normal")</f>
        <v>Normal</v>
      </c>
      <c r="Z146" s="2" t="s">
        <v>66</v>
      </c>
      <c r="AA146" s="2" t="s">
        <v>88</v>
      </c>
      <c r="AB146" s="2" t="s">
        <v>50</v>
      </c>
      <c r="AC146" s="2" t="s">
        <v>29</v>
      </c>
      <c r="AD146" s="2" t="s">
        <v>447</v>
      </c>
      <c r="AE146" s="2" t="str">
        <f t="shared" si="38"/>
        <v>Valid</v>
      </c>
      <c r="AF146" s="2" t="s">
        <v>680</v>
      </c>
    </row>
    <row r="147" spans="1:32" x14ac:dyDescent="0.3">
      <c r="A147" s="2" t="s">
        <v>681</v>
      </c>
      <c r="B147" s="2">
        <f t="shared" si="28"/>
        <v>1</v>
      </c>
      <c r="C147" s="12">
        <f t="shared" si="39"/>
        <v>46238.580562118063</v>
      </c>
      <c r="D147" s="13">
        <v>46238.580562118063</v>
      </c>
      <c r="E147" s="2" t="s">
        <v>366</v>
      </c>
      <c r="F147" s="2" t="str">
        <f t="shared" si="29"/>
        <v>Email Available</v>
      </c>
      <c r="G147" s="2" t="s">
        <v>367</v>
      </c>
      <c r="H147" s="2" t="s">
        <v>78</v>
      </c>
      <c r="I147" s="2" t="s">
        <v>79</v>
      </c>
      <c r="J147" s="2" t="s">
        <v>80</v>
      </c>
      <c r="K147" s="2">
        <v>1</v>
      </c>
      <c r="L147" s="2">
        <v>89.99</v>
      </c>
      <c r="M147" s="19">
        <f t="shared" si="30"/>
        <v>89.99</v>
      </c>
      <c r="N147" s="2" t="s">
        <v>65</v>
      </c>
      <c r="O147" s="2" t="str">
        <f t="shared" si="31"/>
        <v>WELCOME10</v>
      </c>
      <c r="P147" s="2">
        <v>9</v>
      </c>
      <c r="Q147" s="19">
        <f t="shared" si="32"/>
        <v>9</v>
      </c>
      <c r="R147" s="2" t="str">
        <f t="shared" si="33"/>
        <v>Number</v>
      </c>
      <c r="S147" s="2">
        <v>0</v>
      </c>
      <c r="T147" s="19">
        <f t="shared" si="34"/>
        <v>0</v>
      </c>
      <c r="U147" s="2">
        <v>80.989999999999995</v>
      </c>
      <c r="V147" s="19">
        <f t="shared" si="35"/>
        <v>80.989999999999995</v>
      </c>
      <c r="W147" s="19">
        <f t="shared" si="36"/>
        <v>80.989999999999995</v>
      </c>
      <c r="X147" s="19" t="str">
        <f t="shared" si="37"/>
        <v>True</v>
      </c>
      <c r="Y147" s="19" t="str">
        <f>IF(OR(W147&lt;'Cleaning Tasks'!$G$18,W147&gt;'Cleaning Tasks'!$H$18),"Outlier","Normal")</f>
        <v>Normal</v>
      </c>
      <c r="Z147" s="2" t="s">
        <v>49</v>
      </c>
      <c r="AA147" s="2" t="s">
        <v>111</v>
      </c>
      <c r="AB147" s="2" t="s">
        <v>50</v>
      </c>
      <c r="AC147" s="2" t="s">
        <v>331</v>
      </c>
      <c r="AD147" s="2"/>
      <c r="AE147" s="2" t="str">
        <f t="shared" si="38"/>
        <v>Not Required</v>
      </c>
      <c r="AF147" s="2" t="s">
        <v>682</v>
      </c>
    </row>
    <row r="148" spans="1:32" x14ac:dyDescent="0.3">
      <c r="A148" s="2" t="s">
        <v>683</v>
      </c>
      <c r="B148" s="2">
        <f t="shared" si="28"/>
        <v>1</v>
      </c>
      <c r="C148" s="12">
        <f t="shared" si="39"/>
        <v>46238.583484050927</v>
      </c>
      <c r="D148" s="13">
        <v>46238.583484050927</v>
      </c>
      <c r="E148" s="2" t="s">
        <v>673</v>
      </c>
      <c r="F148" s="2" t="str">
        <f t="shared" si="29"/>
        <v>Email Available</v>
      </c>
      <c r="G148" s="2" t="s">
        <v>674</v>
      </c>
      <c r="H148" s="2" t="s">
        <v>361</v>
      </c>
      <c r="I148" s="2" t="s">
        <v>86</v>
      </c>
      <c r="J148" s="2" t="s">
        <v>362</v>
      </c>
      <c r="K148" s="2">
        <v>1</v>
      </c>
      <c r="L148" s="2">
        <v>54.99</v>
      </c>
      <c r="M148" s="19">
        <f t="shared" si="30"/>
        <v>54.99</v>
      </c>
      <c r="N148" s="2"/>
      <c r="O148" s="2" t="str">
        <f t="shared" si="31"/>
        <v/>
      </c>
      <c r="P148" s="2">
        <v>0</v>
      </c>
      <c r="Q148" s="19">
        <f t="shared" si="32"/>
        <v>0</v>
      </c>
      <c r="R148" s="2" t="str">
        <f t="shared" si="33"/>
        <v>Number</v>
      </c>
      <c r="S148" s="2">
        <v>7.99</v>
      </c>
      <c r="T148" s="19">
        <f t="shared" si="34"/>
        <v>7.99</v>
      </c>
      <c r="U148" s="2">
        <v>62.98</v>
      </c>
      <c r="V148" s="19">
        <f t="shared" si="35"/>
        <v>62.98</v>
      </c>
      <c r="W148" s="19">
        <f t="shared" si="36"/>
        <v>62.980000000000004</v>
      </c>
      <c r="X148" s="19" t="str">
        <f t="shared" si="37"/>
        <v>True</v>
      </c>
      <c r="Y148" s="19" t="str">
        <f>IF(OR(W148&lt;'Cleaning Tasks'!$G$18,W148&gt;'Cleaning Tasks'!$H$18),"Outlier","Normal")</f>
        <v>Normal</v>
      </c>
      <c r="Z148" s="2" t="s">
        <v>72</v>
      </c>
      <c r="AA148" s="2" t="s">
        <v>111</v>
      </c>
      <c r="AB148" s="2" t="s">
        <v>50</v>
      </c>
      <c r="AC148" s="2" t="s">
        <v>73</v>
      </c>
      <c r="AD148" s="2"/>
      <c r="AE148" s="2" t="str">
        <f t="shared" si="38"/>
        <v>Not Required</v>
      </c>
      <c r="AF148" s="2" t="s">
        <v>684</v>
      </c>
    </row>
    <row r="149" spans="1:32" x14ac:dyDescent="0.3">
      <c r="A149" s="2" t="s">
        <v>685</v>
      </c>
      <c r="B149" s="2">
        <f t="shared" si="28"/>
        <v>1</v>
      </c>
      <c r="C149" s="12">
        <f t="shared" si="39"/>
        <v>46238.584703425928</v>
      </c>
      <c r="D149" s="13">
        <v>46238.584703425928</v>
      </c>
      <c r="E149" s="2" t="s">
        <v>686</v>
      </c>
      <c r="F149" s="2" t="str">
        <f t="shared" si="29"/>
        <v>Email Available</v>
      </c>
      <c r="G149" s="2" t="s">
        <v>687</v>
      </c>
      <c r="H149" s="2" t="s">
        <v>85</v>
      </c>
      <c r="I149" s="2" t="s">
        <v>86</v>
      </c>
      <c r="J149" s="2" t="s">
        <v>87</v>
      </c>
      <c r="K149" s="2">
        <v>1</v>
      </c>
      <c r="L149" s="2">
        <v>54.99</v>
      </c>
      <c r="M149" s="19">
        <f t="shared" si="30"/>
        <v>54.99</v>
      </c>
      <c r="N149" s="2" t="s">
        <v>65</v>
      </c>
      <c r="O149" s="2" t="str">
        <f t="shared" si="31"/>
        <v>WELCOME10</v>
      </c>
      <c r="P149" s="2">
        <v>5.5</v>
      </c>
      <c r="Q149" s="19">
        <f t="shared" si="32"/>
        <v>5.5</v>
      </c>
      <c r="R149" s="2" t="str">
        <f t="shared" si="33"/>
        <v>Number</v>
      </c>
      <c r="S149" s="2">
        <v>5.99</v>
      </c>
      <c r="T149" s="19">
        <f t="shared" si="34"/>
        <v>5.99</v>
      </c>
      <c r="U149" s="2">
        <v>55.48</v>
      </c>
      <c r="V149" s="19">
        <f t="shared" si="35"/>
        <v>55.48</v>
      </c>
      <c r="W149" s="19">
        <f t="shared" si="36"/>
        <v>55.480000000000004</v>
      </c>
      <c r="X149" s="19" t="str">
        <f t="shared" si="37"/>
        <v>True</v>
      </c>
      <c r="Y149" s="19" t="str">
        <f>IF(OR(W149&lt;'Cleaning Tasks'!$G$18,W149&gt;'Cleaning Tasks'!$H$18),"Outlier","Normal")</f>
        <v>Normal</v>
      </c>
      <c r="Z149" s="2" t="s">
        <v>39</v>
      </c>
      <c r="AA149" s="2" t="s">
        <v>40</v>
      </c>
      <c r="AB149" s="2" t="s">
        <v>50</v>
      </c>
      <c r="AC149" s="2" t="s">
        <v>29</v>
      </c>
      <c r="AD149" s="22" t="s">
        <v>243</v>
      </c>
      <c r="AE149" s="2" t="str">
        <f t="shared" si="38"/>
        <v>Valid</v>
      </c>
      <c r="AF149" s="2" t="s">
        <v>688</v>
      </c>
    </row>
    <row r="150" spans="1:32" x14ac:dyDescent="0.3">
      <c r="A150" s="2" t="s">
        <v>689</v>
      </c>
      <c r="B150" s="2">
        <f t="shared" si="28"/>
        <v>1</v>
      </c>
      <c r="C150" s="12">
        <f t="shared" si="39"/>
        <v>46238.579050925917</v>
      </c>
      <c r="D150" s="13">
        <v>46238.579050925917</v>
      </c>
      <c r="E150" s="2" t="s">
        <v>690</v>
      </c>
      <c r="F150" s="2" t="str">
        <f t="shared" si="29"/>
        <v>Email Available</v>
      </c>
      <c r="G150" s="2" t="s">
        <v>691</v>
      </c>
      <c r="H150" s="2" t="s">
        <v>63</v>
      </c>
      <c r="I150" s="2" t="s">
        <v>47</v>
      </c>
      <c r="J150" s="2" t="s">
        <v>64</v>
      </c>
      <c r="K150" s="2">
        <v>1</v>
      </c>
      <c r="L150" s="2">
        <v>14.99</v>
      </c>
      <c r="M150" s="19">
        <f t="shared" si="30"/>
        <v>14.99</v>
      </c>
      <c r="N150" s="2" t="s">
        <v>118</v>
      </c>
      <c r="O150" s="2" t="str">
        <f t="shared" si="31"/>
        <v>BFCM25</v>
      </c>
      <c r="P150" s="2">
        <v>3.75</v>
      </c>
      <c r="Q150" s="19">
        <f t="shared" si="32"/>
        <v>3.75</v>
      </c>
      <c r="R150" s="2" t="str">
        <f t="shared" si="33"/>
        <v>Number</v>
      </c>
      <c r="S150" s="2">
        <v>5.99</v>
      </c>
      <c r="T150" s="19">
        <f t="shared" si="34"/>
        <v>5.99</v>
      </c>
      <c r="U150" s="2">
        <v>17.23</v>
      </c>
      <c r="V150" s="19">
        <f t="shared" si="35"/>
        <v>17.23</v>
      </c>
      <c r="W150" s="19">
        <f t="shared" si="36"/>
        <v>17.23</v>
      </c>
      <c r="X150" s="19" t="str">
        <f t="shared" si="37"/>
        <v>True</v>
      </c>
      <c r="Y150" s="19" t="str">
        <f>IF(OR(W150&lt;'Cleaning Tasks'!$G$18,W150&gt;'Cleaning Tasks'!$H$18),"Outlier","Normal")</f>
        <v>Normal</v>
      </c>
      <c r="Z150" s="2" t="s">
        <v>66</v>
      </c>
      <c r="AA150" s="2" t="s">
        <v>111</v>
      </c>
      <c r="AB150" s="2" t="s">
        <v>50</v>
      </c>
      <c r="AC150" s="2" t="s">
        <v>29</v>
      </c>
      <c r="AD150" s="2" t="s">
        <v>67</v>
      </c>
      <c r="AE150" s="2" t="str">
        <f t="shared" si="38"/>
        <v>Valid</v>
      </c>
      <c r="AF150" s="2" t="s">
        <v>692</v>
      </c>
    </row>
    <row r="151" spans="1:32" x14ac:dyDescent="0.3">
      <c r="A151" s="2" t="s">
        <v>693</v>
      </c>
      <c r="B151" s="2">
        <f t="shared" si="28"/>
        <v>1</v>
      </c>
      <c r="C151" s="12">
        <f t="shared" si="39"/>
        <v>46238.584710277777</v>
      </c>
      <c r="D151" s="13">
        <v>46238.584710277777</v>
      </c>
      <c r="E151" s="2" t="s">
        <v>366</v>
      </c>
      <c r="F151" s="2" t="str">
        <f t="shared" si="29"/>
        <v>Email Available</v>
      </c>
      <c r="G151" s="2" t="s">
        <v>367</v>
      </c>
      <c r="H151" s="2" t="s">
        <v>85</v>
      </c>
      <c r="I151" s="2" t="s">
        <v>86</v>
      </c>
      <c r="J151" s="2" t="s">
        <v>87</v>
      </c>
      <c r="K151" s="2">
        <v>1</v>
      </c>
      <c r="L151" s="2">
        <v>54.99</v>
      </c>
      <c r="M151" s="19">
        <f t="shared" si="30"/>
        <v>54.99</v>
      </c>
      <c r="N151" s="2" t="s">
        <v>118</v>
      </c>
      <c r="O151" s="2" t="str">
        <f t="shared" si="31"/>
        <v>BFCM25</v>
      </c>
      <c r="P151" s="2">
        <v>13.75</v>
      </c>
      <c r="Q151" s="19">
        <f t="shared" si="32"/>
        <v>13.75</v>
      </c>
      <c r="R151" s="2" t="str">
        <f t="shared" si="33"/>
        <v>Number</v>
      </c>
      <c r="S151" s="2">
        <v>7.99</v>
      </c>
      <c r="T151" s="19">
        <f t="shared" si="34"/>
        <v>7.99</v>
      </c>
      <c r="U151" s="2">
        <v>49.23</v>
      </c>
      <c r="V151" s="19">
        <f t="shared" si="35"/>
        <v>49.23</v>
      </c>
      <c r="W151" s="19">
        <f t="shared" si="36"/>
        <v>49.230000000000004</v>
      </c>
      <c r="X151" s="19" t="str">
        <f t="shared" si="37"/>
        <v>True</v>
      </c>
      <c r="Y151" s="19" t="str">
        <f>IF(OR(W151&lt;'Cleaning Tasks'!$G$18,W151&gt;'Cleaning Tasks'!$H$18),"Outlier","Normal")</f>
        <v>Normal</v>
      </c>
      <c r="Z151" s="2" t="s">
        <v>49</v>
      </c>
      <c r="AA151" s="2" t="s">
        <v>27</v>
      </c>
      <c r="AB151" s="2" t="s">
        <v>41</v>
      </c>
      <c r="AC151" s="2" t="s">
        <v>331</v>
      </c>
      <c r="AD151" s="2"/>
      <c r="AE151" s="2" t="str">
        <f t="shared" si="38"/>
        <v>Not Required</v>
      </c>
      <c r="AF151" s="2" t="s">
        <v>694</v>
      </c>
    </row>
    <row r="152" spans="1:32" x14ac:dyDescent="0.3">
      <c r="A152" s="2" t="s">
        <v>695</v>
      </c>
      <c r="B152" s="2">
        <f t="shared" si="28"/>
        <v>1</v>
      </c>
      <c r="C152" s="12">
        <f t="shared" si="39"/>
        <v>46238.583014282412</v>
      </c>
      <c r="D152" s="13">
        <v>46238.583014282412</v>
      </c>
      <c r="E152" s="2" t="s">
        <v>188</v>
      </c>
      <c r="F152" s="2" t="str">
        <f t="shared" si="29"/>
        <v>Email Available</v>
      </c>
      <c r="G152" s="2" t="s">
        <v>189</v>
      </c>
      <c r="H152" s="2" t="s">
        <v>102</v>
      </c>
      <c r="I152" s="2" t="s">
        <v>103</v>
      </c>
      <c r="J152" s="2" t="s">
        <v>104</v>
      </c>
      <c r="K152" s="2">
        <v>1</v>
      </c>
      <c r="L152" s="2">
        <v>19.989999999999998</v>
      </c>
      <c r="M152" s="19">
        <f t="shared" si="30"/>
        <v>19.989999999999998</v>
      </c>
      <c r="N152" s="2" t="s">
        <v>38</v>
      </c>
      <c r="O152" s="2" t="str">
        <f t="shared" si="31"/>
        <v>FREESHIP</v>
      </c>
      <c r="P152" s="2">
        <v>0</v>
      </c>
      <c r="Q152" s="19">
        <f t="shared" si="32"/>
        <v>0</v>
      </c>
      <c r="R152" s="2" t="str">
        <f t="shared" si="33"/>
        <v>Number</v>
      </c>
      <c r="S152" s="2">
        <v>0</v>
      </c>
      <c r="T152" s="19">
        <f t="shared" si="34"/>
        <v>0</v>
      </c>
      <c r="U152" s="2">
        <v>19.989999999999998</v>
      </c>
      <c r="V152" s="19">
        <f t="shared" si="35"/>
        <v>19.989999999999998</v>
      </c>
      <c r="W152" s="19">
        <f t="shared" si="36"/>
        <v>19.989999999999998</v>
      </c>
      <c r="X152" s="19" t="str">
        <f t="shared" si="37"/>
        <v>True</v>
      </c>
      <c r="Y152" s="19" t="str">
        <f>IF(OR(W152&lt;'Cleaning Tasks'!$G$18,W152&gt;'Cleaning Tasks'!$H$18),"Outlier","Normal")</f>
        <v>Normal</v>
      </c>
      <c r="Z152" s="2" t="s">
        <v>72</v>
      </c>
      <c r="AA152" s="2" t="s">
        <v>27</v>
      </c>
      <c r="AB152" s="2" t="s">
        <v>96</v>
      </c>
      <c r="AC152" s="2" t="s">
        <v>29</v>
      </c>
      <c r="AD152" s="2" t="s">
        <v>243</v>
      </c>
      <c r="AE152" s="2" t="str">
        <f t="shared" si="38"/>
        <v>Valid</v>
      </c>
      <c r="AF152" s="2" t="s">
        <v>696</v>
      </c>
    </row>
    <row r="153" spans="1:32" x14ac:dyDescent="0.3">
      <c r="A153" s="2" t="s">
        <v>697</v>
      </c>
      <c r="B153" s="2">
        <f t="shared" si="28"/>
        <v>1</v>
      </c>
      <c r="C153" s="12">
        <f t="shared" si="39"/>
        <v>46238.587592488417</v>
      </c>
      <c r="D153" s="13">
        <v>46238.587592488417</v>
      </c>
      <c r="E153" s="2" t="s">
        <v>698</v>
      </c>
      <c r="F153" s="2" t="str">
        <f t="shared" si="29"/>
        <v>Email Available</v>
      </c>
      <c r="G153" s="2" t="s">
        <v>699</v>
      </c>
      <c r="H153" s="2" t="s">
        <v>221</v>
      </c>
      <c r="I153" s="2" t="s">
        <v>22</v>
      </c>
      <c r="J153" s="2" t="s">
        <v>222</v>
      </c>
      <c r="K153" s="2">
        <v>1</v>
      </c>
      <c r="L153" s="2" t="s">
        <v>700</v>
      </c>
      <c r="M153" s="19">
        <f t="shared" si="30"/>
        <v>17.989999999999998</v>
      </c>
      <c r="N153" s="2" t="s">
        <v>65</v>
      </c>
      <c r="O153" s="2" t="str">
        <f t="shared" si="31"/>
        <v>WELCOME10</v>
      </c>
      <c r="P153" s="2">
        <v>1.8</v>
      </c>
      <c r="Q153" s="19">
        <f t="shared" si="32"/>
        <v>1.8</v>
      </c>
      <c r="R153" s="2" t="str">
        <f t="shared" si="33"/>
        <v>Number</v>
      </c>
      <c r="S153" s="2">
        <v>4.99</v>
      </c>
      <c r="T153" s="19">
        <f t="shared" si="34"/>
        <v>4.99</v>
      </c>
      <c r="U153" s="2">
        <v>21.18</v>
      </c>
      <c r="V153" s="19">
        <f t="shared" si="35"/>
        <v>21.18</v>
      </c>
      <c r="W153" s="19">
        <f t="shared" si="36"/>
        <v>21.18</v>
      </c>
      <c r="X153" s="19" t="str">
        <f t="shared" si="37"/>
        <v>True</v>
      </c>
      <c r="Y153" s="19" t="str">
        <f>IF(OR(W153&lt;'Cleaning Tasks'!$G$18,W153&gt;'Cleaning Tasks'!$H$18),"Outlier","Normal")</f>
        <v>Normal</v>
      </c>
      <c r="Z153" s="2" t="s">
        <v>49</v>
      </c>
      <c r="AA153" s="2" t="s">
        <v>40</v>
      </c>
      <c r="AB153" s="2" t="s">
        <v>41</v>
      </c>
      <c r="AC153" s="2" t="s">
        <v>29</v>
      </c>
      <c r="AD153" s="2" t="s">
        <v>51</v>
      </c>
      <c r="AE153" s="2" t="str">
        <f t="shared" si="38"/>
        <v>Valid</v>
      </c>
      <c r="AF153" s="2" t="s">
        <v>701</v>
      </c>
    </row>
    <row r="154" spans="1:32" x14ac:dyDescent="0.3">
      <c r="A154" s="2" t="s">
        <v>702</v>
      </c>
      <c r="B154" s="2">
        <f t="shared" si="28"/>
        <v>1</v>
      </c>
      <c r="C154" s="12">
        <f t="shared" si="39"/>
        <v>46238.585858495368</v>
      </c>
      <c r="D154" s="13">
        <v>46238.585858495368</v>
      </c>
      <c r="E154" s="2" t="s">
        <v>557</v>
      </c>
      <c r="F154" s="2" t="str">
        <f t="shared" si="29"/>
        <v>Email Available</v>
      </c>
      <c r="G154" s="2" t="s">
        <v>558</v>
      </c>
      <c r="H154" s="2" t="s">
        <v>46</v>
      </c>
      <c r="I154" s="2" t="s">
        <v>47</v>
      </c>
      <c r="J154" s="2" t="s">
        <v>48</v>
      </c>
      <c r="K154" s="2">
        <v>1</v>
      </c>
      <c r="L154" s="2">
        <v>39.99</v>
      </c>
      <c r="M154" s="19">
        <f t="shared" si="30"/>
        <v>39.99</v>
      </c>
      <c r="N154" s="2" t="s">
        <v>203</v>
      </c>
      <c r="O154" s="2" t="str">
        <f t="shared" si="31"/>
        <v>VIP15</v>
      </c>
      <c r="P154" s="2">
        <v>6</v>
      </c>
      <c r="Q154" s="19">
        <f t="shared" si="32"/>
        <v>6</v>
      </c>
      <c r="R154" s="2" t="str">
        <f t="shared" si="33"/>
        <v>Number</v>
      </c>
      <c r="S154" s="2">
        <v>7.99</v>
      </c>
      <c r="T154" s="19">
        <f t="shared" si="34"/>
        <v>7.99</v>
      </c>
      <c r="U154" s="2">
        <v>41.98</v>
      </c>
      <c r="V154" s="19">
        <f t="shared" si="35"/>
        <v>41.98</v>
      </c>
      <c r="W154" s="19">
        <f t="shared" si="36"/>
        <v>41.980000000000004</v>
      </c>
      <c r="X154" s="19" t="str">
        <f t="shared" si="37"/>
        <v>True</v>
      </c>
      <c r="Y154" s="19" t="str">
        <f>IF(OR(W154&lt;'Cleaning Tasks'!$G$18,W154&gt;'Cleaning Tasks'!$H$18),"Outlier","Normal")</f>
        <v>Normal</v>
      </c>
      <c r="Z154" s="2" t="s">
        <v>39</v>
      </c>
      <c r="AA154" s="2" t="s">
        <v>27</v>
      </c>
      <c r="AB154" s="2" t="s">
        <v>96</v>
      </c>
      <c r="AC154" s="2" t="s">
        <v>42</v>
      </c>
      <c r="AD154" s="2"/>
      <c r="AE154" s="2" t="str">
        <f t="shared" si="38"/>
        <v>Not Required</v>
      </c>
      <c r="AF154" s="2" t="s">
        <v>703</v>
      </c>
    </row>
    <row r="155" spans="1:32" x14ac:dyDescent="0.3">
      <c r="A155" s="2" t="s">
        <v>704</v>
      </c>
      <c r="B155" s="2">
        <f t="shared" si="28"/>
        <v>1</v>
      </c>
      <c r="C155" s="12">
        <f t="shared" si="39"/>
        <v>46238.580098969913</v>
      </c>
      <c r="D155" s="13">
        <v>46238.580098969913</v>
      </c>
      <c r="E155" s="2" t="s">
        <v>705</v>
      </c>
      <c r="F155" s="2" t="str">
        <f t="shared" si="29"/>
        <v>Email Available</v>
      </c>
      <c r="G155" s="2" t="s">
        <v>706</v>
      </c>
      <c r="H155" s="2" t="s">
        <v>221</v>
      </c>
      <c r="I155" s="2" t="s">
        <v>22</v>
      </c>
      <c r="J155" s="2" t="s">
        <v>222</v>
      </c>
      <c r="K155" s="2">
        <v>1</v>
      </c>
      <c r="L155" s="2">
        <v>17.989999999999998</v>
      </c>
      <c r="M155" s="19">
        <f t="shared" si="30"/>
        <v>17.989999999999998</v>
      </c>
      <c r="N155" s="2" t="s">
        <v>24</v>
      </c>
      <c r="O155" s="2" t="str">
        <f t="shared" si="31"/>
        <v>SAVE20</v>
      </c>
      <c r="P155" s="2" t="s">
        <v>707</v>
      </c>
      <c r="Q155" s="19">
        <f t="shared" si="32"/>
        <v>3.6</v>
      </c>
      <c r="R155" s="2" t="str">
        <f t="shared" si="33"/>
        <v>Number</v>
      </c>
      <c r="S155" s="2">
        <v>5.99</v>
      </c>
      <c r="T155" s="19">
        <f t="shared" si="34"/>
        <v>5.99</v>
      </c>
      <c r="U155" s="2">
        <v>20.38</v>
      </c>
      <c r="V155" s="19">
        <f t="shared" si="35"/>
        <v>20.38</v>
      </c>
      <c r="W155" s="19">
        <f t="shared" si="36"/>
        <v>20.38</v>
      </c>
      <c r="X155" s="19" t="str">
        <f t="shared" si="37"/>
        <v>True</v>
      </c>
      <c r="Y155" s="19" t="str">
        <f>IF(OR(W155&lt;'Cleaning Tasks'!$G$18,W155&gt;'Cleaning Tasks'!$H$18),"Outlier","Normal")</f>
        <v>Normal</v>
      </c>
      <c r="Z155" s="2" t="s">
        <v>26</v>
      </c>
      <c r="AA155" s="2" t="s">
        <v>88</v>
      </c>
      <c r="AB155" s="2" t="s">
        <v>28</v>
      </c>
      <c r="AC155" s="2" t="s">
        <v>331</v>
      </c>
      <c r="AD155" s="2"/>
      <c r="AE155" s="2" t="str">
        <f t="shared" si="38"/>
        <v>Not Required</v>
      </c>
      <c r="AF155" s="2" t="s">
        <v>708</v>
      </c>
    </row>
    <row r="156" spans="1:32" x14ac:dyDescent="0.3">
      <c r="A156" s="2" t="s">
        <v>709</v>
      </c>
      <c r="B156" s="2">
        <f t="shared" si="28"/>
        <v>1</v>
      </c>
      <c r="C156" s="12">
        <f t="shared" si="39"/>
        <v>46238.583874305557</v>
      </c>
      <c r="D156" s="13">
        <v>46238.583874305557</v>
      </c>
      <c r="E156" s="2" t="s">
        <v>710</v>
      </c>
      <c r="F156" s="2" t="str">
        <f t="shared" si="29"/>
        <v>Email Available</v>
      </c>
      <c r="G156" s="2" t="s">
        <v>711</v>
      </c>
      <c r="H156" s="2" t="s">
        <v>63</v>
      </c>
      <c r="I156" s="2" t="s">
        <v>47</v>
      </c>
      <c r="J156" s="2" t="s">
        <v>64</v>
      </c>
      <c r="K156" s="2">
        <v>2</v>
      </c>
      <c r="L156" s="2">
        <v>14.99</v>
      </c>
      <c r="M156" s="19">
        <f t="shared" si="30"/>
        <v>14.99</v>
      </c>
      <c r="N156" s="2"/>
      <c r="O156" s="2" t="str">
        <f t="shared" si="31"/>
        <v/>
      </c>
      <c r="P156" s="2">
        <v>0</v>
      </c>
      <c r="Q156" s="19">
        <f t="shared" si="32"/>
        <v>0</v>
      </c>
      <c r="R156" s="2" t="str">
        <f t="shared" si="33"/>
        <v>Number</v>
      </c>
      <c r="S156" s="2">
        <v>4.99</v>
      </c>
      <c r="T156" s="19">
        <f t="shared" si="34"/>
        <v>4.99</v>
      </c>
      <c r="U156" s="2">
        <v>34.97</v>
      </c>
      <c r="V156" s="19">
        <f t="shared" si="35"/>
        <v>34.97</v>
      </c>
      <c r="W156" s="19">
        <f t="shared" si="36"/>
        <v>34.97</v>
      </c>
      <c r="X156" s="19" t="str">
        <f t="shared" si="37"/>
        <v>True</v>
      </c>
      <c r="Y156" s="19" t="str">
        <f>IF(OR(W156&lt;'Cleaning Tasks'!$G$18,W156&gt;'Cleaning Tasks'!$H$18),"Outlier","Normal")</f>
        <v>Normal</v>
      </c>
      <c r="Z156" s="2" t="s">
        <v>72</v>
      </c>
      <c r="AA156" s="2" t="s">
        <v>40</v>
      </c>
      <c r="AB156" s="2" t="s">
        <v>50</v>
      </c>
      <c r="AC156" s="2" t="s">
        <v>29</v>
      </c>
      <c r="AD156" s="2" t="s">
        <v>51</v>
      </c>
      <c r="AE156" s="2" t="str">
        <f t="shared" si="38"/>
        <v>Valid</v>
      </c>
      <c r="AF156" s="2" t="s">
        <v>712</v>
      </c>
    </row>
    <row r="157" spans="1:32" x14ac:dyDescent="0.3">
      <c r="A157" s="2" t="s">
        <v>713</v>
      </c>
      <c r="B157" s="2">
        <f t="shared" si="28"/>
        <v>1</v>
      </c>
      <c r="C157" s="12">
        <f t="shared" si="39"/>
        <v>46238</v>
      </c>
      <c r="D157" s="13" t="s">
        <v>714</v>
      </c>
      <c r="E157" s="2" t="s">
        <v>715</v>
      </c>
      <c r="F157" s="2" t="str">
        <f t="shared" si="29"/>
        <v>Email Available</v>
      </c>
      <c r="G157" s="2" t="s">
        <v>716</v>
      </c>
      <c r="H157" s="2" t="s">
        <v>182</v>
      </c>
      <c r="I157" s="2" t="s">
        <v>36</v>
      </c>
      <c r="J157" s="2" t="s">
        <v>183</v>
      </c>
      <c r="K157" s="2">
        <v>1</v>
      </c>
      <c r="L157" s="2">
        <v>11.99</v>
      </c>
      <c r="M157" s="19">
        <f t="shared" si="30"/>
        <v>11.99</v>
      </c>
      <c r="N157" s="2"/>
      <c r="O157" s="2" t="str">
        <f t="shared" si="31"/>
        <v/>
      </c>
      <c r="P157" s="2">
        <v>0</v>
      </c>
      <c r="Q157" s="19">
        <f t="shared" si="32"/>
        <v>0</v>
      </c>
      <c r="R157" s="2" t="str">
        <f t="shared" si="33"/>
        <v>Number</v>
      </c>
      <c r="S157" s="2">
        <v>5.99</v>
      </c>
      <c r="T157" s="19">
        <f t="shared" si="34"/>
        <v>5.99</v>
      </c>
      <c r="U157" s="2">
        <v>17.98</v>
      </c>
      <c r="V157" s="19">
        <f t="shared" si="35"/>
        <v>17.98</v>
      </c>
      <c r="W157" s="19">
        <f t="shared" si="36"/>
        <v>17.98</v>
      </c>
      <c r="X157" s="19" t="str">
        <f t="shared" si="37"/>
        <v>True</v>
      </c>
      <c r="Y157" s="19" t="str">
        <f>IF(OR(W157&lt;'Cleaning Tasks'!$G$18,W157&gt;'Cleaning Tasks'!$H$18),"Outlier","Normal")</f>
        <v>Normal</v>
      </c>
      <c r="Z157" s="2" t="s">
        <v>26</v>
      </c>
      <c r="AA157" s="2" t="s">
        <v>111</v>
      </c>
      <c r="AB157" s="2" t="s">
        <v>50</v>
      </c>
      <c r="AC157" s="2" t="s">
        <v>29</v>
      </c>
      <c r="AD157" s="2" t="s">
        <v>341</v>
      </c>
      <c r="AE157" s="2" t="str">
        <f t="shared" si="38"/>
        <v>Valid</v>
      </c>
      <c r="AF157" s="2" t="s">
        <v>717</v>
      </c>
    </row>
    <row r="158" spans="1:32" x14ac:dyDescent="0.3">
      <c r="A158" s="2" t="s">
        <v>718</v>
      </c>
      <c r="B158" s="2">
        <f t="shared" si="28"/>
        <v>1</v>
      </c>
      <c r="C158" s="12">
        <f t="shared" si="39"/>
        <v>46238.588586979167</v>
      </c>
      <c r="D158" s="13">
        <v>46238.588586979167</v>
      </c>
      <c r="E158" s="2" t="s">
        <v>643</v>
      </c>
      <c r="F158" s="2" t="str">
        <f t="shared" si="29"/>
        <v>Email Available</v>
      </c>
      <c r="G158" s="2" t="s">
        <v>644</v>
      </c>
      <c r="H158" s="2" t="s">
        <v>182</v>
      </c>
      <c r="I158" s="2" t="s">
        <v>36</v>
      </c>
      <c r="J158" s="2" t="s">
        <v>183</v>
      </c>
      <c r="K158" s="2">
        <v>1</v>
      </c>
      <c r="L158" s="2" t="s">
        <v>402</v>
      </c>
      <c r="M158" s="19">
        <f t="shared" si="30"/>
        <v>11.99</v>
      </c>
      <c r="N158" s="2"/>
      <c r="O158" s="2" t="str">
        <f t="shared" si="31"/>
        <v/>
      </c>
      <c r="P158" s="2">
        <v>0</v>
      </c>
      <c r="Q158" s="19">
        <f t="shared" si="32"/>
        <v>0</v>
      </c>
      <c r="R158" s="2" t="str">
        <f t="shared" si="33"/>
        <v>Number</v>
      </c>
      <c r="S158" s="2">
        <v>5.99</v>
      </c>
      <c r="T158" s="19">
        <f t="shared" si="34"/>
        <v>5.99</v>
      </c>
      <c r="U158" s="2">
        <v>17.98</v>
      </c>
      <c r="V158" s="19">
        <f t="shared" si="35"/>
        <v>17.98</v>
      </c>
      <c r="W158" s="19">
        <f t="shared" si="36"/>
        <v>17.98</v>
      </c>
      <c r="X158" s="19" t="str">
        <f t="shared" si="37"/>
        <v>True</v>
      </c>
      <c r="Y158" s="19" t="str">
        <f>IF(OR(W158&lt;'Cleaning Tasks'!$G$18,W158&gt;'Cleaning Tasks'!$H$18),"Outlier","Normal")</f>
        <v>Normal</v>
      </c>
      <c r="Z158" s="2" t="s">
        <v>66</v>
      </c>
      <c r="AA158" s="2" t="s">
        <v>27</v>
      </c>
      <c r="AB158" s="2" t="s">
        <v>96</v>
      </c>
      <c r="AC158" s="2" t="s">
        <v>29</v>
      </c>
      <c r="AD158" s="2" t="s">
        <v>58</v>
      </c>
      <c r="AE158" s="2" t="str">
        <f t="shared" si="38"/>
        <v>Valid</v>
      </c>
      <c r="AF158" s="2" t="s">
        <v>719</v>
      </c>
    </row>
    <row r="159" spans="1:32" x14ac:dyDescent="0.3">
      <c r="A159" s="2" t="s">
        <v>720</v>
      </c>
      <c r="B159" s="2">
        <f t="shared" si="28"/>
        <v>1</v>
      </c>
      <c r="C159" s="12">
        <f t="shared" si="39"/>
        <v>46238.583655208327</v>
      </c>
      <c r="D159" s="13">
        <v>46238.583655208327</v>
      </c>
      <c r="E159" s="2" t="s">
        <v>654</v>
      </c>
      <c r="F159" s="2" t="str">
        <f t="shared" si="29"/>
        <v>Missing Email</v>
      </c>
      <c r="G159" s="2"/>
      <c r="H159" s="2" t="s">
        <v>361</v>
      </c>
      <c r="I159" s="2" t="s">
        <v>86</v>
      </c>
      <c r="J159" s="2" t="s">
        <v>362</v>
      </c>
      <c r="K159" s="2">
        <v>1</v>
      </c>
      <c r="L159" s="2">
        <v>54.99</v>
      </c>
      <c r="M159" s="19">
        <f t="shared" si="30"/>
        <v>54.99</v>
      </c>
      <c r="N159" s="2"/>
      <c r="O159" s="2" t="str">
        <f t="shared" si="31"/>
        <v/>
      </c>
      <c r="P159" s="2">
        <v>0</v>
      </c>
      <c r="Q159" s="19">
        <f t="shared" si="32"/>
        <v>0</v>
      </c>
      <c r="R159" s="2" t="str">
        <f t="shared" si="33"/>
        <v>Number</v>
      </c>
      <c r="S159" s="2">
        <v>7.99</v>
      </c>
      <c r="T159" s="19">
        <f t="shared" si="34"/>
        <v>7.99</v>
      </c>
      <c r="U159" s="2">
        <v>62.98</v>
      </c>
      <c r="V159" s="19">
        <f t="shared" si="35"/>
        <v>62.98</v>
      </c>
      <c r="W159" s="19">
        <f t="shared" si="36"/>
        <v>62.980000000000004</v>
      </c>
      <c r="X159" s="19" t="str">
        <f t="shared" si="37"/>
        <v>True</v>
      </c>
      <c r="Y159" s="19" t="str">
        <f>IF(OR(W159&lt;'Cleaning Tasks'!$G$18,W159&gt;'Cleaning Tasks'!$H$18),"Outlier","Normal")</f>
        <v>Normal</v>
      </c>
      <c r="Z159" s="2" t="s">
        <v>49</v>
      </c>
      <c r="AA159" s="2" t="s">
        <v>27</v>
      </c>
      <c r="AB159" s="2" t="s">
        <v>50</v>
      </c>
      <c r="AC159" s="2" t="s">
        <v>29</v>
      </c>
      <c r="AD159" s="2" t="s">
        <v>67</v>
      </c>
      <c r="AE159" s="2" t="str">
        <f t="shared" si="38"/>
        <v>Valid</v>
      </c>
      <c r="AF159" s="2" t="s">
        <v>721</v>
      </c>
    </row>
    <row r="160" spans="1:32" x14ac:dyDescent="0.3">
      <c r="A160" s="2" t="s">
        <v>722</v>
      </c>
      <c r="B160" s="2">
        <f t="shared" si="28"/>
        <v>1</v>
      </c>
      <c r="C160" s="12">
        <f t="shared" si="39"/>
        <v>46238.579972754633</v>
      </c>
      <c r="D160" s="13">
        <v>46238.579972754633</v>
      </c>
      <c r="E160" s="2" t="s">
        <v>643</v>
      </c>
      <c r="F160" s="2" t="str">
        <f t="shared" si="29"/>
        <v>Email Available</v>
      </c>
      <c r="G160" s="2" t="s">
        <v>644</v>
      </c>
      <c r="H160" s="2" t="s">
        <v>78</v>
      </c>
      <c r="I160" s="2" t="s">
        <v>79</v>
      </c>
      <c r="J160" s="2" t="s">
        <v>80</v>
      </c>
      <c r="K160" s="2">
        <v>1</v>
      </c>
      <c r="L160" s="2">
        <v>89.99</v>
      </c>
      <c r="M160" s="19">
        <f t="shared" si="30"/>
        <v>89.99</v>
      </c>
      <c r="N160" s="2"/>
      <c r="O160" s="2" t="str">
        <f t="shared" si="31"/>
        <v/>
      </c>
      <c r="P160" s="2">
        <v>0</v>
      </c>
      <c r="Q160" s="19">
        <f t="shared" si="32"/>
        <v>0</v>
      </c>
      <c r="R160" s="2" t="str">
        <f t="shared" si="33"/>
        <v>Number</v>
      </c>
      <c r="S160" s="2">
        <v>0</v>
      </c>
      <c r="T160" s="19">
        <f t="shared" si="34"/>
        <v>0</v>
      </c>
      <c r="U160" s="2">
        <v>89.99</v>
      </c>
      <c r="V160" s="19">
        <f t="shared" si="35"/>
        <v>89.99</v>
      </c>
      <c r="W160" s="19">
        <f t="shared" si="36"/>
        <v>89.99</v>
      </c>
      <c r="X160" s="19" t="str">
        <f t="shared" si="37"/>
        <v>True</v>
      </c>
      <c r="Y160" s="19" t="str">
        <f>IF(OR(W160&lt;'Cleaning Tasks'!$G$18,W160&gt;'Cleaning Tasks'!$H$18),"Outlier","Normal")</f>
        <v>Outlier</v>
      </c>
      <c r="Z160" s="2" t="s">
        <v>72</v>
      </c>
      <c r="AA160" s="2" t="s">
        <v>111</v>
      </c>
      <c r="AB160" s="2" t="s">
        <v>50</v>
      </c>
      <c r="AC160" s="2" t="s">
        <v>29</v>
      </c>
      <c r="AD160" s="2" t="s">
        <v>112</v>
      </c>
      <c r="AE160" s="2" t="str">
        <f t="shared" si="38"/>
        <v>Valid</v>
      </c>
      <c r="AF160" s="2" t="s">
        <v>723</v>
      </c>
    </row>
    <row r="161" spans="1:32" x14ac:dyDescent="0.3">
      <c r="A161" s="2" t="s">
        <v>724</v>
      </c>
      <c r="B161" s="2">
        <f t="shared" si="28"/>
        <v>1</v>
      </c>
      <c r="C161" s="12">
        <f t="shared" si="39"/>
        <v>46238.58318814815</v>
      </c>
      <c r="D161" s="13">
        <v>46238.58318814815</v>
      </c>
      <c r="E161" s="2" t="s">
        <v>725</v>
      </c>
      <c r="F161" s="2" t="str">
        <f t="shared" si="29"/>
        <v>Email Available</v>
      </c>
      <c r="G161" s="2" t="s">
        <v>726</v>
      </c>
      <c r="H161" s="2" t="s">
        <v>146</v>
      </c>
      <c r="I161" s="2" t="s">
        <v>47</v>
      </c>
      <c r="J161" s="2" t="s">
        <v>147</v>
      </c>
      <c r="K161" s="2">
        <v>2</v>
      </c>
      <c r="L161" s="2">
        <v>34.99</v>
      </c>
      <c r="M161" s="19">
        <f t="shared" si="30"/>
        <v>34.99</v>
      </c>
      <c r="N161" s="2"/>
      <c r="O161" s="2" t="str">
        <f t="shared" si="31"/>
        <v/>
      </c>
      <c r="P161" s="2">
        <v>0</v>
      </c>
      <c r="Q161" s="19">
        <f t="shared" si="32"/>
        <v>0</v>
      </c>
      <c r="R161" s="2" t="str">
        <f t="shared" si="33"/>
        <v>Number</v>
      </c>
      <c r="S161" s="2">
        <v>5.99</v>
      </c>
      <c r="T161" s="19">
        <f t="shared" si="34"/>
        <v>5.99</v>
      </c>
      <c r="U161" s="2">
        <v>75.97</v>
      </c>
      <c r="V161" s="19">
        <f t="shared" si="35"/>
        <v>75.97</v>
      </c>
      <c r="W161" s="19">
        <f t="shared" si="36"/>
        <v>75.97</v>
      </c>
      <c r="X161" s="19" t="str">
        <f t="shared" si="37"/>
        <v>True</v>
      </c>
      <c r="Y161" s="19" t="str">
        <f>IF(OR(W161&lt;'Cleaning Tasks'!$G$18,W161&gt;'Cleaning Tasks'!$H$18),"Outlier","Normal")</f>
        <v>Normal</v>
      </c>
      <c r="Z161" s="2" t="s">
        <v>26</v>
      </c>
      <c r="AA161" s="2" t="s">
        <v>27</v>
      </c>
      <c r="AB161" s="2" t="s">
        <v>50</v>
      </c>
      <c r="AC161" s="2" t="s">
        <v>105</v>
      </c>
      <c r="AD161" s="2"/>
      <c r="AE161" s="2" t="str">
        <f t="shared" si="38"/>
        <v>Not Required</v>
      </c>
      <c r="AF161" s="2" t="s">
        <v>727</v>
      </c>
    </row>
    <row r="162" spans="1:32" x14ac:dyDescent="0.3">
      <c r="A162" s="2" t="s">
        <v>728</v>
      </c>
      <c r="B162" s="2">
        <f t="shared" si="28"/>
        <v>1</v>
      </c>
      <c r="C162" s="12">
        <f t="shared" si="39"/>
        <v>46238.583681412027</v>
      </c>
      <c r="D162" s="13">
        <v>46238.583681412027</v>
      </c>
      <c r="E162" s="2" t="s">
        <v>729</v>
      </c>
      <c r="F162" s="2" t="str">
        <f t="shared" si="29"/>
        <v>Email Available</v>
      </c>
      <c r="G162" s="2" t="s">
        <v>508</v>
      </c>
      <c r="H162" s="2" t="s">
        <v>361</v>
      </c>
      <c r="I162" s="2" t="s">
        <v>86</v>
      </c>
      <c r="J162" s="2" t="s">
        <v>362</v>
      </c>
      <c r="K162" s="2">
        <v>1</v>
      </c>
      <c r="L162" s="2">
        <v>54.99</v>
      </c>
      <c r="M162" s="19">
        <f t="shared" si="30"/>
        <v>54.99</v>
      </c>
      <c r="N162" s="2" t="s">
        <v>65</v>
      </c>
      <c r="O162" s="2" t="str">
        <f t="shared" si="31"/>
        <v>WELCOME10</v>
      </c>
      <c r="P162" s="2">
        <v>5.5</v>
      </c>
      <c r="Q162" s="19">
        <f t="shared" si="32"/>
        <v>5.5</v>
      </c>
      <c r="R162" s="2" t="str">
        <f t="shared" si="33"/>
        <v>Number</v>
      </c>
      <c r="S162" s="2">
        <v>5.99</v>
      </c>
      <c r="T162" s="19">
        <f t="shared" si="34"/>
        <v>5.99</v>
      </c>
      <c r="U162" s="2">
        <v>55.48</v>
      </c>
      <c r="V162" s="19">
        <f t="shared" si="35"/>
        <v>55.48</v>
      </c>
      <c r="W162" s="19">
        <f t="shared" si="36"/>
        <v>55.480000000000004</v>
      </c>
      <c r="X162" s="19" t="str">
        <f t="shared" si="37"/>
        <v>True</v>
      </c>
      <c r="Y162" s="19" t="str">
        <f>IF(OR(W162&lt;'Cleaning Tasks'!$G$18,W162&gt;'Cleaning Tasks'!$H$18),"Outlier","Normal")</f>
        <v>Normal</v>
      </c>
      <c r="Z162" s="2" t="s">
        <v>66</v>
      </c>
      <c r="AA162" s="2" t="s">
        <v>88</v>
      </c>
      <c r="AB162" s="2" t="s">
        <v>50</v>
      </c>
      <c r="AC162" s="2" t="s">
        <v>331</v>
      </c>
      <c r="AD162" s="2"/>
      <c r="AE162" s="2" t="str">
        <f t="shared" si="38"/>
        <v>Not Required</v>
      </c>
      <c r="AF162" s="2" t="s">
        <v>730</v>
      </c>
    </row>
    <row r="163" spans="1:32" x14ac:dyDescent="0.3">
      <c r="A163" s="2" t="s">
        <v>731</v>
      </c>
      <c r="B163" s="2">
        <f t="shared" si="28"/>
        <v>1</v>
      </c>
      <c r="C163" s="12">
        <f t="shared" si="39"/>
        <v>46238</v>
      </c>
      <c r="D163" s="13">
        <v>46238</v>
      </c>
      <c r="E163" s="2" t="s">
        <v>732</v>
      </c>
      <c r="F163" s="2" t="str">
        <f t="shared" si="29"/>
        <v>Email Available</v>
      </c>
      <c r="G163" s="2" t="s">
        <v>733</v>
      </c>
      <c r="H163" s="2" t="s">
        <v>261</v>
      </c>
      <c r="I163" s="2" t="s">
        <v>36</v>
      </c>
      <c r="J163" s="2" t="s">
        <v>262</v>
      </c>
      <c r="K163" s="2">
        <v>1</v>
      </c>
      <c r="L163" s="2">
        <v>15.49</v>
      </c>
      <c r="M163" s="19">
        <f t="shared" si="30"/>
        <v>15.49</v>
      </c>
      <c r="N163" s="2"/>
      <c r="O163" s="2" t="str">
        <f t="shared" si="31"/>
        <v/>
      </c>
      <c r="P163" s="2">
        <v>0</v>
      </c>
      <c r="Q163" s="19">
        <f t="shared" si="32"/>
        <v>0</v>
      </c>
      <c r="R163" s="2" t="str">
        <f t="shared" si="33"/>
        <v>Number</v>
      </c>
      <c r="S163" s="2">
        <v>7.99</v>
      </c>
      <c r="T163" s="19">
        <f t="shared" si="34"/>
        <v>7.99</v>
      </c>
      <c r="U163" s="2">
        <v>23.48</v>
      </c>
      <c r="V163" s="19">
        <f t="shared" si="35"/>
        <v>23.48</v>
      </c>
      <c r="W163" s="19">
        <f t="shared" si="36"/>
        <v>23.48</v>
      </c>
      <c r="X163" s="19" t="str">
        <f t="shared" si="37"/>
        <v>True</v>
      </c>
      <c r="Y163" s="19" t="str">
        <f>IF(OR(W163&lt;'Cleaning Tasks'!$G$18,W163&gt;'Cleaning Tasks'!$H$18),"Outlier","Normal")</f>
        <v>Normal</v>
      </c>
      <c r="Z163" s="2" t="s">
        <v>26</v>
      </c>
      <c r="AA163" s="2" t="s">
        <v>27</v>
      </c>
      <c r="AB163" s="2" t="s">
        <v>96</v>
      </c>
      <c r="AC163" s="2" t="s">
        <v>105</v>
      </c>
      <c r="AD163" s="2"/>
      <c r="AE163" s="2" t="str">
        <f t="shared" si="38"/>
        <v>Not Required</v>
      </c>
      <c r="AF163" s="2" t="s">
        <v>734</v>
      </c>
    </row>
    <row r="164" spans="1:32" x14ac:dyDescent="0.3">
      <c r="A164" s="2" t="s">
        <v>735</v>
      </c>
      <c r="B164" s="2">
        <f t="shared" si="28"/>
        <v>1</v>
      </c>
      <c r="C164" s="12">
        <f t="shared" si="39"/>
        <v>46238.581016226854</v>
      </c>
      <c r="D164" s="13">
        <v>46238.581016226854</v>
      </c>
      <c r="E164" s="2" t="s">
        <v>736</v>
      </c>
      <c r="F164" s="2" t="str">
        <f t="shared" si="29"/>
        <v>Email Available</v>
      </c>
      <c r="G164" s="2" t="s">
        <v>737</v>
      </c>
      <c r="H164" s="22" t="s">
        <v>309</v>
      </c>
      <c r="I164" s="2" t="s">
        <v>36</v>
      </c>
      <c r="J164" s="2" t="s">
        <v>310</v>
      </c>
      <c r="K164" s="2">
        <v>1</v>
      </c>
      <c r="L164" s="2">
        <v>8.99</v>
      </c>
      <c r="M164" s="19">
        <f t="shared" si="30"/>
        <v>8.99</v>
      </c>
      <c r="N164" s="2"/>
      <c r="O164" s="2" t="str">
        <f t="shared" si="31"/>
        <v/>
      </c>
      <c r="P164" s="2">
        <v>0</v>
      </c>
      <c r="Q164" s="19">
        <f t="shared" si="32"/>
        <v>0</v>
      </c>
      <c r="R164" s="2" t="str">
        <f t="shared" si="33"/>
        <v>Number</v>
      </c>
      <c r="S164" s="2">
        <v>7.99</v>
      </c>
      <c r="T164" s="19">
        <f t="shared" si="34"/>
        <v>7.99</v>
      </c>
      <c r="U164" s="2">
        <v>16.98</v>
      </c>
      <c r="V164" s="19">
        <f t="shared" si="35"/>
        <v>16.98</v>
      </c>
      <c r="W164" s="19">
        <f t="shared" si="36"/>
        <v>16.98</v>
      </c>
      <c r="X164" s="19" t="str">
        <f t="shared" si="37"/>
        <v>True</v>
      </c>
      <c r="Y164" s="19" t="str">
        <f>IF(OR(W164&lt;'Cleaning Tasks'!$G$18,W164&gt;'Cleaning Tasks'!$H$18),"Outlier","Normal")</f>
        <v>Normal</v>
      </c>
      <c r="Z164" s="2" t="s">
        <v>39</v>
      </c>
      <c r="AA164" s="2" t="s">
        <v>40</v>
      </c>
      <c r="AB164" s="2" t="s">
        <v>50</v>
      </c>
      <c r="AC164" s="2" t="s">
        <v>29</v>
      </c>
      <c r="AD164" s="2" t="s">
        <v>30</v>
      </c>
      <c r="AE164" s="2" t="str">
        <f t="shared" si="38"/>
        <v>Valid</v>
      </c>
      <c r="AF164" s="2" t="s">
        <v>738</v>
      </c>
    </row>
    <row r="165" spans="1:32" x14ac:dyDescent="0.3">
      <c r="A165" s="2" t="s">
        <v>739</v>
      </c>
      <c r="B165" s="2">
        <f t="shared" si="28"/>
        <v>1</v>
      </c>
      <c r="C165" s="12">
        <f t="shared" ref="C165:C183" si="40">IF(ISNUMBER(D165),D165,DATEVALUE(SUBSTITUTE(TRIM(D165),CHAR(160)," ")))</f>
        <v>46238.586802060177</v>
      </c>
      <c r="D165" s="13">
        <v>46238.586802060177</v>
      </c>
      <c r="E165" s="2" t="s">
        <v>740</v>
      </c>
      <c r="F165" s="2" t="str">
        <f t="shared" si="29"/>
        <v>Email Available</v>
      </c>
      <c r="G165" s="2" t="s">
        <v>741</v>
      </c>
      <c r="H165" s="2" t="s">
        <v>236</v>
      </c>
      <c r="I165" s="2" t="s">
        <v>237</v>
      </c>
      <c r="J165" s="2" t="s">
        <v>238</v>
      </c>
      <c r="K165" s="2">
        <v>1</v>
      </c>
      <c r="L165" s="2">
        <v>27.99</v>
      </c>
      <c r="M165" s="19">
        <f t="shared" si="30"/>
        <v>27.99</v>
      </c>
      <c r="N165" s="2" t="s">
        <v>65</v>
      </c>
      <c r="O165" s="2" t="str">
        <f t="shared" si="31"/>
        <v>WELCOME10</v>
      </c>
      <c r="P165" s="2">
        <v>2.8</v>
      </c>
      <c r="Q165" s="19">
        <f t="shared" si="32"/>
        <v>2.8</v>
      </c>
      <c r="R165" s="2" t="str">
        <f t="shared" si="33"/>
        <v>Number</v>
      </c>
      <c r="S165" s="2">
        <v>5.99</v>
      </c>
      <c r="T165" s="19">
        <f t="shared" si="34"/>
        <v>5.99</v>
      </c>
      <c r="U165" s="2">
        <v>31.18</v>
      </c>
      <c r="V165" s="19">
        <f t="shared" si="35"/>
        <v>31.18</v>
      </c>
      <c r="W165" s="19">
        <f t="shared" si="36"/>
        <v>31.18</v>
      </c>
      <c r="X165" s="19" t="str">
        <f t="shared" si="37"/>
        <v>True</v>
      </c>
      <c r="Y165" s="19" t="str">
        <f>IF(OR(W165&lt;'Cleaning Tasks'!$G$18,W165&gt;'Cleaning Tasks'!$H$18),"Outlier","Normal")</f>
        <v>Normal</v>
      </c>
      <c r="Z165" s="2" t="s">
        <v>72</v>
      </c>
      <c r="AA165" s="2" t="s">
        <v>88</v>
      </c>
      <c r="AB165" s="2" t="s">
        <v>96</v>
      </c>
      <c r="AC165" s="2" t="s">
        <v>105</v>
      </c>
      <c r="AD165" s="2"/>
      <c r="AE165" s="2" t="str">
        <f t="shared" si="38"/>
        <v>Not Required</v>
      </c>
      <c r="AF165" s="2" t="s">
        <v>742</v>
      </c>
    </row>
    <row r="166" spans="1:32" x14ac:dyDescent="0.3">
      <c r="A166" s="2" t="s">
        <v>743</v>
      </c>
      <c r="B166" s="2">
        <f t="shared" si="28"/>
        <v>1</v>
      </c>
      <c r="C166" s="12">
        <f t="shared" si="40"/>
        <v>46238.585401979173</v>
      </c>
      <c r="D166" s="13">
        <v>46238.585401979173</v>
      </c>
      <c r="E166" s="2" t="s">
        <v>321</v>
      </c>
      <c r="F166" s="2" t="str">
        <f t="shared" si="29"/>
        <v>Email Available</v>
      </c>
      <c r="G166" s="2" t="s">
        <v>322</v>
      </c>
      <c r="H166" s="2" t="s">
        <v>130</v>
      </c>
      <c r="I166" s="2" t="s">
        <v>103</v>
      </c>
      <c r="J166" s="2" t="s">
        <v>131</v>
      </c>
      <c r="K166" s="2">
        <v>2</v>
      </c>
      <c r="L166" s="2">
        <v>16.989999999999998</v>
      </c>
      <c r="M166" s="19">
        <f t="shared" si="30"/>
        <v>16.989999999999998</v>
      </c>
      <c r="N166" s="2"/>
      <c r="O166" s="2" t="str">
        <f t="shared" si="31"/>
        <v/>
      </c>
      <c r="P166" s="2">
        <v>0</v>
      </c>
      <c r="Q166" s="19">
        <f t="shared" si="32"/>
        <v>0</v>
      </c>
      <c r="R166" s="2" t="str">
        <f t="shared" si="33"/>
        <v>Number</v>
      </c>
      <c r="S166" s="2">
        <v>7.99</v>
      </c>
      <c r="T166" s="19">
        <f t="shared" si="34"/>
        <v>7.99</v>
      </c>
      <c r="U166" s="2">
        <v>41.97</v>
      </c>
      <c r="V166" s="19">
        <f t="shared" si="35"/>
        <v>41.97</v>
      </c>
      <c r="W166" s="19">
        <f t="shared" si="36"/>
        <v>41.97</v>
      </c>
      <c r="X166" s="19" t="str">
        <f t="shared" si="37"/>
        <v>True</v>
      </c>
      <c r="Y166" s="19" t="str">
        <f>IF(OR(W166&lt;'Cleaning Tasks'!$G$18,W166&gt;'Cleaning Tasks'!$H$18),"Outlier","Normal")</f>
        <v>Normal</v>
      </c>
      <c r="Z166" s="2" t="s">
        <v>26</v>
      </c>
      <c r="AA166" s="2" t="s">
        <v>88</v>
      </c>
      <c r="AB166" s="2" t="s">
        <v>50</v>
      </c>
      <c r="AC166" s="2" t="s">
        <v>223</v>
      </c>
      <c r="AD166" s="2"/>
      <c r="AE166" s="2" t="str">
        <f t="shared" si="38"/>
        <v>Not Required</v>
      </c>
      <c r="AF166" s="2" t="s">
        <v>744</v>
      </c>
    </row>
    <row r="167" spans="1:32" x14ac:dyDescent="0.3">
      <c r="A167" s="2" t="s">
        <v>745</v>
      </c>
      <c r="B167" s="2">
        <f t="shared" si="28"/>
        <v>1</v>
      </c>
      <c r="C167" s="12">
        <f t="shared" si="40"/>
        <v>46238</v>
      </c>
      <c r="D167" s="13">
        <v>46238</v>
      </c>
      <c r="E167" s="2" t="s">
        <v>377</v>
      </c>
      <c r="F167" s="2" t="str">
        <f t="shared" si="29"/>
        <v>Missing Email</v>
      </c>
      <c r="G167" s="2"/>
      <c r="H167" s="2" t="s">
        <v>35</v>
      </c>
      <c r="I167" s="2" t="s">
        <v>36</v>
      </c>
      <c r="J167" s="2" t="s">
        <v>37</v>
      </c>
      <c r="K167" s="2">
        <v>1</v>
      </c>
      <c r="L167" s="2" t="s">
        <v>563</v>
      </c>
      <c r="M167" s="19">
        <f t="shared" si="30"/>
        <v>21.99</v>
      </c>
      <c r="N167" s="2" t="s">
        <v>94</v>
      </c>
      <c r="O167" s="2" t="str">
        <f t="shared" si="31"/>
        <v>SAVE20</v>
      </c>
      <c r="P167" s="2">
        <v>4.4000000000000004</v>
      </c>
      <c r="Q167" s="19">
        <f t="shared" si="32"/>
        <v>4.4000000000000004</v>
      </c>
      <c r="R167" s="2" t="str">
        <f t="shared" si="33"/>
        <v>Number</v>
      </c>
      <c r="S167" s="2">
        <v>7.99</v>
      </c>
      <c r="T167" s="19">
        <f t="shared" si="34"/>
        <v>7.99</v>
      </c>
      <c r="U167" s="2">
        <v>25.58</v>
      </c>
      <c r="V167" s="19">
        <f t="shared" si="35"/>
        <v>25.58</v>
      </c>
      <c r="W167" s="19">
        <f t="shared" si="36"/>
        <v>25.58</v>
      </c>
      <c r="X167" s="19" t="str">
        <f t="shared" si="37"/>
        <v>True</v>
      </c>
      <c r="Y167" s="19" t="str">
        <f>IF(OR(W167&lt;'Cleaning Tasks'!$G$18,W167&gt;'Cleaning Tasks'!$H$18),"Outlier","Normal")</f>
        <v>Normal</v>
      </c>
      <c r="Z167" s="2" t="s">
        <v>39</v>
      </c>
      <c r="AA167" s="2" t="s">
        <v>27</v>
      </c>
      <c r="AB167" s="2" t="s">
        <v>41</v>
      </c>
      <c r="AC167" s="2" t="s">
        <v>73</v>
      </c>
      <c r="AD167" s="2"/>
      <c r="AE167" s="2" t="str">
        <f t="shared" si="38"/>
        <v>Not Required</v>
      </c>
      <c r="AF167" s="2" t="s">
        <v>746</v>
      </c>
    </row>
    <row r="168" spans="1:32" x14ac:dyDescent="0.3">
      <c r="A168" s="2" t="s">
        <v>747</v>
      </c>
      <c r="B168" s="2">
        <f t="shared" si="28"/>
        <v>1</v>
      </c>
      <c r="C168" s="12">
        <f t="shared" si="40"/>
        <v>46238.58460869213</v>
      </c>
      <c r="D168" s="13">
        <v>46238.58460869213</v>
      </c>
      <c r="E168" s="2" t="s">
        <v>748</v>
      </c>
      <c r="F168" s="2" t="str">
        <f t="shared" si="29"/>
        <v>Email Available</v>
      </c>
      <c r="G168" s="2" t="s">
        <v>749</v>
      </c>
      <c r="H168" s="2" t="s">
        <v>361</v>
      </c>
      <c r="I168" s="2" t="s">
        <v>86</v>
      </c>
      <c r="J168" s="2" t="s">
        <v>362</v>
      </c>
      <c r="K168" s="2">
        <v>1</v>
      </c>
      <c r="L168" s="2" t="s">
        <v>363</v>
      </c>
      <c r="M168" s="19">
        <f t="shared" si="30"/>
        <v>54.99</v>
      </c>
      <c r="N168" s="2" t="s">
        <v>118</v>
      </c>
      <c r="O168" s="2" t="str">
        <f t="shared" si="31"/>
        <v>BFCM25</v>
      </c>
      <c r="P168" s="2">
        <v>13.75</v>
      </c>
      <c r="Q168" s="19">
        <f t="shared" si="32"/>
        <v>13.75</v>
      </c>
      <c r="R168" s="2" t="str">
        <f t="shared" si="33"/>
        <v>Number</v>
      </c>
      <c r="S168" s="2">
        <v>4.99</v>
      </c>
      <c r="T168" s="19">
        <f t="shared" si="34"/>
        <v>4.99</v>
      </c>
      <c r="U168" s="2">
        <v>46.23</v>
      </c>
      <c r="V168" s="19">
        <f t="shared" si="35"/>
        <v>46.23</v>
      </c>
      <c r="W168" s="19">
        <f t="shared" si="36"/>
        <v>46.230000000000004</v>
      </c>
      <c r="X168" s="19" t="str">
        <f t="shared" si="37"/>
        <v>True</v>
      </c>
      <c r="Y168" s="19" t="str">
        <f>IF(OR(W168&lt;'Cleaning Tasks'!$G$18,W168&gt;'Cleaning Tasks'!$H$18),"Outlier","Normal")</f>
        <v>Normal</v>
      </c>
      <c r="Z168" s="2" t="s">
        <v>49</v>
      </c>
      <c r="AA168" s="2" t="s">
        <v>27</v>
      </c>
      <c r="AB168" s="2" t="s">
        <v>50</v>
      </c>
      <c r="AC168" s="2" t="s">
        <v>29</v>
      </c>
      <c r="AD168" s="2" t="s">
        <v>341</v>
      </c>
      <c r="AE168" s="2" t="str">
        <f t="shared" si="38"/>
        <v>Valid</v>
      </c>
      <c r="AF168" s="2" t="s">
        <v>750</v>
      </c>
    </row>
    <row r="169" spans="1:32" x14ac:dyDescent="0.3">
      <c r="A169" s="2" t="s">
        <v>751</v>
      </c>
      <c r="B169" s="2">
        <f t="shared" si="28"/>
        <v>1</v>
      </c>
      <c r="C169" s="12">
        <f t="shared" si="40"/>
        <v>46238.579053900467</v>
      </c>
      <c r="D169" s="13">
        <v>46238.579053900467</v>
      </c>
      <c r="E169" s="2" t="s">
        <v>752</v>
      </c>
      <c r="F169" s="2" t="str">
        <f t="shared" si="29"/>
        <v>Email Available</v>
      </c>
      <c r="G169" s="2" t="s">
        <v>753</v>
      </c>
      <c r="H169" s="2" t="s">
        <v>361</v>
      </c>
      <c r="I169" s="2" t="s">
        <v>86</v>
      </c>
      <c r="J169" s="2" t="s">
        <v>362</v>
      </c>
      <c r="K169" s="2">
        <v>1</v>
      </c>
      <c r="L169" s="2">
        <v>54.99</v>
      </c>
      <c r="M169" s="19">
        <f t="shared" si="30"/>
        <v>54.99</v>
      </c>
      <c r="N169" s="2" t="s">
        <v>203</v>
      </c>
      <c r="O169" s="2" t="str">
        <f t="shared" si="31"/>
        <v>VIP15</v>
      </c>
      <c r="P169" s="2">
        <v>8.25</v>
      </c>
      <c r="Q169" s="19">
        <f t="shared" si="32"/>
        <v>8.25</v>
      </c>
      <c r="R169" s="2" t="str">
        <f t="shared" si="33"/>
        <v>Number</v>
      </c>
      <c r="S169" s="2">
        <v>7.99</v>
      </c>
      <c r="T169" s="19">
        <f t="shared" si="34"/>
        <v>7.99</v>
      </c>
      <c r="U169" s="2">
        <v>54.73</v>
      </c>
      <c r="V169" s="19">
        <f t="shared" si="35"/>
        <v>54.73</v>
      </c>
      <c r="W169" s="19">
        <f t="shared" si="36"/>
        <v>54.730000000000004</v>
      </c>
      <c r="X169" s="19" t="str">
        <f t="shared" si="37"/>
        <v>True</v>
      </c>
      <c r="Y169" s="19" t="str">
        <f>IF(OR(W169&lt;'Cleaning Tasks'!$G$18,W169&gt;'Cleaning Tasks'!$H$18),"Outlier","Normal")</f>
        <v>Normal</v>
      </c>
      <c r="Z169" s="2" t="s">
        <v>39</v>
      </c>
      <c r="AA169" s="2" t="s">
        <v>40</v>
      </c>
      <c r="AB169" s="2" t="s">
        <v>50</v>
      </c>
      <c r="AC169" s="2" t="s">
        <v>29</v>
      </c>
      <c r="AD169" s="2" t="s">
        <v>51</v>
      </c>
      <c r="AE169" s="2" t="str">
        <f t="shared" si="38"/>
        <v>Valid</v>
      </c>
      <c r="AF169" s="2" t="s">
        <v>754</v>
      </c>
    </row>
    <row r="170" spans="1:32" x14ac:dyDescent="0.3">
      <c r="A170" s="2" t="s">
        <v>755</v>
      </c>
      <c r="B170" s="2">
        <f t="shared" si="28"/>
        <v>1</v>
      </c>
      <c r="C170" s="12">
        <f t="shared" si="40"/>
        <v>46238.588269143518</v>
      </c>
      <c r="D170" s="13">
        <v>46238.588269143518</v>
      </c>
      <c r="E170" s="2" t="s">
        <v>756</v>
      </c>
      <c r="F170" s="2" t="str">
        <f t="shared" si="29"/>
        <v>Email Available</v>
      </c>
      <c r="G170" s="2" t="s">
        <v>757</v>
      </c>
      <c r="H170" s="2" t="s">
        <v>109</v>
      </c>
      <c r="I170" s="2" t="s">
        <v>79</v>
      </c>
      <c r="J170" s="2" t="s">
        <v>110</v>
      </c>
      <c r="K170" s="2">
        <v>1</v>
      </c>
      <c r="L170" s="2">
        <v>22.99</v>
      </c>
      <c r="M170" s="19">
        <f t="shared" si="30"/>
        <v>22.99</v>
      </c>
      <c r="N170" s="2" t="s">
        <v>118</v>
      </c>
      <c r="O170" s="2" t="str">
        <f t="shared" si="31"/>
        <v>BFCM25</v>
      </c>
      <c r="P170" s="2">
        <v>5.75</v>
      </c>
      <c r="Q170" s="19">
        <f t="shared" si="32"/>
        <v>5.75</v>
      </c>
      <c r="R170" s="2" t="str">
        <f t="shared" si="33"/>
        <v>Number</v>
      </c>
      <c r="S170" s="2">
        <v>5.99</v>
      </c>
      <c r="T170" s="19">
        <f t="shared" si="34"/>
        <v>5.99</v>
      </c>
      <c r="U170" s="2">
        <v>23.23</v>
      </c>
      <c r="V170" s="19">
        <f t="shared" si="35"/>
        <v>23.23</v>
      </c>
      <c r="W170" s="19">
        <f t="shared" si="36"/>
        <v>23.229999999999997</v>
      </c>
      <c r="X170" s="19" t="str">
        <f t="shared" si="37"/>
        <v>True</v>
      </c>
      <c r="Y170" s="19" t="str">
        <f>IF(OR(W170&lt;'Cleaning Tasks'!$G$18,W170&gt;'Cleaning Tasks'!$H$18),"Outlier","Normal")</f>
        <v>Normal</v>
      </c>
      <c r="Z170" s="2" t="s">
        <v>26</v>
      </c>
      <c r="AA170" s="2" t="s">
        <v>40</v>
      </c>
      <c r="AB170" s="2" t="s">
        <v>50</v>
      </c>
      <c r="AC170" s="2" t="s">
        <v>29</v>
      </c>
      <c r="AD170" s="22" t="s">
        <v>58</v>
      </c>
      <c r="AE170" s="2" t="str">
        <f t="shared" si="38"/>
        <v>Valid</v>
      </c>
      <c r="AF170" s="2" t="s">
        <v>758</v>
      </c>
    </row>
    <row r="171" spans="1:32" x14ac:dyDescent="0.3">
      <c r="A171" s="2" t="s">
        <v>759</v>
      </c>
      <c r="B171" s="2">
        <f t="shared" si="28"/>
        <v>1</v>
      </c>
      <c r="C171" s="12">
        <f t="shared" si="40"/>
        <v>46238</v>
      </c>
      <c r="D171" s="13">
        <v>46238</v>
      </c>
      <c r="E171" s="2" t="s">
        <v>760</v>
      </c>
      <c r="F171" s="2" t="str">
        <f t="shared" si="29"/>
        <v>Email Available</v>
      </c>
      <c r="G171" s="2" t="s">
        <v>761</v>
      </c>
      <c r="H171" s="2" t="s">
        <v>35</v>
      </c>
      <c r="I171" s="2" t="s">
        <v>36</v>
      </c>
      <c r="J171" s="2" t="s">
        <v>37</v>
      </c>
      <c r="K171" s="2">
        <v>3</v>
      </c>
      <c r="L171" s="2">
        <v>21.99</v>
      </c>
      <c r="M171" s="19">
        <f t="shared" si="30"/>
        <v>21.99</v>
      </c>
      <c r="N171" s="2"/>
      <c r="O171" s="2" t="str">
        <f t="shared" si="31"/>
        <v/>
      </c>
      <c r="P171" s="2">
        <v>0</v>
      </c>
      <c r="Q171" s="19">
        <f t="shared" si="32"/>
        <v>0</v>
      </c>
      <c r="R171" s="2" t="str">
        <f t="shared" si="33"/>
        <v>Number</v>
      </c>
      <c r="S171" s="2">
        <v>7.99</v>
      </c>
      <c r="T171" s="19">
        <f t="shared" si="34"/>
        <v>7.99</v>
      </c>
      <c r="U171" s="2">
        <v>73.959999999999994</v>
      </c>
      <c r="V171" s="19">
        <f t="shared" si="35"/>
        <v>73.959999999999994</v>
      </c>
      <c r="W171" s="19">
        <f t="shared" si="36"/>
        <v>73.959999999999994</v>
      </c>
      <c r="X171" s="19" t="str">
        <f t="shared" si="37"/>
        <v>True</v>
      </c>
      <c r="Y171" s="19" t="str">
        <f>IF(OR(W171&lt;'Cleaning Tasks'!$G$18,W171&gt;'Cleaning Tasks'!$H$18),"Outlier","Normal")</f>
        <v>Normal</v>
      </c>
      <c r="Z171" s="2" t="s">
        <v>39</v>
      </c>
      <c r="AA171" s="2" t="s">
        <v>111</v>
      </c>
      <c r="AB171" s="2" t="s">
        <v>50</v>
      </c>
      <c r="AC171" s="2" t="s">
        <v>29</v>
      </c>
      <c r="AD171" s="2" t="s">
        <v>30</v>
      </c>
      <c r="AE171" s="2" t="str">
        <f t="shared" si="38"/>
        <v>Valid</v>
      </c>
      <c r="AF171" s="2" t="s">
        <v>762</v>
      </c>
    </row>
    <row r="172" spans="1:32" x14ac:dyDescent="0.3">
      <c r="A172" s="2" t="s">
        <v>763</v>
      </c>
      <c r="B172" s="2">
        <f t="shared" si="28"/>
        <v>1</v>
      </c>
      <c r="C172" s="12">
        <f t="shared" si="40"/>
        <v>46238.588318495371</v>
      </c>
      <c r="D172" s="13">
        <v>46238.588318495371</v>
      </c>
      <c r="E172" s="2" t="s">
        <v>647</v>
      </c>
      <c r="F172" s="2" t="str">
        <f t="shared" si="29"/>
        <v>Email Available</v>
      </c>
      <c r="G172" s="2" t="s">
        <v>648</v>
      </c>
      <c r="H172" s="2" t="s">
        <v>124</v>
      </c>
      <c r="I172" s="2" t="s">
        <v>79</v>
      </c>
      <c r="J172" s="2" t="s">
        <v>125</v>
      </c>
      <c r="K172" s="2">
        <v>1</v>
      </c>
      <c r="L172" s="2">
        <v>13.99</v>
      </c>
      <c r="M172" s="19">
        <f t="shared" si="30"/>
        <v>13.99</v>
      </c>
      <c r="N172" s="2"/>
      <c r="O172" s="2" t="str">
        <f t="shared" si="31"/>
        <v/>
      </c>
      <c r="P172" s="2">
        <v>0</v>
      </c>
      <c r="Q172" s="19">
        <f t="shared" si="32"/>
        <v>0</v>
      </c>
      <c r="R172" s="2" t="str">
        <f t="shared" si="33"/>
        <v>Number</v>
      </c>
      <c r="S172" s="2">
        <v>5.99</v>
      </c>
      <c r="T172" s="19">
        <f t="shared" si="34"/>
        <v>5.99</v>
      </c>
      <c r="U172" s="2">
        <v>19.98</v>
      </c>
      <c r="V172" s="19">
        <f t="shared" si="35"/>
        <v>19.98</v>
      </c>
      <c r="W172" s="19">
        <f t="shared" si="36"/>
        <v>19.98</v>
      </c>
      <c r="X172" s="19" t="str">
        <f t="shared" si="37"/>
        <v>True</v>
      </c>
      <c r="Y172" s="19" t="str">
        <f>IF(OR(W172&lt;'Cleaning Tasks'!$G$18,W172&gt;'Cleaning Tasks'!$H$18),"Outlier","Normal")</f>
        <v>Normal</v>
      </c>
      <c r="Z172" s="2" t="s">
        <v>26</v>
      </c>
      <c r="AA172" s="2" t="s">
        <v>40</v>
      </c>
      <c r="AB172" s="2" t="s">
        <v>50</v>
      </c>
      <c r="AC172" s="2" t="s">
        <v>223</v>
      </c>
      <c r="AD172" s="2"/>
      <c r="AE172" s="2" t="str">
        <f t="shared" si="38"/>
        <v>Not Required</v>
      </c>
      <c r="AF172" s="2" t="s">
        <v>764</v>
      </c>
    </row>
    <row r="173" spans="1:32" x14ac:dyDescent="0.3">
      <c r="A173" s="2" t="s">
        <v>765</v>
      </c>
      <c r="B173" s="2">
        <f t="shared" si="28"/>
        <v>1</v>
      </c>
      <c r="C173" s="12">
        <f t="shared" si="40"/>
        <v>46238.584027766206</v>
      </c>
      <c r="D173" s="13">
        <v>46238.584027766206</v>
      </c>
      <c r="E173" s="2" t="s">
        <v>303</v>
      </c>
      <c r="F173" s="2" t="str">
        <f t="shared" si="29"/>
        <v>Email Available</v>
      </c>
      <c r="G173" s="2" t="s">
        <v>304</v>
      </c>
      <c r="H173" s="2" t="s">
        <v>102</v>
      </c>
      <c r="I173" s="2" t="s">
        <v>103</v>
      </c>
      <c r="J173" s="2" t="s">
        <v>104</v>
      </c>
      <c r="K173" s="2">
        <v>1</v>
      </c>
      <c r="L173" s="2">
        <v>19.989999999999998</v>
      </c>
      <c r="M173" s="19">
        <f t="shared" si="30"/>
        <v>19.989999999999998</v>
      </c>
      <c r="N173" s="2"/>
      <c r="O173" s="2" t="str">
        <f t="shared" si="31"/>
        <v/>
      </c>
      <c r="P173" s="2">
        <v>0</v>
      </c>
      <c r="Q173" s="19">
        <f t="shared" si="32"/>
        <v>0</v>
      </c>
      <c r="R173" s="2" t="str">
        <f t="shared" si="33"/>
        <v>Number</v>
      </c>
      <c r="S173" s="2">
        <v>5.99</v>
      </c>
      <c r="T173" s="19">
        <f t="shared" si="34"/>
        <v>5.99</v>
      </c>
      <c r="U173" s="2">
        <v>25.98</v>
      </c>
      <c r="V173" s="19">
        <f t="shared" si="35"/>
        <v>25.98</v>
      </c>
      <c r="W173" s="19">
        <f t="shared" si="36"/>
        <v>25.979999999999997</v>
      </c>
      <c r="X173" s="19" t="str">
        <f t="shared" si="37"/>
        <v>True</v>
      </c>
      <c r="Y173" s="19" t="str">
        <f>IF(OR(W173&lt;'Cleaning Tasks'!$G$18,W173&gt;'Cleaning Tasks'!$H$18),"Outlier","Normal")</f>
        <v>Normal</v>
      </c>
      <c r="Z173" s="2" t="s">
        <v>49</v>
      </c>
      <c r="AA173" s="2" t="s">
        <v>27</v>
      </c>
      <c r="AB173" s="2" t="s">
        <v>50</v>
      </c>
      <c r="AC173" s="2" t="s">
        <v>29</v>
      </c>
      <c r="AD173" s="2" t="s">
        <v>243</v>
      </c>
      <c r="AE173" s="2" t="str">
        <f t="shared" si="38"/>
        <v>Valid</v>
      </c>
      <c r="AF173" s="2" t="s">
        <v>766</v>
      </c>
    </row>
    <row r="174" spans="1:32" x14ac:dyDescent="0.3">
      <c r="A174" s="2" t="s">
        <v>767</v>
      </c>
      <c r="B174" s="2">
        <f t="shared" si="28"/>
        <v>1</v>
      </c>
      <c r="C174" s="12">
        <f t="shared" si="40"/>
        <v>46238.588538773147</v>
      </c>
      <c r="D174" s="13">
        <v>46238.588538773147</v>
      </c>
      <c r="E174" s="2" t="s">
        <v>768</v>
      </c>
      <c r="F174" s="2" t="str">
        <f t="shared" si="29"/>
        <v>Email Available</v>
      </c>
      <c r="G174" s="2" t="s">
        <v>769</v>
      </c>
      <c r="H174" s="2" t="s">
        <v>85</v>
      </c>
      <c r="I174" s="2" t="s">
        <v>86</v>
      </c>
      <c r="J174" s="2" t="s">
        <v>87</v>
      </c>
      <c r="K174" s="2">
        <v>1</v>
      </c>
      <c r="L174" s="2">
        <v>54.99</v>
      </c>
      <c r="M174" s="19">
        <f t="shared" si="30"/>
        <v>54.99</v>
      </c>
      <c r="N174" s="2"/>
      <c r="O174" s="2" t="str">
        <f t="shared" si="31"/>
        <v/>
      </c>
      <c r="P174" s="2">
        <v>0</v>
      </c>
      <c r="Q174" s="19">
        <f t="shared" si="32"/>
        <v>0</v>
      </c>
      <c r="R174" s="2" t="str">
        <f t="shared" si="33"/>
        <v>Number</v>
      </c>
      <c r="S174" s="2">
        <v>4.99</v>
      </c>
      <c r="T174" s="19">
        <f t="shared" si="34"/>
        <v>4.99</v>
      </c>
      <c r="U174" s="2">
        <v>59.98</v>
      </c>
      <c r="V174" s="19">
        <f t="shared" si="35"/>
        <v>59.98</v>
      </c>
      <c r="W174" s="19">
        <f t="shared" si="36"/>
        <v>59.980000000000004</v>
      </c>
      <c r="X174" s="19" t="str">
        <f t="shared" si="37"/>
        <v>True</v>
      </c>
      <c r="Y174" s="19" t="str">
        <f>IF(OR(W174&lt;'Cleaning Tasks'!$G$18,W174&gt;'Cleaning Tasks'!$H$18),"Outlier","Normal")</f>
        <v>Normal</v>
      </c>
      <c r="Z174" s="2" t="s">
        <v>49</v>
      </c>
      <c r="AA174" s="2" t="s">
        <v>27</v>
      </c>
      <c r="AB174" s="2" t="s">
        <v>50</v>
      </c>
      <c r="AC174" s="2" t="s">
        <v>105</v>
      </c>
      <c r="AD174" s="2"/>
      <c r="AE174" s="2" t="str">
        <f t="shared" si="38"/>
        <v>Not Required</v>
      </c>
      <c r="AF174" s="2" t="s">
        <v>770</v>
      </c>
    </row>
    <row r="175" spans="1:32" x14ac:dyDescent="0.3">
      <c r="A175" s="2" t="s">
        <v>771</v>
      </c>
      <c r="B175" s="2">
        <f t="shared" si="28"/>
        <v>1</v>
      </c>
      <c r="C175" s="12">
        <f t="shared" si="40"/>
        <v>46238.581562546293</v>
      </c>
      <c r="D175" s="13">
        <v>46238.581562546293</v>
      </c>
      <c r="E175" s="2" t="s">
        <v>150</v>
      </c>
      <c r="F175" s="2" t="str">
        <f t="shared" si="29"/>
        <v>Email Available</v>
      </c>
      <c r="G175" s="2" t="s">
        <v>151</v>
      </c>
      <c r="H175" s="2" t="s">
        <v>190</v>
      </c>
      <c r="I175" s="2" t="s">
        <v>191</v>
      </c>
      <c r="J175" s="2" t="s">
        <v>192</v>
      </c>
      <c r="K175" s="2">
        <v>1</v>
      </c>
      <c r="L175" s="2">
        <v>13.49</v>
      </c>
      <c r="M175" s="19">
        <f t="shared" si="30"/>
        <v>13.49</v>
      </c>
      <c r="N175" s="2"/>
      <c r="O175" s="2" t="str">
        <f t="shared" si="31"/>
        <v/>
      </c>
      <c r="P175" s="2">
        <v>0</v>
      </c>
      <c r="Q175" s="19">
        <f t="shared" si="32"/>
        <v>0</v>
      </c>
      <c r="R175" s="2" t="str">
        <f t="shared" si="33"/>
        <v>Number</v>
      </c>
      <c r="S175" s="2">
        <v>5.99</v>
      </c>
      <c r="T175" s="19">
        <f t="shared" si="34"/>
        <v>5.99</v>
      </c>
      <c r="U175" s="2">
        <v>19.48</v>
      </c>
      <c r="V175" s="19">
        <f t="shared" si="35"/>
        <v>19.48</v>
      </c>
      <c r="W175" s="19">
        <f t="shared" si="36"/>
        <v>19.48</v>
      </c>
      <c r="X175" s="19" t="str">
        <f t="shared" si="37"/>
        <v>True</v>
      </c>
      <c r="Y175" s="19" t="str">
        <f>IF(OR(W175&lt;'Cleaning Tasks'!$G$18,W175&gt;'Cleaning Tasks'!$H$18),"Outlier","Normal")</f>
        <v>Normal</v>
      </c>
      <c r="Z175" s="2" t="s">
        <v>49</v>
      </c>
      <c r="AA175" s="2" t="s">
        <v>27</v>
      </c>
      <c r="AB175" s="2" t="s">
        <v>96</v>
      </c>
      <c r="AC175" s="2" t="s">
        <v>29</v>
      </c>
      <c r="AD175" s="2" t="s">
        <v>67</v>
      </c>
      <c r="AE175" s="2" t="str">
        <f t="shared" si="38"/>
        <v>Valid</v>
      </c>
      <c r="AF175" s="2" t="s">
        <v>772</v>
      </c>
    </row>
    <row r="176" spans="1:32" x14ac:dyDescent="0.3">
      <c r="A176" s="2" t="s">
        <v>773</v>
      </c>
      <c r="B176" s="2">
        <f t="shared" si="28"/>
        <v>1</v>
      </c>
      <c r="C176" s="12">
        <f t="shared" si="40"/>
        <v>46238.579316863434</v>
      </c>
      <c r="D176" s="13">
        <v>46238.579316863434</v>
      </c>
      <c r="E176" s="2" t="s">
        <v>164</v>
      </c>
      <c r="F176" s="2" t="str">
        <f t="shared" si="29"/>
        <v>Email Available</v>
      </c>
      <c r="G176" s="2" t="s">
        <v>165</v>
      </c>
      <c r="H176" s="2" t="s">
        <v>267</v>
      </c>
      <c r="I176" s="2" t="s">
        <v>22</v>
      </c>
      <c r="J176" s="2" t="s">
        <v>268</v>
      </c>
      <c r="K176" s="2">
        <v>2</v>
      </c>
      <c r="L176" s="2">
        <v>18.989999999999998</v>
      </c>
      <c r="M176" s="19">
        <f t="shared" si="30"/>
        <v>18.989999999999998</v>
      </c>
      <c r="N176" s="2" t="s">
        <v>38</v>
      </c>
      <c r="O176" s="2" t="str">
        <f t="shared" si="31"/>
        <v>FREESHIP</v>
      </c>
      <c r="P176" s="2">
        <v>0</v>
      </c>
      <c r="Q176" s="19">
        <f t="shared" si="32"/>
        <v>0</v>
      </c>
      <c r="R176" s="2" t="str">
        <f t="shared" si="33"/>
        <v>Number</v>
      </c>
      <c r="S176" s="2">
        <v>0</v>
      </c>
      <c r="T176" s="19">
        <f t="shared" si="34"/>
        <v>0</v>
      </c>
      <c r="U176" s="2">
        <v>37.979999999999997</v>
      </c>
      <c r="V176" s="19">
        <f t="shared" si="35"/>
        <v>37.979999999999997</v>
      </c>
      <c r="W176" s="19">
        <f t="shared" si="36"/>
        <v>37.979999999999997</v>
      </c>
      <c r="X176" s="19" t="str">
        <f t="shared" si="37"/>
        <v>True</v>
      </c>
      <c r="Y176" s="19" t="str">
        <f>IF(OR(W176&lt;'Cleaning Tasks'!$G$18,W176&gt;'Cleaning Tasks'!$H$18),"Outlier","Normal")</f>
        <v>Normal</v>
      </c>
      <c r="Z176" s="2" t="s">
        <v>72</v>
      </c>
      <c r="AA176" s="2" t="s">
        <v>27</v>
      </c>
      <c r="AB176" s="2" t="s">
        <v>50</v>
      </c>
      <c r="AC176" s="2" t="s">
        <v>105</v>
      </c>
      <c r="AD176" s="2"/>
      <c r="AE176" s="2" t="str">
        <f t="shared" si="38"/>
        <v>Not Required</v>
      </c>
      <c r="AF176" s="2" t="s">
        <v>774</v>
      </c>
    </row>
    <row r="177" spans="1:32" x14ac:dyDescent="0.3">
      <c r="A177" s="2" t="s">
        <v>775</v>
      </c>
      <c r="B177" s="2">
        <f t="shared" si="28"/>
        <v>1</v>
      </c>
      <c r="C177" s="12">
        <f t="shared" si="40"/>
        <v>46238.585254699072</v>
      </c>
      <c r="D177" s="13">
        <v>46238.585254699072</v>
      </c>
      <c r="E177" s="2" t="s">
        <v>473</v>
      </c>
      <c r="F177" s="2" t="str">
        <f t="shared" si="29"/>
        <v>Email Available</v>
      </c>
      <c r="G177" s="2" t="s">
        <v>474</v>
      </c>
      <c r="H177" s="2" t="s">
        <v>201</v>
      </c>
      <c r="I177" s="2" t="s">
        <v>191</v>
      </c>
      <c r="J177" s="2" t="s">
        <v>202</v>
      </c>
      <c r="K177" s="2">
        <v>2</v>
      </c>
      <c r="L177" s="2">
        <v>24.99</v>
      </c>
      <c r="M177" s="19">
        <f t="shared" si="30"/>
        <v>24.99</v>
      </c>
      <c r="N177" s="2"/>
      <c r="O177" s="2" t="str">
        <f t="shared" si="31"/>
        <v/>
      </c>
      <c r="P177" s="2">
        <v>0</v>
      </c>
      <c r="Q177" s="19">
        <f t="shared" si="32"/>
        <v>0</v>
      </c>
      <c r="R177" s="2" t="str">
        <f t="shared" si="33"/>
        <v>Number</v>
      </c>
      <c r="S177" s="2">
        <v>5.99</v>
      </c>
      <c r="T177" s="19">
        <f t="shared" si="34"/>
        <v>5.99</v>
      </c>
      <c r="U177" s="2">
        <v>55.97</v>
      </c>
      <c r="V177" s="19">
        <f t="shared" si="35"/>
        <v>55.97</v>
      </c>
      <c r="W177" s="19">
        <f t="shared" si="36"/>
        <v>55.97</v>
      </c>
      <c r="X177" s="19" t="str">
        <f t="shared" si="37"/>
        <v>True</v>
      </c>
      <c r="Y177" s="19" t="str">
        <f>IF(OR(W177&lt;'Cleaning Tasks'!$G$18,W177&gt;'Cleaning Tasks'!$H$18),"Outlier","Normal")</f>
        <v>Normal</v>
      </c>
      <c r="Z177" s="2" t="s">
        <v>72</v>
      </c>
      <c r="AA177" s="2" t="s">
        <v>27</v>
      </c>
      <c r="AB177" s="2" t="s">
        <v>50</v>
      </c>
      <c r="AC177" s="2" t="s">
        <v>73</v>
      </c>
      <c r="AD177" s="2"/>
      <c r="AE177" s="2" t="str">
        <f t="shared" si="38"/>
        <v>Not Required</v>
      </c>
      <c r="AF177" s="2" t="s">
        <v>776</v>
      </c>
    </row>
    <row r="178" spans="1:32" x14ac:dyDescent="0.3">
      <c r="A178" s="2" t="s">
        <v>777</v>
      </c>
      <c r="B178" s="2">
        <f t="shared" si="28"/>
        <v>1</v>
      </c>
      <c r="C178" s="12">
        <f t="shared" si="40"/>
        <v>46238.583694895831</v>
      </c>
      <c r="D178" s="13">
        <v>46238.583694895831</v>
      </c>
      <c r="E178" s="2" t="s">
        <v>421</v>
      </c>
      <c r="F178" s="2" t="str">
        <f t="shared" si="29"/>
        <v>Email Available</v>
      </c>
      <c r="G178" s="2" t="s">
        <v>422</v>
      </c>
      <c r="H178" s="2" t="s">
        <v>85</v>
      </c>
      <c r="I178" s="2" t="s">
        <v>86</v>
      </c>
      <c r="J178" s="2" t="s">
        <v>87</v>
      </c>
      <c r="K178" s="2">
        <v>1</v>
      </c>
      <c r="L178" s="2">
        <v>54.99</v>
      </c>
      <c r="M178" s="19">
        <f t="shared" si="30"/>
        <v>54.99</v>
      </c>
      <c r="N178" s="2" t="s">
        <v>118</v>
      </c>
      <c r="O178" s="2" t="str">
        <f t="shared" si="31"/>
        <v>BFCM25</v>
      </c>
      <c r="P178" s="2">
        <v>13.75</v>
      </c>
      <c r="Q178" s="19">
        <f t="shared" si="32"/>
        <v>13.75</v>
      </c>
      <c r="R178" s="2" t="str">
        <f t="shared" si="33"/>
        <v>Number</v>
      </c>
      <c r="S178" s="2">
        <v>5.99</v>
      </c>
      <c r="T178" s="19">
        <f t="shared" si="34"/>
        <v>5.99</v>
      </c>
      <c r="U178" s="2">
        <v>47.23</v>
      </c>
      <c r="V178" s="19">
        <f t="shared" si="35"/>
        <v>47.23</v>
      </c>
      <c r="W178" s="19">
        <f t="shared" si="36"/>
        <v>47.230000000000004</v>
      </c>
      <c r="X178" s="19" t="str">
        <f t="shared" si="37"/>
        <v>True</v>
      </c>
      <c r="Y178" s="19" t="str">
        <f>IF(OR(W178&lt;'Cleaning Tasks'!$G$18,W178&gt;'Cleaning Tasks'!$H$18),"Outlier","Normal")</f>
        <v>Normal</v>
      </c>
      <c r="Z178" s="2" t="s">
        <v>72</v>
      </c>
      <c r="AA178" s="2" t="s">
        <v>40</v>
      </c>
      <c r="AB178" s="2" t="s">
        <v>50</v>
      </c>
      <c r="AC178" s="2" t="s">
        <v>29</v>
      </c>
      <c r="AD178" s="2" t="s">
        <v>140</v>
      </c>
      <c r="AE178" s="2" t="str">
        <f t="shared" si="38"/>
        <v>Valid</v>
      </c>
      <c r="AF178" s="2" t="s">
        <v>778</v>
      </c>
    </row>
    <row r="179" spans="1:32" x14ac:dyDescent="0.3">
      <c r="A179" s="2" t="s">
        <v>779</v>
      </c>
      <c r="B179" s="2">
        <f t="shared" si="28"/>
        <v>1</v>
      </c>
      <c r="C179" s="12">
        <f t="shared" si="40"/>
        <v>46238.581924409722</v>
      </c>
      <c r="D179" s="13">
        <v>46238.581924409722</v>
      </c>
      <c r="E179" s="2" t="s">
        <v>780</v>
      </c>
      <c r="F179" s="2" t="str">
        <f t="shared" si="29"/>
        <v>Email Available</v>
      </c>
      <c r="G179" s="2" t="s">
        <v>781</v>
      </c>
      <c r="H179" s="2" t="s">
        <v>221</v>
      </c>
      <c r="I179" s="2" t="s">
        <v>22</v>
      </c>
      <c r="J179" s="2" t="s">
        <v>222</v>
      </c>
      <c r="K179" s="2">
        <v>2</v>
      </c>
      <c r="L179" s="2">
        <v>17.989999999999998</v>
      </c>
      <c r="M179" s="19">
        <f t="shared" si="30"/>
        <v>17.989999999999998</v>
      </c>
      <c r="N179" s="2" t="s">
        <v>38</v>
      </c>
      <c r="O179" s="2" t="str">
        <f t="shared" si="31"/>
        <v>FREESHIP</v>
      </c>
      <c r="P179" s="2">
        <v>0</v>
      </c>
      <c r="Q179" s="19">
        <f t="shared" si="32"/>
        <v>0</v>
      </c>
      <c r="R179" s="2" t="str">
        <f t="shared" si="33"/>
        <v>Number</v>
      </c>
      <c r="S179" s="2">
        <v>0</v>
      </c>
      <c r="T179" s="19">
        <f t="shared" si="34"/>
        <v>0</v>
      </c>
      <c r="U179" s="2" t="s">
        <v>782</v>
      </c>
      <c r="V179" s="19">
        <f t="shared" si="35"/>
        <v>35.979999999999997</v>
      </c>
      <c r="W179" s="19">
        <f t="shared" si="36"/>
        <v>35.979999999999997</v>
      </c>
      <c r="X179" s="19" t="str">
        <f t="shared" si="37"/>
        <v>True</v>
      </c>
      <c r="Y179" s="19" t="str">
        <f>IF(OR(W179&lt;'Cleaning Tasks'!$G$18,W179&gt;'Cleaning Tasks'!$H$18),"Outlier","Normal")</f>
        <v>Normal</v>
      </c>
      <c r="Z179" s="2" t="s">
        <v>66</v>
      </c>
      <c r="AA179" s="2" t="s">
        <v>88</v>
      </c>
      <c r="AB179" s="2" t="s">
        <v>50</v>
      </c>
      <c r="AC179" s="2" t="s">
        <v>223</v>
      </c>
      <c r="AD179" s="2"/>
      <c r="AE179" s="2" t="str">
        <f t="shared" si="38"/>
        <v>Not Required</v>
      </c>
      <c r="AF179" s="2" t="s">
        <v>783</v>
      </c>
    </row>
    <row r="180" spans="1:32" x14ac:dyDescent="0.3">
      <c r="A180" s="2" t="s">
        <v>784</v>
      </c>
      <c r="B180" s="2">
        <f t="shared" si="28"/>
        <v>1</v>
      </c>
      <c r="C180" s="12">
        <f t="shared" si="40"/>
        <v>46238.584352280093</v>
      </c>
      <c r="D180" s="13">
        <v>46238.584352280093</v>
      </c>
      <c r="E180" s="2" t="s">
        <v>413</v>
      </c>
      <c r="F180" s="2" t="str">
        <f t="shared" si="29"/>
        <v>Email Available</v>
      </c>
      <c r="G180" s="2" t="s">
        <v>414</v>
      </c>
      <c r="H180" s="2" t="s">
        <v>35</v>
      </c>
      <c r="I180" s="2" t="s">
        <v>36</v>
      </c>
      <c r="J180" s="2" t="s">
        <v>37</v>
      </c>
      <c r="K180" s="2">
        <v>1</v>
      </c>
      <c r="L180" s="2">
        <v>21.99</v>
      </c>
      <c r="M180" s="19">
        <f t="shared" si="30"/>
        <v>21.99</v>
      </c>
      <c r="N180" s="2"/>
      <c r="O180" s="2" t="str">
        <f t="shared" si="31"/>
        <v/>
      </c>
      <c r="P180" s="2">
        <v>0</v>
      </c>
      <c r="Q180" s="19">
        <f t="shared" si="32"/>
        <v>0</v>
      </c>
      <c r="R180" s="2" t="str">
        <f t="shared" si="33"/>
        <v>Number</v>
      </c>
      <c r="S180" s="2">
        <v>4.99</v>
      </c>
      <c r="T180" s="19">
        <f t="shared" si="34"/>
        <v>4.99</v>
      </c>
      <c r="U180" s="2">
        <v>26.98</v>
      </c>
      <c r="V180" s="19">
        <f t="shared" si="35"/>
        <v>26.98</v>
      </c>
      <c r="W180" s="19">
        <f t="shared" si="36"/>
        <v>26.979999999999997</v>
      </c>
      <c r="X180" s="19" t="str">
        <f t="shared" si="37"/>
        <v>True</v>
      </c>
      <c r="Y180" s="19" t="str">
        <f>IF(OR(W180&lt;'Cleaning Tasks'!$G$18,W180&gt;'Cleaning Tasks'!$H$18),"Outlier","Normal")</f>
        <v>Normal</v>
      </c>
      <c r="Z180" s="2" t="s">
        <v>66</v>
      </c>
      <c r="AA180" s="2" t="s">
        <v>88</v>
      </c>
      <c r="AB180" s="2" t="s">
        <v>50</v>
      </c>
      <c r="AC180" s="2" t="s">
        <v>331</v>
      </c>
      <c r="AD180" s="2"/>
      <c r="AE180" s="2" t="str">
        <f t="shared" si="38"/>
        <v>Not Required</v>
      </c>
      <c r="AF180" s="2" t="s">
        <v>785</v>
      </c>
    </row>
    <row r="181" spans="1:32" x14ac:dyDescent="0.3">
      <c r="A181" s="2" t="s">
        <v>786</v>
      </c>
      <c r="B181" s="2">
        <f t="shared" si="28"/>
        <v>1</v>
      </c>
      <c r="C181" s="12">
        <f t="shared" si="40"/>
        <v>46238</v>
      </c>
      <c r="D181" s="13">
        <v>46238</v>
      </c>
      <c r="E181" s="2" t="s">
        <v>787</v>
      </c>
      <c r="F181" s="2" t="str">
        <f t="shared" si="29"/>
        <v>Email Available</v>
      </c>
      <c r="G181" s="2" t="s">
        <v>788</v>
      </c>
      <c r="H181" s="2" t="s">
        <v>117</v>
      </c>
      <c r="I181" s="2" t="s">
        <v>22</v>
      </c>
      <c r="J181" s="2" t="s">
        <v>23</v>
      </c>
      <c r="K181" s="2">
        <v>2</v>
      </c>
      <c r="L181" s="2">
        <v>12.99</v>
      </c>
      <c r="M181" s="19">
        <f t="shared" si="30"/>
        <v>12.99</v>
      </c>
      <c r="N181" s="2" t="s">
        <v>203</v>
      </c>
      <c r="O181" s="2" t="str">
        <f t="shared" si="31"/>
        <v>VIP15</v>
      </c>
      <c r="P181" s="2">
        <v>3.9</v>
      </c>
      <c r="Q181" s="19">
        <f t="shared" si="32"/>
        <v>3.9</v>
      </c>
      <c r="R181" s="2" t="str">
        <f t="shared" si="33"/>
        <v>Number</v>
      </c>
      <c r="S181" s="2">
        <v>7.99</v>
      </c>
      <c r="T181" s="19">
        <f t="shared" si="34"/>
        <v>7.99</v>
      </c>
      <c r="U181" s="2">
        <v>30.07</v>
      </c>
      <c r="V181" s="19">
        <f t="shared" si="35"/>
        <v>30.07</v>
      </c>
      <c r="W181" s="19">
        <f t="shared" si="36"/>
        <v>30.07</v>
      </c>
      <c r="X181" s="19" t="str">
        <f t="shared" si="37"/>
        <v>True</v>
      </c>
      <c r="Y181" s="19" t="str">
        <f>IF(OR(W181&lt;'Cleaning Tasks'!$G$18,W181&gt;'Cleaning Tasks'!$H$18),"Outlier","Normal")</f>
        <v>Normal</v>
      </c>
      <c r="Z181" s="2" t="s">
        <v>26</v>
      </c>
      <c r="AA181" s="2" t="s">
        <v>111</v>
      </c>
      <c r="AB181" s="2" t="s">
        <v>50</v>
      </c>
      <c r="AC181" s="2" t="s">
        <v>331</v>
      </c>
      <c r="AD181" s="2"/>
      <c r="AE181" s="2" t="str">
        <f t="shared" si="38"/>
        <v>Not Required</v>
      </c>
      <c r="AF181" s="2" t="s">
        <v>789</v>
      </c>
    </row>
    <row r="182" spans="1:32" x14ac:dyDescent="0.3">
      <c r="A182" s="2" t="s">
        <v>790</v>
      </c>
      <c r="B182" s="2">
        <f t="shared" si="28"/>
        <v>1</v>
      </c>
      <c r="C182" s="12">
        <f t="shared" si="40"/>
        <v>46238</v>
      </c>
      <c r="D182" s="13">
        <v>46238</v>
      </c>
      <c r="E182" s="2" t="s">
        <v>459</v>
      </c>
      <c r="F182" s="2" t="str">
        <f t="shared" si="29"/>
        <v>Email Available</v>
      </c>
      <c r="G182" s="2" t="s">
        <v>460</v>
      </c>
      <c r="H182" s="2" t="s">
        <v>63</v>
      </c>
      <c r="I182" s="2" t="s">
        <v>47</v>
      </c>
      <c r="J182" s="2" t="s">
        <v>64</v>
      </c>
      <c r="K182" s="2">
        <v>1</v>
      </c>
      <c r="L182" s="2">
        <v>14.99</v>
      </c>
      <c r="M182" s="19">
        <f t="shared" si="30"/>
        <v>14.99</v>
      </c>
      <c r="N182" s="2"/>
      <c r="O182" s="2" t="str">
        <f t="shared" si="31"/>
        <v/>
      </c>
      <c r="P182" s="2">
        <v>0</v>
      </c>
      <c r="Q182" s="19">
        <f t="shared" si="32"/>
        <v>0</v>
      </c>
      <c r="R182" s="2" t="str">
        <f t="shared" si="33"/>
        <v>Number</v>
      </c>
      <c r="S182" s="2">
        <v>5.99</v>
      </c>
      <c r="T182" s="19">
        <f t="shared" si="34"/>
        <v>5.99</v>
      </c>
      <c r="U182" s="2">
        <v>20.98</v>
      </c>
      <c r="V182" s="19">
        <f t="shared" si="35"/>
        <v>20.98</v>
      </c>
      <c r="W182" s="19">
        <f t="shared" si="36"/>
        <v>20.98</v>
      </c>
      <c r="X182" s="19" t="str">
        <f t="shared" si="37"/>
        <v>True</v>
      </c>
      <c r="Y182" s="19" t="str">
        <f>IF(OR(W182&lt;'Cleaning Tasks'!$G$18,W182&gt;'Cleaning Tasks'!$H$18),"Outlier","Normal")</f>
        <v>Normal</v>
      </c>
      <c r="Z182" s="2" t="s">
        <v>49</v>
      </c>
      <c r="AA182" s="2" t="s">
        <v>40</v>
      </c>
      <c r="AB182" s="2" t="s">
        <v>50</v>
      </c>
      <c r="AC182" s="2" t="s">
        <v>223</v>
      </c>
      <c r="AD182" s="2"/>
      <c r="AE182" s="2" t="str">
        <f t="shared" si="38"/>
        <v>Not Required</v>
      </c>
      <c r="AF182" s="2" t="s">
        <v>791</v>
      </c>
    </row>
    <row r="183" spans="1:32" x14ac:dyDescent="0.3">
      <c r="A183" s="2" t="s">
        <v>792</v>
      </c>
      <c r="B183" s="2">
        <f t="shared" si="28"/>
        <v>1</v>
      </c>
      <c r="C183" s="12">
        <f t="shared" si="40"/>
        <v>46238.582338506953</v>
      </c>
      <c r="D183" s="13">
        <v>46238.582338506953</v>
      </c>
      <c r="E183" s="2" t="s">
        <v>449</v>
      </c>
      <c r="F183" s="2" t="str">
        <f t="shared" si="29"/>
        <v>Email Available</v>
      </c>
      <c r="G183" s="2" t="s">
        <v>450</v>
      </c>
      <c r="H183" s="2" t="s">
        <v>109</v>
      </c>
      <c r="I183" s="2" t="s">
        <v>79</v>
      </c>
      <c r="J183" s="2" t="s">
        <v>110</v>
      </c>
      <c r="K183" s="2">
        <v>1</v>
      </c>
      <c r="L183" s="2">
        <v>22.99</v>
      </c>
      <c r="M183" s="19">
        <f t="shared" si="30"/>
        <v>22.99</v>
      </c>
      <c r="N183" s="2" t="s">
        <v>118</v>
      </c>
      <c r="O183" s="2" t="str">
        <f t="shared" si="31"/>
        <v>BFCM25</v>
      </c>
      <c r="P183" s="2">
        <v>5.75</v>
      </c>
      <c r="Q183" s="19">
        <f t="shared" si="32"/>
        <v>5.75</v>
      </c>
      <c r="R183" s="2" t="str">
        <f t="shared" si="33"/>
        <v>Number</v>
      </c>
      <c r="S183" s="2">
        <v>7.99</v>
      </c>
      <c r="T183" s="19">
        <f t="shared" si="34"/>
        <v>7.99</v>
      </c>
      <c r="U183" s="2">
        <v>25.23</v>
      </c>
      <c r="V183" s="19">
        <f t="shared" si="35"/>
        <v>25.23</v>
      </c>
      <c r="W183" s="19">
        <f t="shared" si="36"/>
        <v>25.229999999999997</v>
      </c>
      <c r="X183" s="19" t="str">
        <f t="shared" si="37"/>
        <v>True</v>
      </c>
      <c r="Y183" s="19" t="str">
        <f>IF(OR(W183&lt;'Cleaning Tasks'!$G$18,W183&gt;'Cleaning Tasks'!$H$18),"Outlier","Normal")</f>
        <v>Normal</v>
      </c>
      <c r="Z183" s="2" t="s">
        <v>49</v>
      </c>
      <c r="AA183" s="2" t="s">
        <v>27</v>
      </c>
      <c r="AB183" s="2" t="s">
        <v>96</v>
      </c>
      <c r="AC183" s="2" t="s">
        <v>29</v>
      </c>
      <c r="AD183" s="2" t="s">
        <v>30</v>
      </c>
      <c r="AE183" s="2" t="str">
        <f t="shared" si="38"/>
        <v>Valid</v>
      </c>
      <c r="AF183" s="2" t="s">
        <v>793</v>
      </c>
    </row>
    <row r="184" spans="1:32" x14ac:dyDescent="0.3">
      <c r="A184" s="2" t="s">
        <v>794</v>
      </c>
      <c r="B184" s="2">
        <f t="shared" si="28"/>
        <v>1</v>
      </c>
      <c r="C184" s="12">
        <f>DATE(VALUE(RIGHT(D184,4)),MATCH(LEFT(D184,3),{"Jan","Feb","Mar","Apr","May","Jun","Jul","Aug","Sep","Oct","Nov","Dec"},0),VALUE(MID(D184,5,2)))</f>
        <v>46238</v>
      </c>
      <c r="D184" s="13" t="s">
        <v>171</v>
      </c>
      <c r="E184" s="2" t="s">
        <v>795</v>
      </c>
      <c r="F184" s="2" t="str">
        <f t="shared" si="29"/>
        <v>Email Available</v>
      </c>
      <c r="G184" s="2" t="s">
        <v>796</v>
      </c>
      <c r="H184" s="2" t="s">
        <v>78</v>
      </c>
      <c r="I184" s="2" t="s">
        <v>79</v>
      </c>
      <c r="J184" s="2" t="s">
        <v>80</v>
      </c>
      <c r="K184" s="2">
        <v>1</v>
      </c>
      <c r="L184" s="2">
        <v>89.99</v>
      </c>
      <c r="M184" s="19">
        <f t="shared" si="30"/>
        <v>89.99</v>
      </c>
      <c r="N184" s="2" t="s">
        <v>24</v>
      </c>
      <c r="O184" s="2" t="str">
        <f t="shared" si="31"/>
        <v>SAVE20</v>
      </c>
      <c r="P184" s="2">
        <v>18</v>
      </c>
      <c r="Q184" s="19">
        <f t="shared" si="32"/>
        <v>18</v>
      </c>
      <c r="R184" s="2" t="str">
        <f t="shared" si="33"/>
        <v>Number</v>
      </c>
      <c r="S184" s="2">
        <v>0</v>
      </c>
      <c r="T184" s="19">
        <f t="shared" si="34"/>
        <v>0</v>
      </c>
      <c r="U184" s="2">
        <v>71.989999999999995</v>
      </c>
      <c r="V184" s="19">
        <f t="shared" si="35"/>
        <v>71.989999999999995</v>
      </c>
      <c r="W184" s="19">
        <f t="shared" si="36"/>
        <v>71.989999999999995</v>
      </c>
      <c r="X184" s="19" t="str">
        <f t="shared" si="37"/>
        <v>True</v>
      </c>
      <c r="Y184" s="19" t="str">
        <f>IF(OR(W184&lt;'Cleaning Tasks'!$G$18,W184&gt;'Cleaning Tasks'!$H$18),"Outlier","Normal")</f>
        <v>Normal</v>
      </c>
      <c r="Z184" s="2" t="s">
        <v>26</v>
      </c>
      <c r="AA184" s="2" t="s">
        <v>88</v>
      </c>
      <c r="AB184" s="2" t="s">
        <v>50</v>
      </c>
      <c r="AC184" s="2" t="s">
        <v>42</v>
      </c>
      <c r="AD184" s="2"/>
      <c r="AE184" s="2" t="str">
        <f t="shared" si="38"/>
        <v>Not Required</v>
      </c>
      <c r="AF184" s="2" t="s">
        <v>797</v>
      </c>
    </row>
    <row r="185" spans="1:32" x14ac:dyDescent="0.3">
      <c r="A185" s="2" t="s">
        <v>798</v>
      </c>
      <c r="B185" s="2">
        <f t="shared" si="28"/>
        <v>1</v>
      </c>
      <c r="C185" s="12">
        <f t="shared" ref="C185:C213" si="41">IF(ISNUMBER(D185),D185,DATEVALUE(SUBSTITUTE(TRIM(D185),CHAR(160)," ")))</f>
        <v>46238.585868032409</v>
      </c>
      <c r="D185" s="13">
        <v>46238.585868032409</v>
      </c>
      <c r="E185" s="2" t="s">
        <v>188</v>
      </c>
      <c r="F185" s="2" t="str">
        <f t="shared" si="29"/>
        <v>Email Available</v>
      </c>
      <c r="G185" s="2" t="s">
        <v>189</v>
      </c>
      <c r="H185" s="2" t="s">
        <v>146</v>
      </c>
      <c r="I185" s="2" t="s">
        <v>47</v>
      </c>
      <c r="J185" s="2" t="s">
        <v>147</v>
      </c>
      <c r="K185" s="2">
        <v>1</v>
      </c>
      <c r="L185" s="2">
        <v>34.99</v>
      </c>
      <c r="M185" s="19">
        <f t="shared" si="30"/>
        <v>34.99</v>
      </c>
      <c r="N185" s="2" t="s">
        <v>203</v>
      </c>
      <c r="O185" s="2" t="str">
        <f t="shared" si="31"/>
        <v>VIP15</v>
      </c>
      <c r="P185" s="2" t="s">
        <v>799</v>
      </c>
      <c r="Q185" s="19">
        <f t="shared" si="32"/>
        <v>5.25</v>
      </c>
      <c r="R185" s="2" t="str">
        <f t="shared" si="33"/>
        <v>Number</v>
      </c>
      <c r="S185" s="2">
        <v>7.99</v>
      </c>
      <c r="T185" s="19">
        <f t="shared" si="34"/>
        <v>7.99</v>
      </c>
      <c r="U185" s="2" t="s">
        <v>800</v>
      </c>
      <c r="V185" s="19">
        <f t="shared" si="35"/>
        <v>37.729999999999997</v>
      </c>
      <c r="W185" s="19">
        <f t="shared" si="36"/>
        <v>37.730000000000004</v>
      </c>
      <c r="X185" s="19" t="str">
        <f t="shared" si="37"/>
        <v>True</v>
      </c>
      <c r="Y185" s="19" t="str">
        <f>IF(OR(W185&lt;'Cleaning Tasks'!$G$18,W185&gt;'Cleaning Tasks'!$H$18),"Outlier","Normal")</f>
        <v>Normal</v>
      </c>
      <c r="Z185" s="2" t="s">
        <v>72</v>
      </c>
      <c r="AA185" s="2" t="s">
        <v>27</v>
      </c>
      <c r="AB185" s="2" t="s">
        <v>50</v>
      </c>
      <c r="AC185" s="2" t="s">
        <v>29</v>
      </c>
      <c r="AD185" s="22" t="s">
        <v>140</v>
      </c>
      <c r="AE185" s="2" t="str">
        <f t="shared" si="38"/>
        <v>Valid</v>
      </c>
      <c r="AF185" s="2" t="s">
        <v>801</v>
      </c>
    </row>
    <row r="186" spans="1:32" x14ac:dyDescent="0.3">
      <c r="A186" s="2" t="s">
        <v>802</v>
      </c>
      <c r="B186" s="2">
        <f t="shared" si="28"/>
        <v>1</v>
      </c>
      <c r="C186" s="12">
        <f t="shared" si="41"/>
        <v>46238</v>
      </c>
      <c r="D186" s="13">
        <v>46238</v>
      </c>
      <c r="E186" s="2" t="s">
        <v>760</v>
      </c>
      <c r="F186" s="2" t="str">
        <f t="shared" si="29"/>
        <v>Email Available</v>
      </c>
      <c r="G186" s="2" t="s">
        <v>761</v>
      </c>
      <c r="H186" s="2" t="s">
        <v>221</v>
      </c>
      <c r="I186" s="2" t="s">
        <v>22</v>
      </c>
      <c r="J186" s="2" t="s">
        <v>222</v>
      </c>
      <c r="K186" s="2">
        <v>1</v>
      </c>
      <c r="L186" s="2">
        <v>17.989999999999998</v>
      </c>
      <c r="M186" s="19">
        <f t="shared" si="30"/>
        <v>17.989999999999998</v>
      </c>
      <c r="N186" s="2"/>
      <c r="O186" s="2" t="str">
        <f t="shared" si="31"/>
        <v/>
      </c>
      <c r="P186" s="2">
        <v>0</v>
      </c>
      <c r="Q186" s="19">
        <f t="shared" si="32"/>
        <v>0</v>
      </c>
      <c r="R186" s="2" t="str">
        <f t="shared" si="33"/>
        <v>Number</v>
      </c>
      <c r="S186" s="2">
        <v>7.99</v>
      </c>
      <c r="T186" s="19">
        <f t="shared" si="34"/>
        <v>7.99</v>
      </c>
      <c r="U186" s="2">
        <v>25.98</v>
      </c>
      <c r="V186" s="19">
        <f t="shared" si="35"/>
        <v>25.98</v>
      </c>
      <c r="W186" s="19">
        <f t="shared" si="36"/>
        <v>25.979999999999997</v>
      </c>
      <c r="X186" s="19" t="str">
        <f t="shared" si="37"/>
        <v>True</v>
      </c>
      <c r="Y186" s="19" t="str">
        <f>IF(OR(W186&lt;'Cleaning Tasks'!$G$18,W186&gt;'Cleaning Tasks'!$H$18),"Outlier","Normal")</f>
        <v>Normal</v>
      </c>
      <c r="Z186" s="2" t="s">
        <v>26</v>
      </c>
      <c r="AA186" s="2" t="s">
        <v>27</v>
      </c>
      <c r="AB186" s="2" t="s">
        <v>50</v>
      </c>
      <c r="AC186" s="2" t="s">
        <v>29</v>
      </c>
      <c r="AD186" s="2" t="s">
        <v>30</v>
      </c>
      <c r="AE186" s="2" t="str">
        <f t="shared" si="38"/>
        <v>Valid</v>
      </c>
      <c r="AF186" s="2" t="s">
        <v>803</v>
      </c>
    </row>
    <row r="187" spans="1:32" x14ac:dyDescent="0.3">
      <c r="A187" s="2" t="s">
        <v>804</v>
      </c>
      <c r="B187" s="2">
        <f t="shared" si="28"/>
        <v>1</v>
      </c>
      <c r="C187" s="12">
        <f t="shared" si="41"/>
        <v>46238.588013796303</v>
      </c>
      <c r="D187" s="13">
        <v>46238.588013796303</v>
      </c>
      <c r="E187" s="2" t="s">
        <v>805</v>
      </c>
      <c r="F187" s="2" t="str">
        <f t="shared" si="29"/>
        <v>Email Available</v>
      </c>
      <c r="G187" s="2" t="s">
        <v>806</v>
      </c>
      <c r="H187" s="2" t="s">
        <v>35</v>
      </c>
      <c r="I187" s="2" t="s">
        <v>36</v>
      </c>
      <c r="J187" s="2" t="s">
        <v>37</v>
      </c>
      <c r="K187" s="2">
        <v>1</v>
      </c>
      <c r="L187" s="2">
        <v>21.99</v>
      </c>
      <c r="M187" s="19">
        <f t="shared" si="30"/>
        <v>21.99</v>
      </c>
      <c r="N187" s="2"/>
      <c r="O187" s="2" t="str">
        <f t="shared" si="31"/>
        <v/>
      </c>
      <c r="P187" s="2">
        <v>0</v>
      </c>
      <c r="Q187" s="19">
        <f t="shared" si="32"/>
        <v>0</v>
      </c>
      <c r="R187" s="2" t="str">
        <f t="shared" si="33"/>
        <v>Number</v>
      </c>
      <c r="S187" s="2">
        <v>4.99</v>
      </c>
      <c r="T187" s="19">
        <f t="shared" si="34"/>
        <v>4.99</v>
      </c>
      <c r="U187" s="2">
        <v>26.98</v>
      </c>
      <c r="V187" s="19">
        <f t="shared" si="35"/>
        <v>26.98</v>
      </c>
      <c r="W187" s="19">
        <f t="shared" si="36"/>
        <v>26.979999999999997</v>
      </c>
      <c r="X187" s="19" t="str">
        <f t="shared" si="37"/>
        <v>True</v>
      </c>
      <c r="Y187" s="19" t="str">
        <f>IF(OR(W187&lt;'Cleaning Tasks'!$G$18,W187&gt;'Cleaning Tasks'!$H$18),"Outlier","Normal")</f>
        <v>Normal</v>
      </c>
      <c r="Z187" s="2" t="s">
        <v>39</v>
      </c>
      <c r="AA187" s="2" t="s">
        <v>27</v>
      </c>
      <c r="AB187" s="2" t="s">
        <v>41</v>
      </c>
      <c r="AC187" s="2" t="s">
        <v>29</v>
      </c>
      <c r="AD187" s="2" t="s">
        <v>67</v>
      </c>
      <c r="AE187" s="2" t="str">
        <f t="shared" si="38"/>
        <v>Valid</v>
      </c>
      <c r="AF187" s="2" t="s">
        <v>807</v>
      </c>
    </row>
    <row r="188" spans="1:32" x14ac:dyDescent="0.3">
      <c r="A188" s="2" t="s">
        <v>808</v>
      </c>
      <c r="B188" s="2">
        <f t="shared" si="28"/>
        <v>1</v>
      </c>
      <c r="C188" s="12">
        <f t="shared" si="41"/>
        <v>46238.584662777779</v>
      </c>
      <c r="D188" s="13">
        <v>46238.584662777779</v>
      </c>
      <c r="E188" s="2" t="s">
        <v>809</v>
      </c>
      <c r="F188" s="2" t="str">
        <f t="shared" si="29"/>
        <v>Email Available</v>
      </c>
      <c r="G188" s="2" t="s">
        <v>810</v>
      </c>
      <c r="H188" s="2" t="s">
        <v>146</v>
      </c>
      <c r="I188" s="2" t="s">
        <v>47</v>
      </c>
      <c r="J188" s="2" t="s">
        <v>147</v>
      </c>
      <c r="K188" s="2">
        <v>2</v>
      </c>
      <c r="L188" s="2">
        <v>34.99</v>
      </c>
      <c r="M188" s="19">
        <f t="shared" si="30"/>
        <v>34.99</v>
      </c>
      <c r="N188" s="2" t="s">
        <v>203</v>
      </c>
      <c r="O188" s="2" t="str">
        <f t="shared" si="31"/>
        <v>VIP15</v>
      </c>
      <c r="P188" s="2">
        <v>10.5</v>
      </c>
      <c r="Q188" s="19">
        <f t="shared" si="32"/>
        <v>10.5</v>
      </c>
      <c r="R188" s="2" t="str">
        <f t="shared" si="33"/>
        <v>Number</v>
      </c>
      <c r="S188" s="2">
        <v>5.99</v>
      </c>
      <c r="T188" s="19">
        <f t="shared" si="34"/>
        <v>5.99</v>
      </c>
      <c r="U188" s="2">
        <v>65.47</v>
      </c>
      <c r="V188" s="19">
        <f t="shared" si="35"/>
        <v>65.47</v>
      </c>
      <c r="W188" s="19">
        <f t="shared" si="36"/>
        <v>65.47</v>
      </c>
      <c r="X188" s="19" t="str">
        <f t="shared" si="37"/>
        <v>True</v>
      </c>
      <c r="Y188" s="19" t="str">
        <f>IF(OR(W188&lt;'Cleaning Tasks'!$G$18,W188&gt;'Cleaning Tasks'!$H$18),"Outlier","Normal")</f>
        <v>Normal</v>
      </c>
      <c r="Z188" s="2" t="s">
        <v>39</v>
      </c>
      <c r="AA188" s="2" t="s">
        <v>111</v>
      </c>
      <c r="AB188" s="2" t="s">
        <v>50</v>
      </c>
      <c r="AC188" s="2" t="s">
        <v>29</v>
      </c>
      <c r="AD188" s="2" t="s">
        <v>30</v>
      </c>
      <c r="AE188" s="2" t="str">
        <f t="shared" si="38"/>
        <v>Valid</v>
      </c>
      <c r="AF188" s="2" t="s">
        <v>811</v>
      </c>
    </row>
    <row r="189" spans="1:32" x14ac:dyDescent="0.3">
      <c r="A189" s="2" t="s">
        <v>812</v>
      </c>
      <c r="B189" s="2">
        <f t="shared" si="28"/>
        <v>1</v>
      </c>
      <c r="C189" s="12">
        <f t="shared" si="41"/>
        <v>46238.578993796298</v>
      </c>
      <c r="D189" s="13">
        <v>46238.578993796298</v>
      </c>
      <c r="E189" s="2" t="s">
        <v>287</v>
      </c>
      <c r="F189" s="2" t="str">
        <f t="shared" si="29"/>
        <v>Email Available</v>
      </c>
      <c r="G189" s="2" t="s">
        <v>288</v>
      </c>
      <c r="H189" s="2" t="s">
        <v>63</v>
      </c>
      <c r="I189" s="2" t="s">
        <v>47</v>
      </c>
      <c r="J189" s="2" t="s">
        <v>446</v>
      </c>
      <c r="K189" s="2">
        <v>2</v>
      </c>
      <c r="L189" s="2">
        <v>14.99</v>
      </c>
      <c r="M189" s="19">
        <f t="shared" si="30"/>
        <v>14.99</v>
      </c>
      <c r="N189" s="2" t="s">
        <v>24</v>
      </c>
      <c r="O189" s="2" t="str">
        <f t="shared" si="31"/>
        <v>SAVE20</v>
      </c>
      <c r="P189" s="2">
        <v>6</v>
      </c>
      <c r="Q189" s="19">
        <f t="shared" si="32"/>
        <v>6</v>
      </c>
      <c r="R189" s="2" t="str">
        <f t="shared" si="33"/>
        <v>Number</v>
      </c>
      <c r="S189" s="2">
        <v>4.99</v>
      </c>
      <c r="T189" s="19">
        <f t="shared" si="34"/>
        <v>4.99</v>
      </c>
      <c r="U189" s="2">
        <v>28.97</v>
      </c>
      <c r="V189" s="19">
        <f t="shared" si="35"/>
        <v>28.97</v>
      </c>
      <c r="W189" s="19">
        <f t="shared" si="36"/>
        <v>28.97</v>
      </c>
      <c r="X189" s="19" t="str">
        <f t="shared" si="37"/>
        <v>True</v>
      </c>
      <c r="Y189" s="19" t="str">
        <f>IF(OR(W189&lt;'Cleaning Tasks'!$G$18,W189&gt;'Cleaning Tasks'!$H$18),"Outlier","Normal")</f>
        <v>Normal</v>
      </c>
      <c r="Z189" s="2" t="s">
        <v>72</v>
      </c>
      <c r="AA189" s="2" t="s">
        <v>27</v>
      </c>
      <c r="AB189" s="2" t="s">
        <v>50</v>
      </c>
      <c r="AC189" s="2" t="s">
        <v>29</v>
      </c>
      <c r="AD189" s="2" t="s">
        <v>140</v>
      </c>
      <c r="AE189" s="2" t="str">
        <f t="shared" si="38"/>
        <v>Valid</v>
      </c>
      <c r="AF189" s="2" t="s">
        <v>813</v>
      </c>
    </row>
    <row r="190" spans="1:32" x14ac:dyDescent="0.3">
      <c r="A190" s="2" t="s">
        <v>814</v>
      </c>
      <c r="B190" s="2">
        <f t="shared" si="28"/>
        <v>1</v>
      </c>
      <c r="C190" s="12">
        <f t="shared" si="41"/>
        <v>46238.584060763889</v>
      </c>
      <c r="D190" s="13">
        <v>46238.584060763889</v>
      </c>
      <c r="E190" s="2" t="s">
        <v>815</v>
      </c>
      <c r="F190" s="2" t="str">
        <f t="shared" si="29"/>
        <v>Email Available</v>
      </c>
      <c r="G190" s="2" t="s">
        <v>816</v>
      </c>
      <c r="H190" s="2" t="s">
        <v>117</v>
      </c>
      <c r="I190" s="2" t="s">
        <v>22</v>
      </c>
      <c r="J190" s="2" t="s">
        <v>23</v>
      </c>
      <c r="K190" s="2">
        <v>3</v>
      </c>
      <c r="L190" s="2">
        <v>12.99</v>
      </c>
      <c r="M190" s="19">
        <f t="shared" si="30"/>
        <v>12.99</v>
      </c>
      <c r="N190" s="2" t="s">
        <v>24</v>
      </c>
      <c r="O190" s="2" t="str">
        <f t="shared" si="31"/>
        <v>SAVE20</v>
      </c>
      <c r="P190" s="2">
        <v>7.79</v>
      </c>
      <c r="Q190" s="19">
        <f t="shared" si="32"/>
        <v>7.79</v>
      </c>
      <c r="R190" s="2" t="str">
        <f t="shared" si="33"/>
        <v>Number</v>
      </c>
      <c r="S190" s="2">
        <v>4.99</v>
      </c>
      <c r="T190" s="19">
        <f t="shared" si="34"/>
        <v>4.99</v>
      </c>
      <c r="U190" s="2">
        <v>36.17</v>
      </c>
      <c r="V190" s="19">
        <f t="shared" si="35"/>
        <v>36.17</v>
      </c>
      <c r="W190" s="19">
        <f t="shared" si="36"/>
        <v>36.17</v>
      </c>
      <c r="X190" s="19" t="str">
        <f t="shared" si="37"/>
        <v>True</v>
      </c>
      <c r="Y190" s="19" t="str">
        <f>IF(OR(W190&lt;'Cleaning Tasks'!$G$18,W190&gt;'Cleaning Tasks'!$H$18),"Outlier","Normal")</f>
        <v>Normal</v>
      </c>
      <c r="Z190" s="2" t="s">
        <v>49</v>
      </c>
      <c r="AA190" s="2" t="s">
        <v>27</v>
      </c>
      <c r="AB190" s="2" t="s">
        <v>50</v>
      </c>
      <c r="AC190" s="2" t="s">
        <v>73</v>
      </c>
      <c r="AD190" s="2"/>
      <c r="AE190" s="2" t="str">
        <f t="shared" si="38"/>
        <v>Not Required</v>
      </c>
      <c r="AF190" s="2" t="s">
        <v>817</v>
      </c>
    </row>
    <row r="191" spans="1:32" x14ac:dyDescent="0.3">
      <c r="A191" s="2" t="s">
        <v>818</v>
      </c>
      <c r="B191" s="2">
        <f t="shared" si="28"/>
        <v>1</v>
      </c>
      <c r="C191" s="12">
        <f t="shared" si="41"/>
        <v>46238</v>
      </c>
      <c r="D191" s="13">
        <v>46238</v>
      </c>
      <c r="E191" s="2" t="s">
        <v>819</v>
      </c>
      <c r="F191" s="2" t="str">
        <f t="shared" si="29"/>
        <v>Email Available</v>
      </c>
      <c r="G191" s="2" t="s">
        <v>820</v>
      </c>
      <c r="H191" s="2" t="s">
        <v>35</v>
      </c>
      <c r="I191" s="2" t="s">
        <v>36</v>
      </c>
      <c r="J191" s="2" t="s">
        <v>37</v>
      </c>
      <c r="K191" s="2">
        <v>1</v>
      </c>
      <c r="L191" s="2">
        <v>21.99</v>
      </c>
      <c r="M191" s="19">
        <f t="shared" si="30"/>
        <v>21.99</v>
      </c>
      <c r="N191" s="2" t="s">
        <v>65</v>
      </c>
      <c r="O191" s="2" t="str">
        <f t="shared" si="31"/>
        <v>WELCOME10</v>
      </c>
      <c r="P191" s="2">
        <v>2.2000000000000002</v>
      </c>
      <c r="Q191" s="19">
        <f t="shared" si="32"/>
        <v>2.2000000000000002</v>
      </c>
      <c r="R191" s="2" t="str">
        <f t="shared" si="33"/>
        <v>Number</v>
      </c>
      <c r="S191" s="2">
        <v>7.99</v>
      </c>
      <c r="T191" s="19">
        <f t="shared" si="34"/>
        <v>7.99</v>
      </c>
      <c r="U191" s="2">
        <v>27.78</v>
      </c>
      <c r="V191" s="19">
        <f t="shared" si="35"/>
        <v>27.78</v>
      </c>
      <c r="W191" s="19">
        <f t="shared" si="36"/>
        <v>27.78</v>
      </c>
      <c r="X191" s="19" t="str">
        <f t="shared" si="37"/>
        <v>True</v>
      </c>
      <c r="Y191" s="19" t="str">
        <f>IF(OR(W191&lt;'Cleaning Tasks'!$G$18,W191&gt;'Cleaning Tasks'!$H$18),"Outlier","Normal")</f>
        <v>Normal</v>
      </c>
      <c r="Z191" s="2" t="s">
        <v>49</v>
      </c>
      <c r="AA191" s="2" t="s">
        <v>88</v>
      </c>
      <c r="AB191" s="2" t="s">
        <v>50</v>
      </c>
      <c r="AC191" s="2" t="s">
        <v>29</v>
      </c>
      <c r="AD191" s="2" t="s">
        <v>447</v>
      </c>
      <c r="AE191" s="2" t="str">
        <f t="shared" si="38"/>
        <v>Valid</v>
      </c>
      <c r="AF191" s="2" t="s">
        <v>821</v>
      </c>
    </row>
    <row r="192" spans="1:32" x14ac:dyDescent="0.3">
      <c r="A192" s="2" t="s">
        <v>822</v>
      </c>
      <c r="B192" s="2">
        <f t="shared" si="28"/>
        <v>1</v>
      </c>
      <c r="C192" s="12">
        <f t="shared" si="41"/>
        <v>46238.579455335654</v>
      </c>
      <c r="D192" s="13">
        <v>46238.579455335654</v>
      </c>
      <c r="E192" s="2" t="s">
        <v>398</v>
      </c>
      <c r="F192" s="2" t="str">
        <f t="shared" si="29"/>
        <v>Email Available</v>
      </c>
      <c r="G192" s="2" t="s">
        <v>399</v>
      </c>
      <c r="H192" s="2" t="s">
        <v>56</v>
      </c>
      <c r="I192" s="2" t="s">
        <v>22</v>
      </c>
      <c r="J192" s="2" t="s">
        <v>57</v>
      </c>
      <c r="K192" s="2">
        <v>1</v>
      </c>
      <c r="L192" s="2">
        <v>9.99</v>
      </c>
      <c r="M192" s="19">
        <f t="shared" si="30"/>
        <v>9.99</v>
      </c>
      <c r="N192" s="2"/>
      <c r="O192" s="2" t="str">
        <f t="shared" si="31"/>
        <v/>
      </c>
      <c r="P192" s="2">
        <v>0</v>
      </c>
      <c r="Q192" s="19">
        <f t="shared" si="32"/>
        <v>0</v>
      </c>
      <c r="R192" s="2" t="str">
        <f t="shared" si="33"/>
        <v>Number</v>
      </c>
      <c r="S192" s="2">
        <v>5.99</v>
      </c>
      <c r="T192" s="19">
        <f t="shared" si="34"/>
        <v>5.99</v>
      </c>
      <c r="U192" s="2">
        <v>15.98</v>
      </c>
      <c r="V192" s="19">
        <f t="shared" si="35"/>
        <v>15.98</v>
      </c>
      <c r="W192" s="19">
        <f t="shared" si="36"/>
        <v>15.98</v>
      </c>
      <c r="X192" s="19" t="str">
        <f t="shared" si="37"/>
        <v>True</v>
      </c>
      <c r="Y192" s="19" t="str">
        <f>IF(OR(W192&lt;'Cleaning Tasks'!$G$18,W192&gt;'Cleaning Tasks'!$H$18),"Outlier","Normal")</f>
        <v>Normal</v>
      </c>
      <c r="Z192" s="2" t="s">
        <v>49</v>
      </c>
      <c r="AA192" s="2" t="s">
        <v>40</v>
      </c>
      <c r="AB192" s="2" t="s">
        <v>50</v>
      </c>
      <c r="AC192" s="2" t="s">
        <v>29</v>
      </c>
      <c r="AD192" s="2" t="s">
        <v>140</v>
      </c>
      <c r="AE192" s="2" t="str">
        <f t="shared" si="38"/>
        <v>Valid</v>
      </c>
      <c r="AF192" s="2" t="s">
        <v>823</v>
      </c>
    </row>
    <row r="193" spans="1:32" x14ac:dyDescent="0.3">
      <c r="A193" s="2" t="s">
        <v>824</v>
      </c>
      <c r="B193" s="2">
        <f t="shared" si="28"/>
        <v>1</v>
      </c>
      <c r="C193" s="12">
        <f t="shared" si="41"/>
        <v>46238.584144444438</v>
      </c>
      <c r="D193" s="13">
        <v>46238.584144444438</v>
      </c>
      <c r="E193" s="2" t="s">
        <v>92</v>
      </c>
      <c r="F193" s="2" t="str">
        <f t="shared" si="29"/>
        <v>Email Available</v>
      </c>
      <c r="G193" s="2" t="s">
        <v>93</v>
      </c>
      <c r="H193" s="2" t="s">
        <v>56</v>
      </c>
      <c r="I193" s="2" t="s">
        <v>22</v>
      </c>
      <c r="J193" s="2" t="s">
        <v>57</v>
      </c>
      <c r="K193" s="2">
        <v>1</v>
      </c>
      <c r="L193" s="2">
        <v>9.99</v>
      </c>
      <c r="M193" s="19">
        <f t="shared" si="30"/>
        <v>9.99</v>
      </c>
      <c r="N193" s="2" t="s">
        <v>65</v>
      </c>
      <c r="O193" s="2" t="str">
        <f t="shared" si="31"/>
        <v>WELCOME10</v>
      </c>
      <c r="P193" s="2">
        <v>1</v>
      </c>
      <c r="Q193" s="19">
        <f t="shared" si="32"/>
        <v>1</v>
      </c>
      <c r="R193" s="2" t="str">
        <f t="shared" si="33"/>
        <v>Number</v>
      </c>
      <c r="S193" s="2">
        <v>4.99</v>
      </c>
      <c r="T193" s="19">
        <f t="shared" si="34"/>
        <v>4.99</v>
      </c>
      <c r="U193" s="2">
        <v>13.98</v>
      </c>
      <c r="V193" s="19">
        <f t="shared" si="35"/>
        <v>13.98</v>
      </c>
      <c r="W193" s="19">
        <f t="shared" si="36"/>
        <v>13.98</v>
      </c>
      <c r="X193" s="19" t="str">
        <f t="shared" si="37"/>
        <v>True</v>
      </c>
      <c r="Y193" s="19" t="str">
        <f>IF(OR(W193&lt;'Cleaning Tasks'!$G$18,W193&gt;'Cleaning Tasks'!$H$18),"Outlier","Normal")</f>
        <v>Normal</v>
      </c>
      <c r="Z193" s="2" t="s">
        <v>26</v>
      </c>
      <c r="AA193" s="2" t="s">
        <v>40</v>
      </c>
      <c r="AB193" s="2" t="s">
        <v>50</v>
      </c>
      <c r="AC193" s="2" t="s">
        <v>42</v>
      </c>
      <c r="AD193" s="2"/>
      <c r="AE193" s="2" t="str">
        <f t="shared" si="38"/>
        <v>Not Required</v>
      </c>
      <c r="AF193" s="2" t="s">
        <v>825</v>
      </c>
    </row>
    <row r="194" spans="1:32" x14ac:dyDescent="0.3">
      <c r="A194" s="2" t="s">
        <v>826</v>
      </c>
      <c r="B194" s="2">
        <f t="shared" ref="B194:B257" si="42">COUNTIF($A$2:$A$1993,A194)</f>
        <v>1</v>
      </c>
      <c r="C194" s="12">
        <f t="shared" si="41"/>
        <v>46238.582882256953</v>
      </c>
      <c r="D194" s="13">
        <v>46238.582882256953</v>
      </c>
      <c r="E194" s="2" t="s">
        <v>219</v>
      </c>
      <c r="F194" s="2" t="str">
        <f t="shared" ref="F194:F257" si="43">IF(TRIM(G194)="","Missing Email","Email Available")</f>
        <v>Email Available</v>
      </c>
      <c r="G194" s="2" t="s">
        <v>220</v>
      </c>
      <c r="H194" s="2" t="s">
        <v>190</v>
      </c>
      <c r="I194" s="2" t="s">
        <v>191</v>
      </c>
      <c r="J194" s="2" t="s">
        <v>192</v>
      </c>
      <c r="K194" s="2">
        <v>1</v>
      </c>
      <c r="L194" s="2">
        <v>13.49</v>
      </c>
      <c r="M194" s="19">
        <f t="shared" ref="M194:M257" si="44">IF(ISNUMBER(L194),L194,VALUE(SUBSTITUTE(L194,"$","")))</f>
        <v>13.49</v>
      </c>
      <c r="N194" s="2"/>
      <c r="O194" s="2" t="str">
        <f t="shared" ref="O194:O257" si="45">IF(TRIM(N194)="","",UPPER(TRIM(SUBSTITUTE(N194,CHAR(160)," "))))</f>
        <v/>
      </c>
      <c r="P194" s="2">
        <v>0</v>
      </c>
      <c r="Q194" s="19">
        <f t="shared" ref="Q194:Q257" si="46">IF(ISNUMBER(P194),P194,VALUE(TRIM(SUBSTITUTE(P194,"$",""))))</f>
        <v>0</v>
      </c>
      <c r="R194" s="2" t="str">
        <f t="shared" ref="R194:R257" si="47">IF(ISNUMBER(Q194),"Number","Text")</f>
        <v>Number</v>
      </c>
      <c r="S194" s="2">
        <v>7.99</v>
      </c>
      <c r="T194" s="19">
        <f t="shared" ref="T194:T257" si="48">IF(ISNUMBER(S194),S194,VALUE(TRIM(SUBSTITUTE(S194,"$",""))))</f>
        <v>7.99</v>
      </c>
      <c r="U194" s="2">
        <v>21.48</v>
      </c>
      <c r="V194" s="19">
        <f t="shared" ref="V194:V257" si="49">IF(ISNUMBER(U194),U194,VALUE(TRIM(SUBSTITUTE(U194,"$",""))))</f>
        <v>21.48</v>
      </c>
      <c r="W194" s="19">
        <f t="shared" ref="W194:W257" si="50">((M194*K194)-Q194)+T194</f>
        <v>21.48</v>
      </c>
      <c r="X194" s="19" t="str">
        <f t="shared" ref="X194:X257" si="51">IF(V194=W194,"True","False")</f>
        <v>True</v>
      </c>
      <c r="Y194" s="19" t="str">
        <f>IF(OR(W194&lt;'Cleaning Tasks'!$G$18,W194&gt;'Cleaning Tasks'!$H$18),"Outlier","Normal")</f>
        <v>Normal</v>
      </c>
      <c r="Z194" s="2" t="s">
        <v>72</v>
      </c>
      <c r="AA194" s="2" t="s">
        <v>27</v>
      </c>
      <c r="AB194" s="2" t="s">
        <v>41</v>
      </c>
      <c r="AC194" s="2" t="s">
        <v>223</v>
      </c>
      <c r="AD194" s="2"/>
      <c r="AE194" s="2" t="str">
        <f t="shared" ref="AE194:AE257" si="52">IF(AND(AC194="United States",AD194=""),"Missing state",IF(AD194="","Not Required","Valid"))</f>
        <v>Not Required</v>
      </c>
      <c r="AF194" s="2" t="s">
        <v>827</v>
      </c>
    </row>
    <row r="195" spans="1:32" x14ac:dyDescent="0.3">
      <c r="A195" s="2" t="s">
        <v>828</v>
      </c>
      <c r="B195" s="2">
        <f t="shared" si="42"/>
        <v>1</v>
      </c>
      <c r="C195" s="12">
        <f t="shared" si="41"/>
        <v>46238</v>
      </c>
      <c r="D195" s="13">
        <v>46238</v>
      </c>
      <c r="E195" s="2" t="s">
        <v>602</v>
      </c>
      <c r="F195" s="2" t="str">
        <f t="shared" si="43"/>
        <v>Email Available</v>
      </c>
      <c r="G195" s="2" t="s">
        <v>603</v>
      </c>
      <c r="H195" s="2" t="s">
        <v>152</v>
      </c>
      <c r="I195" s="2" t="s">
        <v>36</v>
      </c>
      <c r="J195" s="2" t="s">
        <v>153</v>
      </c>
      <c r="K195" s="2">
        <v>2</v>
      </c>
      <c r="L195" s="2">
        <v>29.99</v>
      </c>
      <c r="M195" s="19">
        <f t="shared" si="44"/>
        <v>29.99</v>
      </c>
      <c r="N195" s="2" t="s">
        <v>118</v>
      </c>
      <c r="O195" s="2" t="str">
        <f t="shared" si="45"/>
        <v>BFCM25</v>
      </c>
      <c r="P195" s="2">
        <v>14.99</v>
      </c>
      <c r="Q195" s="19">
        <f t="shared" si="46"/>
        <v>14.99</v>
      </c>
      <c r="R195" s="2" t="str">
        <f t="shared" si="47"/>
        <v>Number</v>
      </c>
      <c r="S195" s="2">
        <v>5.99</v>
      </c>
      <c r="T195" s="19">
        <f t="shared" si="48"/>
        <v>5.99</v>
      </c>
      <c r="U195" s="2">
        <v>50.98</v>
      </c>
      <c r="V195" s="19">
        <f t="shared" si="49"/>
        <v>50.98</v>
      </c>
      <c r="W195" s="19">
        <f t="shared" si="50"/>
        <v>50.98</v>
      </c>
      <c r="X195" s="19" t="str">
        <f t="shared" si="51"/>
        <v>True</v>
      </c>
      <c r="Y195" s="19" t="str">
        <f>IF(OR(W195&lt;'Cleaning Tasks'!$G$18,W195&gt;'Cleaning Tasks'!$H$18),"Outlier","Normal")</f>
        <v>Normal</v>
      </c>
      <c r="Z195" s="2" t="s">
        <v>26</v>
      </c>
      <c r="AA195" s="2" t="s">
        <v>40</v>
      </c>
      <c r="AB195" s="2" t="s">
        <v>50</v>
      </c>
      <c r="AC195" s="2" t="s">
        <v>42</v>
      </c>
      <c r="AD195" s="2"/>
      <c r="AE195" s="2" t="str">
        <f t="shared" si="52"/>
        <v>Not Required</v>
      </c>
      <c r="AF195" s="2" t="s">
        <v>829</v>
      </c>
    </row>
    <row r="196" spans="1:32" x14ac:dyDescent="0.3">
      <c r="A196" s="2" t="s">
        <v>830</v>
      </c>
      <c r="B196" s="2">
        <f t="shared" si="42"/>
        <v>1</v>
      </c>
      <c r="C196" s="12">
        <f t="shared" si="41"/>
        <v>46238.580622094909</v>
      </c>
      <c r="D196" s="13">
        <v>46238.580622094909</v>
      </c>
      <c r="E196" s="2" t="s">
        <v>831</v>
      </c>
      <c r="F196" s="2" t="str">
        <f t="shared" si="43"/>
        <v>Email Available</v>
      </c>
      <c r="G196" s="2" t="s">
        <v>832</v>
      </c>
      <c r="H196" s="2" t="s">
        <v>117</v>
      </c>
      <c r="I196" s="2" t="s">
        <v>22</v>
      </c>
      <c r="J196" s="2" t="s">
        <v>23</v>
      </c>
      <c r="K196" s="2">
        <v>1</v>
      </c>
      <c r="L196" s="2">
        <v>12.99</v>
      </c>
      <c r="M196" s="19">
        <f t="shared" si="44"/>
        <v>12.99</v>
      </c>
      <c r="N196" s="2"/>
      <c r="O196" s="2" t="str">
        <f t="shared" si="45"/>
        <v/>
      </c>
      <c r="P196" s="2">
        <v>0</v>
      </c>
      <c r="Q196" s="19">
        <f t="shared" si="46"/>
        <v>0</v>
      </c>
      <c r="R196" s="2" t="str">
        <f t="shared" si="47"/>
        <v>Number</v>
      </c>
      <c r="S196" s="2">
        <v>5.99</v>
      </c>
      <c r="T196" s="19">
        <f t="shared" si="48"/>
        <v>5.99</v>
      </c>
      <c r="U196" s="2">
        <v>18.98</v>
      </c>
      <c r="V196" s="19">
        <f t="shared" si="49"/>
        <v>18.98</v>
      </c>
      <c r="W196" s="19">
        <f t="shared" si="50"/>
        <v>18.98</v>
      </c>
      <c r="X196" s="19" t="str">
        <f t="shared" si="51"/>
        <v>True</v>
      </c>
      <c r="Y196" s="19" t="str">
        <f>IF(OR(W196&lt;'Cleaning Tasks'!$G$18,W196&gt;'Cleaning Tasks'!$H$18),"Outlier","Normal")</f>
        <v>Normal</v>
      </c>
      <c r="Z196" s="2" t="s">
        <v>26</v>
      </c>
      <c r="AA196" s="2" t="s">
        <v>27</v>
      </c>
      <c r="AB196" s="2" t="s">
        <v>50</v>
      </c>
      <c r="AC196" s="2" t="s">
        <v>29</v>
      </c>
      <c r="AD196" s="2" t="s">
        <v>58</v>
      </c>
      <c r="AE196" s="2" t="str">
        <f t="shared" si="52"/>
        <v>Valid</v>
      </c>
      <c r="AF196" s="2" t="s">
        <v>833</v>
      </c>
    </row>
    <row r="197" spans="1:32" x14ac:dyDescent="0.3">
      <c r="A197" s="2" t="s">
        <v>834</v>
      </c>
      <c r="B197" s="2">
        <f t="shared" si="42"/>
        <v>1</v>
      </c>
      <c r="C197" s="12">
        <f t="shared" si="41"/>
        <v>46238.583278425933</v>
      </c>
      <c r="D197" s="13">
        <v>46238.583278425933</v>
      </c>
      <c r="E197" s="2" t="s">
        <v>835</v>
      </c>
      <c r="F197" s="2" t="str">
        <f t="shared" si="43"/>
        <v>Email Available</v>
      </c>
      <c r="G197" s="2" t="s">
        <v>836</v>
      </c>
      <c r="H197" s="2" t="s">
        <v>279</v>
      </c>
      <c r="I197" s="2" t="s">
        <v>22</v>
      </c>
      <c r="J197" s="2" t="s">
        <v>280</v>
      </c>
      <c r="K197" s="2">
        <v>1</v>
      </c>
      <c r="L197" s="2">
        <v>24.99</v>
      </c>
      <c r="M197" s="19">
        <f t="shared" si="44"/>
        <v>24.99</v>
      </c>
      <c r="N197" s="2"/>
      <c r="O197" s="2" t="str">
        <f t="shared" si="45"/>
        <v/>
      </c>
      <c r="P197" s="2" t="s">
        <v>184</v>
      </c>
      <c r="Q197" s="19">
        <f t="shared" si="46"/>
        <v>0</v>
      </c>
      <c r="R197" s="2" t="str">
        <f t="shared" si="47"/>
        <v>Number</v>
      </c>
      <c r="S197" s="2">
        <v>7.99</v>
      </c>
      <c r="T197" s="19">
        <f t="shared" si="48"/>
        <v>7.99</v>
      </c>
      <c r="U197" s="2">
        <v>32.979999999999997</v>
      </c>
      <c r="V197" s="19">
        <f t="shared" si="49"/>
        <v>32.979999999999997</v>
      </c>
      <c r="W197" s="19">
        <f t="shared" si="50"/>
        <v>32.979999999999997</v>
      </c>
      <c r="X197" s="19" t="str">
        <f t="shared" si="51"/>
        <v>True</v>
      </c>
      <c r="Y197" s="19" t="str">
        <f>IF(OR(W197&lt;'Cleaning Tasks'!$G$18,W197&gt;'Cleaning Tasks'!$H$18),"Outlier","Normal")</f>
        <v>Normal</v>
      </c>
      <c r="Z197" s="2" t="s">
        <v>39</v>
      </c>
      <c r="AA197" s="2" t="s">
        <v>27</v>
      </c>
      <c r="AB197" s="2" t="s">
        <v>50</v>
      </c>
      <c r="AC197" s="2" t="s">
        <v>29</v>
      </c>
      <c r="AD197" s="2" t="s">
        <v>447</v>
      </c>
      <c r="AE197" s="2" t="str">
        <f t="shared" si="52"/>
        <v>Valid</v>
      </c>
      <c r="AF197" s="2" t="s">
        <v>837</v>
      </c>
    </row>
    <row r="198" spans="1:32" x14ac:dyDescent="0.3">
      <c r="A198" s="2" t="s">
        <v>838</v>
      </c>
      <c r="B198" s="2">
        <f t="shared" si="42"/>
        <v>1</v>
      </c>
      <c r="C198" s="12">
        <f t="shared" si="41"/>
        <v>46238.583917361109</v>
      </c>
      <c r="D198" s="13">
        <v>46238.583917361109</v>
      </c>
      <c r="E198" s="2" t="s">
        <v>839</v>
      </c>
      <c r="F198" s="2" t="str">
        <f t="shared" si="43"/>
        <v>Email Available</v>
      </c>
      <c r="G198" s="2" t="s">
        <v>840</v>
      </c>
      <c r="H198" s="2" t="s">
        <v>78</v>
      </c>
      <c r="I198" s="2" t="s">
        <v>79</v>
      </c>
      <c r="J198" s="2" t="s">
        <v>80</v>
      </c>
      <c r="K198" s="2">
        <v>1</v>
      </c>
      <c r="L198" s="2">
        <v>89.99</v>
      </c>
      <c r="M198" s="19">
        <f t="shared" si="44"/>
        <v>89.99</v>
      </c>
      <c r="N198" s="2" t="s">
        <v>24</v>
      </c>
      <c r="O198" s="2" t="str">
        <f t="shared" si="45"/>
        <v>SAVE20</v>
      </c>
      <c r="P198" s="2">
        <v>18</v>
      </c>
      <c r="Q198" s="19">
        <f t="shared" si="46"/>
        <v>18</v>
      </c>
      <c r="R198" s="2" t="str">
        <f t="shared" si="47"/>
        <v>Number</v>
      </c>
      <c r="S198" s="2">
        <v>0</v>
      </c>
      <c r="T198" s="19">
        <f t="shared" si="48"/>
        <v>0</v>
      </c>
      <c r="U198" s="2">
        <v>71.989999999999995</v>
      </c>
      <c r="V198" s="19">
        <f t="shared" si="49"/>
        <v>71.989999999999995</v>
      </c>
      <c r="W198" s="19">
        <f t="shared" si="50"/>
        <v>71.989999999999995</v>
      </c>
      <c r="X198" s="19" t="str">
        <f t="shared" si="51"/>
        <v>True</v>
      </c>
      <c r="Y198" s="19" t="str">
        <f>IF(OR(W198&lt;'Cleaning Tasks'!$G$18,W198&gt;'Cleaning Tasks'!$H$18),"Outlier","Normal")</f>
        <v>Normal</v>
      </c>
      <c r="Z198" s="2" t="s">
        <v>26</v>
      </c>
      <c r="AA198" s="2" t="s">
        <v>27</v>
      </c>
      <c r="AB198" s="2" t="s">
        <v>28</v>
      </c>
      <c r="AC198" s="2" t="s">
        <v>223</v>
      </c>
      <c r="AD198" s="2"/>
      <c r="AE198" s="2" t="str">
        <f t="shared" si="52"/>
        <v>Not Required</v>
      </c>
      <c r="AF198" s="2" t="s">
        <v>841</v>
      </c>
    </row>
    <row r="199" spans="1:32" x14ac:dyDescent="0.3">
      <c r="A199" s="2" t="s">
        <v>842</v>
      </c>
      <c r="B199" s="2">
        <f t="shared" si="42"/>
        <v>1</v>
      </c>
      <c r="C199" s="12">
        <f t="shared" si="41"/>
        <v>46238.585170648148</v>
      </c>
      <c r="D199" s="13">
        <v>46238.585170648148</v>
      </c>
      <c r="E199" s="2" t="s">
        <v>843</v>
      </c>
      <c r="F199" s="2" t="str">
        <f t="shared" si="43"/>
        <v>Email Available</v>
      </c>
      <c r="G199" s="2" t="s">
        <v>844</v>
      </c>
      <c r="H199" s="2" t="s">
        <v>146</v>
      </c>
      <c r="I199" s="2" t="s">
        <v>47</v>
      </c>
      <c r="J199" s="2" t="s">
        <v>147</v>
      </c>
      <c r="K199" s="2">
        <v>2</v>
      </c>
      <c r="L199" s="2">
        <v>34.99</v>
      </c>
      <c r="M199" s="19">
        <f t="shared" si="44"/>
        <v>34.99</v>
      </c>
      <c r="N199" s="2" t="s">
        <v>38</v>
      </c>
      <c r="O199" s="2" t="str">
        <f t="shared" si="45"/>
        <v>FREESHIP</v>
      </c>
      <c r="P199" s="2">
        <v>0</v>
      </c>
      <c r="Q199" s="19">
        <f t="shared" si="46"/>
        <v>0</v>
      </c>
      <c r="R199" s="2" t="str">
        <f t="shared" si="47"/>
        <v>Number</v>
      </c>
      <c r="S199" s="2">
        <v>0</v>
      </c>
      <c r="T199" s="19">
        <f t="shared" si="48"/>
        <v>0</v>
      </c>
      <c r="U199" s="2" t="s">
        <v>845</v>
      </c>
      <c r="V199" s="19">
        <f t="shared" si="49"/>
        <v>69.98</v>
      </c>
      <c r="W199" s="19">
        <f t="shared" si="50"/>
        <v>69.98</v>
      </c>
      <c r="X199" s="19" t="str">
        <f t="shared" si="51"/>
        <v>True</v>
      </c>
      <c r="Y199" s="19" t="str">
        <f>IF(OR(W199&lt;'Cleaning Tasks'!$G$18,W199&gt;'Cleaning Tasks'!$H$18),"Outlier","Normal")</f>
        <v>Normal</v>
      </c>
      <c r="Z199" s="2" t="s">
        <v>66</v>
      </c>
      <c r="AA199" s="2" t="s">
        <v>27</v>
      </c>
      <c r="AB199" s="2" t="s">
        <v>50</v>
      </c>
      <c r="AC199" s="2" t="s">
        <v>29</v>
      </c>
      <c r="AD199" s="2" t="s">
        <v>341</v>
      </c>
      <c r="AE199" s="2" t="str">
        <f t="shared" si="52"/>
        <v>Valid</v>
      </c>
      <c r="AF199" s="2" t="s">
        <v>846</v>
      </c>
    </row>
    <row r="200" spans="1:32" x14ac:dyDescent="0.3">
      <c r="A200" s="2" t="s">
        <v>847</v>
      </c>
      <c r="B200" s="2">
        <f t="shared" si="42"/>
        <v>1</v>
      </c>
      <c r="C200" s="12">
        <f t="shared" si="41"/>
        <v>46238.579688796293</v>
      </c>
      <c r="D200" s="13">
        <v>46238.579688796293</v>
      </c>
      <c r="E200" s="2" t="s">
        <v>296</v>
      </c>
      <c r="F200" s="2" t="str">
        <f t="shared" si="43"/>
        <v>Email Available</v>
      </c>
      <c r="G200" s="2" t="s">
        <v>297</v>
      </c>
      <c r="H200" s="2" t="s">
        <v>146</v>
      </c>
      <c r="I200" s="2" t="s">
        <v>47</v>
      </c>
      <c r="J200" s="2" t="s">
        <v>147</v>
      </c>
      <c r="K200" s="2">
        <v>1</v>
      </c>
      <c r="L200" s="2">
        <v>34.99</v>
      </c>
      <c r="M200" s="19">
        <f t="shared" si="44"/>
        <v>34.99</v>
      </c>
      <c r="N200" s="2" t="s">
        <v>118</v>
      </c>
      <c r="O200" s="2" t="str">
        <f t="shared" si="45"/>
        <v>BFCM25</v>
      </c>
      <c r="P200" s="2">
        <v>8.75</v>
      </c>
      <c r="Q200" s="19">
        <f t="shared" si="46"/>
        <v>8.75</v>
      </c>
      <c r="R200" s="2" t="str">
        <f t="shared" si="47"/>
        <v>Number</v>
      </c>
      <c r="S200" s="2">
        <v>7.99</v>
      </c>
      <c r="T200" s="19">
        <f t="shared" si="48"/>
        <v>7.99</v>
      </c>
      <c r="U200" s="2">
        <v>34.229999999999997</v>
      </c>
      <c r="V200" s="19">
        <f t="shared" si="49"/>
        <v>34.229999999999997</v>
      </c>
      <c r="W200" s="19">
        <f t="shared" si="50"/>
        <v>34.230000000000004</v>
      </c>
      <c r="X200" s="19" t="str">
        <f t="shared" si="51"/>
        <v>True</v>
      </c>
      <c r="Y200" s="19" t="str">
        <f>IF(OR(W200&lt;'Cleaning Tasks'!$G$18,W200&gt;'Cleaning Tasks'!$H$18),"Outlier","Normal")</f>
        <v>Normal</v>
      </c>
      <c r="Z200" s="2" t="s">
        <v>72</v>
      </c>
      <c r="AA200" s="2" t="s">
        <v>40</v>
      </c>
      <c r="AB200" s="2" t="s">
        <v>96</v>
      </c>
      <c r="AC200" s="2" t="s">
        <v>105</v>
      </c>
      <c r="AD200" s="2"/>
      <c r="AE200" s="2" t="str">
        <f t="shared" si="52"/>
        <v>Not Required</v>
      </c>
      <c r="AF200" s="2" t="s">
        <v>848</v>
      </c>
    </row>
    <row r="201" spans="1:32" x14ac:dyDescent="0.3">
      <c r="A201" s="2" t="s">
        <v>849</v>
      </c>
      <c r="B201" s="2">
        <f t="shared" si="42"/>
        <v>1</v>
      </c>
      <c r="C201" s="12">
        <f t="shared" si="41"/>
        <v>46238.58323384259</v>
      </c>
      <c r="D201" s="13">
        <v>46238.58323384259</v>
      </c>
      <c r="E201" s="2" t="s">
        <v>850</v>
      </c>
      <c r="F201" s="2" t="str">
        <f t="shared" si="43"/>
        <v>Email Available</v>
      </c>
      <c r="G201" s="2" t="s">
        <v>851</v>
      </c>
      <c r="H201" s="2" t="s">
        <v>267</v>
      </c>
      <c r="I201" s="2" t="s">
        <v>22</v>
      </c>
      <c r="J201" s="2" t="s">
        <v>268</v>
      </c>
      <c r="K201" s="2">
        <v>4</v>
      </c>
      <c r="L201" s="2">
        <v>18.989999999999998</v>
      </c>
      <c r="M201" s="19">
        <f t="shared" si="44"/>
        <v>18.989999999999998</v>
      </c>
      <c r="N201" s="2" t="s">
        <v>118</v>
      </c>
      <c r="O201" s="2" t="str">
        <f t="shared" si="45"/>
        <v>BFCM25</v>
      </c>
      <c r="P201" s="2">
        <v>18.989999999999998</v>
      </c>
      <c r="Q201" s="19">
        <f t="shared" si="46"/>
        <v>18.989999999999998</v>
      </c>
      <c r="R201" s="2" t="str">
        <f t="shared" si="47"/>
        <v>Number</v>
      </c>
      <c r="S201" s="2">
        <v>0</v>
      </c>
      <c r="T201" s="19">
        <f t="shared" si="48"/>
        <v>0</v>
      </c>
      <c r="U201" s="2">
        <v>56.97</v>
      </c>
      <c r="V201" s="19">
        <f t="shared" si="49"/>
        <v>56.97</v>
      </c>
      <c r="W201" s="19">
        <f t="shared" si="50"/>
        <v>56.97</v>
      </c>
      <c r="X201" s="19" t="str">
        <f t="shared" si="51"/>
        <v>True</v>
      </c>
      <c r="Y201" s="19" t="str">
        <f>IF(OR(W201&lt;'Cleaning Tasks'!$G$18,W201&gt;'Cleaning Tasks'!$H$18),"Outlier","Normal")</f>
        <v>Normal</v>
      </c>
      <c r="Z201" s="2" t="s">
        <v>72</v>
      </c>
      <c r="AA201" s="2" t="s">
        <v>27</v>
      </c>
      <c r="AB201" s="2" t="s">
        <v>50</v>
      </c>
      <c r="AC201" s="2" t="s">
        <v>42</v>
      </c>
      <c r="AD201" s="2"/>
      <c r="AE201" s="2" t="str">
        <f t="shared" si="52"/>
        <v>Not Required</v>
      </c>
      <c r="AF201" s="2" t="s">
        <v>852</v>
      </c>
    </row>
    <row r="202" spans="1:32" x14ac:dyDescent="0.3">
      <c r="A202" s="2" t="s">
        <v>853</v>
      </c>
      <c r="B202" s="2">
        <f t="shared" si="42"/>
        <v>1</v>
      </c>
      <c r="C202" s="12">
        <f t="shared" si="41"/>
        <v>46238.586459537037</v>
      </c>
      <c r="D202" s="13">
        <v>46238.586459537037</v>
      </c>
      <c r="E202" s="2" t="s">
        <v>436</v>
      </c>
      <c r="F202" s="2" t="str">
        <f t="shared" si="43"/>
        <v>Email Available</v>
      </c>
      <c r="G202" s="2" t="s">
        <v>437</v>
      </c>
      <c r="H202" s="2" t="s">
        <v>63</v>
      </c>
      <c r="I202" s="2" t="s">
        <v>47</v>
      </c>
      <c r="J202" s="2" t="s">
        <v>64</v>
      </c>
      <c r="K202" s="2">
        <v>1</v>
      </c>
      <c r="L202" s="2">
        <v>14.99</v>
      </c>
      <c r="M202" s="19">
        <f t="shared" si="44"/>
        <v>14.99</v>
      </c>
      <c r="N202" s="2" t="s">
        <v>118</v>
      </c>
      <c r="O202" s="2" t="str">
        <f t="shared" si="45"/>
        <v>BFCM25</v>
      </c>
      <c r="P202" s="2">
        <v>3.75</v>
      </c>
      <c r="Q202" s="19">
        <f t="shared" si="46"/>
        <v>3.75</v>
      </c>
      <c r="R202" s="2" t="str">
        <f t="shared" si="47"/>
        <v>Number</v>
      </c>
      <c r="S202" s="2">
        <v>5.99</v>
      </c>
      <c r="T202" s="19">
        <f t="shared" si="48"/>
        <v>5.99</v>
      </c>
      <c r="U202" s="2">
        <v>17.23</v>
      </c>
      <c r="V202" s="19">
        <f t="shared" si="49"/>
        <v>17.23</v>
      </c>
      <c r="W202" s="19">
        <f t="shared" si="50"/>
        <v>17.23</v>
      </c>
      <c r="X202" s="19" t="str">
        <f t="shared" si="51"/>
        <v>True</v>
      </c>
      <c r="Y202" s="19" t="str">
        <f>IF(OR(W202&lt;'Cleaning Tasks'!$G$18,W202&gt;'Cleaning Tasks'!$H$18),"Outlier","Normal")</f>
        <v>Normal</v>
      </c>
      <c r="Z202" s="2" t="s">
        <v>26</v>
      </c>
      <c r="AA202" s="2" t="s">
        <v>27</v>
      </c>
      <c r="AB202" s="2" t="s">
        <v>28</v>
      </c>
      <c r="AC202" s="2" t="s">
        <v>42</v>
      </c>
      <c r="AD202" s="2"/>
      <c r="AE202" s="2" t="str">
        <f t="shared" si="52"/>
        <v>Not Required</v>
      </c>
      <c r="AF202" s="2" t="s">
        <v>854</v>
      </c>
    </row>
    <row r="203" spans="1:32" x14ac:dyDescent="0.3">
      <c r="A203" s="2" t="s">
        <v>855</v>
      </c>
      <c r="B203" s="2">
        <f t="shared" si="42"/>
        <v>1</v>
      </c>
      <c r="C203" s="12">
        <f t="shared" si="41"/>
        <v>46238.581189791657</v>
      </c>
      <c r="D203" s="13">
        <v>46238.581189791657</v>
      </c>
      <c r="E203" s="2" t="s">
        <v>856</v>
      </c>
      <c r="F203" s="2" t="str">
        <f t="shared" si="43"/>
        <v>Email Available</v>
      </c>
      <c r="G203" s="2" t="s">
        <v>857</v>
      </c>
      <c r="H203" s="2" t="s">
        <v>117</v>
      </c>
      <c r="I203" s="2" t="s">
        <v>22</v>
      </c>
      <c r="J203" s="2" t="s">
        <v>23</v>
      </c>
      <c r="K203" s="2">
        <v>1</v>
      </c>
      <c r="L203" s="2">
        <v>12.99</v>
      </c>
      <c r="M203" s="19">
        <f t="shared" si="44"/>
        <v>12.99</v>
      </c>
      <c r="N203" s="2"/>
      <c r="O203" s="2" t="str">
        <f t="shared" si="45"/>
        <v/>
      </c>
      <c r="P203" s="2">
        <v>0</v>
      </c>
      <c r="Q203" s="19">
        <f t="shared" si="46"/>
        <v>0</v>
      </c>
      <c r="R203" s="2" t="str">
        <f t="shared" si="47"/>
        <v>Number</v>
      </c>
      <c r="S203" s="2">
        <v>4.99</v>
      </c>
      <c r="T203" s="19">
        <f t="shared" si="48"/>
        <v>4.99</v>
      </c>
      <c r="U203" s="2">
        <v>17.98</v>
      </c>
      <c r="V203" s="19">
        <f t="shared" si="49"/>
        <v>17.98</v>
      </c>
      <c r="W203" s="19">
        <f t="shared" si="50"/>
        <v>17.98</v>
      </c>
      <c r="X203" s="19" t="str">
        <f t="shared" si="51"/>
        <v>True</v>
      </c>
      <c r="Y203" s="19" t="str">
        <f>IF(OR(W203&lt;'Cleaning Tasks'!$G$18,W203&gt;'Cleaning Tasks'!$H$18),"Outlier","Normal")</f>
        <v>Normal</v>
      </c>
      <c r="Z203" s="2" t="s">
        <v>49</v>
      </c>
      <c r="AA203" s="2" t="s">
        <v>27</v>
      </c>
      <c r="AB203" s="2" t="s">
        <v>50</v>
      </c>
      <c r="AC203" s="2" t="s">
        <v>105</v>
      </c>
      <c r="AD203" s="2"/>
      <c r="AE203" s="2" t="str">
        <f t="shared" si="52"/>
        <v>Not Required</v>
      </c>
      <c r="AF203" s="2" t="s">
        <v>858</v>
      </c>
    </row>
    <row r="204" spans="1:32" x14ac:dyDescent="0.3">
      <c r="A204" s="2" t="s">
        <v>859</v>
      </c>
      <c r="B204" s="2">
        <f t="shared" si="42"/>
        <v>1</v>
      </c>
      <c r="C204" s="12">
        <f t="shared" si="41"/>
        <v>46238</v>
      </c>
      <c r="D204" s="13">
        <v>46238</v>
      </c>
      <c r="E204" s="2" t="s">
        <v>860</v>
      </c>
      <c r="F204" s="2" t="str">
        <f t="shared" si="43"/>
        <v>Email Available</v>
      </c>
      <c r="G204" s="2" t="s">
        <v>844</v>
      </c>
      <c r="H204" s="2" t="s">
        <v>152</v>
      </c>
      <c r="I204" s="2" t="s">
        <v>36</v>
      </c>
      <c r="J204" s="2" t="s">
        <v>153</v>
      </c>
      <c r="K204" s="2">
        <v>1</v>
      </c>
      <c r="L204" s="2">
        <v>29.99</v>
      </c>
      <c r="M204" s="19">
        <f t="shared" si="44"/>
        <v>29.99</v>
      </c>
      <c r="N204" s="2" t="s">
        <v>118</v>
      </c>
      <c r="O204" s="2" t="str">
        <f t="shared" si="45"/>
        <v>BFCM25</v>
      </c>
      <c r="P204" s="2">
        <v>7.5</v>
      </c>
      <c r="Q204" s="19">
        <f t="shared" si="46"/>
        <v>7.5</v>
      </c>
      <c r="R204" s="2" t="str">
        <f t="shared" si="47"/>
        <v>Number</v>
      </c>
      <c r="S204" s="2">
        <v>4.99</v>
      </c>
      <c r="T204" s="19">
        <f t="shared" si="48"/>
        <v>4.99</v>
      </c>
      <c r="U204" s="2">
        <v>27.48</v>
      </c>
      <c r="V204" s="19">
        <f t="shared" si="49"/>
        <v>27.48</v>
      </c>
      <c r="W204" s="19">
        <f t="shared" si="50"/>
        <v>27.479999999999997</v>
      </c>
      <c r="X204" s="19" t="str">
        <f t="shared" si="51"/>
        <v>True</v>
      </c>
      <c r="Y204" s="19" t="str">
        <f>IF(OR(W204&lt;'Cleaning Tasks'!$G$18,W204&gt;'Cleaning Tasks'!$H$18),"Outlier","Normal")</f>
        <v>Normal</v>
      </c>
      <c r="Z204" s="2" t="s">
        <v>72</v>
      </c>
      <c r="AA204" s="2" t="s">
        <v>40</v>
      </c>
      <c r="AB204" s="2" t="s">
        <v>50</v>
      </c>
      <c r="AC204" s="2" t="s">
        <v>29</v>
      </c>
      <c r="AD204" s="2" t="s">
        <v>243</v>
      </c>
      <c r="AE204" s="2" t="str">
        <f t="shared" si="52"/>
        <v>Valid</v>
      </c>
      <c r="AF204" s="2" t="s">
        <v>861</v>
      </c>
    </row>
    <row r="205" spans="1:32" x14ac:dyDescent="0.3">
      <c r="A205" s="2" t="s">
        <v>862</v>
      </c>
      <c r="B205" s="2">
        <f t="shared" si="42"/>
        <v>1</v>
      </c>
      <c r="C205" s="12">
        <f t="shared" si="41"/>
        <v>46238.587162847223</v>
      </c>
      <c r="D205" s="13">
        <v>46238.587162847223</v>
      </c>
      <c r="E205" s="2" t="s">
        <v>409</v>
      </c>
      <c r="F205" s="2" t="str">
        <f t="shared" si="43"/>
        <v>Email Available</v>
      </c>
      <c r="G205" s="2" t="s">
        <v>410</v>
      </c>
      <c r="H205" s="2" t="s">
        <v>279</v>
      </c>
      <c r="I205" s="2" t="s">
        <v>22</v>
      </c>
      <c r="J205" s="2" t="s">
        <v>280</v>
      </c>
      <c r="K205" s="2">
        <v>2</v>
      </c>
      <c r="L205" s="2">
        <v>24.99</v>
      </c>
      <c r="M205" s="19">
        <f t="shared" si="44"/>
        <v>24.99</v>
      </c>
      <c r="N205" s="2"/>
      <c r="O205" s="2" t="str">
        <f t="shared" si="45"/>
        <v/>
      </c>
      <c r="P205" s="2" t="s">
        <v>184</v>
      </c>
      <c r="Q205" s="19">
        <f t="shared" si="46"/>
        <v>0</v>
      </c>
      <c r="R205" s="2" t="str">
        <f t="shared" si="47"/>
        <v>Number</v>
      </c>
      <c r="S205" s="2">
        <v>4.99</v>
      </c>
      <c r="T205" s="19">
        <f t="shared" si="48"/>
        <v>4.99</v>
      </c>
      <c r="U205" s="2">
        <v>54.97</v>
      </c>
      <c r="V205" s="19">
        <f t="shared" si="49"/>
        <v>54.97</v>
      </c>
      <c r="W205" s="19">
        <f t="shared" si="50"/>
        <v>54.97</v>
      </c>
      <c r="X205" s="19" t="str">
        <f t="shared" si="51"/>
        <v>True</v>
      </c>
      <c r="Y205" s="19" t="str">
        <f>IF(OR(W205&lt;'Cleaning Tasks'!$G$18,W205&gt;'Cleaning Tasks'!$H$18),"Outlier","Normal")</f>
        <v>Normal</v>
      </c>
      <c r="Z205" s="2" t="s">
        <v>49</v>
      </c>
      <c r="AA205" s="2" t="s">
        <v>27</v>
      </c>
      <c r="AB205" s="2" t="s">
        <v>96</v>
      </c>
      <c r="AC205" s="2" t="s">
        <v>42</v>
      </c>
      <c r="AD205" s="2"/>
      <c r="AE205" s="2" t="str">
        <f t="shared" si="52"/>
        <v>Not Required</v>
      </c>
      <c r="AF205" s="2" t="s">
        <v>863</v>
      </c>
    </row>
    <row r="206" spans="1:32" x14ac:dyDescent="0.3">
      <c r="A206" s="2" t="s">
        <v>864</v>
      </c>
      <c r="B206" s="2">
        <f t="shared" si="42"/>
        <v>1</v>
      </c>
      <c r="C206" s="12">
        <f t="shared" si="41"/>
        <v>46238.582158171303</v>
      </c>
      <c r="D206" s="13">
        <v>46238.582158171303</v>
      </c>
      <c r="E206" s="2" t="s">
        <v>606</v>
      </c>
      <c r="F206" s="2" t="str">
        <f t="shared" si="43"/>
        <v>Email Available</v>
      </c>
      <c r="G206" s="2" t="s">
        <v>607</v>
      </c>
      <c r="H206" s="2" t="s">
        <v>361</v>
      </c>
      <c r="I206" s="2" t="s">
        <v>86</v>
      </c>
      <c r="J206" s="2" t="s">
        <v>362</v>
      </c>
      <c r="K206" s="2">
        <v>1</v>
      </c>
      <c r="L206" s="2">
        <v>54.99</v>
      </c>
      <c r="M206" s="19">
        <f t="shared" si="44"/>
        <v>54.99</v>
      </c>
      <c r="N206" s="2"/>
      <c r="O206" s="2" t="str">
        <f t="shared" si="45"/>
        <v/>
      </c>
      <c r="P206" s="2">
        <v>0</v>
      </c>
      <c r="Q206" s="19">
        <f t="shared" si="46"/>
        <v>0</v>
      </c>
      <c r="R206" s="2" t="str">
        <f t="shared" si="47"/>
        <v>Number</v>
      </c>
      <c r="S206" s="2">
        <v>5.99</v>
      </c>
      <c r="T206" s="19">
        <f t="shared" si="48"/>
        <v>5.99</v>
      </c>
      <c r="U206" s="2">
        <v>60.98</v>
      </c>
      <c r="V206" s="19">
        <f t="shared" si="49"/>
        <v>60.98</v>
      </c>
      <c r="W206" s="19">
        <f t="shared" si="50"/>
        <v>60.980000000000004</v>
      </c>
      <c r="X206" s="19" t="str">
        <f t="shared" si="51"/>
        <v>True</v>
      </c>
      <c r="Y206" s="19" t="str">
        <f>IF(OR(W206&lt;'Cleaning Tasks'!$G$18,W206&gt;'Cleaning Tasks'!$H$18),"Outlier","Normal")</f>
        <v>Normal</v>
      </c>
      <c r="Z206" s="2" t="s">
        <v>49</v>
      </c>
      <c r="AA206" s="2" t="s">
        <v>27</v>
      </c>
      <c r="AB206" s="2" t="s">
        <v>28</v>
      </c>
      <c r="AC206" s="2" t="s">
        <v>42</v>
      </c>
      <c r="AD206" s="2"/>
      <c r="AE206" s="2" t="str">
        <f t="shared" si="52"/>
        <v>Not Required</v>
      </c>
      <c r="AF206" s="2" t="s">
        <v>865</v>
      </c>
    </row>
    <row r="207" spans="1:32" x14ac:dyDescent="0.3">
      <c r="A207" s="2" t="s">
        <v>866</v>
      </c>
      <c r="B207" s="2">
        <f t="shared" si="42"/>
        <v>1</v>
      </c>
      <c r="C207" s="12">
        <f t="shared" si="41"/>
        <v>46238.585199930552</v>
      </c>
      <c r="D207" s="13">
        <v>46238.585199930552</v>
      </c>
      <c r="E207" s="2" t="s">
        <v>867</v>
      </c>
      <c r="F207" s="2" t="str">
        <f t="shared" si="43"/>
        <v>Email Available</v>
      </c>
      <c r="G207" s="2" t="s">
        <v>868</v>
      </c>
      <c r="H207" s="2" t="s">
        <v>63</v>
      </c>
      <c r="I207" s="2" t="s">
        <v>47</v>
      </c>
      <c r="J207" s="2" t="s">
        <v>64</v>
      </c>
      <c r="K207" s="2">
        <v>1</v>
      </c>
      <c r="L207" s="2">
        <v>14.99</v>
      </c>
      <c r="M207" s="19">
        <f t="shared" si="44"/>
        <v>14.99</v>
      </c>
      <c r="N207" s="2"/>
      <c r="O207" s="2" t="str">
        <f t="shared" si="45"/>
        <v/>
      </c>
      <c r="P207" s="2">
        <v>0</v>
      </c>
      <c r="Q207" s="19">
        <f t="shared" si="46"/>
        <v>0</v>
      </c>
      <c r="R207" s="2" t="str">
        <f t="shared" si="47"/>
        <v>Number</v>
      </c>
      <c r="S207" s="2">
        <v>5.99</v>
      </c>
      <c r="T207" s="19">
        <f t="shared" si="48"/>
        <v>5.99</v>
      </c>
      <c r="U207" s="2">
        <v>20.98</v>
      </c>
      <c r="V207" s="19">
        <f t="shared" si="49"/>
        <v>20.98</v>
      </c>
      <c r="W207" s="19">
        <f t="shared" si="50"/>
        <v>20.98</v>
      </c>
      <c r="X207" s="19" t="str">
        <f t="shared" si="51"/>
        <v>True</v>
      </c>
      <c r="Y207" s="19" t="str">
        <f>IF(OR(W207&lt;'Cleaning Tasks'!$G$18,W207&gt;'Cleaning Tasks'!$H$18),"Outlier","Normal")</f>
        <v>Normal</v>
      </c>
      <c r="Z207" s="2" t="s">
        <v>26</v>
      </c>
      <c r="AA207" s="2" t="s">
        <v>40</v>
      </c>
      <c r="AB207" s="2" t="s">
        <v>96</v>
      </c>
      <c r="AC207" s="2" t="s">
        <v>73</v>
      </c>
      <c r="AD207" s="2"/>
      <c r="AE207" s="2" t="str">
        <f t="shared" si="52"/>
        <v>Not Required</v>
      </c>
      <c r="AF207" s="2" t="s">
        <v>869</v>
      </c>
    </row>
    <row r="208" spans="1:32" x14ac:dyDescent="0.3">
      <c r="A208" s="2" t="s">
        <v>870</v>
      </c>
      <c r="B208" s="2">
        <f t="shared" si="42"/>
        <v>1</v>
      </c>
      <c r="C208" s="12">
        <f t="shared" si="41"/>
        <v>46238.584362291673</v>
      </c>
      <c r="D208" s="13">
        <v>46238.584362291673</v>
      </c>
      <c r="E208" s="2" t="s">
        <v>871</v>
      </c>
      <c r="F208" s="2" t="str">
        <f t="shared" si="43"/>
        <v>Email Available</v>
      </c>
      <c r="G208" s="2" t="s">
        <v>872</v>
      </c>
      <c r="H208" s="2" t="s">
        <v>56</v>
      </c>
      <c r="I208" s="2" t="s">
        <v>22</v>
      </c>
      <c r="J208" s="2" t="s">
        <v>57</v>
      </c>
      <c r="K208" s="2">
        <v>1</v>
      </c>
      <c r="L208" s="2" t="s">
        <v>208</v>
      </c>
      <c r="M208" s="19">
        <f t="shared" si="44"/>
        <v>9.99</v>
      </c>
      <c r="N208" s="2" t="s">
        <v>203</v>
      </c>
      <c r="O208" s="2" t="str">
        <f t="shared" si="45"/>
        <v>VIP15</v>
      </c>
      <c r="P208" s="2">
        <v>1.5</v>
      </c>
      <c r="Q208" s="19">
        <f t="shared" si="46"/>
        <v>1.5</v>
      </c>
      <c r="R208" s="2" t="str">
        <f t="shared" si="47"/>
        <v>Number</v>
      </c>
      <c r="S208" s="2">
        <v>5.99</v>
      </c>
      <c r="T208" s="19">
        <f t="shared" si="48"/>
        <v>5.99</v>
      </c>
      <c r="U208" s="2">
        <v>14.48</v>
      </c>
      <c r="V208" s="19">
        <f t="shared" si="49"/>
        <v>14.48</v>
      </c>
      <c r="W208" s="19">
        <f t="shared" si="50"/>
        <v>14.48</v>
      </c>
      <c r="X208" s="19" t="str">
        <f t="shared" si="51"/>
        <v>True</v>
      </c>
      <c r="Y208" s="19" t="str">
        <f>IF(OR(W208&lt;'Cleaning Tasks'!$G$18,W208&gt;'Cleaning Tasks'!$H$18),"Outlier","Normal")</f>
        <v>Normal</v>
      </c>
      <c r="Z208" s="2" t="s">
        <v>66</v>
      </c>
      <c r="AA208" s="2" t="s">
        <v>40</v>
      </c>
      <c r="AB208" s="2" t="s">
        <v>50</v>
      </c>
      <c r="AC208" s="2" t="s">
        <v>29</v>
      </c>
      <c r="AD208" s="2" t="s">
        <v>58</v>
      </c>
      <c r="AE208" s="2" t="str">
        <f t="shared" si="52"/>
        <v>Valid</v>
      </c>
      <c r="AF208" s="2" t="s">
        <v>873</v>
      </c>
    </row>
    <row r="209" spans="1:32" x14ac:dyDescent="0.3">
      <c r="A209" s="2" t="s">
        <v>874</v>
      </c>
      <c r="B209" s="2">
        <f t="shared" si="42"/>
        <v>1</v>
      </c>
      <c r="C209" s="12">
        <f t="shared" si="41"/>
        <v>46238.584911365739</v>
      </c>
      <c r="D209" s="13">
        <v>46238.584911365739</v>
      </c>
      <c r="E209" s="2" t="s">
        <v>413</v>
      </c>
      <c r="F209" s="2" t="str">
        <f t="shared" si="43"/>
        <v>Email Available</v>
      </c>
      <c r="G209" s="2" t="s">
        <v>414</v>
      </c>
      <c r="H209" s="2" t="s">
        <v>309</v>
      </c>
      <c r="I209" s="2" t="s">
        <v>36</v>
      </c>
      <c r="J209" s="2" t="s">
        <v>310</v>
      </c>
      <c r="K209" s="2">
        <v>1</v>
      </c>
      <c r="L209" s="2">
        <v>8.99</v>
      </c>
      <c r="M209" s="19">
        <f t="shared" si="44"/>
        <v>8.99</v>
      </c>
      <c r="N209" s="2" t="s">
        <v>24</v>
      </c>
      <c r="O209" s="2" t="str">
        <f t="shared" si="45"/>
        <v>SAVE20</v>
      </c>
      <c r="P209" s="2">
        <v>1.8</v>
      </c>
      <c r="Q209" s="19">
        <f t="shared" si="46"/>
        <v>1.8</v>
      </c>
      <c r="R209" s="2" t="str">
        <f t="shared" si="47"/>
        <v>Number</v>
      </c>
      <c r="S209" s="2">
        <v>5.99</v>
      </c>
      <c r="T209" s="19">
        <f t="shared" si="48"/>
        <v>5.99</v>
      </c>
      <c r="U209" s="2">
        <v>13.18</v>
      </c>
      <c r="V209" s="19">
        <f t="shared" si="49"/>
        <v>13.18</v>
      </c>
      <c r="W209" s="19">
        <f t="shared" si="50"/>
        <v>13.18</v>
      </c>
      <c r="X209" s="19" t="str">
        <f t="shared" si="51"/>
        <v>True</v>
      </c>
      <c r="Y209" s="19" t="str">
        <f>IF(OR(W209&lt;'Cleaning Tasks'!$G$18,W209&gt;'Cleaning Tasks'!$H$18),"Outlier","Normal")</f>
        <v>Normal</v>
      </c>
      <c r="Z209" s="2" t="s">
        <v>66</v>
      </c>
      <c r="AA209" s="2" t="s">
        <v>40</v>
      </c>
      <c r="AB209" s="2" t="s">
        <v>41</v>
      </c>
      <c r="AC209" s="2" t="s">
        <v>331</v>
      </c>
      <c r="AD209" s="2"/>
      <c r="AE209" s="2" t="str">
        <f t="shared" si="52"/>
        <v>Not Required</v>
      </c>
      <c r="AF209" s="2" t="s">
        <v>875</v>
      </c>
    </row>
    <row r="210" spans="1:32" x14ac:dyDescent="0.3">
      <c r="A210" s="2" t="s">
        <v>876</v>
      </c>
      <c r="B210" s="2">
        <f t="shared" si="42"/>
        <v>1</v>
      </c>
      <c r="C210" s="12">
        <f t="shared" si="41"/>
        <v>46238.579573993047</v>
      </c>
      <c r="D210" s="13">
        <v>46238.579573993047</v>
      </c>
      <c r="E210" s="2" t="s">
        <v>673</v>
      </c>
      <c r="F210" s="2" t="str">
        <f t="shared" si="43"/>
        <v>Email Available</v>
      </c>
      <c r="G210" s="2" t="s">
        <v>674</v>
      </c>
      <c r="H210" s="2" t="s">
        <v>166</v>
      </c>
      <c r="I210" s="2" t="s">
        <v>103</v>
      </c>
      <c r="J210" s="2" t="s">
        <v>167</v>
      </c>
      <c r="K210" s="2">
        <v>1</v>
      </c>
      <c r="L210" s="2">
        <v>32.99</v>
      </c>
      <c r="M210" s="19">
        <f t="shared" si="44"/>
        <v>32.99</v>
      </c>
      <c r="N210" s="2" t="s">
        <v>65</v>
      </c>
      <c r="O210" s="2" t="str">
        <f t="shared" si="45"/>
        <v>WELCOME10</v>
      </c>
      <c r="P210" s="2">
        <v>3.3</v>
      </c>
      <c r="Q210" s="19">
        <f t="shared" si="46"/>
        <v>3.3</v>
      </c>
      <c r="R210" s="2" t="str">
        <f t="shared" si="47"/>
        <v>Number</v>
      </c>
      <c r="S210" s="2">
        <v>5.99</v>
      </c>
      <c r="T210" s="19">
        <f t="shared" si="48"/>
        <v>5.99</v>
      </c>
      <c r="U210" s="2">
        <v>35.68</v>
      </c>
      <c r="V210" s="19">
        <f t="shared" si="49"/>
        <v>35.68</v>
      </c>
      <c r="W210" s="19">
        <f t="shared" si="50"/>
        <v>35.68</v>
      </c>
      <c r="X210" s="19" t="str">
        <f t="shared" si="51"/>
        <v>True</v>
      </c>
      <c r="Y210" s="19" t="str">
        <f>IF(OR(W210&lt;'Cleaning Tasks'!$G$18,W210&gt;'Cleaning Tasks'!$H$18),"Outlier","Normal")</f>
        <v>Normal</v>
      </c>
      <c r="Z210" s="2" t="s">
        <v>26</v>
      </c>
      <c r="AA210" s="2" t="s">
        <v>27</v>
      </c>
      <c r="AB210" s="2" t="s">
        <v>28</v>
      </c>
      <c r="AC210" s="2" t="s">
        <v>73</v>
      </c>
      <c r="AD210" s="2"/>
      <c r="AE210" s="2" t="str">
        <f t="shared" si="52"/>
        <v>Not Required</v>
      </c>
      <c r="AF210" s="2" t="s">
        <v>877</v>
      </c>
    </row>
    <row r="211" spans="1:32" x14ac:dyDescent="0.3">
      <c r="A211" s="2" t="s">
        <v>878</v>
      </c>
      <c r="B211" s="2">
        <f t="shared" si="42"/>
        <v>1</v>
      </c>
      <c r="C211" s="12">
        <f t="shared" si="41"/>
        <v>46238.583157638888</v>
      </c>
      <c r="D211" s="13">
        <v>46238.583157638888</v>
      </c>
      <c r="E211" s="2" t="s">
        <v>321</v>
      </c>
      <c r="F211" s="2" t="str">
        <f t="shared" si="43"/>
        <v>Email Available</v>
      </c>
      <c r="G211" s="2" t="s">
        <v>322</v>
      </c>
      <c r="H211" s="2" t="s">
        <v>56</v>
      </c>
      <c r="I211" s="2" t="s">
        <v>22</v>
      </c>
      <c r="J211" s="2" t="s">
        <v>57</v>
      </c>
      <c r="K211" s="2">
        <v>1</v>
      </c>
      <c r="L211" s="2" t="s">
        <v>208</v>
      </c>
      <c r="M211" s="19">
        <f t="shared" si="44"/>
        <v>9.99</v>
      </c>
      <c r="N211" s="2" t="s">
        <v>118</v>
      </c>
      <c r="O211" s="2" t="str">
        <f t="shared" si="45"/>
        <v>BFCM25</v>
      </c>
      <c r="P211" s="2">
        <v>2.5</v>
      </c>
      <c r="Q211" s="19">
        <f t="shared" si="46"/>
        <v>2.5</v>
      </c>
      <c r="R211" s="2" t="str">
        <f t="shared" si="47"/>
        <v>Number</v>
      </c>
      <c r="S211" s="2">
        <v>7.99</v>
      </c>
      <c r="T211" s="19">
        <f t="shared" si="48"/>
        <v>7.99</v>
      </c>
      <c r="U211" s="2">
        <v>15.48</v>
      </c>
      <c r="V211" s="19">
        <f t="shared" si="49"/>
        <v>15.48</v>
      </c>
      <c r="W211" s="19">
        <f t="shared" si="50"/>
        <v>15.48</v>
      </c>
      <c r="X211" s="19" t="str">
        <f t="shared" si="51"/>
        <v>True</v>
      </c>
      <c r="Y211" s="19" t="str">
        <f>IF(OR(W211&lt;'Cleaning Tasks'!$G$18,W211&gt;'Cleaning Tasks'!$H$18),"Outlier","Normal")</f>
        <v>Normal</v>
      </c>
      <c r="Z211" s="2" t="s">
        <v>39</v>
      </c>
      <c r="AA211" s="2" t="s">
        <v>111</v>
      </c>
      <c r="AB211" s="2" t="s">
        <v>50</v>
      </c>
      <c r="AC211" s="2" t="s">
        <v>223</v>
      </c>
      <c r="AD211" s="2"/>
      <c r="AE211" s="2" t="str">
        <f t="shared" si="52"/>
        <v>Not Required</v>
      </c>
      <c r="AF211" s="2" t="s">
        <v>879</v>
      </c>
    </row>
    <row r="212" spans="1:32" x14ac:dyDescent="0.3">
      <c r="A212" s="2" t="s">
        <v>880</v>
      </c>
      <c r="B212" s="2">
        <f t="shared" si="42"/>
        <v>1</v>
      </c>
      <c r="C212" s="12">
        <f t="shared" si="41"/>
        <v>46238.58465863426</v>
      </c>
      <c r="D212" s="13">
        <v>46238.58465863426</v>
      </c>
      <c r="E212" s="2" t="s">
        <v>881</v>
      </c>
      <c r="F212" s="2" t="str">
        <f t="shared" si="43"/>
        <v>Email Available</v>
      </c>
      <c r="G212" s="2" t="s">
        <v>882</v>
      </c>
      <c r="H212" s="2" t="s">
        <v>152</v>
      </c>
      <c r="I212" s="2" t="s">
        <v>36</v>
      </c>
      <c r="J212" s="2" t="s">
        <v>153</v>
      </c>
      <c r="K212" s="2">
        <v>1</v>
      </c>
      <c r="L212" s="2">
        <v>29.99</v>
      </c>
      <c r="M212" s="19">
        <f t="shared" si="44"/>
        <v>29.99</v>
      </c>
      <c r="N212" s="2" t="s">
        <v>203</v>
      </c>
      <c r="O212" s="2" t="str">
        <f t="shared" si="45"/>
        <v>VIP15</v>
      </c>
      <c r="P212" s="2">
        <v>4.5</v>
      </c>
      <c r="Q212" s="19">
        <f t="shared" si="46"/>
        <v>4.5</v>
      </c>
      <c r="R212" s="2" t="str">
        <f t="shared" si="47"/>
        <v>Number</v>
      </c>
      <c r="S212" s="2">
        <v>7.99</v>
      </c>
      <c r="T212" s="19">
        <f t="shared" si="48"/>
        <v>7.99</v>
      </c>
      <c r="U212" s="2">
        <v>33.479999999999997</v>
      </c>
      <c r="V212" s="19">
        <f t="shared" si="49"/>
        <v>33.479999999999997</v>
      </c>
      <c r="W212" s="19">
        <f t="shared" si="50"/>
        <v>33.479999999999997</v>
      </c>
      <c r="X212" s="19" t="str">
        <f t="shared" si="51"/>
        <v>True</v>
      </c>
      <c r="Y212" s="19" t="str">
        <f>IF(OR(W212&lt;'Cleaning Tasks'!$G$18,W212&gt;'Cleaning Tasks'!$H$18),"Outlier","Normal")</f>
        <v>Normal</v>
      </c>
      <c r="Z212" s="2" t="s">
        <v>39</v>
      </c>
      <c r="AA212" s="2" t="s">
        <v>27</v>
      </c>
      <c r="AB212" s="2" t="s">
        <v>28</v>
      </c>
      <c r="AC212" s="2" t="s">
        <v>73</v>
      </c>
      <c r="AD212" s="2"/>
      <c r="AE212" s="2" t="str">
        <f t="shared" si="52"/>
        <v>Not Required</v>
      </c>
      <c r="AF212" s="2" t="s">
        <v>883</v>
      </c>
    </row>
    <row r="213" spans="1:32" x14ac:dyDescent="0.3">
      <c r="A213" s="2" t="s">
        <v>884</v>
      </c>
      <c r="B213" s="2">
        <f t="shared" si="42"/>
        <v>1</v>
      </c>
      <c r="C213" s="12">
        <f t="shared" si="41"/>
        <v>46238.579542210653</v>
      </c>
      <c r="D213" s="13">
        <v>46238.579542210653</v>
      </c>
      <c r="E213" s="2" t="s">
        <v>885</v>
      </c>
      <c r="F213" s="2" t="str">
        <f t="shared" si="43"/>
        <v>Email Available</v>
      </c>
      <c r="G213" s="2" t="s">
        <v>886</v>
      </c>
      <c r="H213" s="2" t="s">
        <v>166</v>
      </c>
      <c r="I213" s="2" t="s">
        <v>103</v>
      </c>
      <c r="J213" s="2" t="s">
        <v>167</v>
      </c>
      <c r="K213" s="2">
        <v>1</v>
      </c>
      <c r="L213" s="2">
        <v>32.99</v>
      </c>
      <c r="M213" s="19">
        <f t="shared" si="44"/>
        <v>32.99</v>
      </c>
      <c r="N213" s="2"/>
      <c r="O213" s="2" t="str">
        <f t="shared" si="45"/>
        <v/>
      </c>
      <c r="P213" s="2">
        <v>0</v>
      </c>
      <c r="Q213" s="19">
        <f t="shared" si="46"/>
        <v>0</v>
      </c>
      <c r="R213" s="2" t="str">
        <f t="shared" si="47"/>
        <v>Number</v>
      </c>
      <c r="S213" s="2">
        <v>5.99</v>
      </c>
      <c r="T213" s="19">
        <f t="shared" si="48"/>
        <v>5.99</v>
      </c>
      <c r="U213" s="2">
        <v>38.979999999999997</v>
      </c>
      <c r="V213" s="19">
        <f t="shared" si="49"/>
        <v>38.979999999999997</v>
      </c>
      <c r="W213" s="19">
        <f t="shared" si="50"/>
        <v>38.980000000000004</v>
      </c>
      <c r="X213" s="19" t="str">
        <f t="shared" si="51"/>
        <v>True</v>
      </c>
      <c r="Y213" s="19" t="str">
        <f>IF(OR(W213&lt;'Cleaning Tasks'!$G$18,W213&gt;'Cleaning Tasks'!$H$18),"Outlier","Normal")</f>
        <v>Normal</v>
      </c>
      <c r="Z213" s="2" t="s">
        <v>26</v>
      </c>
      <c r="AA213" s="2" t="s">
        <v>40</v>
      </c>
      <c r="AB213" s="2" t="s">
        <v>41</v>
      </c>
      <c r="AC213" s="2" t="s">
        <v>331</v>
      </c>
      <c r="AD213" s="2"/>
      <c r="AE213" s="2" t="str">
        <f t="shared" si="52"/>
        <v>Not Required</v>
      </c>
      <c r="AF213" s="2" t="s">
        <v>887</v>
      </c>
    </row>
    <row r="214" spans="1:32" x14ac:dyDescent="0.3">
      <c r="A214" s="2" t="s">
        <v>888</v>
      </c>
      <c r="B214" s="2">
        <f t="shared" si="42"/>
        <v>1</v>
      </c>
      <c r="C214" s="12">
        <f>DATE(VALUE(RIGHT(D214,4)),MATCH(LEFT(D214,3),{"Jan","Feb","Mar","Apr","May","Jun","Jul","Aug","Sep","Oct","Nov","Dec"},0),VALUE(MID(D214,5,2)))</f>
        <v>46238</v>
      </c>
      <c r="D214" s="13" t="s">
        <v>171</v>
      </c>
      <c r="E214" s="2" t="s">
        <v>889</v>
      </c>
      <c r="F214" s="2" t="str">
        <f t="shared" si="43"/>
        <v>Email Available</v>
      </c>
      <c r="G214" s="2" t="s">
        <v>890</v>
      </c>
      <c r="H214" s="2" t="s">
        <v>63</v>
      </c>
      <c r="I214" s="2" t="s">
        <v>47</v>
      </c>
      <c r="J214" s="2" t="s">
        <v>64</v>
      </c>
      <c r="K214" s="2">
        <v>1</v>
      </c>
      <c r="L214" s="2">
        <v>14.99</v>
      </c>
      <c r="M214" s="19">
        <f t="shared" si="44"/>
        <v>14.99</v>
      </c>
      <c r="N214" s="2" t="s">
        <v>38</v>
      </c>
      <c r="O214" s="2" t="str">
        <f t="shared" si="45"/>
        <v>FREESHIP</v>
      </c>
      <c r="P214" s="2">
        <v>0</v>
      </c>
      <c r="Q214" s="19">
        <f t="shared" si="46"/>
        <v>0</v>
      </c>
      <c r="R214" s="2" t="str">
        <f t="shared" si="47"/>
        <v>Number</v>
      </c>
      <c r="S214" s="2">
        <v>0</v>
      </c>
      <c r="T214" s="19">
        <f t="shared" si="48"/>
        <v>0</v>
      </c>
      <c r="U214" s="2">
        <v>14.99</v>
      </c>
      <c r="V214" s="19">
        <f t="shared" si="49"/>
        <v>14.99</v>
      </c>
      <c r="W214" s="19">
        <f t="shared" si="50"/>
        <v>14.99</v>
      </c>
      <c r="X214" s="19" t="str">
        <f t="shared" si="51"/>
        <v>True</v>
      </c>
      <c r="Y214" s="19" t="str">
        <f>IF(OR(W214&lt;'Cleaning Tasks'!$G$18,W214&gt;'Cleaning Tasks'!$H$18),"Outlier","Normal")</f>
        <v>Normal</v>
      </c>
      <c r="Z214" s="2" t="s">
        <v>66</v>
      </c>
      <c r="AA214" s="2" t="s">
        <v>111</v>
      </c>
      <c r="AB214" s="2" t="s">
        <v>28</v>
      </c>
      <c r="AC214" s="2" t="s">
        <v>29</v>
      </c>
      <c r="AD214" s="2" t="s">
        <v>243</v>
      </c>
      <c r="AE214" s="2" t="str">
        <f t="shared" si="52"/>
        <v>Valid</v>
      </c>
      <c r="AF214" s="2" t="s">
        <v>891</v>
      </c>
    </row>
    <row r="215" spans="1:32" x14ac:dyDescent="0.3">
      <c r="A215" s="2" t="s">
        <v>892</v>
      </c>
      <c r="B215" s="2">
        <f t="shared" si="42"/>
        <v>1</v>
      </c>
      <c r="C215" s="12">
        <f t="shared" ref="C215:C226" si="53">IF(ISNUMBER(D215),D215,DATEVALUE(SUBSTITUTE(TRIM(D215),CHAR(160)," ")))</f>
        <v>46238.587815497682</v>
      </c>
      <c r="D215" s="13">
        <v>46238.587815497682</v>
      </c>
      <c r="E215" s="2" t="s">
        <v>329</v>
      </c>
      <c r="F215" s="2" t="str">
        <f t="shared" si="43"/>
        <v>Email Available</v>
      </c>
      <c r="G215" s="2" t="s">
        <v>330</v>
      </c>
      <c r="H215" s="2" t="s">
        <v>236</v>
      </c>
      <c r="I215" s="2" t="s">
        <v>237</v>
      </c>
      <c r="J215" s="2" t="s">
        <v>238</v>
      </c>
      <c r="K215" s="2">
        <v>2</v>
      </c>
      <c r="L215" s="2">
        <v>27.99</v>
      </c>
      <c r="M215" s="19">
        <f t="shared" si="44"/>
        <v>27.99</v>
      </c>
      <c r="N215" s="2" t="s">
        <v>38</v>
      </c>
      <c r="O215" s="2" t="str">
        <f t="shared" si="45"/>
        <v>FREESHIP</v>
      </c>
      <c r="P215" s="2">
        <v>0</v>
      </c>
      <c r="Q215" s="19">
        <f t="shared" si="46"/>
        <v>0</v>
      </c>
      <c r="R215" s="2" t="str">
        <f t="shared" si="47"/>
        <v>Number</v>
      </c>
      <c r="S215" s="2">
        <v>0</v>
      </c>
      <c r="T215" s="19">
        <f t="shared" si="48"/>
        <v>0</v>
      </c>
      <c r="U215" s="2">
        <v>55.98</v>
      </c>
      <c r="V215" s="19">
        <f t="shared" si="49"/>
        <v>55.98</v>
      </c>
      <c r="W215" s="19">
        <f t="shared" si="50"/>
        <v>55.98</v>
      </c>
      <c r="X215" s="19" t="str">
        <f t="shared" si="51"/>
        <v>True</v>
      </c>
      <c r="Y215" s="19" t="str">
        <f>IF(OR(W215&lt;'Cleaning Tasks'!$G$18,W215&gt;'Cleaning Tasks'!$H$18),"Outlier","Normal")</f>
        <v>Normal</v>
      </c>
      <c r="Z215" s="2" t="s">
        <v>72</v>
      </c>
      <c r="AA215" s="2" t="s">
        <v>88</v>
      </c>
      <c r="AB215" s="2" t="s">
        <v>28</v>
      </c>
      <c r="AC215" s="2" t="s">
        <v>331</v>
      </c>
      <c r="AD215" s="2"/>
      <c r="AE215" s="2" t="str">
        <f t="shared" si="52"/>
        <v>Not Required</v>
      </c>
      <c r="AF215" s="2" t="s">
        <v>893</v>
      </c>
    </row>
    <row r="216" spans="1:32" x14ac:dyDescent="0.3">
      <c r="A216" s="2" t="s">
        <v>894</v>
      </c>
      <c r="B216" s="2">
        <f t="shared" si="42"/>
        <v>1</v>
      </c>
      <c r="C216" s="12">
        <f t="shared" si="53"/>
        <v>46238.585326898137</v>
      </c>
      <c r="D216" s="13">
        <v>46238.585326898137</v>
      </c>
      <c r="E216" s="2" t="s">
        <v>895</v>
      </c>
      <c r="F216" s="2" t="str">
        <f t="shared" si="43"/>
        <v>Email Available</v>
      </c>
      <c r="G216" s="2" t="s">
        <v>896</v>
      </c>
      <c r="H216" s="2" t="s">
        <v>221</v>
      </c>
      <c r="I216" s="2" t="s">
        <v>22</v>
      </c>
      <c r="J216" s="2" t="s">
        <v>222</v>
      </c>
      <c r="K216" s="2">
        <v>1</v>
      </c>
      <c r="L216" s="2">
        <v>17.989999999999998</v>
      </c>
      <c r="M216" s="19">
        <f t="shared" si="44"/>
        <v>17.989999999999998</v>
      </c>
      <c r="N216" s="2" t="s">
        <v>65</v>
      </c>
      <c r="O216" s="2" t="str">
        <f t="shared" si="45"/>
        <v>WELCOME10</v>
      </c>
      <c r="P216" s="2">
        <v>1.8</v>
      </c>
      <c r="Q216" s="19">
        <f t="shared" si="46"/>
        <v>1.8</v>
      </c>
      <c r="R216" s="2" t="str">
        <f t="shared" si="47"/>
        <v>Number</v>
      </c>
      <c r="S216" s="2">
        <v>7.99</v>
      </c>
      <c r="T216" s="19">
        <f t="shared" si="48"/>
        <v>7.99</v>
      </c>
      <c r="U216" s="2">
        <v>24.18</v>
      </c>
      <c r="V216" s="19">
        <f t="shared" si="49"/>
        <v>24.18</v>
      </c>
      <c r="W216" s="19">
        <f t="shared" si="50"/>
        <v>24.18</v>
      </c>
      <c r="X216" s="19" t="str">
        <f t="shared" si="51"/>
        <v>True</v>
      </c>
      <c r="Y216" s="19" t="str">
        <f>IF(OR(W216&lt;'Cleaning Tasks'!$G$18,W216&gt;'Cleaning Tasks'!$H$18),"Outlier","Normal")</f>
        <v>Normal</v>
      </c>
      <c r="Z216" s="2" t="s">
        <v>72</v>
      </c>
      <c r="AA216" s="2" t="s">
        <v>111</v>
      </c>
      <c r="AB216" s="2" t="s">
        <v>41</v>
      </c>
      <c r="AC216" s="2" t="s">
        <v>29</v>
      </c>
      <c r="AD216" s="2" t="s">
        <v>341</v>
      </c>
      <c r="AE216" s="2" t="str">
        <f t="shared" si="52"/>
        <v>Valid</v>
      </c>
      <c r="AF216" s="2" t="s">
        <v>897</v>
      </c>
    </row>
    <row r="217" spans="1:32" x14ac:dyDescent="0.3">
      <c r="A217" s="2" t="s">
        <v>898</v>
      </c>
      <c r="B217" s="2">
        <f t="shared" si="42"/>
        <v>1</v>
      </c>
      <c r="C217" s="12">
        <f t="shared" si="53"/>
        <v>46238.586518263888</v>
      </c>
      <c r="D217" s="13">
        <v>46238.586518263888</v>
      </c>
      <c r="E217" s="2" t="s">
        <v>557</v>
      </c>
      <c r="F217" s="2" t="str">
        <f t="shared" si="43"/>
        <v>Email Available</v>
      </c>
      <c r="G217" s="2" t="s">
        <v>558</v>
      </c>
      <c r="H217" s="2" t="s">
        <v>130</v>
      </c>
      <c r="I217" s="2" t="s">
        <v>103</v>
      </c>
      <c r="J217" s="2" t="s">
        <v>131</v>
      </c>
      <c r="K217" s="2">
        <v>2</v>
      </c>
      <c r="L217" s="2">
        <v>16.989999999999998</v>
      </c>
      <c r="M217" s="19">
        <f t="shared" si="44"/>
        <v>16.989999999999998</v>
      </c>
      <c r="N217" s="2" t="s">
        <v>24</v>
      </c>
      <c r="O217" s="2" t="str">
        <f t="shared" si="45"/>
        <v>SAVE20</v>
      </c>
      <c r="P217" s="2">
        <v>6.8</v>
      </c>
      <c r="Q217" s="19">
        <f t="shared" si="46"/>
        <v>6.8</v>
      </c>
      <c r="R217" s="2" t="str">
        <f t="shared" si="47"/>
        <v>Number</v>
      </c>
      <c r="S217" s="2">
        <v>7.99</v>
      </c>
      <c r="T217" s="19">
        <f t="shared" si="48"/>
        <v>7.99</v>
      </c>
      <c r="U217" s="2">
        <v>35.17</v>
      </c>
      <c r="V217" s="19">
        <f t="shared" si="49"/>
        <v>35.17</v>
      </c>
      <c r="W217" s="19">
        <f t="shared" si="50"/>
        <v>35.169999999999995</v>
      </c>
      <c r="X217" s="19" t="str">
        <f t="shared" si="51"/>
        <v>True</v>
      </c>
      <c r="Y217" s="19" t="str">
        <f>IF(OR(W217&lt;'Cleaning Tasks'!$G$18,W217&gt;'Cleaning Tasks'!$H$18),"Outlier","Normal")</f>
        <v>Normal</v>
      </c>
      <c r="Z217" s="2" t="s">
        <v>49</v>
      </c>
      <c r="AA217" s="2" t="s">
        <v>88</v>
      </c>
      <c r="AB217" s="2" t="s">
        <v>41</v>
      </c>
      <c r="AC217" s="2" t="s">
        <v>42</v>
      </c>
      <c r="AD217" s="2"/>
      <c r="AE217" s="2" t="str">
        <f t="shared" si="52"/>
        <v>Not Required</v>
      </c>
      <c r="AF217" s="2" t="s">
        <v>899</v>
      </c>
    </row>
    <row r="218" spans="1:32" x14ac:dyDescent="0.3">
      <c r="A218" s="2" t="s">
        <v>900</v>
      </c>
      <c r="B218" s="2">
        <f t="shared" si="42"/>
        <v>1</v>
      </c>
      <c r="C218" s="12">
        <f t="shared" si="53"/>
        <v>46238.585613437499</v>
      </c>
      <c r="D218" s="13">
        <v>46238.585613437499</v>
      </c>
      <c r="E218" s="2" t="s">
        <v>901</v>
      </c>
      <c r="F218" s="2" t="str">
        <f t="shared" si="43"/>
        <v>Email Available</v>
      </c>
      <c r="G218" s="2" t="s">
        <v>587</v>
      </c>
      <c r="H218" s="2" t="s">
        <v>182</v>
      </c>
      <c r="I218" s="2" t="s">
        <v>36</v>
      </c>
      <c r="J218" s="2" t="s">
        <v>183</v>
      </c>
      <c r="K218" s="2">
        <v>2</v>
      </c>
      <c r="L218" s="2">
        <v>11.99</v>
      </c>
      <c r="M218" s="19">
        <f t="shared" si="44"/>
        <v>11.99</v>
      </c>
      <c r="N218" s="2" t="s">
        <v>118</v>
      </c>
      <c r="O218" s="2" t="str">
        <f t="shared" si="45"/>
        <v>BFCM25</v>
      </c>
      <c r="P218" s="2">
        <v>6</v>
      </c>
      <c r="Q218" s="19">
        <f t="shared" si="46"/>
        <v>6</v>
      </c>
      <c r="R218" s="2" t="str">
        <f t="shared" si="47"/>
        <v>Number</v>
      </c>
      <c r="S218" s="2">
        <v>4.99</v>
      </c>
      <c r="T218" s="19">
        <f t="shared" si="48"/>
        <v>4.99</v>
      </c>
      <c r="U218" s="2">
        <v>22.97</v>
      </c>
      <c r="V218" s="19">
        <f t="shared" si="49"/>
        <v>22.97</v>
      </c>
      <c r="W218" s="19">
        <f t="shared" si="50"/>
        <v>22.97</v>
      </c>
      <c r="X218" s="19" t="str">
        <f t="shared" si="51"/>
        <v>True</v>
      </c>
      <c r="Y218" s="19" t="str">
        <f>IF(OR(W218&lt;'Cleaning Tasks'!$G$18,W218&gt;'Cleaning Tasks'!$H$18),"Outlier","Normal")</f>
        <v>Normal</v>
      </c>
      <c r="Z218" s="2" t="s">
        <v>26</v>
      </c>
      <c r="AA218" s="2" t="s">
        <v>40</v>
      </c>
      <c r="AB218" s="2" t="s">
        <v>96</v>
      </c>
      <c r="AC218" s="2" t="s">
        <v>29</v>
      </c>
      <c r="AD218" s="2" t="s">
        <v>112</v>
      </c>
      <c r="AE218" s="2" t="str">
        <f t="shared" si="52"/>
        <v>Valid</v>
      </c>
      <c r="AF218" s="2" t="s">
        <v>902</v>
      </c>
    </row>
    <row r="219" spans="1:32" x14ac:dyDescent="0.3">
      <c r="A219" s="2" t="s">
        <v>903</v>
      </c>
      <c r="B219" s="2">
        <f t="shared" si="42"/>
        <v>1</v>
      </c>
      <c r="C219" s="12">
        <f t="shared" si="53"/>
        <v>46238.580635023151</v>
      </c>
      <c r="D219" s="13">
        <v>46238.580635023151</v>
      </c>
      <c r="E219" s="2" t="s">
        <v>904</v>
      </c>
      <c r="F219" s="2" t="str">
        <f t="shared" si="43"/>
        <v>Email Available</v>
      </c>
      <c r="G219" s="2" t="s">
        <v>905</v>
      </c>
      <c r="H219" s="2" t="s">
        <v>56</v>
      </c>
      <c r="I219" s="2" t="s">
        <v>22</v>
      </c>
      <c r="J219" s="2" t="s">
        <v>57</v>
      </c>
      <c r="K219" s="2">
        <v>1</v>
      </c>
      <c r="L219" s="2">
        <v>9.99</v>
      </c>
      <c r="M219" s="19">
        <f t="shared" si="44"/>
        <v>9.99</v>
      </c>
      <c r="N219" s="2"/>
      <c r="O219" s="2" t="str">
        <f t="shared" si="45"/>
        <v/>
      </c>
      <c r="P219" s="2">
        <v>0</v>
      </c>
      <c r="Q219" s="19">
        <f t="shared" si="46"/>
        <v>0</v>
      </c>
      <c r="R219" s="2" t="str">
        <f t="shared" si="47"/>
        <v>Number</v>
      </c>
      <c r="S219" s="2">
        <v>4.99</v>
      </c>
      <c r="T219" s="19">
        <f t="shared" si="48"/>
        <v>4.99</v>
      </c>
      <c r="U219" s="2">
        <v>14.98</v>
      </c>
      <c r="V219" s="19">
        <f t="shared" si="49"/>
        <v>14.98</v>
      </c>
      <c r="W219" s="19">
        <f t="shared" si="50"/>
        <v>14.98</v>
      </c>
      <c r="X219" s="19" t="str">
        <f t="shared" si="51"/>
        <v>True</v>
      </c>
      <c r="Y219" s="19" t="str">
        <f>IF(OR(W219&lt;'Cleaning Tasks'!$G$18,W219&gt;'Cleaning Tasks'!$H$18),"Outlier","Normal")</f>
        <v>Normal</v>
      </c>
      <c r="Z219" s="2" t="s">
        <v>39</v>
      </c>
      <c r="AA219" s="2" t="s">
        <v>88</v>
      </c>
      <c r="AB219" s="2" t="s">
        <v>50</v>
      </c>
      <c r="AC219" s="2" t="s">
        <v>29</v>
      </c>
      <c r="AD219" s="22" t="s">
        <v>140</v>
      </c>
      <c r="AE219" s="2" t="str">
        <f t="shared" si="52"/>
        <v>Valid</v>
      </c>
      <c r="AF219" s="2" t="s">
        <v>906</v>
      </c>
    </row>
    <row r="220" spans="1:32" x14ac:dyDescent="0.3">
      <c r="A220" s="2" t="s">
        <v>907</v>
      </c>
      <c r="B220" s="2">
        <f t="shared" si="42"/>
        <v>1</v>
      </c>
      <c r="C220" s="12">
        <f t="shared" si="53"/>
        <v>46238.579169074073</v>
      </c>
      <c r="D220" s="13">
        <v>46238.579169074073</v>
      </c>
      <c r="E220" s="2" t="s">
        <v>908</v>
      </c>
      <c r="F220" s="2" t="str">
        <f t="shared" si="43"/>
        <v>Missing Email</v>
      </c>
      <c r="G220" s="2"/>
      <c r="H220" s="2" t="s">
        <v>130</v>
      </c>
      <c r="I220" s="2" t="s">
        <v>103</v>
      </c>
      <c r="J220" s="2" t="s">
        <v>131</v>
      </c>
      <c r="K220" s="2">
        <v>1</v>
      </c>
      <c r="L220" s="2">
        <v>16.989999999999998</v>
      </c>
      <c r="M220" s="19">
        <f t="shared" si="44"/>
        <v>16.989999999999998</v>
      </c>
      <c r="N220" s="2"/>
      <c r="O220" s="2" t="str">
        <f t="shared" si="45"/>
        <v/>
      </c>
      <c r="P220" s="2">
        <v>0</v>
      </c>
      <c r="Q220" s="19">
        <f t="shared" si="46"/>
        <v>0</v>
      </c>
      <c r="R220" s="2" t="str">
        <f t="shared" si="47"/>
        <v>Number</v>
      </c>
      <c r="S220" s="2">
        <v>4.99</v>
      </c>
      <c r="T220" s="19">
        <f t="shared" si="48"/>
        <v>4.99</v>
      </c>
      <c r="U220" s="2">
        <v>21.98</v>
      </c>
      <c r="V220" s="19">
        <f t="shared" si="49"/>
        <v>21.98</v>
      </c>
      <c r="W220" s="19">
        <f t="shared" si="50"/>
        <v>21.979999999999997</v>
      </c>
      <c r="X220" s="19" t="str">
        <f t="shared" si="51"/>
        <v>True</v>
      </c>
      <c r="Y220" s="19" t="str">
        <f>IF(OR(W220&lt;'Cleaning Tasks'!$G$18,W220&gt;'Cleaning Tasks'!$H$18),"Outlier","Normal")</f>
        <v>Normal</v>
      </c>
      <c r="Z220" s="2" t="s">
        <v>39</v>
      </c>
      <c r="AA220" s="2" t="s">
        <v>40</v>
      </c>
      <c r="AB220" s="2" t="s">
        <v>50</v>
      </c>
      <c r="AC220" s="2" t="s">
        <v>73</v>
      </c>
      <c r="AD220" s="2"/>
      <c r="AE220" s="2" t="str">
        <f t="shared" si="52"/>
        <v>Not Required</v>
      </c>
      <c r="AF220" s="2" t="s">
        <v>909</v>
      </c>
    </row>
    <row r="221" spans="1:32" x14ac:dyDescent="0.3">
      <c r="A221" s="2" t="s">
        <v>910</v>
      </c>
      <c r="B221" s="2">
        <f t="shared" si="42"/>
        <v>1</v>
      </c>
      <c r="C221" s="12">
        <f t="shared" si="53"/>
        <v>46238</v>
      </c>
      <c r="D221" s="13" t="s">
        <v>911</v>
      </c>
      <c r="E221" s="2" t="s">
        <v>912</v>
      </c>
      <c r="F221" s="2" t="str">
        <f t="shared" si="43"/>
        <v>Email Available</v>
      </c>
      <c r="G221" s="2" t="s">
        <v>706</v>
      </c>
      <c r="H221" s="2" t="s">
        <v>85</v>
      </c>
      <c r="I221" s="2" t="s">
        <v>86</v>
      </c>
      <c r="J221" s="2" t="s">
        <v>87</v>
      </c>
      <c r="K221" s="2">
        <v>1</v>
      </c>
      <c r="L221" s="2">
        <v>54.99</v>
      </c>
      <c r="M221" s="19">
        <f t="shared" si="44"/>
        <v>54.99</v>
      </c>
      <c r="N221" s="2" t="s">
        <v>118</v>
      </c>
      <c r="O221" s="2" t="str">
        <f t="shared" si="45"/>
        <v>BFCM25</v>
      </c>
      <c r="P221" s="2">
        <v>13.75</v>
      </c>
      <c r="Q221" s="19">
        <f t="shared" si="46"/>
        <v>13.75</v>
      </c>
      <c r="R221" s="2" t="str">
        <f t="shared" si="47"/>
        <v>Number</v>
      </c>
      <c r="S221" s="2">
        <v>7.99</v>
      </c>
      <c r="T221" s="19">
        <f t="shared" si="48"/>
        <v>7.99</v>
      </c>
      <c r="U221" s="2">
        <v>49.23</v>
      </c>
      <c r="V221" s="19">
        <f t="shared" si="49"/>
        <v>49.23</v>
      </c>
      <c r="W221" s="19">
        <f t="shared" si="50"/>
        <v>49.230000000000004</v>
      </c>
      <c r="X221" s="19" t="str">
        <f t="shared" si="51"/>
        <v>True</v>
      </c>
      <c r="Y221" s="19" t="str">
        <f>IF(OR(W221&lt;'Cleaning Tasks'!$G$18,W221&gt;'Cleaning Tasks'!$H$18),"Outlier","Normal")</f>
        <v>Normal</v>
      </c>
      <c r="Z221" s="2" t="s">
        <v>26</v>
      </c>
      <c r="AA221" s="2" t="s">
        <v>27</v>
      </c>
      <c r="AB221" s="2" t="s">
        <v>50</v>
      </c>
      <c r="AC221" s="2" t="s">
        <v>331</v>
      </c>
      <c r="AD221" s="2"/>
      <c r="AE221" s="2" t="str">
        <f t="shared" si="52"/>
        <v>Not Required</v>
      </c>
      <c r="AF221" s="2" t="s">
        <v>913</v>
      </c>
    </row>
    <row r="222" spans="1:32" x14ac:dyDescent="0.3">
      <c r="A222" s="2" t="s">
        <v>914</v>
      </c>
      <c r="B222" s="2">
        <f t="shared" si="42"/>
        <v>1</v>
      </c>
      <c r="C222" s="12">
        <f t="shared" si="53"/>
        <v>46238.588900717587</v>
      </c>
      <c r="D222" s="13">
        <v>46238.588900717587</v>
      </c>
      <c r="E222" s="2" t="s">
        <v>915</v>
      </c>
      <c r="F222" s="2" t="str">
        <f t="shared" si="43"/>
        <v>Email Available</v>
      </c>
      <c r="G222" s="2" t="s">
        <v>916</v>
      </c>
      <c r="H222" s="2" t="s">
        <v>146</v>
      </c>
      <c r="I222" s="2" t="s">
        <v>47</v>
      </c>
      <c r="J222" s="2" t="s">
        <v>147</v>
      </c>
      <c r="K222" s="2">
        <v>1</v>
      </c>
      <c r="L222" s="2">
        <v>34.99</v>
      </c>
      <c r="M222" s="19">
        <f t="shared" si="44"/>
        <v>34.99</v>
      </c>
      <c r="N222" s="2" t="s">
        <v>38</v>
      </c>
      <c r="O222" s="2" t="str">
        <f t="shared" si="45"/>
        <v>FREESHIP</v>
      </c>
      <c r="P222" s="2">
        <v>0</v>
      </c>
      <c r="Q222" s="19">
        <f t="shared" si="46"/>
        <v>0</v>
      </c>
      <c r="R222" s="2" t="str">
        <f t="shared" si="47"/>
        <v>Number</v>
      </c>
      <c r="S222" s="2">
        <v>0</v>
      </c>
      <c r="T222" s="19">
        <f t="shared" si="48"/>
        <v>0</v>
      </c>
      <c r="U222" s="2">
        <v>34.99</v>
      </c>
      <c r="V222" s="19">
        <f t="shared" si="49"/>
        <v>34.99</v>
      </c>
      <c r="W222" s="19">
        <f t="shared" si="50"/>
        <v>34.99</v>
      </c>
      <c r="X222" s="19" t="str">
        <f t="shared" si="51"/>
        <v>True</v>
      </c>
      <c r="Y222" s="19" t="str">
        <f>IF(OR(W222&lt;'Cleaning Tasks'!$G$18,W222&gt;'Cleaning Tasks'!$H$18),"Outlier","Normal")</f>
        <v>Normal</v>
      </c>
      <c r="Z222" s="2" t="s">
        <v>49</v>
      </c>
      <c r="AA222" s="2" t="s">
        <v>40</v>
      </c>
      <c r="AB222" s="2" t="s">
        <v>50</v>
      </c>
      <c r="AC222" s="2" t="s">
        <v>29</v>
      </c>
      <c r="AD222" s="2" t="s">
        <v>341</v>
      </c>
      <c r="AE222" s="2" t="str">
        <f t="shared" si="52"/>
        <v>Valid</v>
      </c>
      <c r="AF222" s="2" t="s">
        <v>917</v>
      </c>
    </row>
    <row r="223" spans="1:32" x14ac:dyDescent="0.3">
      <c r="A223" s="2" t="s">
        <v>918</v>
      </c>
      <c r="B223" s="2">
        <f t="shared" si="42"/>
        <v>1</v>
      </c>
      <c r="C223" s="12">
        <f t="shared" si="53"/>
        <v>46238.586389062497</v>
      </c>
      <c r="D223" s="13">
        <v>46238.586389062497</v>
      </c>
      <c r="E223" s="2" t="s">
        <v>144</v>
      </c>
      <c r="F223" s="2" t="str">
        <f t="shared" si="43"/>
        <v>Email Available</v>
      </c>
      <c r="G223" s="2" t="s">
        <v>145</v>
      </c>
      <c r="H223" s="2" t="s">
        <v>201</v>
      </c>
      <c r="I223" s="2" t="s">
        <v>191</v>
      </c>
      <c r="J223" s="2" t="s">
        <v>202</v>
      </c>
      <c r="K223" s="2">
        <v>1</v>
      </c>
      <c r="L223" s="2">
        <v>24.99</v>
      </c>
      <c r="M223" s="19">
        <f t="shared" si="44"/>
        <v>24.99</v>
      </c>
      <c r="N223" s="2" t="s">
        <v>24</v>
      </c>
      <c r="O223" s="2" t="str">
        <f t="shared" si="45"/>
        <v>SAVE20</v>
      </c>
      <c r="P223" s="2" t="s">
        <v>919</v>
      </c>
      <c r="Q223" s="19">
        <f t="shared" si="46"/>
        <v>5</v>
      </c>
      <c r="R223" s="2" t="str">
        <f t="shared" si="47"/>
        <v>Number</v>
      </c>
      <c r="S223" s="2">
        <v>5.99</v>
      </c>
      <c r="T223" s="19">
        <f t="shared" si="48"/>
        <v>5.99</v>
      </c>
      <c r="U223" s="2">
        <v>25.98</v>
      </c>
      <c r="V223" s="19">
        <f t="shared" si="49"/>
        <v>25.98</v>
      </c>
      <c r="W223" s="19">
        <f t="shared" si="50"/>
        <v>25.979999999999997</v>
      </c>
      <c r="X223" s="19" t="str">
        <f t="shared" si="51"/>
        <v>True</v>
      </c>
      <c r="Y223" s="19" t="str">
        <f>IF(OR(W223&lt;'Cleaning Tasks'!$G$18,W223&gt;'Cleaning Tasks'!$H$18),"Outlier","Normal")</f>
        <v>Normal</v>
      </c>
      <c r="Z223" s="2" t="s">
        <v>72</v>
      </c>
      <c r="AA223" s="2" t="s">
        <v>111</v>
      </c>
      <c r="AB223" s="2" t="s">
        <v>50</v>
      </c>
      <c r="AC223" s="2" t="s">
        <v>105</v>
      </c>
      <c r="AD223" s="2"/>
      <c r="AE223" s="2" t="str">
        <f t="shared" si="52"/>
        <v>Not Required</v>
      </c>
      <c r="AF223" s="2" t="s">
        <v>920</v>
      </c>
    </row>
    <row r="224" spans="1:32" x14ac:dyDescent="0.3">
      <c r="A224" s="2" t="s">
        <v>921</v>
      </c>
      <c r="B224" s="2">
        <f t="shared" si="42"/>
        <v>1</v>
      </c>
      <c r="C224" s="12">
        <f t="shared" si="53"/>
        <v>46238.585412210647</v>
      </c>
      <c r="D224" s="13">
        <v>46238.585412210647</v>
      </c>
      <c r="E224" s="2" t="s">
        <v>922</v>
      </c>
      <c r="F224" s="2" t="str">
        <f t="shared" si="43"/>
        <v>Email Available</v>
      </c>
      <c r="G224" s="2" t="s">
        <v>923</v>
      </c>
      <c r="H224" s="2" t="s">
        <v>78</v>
      </c>
      <c r="I224" s="2" t="s">
        <v>79</v>
      </c>
      <c r="J224" s="2" t="s">
        <v>80</v>
      </c>
      <c r="K224" s="2">
        <v>1</v>
      </c>
      <c r="L224" s="2">
        <v>89.99</v>
      </c>
      <c r="M224" s="19">
        <f t="shared" si="44"/>
        <v>89.99</v>
      </c>
      <c r="N224" s="2" t="s">
        <v>118</v>
      </c>
      <c r="O224" s="2" t="str">
        <f t="shared" si="45"/>
        <v>BFCM25</v>
      </c>
      <c r="P224" s="2">
        <v>22.5</v>
      </c>
      <c r="Q224" s="19">
        <f t="shared" si="46"/>
        <v>22.5</v>
      </c>
      <c r="R224" s="2" t="str">
        <f t="shared" si="47"/>
        <v>Number</v>
      </c>
      <c r="S224" s="2">
        <v>0</v>
      </c>
      <c r="T224" s="19">
        <f t="shared" si="48"/>
        <v>0</v>
      </c>
      <c r="U224" s="2">
        <v>67.489999999999995</v>
      </c>
      <c r="V224" s="19">
        <f t="shared" si="49"/>
        <v>67.489999999999995</v>
      </c>
      <c r="W224" s="19">
        <f t="shared" si="50"/>
        <v>67.489999999999995</v>
      </c>
      <c r="X224" s="19" t="str">
        <f t="shared" si="51"/>
        <v>True</v>
      </c>
      <c r="Y224" s="19" t="str">
        <f>IF(OR(W224&lt;'Cleaning Tasks'!$G$18,W224&gt;'Cleaning Tasks'!$H$18),"Outlier","Normal")</f>
        <v>Normal</v>
      </c>
      <c r="Z224" s="2" t="s">
        <v>39</v>
      </c>
      <c r="AA224" s="2" t="s">
        <v>88</v>
      </c>
      <c r="AB224" s="2" t="s">
        <v>50</v>
      </c>
      <c r="AC224" s="2" t="s">
        <v>29</v>
      </c>
      <c r="AD224" s="2" t="s">
        <v>341</v>
      </c>
      <c r="AE224" s="2" t="str">
        <f t="shared" si="52"/>
        <v>Valid</v>
      </c>
      <c r="AF224" s="2" t="s">
        <v>924</v>
      </c>
    </row>
    <row r="225" spans="1:32" x14ac:dyDescent="0.3">
      <c r="A225" s="2" t="s">
        <v>925</v>
      </c>
      <c r="B225" s="2">
        <f t="shared" si="42"/>
        <v>1</v>
      </c>
      <c r="C225" s="12">
        <f t="shared" si="53"/>
        <v>46238</v>
      </c>
      <c r="D225" s="13">
        <v>46238</v>
      </c>
      <c r="E225" s="2" t="s">
        <v>303</v>
      </c>
      <c r="F225" s="2" t="str">
        <f t="shared" si="43"/>
        <v>Email Available</v>
      </c>
      <c r="G225" s="2" t="s">
        <v>304</v>
      </c>
      <c r="H225" s="2" t="s">
        <v>279</v>
      </c>
      <c r="I225" s="2" t="s">
        <v>22</v>
      </c>
      <c r="J225" s="2" t="s">
        <v>280</v>
      </c>
      <c r="K225" s="2">
        <v>2</v>
      </c>
      <c r="L225" s="2">
        <v>24.99</v>
      </c>
      <c r="M225" s="19">
        <f t="shared" si="44"/>
        <v>24.99</v>
      </c>
      <c r="N225" s="2"/>
      <c r="O225" s="2" t="str">
        <f t="shared" si="45"/>
        <v/>
      </c>
      <c r="P225" s="2">
        <v>0</v>
      </c>
      <c r="Q225" s="19">
        <f t="shared" si="46"/>
        <v>0</v>
      </c>
      <c r="R225" s="2" t="str">
        <f t="shared" si="47"/>
        <v>Number</v>
      </c>
      <c r="S225" s="2">
        <v>4.99</v>
      </c>
      <c r="T225" s="19">
        <f t="shared" si="48"/>
        <v>4.99</v>
      </c>
      <c r="U225" s="2" t="s">
        <v>926</v>
      </c>
      <c r="V225" s="19">
        <f t="shared" si="49"/>
        <v>54.97</v>
      </c>
      <c r="W225" s="19">
        <f t="shared" si="50"/>
        <v>54.97</v>
      </c>
      <c r="X225" s="19" t="str">
        <f t="shared" si="51"/>
        <v>True</v>
      </c>
      <c r="Y225" s="19" t="str">
        <f>IF(OR(W225&lt;'Cleaning Tasks'!$G$18,W225&gt;'Cleaning Tasks'!$H$18),"Outlier","Normal")</f>
        <v>Normal</v>
      </c>
      <c r="Z225" s="2" t="s">
        <v>39</v>
      </c>
      <c r="AA225" s="2" t="s">
        <v>27</v>
      </c>
      <c r="AB225" s="2" t="s">
        <v>50</v>
      </c>
      <c r="AC225" s="2" t="s">
        <v>29</v>
      </c>
      <c r="AD225" s="22" t="s">
        <v>89</v>
      </c>
      <c r="AE225" s="2" t="str">
        <f t="shared" si="52"/>
        <v>Valid</v>
      </c>
      <c r="AF225" s="2" t="s">
        <v>927</v>
      </c>
    </row>
    <row r="226" spans="1:32" x14ac:dyDescent="0.3">
      <c r="A226" s="2" t="s">
        <v>928</v>
      </c>
      <c r="B226" s="2">
        <f t="shared" si="42"/>
        <v>1</v>
      </c>
      <c r="C226" s="12">
        <f t="shared" si="53"/>
        <v>46238.588411423611</v>
      </c>
      <c r="D226" s="13">
        <v>46238.588411423611</v>
      </c>
      <c r="E226" s="2" t="s">
        <v>494</v>
      </c>
      <c r="F226" s="2" t="str">
        <f t="shared" si="43"/>
        <v>Email Available</v>
      </c>
      <c r="G226" s="2" t="s">
        <v>495</v>
      </c>
      <c r="H226" s="2" t="s">
        <v>279</v>
      </c>
      <c r="I226" s="2" t="s">
        <v>22</v>
      </c>
      <c r="J226" s="2" t="s">
        <v>280</v>
      </c>
      <c r="K226" s="2">
        <v>1</v>
      </c>
      <c r="L226" s="2">
        <v>24.99</v>
      </c>
      <c r="M226" s="19">
        <f t="shared" si="44"/>
        <v>24.99</v>
      </c>
      <c r="N226" s="2"/>
      <c r="O226" s="2" t="str">
        <f t="shared" si="45"/>
        <v/>
      </c>
      <c r="P226" s="2">
        <v>0</v>
      </c>
      <c r="Q226" s="19">
        <f t="shared" si="46"/>
        <v>0</v>
      </c>
      <c r="R226" s="2" t="str">
        <f t="shared" si="47"/>
        <v>Number</v>
      </c>
      <c r="S226" s="2">
        <v>5.99</v>
      </c>
      <c r="T226" s="19">
        <f t="shared" si="48"/>
        <v>5.99</v>
      </c>
      <c r="U226" s="2">
        <v>30.98</v>
      </c>
      <c r="V226" s="19">
        <f t="shared" si="49"/>
        <v>30.98</v>
      </c>
      <c r="W226" s="19">
        <f t="shared" si="50"/>
        <v>30.979999999999997</v>
      </c>
      <c r="X226" s="19" t="str">
        <f t="shared" si="51"/>
        <v>True</v>
      </c>
      <c r="Y226" s="19" t="str">
        <f>IF(OR(W226&lt;'Cleaning Tasks'!$G$18,W226&gt;'Cleaning Tasks'!$H$18),"Outlier","Normal")</f>
        <v>Normal</v>
      </c>
      <c r="Z226" s="2" t="s">
        <v>26</v>
      </c>
      <c r="AA226" s="2" t="s">
        <v>88</v>
      </c>
      <c r="AB226" s="2" t="s">
        <v>50</v>
      </c>
      <c r="AC226" s="2" t="s">
        <v>105</v>
      </c>
      <c r="AD226" s="2"/>
      <c r="AE226" s="2" t="str">
        <f t="shared" si="52"/>
        <v>Not Required</v>
      </c>
      <c r="AF226" s="2" t="s">
        <v>929</v>
      </c>
    </row>
    <row r="227" spans="1:32" x14ac:dyDescent="0.3">
      <c r="A227" s="2" t="s">
        <v>930</v>
      </c>
      <c r="B227" s="2">
        <f t="shared" si="42"/>
        <v>1</v>
      </c>
      <c r="C227" s="12">
        <f>DATE(VALUE(RIGHT(D227,4)),MATCH(LEFT(D227,3),{"Jan","Feb","Mar","Apr","May","Jun","Jul","Aug","Sep","Oct","Nov","Dec"},0),VALUE(MID(D227,5,2)))</f>
        <v>46238</v>
      </c>
      <c r="D227" s="13" t="s">
        <v>171</v>
      </c>
      <c r="E227" s="2" t="s">
        <v>469</v>
      </c>
      <c r="F227" s="2" t="str">
        <f t="shared" si="43"/>
        <v>Email Available</v>
      </c>
      <c r="G227" s="2" t="s">
        <v>470</v>
      </c>
      <c r="H227" s="2" t="s">
        <v>236</v>
      </c>
      <c r="I227" s="2" t="s">
        <v>237</v>
      </c>
      <c r="J227" s="2" t="s">
        <v>238</v>
      </c>
      <c r="K227" s="2">
        <v>1</v>
      </c>
      <c r="L227" s="2">
        <v>27.99</v>
      </c>
      <c r="M227" s="19">
        <f t="shared" si="44"/>
        <v>27.99</v>
      </c>
      <c r="N227" s="2"/>
      <c r="O227" s="2" t="str">
        <f t="shared" si="45"/>
        <v/>
      </c>
      <c r="P227" s="2">
        <v>0</v>
      </c>
      <c r="Q227" s="19">
        <f t="shared" si="46"/>
        <v>0</v>
      </c>
      <c r="R227" s="2" t="str">
        <f t="shared" si="47"/>
        <v>Number</v>
      </c>
      <c r="S227" s="2">
        <v>4.99</v>
      </c>
      <c r="T227" s="19">
        <f t="shared" si="48"/>
        <v>4.99</v>
      </c>
      <c r="U227" s="2">
        <v>32.979999999999997</v>
      </c>
      <c r="V227" s="19">
        <f t="shared" si="49"/>
        <v>32.979999999999997</v>
      </c>
      <c r="W227" s="19">
        <f t="shared" si="50"/>
        <v>32.979999999999997</v>
      </c>
      <c r="X227" s="19" t="str">
        <f t="shared" si="51"/>
        <v>True</v>
      </c>
      <c r="Y227" s="19" t="str">
        <f>IF(OR(W227&lt;'Cleaning Tasks'!$G$18,W227&gt;'Cleaning Tasks'!$H$18),"Outlier","Normal")</f>
        <v>Normal</v>
      </c>
      <c r="Z227" s="2" t="s">
        <v>72</v>
      </c>
      <c r="AA227" s="2" t="s">
        <v>88</v>
      </c>
      <c r="AB227" s="2" t="s">
        <v>41</v>
      </c>
      <c r="AC227" s="2" t="s">
        <v>223</v>
      </c>
      <c r="AD227" s="2"/>
      <c r="AE227" s="2" t="str">
        <f t="shared" si="52"/>
        <v>Not Required</v>
      </c>
      <c r="AF227" s="2" t="s">
        <v>931</v>
      </c>
    </row>
    <row r="228" spans="1:32" x14ac:dyDescent="0.3">
      <c r="A228" s="2" t="s">
        <v>932</v>
      </c>
      <c r="B228" s="2">
        <f t="shared" si="42"/>
        <v>1</v>
      </c>
      <c r="C228" s="12">
        <f t="shared" ref="C228:C269" si="54">IF(ISNUMBER(D228),D228,DATEVALUE(SUBSTITUTE(TRIM(D228),CHAR(160)," ")))</f>
        <v>46238</v>
      </c>
      <c r="D228" s="13">
        <v>46238</v>
      </c>
      <c r="E228" s="2" t="s">
        <v>172</v>
      </c>
      <c r="F228" s="2" t="str">
        <f t="shared" si="43"/>
        <v>Email Available</v>
      </c>
      <c r="G228" s="2" t="s">
        <v>173</v>
      </c>
      <c r="H228" s="2" t="s">
        <v>46</v>
      </c>
      <c r="I228" s="2" t="s">
        <v>47</v>
      </c>
      <c r="J228" s="2" t="s">
        <v>48</v>
      </c>
      <c r="K228" s="2">
        <v>1</v>
      </c>
      <c r="L228" s="2">
        <v>39.99</v>
      </c>
      <c r="M228" s="19">
        <f t="shared" si="44"/>
        <v>39.99</v>
      </c>
      <c r="N228" s="2"/>
      <c r="O228" s="2" t="str">
        <f t="shared" si="45"/>
        <v/>
      </c>
      <c r="P228" s="2">
        <v>0</v>
      </c>
      <c r="Q228" s="19">
        <f t="shared" si="46"/>
        <v>0</v>
      </c>
      <c r="R228" s="2" t="str">
        <f t="shared" si="47"/>
        <v>Number</v>
      </c>
      <c r="S228" s="2">
        <v>4.99</v>
      </c>
      <c r="T228" s="19">
        <f t="shared" si="48"/>
        <v>4.99</v>
      </c>
      <c r="U228" s="2">
        <v>44.98</v>
      </c>
      <c r="V228" s="19">
        <f t="shared" si="49"/>
        <v>44.98</v>
      </c>
      <c r="W228" s="19">
        <f t="shared" si="50"/>
        <v>44.980000000000004</v>
      </c>
      <c r="X228" s="19" t="str">
        <f t="shared" si="51"/>
        <v>True</v>
      </c>
      <c r="Y228" s="19" t="str">
        <f>IF(OR(W228&lt;'Cleaning Tasks'!$G$18,W228&gt;'Cleaning Tasks'!$H$18),"Outlier","Normal")</f>
        <v>Normal</v>
      </c>
      <c r="Z228" s="2" t="s">
        <v>26</v>
      </c>
      <c r="AA228" s="2" t="s">
        <v>27</v>
      </c>
      <c r="AB228" s="2" t="s">
        <v>50</v>
      </c>
      <c r="AC228" s="2" t="s">
        <v>29</v>
      </c>
      <c r="AD228" s="2" t="s">
        <v>112</v>
      </c>
      <c r="AE228" s="2" t="str">
        <f t="shared" si="52"/>
        <v>Valid</v>
      </c>
      <c r="AF228" s="2" t="s">
        <v>933</v>
      </c>
    </row>
    <row r="229" spans="1:32" x14ac:dyDescent="0.3">
      <c r="A229" s="2" t="s">
        <v>934</v>
      </c>
      <c r="B229" s="2">
        <f t="shared" si="42"/>
        <v>1</v>
      </c>
      <c r="C229" s="12">
        <f t="shared" si="54"/>
        <v>46238.579126759258</v>
      </c>
      <c r="D229" s="13">
        <v>46238.579126759258</v>
      </c>
      <c r="E229" s="2" t="s">
        <v>935</v>
      </c>
      <c r="F229" s="2" t="str">
        <f t="shared" si="43"/>
        <v>Email Available</v>
      </c>
      <c r="G229" s="2" t="s">
        <v>936</v>
      </c>
      <c r="H229" s="2" t="s">
        <v>361</v>
      </c>
      <c r="I229" s="2" t="s">
        <v>86</v>
      </c>
      <c r="J229" s="2" t="s">
        <v>362</v>
      </c>
      <c r="K229" s="2">
        <v>1</v>
      </c>
      <c r="L229" s="2">
        <v>54.99</v>
      </c>
      <c r="M229" s="19">
        <f t="shared" si="44"/>
        <v>54.99</v>
      </c>
      <c r="N229" s="2" t="s">
        <v>65</v>
      </c>
      <c r="O229" s="2" t="str">
        <f t="shared" si="45"/>
        <v>WELCOME10</v>
      </c>
      <c r="P229" s="2">
        <v>5.5</v>
      </c>
      <c r="Q229" s="19">
        <f t="shared" si="46"/>
        <v>5.5</v>
      </c>
      <c r="R229" s="2" t="str">
        <f t="shared" si="47"/>
        <v>Number</v>
      </c>
      <c r="S229" s="2">
        <v>5.99</v>
      </c>
      <c r="T229" s="19">
        <f t="shared" si="48"/>
        <v>5.99</v>
      </c>
      <c r="U229" s="2">
        <v>55.48</v>
      </c>
      <c r="V229" s="19">
        <f t="shared" si="49"/>
        <v>55.48</v>
      </c>
      <c r="W229" s="19">
        <f t="shared" si="50"/>
        <v>55.480000000000004</v>
      </c>
      <c r="X229" s="19" t="str">
        <f t="shared" si="51"/>
        <v>True</v>
      </c>
      <c r="Y229" s="19" t="str">
        <f>IF(OR(W229&lt;'Cleaning Tasks'!$G$18,W229&gt;'Cleaning Tasks'!$H$18),"Outlier","Normal")</f>
        <v>Normal</v>
      </c>
      <c r="Z229" s="2" t="s">
        <v>66</v>
      </c>
      <c r="AA229" s="2" t="s">
        <v>27</v>
      </c>
      <c r="AB229" s="2" t="s">
        <v>50</v>
      </c>
      <c r="AC229" s="2" t="s">
        <v>29</v>
      </c>
      <c r="AD229" s="22" t="s">
        <v>140</v>
      </c>
      <c r="AE229" s="2" t="str">
        <f t="shared" si="52"/>
        <v>Valid</v>
      </c>
      <c r="AF229" s="2" t="s">
        <v>937</v>
      </c>
    </row>
    <row r="230" spans="1:32" x14ac:dyDescent="0.3">
      <c r="A230" s="2" t="s">
        <v>938</v>
      </c>
      <c r="B230" s="2">
        <f t="shared" si="42"/>
        <v>1</v>
      </c>
      <c r="C230" s="12">
        <f t="shared" si="54"/>
        <v>46238.587388738422</v>
      </c>
      <c r="D230" s="13">
        <v>46238.587388738422</v>
      </c>
      <c r="E230" s="2" t="s">
        <v>939</v>
      </c>
      <c r="F230" s="2" t="str">
        <f t="shared" si="43"/>
        <v>Email Available</v>
      </c>
      <c r="G230" s="2" t="s">
        <v>940</v>
      </c>
      <c r="H230" s="2" t="s">
        <v>102</v>
      </c>
      <c r="I230" s="2" t="s">
        <v>103</v>
      </c>
      <c r="J230" s="2" t="s">
        <v>104</v>
      </c>
      <c r="K230" s="2">
        <v>1</v>
      </c>
      <c r="L230" s="2">
        <v>19.989999999999998</v>
      </c>
      <c r="M230" s="19">
        <f t="shared" si="44"/>
        <v>19.989999999999998</v>
      </c>
      <c r="N230" s="2"/>
      <c r="O230" s="2" t="str">
        <f t="shared" si="45"/>
        <v/>
      </c>
      <c r="P230" s="2">
        <v>0</v>
      </c>
      <c r="Q230" s="19">
        <f t="shared" si="46"/>
        <v>0</v>
      </c>
      <c r="R230" s="2" t="str">
        <f t="shared" si="47"/>
        <v>Number</v>
      </c>
      <c r="S230" s="2">
        <v>4.99</v>
      </c>
      <c r="T230" s="19">
        <f t="shared" si="48"/>
        <v>4.99</v>
      </c>
      <c r="U230" s="2" t="s">
        <v>941</v>
      </c>
      <c r="V230" s="19">
        <f t="shared" si="49"/>
        <v>24.98</v>
      </c>
      <c r="W230" s="19">
        <f t="shared" si="50"/>
        <v>24.979999999999997</v>
      </c>
      <c r="X230" s="19" t="str">
        <f t="shared" si="51"/>
        <v>True</v>
      </c>
      <c r="Y230" s="19" t="str">
        <f>IF(OR(W230&lt;'Cleaning Tasks'!$G$18,W230&gt;'Cleaning Tasks'!$H$18),"Outlier","Normal")</f>
        <v>Normal</v>
      </c>
      <c r="Z230" s="2" t="s">
        <v>49</v>
      </c>
      <c r="AA230" s="2" t="s">
        <v>27</v>
      </c>
      <c r="AB230" s="2" t="s">
        <v>50</v>
      </c>
      <c r="AC230" s="2" t="s">
        <v>29</v>
      </c>
      <c r="AD230" s="2" t="s">
        <v>51</v>
      </c>
      <c r="AE230" s="2" t="str">
        <f t="shared" si="52"/>
        <v>Valid</v>
      </c>
      <c r="AF230" s="2" t="s">
        <v>942</v>
      </c>
    </row>
    <row r="231" spans="1:32" x14ac:dyDescent="0.3">
      <c r="A231" s="2" t="s">
        <v>943</v>
      </c>
      <c r="B231" s="2">
        <f t="shared" si="42"/>
        <v>1</v>
      </c>
      <c r="C231" s="12">
        <f t="shared" si="54"/>
        <v>46238.586749016213</v>
      </c>
      <c r="D231" s="13">
        <v>46238.586749016213</v>
      </c>
      <c r="E231" s="2" t="s">
        <v>459</v>
      </c>
      <c r="F231" s="2" t="str">
        <f t="shared" si="43"/>
        <v>Email Available</v>
      </c>
      <c r="G231" s="2" t="s">
        <v>460</v>
      </c>
      <c r="H231" s="2" t="s">
        <v>190</v>
      </c>
      <c r="I231" s="2" t="s">
        <v>191</v>
      </c>
      <c r="J231" s="2" t="s">
        <v>192</v>
      </c>
      <c r="K231" s="2">
        <v>1</v>
      </c>
      <c r="L231" s="2" t="s">
        <v>944</v>
      </c>
      <c r="M231" s="19">
        <f t="shared" si="44"/>
        <v>13.49</v>
      </c>
      <c r="N231" s="2" t="s">
        <v>24</v>
      </c>
      <c r="O231" s="2" t="str">
        <f t="shared" si="45"/>
        <v>SAVE20</v>
      </c>
      <c r="P231" s="2">
        <v>2.7</v>
      </c>
      <c r="Q231" s="19">
        <f t="shared" si="46"/>
        <v>2.7</v>
      </c>
      <c r="R231" s="2" t="str">
        <f t="shared" si="47"/>
        <v>Number</v>
      </c>
      <c r="S231" s="2">
        <v>4.99</v>
      </c>
      <c r="T231" s="19">
        <f t="shared" si="48"/>
        <v>4.99</v>
      </c>
      <c r="U231" s="2">
        <v>15.78</v>
      </c>
      <c r="V231" s="19">
        <f t="shared" si="49"/>
        <v>15.78</v>
      </c>
      <c r="W231" s="19">
        <f t="shared" si="50"/>
        <v>15.78</v>
      </c>
      <c r="X231" s="19" t="str">
        <f t="shared" si="51"/>
        <v>True</v>
      </c>
      <c r="Y231" s="19" t="str">
        <f>IF(OR(W231&lt;'Cleaning Tasks'!$G$18,W231&gt;'Cleaning Tasks'!$H$18),"Outlier","Normal")</f>
        <v>Normal</v>
      </c>
      <c r="Z231" s="2" t="s">
        <v>66</v>
      </c>
      <c r="AA231" s="2" t="s">
        <v>27</v>
      </c>
      <c r="AB231" s="2" t="s">
        <v>50</v>
      </c>
      <c r="AC231" s="2" t="s">
        <v>223</v>
      </c>
      <c r="AD231" s="2"/>
      <c r="AE231" s="2" t="str">
        <f t="shared" si="52"/>
        <v>Not Required</v>
      </c>
      <c r="AF231" s="2" t="s">
        <v>945</v>
      </c>
    </row>
    <row r="232" spans="1:32" x14ac:dyDescent="0.3">
      <c r="A232" s="2" t="s">
        <v>946</v>
      </c>
      <c r="B232" s="2">
        <f t="shared" si="42"/>
        <v>1</v>
      </c>
      <c r="C232" s="12">
        <f t="shared" si="54"/>
        <v>46238.58320228009</v>
      </c>
      <c r="D232" s="13">
        <v>46238.58320228009</v>
      </c>
      <c r="E232" s="2" t="s">
        <v>313</v>
      </c>
      <c r="F232" s="2" t="str">
        <f t="shared" si="43"/>
        <v>Email Available</v>
      </c>
      <c r="G232" s="2" t="s">
        <v>314</v>
      </c>
      <c r="H232" s="2" t="s">
        <v>166</v>
      </c>
      <c r="I232" s="2" t="s">
        <v>103</v>
      </c>
      <c r="J232" s="2" t="s">
        <v>167</v>
      </c>
      <c r="K232" s="2">
        <v>1</v>
      </c>
      <c r="L232" s="2">
        <v>32.99</v>
      </c>
      <c r="M232" s="19">
        <f t="shared" si="44"/>
        <v>32.99</v>
      </c>
      <c r="N232" s="2" t="s">
        <v>118</v>
      </c>
      <c r="O232" s="2" t="str">
        <f t="shared" si="45"/>
        <v>BFCM25</v>
      </c>
      <c r="P232" s="2">
        <v>8.25</v>
      </c>
      <c r="Q232" s="19">
        <f t="shared" si="46"/>
        <v>8.25</v>
      </c>
      <c r="R232" s="2" t="str">
        <f t="shared" si="47"/>
        <v>Number</v>
      </c>
      <c r="S232" s="2">
        <v>5.99</v>
      </c>
      <c r="T232" s="19">
        <f t="shared" si="48"/>
        <v>5.99</v>
      </c>
      <c r="U232" s="2">
        <v>30.73</v>
      </c>
      <c r="V232" s="19">
        <f t="shared" si="49"/>
        <v>30.73</v>
      </c>
      <c r="W232" s="19">
        <f t="shared" si="50"/>
        <v>30.730000000000004</v>
      </c>
      <c r="X232" s="19" t="str">
        <f t="shared" si="51"/>
        <v>True</v>
      </c>
      <c r="Y232" s="19" t="str">
        <f>IF(OR(W232&lt;'Cleaning Tasks'!$G$18,W232&gt;'Cleaning Tasks'!$H$18),"Outlier","Normal")</f>
        <v>Normal</v>
      </c>
      <c r="Z232" s="2" t="s">
        <v>72</v>
      </c>
      <c r="AA232" s="2" t="s">
        <v>27</v>
      </c>
      <c r="AB232" s="2" t="s">
        <v>50</v>
      </c>
      <c r="AC232" s="2" t="s">
        <v>73</v>
      </c>
      <c r="AD232" s="2"/>
      <c r="AE232" s="2" t="str">
        <f t="shared" si="52"/>
        <v>Not Required</v>
      </c>
      <c r="AF232" s="2" t="s">
        <v>947</v>
      </c>
    </row>
    <row r="233" spans="1:32" x14ac:dyDescent="0.3">
      <c r="A233" s="2" t="s">
        <v>948</v>
      </c>
      <c r="B233" s="2">
        <f t="shared" si="42"/>
        <v>1</v>
      </c>
      <c r="C233" s="12">
        <f t="shared" si="54"/>
        <v>46238.588994108803</v>
      </c>
      <c r="D233" s="13">
        <v>46238.588994108803</v>
      </c>
      <c r="E233" s="2" t="s">
        <v>805</v>
      </c>
      <c r="F233" s="2" t="str">
        <f t="shared" si="43"/>
        <v>Email Available</v>
      </c>
      <c r="G233" s="2" t="s">
        <v>806</v>
      </c>
      <c r="H233" s="2" t="s">
        <v>361</v>
      </c>
      <c r="I233" s="2" t="s">
        <v>86</v>
      </c>
      <c r="J233" s="2" t="s">
        <v>362</v>
      </c>
      <c r="K233" s="2">
        <v>2</v>
      </c>
      <c r="L233" s="2">
        <v>54.99</v>
      </c>
      <c r="M233" s="19">
        <f t="shared" si="44"/>
        <v>54.99</v>
      </c>
      <c r="N233" s="2" t="s">
        <v>38</v>
      </c>
      <c r="O233" s="2" t="str">
        <f t="shared" si="45"/>
        <v>FREESHIP</v>
      </c>
      <c r="P233" s="2">
        <v>0</v>
      </c>
      <c r="Q233" s="19">
        <f t="shared" si="46"/>
        <v>0</v>
      </c>
      <c r="R233" s="2" t="str">
        <f t="shared" si="47"/>
        <v>Number</v>
      </c>
      <c r="S233" s="2">
        <v>0</v>
      </c>
      <c r="T233" s="19">
        <f t="shared" si="48"/>
        <v>0</v>
      </c>
      <c r="U233" s="2">
        <v>109.98</v>
      </c>
      <c r="V233" s="19">
        <f t="shared" si="49"/>
        <v>109.98</v>
      </c>
      <c r="W233" s="19">
        <f t="shared" si="50"/>
        <v>109.98</v>
      </c>
      <c r="X233" s="19" t="str">
        <f t="shared" si="51"/>
        <v>True</v>
      </c>
      <c r="Y233" s="19" t="str">
        <f>IF(OR(W233&lt;'Cleaning Tasks'!$G$18,W233&gt;'Cleaning Tasks'!$H$18),"Outlier","Normal")</f>
        <v>Outlier</v>
      </c>
      <c r="Z233" s="2" t="s">
        <v>49</v>
      </c>
      <c r="AA233" s="2" t="s">
        <v>27</v>
      </c>
      <c r="AB233" s="2" t="s">
        <v>50</v>
      </c>
      <c r="AC233" s="2" t="s">
        <v>29</v>
      </c>
      <c r="AD233" s="2" t="s">
        <v>58</v>
      </c>
      <c r="AE233" s="2" t="str">
        <f t="shared" si="52"/>
        <v>Valid</v>
      </c>
      <c r="AF233" s="2" t="s">
        <v>949</v>
      </c>
    </row>
    <row r="234" spans="1:32" x14ac:dyDescent="0.3">
      <c r="A234" s="2" t="s">
        <v>950</v>
      </c>
      <c r="B234" s="2">
        <f t="shared" si="42"/>
        <v>1</v>
      </c>
      <c r="C234" s="12">
        <f t="shared" si="54"/>
        <v>46238</v>
      </c>
      <c r="D234" s="13">
        <v>46238</v>
      </c>
      <c r="E234" s="2" t="s">
        <v>951</v>
      </c>
      <c r="F234" s="2" t="str">
        <f t="shared" si="43"/>
        <v>Email Available</v>
      </c>
      <c r="G234" s="2" t="s">
        <v>952</v>
      </c>
      <c r="H234" s="2" t="s">
        <v>221</v>
      </c>
      <c r="I234" s="2" t="s">
        <v>22</v>
      </c>
      <c r="J234" s="2" t="s">
        <v>222</v>
      </c>
      <c r="K234" s="2">
        <v>2</v>
      </c>
      <c r="L234" s="2">
        <v>17.989999999999998</v>
      </c>
      <c r="M234" s="19">
        <f t="shared" si="44"/>
        <v>17.989999999999998</v>
      </c>
      <c r="N234" s="2"/>
      <c r="O234" s="2" t="str">
        <f t="shared" si="45"/>
        <v/>
      </c>
      <c r="P234" s="2">
        <v>0</v>
      </c>
      <c r="Q234" s="19">
        <f t="shared" si="46"/>
        <v>0</v>
      </c>
      <c r="R234" s="2" t="str">
        <f t="shared" si="47"/>
        <v>Number</v>
      </c>
      <c r="S234" s="2">
        <v>7.99</v>
      </c>
      <c r="T234" s="19">
        <f t="shared" si="48"/>
        <v>7.99</v>
      </c>
      <c r="U234" s="2">
        <v>43.97</v>
      </c>
      <c r="V234" s="19">
        <f t="shared" si="49"/>
        <v>43.97</v>
      </c>
      <c r="W234" s="19">
        <f t="shared" si="50"/>
        <v>43.97</v>
      </c>
      <c r="X234" s="19" t="str">
        <f t="shared" si="51"/>
        <v>True</v>
      </c>
      <c r="Y234" s="19" t="str">
        <f>IF(OR(W234&lt;'Cleaning Tasks'!$G$18,W234&gt;'Cleaning Tasks'!$H$18),"Outlier","Normal")</f>
        <v>Normal</v>
      </c>
      <c r="Z234" s="2" t="s">
        <v>72</v>
      </c>
      <c r="AA234" s="2" t="s">
        <v>111</v>
      </c>
      <c r="AB234" s="2" t="s">
        <v>50</v>
      </c>
      <c r="AC234" s="2" t="s">
        <v>29</v>
      </c>
      <c r="AD234" s="22" t="s">
        <v>67</v>
      </c>
      <c r="AE234" s="2" t="str">
        <f t="shared" si="52"/>
        <v>Valid</v>
      </c>
      <c r="AF234" s="2" t="s">
        <v>953</v>
      </c>
    </row>
    <row r="235" spans="1:32" x14ac:dyDescent="0.3">
      <c r="A235" s="2" t="s">
        <v>954</v>
      </c>
      <c r="B235" s="2">
        <f t="shared" si="42"/>
        <v>1</v>
      </c>
      <c r="C235" s="12">
        <f t="shared" si="54"/>
        <v>46238.585456655092</v>
      </c>
      <c r="D235" s="13">
        <v>46238.585456655092</v>
      </c>
      <c r="E235" s="2" t="s">
        <v>677</v>
      </c>
      <c r="F235" s="2" t="str">
        <f t="shared" si="43"/>
        <v>Email Available</v>
      </c>
      <c r="G235" s="2" t="s">
        <v>478</v>
      </c>
      <c r="H235" s="2" t="s">
        <v>236</v>
      </c>
      <c r="I235" s="2" t="s">
        <v>237</v>
      </c>
      <c r="J235" s="2" t="s">
        <v>238</v>
      </c>
      <c r="K235" s="2">
        <v>2</v>
      </c>
      <c r="L235" s="2">
        <v>27.99</v>
      </c>
      <c r="M235" s="19">
        <f t="shared" si="44"/>
        <v>27.99</v>
      </c>
      <c r="N235" s="2"/>
      <c r="O235" s="2" t="str">
        <f t="shared" si="45"/>
        <v/>
      </c>
      <c r="P235" s="2">
        <v>0</v>
      </c>
      <c r="Q235" s="19">
        <f t="shared" si="46"/>
        <v>0</v>
      </c>
      <c r="R235" s="2" t="str">
        <f t="shared" si="47"/>
        <v>Number</v>
      </c>
      <c r="S235" s="2">
        <v>4.99</v>
      </c>
      <c r="T235" s="19">
        <f t="shared" si="48"/>
        <v>4.99</v>
      </c>
      <c r="U235" s="2">
        <v>60.97</v>
      </c>
      <c r="V235" s="19">
        <f t="shared" si="49"/>
        <v>60.97</v>
      </c>
      <c r="W235" s="19">
        <f t="shared" si="50"/>
        <v>60.97</v>
      </c>
      <c r="X235" s="19" t="str">
        <f t="shared" si="51"/>
        <v>True</v>
      </c>
      <c r="Y235" s="19" t="str">
        <f>IF(OR(W235&lt;'Cleaning Tasks'!$G$18,W235&gt;'Cleaning Tasks'!$H$18),"Outlier","Normal")</f>
        <v>Normal</v>
      </c>
      <c r="Z235" s="2" t="s">
        <v>39</v>
      </c>
      <c r="AA235" s="2" t="s">
        <v>27</v>
      </c>
      <c r="AB235" s="2" t="s">
        <v>28</v>
      </c>
      <c r="AC235" s="2" t="s">
        <v>29</v>
      </c>
      <c r="AD235" s="2" t="s">
        <v>112</v>
      </c>
      <c r="AE235" s="2" t="str">
        <f t="shared" si="52"/>
        <v>Valid</v>
      </c>
      <c r="AF235" s="2" t="s">
        <v>955</v>
      </c>
    </row>
    <row r="236" spans="1:32" x14ac:dyDescent="0.3">
      <c r="A236" s="2" t="s">
        <v>956</v>
      </c>
      <c r="B236" s="2">
        <f t="shared" si="42"/>
        <v>1</v>
      </c>
      <c r="C236" s="12">
        <f t="shared" si="54"/>
        <v>46238</v>
      </c>
      <c r="D236" s="13" t="s">
        <v>143</v>
      </c>
      <c r="E236" s="2" t="s">
        <v>957</v>
      </c>
      <c r="F236" s="2" t="str">
        <f t="shared" si="43"/>
        <v>Email Available</v>
      </c>
      <c r="G236" s="2" t="s">
        <v>958</v>
      </c>
      <c r="H236" s="2" t="s">
        <v>182</v>
      </c>
      <c r="I236" s="2" t="s">
        <v>36</v>
      </c>
      <c r="J236" s="2" t="s">
        <v>183</v>
      </c>
      <c r="K236" s="2">
        <v>2</v>
      </c>
      <c r="L236" s="2">
        <v>11.99</v>
      </c>
      <c r="M236" s="19">
        <f t="shared" si="44"/>
        <v>11.99</v>
      </c>
      <c r="N236" s="2" t="s">
        <v>203</v>
      </c>
      <c r="O236" s="2" t="str">
        <f t="shared" si="45"/>
        <v>VIP15</v>
      </c>
      <c r="P236" s="2">
        <v>3.6</v>
      </c>
      <c r="Q236" s="19">
        <f t="shared" si="46"/>
        <v>3.6</v>
      </c>
      <c r="R236" s="2" t="str">
        <f t="shared" si="47"/>
        <v>Number</v>
      </c>
      <c r="S236" s="2">
        <v>7.99</v>
      </c>
      <c r="T236" s="19">
        <f t="shared" si="48"/>
        <v>7.99</v>
      </c>
      <c r="U236" s="2">
        <v>28.37</v>
      </c>
      <c r="V236" s="19">
        <f t="shared" si="49"/>
        <v>28.37</v>
      </c>
      <c r="W236" s="19">
        <f t="shared" si="50"/>
        <v>28.369999999999997</v>
      </c>
      <c r="X236" s="19" t="str">
        <f t="shared" si="51"/>
        <v>True</v>
      </c>
      <c r="Y236" s="19" t="str">
        <f>IF(OR(W236&lt;'Cleaning Tasks'!$G$18,W236&gt;'Cleaning Tasks'!$H$18),"Outlier","Normal")</f>
        <v>Normal</v>
      </c>
      <c r="Z236" s="2" t="s">
        <v>49</v>
      </c>
      <c r="AA236" s="2" t="s">
        <v>27</v>
      </c>
      <c r="AB236" s="2" t="s">
        <v>96</v>
      </c>
      <c r="AC236" s="2" t="s">
        <v>331</v>
      </c>
      <c r="AD236" s="2"/>
      <c r="AE236" s="2" t="str">
        <f t="shared" si="52"/>
        <v>Not Required</v>
      </c>
      <c r="AF236" s="2" t="s">
        <v>959</v>
      </c>
    </row>
    <row r="237" spans="1:32" x14ac:dyDescent="0.3">
      <c r="A237" s="2" t="s">
        <v>960</v>
      </c>
      <c r="B237" s="2">
        <f t="shared" si="42"/>
        <v>1</v>
      </c>
      <c r="C237" s="12">
        <f t="shared" si="54"/>
        <v>46238.584915277781</v>
      </c>
      <c r="D237" s="13">
        <v>46238.584915277781</v>
      </c>
      <c r="E237" s="2" t="s">
        <v>961</v>
      </c>
      <c r="F237" s="2" t="str">
        <f t="shared" si="43"/>
        <v>Email Available</v>
      </c>
      <c r="G237" s="2" t="s">
        <v>962</v>
      </c>
      <c r="H237" s="2" t="s">
        <v>279</v>
      </c>
      <c r="I237" s="2" t="s">
        <v>22</v>
      </c>
      <c r="J237" s="2" t="s">
        <v>280</v>
      </c>
      <c r="K237" s="2">
        <v>1</v>
      </c>
      <c r="L237" s="2">
        <v>24.99</v>
      </c>
      <c r="M237" s="19">
        <f t="shared" si="44"/>
        <v>24.99</v>
      </c>
      <c r="N237" s="2" t="s">
        <v>118</v>
      </c>
      <c r="O237" s="2" t="str">
        <f t="shared" si="45"/>
        <v>BFCM25</v>
      </c>
      <c r="P237" s="2">
        <v>6.25</v>
      </c>
      <c r="Q237" s="19">
        <f t="shared" si="46"/>
        <v>6.25</v>
      </c>
      <c r="R237" s="2" t="str">
        <f t="shared" si="47"/>
        <v>Number</v>
      </c>
      <c r="S237" s="2">
        <v>7.99</v>
      </c>
      <c r="T237" s="19">
        <f t="shared" si="48"/>
        <v>7.99</v>
      </c>
      <c r="U237" s="2">
        <v>26.73</v>
      </c>
      <c r="V237" s="19">
        <f t="shared" si="49"/>
        <v>26.73</v>
      </c>
      <c r="W237" s="19">
        <f t="shared" si="50"/>
        <v>26.729999999999997</v>
      </c>
      <c r="X237" s="19" t="str">
        <f t="shared" si="51"/>
        <v>True</v>
      </c>
      <c r="Y237" s="19" t="str">
        <f>IF(OR(W237&lt;'Cleaning Tasks'!$G$18,W237&gt;'Cleaning Tasks'!$H$18),"Outlier","Normal")</f>
        <v>Normal</v>
      </c>
      <c r="Z237" s="2" t="s">
        <v>72</v>
      </c>
      <c r="AA237" s="2" t="s">
        <v>88</v>
      </c>
      <c r="AB237" s="2" t="s">
        <v>96</v>
      </c>
      <c r="AC237" s="2" t="s">
        <v>105</v>
      </c>
      <c r="AD237" s="2"/>
      <c r="AE237" s="2" t="str">
        <f t="shared" si="52"/>
        <v>Not Required</v>
      </c>
      <c r="AF237" s="2" t="s">
        <v>963</v>
      </c>
    </row>
    <row r="238" spans="1:32" x14ac:dyDescent="0.3">
      <c r="A238" s="2" t="s">
        <v>964</v>
      </c>
      <c r="B238" s="2">
        <f t="shared" si="42"/>
        <v>1</v>
      </c>
      <c r="C238" s="12">
        <f t="shared" si="54"/>
        <v>46238.58696572917</v>
      </c>
      <c r="D238" s="13">
        <v>46238.58696572917</v>
      </c>
      <c r="E238" s="2" t="s">
        <v>965</v>
      </c>
      <c r="F238" s="2" t="str">
        <f t="shared" si="43"/>
        <v>Email Available</v>
      </c>
      <c r="G238" s="2" t="s">
        <v>966</v>
      </c>
      <c r="H238" s="2" t="s">
        <v>361</v>
      </c>
      <c r="I238" s="2" t="s">
        <v>86</v>
      </c>
      <c r="J238" s="2" t="s">
        <v>362</v>
      </c>
      <c r="K238" s="2">
        <v>2</v>
      </c>
      <c r="L238" s="2">
        <v>54.99</v>
      </c>
      <c r="M238" s="19">
        <f t="shared" si="44"/>
        <v>54.99</v>
      </c>
      <c r="N238" s="2"/>
      <c r="O238" s="2" t="str">
        <f t="shared" si="45"/>
        <v/>
      </c>
      <c r="P238" s="2">
        <v>0</v>
      </c>
      <c r="Q238" s="19">
        <f t="shared" si="46"/>
        <v>0</v>
      </c>
      <c r="R238" s="2" t="str">
        <f t="shared" si="47"/>
        <v>Number</v>
      </c>
      <c r="S238" s="2">
        <v>0</v>
      </c>
      <c r="T238" s="19">
        <f t="shared" si="48"/>
        <v>0</v>
      </c>
      <c r="U238" s="2">
        <v>109.98</v>
      </c>
      <c r="V238" s="19">
        <f t="shared" si="49"/>
        <v>109.98</v>
      </c>
      <c r="W238" s="19">
        <f t="shared" si="50"/>
        <v>109.98</v>
      </c>
      <c r="X238" s="19" t="str">
        <f t="shared" si="51"/>
        <v>True</v>
      </c>
      <c r="Y238" s="19" t="str">
        <f>IF(OR(W238&lt;'Cleaning Tasks'!$G$18,W238&gt;'Cleaning Tasks'!$H$18),"Outlier","Normal")</f>
        <v>Outlier</v>
      </c>
      <c r="Z238" s="2" t="s">
        <v>26</v>
      </c>
      <c r="AA238" s="2" t="s">
        <v>27</v>
      </c>
      <c r="AB238" s="2" t="s">
        <v>96</v>
      </c>
      <c r="AC238" s="2" t="s">
        <v>73</v>
      </c>
      <c r="AD238" s="2"/>
      <c r="AE238" s="2" t="str">
        <f t="shared" si="52"/>
        <v>Not Required</v>
      </c>
      <c r="AF238" s="2" t="s">
        <v>967</v>
      </c>
    </row>
    <row r="239" spans="1:32" x14ac:dyDescent="0.3">
      <c r="A239" s="2" t="s">
        <v>968</v>
      </c>
      <c r="B239" s="2">
        <f t="shared" si="42"/>
        <v>1</v>
      </c>
      <c r="C239" s="12">
        <f t="shared" si="54"/>
        <v>46238.585687916668</v>
      </c>
      <c r="D239" s="13">
        <v>46238.585687916668</v>
      </c>
      <c r="E239" s="2" t="s">
        <v>969</v>
      </c>
      <c r="F239" s="2" t="str">
        <f t="shared" si="43"/>
        <v>Missing Email</v>
      </c>
      <c r="G239" s="2"/>
      <c r="H239" s="2" t="s">
        <v>201</v>
      </c>
      <c r="I239" s="2" t="s">
        <v>191</v>
      </c>
      <c r="J239" s="2" t="s">
        <v>202</v>
      </c>
      <c r="K239" s="2">
        <v>1</v>
      </c>
      <c r="L239" s="2">
        <v>24.99</v>
      </c>
      <c r="M239" s="19">
        <f t="shared" si="44"/>
        <v>24.99</v>
      </c>
      <c r="N239" s="2"/>
      <c r="O239" s="2" t="str">
        <f t="shared" si="45"/>
        <v/>
      </c>
      <c r="P239" s="2">
        <v>0</v>
      </c>
      <c r="Q239" s="19">
        <f t="shared" si="46"/>
        <v>0</v>
      </c>
      <c r="R239" s="2" t="str">
        <f t="shared" si="47"/>
        <v>Number</v>
      </c>
      <c r="S239" s="2">
        <v>7.99</v>
      </c>
      <c r="T239" s="19">
        <f t="shared" si="48"/>
        <v>7.99</v>
      </c>
      <c r="U239" s="2">
        <v>32.979999999999997</v>
      </c>
      <c r="V239" s="19">
        <f t="shared" si="49"/>
        <v>32.979999999999997</v>
      </c>
      <c r="W239" s="19">
        <f t="shared" si="50"/>
        <v>32.979999999999997</v>
      </c>
      <c r="X239" s="19" t="str">
        <f t="shared" si="51"/>
        <v>True</v>
      </c>
      <c r="Y239" s="19" t="str">
        <f>IF(OR(W239&lt;'Cleaning Tasks'!$G$18,W239&gt;'Cleaning Tasks'!$H$18),"Outlier","Normal")</f>
        <v>Normal</v>
      </c>
      <c r="Z239" s="2" t="s">
        <v>26</v>
      </c>
      <c r="AA239" s="2" t="s">
        <v>27</v>
      </c>
      <c r="AB239" s="2" t="s">
        <v>50</v>
      </c>
      <c r="AC239" s="2" t="s">
        <v>105</v>
      </c>
      <c r="AD239" s="2"/>
      <c r="AE239" s="2" t="str">
        <f t="shared" si="52"/>
        <v>Not Required</v>
      </c>
      <c r="AF239" s="2" t="s">
        <v>970</v>
      </c>
    </row>
    <row r="240" spans="1:32" x14ac:dyDescent="0.3">
      <c r="A240" s="2" t="s">
        <v>971</v>
      </c>
      <c r="B240" s="2">
        <f t="shared" si="42"/>
        <v>1</v>
      </c>
      <c r="C240" s="12">
        <f t="shared" si="54"/>
        <v>46238.5788659838</v>
      </c>
      <c r="D240" s="13">
        <v>46238.5788659838</v>
      </c>
      <c r="E240" s="2" t="s">
        <v>815</v>
      </c>
      <c r="F240" s="2" t="str">
        <f t="shared" si="43"/>
        <v>Email Available</v>
      </c>
      <c r="G240" s="2" t="s">
        <v>816</v>
      </c>
      <c r="H240" s="2" t="s">
        <v>63</v>
      </c>
      <c r="I240" s="2" t="s">
        <v>47</v>
      </c>
      <c r="J240" s="2" t="s">
        <v>446</v>
      </c>
      <c r="K240" s="2">
        <v>1</v>
      </c>
      <c r="L240" s="2">
        <v>14.99</v>
      </c>
      <c r="M240" s="19">
        <f t="shared" si="44"/>
        <v>14.99</v>
      </c>
      <c r="N240" s="2" t="s">
        <v>203</v>
      </c>
      <c r="O240" s="2" t="str">
        <f t="shared" si="45"/>
        <v>VIP15</v>
      </c>
      <c r="P240" s="2">
        <v>2.25</v>
      </c>
      <c r="Q240" s="19">
        <f t="shared" si="46"/>
        <v>2.25</v>
      </c>
      <c r="R240" s="2" t="str">
        <f t="shared" si="47"/>
        <v>Number</v>
      </c>
      <c r="S240" s="2">
        <v>5.99</v>
      </c>
      <c r="T240" s="19">
        <f t="shared" si="48"/>
        <v>5.99</v>
      </c>
      <c r="U240" s="2">
        <v>18.73</v>
      </c>
      <c r="V240" s="19">
        <f t="shared" si="49"/>
        <v>18.73</v>
      </c>
      <c r="W240" s="19">
        <f t="shared" si="50"/>
        <v>18.73</v>
      </c>
      <c r="X240" s="19" t="str">
        <f t="shared" si="51"/>
        <v>True</v>
      </c>
      <c r="Y240" s="19" t="str">
        <f>IF(OR(W240&lt;'Cleaning Tasks'!$G$18,W240&gt;'Cleaning Tasks'!$H$18),"Outlier","Normal")</f>
        <v>Normal</v>
      </c>
      <c r="Z240" s="2" t="s">
        <v>66</v>
      </c>
      <c r="AA240" s="2" t="s">
        <v>88</v>
      </c>
      <c r="AB240" s="2" t="s">
        <v>28</v>
      </c>
      <c r="AC240" s="2" t="s">
        <v>73</v>
      </c>
      <c r="AD240" s="2"/>
      <c r="AE240" s="2" t="str">
        <f t="shared" si="52"/>
        <v>Not Required</v>
      </c>
      <c r="AF240" s="2" t="s">
        <v>972</v>
      </c>
    </row>
    <row r="241" spans="1:32" x14ac:dyDescent="0.3">
      <c r="A241" s="2" t="s">
        <v>973</v>
      </c>
      <c r="B241" s="2">
        <f t="shared" si="42"/>
        <v>1</v>
      </c>
      <c r="C241" s="12">
        <f t="shared" si="54"/>
        <v>46238</v>
      </c>
      <c r="D241" s="13">
        <v>46238</v>
      </c>
      <c r="E241" s="2" t="s">
        <v>974</v>
      </c>
      <c r="F241" s="2" t="str">
        <f t="shared" si="43"/>
        <v>Email Available</v>
      </c>
      <c r="G241" s="2" t="s">
        <v>975</v>
      </c>
      <c r="H241" s="2" t="s">
        <v>56</v>
      </c>
      <c r="I241" s="2" t="s">
        <v>22</v>
      </c>
      <c r="J241" s="2" t="s">
        <v>57</v>
      </c>
      <c r="K241" s="2">
        <v>1</v>
      </c>
      <c r="L241" s="2">
        <v>9.99</v>
      </c>
      <c r="M241" s="19">
        <f t="shared" si="44"/>
        <v>9.99</v>
      </c>
      <c r="N241" s="2"/>
      <c r="O241" s="2" t="str">
        <f t="shared" si="45"/>
        <v/>
      </c>
      <c r="P241" s="2">
        <v>0</v>
      </c>
      <c r="Q241" s="19">
        <f t="shared" si="46"/>
        <v>0</v>
      </c>
      <c r="R241" s="2" t="str">
        <f t="shared" si="47"/>
        <v>Number</v>
      </c>
      <c r="S241" s="2">
        <v>4.99</v>
      </c>
      <c r="T241" s="19">
        <f t="shared" si="48"/>
        <v>4.99</v>
      </c>
      <c r="U241" s="2" t="s">
        <v>976</v>
      </c>
      <c r="V241" s="19">
        <f t="shared" si="49"/>
        <v>14.98</v>
      </c>
      <c r="W241" s="19">
        <f t="shared" si="50"/>
        <v>14.98</v>
      </c>
      <c r="X241" s="19" t="str">
        <f t="shared" si="51"/>
        <v>True</v>
      </c>
      <c r="Y241" s="19" t="str">
        <f>IF(OR(W241&lt;'Cleaning Tasks'!$G$18,W241&gt;'Cleaning Tasks'!$H$18),"Outlier","Normal")</f>
        <v>Normal</v>
      </c>
      <c r="Z241" s="2" t="s">
        <v>49</v>
      </c>
      <c r="AA241" s="2" t="s">
        <v>88</v>
      </c>
      <c r="AB241" s="2" t="s">
        <v>96</v>
      </c>
      <c r="AC241" s="2" t="s">
        <v>331</v>
      </c>
      <c r="AD241" s="2"/>
      <c r="AE241" s="2" t="str">
        <f t="shared" si="52"/>
        <v>Not Required</v>
      </c>
      <c r="AF241" s="2" t="s">
        <v>977</v>
      </c>
    </row>
    <row r="242" spans="1:32" x14ac:dyDescent="0.3">
      <c r="A242" s="2" t="s">
        <v>978</v>
      </c>
      <c r="B242" s="2">
        <f t="shared" si="42"/>
        <v>1</v>
      </c>
      <c r="C242" s="12">
        <f t="shared" si="54"/>
        <v>46238</v>
      </c>
      <c r="D242" s="13" t="s">
        <v>714</v>
      </c>
      <c r="E242" s="2" t="s">
        <v>979</v>
      </c>
      <c r="F242" s="2" t="str">
        <f t="shared" si="43"/>
        <v>Email Available</v>
      </c>
      <c r="G242" s="2" t="s">
        <v>670</v>
      </c>
      <c r="H242" s="2" t="s">
        <v>201</v>
      </c>
      <c r="I242" s="2" t="s">
        <v>191</v>
      </c>
      <c r="J242" s="2" t="s">
        <v>202</v>
      </c>
      <c r="K242" s="2">
        <v>3</v>
      </c>
      <c r="L242" s="2">
        <v>24.99</v>
      </c>
      <c r="M242" s="19">
        <f t="shared" si="44"/>
        <v>24.99</v>
      </c>
      <c r="N242" s="2"/>
      <c r="O242" s="2" t="str">
        <f t="shared" si="45"/>
        <v/>
      </c>
      <c r="P242" s="2">
        <v>0</v>
      </c>
      <c r="Q242" s="19">
        <f t="shared" si="46"/>
        <v>0</v>
      </c>
      <c r="R242" s="2" t="str">
        <f t="shared" si="47"/>
        <v>Number</v>
      </c>
      <c r="S242" s="2">
        <v>5.99</v>
      </c>
      <c r="T242" s="19">
        <f t="shared" si="48"/>
        <v>5.99</v>
      </c>
      <c r="U242" s="2">
        <v>80.959999999999994</v>
      </c>
      <c r="V242" s="19">
        <f t="shared" si="49"/>
        <v>80.959999999999994</v>
      </c>
      <c r="W242" s="19">
        <f t="shared" si="50"/>
        <v>80.959999999999994</v>
      </c>
      <c r="X242" s="19" t="str">
        <f t="shared" si="51"/>
        <v>True</v>
      </c>
      <c r="Y242" s="19" t="str">
        <f>IF(OR(W242&lt;'Cleaning Tasks'!$G$18,W242&gt;'Cleaning Tasks'!$H$18),"Outlier","Normal")</f>
        <v>Normal</v>
      </c>
      <c r="Z242" s="2" t="s">
        <v>26</v>
      </c>
      <c r="AA242" s="2" t="s">
        <v>27</v>
      </c>
      <c r="AB242" s="2" t="s">
        <v>28</v>
      </c>
      <c r="AC242" s="2" t="s">
        <v>29</v>
      </c>
      <c r="AD242" s="2" t="s">
        <v>51</v>
      </c>
      <c r="AE242" s="2" t="str">
        <f t="shared" si="52"/>
        <v>Valid</v>
      </c>
      <c r="AF242" s="2" t="s">
        <v>980</v>
      </c>
    </row>
    <row r="243" spans="1:32" x14ac:dyDescent="0.3">
      <c r="A243" s="2" t="s">
        <v>981</v>
      </c>
      <c r="B243" s="2">
        <f t="shared" si="42"/>
        <v>1</v>
      </c>
      <c r="C243" s="12">
        <f t="shared" si="54"/>
        <v>46238.588601643518</v>
      </c>
      <c r="D243" s="13">
        <v>46238.588601643518</v>
      </c>
      <c r="E243" s="2" t="s">
        <v>92</v>
      </c>
      <c r="F243" s="2" t="str">
        <f t="shared" si="43"/>
        <v>Email Available</v>
      </c>
      <c r="G243" s="2" t="s">
        <v>93</v>
      </c>
      <c r="H243" s="2" t="s">
        <v>190</v>
      </c>
      <c r="I243" s="2" t="s">
        <v>191</v>
      </c>
      <c r="J243" s="2" t="s">
        <v>192</v>
      </c>
      <c r="K243" s="2">
        <v>2</v>
      </c>
      <c r="L243" s="2">
        <v>13.49</v>
      </c>
      <c r="M243" s="19">
        <f t="shared" si="44"/>
        <v>13.49</v>
      </c>
      <c r="N243" s="2" t="s">
        <v>24</v>
      </c>
      <c r="O243" s="2" t="str">
        <f t="shared" si="45"/>
        <v>SAVE20</v>
      </c>
      <c r="P243" s="2" t="s">
        <v>982</v>
      </c>
      <c r="Q243" s="19">
        <f t="shared" si="46"/>
        <v>5.4</v>
      </c>
      <c r="R243" s="2" t="str">
        <f t="shared" si="47"/>
        <v>Number</v>
      </c>
      <c r="S243" s="2">
        <v>7.99</v>
      </c>
      <c r="T243" s="19">
        <f t="shared" si="48"/>
        <v>7.99</v>
      </c>
      <c r="U243" s="2">
        <v>29.57</v>
      </c>
      <c r="V243" s="19">
        <f t="shared" si="49"/>
        <v>29.57</v>
      </c>
      <c r="W243" s="19">
        <f t="shared" si="50"/>
        <v>29.57</v>
      </c>
      <c r="X243" s="19" t="str">
        <f t="shared" si="51"/>
        <v>True</v>
      </c>
      <c r="Y243" s="19" t="str">
        <f>IF(OR(W243&lt;'Cleaning Tasks'!$G$18,W243&gt;'Cleaning Tasks'!$H$18),"Outlier","Normal")</f>
        <v>Normal</v>
      </c>
      <c r="Z243" s="2" t="s">
        <v>72</v>
      </c>
      <c r="AA243" s="2" t="s">
        <v>27</v>
      </c>
      <c r="AB243" s="2" t="s">
        <v>50</v>
      </c>
      <c r="AC243" s="2" t="s">
        <v>42</v>
      </c>
      <c r="AD243" s="2"/>
      <c r="AE243" s="2" t="str">
        <f t="shared" si="52"/>
        <v>Not Required</v>
      </c>
      <c r="AF243" s="2" t="s">
        <v>983</v>
      </c>
    </row>
    <row r="244" spans="1:32" x14ac:dyDescent="0.3">
      <c r="A244" s="2" t="s">
        <v>984</v>
      </c>
      <c r="B244" s="2">
        <f t="shared" si="42"/>
        <v>1</v>
      </c>
      <c r="C244" s="12">
        <f t="shared" si="54"/>
        <v>46238.582880706017</v>
      </c>
      <c r="D244" s="13">
        <v>46238.582880706017</v>
      </c>
      <c r="E244" s="2" t="s">
        <v>366</v>
      </c>
      <c r="F244" s="2" t="str">
        <f t="shared" si="43"/>
        <v>Email Available</v>
      </c>
      <c r="G244" s="2" t="s">
        <v>367</v>
      </c>
      <c r="H244" s="2" t="s">
        <v>130</v>
      </c>
      <c r="I244" s="2" t="s">
        <v>103</v>
      </c>
      <c r="J244" s="2" t="s">
        <v>131</v>
      </c>
      <c r="K244" s="2">
        <v>2</v>
      </c>
      <c r="L244" s="2" t="s">
        <v>985</v>
      </c>
      <c r="M244" s="19">
        <f t="shared" si="44"/>
        <v>16.989999999999998</v>
      </c>
      <c r="N244" s="2" t="s">
        <v>38</v>
      </c>
      <c r="O244" s="2" t="str">
        <f t="shared" si="45"/>
        <v>FREESHIP</v>
      </c>
      <c r="P244" s="2">
        <v>0</v>
      </c>
      <c r="Q244" s="19">
        <f t="shared" si="46"/>
        <v>0</v>
      </c>
      <c r="R244" s="2" t="str">
        <f t="shared" si="47"/>
        <v>Number</v>
      </c>
      <c r="S244" s="2">
        <v>0</v>
      </c>
      <c r="T244" s="19">
        <f t="shared" si="48"/>
        <v>0</v>
      </c>
      <c r="U244" s="2">
        <v>33.979999999999997</v>
      </c>
      <c r="V244" s="19">
        <f t="shared" si="49"/>
        <v>33.979999999999997</v>
      </c>
      <c r="W244" s="19">
        <f t="shared" si="50"/>
        <v>33.979999999999997</v>
      </c>
      <c r="X244" s="19" t="str">
        <f t="shared" si="51"/>
        <v>True</v>
      </c>
      <c r="Y244" s="19" t="str">
        <f>IF(OR(W244&lt;'Cleaning Tasks'!$G$18,W244&gt;'Cleaning Tasks'!$H$18),"Outlier","Normal")</f>
        <v>Normal</v>
      </c>
      <c r="Z244" s="2" t="s">
        <v>26</v>
      </c>
      <c r="AA244" s="2" t="s">
        <v>27</v>
      </c>
      <c r="AB244" s="2" t="s">
        <v>50</v>
      </c>
      <c r="AC244" s="2" t="s">
        <v>331</v>
      </c>
      <c r="AD244" s="2"/>
      <c r="AE244" s="2" t="str">
        <f t="shared" si="52"/>
        <v>Not Required</v>
      </c>
      <c r="AF244" s="2" t="s">
        <v>986</v>
      </c>
    </row>
    <row r="245" spans="1:32" x14ac:dyDescent="0.3">
      <c r="A245" s="2" t="s">
        <v>987</v>
      </c>
      <c r="B245" s="2">
        <f t="shared" si="42"/>
        <v>1</v>
      </c>
      <c r="C245" s="12">
        <f t="shared" si="54"/>
        <v>46238.582259583331</v>
      </c>
      <c r="D245" s="13">
        <v>46238.582259583331</v>
      </c>
      <c r="E245" s="2" t="s">
        <v>988</v>
      </c>
      <c r="F245" s="2" t="str">
        <f t="shared" si="43"/>
        <v>Email Available</v>
      </c>
      <c r="G245" s="2" t="s">
        <v>989</v>
      </c>
      <c r="H245" s="2" t="s">
        <v>109</v>
      </c>
      <c r="I245" s="2" t="s">
        <v>79</v>
      </c>
      <c r="J245" s="2" t="s">
        <v>110</v>
      </c>
      <c r="K245" s="2">
        <v>1</v>
      </c>
      <c r="L245" s="2" t="s">
        <v>990</v>
      </c>
      <c r="M245" s="19">
        <f t="shared" si="44"/>
        <v>22.99</v>
      </c>
      <c r="N245" s="2"/>
      <c r="O245" s="2" t="str">
        <f t="shared" si="45"/>
        <v/>
      </c>
      <c r="P245" s="2">
        <v>0</v>
      </c>
      <c r="Q245" s="19">
        <f t="shared" si="46"/>
        <v>0</v>
      </c>
      <c r="R245" s="2" t="str">
        <f t="shared" si="47"/>
        <v>Number</v>
      </c>
      <c r="S245" s="2">
        <v>4.99</v>
      </c>
      <c r="T245" s="19">
        <f t="shared" si="48"/>
        <v>4.99</v>
      </c>
      <c r="U245" s="2">
        <v>27.98</v>
      </c>
      <c r="V245" s="19">
        <f t="shared" si="49"/>
        <v>27.98</v>
      </c>
      <c r="W245" s="19">
        <f t="shared" si="50"/>
        <v>27.979999999999997</v>
      </c>
      <c r="X245" s="19" t="str">
        <f t="shared" si="51"/>
        <v>True</v>
      </c>
      <c r="Y245" s="19" t="str">
        <f>IF(OR(W245&lt;'Cleaning Tasks'!$G$18,W245&gt;'Cleaning Tasks'!$H$18),"Outlier","Normal")</f>
        <v>Normal</v>
      </c>
      <c r="Z245" s="2" t="s">
        <v>72</v>
      </c>
      <c r="AA245" s="2" t="s">
        <v>40</v>
      </c>
      <c r="AB245" s="2" t="s">
        <v>50</v>
      </c>
      <c r="AC245" s="2" t="s">
        <v>223</v>
      </c>
      <c r="AD245" s="2"/>
      <c r="AE245" s="2" t="str">
        <f t="shared" si="52"/>
        <v>Not Required</v>
      </c>
      <c r="AF245" s="2" t="s">
        <v>991</v>
      </c>
    </row>
    <row r="246" spans="1:32" x14ac:dyDescent="0.3">
      <c r="A246" s="2" t="s">
        <v>992</v>
      </c>
      <c r="B246" s="2">
        <f t="shared" si="42"/>
        <v>1</v>
      </c>
      <c r="C246" s="12">
        <f t="shared" si="54"/>
        <v>46238.586796574084</v>
      </c>
      <c r="D246" s="13">
        <v>46238.586796574084</v>
      </c>
      <c r="E246" s="2" t="s">
        <v>993</v>
      </c>
      <c r="F246" s="2" t="str">
        <f t="shared" si="43"/>
        <v>Email Available</v>
      </c>
      <c r="G246" s="2" t="s">
        <v>994</v>
      </c>
      <c r="H246" s="2" t="s">
        <v>63</v>
      </c>
      <c r="I246" s="2" t="s">
        <v>47</v>
      </c>
      <c r="J246" s="2" t="s">
        <v>446</v>
      </c>
      <c r="K246" s="2">
        <v>1</v>
      </c>
      <c r="L246" s="2">
        <v>14.99</v>
      </c>
      <c r="M246" s="19">
        <f t="shared" si="44"/>
        <v>14.99</v>
      </c>
      <c r="N246" s="2" t="s">
        <v>38</v>
      </c>
      <c r="O246" s="2" t="str">
        <f t="shared" si="45"/>
        <v>FREESHIP</v>
      </c>
      <c r="P246" s="2">
        <v>0</v>
      </c>
      <c r="Q246" s="19">
        <f t="shared" si="46"/>
        <v>0</v>
      </c>
      <c r="R246" s="2" t="str">
        <f t="shared" si="47"/>
        <v>Number</v>
      </c>
      <c r="S246" s="2">
        <v>0</v>
      </c>
      <c r="T246" s="19">
        <f t="shared" si="48"/>
        <v>0</v>
      </c>
      <c r="U246" s="2">
        <v>14.99</v>
      </c>
      <c r="V246" s="19">
        <f t="shared" si="49"/>
        <v>14.99</v>
      </c>
      <c r="W246" s="19">
        <f t="shared" si="50"/>
        <v>14.99</v>
      </c>
      <c r="X246" s="19" t="str">
        <f t="shared" si="51"/>
        <v>True</v>
      </c>
      <c r="Y246" s="19" t="str">
        <f>IF(OR(W246&lt;'Cleaning Tasks'!$G$18,W246&gt;'Cleaning Tasks'!$H$18),"Outlier","Normal")</f>
        <v>Normal</v>
      </c>
      <c r="Z246" s="2" t="s">
        <v>26</v>
      </c>
      <c r="AA246" s="2" t="s">
        <v>27</v>
      </c>
      <c r="AB246" s="2" t="s">
        <v>96</v>
      </c>
      <c r="AC246" s="2" t="s">
        <v>42</v>
      </c>
      <c r="AD246" s="2"/>
      <c r="AE246" s="2" t="str">
        <f t="shared" si="52"/>
        <v>Not Required</v>
      </c>
      <c r="AF246" s="2" t="s">
        <v>995</v>
      </c>
    </row>
    <row r="247" spans="1:32" x14ac:dyDescent="0.3">
      <c r="A247" s="2" t="s">
        <v>996</v>
      </c>
      <c r="B247" s="2">
        <f t="shared" si="42"/>
        <v>1</v>
      </c>
      <c r="C247" s="12">
        <f t="shared" si="54"/>
        <v>46238</v>
      </c>
      <c r="D247" s="13" t="s">
        <v>143</v>
      </c>
      <c r="E247" s="2" t="s">
        <v>413</v>
      </c>
      <c r="F247" s="2" t="str">
        <f t="shared" si="43"/>
        <v>Email Available</v>
      </c>
      <c r="G247" s="2" t="s">
        <v>414</v>
      </c>
      <c r="H247" s="2" t="s">
        <v>190</v>
      </c>
      <c r="I247" s="2" t="s">
        <v>191</v>
      </c>
      <c r="J247" s="2" t="s">
        <v>192</v>
      </c>
      <c r="K247" s="2">
        <v>1</v>
      </c>
      <c r="L247" s="2">
        <v>13.49</v>
      </c>
      <c r="M247" s="19">
        <f t="shared" si="44"/>
        <v>13.49</v>
      </c>
      <c r="N247" s="2" t="s">
        <v>38</v>
      </c>
      <c r="O247" s="2" t="str">
        <f t="shared" si="45"/>
        <v>FREESHIP</v>
      </c>
      <c r="P247" s="2">
        <v>0</v>
      </c>
      <c r="Q247" s="19">
        <f t="shared" si="46"/>
        <v>0</v>
      </c>
      <c r="R247" s="2" t="str">
        <f t="shared" si="47"/>
        <v>Number</v>
      </c>
      <c r="S247" s="2">
        <v>0</v>
      </c>
      <c r="T247" s="19">
        <f t="shared" si="48"/>
        <v>0</v>
      </c>
      <c r="U247" s="2">
        <v>13.49</v>
      </c>
      <c r="V247" s="19">
        <f t="shared" si="49"/>
        <v>13.49</v>
      </c>
      <c r="W247" s="19">
        <f t="shared" si="50"/>
        <v>13.49</v>
      </c>
      <c r="X247" s="19" t="str">
        <f t="shared" si="51"/>
        <v>True</v>
      </c>
      <c r="Y247" s="19" t="str">
        <f>IF(OR(W247&lt;'Cleaning Tasks'!$G$18,W247&gt;'Cleaning Tasks'!$H$18),"Outlier","Normal")</f>
        <v>Normal</v>
      </c>
      <c r="Z247" s="2" t="s">
        <v>66</v>
      </c>
      <c r="AA247" s="2" t="s">
        <v>27</v>
      </c>
      <c r="AB247" s="2" t="s">
        <v>50</v>
      </c>
      <c r="AC247" s="2" t="s">
        <v>331</v>
      </c>
      <c r="AD247" s="2"/>
      <c r="AE247" s="2" t="str">
        <f t="shared" si="52"/>
        <v>Not Required</v>
      </c>
      <c r="AF247" s="2" t="s">
        <v>997</v>
      </c>
    </row>
    <row r="248" spans="1:32" x14ac:dyDescent="0.3">
      <c r="A248" s="2" t="s">
        <v>998</v>
      </c>
      <c r="B248" s="2">
        <f t="shared" si="42"/>
        <v>1</v>
      </c>
      <c r="C248" s="12">
        <f t="shared" si="54"/>
        <v>46238.58326871528</v>
      </c>
      <c r="D248" s="13">
        <v>46238.58326871528</v>
      </c>
      <c r="E248" s="2" t="s">
        <v>569</v>
      </c>
      <c r="F248" s="2" t="str">
        <f t="shared" si="43"/>
        <v>Email Available</v>
      </c>
      <c r="G248" s="2" t="s">
        <v>570</v>
      </c>
      <c r="H248" s="2" t="s">
        <v>201</v>
      </c>
      <c r="I248" s="2" t="s">
        <v>191</v>
      </c>
      <c r="J248" s="2" t="s">
        <v>202</v>
      </c>
      <c r="K248" s="2">
        <v>1</v>
      </c>
      <c r="L248" s="2">
        <v>24.99</v>
      </c>
      <c r="M248" s="19">
        <f t="shared" si="44"/>
        <v>24.99</v>
      </c>
      <c r="N248" s="2" t="s">
        <v>65</v>
      </c>
      <c r="O248" s="2" t="str">
        <f t="shared" si="45"/>
        <v>WELCOME10</v>
      </c>
      <c r="P248" s="2" t="s">
        <v>999</v>
      </c>
      <c r="Q248" s="19">
        <f t="shared" si="46"/>
        <v>2.5</v>
      </c>
      <c r="R248" s="2" t="str">
        <f t="shared" si="47"/>
        <v>Number</v>
      </c>
      <c r="S248" s="2">
        <v>4.99</v>
      </c>
      <c r="T248" s="19">
        <f t="shared" si="48"/>
        <v>4.99</v>
      </c>
      <c r="U248" s="2">
        <v>27.48</v>
      </c>
      <c r="V248" s="19">
        <f t="shared" si="49"/>
        <v>27.48</v>
      </c>
      <c r="W248" s="19">
        <f t="shared" si="50"/>
        <v>27.479999999999997</v>
      </c>
      <c r="X248" s="19" t="str">
        <f t="shared" si="51"/>
        <v>True</v>
      </c>
      <c r="Y248" s="19" t="str">
        <f>IF(OR(W248&lt;'Cleaning Tasks'!$G$18,W248&gt;'Cleaning Tasks'!$H$18),"Outlier","Normal")</f>
        <v>Normal</v>
      </c>
      <c r="Z248" s="2" t="s">
        <v>72</v>
      </c>
      <c r="AA248" s="2" t="s">
        <v>40</v>
      </c>
      <c r="AB248" s="2" t="s">
        <v>96</v>
      </c>
      <c r="AC248" s="2" t="s">
        <v>105</v>
      </c>
      <c r="AD248" s="2"/>
      <c r="AE248" s="2" t="str">
        <f t="shared" si="52"/>
        <v>Not Required</v>
      </c>
      <c r="AF248" s="2" t="s">
        <v>1000</v>
      </c>
    </row>
    <row r="249" spans="1:32" x14ac:dyDescent="0.3">
      <c r="A249" s="2" t="s">
        <v>1001</v>
      </c>
      <c r="B249" s="2">
        <f t="shared" si="42"/>
        <v>1</v>
      </c>
      <c r="C249" s="12">
        <f t="shared" si="54"/>
        <v>46238.586471446761</v>
      </c>
      <c r="D249" s="13">
        <v>46238.586471446761</v>
      </c>
      <c r="E249" s="2" t="s">
        <v>334</v>
      </c>
      <c r="F249" s="2" t="str">
        <f t="shared" si="43"/>
        <v>Email Available</v>
      </c>
      <c r="G249" s="2" t="s">
        <v>335</v>
      </c>
      <c r="H249" s="2" t="s">
        <v>85</v>
      </c>
      <c r="I249" s="2" t="s">
        <v>86</v>
      </c>
      <c r="J249" s="2" t="s">
        <v>87</v>
      </c>
      <c r="K249" s="2">
        <v>2</v>
      </c>
      <c r="L249" s="2">
        <v>54.99</v>
      </c>
      <c r="M249" s="19">
        <f t="shared" si="44"/>
        <v>54.99</v>
      </c>
      <c r="N249" s="2" t="s">
        <v>118</v>
      </c>
      <c r="O249" s="2" t="str">
        <f t="shared" si="45"/>
        <v>BFCM25</v>
      </c>
      <c r="P249" s="2">
        <v>27.5</v>
      </c>
      <c r="Q249" s="19">
        <f t="shared" si="46"/>
        <v>27.5</v>
      </c>
      <c r="R249" s="2" t="str">
        <f t="shared" si="47"/>
        <v>Number</v>
      </c>
      <c r="S249" s="2">
        <v>0</v>
      </c>
      <c r="T249" s="19">
        <f t="shared" si="48"/>
        <v>0</v>
      </c>
      <c r="U249" s="2">
        <v>82.48</v>
      </c>
      <c r="V249" s="19">
        <f t="shared" si="49"/>
        <v>82.48</v>
      </c>
      <c r="W249" s="19">
        <f t="shared" si="50"/>
        <v>82.48</v>
      </c>
      <c r="X249" s="19" t="str">
        <f t="shared" si="51"/>
        <v>True</v>
      </c>
      <c r="Y249" s="19" t="str">
        <f>IF(OR(W249&lt;'Cleaning Tasks'!$G$18,W249&gt;'Cleaning Tasks'!$H$18),"Outlier","Normal")</f>
        <v>Outlier</v>
      </c>
      <c r="Z249" s="2" t="s">
        <v>49</v>
      </c>
      <c r="AA249" s="2" t="s">
        <v>27</v>
      </c>
      <c r="AB249" s="2" t="s">
        <v>50</v>
      </c>
      <c r="AC249" s="2" t="s">
        <v>42</v>
      </c>
      <c r="AD249" s="2"/>
      <c r="AE249" s="2" t="str">
        <f t="shared" si="52"/>
        <v>Not Required</v>
      </c>
      <c r="AF249" s="2" t="s">
        <v>1002</v>
      </c>
    </row>
    <row r="250" spans="1:32" x14ac:dyDescent="0.3">
      <c r="A250" s="2" t="s">
        <v>1003</v>
      </c>
      <c r="B250" s="2">
        <f t="shared" si="42"/>
        <v>1</v>
      </c>
      <c r="C250" s="12">
        <f t="shared" si="54"/>
        <v>46238.588812442133</v>
      </c>
      <c r="D250" s="13">
        <v>46238.588812442133</v>
      </c>
      <c r="E250" s="2" t="s">
        <v>557</v>
      </c>
      <c r="F250" s="2" t="str">
        <f t="shared" si="43"/>
        <v>Email Available</v>
      </c>
      <c r="G250" s="2" t="s">
        <v>558</v>
      </c>
      <c r="H250" s="2" t="s">
        <v>190</v>
      </c>
      <c r="I250" s="2" t="s">
        <v>191</v>
      </c>
      <c r="J250" s="2" t="s">
        <v>192</v>
      </c>
      <c r="K250" s="2">
        <v>3</v>
      </c>
      <c r="L250" s="2">
        <v>13.49</v>
      </c>
      <c r="M250" s="19">
        <f t="shared" si="44"/>
        <v>13.49</v>
      </c>
      <c r="N250" s="2"/>
      <c r="O250" s="2" t="str">
        <f t="shared" si="45"/>
        <v/>
      </c>
      <c r="P250" s="2">
        <v>0</v>
      </c>
      <c r="Q250" s="19">
        <f t="shared" si="46"/>
        <v>0</v>
      </c>
      <c r="R250" s="2" t="str">
        <f t="shared" si="47"/>
        <v>Number</v>
      </c>
      <c r="S250" s="2">
        <v>7.99</v>
      </c>
      <c r="T250" s="19">
        <f t="shared" si="48"/>
        <v>7.99</v>
      </c>
      <c r="U250" s="2">
        <v>48.46</v>
      </c>
      <c r="V250" s="19">
        <f t="shared" si="49"/>
        <v>48.46</v>
      </c>
      <c r="W250" s="19">
        <f t="shared" si="50"/>
        <v>48.46</v>
      </c>
      <c r="X250" s="19" t="str">
        <f t="shared" si="51"/>
        <v>True</v>
      </c>
      <c r="Y250" s="19" t="str">
        <f>IF(OR(W250&lt;'Cleaning Tasks'!$G$18,W250&gt;'Cleaning Tasks'!$H$18),"Outlier","Normal")</f>
        <v>Normal</v>
      </c>
      <c r="Z250" s="2" t="s">
        <v>26</v>
      </c>
      <c r="AA250" s="2" t="s">
        <v>27</v>
      </c>
      <c r="AB250" s="2" t="s">
        <v>41</v>
      </c>
      <c r="AC250" s="2" t="s">
        <v>42</v>
      </c>
      <c r="AD250" s="2"/>
      <c r="AE250" s="2" t="str">
        <f t="shared" si="52"/>
        <v>Not Required</v>
      </c>
      <c r="AF250" s="2" t="s">
        <v>1004</v>
      </c>
    </row>
    <row r="251" spans="1:32" x14ac:dyDescent="0.3">
      <c r="A251" s="2" t="s">
        <v>1005</v>
      </c>
      <c r="B251" s="2">
        <f t="shared" si="42"/>
        <v>1</v>
      </c>
      <c r="C251" s="12">
        <f t="shared" si="54"/>
        <v>46238.586325798613</v>
      </c>
      <c r="D251" s="13">
        <v>46238.586325798613</v>
      </c>
      <c r="E251" s="2" t="s">
        <v>1006</v>
      </c>
      <c r="F251" s="2" t="str">
        <f t="shared" si="43"/>
        <v>Email Available</v>
      </c>
      <c r="G251" s="2" t="s">
        <v>1007</v>
      </c>
      <c r="H251" s="2" t="s">
        <v>130</v>
      </c>
      <c r="I251" s="2" t="s">
        <v>103</v>
      </c>
      <c r="J251" s="2" t="s">
        <v>131</v>
      </c>
      <c r="K251" s="2">
        <v>1</v>
      </c>
      <c r="L251" s="2">
        <v>16.989999999999998</v>
      </c>
      <c r="M251" s="19">
        <f t="shared" si="44"/>
        <v>16.989999999999998</v>
      </c>
      <c r="N251" s="2" t="s">
        <v>65</v>
      </c>
      <c r="O251" s="2" t="str">
        <f t="shared" si="45"/>
        <v>WELCOME10</v>
      </c>
      <c r="P251" s="2">
        <v>1.7</v>
      </c>
      <c r="Q251" s="19">
        <f t="shared" si="46"/>
        <v>1.7</v>
      </c>
      <c r="R251" s="2" t="str">
        <f t="shared" si="47"/>
        <v>Number</v>
      </c>
      <c r="S251" s="2">
        <v>7.99</v>
      </c>
      <c r="T251" s="19">
        <f t="shared" si="48"/>
        <v>7.99</v>
      </c>
      <c r="U251" s="2">
        <v>23.28</v>
      </c>
      <c r="V251" s="19">
        <f t="shared" si="49"/>
        <v>23.28</v>
      </c>
      <c r="W251" s="19">
        <f t="shared" si="50"/>
        <v>23.28</v>
      </c>
      <c r="X251" s="19" t="str">
        <f t="shared" si="51"/>
        <v>True</v>
      </c>
      <c r="Y251" s="19" t="str">
        <f>IF(OR(W251&lt;'Cleaning Tasks'!$G$18,W251&gt;'Cleaning Tasks'!$H$18),"Outlier","Normal")</f>
        <v>Normal</v>
      </c>
      <c r="Z251" s="2" t="s">
        <v>72</v>
      </c>
      <c r="AA251" s="2" t="s">
        <v>27</v>
      </c>
      <c r="AB251" s="2" t="s">
        <v>50</v>
      </c>
      <c r="AC251" s="2" t="s">
        <v>29</v>
      </c>
      <c r="AD251" s="2" t="s">
        <v>30</v>
      </c>
      <c r="AE251" s="2" t="str">
        <f t="shared" si="52"/>
        <v>Valid</v>
      </c>
      <c r="AF251" s="2" t="s">
        <v>1008</v>
      </c>
    </row>
    <row r="252" spans="1:32" x14ac:dyDescent="0.3">
      <c r="A252" s="2" t="s">
        <v>1009</v>
      </c>
      <c r="B252" s="2">
        <f t="shared" si="42"/>
        <v>1</v>
      </c>
      <c r="C252" s="12">
        <f t="shared" si="54"/>
        <v>46238.588265196762</v>
      </c>
      <c r="D252" s="13">
        <v>46238.588265196762</v>
      </c>
      <c r="E252" s="2" t="s">
        <v>417</v>
      </c>
      <c r="F252" s="2" t="str">
        <f t="shared" si="43"/>
        <v>Email Available</v>
      </c>
      <c r="G252" s="2" t="s">
        <v>418</v>
      </c>
      <c r="H252" s="2" t="s">
        <v>152</v>
      </c>
      <c r="I252" s="2" t="s">
        <v>36</v>
      </c>
      <c r="J252" s="2" t="s">
        <v>153</v>
      </c>
      <c r="K252" s="2">
        <v>1</v>
      </c>
      <c r="L252" s="2">
        <v>29.99</v>
      </c>
      <c r="M252" s="19">
        <f t="shared" si="44"/>
        <v>29.99</v>
      </c>
      <c r="N252" s="2" t="s">
        <v>203</v>
      </c>
      <c r="O252" s="2" t="str">
        <f t="shared" si="45"/>
        <v>VIP15</v>
      </c>
      <c r="P252" s="2">
        <v>4.5</v>
      </c>
      <c r="Q252" s="19">
        <f t="shared" si="46"/>
        <v>4.5</v>
      </c>
      <c r="R252" s="2" t="str">
        <f t="shared" si="47"/>
        <v>Number</v>
      </c>
      <c r="S252" s="2">
        <v>7.99</v>
      </c>
      <c r="T252" s="19">
        <f t="shared" si="48"/>
        <v>7.99</v>
      </c>
      <c r="U252" s="2">
        <v>33.479999999999997</v>
      </c>
      <c r="V252" s="19">
        <f t="shared" si="49"/>
        <v>33.479999999999997</v>
      </c>
      <c r="W252" s="19">
        <f t="shared" si="50"/>
        <v>33.479999999999997</v>
      </c>
      <c r="X252" s="19" t="str">
        <f t="shared" si="51"/>
        <v>True</v>
      </c>
      <c r="Y252" s="19" t="str">
        <f>IF(OR(W252&lt;'Cleaning Tasks'!$G$18,W252&gt;'Cleaning Tasks'!$H$18),"Outlier","Normal")</f>
        <v>Normal</v>
      </c>
      <c r="Z252" s="2" t="s">
        <v>26</v>
      </c>
      <c r="AA252" s="2" t="s">
        <v>27</v>
      </c>
      <c r="AB252" s="2" t="s">
        <v>50</v>
      </c>
      <c r="AC252" s="2" t="s">
        <v>29</v>
      </c>
      <c r="AD252" s="2" t="s">
        <v>243</v>
      </c>
      <c r="AE252" s="2" t="str">
        <f t="shared" si="52"/>
        <v>Valid</v>
      </c>
      <c r="AF252" s="2" t="s">
        <v>1010</v>
      </c>
    </row>
    <row r="253" spans="1:32" x14ac:dyDescent="0.3">
      <c r="A253" s="2" t="s">
        <v>1011</v>
      </c>
      <c r="B253" s="2">
        <f t="shared" si="42"/>
        <v>1</v>
      </c>
      <c r="C253" s="12">
        <f t="shared" si="54"/>
        <v>46238.580778263888</v>
      </c>
      <c r="D253" s="13">
        <v>46238.580778263888</v>
      </c>
      <c r="E253" s="2" t="s">
        <v>231</v>
      </c>
      <c r="F253" s="2" t="str">
        <f t="shared" si="43"/>
        <v>Email Available</v>
      </c>
      <c r="G253" s="2" t="s">
        <v>1012</v>
      </c>
      <c r="H253" s="2" t="s">
        <v>109</v>
      </c>
      <c r="I253" s="2" t="s">
        <v>79</v>
      </c>
      <c r="J253" s="2" t="s">
        <v>110</v>
      </c>
      <c r="K253" s="2">
        <v>1</v>
      </c>
      <c r="L253" s="2">
        <v>22.99</v>
      </c>
      <c r="M253" s="19">
        <f t="shared" si="44"/>
        <v>22.99</v>
      </c>
      <c r="N253" s="2"/>
      <c r="O253" s="2" t="str">
        <f t="shared" si="45"/>
        <v/>
      </c>
      <c r="P253" s="2">
        <v>0</v>
      </c>
      <c r="Q253" s="19">
        <f t="shared" si="46"/>
        <v>0</v>
      </c>
      <c r="R253" s="2" t="str">
        <f t="shared" si="47"/>
        <v>Number</v>
      </c>
      <c r="S253" s="2">
        <v>4.99</v>
      </c>
      <c r="T253" s="19">
        <f t="shared" si="48"/>
        <v>4.99</v>
      </c>
      <c r="U253" s="2">
        <v>27.98</v>
      </c>
      <c r="V253" s="19">
        <f t="shared" si="49"/>
        <v>27.98</v>
      </c>
      <c r="W253" s="19">
        <f t="shared" si="50"/>
        <v>27.979999999999997</v>
      </c>
      <c r="X253" s="19" t="str">
        <f t="shared" si="51"/>
        <v>True</v>
      </c>
      <c r="Y253" s="19" t="str">
        <f>IF(OR(W253&lt;'Cleaning Tasks'!$G$18,W253&gt;'Cleaning Tasks'!$H$18),"Outlier","Normal")</f>
        <v>Normal</v>
      </c>
      <c r="Z253" s="2" t="s">
        <v>72</v>
      </c>
      <c r="AA253" s="2" t="s">
        <v>27</v>
      </c>
      <c r="AB253" s="2" t="s">
        <v>50</v>
      </c>
      <c r="AC253" s="2" t="s">
        <v>42</v>
      </c>
      <c r="AD253" s="2"/>
      <c r="AE253" s="2" t="str">
        <f t="shared" si="52"/>
        <v>Not Required</v>
      </c>
      <c r="AF253" s="2" t="s">
        <v>1013</v>
      </c>
    </row>
    <row r="254" spans="1:32" x14ac:dyDescent="0.3">
      <c r="A254" s="2" t="s">
        <v>1014</v>
      </c>
      <c r="B254" s="2">
        <f t="shared" si="42"/>
        <v>1</v>
      </c>
      <c r="C254" s="12">
        <f t="shared" si="54"/>
        <v>46238.581951712957</v>
      </c>
      <c r="D254" s="13">
        <v>46238.581951712957</v>
      </c>
      <c r="E254" s="2" t="s">
        <v>122</v>
      </c>
      <c r="F254" s="2" t="str">
        <f t="shared" si="43"/>
        <v>Missing Email</v>
      </c>
      <c r="G254" s="2"/>
      <c r="H254" s="2" t="s">
        <v>279</v>
      </c>
      <c r="I254" s="2" t="s">
        <v>22</v>
      </c>
      <c r="J254" s="2" t="s">
        <v>280</v>
      </c>
      <c r="K254" s="2">
        <v>1</v>
      </c>
      <c r="L254" s="2">
        <v>24.99</v>
      </c>
      <c r="M254" s="19">
        <f t="shared" si="44"/>
        <v>24.99</v>
      </c>
      <c r="N254" s="2"/>
      <c r="O254" s="2" t="str">
        <f t="shared" si="45"/>
        <v/>
      </c>
      <c r="P254" s="2">
        <v>0</v>
      </c>
      <c r="Q254" s="19">
        <f t="shared" si="46"/>
        <v>0</v>
      </c>
      <c r="R254" s="2" t="str">
        <f t="shared" si="47"/>
        <v>Number</v>
      </c>
      <c r="S254" s="2">
        <v>4.99</v>
      </c>
      <c r="T254" s="19">
        <f t="shared" si="48"/>
        <v>4.99</v>
      </c>
      <c r="U254" s="2">
        <v>29.98</v>
      </c>
      <c r="V254" s="19">
        <f t="shared" si="49"/>
        <v>29.98</v>
      </c>
      <c r="W254" s="19">
        <f t="shared" si="50"/>
        <v>29.979999999999997</v>
      </c>
      <c r="X254" s="19" t="str">
        <f t="shared" si="51"/>
        <v>True</v>
      </c>
      <c r="Y254" s="19" t="str">
        <f>IF(OR(W254&lt;'Cleaning Tasks'!$G$18,W254&gt;'Cleaning Tasks'!$H$18),"Outlier","Normal")</f>
        <v>Normal</v>
      </c>
      <c r="Z254" s="2" t="s">
        <v>26</v>
      </c>
      <c r="AA254" s="2" t="s">
        <v>111</v>
      </c>
      <c r="AB254" s="2" t="s">
        <v>50</v>
      </c>
      <c r="AC254" s="2" t="s">
        <v>42</v>
      </c>
      <c r="AD254" s="2"/>
      <c r="AE254" s="2" t="str">
        <f t="shared" si="52"/>
        <v>Not Required</v>
      </c>
      <c r="AF254" s="2" t="s">
        <v>1015</v>
      </c>
    </row>
    <row r="255" spans="1:32" x14ac:dyDescent="0.3">
      <c r="A255" s="2" t="s">
        <v>1016</v>
      </c>
      <c r="B255" s="2">
        <f t="shared" si="42"/>
        <v>1</v>
      </c>
      <c r="C255" s="12">
        <f t="shared" si="54"/>
        <v>46238.58594251157</v>
      </c>
      <c r="D255" s="13">
        <v>46238.58594251157</v>
      </c>
      <c r="E255" s="2" t="s">
        <v>366</v>
      </c>
      <c r="F255" s="2" t="str">
        <f t="shared" si="43"/>
        <v>Missing Email</v>
      </c>
      <c r="G255" s="2"/>
      <c r="H255" s="2" t="s">
        <v>267</v>
      </c>
      <c r="I255" s="2" t="s">
        <v>22</v>
      </c>
      <c r="J255" s="2" t="s">
        <v>268</v>
      </c>
      <c r="K255" s="2">
        <v>2</v>
      </c>
      <c r="L255" s="2">
        <v>18.989999999999998</v>
      </c>
      <c r="M255" s="19">
        <f t="shared" si="44"/>
        <v>18.989999999999998</v>
      </c>
      <c r="N255" s="2" t="s">
        <v>118</v>
      </c>
      <c r="O255" s="2" t="str">
        <f t="shared" si="45"/>
        <v>BFCM25</v>
      </c>
      <c r="P255" s="2">
        <v>9.49</v>
      </c>
      <c r="Q255" s="19">
        <f t="shared" si="46"/>
        <v>9.49</v>
      </c>
      <c r="R255" s="2" t="str">
        <f t="shared" si="47"/>
        <v>Number</v>
      </c>
      <c r="S255" s="2">
        <v>5.99</v>
      </c>
      <c r="T255" s="19">
        <f t="shared" si="48"/>
        <v>5.99</v>
      </c>
      <c r="U255" s="2">
        <v>34.479999999999997</v>
      </c>
      <c r="V255" s="19">
        <f t="shared" si="49"/>
        <v>34.479999999999997</v>
      </c>
      <c r="W255" s="19">
        <f t="shared" si="50"/>
        <v>34.479999999999997</v>
      </c>
      <c r="X255" s="19" t="str">
        <f t="shared" si="51"/>
        <v>True</v>
      </c>
      <c r="Y255" s="19" t="str">
        <f>IF(OR(W255&lt;'Cleaning Tasks'!$G$18,W255&gt;'Cleaning Tasks'!$H$18),"Outlier","Normal")</f>
        <v>Normal</v>
      </c>
      <c r="Z255" s="2" t="s">
        <v>39</v>
      </c>
      <c r="AA255" s="2" t="s">
        <v>27</v>
      </c>
      <c r="AB255" s="2" t="s">
        <v>41</v>
      </c>
      <c r="AC255" s="2" t="s">
        <v>331</v>
      </c>
      <c r="AD255" s="2"/>
      <c r="AE255" s="2" t="str">
        <f t="shared" si="52"/>
        <v>Not Required</v>
      </c>
      <c r="AF255" s="2" t="s">
        <v>1017</v>
      </c>
    </row>
    <row r="256" spans="1:32" x14ac:dyDescent="0.3">
      <c r="A256" s="2" t="s">
        <v>1018</v>
      </c>
      <c r="B256" s="2">
        <f t="shared" si="42"/>
        <v>1</v>
      </c>
      <c r="C256" s="12">
        <f t="shared" si="54"/>
        <v>46238.580986331021</v>
      </c>
      <c r="D256" s="13">
        <v>46238.580986331021</v>
      </c>
      <c r="E256" s="2" t="s">
        <v>1019</v>
      </c>
      <c r="F256" s="2" t="str">
        <f t="shared" si="43"/>
        <v>Email Available</v>
      </c>
      <c r="G256" s="2" t="s">
        <v>1020</v>
      </c>
      <c r="H256" s="2" t="s">
        <v>261</v>
      </c>
      <c r="I256" s="2" t="s">
        <v>36</v>
      </c>
      <c r="J256" s="2" t="s">
        <v>262</v>
      </c>
      <c r="K256" s="2">
        <v>2</v>
      </c>
      <c r="L256" s="2">
        <v>15.49</v>
      </c>
      <c r="M256" s="19">
        <f t="shared" si="44"/>
        <v>15.49</v>
      </c>
      <c r="N256" s="2" t="s">
        <v>203</v>
      </c>
      <c r="O256" s="2" t="str">
        <f t="shared" si="45"/>
        <v>VIP15</v>
      </c>
      <c r="P256" s="2">
        <v>4.6500000000000004</v>
      </c>
      <c r="Q256" s="19">
        <f t="shared" si="46"/>
        <v>4.6500000000000004</v>
      </c>
      <c r="R256" s="2" t="str">
        <f t="shared" si="47"/>
        <v>Number</v>
      </c>
      <c r="S256" s="2">
        <v>7.99</v>
      </c>
      <c r="T256" s="19">
        <f t="shared" si="48"/>
        <v>7.99</v>
      </c>
      <c r="U256" s="2">
        <v>34.32</v>
      </c>
      <c r="V256" s="19">
        <f t="shared" si="49"/>
        <v>34.32</v>
      </c>
      <c r="W256" s="19">
        <f t="shared" si="50"/>
        <v>34.32</v>
      </c>
      <c r="X256" s="19" t="str">
        <f t="shared" si="51"/>
        <v>True</v>
      </c>
      <c r="Y256" s="19" t="str">
        <f>IF(OR(W256&lt;'Cleaning Tasks'!$G$18,W256&gt;'Cleaning Tasks'!$H$18),"Outlier","Normal")</f>
        <v>Normal</v>
      </c>
      <c r="Z256" s="2" t="s">
        <v>39</v>
      </c>
      <c r="AA256" s="2" t="s">
        <v>27</v>
      </c>
      <c r="AB256" s="2" t="s">
        <v>50</v>
      </c>
      <c r="AC256" s="2" t="s">
        <v>29</v>
      </c>
      <c r="AD256" s="2" t="s">
        <v>447</v>
      </c>
      <c r="AE256" s="2" t="str">
        <f t="shared" si="52"/>
        <v>Valid</v>
      </c>
      <c r="AF256" s="2" t="s">
        <v>1021</v>
      </c>
    </row>
    <row r="257" spans="1:32" x14ac:dyDescent="0.3">
      <c r="A257" s="2" t="s">
        <v>1022</v>
      </c>
      <c r="B257" s="2">
        <f t="shared" si="42"/>
        <v>1</v>
      </c>
      <c r="C257" s="12">
        <f t="shared" si="54"/>
        <v>46238</v>
      </c>
      <c r="D257" s="13" t="s">
        <v>1023</v>
      </c>
      <c r="E257" s="2" t="s">
        <v>1024</v>
      </c>
      <c r="F257" s="2" t="str">
        <f t="shared" si="43"/>
        <v>Email Available</v>
      </c>
      <c r="G257" s="2" t="s">
        <v>1025</v>
      </c>
      <c r="H257" s="2" t="s">
        <v>130</v>
      </c>
      <c r="I257" s="2" t="s">
        <v>103</v>
      </c>
      <c r="J257" s="2" t="s">
        <v>131</v>
      </c>
      <c r="K257" s="2">
        <v>1</v>
      </c>
      <c r="L257" s="2">
        <v>16.989999999999998</v>
      </c>
      <c r="M257" s="19">
        <f t="shared" si="44"/>
        <v>16.989999999999998</v>
      </c>
      <c r="N257" s="2"/>
      <c r="O257" s="2" t="str">
        <f t="shared" si="45"/>
        <v/>
      </c>
      <c r="P257" s="2">
        <v>0</v>
      </c>
      <c r="Q257" s="19">
        <f t="shared" si="46"/>
        <v>0</v>
      </c>
      <c r="R257" s="2" t="str">
        <f t="shared" si="47"/>
        <v>Number</v>
      </c>
      <c r="S257" s="2">
        <v>7.99</v>
      </c>
      <c r="T257" s="19">
        <f t="shared" si="48"/>
        <v>7.99</v>
      </c>
      <c r="U257" s="2">
        <v>24.98</v>
      </c>
      <c r="V257" s="19">
        <f t="shared" si="49"/>
        <v>24.98</v>
      </c>
      <c r="W257" s="19">
        <f t="shared" si="50"/>
        <v>24.979999999999997</v>
      </c>
      <c r="X257" s="19" t="str">
        <f t="shared" si="51"/>
        <v>True</v>
      </c>
      <c r="Y257" s="19" t="str">
        <f>IF(OR(W257&lt;'Cleaning Tasks'!$G$18,W257&gt;'Cleaning Tasks'!$H$18),"Outlier","Normal")</f>
        <v>Normal</v>
      </c>
      <c r="Z257" s="2" t="s">
        <v>39</v>
      </c>
      <c r="AA257" s="2" t="s">
        <v>88</v>
      </c>
      <c r="AB257" s="2" t="s">
        <v>50</v>
      </c>
      <c r="AC257" s="2" t="s">
        <v>105</v>
      </c>
      <c r="AD257" s="2"/>
      <c r="AE257" s="2" t="str">
        <f t="shared" si="52"/>
        <v>Not Required</v>
      </c>
      <c r="AF257" s="2" t="s">
        <v>1026</v>
      </c>
    </row>
    <row r="258" spans="1:32" x14ac:dyDescent="0.3">
      <c r="A258" s="2" t="s">
        <v>1027</v>
      </c>
      <c r="B258" s="2">
        <f t="shared" ref="B258:B321" si="55">COUNTIF($A$2:$A$1993,A258)</f>
        <v>1</v>
      </c>
      <c r="C258" s="12">
        <f t="shared" si="54"/>
        <v>46238.586623877323</v>
      </c>
      <c r="D258" s="13">
        <v>46238.586623877323</v>
      </c>
      <c r="E258" s="2" t="s">
        <v>303</v>
      </c>
      <c r="F258" s="2" t="str">
        <f t="shared" ref="F258:F321" si="56">IF(TRIM(G258)="","Missing Email","Email Available")</f>
        <v>Email Available</v>
      </c>
      <c r="G258" s="2" t="s">
        <v>304</v>
      </c>
      <c r="H258" s="2" t="s">
        <v>46</v>
      </c>
      <c r="I258" s="2" t="s">
        <v>47</v>
      </c>
      <c r="J258" s="2" t="s">
        <v>48</v>
      </c>
      <c r="K258" s="2">
        <v>1</v>
      </c>
      <c r="L258" s="2">
        <v>39.99</v>
      </c>
      <c r="M258" s="19">
        <f t="shared" ref="M258:M321" si="57">IF(ISNUMBER(L258),L258,VALUE(SUBSTITUTE(L258,"$","")))</f>
        <v>39.99</v>
      </c>
      <c r="N258" s="2"/>
      <c r="O258" s="2" t="str">
        <f t="shared" ref="O258:O321" si="58">IF(TRIM(N258)="","",UPPER(TRIM(SUBSTITUTE(N258,CHAR(160)," "))))</f>
        <v/>
      </c>
      <c r="P258" s="2" t="s">
        <v>184</v>
      </c>
      <c r="Q258" s="19">
        <f t="shared" ref="Q258:Q321" si="59">IF(ISNUMBER(P258),P258,VALUE(TRIM(SUBSTITUTE(P258,"$",""))))</f>
        <v>0</v>
      </c>
      <c r="R258" s="2" t="str">
        <f t="shared" ref="R258:R321" si="60">IF(ISNUMBER(Q258),"Number","Text")</f>
        <v>Number</v>
      </c>
      <c r="S258" s="2">
        <v>5.99</v>
      </c>
      <c r="T258" s="19">
        <f t="shared" ref="T258:T321" si="61">IF(ISNUMBER(S258),S258,VALUE(TRIM(SUBSTITUTE(S258,"$",""))))</f>
        <v>5.99</v>
      </c>
      <c r="U258" s="2">
        <v>45.98</v>
      </c>
      <c r="V258" s="19">
        <f t="shared" ref="V258:V321" si="62">IF(ISNUMBER(U258),U258,VALUE(TRIM(SUBSTITUTE(U258,"$",""))))</f>
        <v>45.98</v>
      </c>
      <c r="W258" s="19">
        <f t="shared" ref="W258:W321" si="63">((M258*K258)-Q258)+T258</f>
        <v>45.980000000000004</v>
      </c>
      <c r="X258" s="19" t="str">
        <f t="shared" ref="X258:X321" si="64">IF(V258=W258,"True","False")</f>
        <v>True</v>
      </c>
      <c r="Y258" s="19" t="str">
        <f>IF(OR(W258&lt;'Cleaning Tasks'!$G$18,W258&gt;'Cleaning Tasks'!$H$18),"Outlier","Normal")</f>
        <v>Normal</v>
      </c>
      <c r="Z258" s="2" t="s">
        <v>49</v>
      </c>
      <c r="AA258" s="2" t="s">
        <v>40</v>
      </c>
      <c r="AB258" s="2" t="s">
        <v>96</v>
      </c>
      <c r="AC258" s="2" t="s">
        <v>29</v>
      </c>
      <c r="AD258" s="2" t="s">
        <v>447</v>
      </c>
      <c r="AE258" s="2" t="str">
        <f t="shared" ref="AE258:AE321" si="65">IF(AND(AC258="United States",AD258=""),"Missing state",IF(AD258="","Not Required","Valid"))</f>
        <v>Valid</v>
      </c>
      <c r="AF258" s="2" t="s">
        <v>1028</v>
      </c>
    </row>
    <row r="259" spans="1:32" x14ac:dyDescent="0.3">
      <c r="A259" s="2" t="s">
        <v>1029</v>
      </c>
      <c r="B259" s="2">
        <f t="shared" si="55"/>
        <v>1</v>
      </c>
      <c r="C259" s="12">
        <f t="shared" si="54"/>
        <v>46238.585996435177</v>
      </c>
      <c r="D259" s="13">
        <v>46238.585996435177</v>
      </c>
      <c r="E259" s="2" t="s">
        <v>654</v>
      </c>
      <c r="F259" s="2" t="str">
        <f t="shared" si="56"/>
        <v>Email Available</v>
      </c>
      <c r="G259" s="2" t="s">
        <v>655</v>
      </c>
      <c r="H259" s="2" t="s">
        <v>35</v>
      </c>
      <c r="I259" s="2" t="s">
        <v>36</v>
      </c>
      <c r="J259" s="2" t="s">
        <v>37</v>
      </c>
      <c r="K259" s="2">
        <v>1</v>
      </c>
      <c r="L259" s="2">
        <v>21.99</v>
      </c>
      <c r="M259" s="19">
        <f t="shared" si="57"/>
        <v>21.99</v>
      </c>
      <c r="N259" s="2"/>
      <c r="O259" s="2" t="str">
        <f t="shared" si="58"/>
        <v/>
      </c>
      <c r="P259" s="2">
        <v>0</v>
      </c>
      <c r="Q259" s="19">
        <f t="shared" si="59"/>
        <v>0</v>
      </c>
      <c r="R259" s="2" t="str">
        <f t="shared" si="60"/>
        <v>Number</v>
      </c>
      <c r="S259" s="2">
        <v>5.99</v>
      </c>
      <c r="T259" s="19">
        <f t="shared" si="61"/>
        <v>5.99</v>
      </c>
      <c r="U259" s="2">
        <v>27.98</v>
      </c>
      <c r="V259" s="19">
        <f t="shared" si="62"/>
        <v>27.98</v>
      </c>
      <c r="W259" s="19">
        <f t="shared" si="63"/>
        <v>27.979999999999997</v>
      </c>
      <c r="X259" s="19" t="str">
        <f t="shared" si="64"/>
        <v>True</v>
      </c>
      <c r="Y259" s="19" t="str">
        <f>IF(OR(W259&lt;'Cleaning Tasks'!$G$18,W259&gt;'Cleaning Tasks'!$H$18),"Outlier","Normal")</f>
        <v>Normal</v>
      </c>
      <c r="Z259" s="2" t="s">
        <v>39</v>
      </c>
      <c r="AA259" s="2" t="s">
        <v>27</v>
      </c>
      <c r="AB259" s="2" t="s">
        <v>50</v>
      </c>
      <c r="AC259" s="2" t="s">
        <v>29</v>
      </c>
      <c r="AD259" s="2" t="s">
        <v>341</v>
      </c>
      <c r="AE259" s="2" t="str">
        <f t="shared" si="65"/>
        <v>Valid</v>
      </c>
      <c r="AF259" s="2" t="s">
        <v>991</v>
      </c>
    </row>
    <row r="260" spans="1:32" x14ac:dyDescent="0.3">
      <c r="A260" s="2" t="s">
        <v>1030</v>
      </c>
      <c r="B260" s="2">
        <f t="shared" si="55"/>
        <v>1</v>
      </c>
      <c r="C260" s="12">
        <f t="shared" si="54"/>
        <v>46238.584029664351</v>
      </c>
      <c r="D260" s="13">
        <v>46238.584029664351</v>
      </c>
      <c r="E260" s="2" t="s">
        <v>1031</v>
      </c>
      <c r="F260" s="2" t="str">
        <f t="shared" si="56"/>
        <v>Email Available</v>
      </c>
      <c r="G260" s="2" t="s">
        <v>1032</v>
      </c>
      <c r="H260" s="2" t="s">
        <v>102</v>
      </c>
      <c r="I260" s="2" t="s">
        <v>103</v>
      </c>
      <c r="J260" s="2" t="s">
        <v>104</v>
      </c>
      <c r="K260" s="2">
        <v>2</v>
      </c>
      <c r="L260" s="2">
        <v>19.989999999999998</v>
      </c>
      <c r="M260" s="19">
        <f t="shared" si="57"/>
        <v>19.989999999999998</v>
      </c>
      <c r="N260" s="2"/>
      <c r="O260" s="2" t="str">
        <f t="shared" si="58"/>
        <v/>
      </c>
      <c r="P260" s="2">
        <v>0</v>
      </c>
      <c r="Q260" s="19">
        <f t="shared" si="59"/>
        <v>0</v>
      </c>
      <c r="R260" s="2" t="str">
        <f t="shared" si="60"/>
        <v>Number</v>
      </c>
      <c r="S260" s="2">
        <v>4.99</v>
      </c>
      <c r="T260" s="19">
        <f t="shared" si="61"/>
        <v>4.99</v>
      </c>
      <c r="U260" s="2">
        <v>44.97</v>
      </c>
      <c r="V260" s="19">
        <f t="shared" si="62"/>
        <v>44.97</v>
      </c>
      <c r="W260" s="19">
        <f t="shared" si="63"/>
        <v>44.97</v>
      </c>
      <c r="X260" s="19" t="str">
        <f t="shared" si="64"/>
        <v>True</v>
      </c>
      <c r="Y260" s="19" t="str">
        <f>IF(OR(W260&lt;'Cleaning Tasks'!$G$18,W260&gt;'Cleaning Tasks'!$H$18),"Outlier","Normal")</f>
        <v>Normal</v>
      </c>
      <c r="Z260" s="2" t="s">
        <v>26</v>
      </c>
      <c r="AA260" s="2" t="s">
        <v>27</v>
      </c>
      <c r="AB260" s="2" t="s">
        <v>96</v>
      </c>
      <c r="AC260" s="2" t="s">
        <v>29</v>
      </c>
      <c r="AD260" s="2" t="s">
        <v>243</v>
      </c>
      <c r="AE260" s="2" t="str">
        <f t="shared" si="65"/>
        <v>Valid</v>
      </c>
      <c r="AF260" s="2" t="s">
        <v>1033</v>
      </c>
    </row>
    <row r="261" spans="1:32" x14ac:dyDescent="0.3">
      <c r="A261" s="2" t="s">
        <v>1034</v>
      </c>
      <c r="B261" s="2">
        <f t="shared" si="55"/>
        <v>1</v>
      </c>
      <c r="C261" s="12">
        <f t="shared" si="54"/>
        <v>46238.586086655087</v>
      </c>
      <c r="D261" s="13">
        <v>46238.586086655087</v>
      </c>
      <c r="E261" s="2" t="s">
        <v>1035</v>
      </c>
      <c r="F261" s="2" t="str">
        <f t="shared" si="56"/>
        <v>Email Available</v>
      </c>
      <c r="G261" s="2" t="s">
        <v>1036</v>
      </c>
      <c r="H261" s="2" t="s">
        <v>152</v>
      </c>
      <c r="I261" s="2" t="s">
        <v>36</v>
      </c>
      <c r="J261" s="2" t="s">
        <v>153</v>
      </c>
      <c r="K261" s="2">
        <v>1</v>
      </c>
      <c r="L261" s="2">
        <v>29.99</v>
      </c>
      <c r="M261" s="19">
        <f t="shared" si="57"/>
        <v>29.99</v>
      </c>
      <c r="N261" s="2" t="s">
        <v>38</v>
      </c>
      <c r="O261" s="2" t="str">
        <f t="shared" si="58"/>
        <v>FREESHIP</v>
      </c>
      <c r="P261" s="2">
        <v>0</v>
      </c>
      <c r="Q261" s="19">
        <f t="shared" si="59"/>
        <v>0</v>
      </c>
      <c r="R261" s="2" t="str">
        <f t="shared" si="60"/>
        <v>Number</v>
      </c>
      <c r="S261" s="2">
        <v>0</v>
      </c>
      <c r="T261" s="19">
        <f t="shared" si="61"/>
        <v>0</v>
      </c>
      <c r="U261" s="2">
        <v>29.99</v>
      </c>
      <c r="V261" s="19">
        <f t="shared" si="62"/>
        <v>29.99</v>
      </c>
      <c r="W261" s="19">
        <f t="shared" si="63"/>
        <v>29.99</v>
      </c>
      <c r="X261" s="19" t="str">
        <f t="shared" si="64"/>
        <v>True</v>
      </c>
      <c r="Y261" s="19" t="str">
        <f>IF(OR(W261&lt;'Cleaning Tasks'!$G$18,W261&gt;'Cleaning Tasks'!$H$18),"Outlier","Normal")</f>
        <v>Normal</v>
      </c>
      <c r="Z261" s="2" t="s">
        <v>66</v>
      </c>
      <c r="AA261" s="2" t="s">
        <v>27</v>
      </c>
      <c r="AB261" s="2" t="s">
        <v>28</v>
      </c>
      <c r="AC261" s="2" t="s">
        <v>29</v>
      </c>
      <c r="AD261" s="2" t="s">
        <v>89</v>
      </c>
      <c r="AE261" s="2" t="str">
        <f t="shared" si="65"/>
        <v>Valid</v>
      </c>
      <c r="AF261" s="2" t="s">
        <v>1037</v>
      </c>
    </row>
    <row r="262" spans="1:32" x14ac:dyDescent="0.3">
      <c r="A262" s="2" t="s">
        <v>1038</v>
      </c>
      <c r="B262" s="2">
        <f t="shared" si="55"/>
        <v>1</v>
      </c>
      <c r="C262" s="12">
        <f t="shared" si="54"/>
        <v>46238.580706921297</v>
      </c>
      <c r="D262" s="13">
        <v>46238.580706921297</v>
      </c>
      <c r="E262" s="2" t="s">
        <v>164</v>
      </c>
      <c r="F262" s="2" t="str">
        <f t="shared" si="56"/>
        <v>Email Available</v>
      </c>
      <c r="G262" s="2" t="s">
        <v>165</v>
      </c>
      <c r="H262" s="2" t="s">
        <v>85</v>
      </c>
      <c r="I262" s="2" t="s">
        <v>86</v>
      </c>
      <c r="J262" s="2" t="s">
        <v>87</v>
      </c>
      <c r="K262" s="2">
        <v>1</v>
      </c>
      <c r="L262" s="2" t="s">
        <v>363</v>
      </c>
      <c r="M262" s="19">
        <f t="shared" si="57"/>
        <v>54.99</v>
      </c>
      <c r="N262" s="2"/>
      <c r="O262" s="2" t="str">
        <f t="shared" si="58"/>
        <v/>
      </c>
      <c r="P262" s="2">
        <v>0</v>
      </c>
      <c r="Q262" s="19">
        <f t="shared" si="59"/>
        <v>0</v>
      </c>
      <c r="R262" s="2" t="str">
        <f t="shared" si="60"/>
        <v>Number</v>
      </c>
      <c r="S262" s="2">
        <v>7.99</v>
      </c>
      <c r="T262" s="19">
        <f t="shared" si="61"/>
        <v>7.99</v>
      </c>
      <c r="U262" s="2">
        <v>62.98</v>
      </c>
      <c r="V262" s="19">
        <f t="shared" si="62"/>
        <v>62.98</v>
      </c>
      <c r="W262" s="19">
        <f t="shared" si="63"/>
        <v>62.980000000000004</v>
      </c>
      <c r="X262" s="19" t="str">
        <f t="shared" si="64"/>
        <v>True</v>
      </c>
      <c r="Y262" s="19" t="str">
        <f>IF(OR(W262&lt;'Cleaning Tasks'!$G$18,W262&gt;'Cleaning Tasks'!$H$18),"Outlier","Normal")</f>
        <v>Normal</v>
      </c>
      <c r="Z262" s="2" t="s">
        <v>49</v>
      </c>
      <c r="AA262" s="2" t="s">
        <v>27</v>
      </c>
      <c r="AB262" s="2" t="s">
        <v>96</v>
      </c>
      <c r="AC262" s="2" t="s">
        <v>105</v>
      </c>
      <c r="AD262" s="2"/>
      <c r="AE262" s="2" t="str">
        <f t="shared" si="65"/>
        <v>Not Required</v>
      </c>
      <c r="AF262" s="2" t="s">
        <v>1039</v>
      </c>
    </row>
    <row r="263" spans="1:32" x14ac:dyDescent="0.3">
      <c r="A263" s="2" t="s">
        <v>1040</v>
      </c>
      <c r="B263" s="2">
        <f t="shared" si="55"/>
        <v>1</v>
      </c>
      <c r="C263" s="12">
        <f t="shared" si="54"/>
        <v>46238.586203495368</v>
      </c>
      <c r="D263" s="13">
        <v>46238.586203495368</v>
      </c>
      <c r="E263" s="2" t="s">
        <v>1041</v>
      </c>
      <c r="F263" s="2" t="str">
        <f t="shared" si="56"/>
        <v>Email Available</v>
      </c>
      <c r="G263" s="2" t="s">
        <v>1042</v>
      </c>
      <c r="H263" s="2" t="s">
        <v>190</v>
      </c>
      <c r="I263" s="2" t="s">
        <v>191</v>
      </c>
      <c r="J263" s="2" t="s">
        <v>192</v>
      </c>
      <c r="K263" s="2">
        <v>1</v>
      </c>
      <c r="L263" s="2">
        <v>13.49</v>
      </c>
      <c r="M263" s="19">
        <f t="shared" si="57"/>
        <v>13.49</v>
      </c>
      <c r="N263" s="2"/>
      <c r="O263" s="2" t="str">
        <f t="shared" si="58"/>
        <v/>
      </c>
      <c r="P263" s="2">
        <v>0</v>
      </c>
      <c r="Q263" s="19">
        <f t="shared" si="59"/>
        <v>0</v>
      </c>
      <c r="R263" s="2" t="str">
        <f t="shared" si="60"/>
        <v>Number</v>
      </c>
      <c r="S263" s="2">
        <v>7.99</v>
      </c>
      <c r="T263" s="19">
        <f t="shared" si="61"/>
        <v>7.99</v>
      </c>
      <c r="U263" s="2">
        <v>21.48</v>
      </c>
      <c r="V263" s="19">
        <f t="shared" si="62"/>
        <v>21.48</v>
      </c>
      <c r="W263" s="19">
        <f t="shared" si="63"/>
        <v>21.48</v>
      </c>
      <c r="X263" s="19" t="str">
        <f t="shared" si="64"/>
        <v>True</v>
      </c>
      <c r="Y263" s="19" t="str">
        <f>IF(OR(W263&lt;'Cleaning Tasks'!$G$18,W263&gt;'Cleaning Tasks'!$H$18),"Outlier","Normal")</f>
        <v>Normal</v>
      </c>
      <c r="Z263" s="2" t="s">
        <v>66</v>
      </c>
      <c r="AA263" s="2" t="s">
        <v>40</v>
      </c>
      <c r="AB263" s="2" t="s">
        <v>28</v>
      </c>
      <c r="AC263" s="2" t="s">
        <v>29</v>
      </c>
      <c r="AD263" s="2" t="s">
        <v>243</v>
      </c>
      <c r="AE263" s="2" t="str">
        <f t="shared" si="65"/>
        <v>Valid</v>
      </c>
      <c r="AF263" s="2" t="s">
        <v>1043</v>
      </c>
    </row>
    <row r="264" spans="1:32" x14ac:dyDescent="0.3">
      <c r="A264" s="2" t="s">
        <v>1044</v>
      </c>
      <c r="B264" s="2">
        <f t="shared" si="55"/>
        <v>1</v>
      </c>
      <c r="C264" s="12">
        <f t="shared" si="54"/>
        <v>46238.58433672454</v>
      </c>
      <c r="D264" s="13">
        <v>46238.58433672454</v>
      </c>
      <c r="E264" s="2" t="s">
        <v>1045</v>
      </c>
      <c r="F264" s="2" t="str">
        <f t="shared" si="56"/>
        <v>Email Available</v>
      </c>
      <c r="G264" s="2" t="s">
        <v>1046</v>
      </c>
      <c r="H264" s="2" t="s">
        <v>63</v>
      </c>
      <c r="I264" s="2" t="s">
        <v>47</v>
      </c>
      <c r="J264" s="2" t="s">
        <v>64</v>
      </c>
      <c r="K264" s="2">
        <v>1</v>
      </c>
      <c r="L264" s="2">
        <v>14.99</v>
      </c>
      <c r="M264" s="19">
        <f t="shared" si="57"/>
        <v>14.99</v>
      </c>
      <c r="N264" s="2" t="s">
        <v>38</v>
      </c>
      <c r="O264" s="2" t="str">
        <f t="shared" si="58"/>
        <v>FREESHIP</v>
      </c>
      <c r="P264" s="2">
        <v>0</v>
      </c>
      <c r="Q264" s="19">
        <f t="shared" si="59"/>
        <v>0</v>
      </c>
      <c r="R264" s="2" t="str">
        <f t="shared" si="60"/>
        <v>Number</v>
      </c>
      <c r="S264" s="2">
        <v>0</v>
      </c>
      <c r="T264" s="19">
        <f t="shared" si="61"/>
        <v>0</v>
      </c>
      <c r="U264" s="2">
        <v>14.99</v>
      </c>
      <c r="V264" s="19">
        <f t="shared" si="62"/>
        <v>14.99</v>
      </c>
      <c r="W264" s="19">
        <f t="shared" si="63"/>
        <v>14.99</v>
      </c>
      <c r="X264" s="19" t="str">
        <f t="shared" si="64"/>
        <v>True</v>
      </c>
      <c r="Y264" s="19" t="str">
        <f>IF(OR(W264&lt;'Cleaning Tasks'!$G$18,W264&gt;'Cleaning Tasks'!$H$18),"Outlier","Normal")</f>
        <v>Normal</v>
      </c>
      <c r="Z264" s="2" t="s">
        <v>39</v>
      </c>
      <c r="AA264" s="2" t="s">
        <v>27</v>
      </c>
      <c r="AB264" s="2" t="s">
        <v>50</v>
      </c>
      <c r="AC264" s="2" t="s">
        <v>105</v>
      </c>
      <c r="AD264" s="2"/>
      <c r="AE264" s="2" t="str">
        <f t="shared" si="65"/>
        <v>Not Required</v>
      </c>
      <c r="AF264" s="2" t="s">
        <v>1047</v>
      </c>
    </row>
    <row r="265" spans="1:32" x14ac:dyDescent="0.3">
      <c r="A265" s="2" t="s">
        <v>1048</v>
      </c>
      <c r="B265" s="2">
        <f t="shared" si="55"/>
        <v>1</v>
      </c>
      <c r="C265" s="12">
        <f t="shared" si="54"/>
        <v>46238.580005671298</v>
      </c>
      <c r="D265" s="13">
        <v>46238.580005671298</v>
      </c>
      <c r="E265" s="2" t="s">
        <v>172</v>
      </c>
      <c r="F265" s="2" t="str">
        <f t="shared" si="56"/>
        <v>Email Available</v>
      </c>
      <c r="G265" s="2" t="s">
        <v>173</v>
      </c>
      <c r="H265" s="2" t="s">
        <v>190</v>
      </c>
      <c r="I265" s="2" t="s">
        <v>191</v>
      </c>
      <c r="J265" s="2" t="s">
        <v>192</v>
      </c>
      <c r="K265" s="2">
        <v>1</v>
      </c>
      <c r="L265" s="2">
        <v>13.49</v>
      </c>
      <c r="M265" s="19">
        <f t="shared" si="57"/>
        <v>13.49</v>
      </c>
      <c r="N265" s="2"/>
      <c r="O265" s="2" t="str">
        <f t="shared" si="58"/>
        <v/>
      </c>
      <c r="P265" s="2">
        <v>0</v>
      </c>
      <c r="Q265" s="19">
        <f t="shared" si="59"/>
        <v>0</v>
      </c>
      <c r="R265" s="2" t="str">
        <f t="shared" si="60"/>
        <v>Number</v>
      </c>
      <c r="S265" s="2">
        <v>4.99</v>
      </c>
      <c r="T265" s="19">
        <f t="shared" si="61"/>
        <v>4.99</v>
      </c>
      <c r="U265" s="2">
        <v>18.48</v>
      </c>
      <c r="V265" s="19">
        <f t="shared" si="62"/>
        <v>18.48</v>
      </c>
      <c r="W265" s="19">
        <f t="shared" si="63"/>
        <v>18.48</v>
      </c>
      <c r="X265" s="19" t="str">
        <f t="shared" si="64"/>
        <v>True</v>
      </c>
      <c r="Y265" s="19" t="str">
        <f>IF(OR(W265&lt;'Cleaning Tasks'!$G$18,W265&gt;'Cleaning Tasks'!$H$18),"Outlier","Normal")</f>
        <v>Normal</v>
      </c>
      <c r="Z265" s="2" t="s">
        <v>39</v>
      </c>
      <c r="AA265" s="2" t="s">
        <v>111</v>
      </c>
      <c r="AB265" s="2" t="s">
        <v>96</v>
      </c>
      <c r="AC265" s="2" t="s">
        <v>29</v>
      </c>
      <c r="AD265" s="2" t="s">
        <v>447</v>
      </c>
      <c r="AE265" s="2" t="str">
        <f t="shared" si="65"/>
        <v>Valid</v>
      </c>
      <c r="AF265" s="2" t="s">
        <v>1049</v>
      </c>
    </row>
    <row r="266" spans="1:32" x14ac:dyDescent="0.3">
      <c r="A266" s="2" t="s">
        <v>1050</v>
      </c>
      <c r="B266" s="2">
        <f t="shared" si="55"/>
        <v>1</v>
      </c>
      <c r="C266" s="12">
        <f t="shared" si="54"/>
        <v>46238.587944317129</v>
      </c>
      <c r="D266" s="13">
        <v>46238.587944317129</v>
      </c>
      <c r="E266" s="2" t="s">
        <v>516</v>
      </c>
      <c r="F266" s="2" t="str">
        <f t="shared" si="56"/>
        <v>Email Available</v>
      </c>
      <c r="G266" s="2" t="s">
        <v>517</v>
      </c>
      <c r="H266" s="2" t="s">
        <v>309</v>
      </c>
      <c r="I266" s="2" t="s">
        <v>36</v>
      </c>
      <c r="J266" s="2" t="s">
        <v>310</v>
      </c>
      <c r="K266" s="2">
        <v>1</v>
      </c>
      <c r="L266" s="2">
        <v>8.99</v>
      </c>
      <c r="M266" s="19">
        <f t="shared" si="57"/>
        <v>8.99</v>
      </c>
      <c r="N266" s="2" t="s">
        <v>118</v>
      </c>
      <c r="O266" s="2" t="str">
        <f t="shared" si="58"/>
        <v>BFCM25</v>
      </c>
      <c r="P266" s="2">
        <v>2.25</v>
      </c>
      <c r="Q266" s="19">
        <f t="shared" si="59"/>
        <v>2.25</v>
      </c>
      <c r="R266" s="2" t="str">
        <f t="shared" si="60"/>
        <v>Number</v>
      </c>
      <c r="S266" s="2">
        <v>7.99</v>
      </c>
      <c r="T266" s="19">
        <f t="shared" si="61"/>
        <v>7.99</v>
      </c>
      <c r="U266" s="2">
        <v>14.73</v>
      </c>
      <c r="V266" s="19">
        <f t="shared" si="62"/>
        <v>14.73</v>
      </c>
      <c r="W266" s="19">
        <f t="shared" si="63"/>
        <v>14.73</v>
      </c>
      <c r="X266" s="19" t="str">
        <f t="shared" si="64"/>
        <v>True</v>
      </c>
      <c r="Y266" s="19" t="str">
        <f>IF(OR(W266&lt;'Cleaning Tasks'!$G$18,W266&gt;'Cleaning Tasks'!$H$18),"Outlier","Normal")</f>
        <v>Normal</v>
      </c>
      <c r="Z266" s="2" t="s">
        <v>49</v>
      </c>
      <c r="AA266" s="2" t="s">
        <v>111</v>
      </c>
      <c r="AB266" s="2" t="s">
        <v>96</v>
      </c>
      <c r="AC266" s="2" t="s">
        <v>29</v>
      </c>
      <c r="AD266" s="2" t="s">
        <v>58</v>
      </c>
      <c r="AE266" s="2" t="str">
        <f t="shared" si="65"/>
        <v>Valid</v>
      </c>
      <c r="AF266" s="2" t="s">
        <v>1051</v>
      </c>
    </row>
    <row r="267" spans="1:32" x14ac:dyDescent="0.3">
      <c r="A267" s="2" t="s">
        <v>1052</v>
      </c>
      <c r="B267" s="2">
        <f t="shared" si="55"/>
        <v>1</v>
      </c>
      <c r="C267" s="12">
        <f t="shared" si="54"/>
        <v>46238.584402337961</v>
      </c>
      <c r="D267" s="13">
        <v>46238.584402337961</v>
      </c>
      <c r="E267" s="2" t="s">
        <v>1053</v>
      </c>
      <c r="F267" s="2" t="str">
        <f t="shared" si="56"/>
        <v>Missing Email</v>
      </c>
      <c r="G267" s="2"/>
      <c r="H267" s="2" t="s">
        <v>35</v>
      </c>
      <c r="I267" s="2" t="s">
        <v>36</v>
      </c>
      <c r="J267" s="2" t="s">
        <v>37</v>
      </c>
      <c r="K267" s="2">
        <v>1</v>
      </c>
      <c r="L267" s="2">
        <v>21.99</v>
      </c>
      <c r="M267" s="19">
        <f t="shared" si="57"/>
        <v>21.99</v>
      </c>
      <c r="N267" s="2" t="s">
        <v>203</v>
      </c>
      <c r="O267" s="2" t="str">
        <f t="shared" si="58"/>
        <v>VIP15</v>
      </c>
      <c r="P267" s="2">
        <v>3.3</v>
      </c>
      <c r="Q267" s="19">
        <f t="shared" si="59"/>
        <v>3.3</v>
      </c>
      <c r="R267" s="2" t="str">
        <f t="shared" si="60"/>
        <v>Number</v>
      </c>
      <c r="S267" s="2">
        <v>4.99</v>
      </c>
      <c r="T267" s="19">
        <f t="shared" si="61"/>
        <v>4.99</v>
      </c>
      <c r="U267" s="2" t="s">
        <v>1054</v>
      </c>
      <c r="V267" s="19">
        <f t="shared" si="62"/>
        <v>23.68</v>
      </c>
      <c r="W267" s="19">
        <f t="shared" si="63"/>
        <v>23.68</v>
      </c>
      <c r="X267" s="19" t="str">
        <f t="shared" si="64"/>
        <v>True</v>
      </c>
      <c r="Y267" s="19" t="str">
        <f>IF(OR(W267&lt;'Cleaning Tasks'!$G$18,W267&gt;'Cleaning Tasks'!$H$18),"Outlier","Normal")</f>
        <v>Normal</v>
      </c>
      <c r="Z267" s="2" t="s">
        <v>26</v>
      </c>
      <c r="AA267" s="2" t="s">
        <v>27</v>
      </c>
      <c r="AB267" s="2" t="s">
        <v>50</v>
      </c>
      <c r="AC267" s="2" t="s">
        <v>29</v>
      </c>
      <c r="AD267" s="2" t="s">
        <v>89</v>
      </c>
      <c r="AE267" s="2" t="str">
        <f t="shared" si="65"/>
        <v>Valid</v>
      </c>
      <c r="AF267" s="2" t="s">
        <v>1055</v>
      </c>
    </row>
    <row r="268" spans="1:32" x14ac:dyDescent="0.3">
      <c r="A268" s="2" t="s">
        <v>1056</v>
      </c>
      <c r="B268" s="2">
        <f t="shared" si="55"/>
        <v>1</v>
      </c>
      <c r="C268" s="12">
        <f t="shared" si="54"/>
        <v>46238.58536834491</v>
      </c>
      <c r="D268" s="13">
        <v>46238.58536834491</v>
      </c>
      <c r="E268" s="2" t="s">
        <v>1057</v>
      </c>
      <c r="F268" s="2" t="str">
        <f t="shared" si="56"/>
        <v>Email Available</v>
      </c>
      <c r="G268" s="2" t="s">
        <v>1058</v>
      </c>
      <c r="H268" s="2" t="s">
        <v>78</v>
      </c>
      <c r="I268" s="2" t="s">
        <v>79</v>
      </c>
      <c r="J268" s="2" t="s">
        <v>80</v>
      </c>
      <c r="K268" s="2">
        <v>1</v>
      </c>
      <c r="L268" s="2" t="s">
        <v>571</v>
      </c>
      <c r="M268" s="19">
        <f t="shared" si="57"/>
        <v>89.99</v>
      </c>
      <c r="N268" s="2"/>
      <c r="O268" s="2" t="str">
        <f t="shared" si="58"/>
        <v/>
      </c>
      <c r="P268" s="2">
        <v>0</v>
      </c>
      <c r="Q268" s="19">
        <f t="shared" si="59"/>
        <v>0</v>
      </c>
      <c r="R268" s="2" t="str">
        <f t="shared" si="60"/>
        <v>Number</v>
      </c>
      <c r="S268" s="2">
        <v>0</v>
      </c>
      <c r="T268" s="19">
        <f t="shared" si="61"/>
        <v>0</v>
      </c>
      <c r="U268" s="2" t="s">
        <v>571</v>
      </c>
      <c r="V268" s="19">
        <f t="shared" si="62"/>
        <v>89.99</v>
      </c>
      <c r="W268" s="19">
        <f t="shared" si="63"/>
        <v>89.99</v>
      </c>
      <c r="X268" s="19" t="str">
        <f t="shared" si="64"/>
        <v>True</v>
      </c>
      <c r="Y268" s="19" t="str">
        <f>IF(OR(W268&lt;'Cleaning Tasks'!$G$18,W268&gt;'Cleaning Tasks'!$H$18),"Outlier","Normal")</f>
        <v>Outlier</v>
      </c>
      <c r="Z268" s="2" t="s">
        <v>49</v>
      </c>
      <c r="AA268" s="2" t="s">
        <v>27</v>
      </c>
      <c r="AB268" s="2" t="s">
        <v>96</v>
      </c>
      <c r="AC268" s="2" t="s">
        <v>331</v>
      </c>
      <c r="AD268" s="2"/>
      <c r="AE268" s="2" t="str">
        <f t="shared" si="65"/>
        <v>Not Required</v>
      </c>
      <c r="AF268" s="2" t="s">
        <v>1059</v>
      </c>
    </row>
    <row r="269" spans="1:32" x14ac:dyDescent="0.3">
      <c r="A269" s="2" t="s">
        <v>1060</v>
      </c>
      <c r="B269" s="2">
        <f t="shared" si="55"/>
        <v>1</v>
      </c>
      <c r="C269" s="12">
        <f t="shared" si="54"/>
        <v>46238.584332106482</v>
      </c>
      <c r="D269" s="13">
        <v>46238.584332106482</v>
      </c>
      <c r="E269" s="2" t="s">
        <v>313</v>
      </c>
      <c r="F269" s="2" t="str">
        <f t="shared" si="56"/>
        <v>Email Available</v>
      </c>
      <c r="G269" s="2" t="s">
        <v>314</v>
      </c>
      <c r="H269" s="2" t="s">
        <v>190</v>
      </c>
      <c r="I269" s="2" t="s">
        <v>191</v>
      </c>
      <c r="J269" s="2" t="s">
        <v>192</v>
      </c>
      <c r="K269" s="2">
        <v>1</v>
      </c>
      <c r="L269" s="2">
        <v>13.49</v>
      </c>
      <c r="M269" s="19">
        <f t="shared" si="57"/>
        <v>13.49</v>
      </c>
      <c r="N269" s="2"/>
      <c r="O269" s="2" t="str">
        <f t="shared" si="58"/>
        <v/>
      </c>
      <c r="P269" s="2">
        <v>0</v>
      </c>
      <c r="Q269" s="19">
        <f t="shared" si="59"/>
        <v>0</v>
      </c>
      <c r="R269" s="2" t="str">
        <f t="shared" si="60"/>
        <v>Number</v>
      </c>
      <c r="S269" s="2">
        <v>7.99</v>
      </c>
      <c r="T269" s="19">
        <f t="shared" si="61"/>
        <v>7.99</v>
      </c>
      <c r="U269" s="2">
        <v>21.48</v>
      </c>
      <c r="V269" s="19">
        <f t="shared" si="62"/>
        <v>21.48</v>
      </c>
      <c r="W269" s="19">
        <f t="shared" si="63"/>
        <v>21.48</v>
      </c>
      <c r="X269" s="19" t="str">
        <f t="shared" si="64"/>
        <v>True</v>
      </c>
      <c r="Y269" s="19" t="str">
        <f>IF(OR(W269&lt;'Cleaning Tasks'!$G$18,W269&gt;'Cleaning Tasks'!$H$18),"Outlier","Normal")</f>
        <v>Normal</v>
      </c>
      <c r="Z269" s="2" t="s">
        <v>66</v>
      </c>
      <c r="AA269" s="2" t="s">
        <v>27</v>
      </c>
      <c r="AB269" s="2" t="s">
        <v>50</v>
      </c>
      <c r="AC269" s="2" t="s">
        <v>73</v>
      </c>
      <c r="AD269" s="2"/>
      <c r="AE269" s="2" t="str">
        <f t="shared" si="65"/>
        <v>Not Required</v>
      </c>
      <c r="AF269" s="2" t="s">
        <v>1061</v>
      </c>
    </row>
    <row r="270" spans="1:32" x14ac:dyDescent="0.3">
      <c r="A270" s="2" t="s">
        <v>1062</v>
      </c>
      <c r="B270" s="2">
        <f t="shared" si="55"/>
        <v>1</v>
      </c>
      <c r="C270" s="12">
        <f>DATE(VALUE(RIGHT(D270,4)),MATCH(LEFT(D270,3),{"Jan","Feb","Mar","Apr","May","Jun","Jul","Aug","Sep","Oct","Nov","Dec"},0),VALUE(MID(D270,5,2)))</f>
        <v>46238</v>
      </c>
      <c r="D270" s="13" t="s">
        <v>171</v>
      </c>
      <c r="E270" s="2" t="s">
        <v>366</v>
      </c>
      <c r="F270" s="2" t="str">
        <f t="shared" si="56"/>
        <v>Email Available</v>
      </c>
      <c r="G270" s="2" t="s">
        <v>367</v>
      </c>
      <c r="H270" s="2" t="s">
        <v>182</v>
      </c>
      <c r="I270" s="2" t="s">
        <v>36</v>
      </c>
      <c r="J270" s="2" t="s">
        <v>183</v>
      </c>
      <c r="K270" s="2">
        <v>2</v>
      </c>
      <c r="L270" s="2">
        <v>11.99</v>
      </c>
      <c r="M270" s="19">
        <f t="shared" si="57"/>
        <v>11.99</v>
      </c>
      <c r="N270" s="2" t="s">
        <v>24</v>
      </c>
      <c r="O270" s="2" t="str">
        <f t="shared" si="58"/>
        <v>SAVE20</v>
      </c>
      <c r="P270" s="2">
        <v>4.8</v>
      </c>
      <c r="Q270" s="19">
        <f t="shared" si="59"/>
        <v>4.8</v>
      </c>
      <c r="R270" s="2" t="str">
        <f t="shared" si="60"/>
        <v>Number</v>
      </c>
      <c r="S270" s="2">
        <v>5.99</v>
      </c>
      <c r="T270" s="19">
        <f t="shared" si="61"/>
        <v>5.99</v>
      </c>
      <c r="U270" s="2">
        <v>25.17</v>
      </c>
      <c r="V270" s="19">
        <f t="shared" si="62"/>
        <v>25.17</v>
      </c>
      <c r="W270" s="19">
        <f t="shared" si="63"/>
        <v>25.17</v>
      </c>
      <c r="X270" s="19" t="str">
        <f t="shared" si="64"/>
        <v>True</v>
      </c>
      <c r="Y270" s="19" t="str">
        <f>IF(OR(W270&lt;'Cleaning Tasks'!$G$18,W270&gt;'Cleaning Tasks'!$H$18),"Outlier","Normal")</f>
        <v>Normal</v>
      </c>
      <c r="Z270" s="2" t="s">
        <v>49</v>
      </c>
      <c r="AA270" s="2" t="s">
        <v>27</v>
      </c>
      <c r="AB270" s="2" t="s">
        <v>28</v>
      </c>
      <c r="AC270" s="2" t="s">
        <v>331</v>
      </c>
      <c r="AD270" s="2"/>
      <c r="AE270" s="2" t="str">
        <f t="shared" si="65"/>
        <v>Not Required</v>
      </c>
      <c r="AF270" s="2" t="s">
        <v>1063</v>
      </c>
    </row>
    <row r="271" spans="1:32" x14ac:dyDescent="0.3">
      <c r="A271" s="2" t="s">
        <v>1064</v>
      </c>
      <c r="B271" s="2">
        <f t="shared" si="55"/>
        <v>1</v>
      </c>
      <c r="C271" s="12">
        <f t="shared" ref="C271:C295" si="66">IF(ISNUMBER(D271),D271,DATEVALUE(SUBSTITUTE(TRIM(D271),CHAR(160)," ")))</f>
        <v>46238.583440671297</v>
      </c>
      <c r="D271" s="13">
        <v>46238.583440671297</v>
      </c>
      <c r="E271" s="2" t="s">
        <v>843</v>
      </c>
      <c r="F271" s="2" t="str">
        <f t="shared" si="56"/>
        <v>Email Available</v>
      </c>
      <c r="G271" s="2" t="s">
        <v>844</v>
      </c>
      <c r="H271" s="2" t="s">
        <v>78</v>
      </c>
      <c r="I271" s="2" t="s">
        <v>79</v>
      </c>
      <c r="J271" s="2" t="s">
        <v>80</v>
      </c>
      <c r="K271" s="2">
        <v>1</v>
      </c>
      <c r="L271" s="2">
        <v>89.99</v>
      </c>
      <c r="M271" s="19">
        <f t="shared" si="57"/>
        <v>89.99</v>
      </c>
      <c r="N271" s="2"/>
      <c r="O271" s="2" t="str">
        <f t="shared" si="58"/>
        <v/>
      </c>
      <c r="P271" s="2">
        <v>0</v>
      </c>
      <c r="Q271" s="19">
        <f t="shared" si="59"/>
        <v>0</v>
      </c>
      <c r="R271" s="2" t="str">
        <f t="shared" si="60"/>
        <v>Number</v>
      </c>
      <c r="S271" s="2">
        <v>0</v>
      </c>
      <c r="T271" s="19">
        <f t="shared" si="61"/>
        <v>0</v>
      </c>
      <c r="U271" s="2">
        <v>89.99</v>
      </c>
      <c r="V271" s="19">
        <f t="shared" si="62"/>
        <v>89.99</v>
      </c>
      <c r="W271" s="19">
        <f t="shared" si="63"/>
        <v>89.99</v>
      </c>
      <c r="X271" s="19" t="str">
        <f t="shared" si="64"/>
        <v>True</v>
      </c>
      <c r="Y271" s="19" t="str">
        <f>IF(OR(W271&lt;'Cleaning Tasks'!$G$18,W271&gt;'Cleaning Tasks'!$H$18),"Outlier","Normal")</f>
        <v>Outlier</v>
      </c>
      <c r="Z271" s="2" t="s">
        <v>49</v>
      </c>
      <c r="AA271" s="2" t="s">
        <v>88</v>
      </c>
      <c r="AB271" s="2" t="s">
        <v>28</v>
      </c>
      <c r="AC271" s="2" t="s">
        <v>29</v>
      </c>
      <c r="AD271" s="2" t="s">
        <v>112</v>
      </c>
      <c r="AE271" s="2" t="str">
        <f t="shared" si="65"/>
        <v>Valid</v>
      </c>
      <c r="AF271" s="2" t="s">
        <v>1065</v>
      </c>
    </row>
    <row r="272" spans="1:32" x14ac:dyDescent="0.3">
      <c r="A272" s="2" t="s">
        <v>1066</v>
      </c>
      <c r="B272" s="2">
        <f t="shared" si="55"/>
        <v>1</v>
      </c>
      <c r="C272" s="12">
        <f t="shared" si="66"/>
        <v>46238.579065590267</v>
      </c>
      <c r="D272" s="13">
        <v>46238.579065590267</v>
      </c>
      <c r="E272" s="2" t="s">
        <v>377</v>
      </c>
      <c r="F272" s="2" t="str">
        <f t="shared" si="56"/>
        <v>Email Available</v>
      </c>
      <c r="G272" s="2" t="s">
        <v>378</v>
      </c>
      <c r="H272" s="2" t="s">
        <v>109</v>
      </c>
      <c r="I272" s="2" t="s">
        <v>79</v>
      </c>
      <c r="J272" s="2" t="s">
        <v>110</v>
      </c>
      <c r="K272" s="2">
        <v>1</v>
      </c>
      <c r="L272" s="2">
        <v>22.99</v>
      </c>
      <c r="M272" s="19">
        <f t="shared" si="57"/>
        <v>22.99</v>
      </c>
      <c r="N272" s="2"/>
      <c r="O272" s="2" t="str">
        <f t="shared" si="58"/>
        <v/>
      </c>
      <c r="P272" s="2">
        <v>0</v>
      </c>
      <c r="Q272" s="19">
        <f t="shared" si="59"/>
        <v>0</v>
      </c>
      <c r="R272" s="2" t="str">
        <f t="shared" si="60"/>
        <v>Number</v>
      </c>
      <c r="S272" s="2">
        <v>4.99</v>
      </c>
      <c r="T272" s="19">
        <f t="shared" si="61"/>
        <v>4.99</v>
      </c>
      <c r="U272" s="2">
        <v>27.98</v>
      </c>
      <c r="V272" s="19">
        <f t="shared" si="62"/>
        <v>27.98</v>
      </c>
      <c r="W272" s="19">
        <f t="shared" si="63"/>
        <v>27.979999999999997</v>
      </c>
      <c r="X272" s="19" t="str">
        <f t="shared" si="64"/>
        <v>True</v>
      </c>
      <c r="Y272" s="19" t="str">
        <f>IF(OR(W272&lt;'Cleaning Tasks'!$G$18,W272&gt;'Cleaning Tasks'!$H$18),"Outlier","Normal")</f>
        <v>Normal</v>
      </c>
      <c r="Z272" s="2" t="s">
        <v>39</v>
      </c>
      <c r="AA272" s="2" t="s">
        <v>27</v>
      </c>
      <c r="AB272" s="2" t="s">
        <v>41</v>
      </c>
      <c r="AC272" s="2" t="s">
        <v>73</v>
      </c>
      <c r="AD272" s="2"/>
      <c r="AE272" s="2" t="str">
        <f t="shared" si="65"/>
        <v>Not Required</v>
      </c>
      <c r="AF272" s="2" t="s">
        <v>1067</v>
      </c>
    </row>
    <row r="273" spans="1:32" x14ac:dyDescent="0.3">
      <c r="A273" s="2" t="s">
        <v>1068</v>
      </c>
      <c r="B273" s="2">
        <f t="shared" si="55"/>
        <v>1</v>
      </c>
      <c r="C273" s="12">
        <f t="shared" si="66"/>
        <v>46238.581582638893</v>
      </c>
      <c r="D273" s="13">
        <v>46238.581582638893</v>
      </c>
      <c r="E273" s="2" t="s">
        <v>287</v>
      </c>
      <c r="F273" s="2" t="str">
        <f t="shared" si="56"/>
        <v>Email Available</v>
      </c>
      <c r="G273" s="2" t="s">
        <v>288</v>
      </c>
      <c r="H273" s="2" t="s">
        <v>152</v>
      </c>
      <c r="I273" s="2" t="s">
        <v>36</v>
      </c>
      <c r="J273" s="2" t="s">
        <v>153</v>
      </c>
      <c r="K273" s="2">
        <v>1</v>
      </c>
      <c r="L273" s="2">
        <v>29.99</v>
      </c>
      <c r="M273" s="19">
        <f t="shared" si="57"/>
        <v>29.99</v>
      </c>
      <c r="N273" s="2" t="s">
        <v>38</v>
      </c>
      <c r="O273" s="2" t="str">
        <f t="shared" si="58"/>
        <v>FREESHIP</v>
      </c>
      <c r="P273" s="2">
        <v>0</v>
      </c>
      <c r="Q273" s="19">
        <f t="shared" si="59"/>
        <v>0</v>
      </c>
      <c r="R273" s="2" t="str">
        <f t="shared" si="60"/>
        <v>Number</v>
      </c>
      <c r="S273" s="2">
        <v>0</v>
      </c>
      <c r="T273" s="19">
        <f t="shared" si="61"/>
        <v>0</v>
      </c>
      <c r="U273" s="2">
        <v>29.99</v>
      </c>
      <c r="V273" s="19">
        <f t="shared" si="62"/>
        <v>29.99</v>
      </c>
      <c r="W273" s="19">
        <f t="shared" si="63"/>
        <v>29.99</v>
      </c>
      <c r="X273" s="19" t="str">
        <f t="shared" si="64"/>
        <v>True</v>
      </c>
      <c r="Y273" s="19" t="str">
        <f>IF(OR(W273&lt;'Cleaning Tasks'!$G$18,W273&gt;'Cleaning Tasks'!$H$18),"Outlier","Normal")</f>
        <v>Normal</v>
      </c>
      <c r="Z273" s="2" t="s">
        <v>72</v>
      </c>
      <c r="AA273" s="2" t="s">
        <v>27</v>
      </c>
      <c r="AB273" s="2" t="s">
        <v>50</v>
      </c>
      <c r="AC273" s="2" t="s">
        <v>29</v>
      </c>
      <c r="AD273" s="2" t="s">
        <v>341</v>
      </c>
      <c r="AE273" s="2" t="str">
        <f t="shared" si="65"/>
        <v>Valid</v>
      </c>
      <c r="AF273" s="2" t="s">
        <v>1069</v>
      </c>
    </row>
    <row r="274" spans="1:32" x14ac:dyDescent="0.3">
      <c r="A274" s="2" t="s">
        <v>1070</v>
      </c>
      <c r="B274" s="2">
        <f t="shared" si="55"/>
        <v>1</v>
      </c>
      <c r="C274" s="12">
        <f t="shared" si="66"/>
        <v>46238.580703680564</v>
      </c>
      <c r="D274" s="13">
        <v>46238.580703680564</v>
      </c>
      <c r="E274" s="2" t="s">
        <v>1071</v>
      </c>
      <c r="F274" s="2" t="str">
        <f t="shared" si="56"/>
        <v>Email Available</v>
      </c>
      <c r="G274" s="2" t="s">
        <v>1072</v>
      </c>
      <c r="H274" s="2" t="s">
        <v>279</v>
      </c>
      <c r="I274" s="2" t="s">
        <v>22</v>
      </c>
      <c r="J274" s="2" t="s">
        <v>280</v>
      </c>
      <c r="K274" s="2">
        <v>1</v>
      </c>
      <c r="L274" s="2">
        <v>24.99</v>
      </c>
      <c r="M274" s="19">
        <f t="shared" si="57"/>
        <v>24.99</v>
      </c>
      <c r="N274" s="2"/>
      <c r="O274" s="2" t="str">
        <f t="shared" si="58"/>
        <v/>
      </c>
      <c r="P274" s="2">
        <v>0</v>
      </c>
      <c r="Q274" s="19">
        <f t="shared" si="59"/>
        <v>0</v>
      </c>
      <c r="R274" s="2" t="str">
        <f t="shared" si="60"/>
        <v>Number</v>
      </c>
      <c r="S274" s="2">
        <v>4.99</v>
      </c>
      <c r="T274" s="19">
        <f t="shared" si="61"/>
        <v>4.99</v>
      </c>
      <c r="U274" s="2">
        <v>29.98</v>
      </c>
      <c r="V274" s="19">
        <f t="shared" si="62"/>
        <v>29.98</v>
      </c>
      <c r="W274" s="19">
        <f t="shared" si="63"/>
        <v>29.979999999999997</v>
      </c>
      <c r="X274" s="19" t="str">
        <f t="shared" si="64"/>
        <v>True</v>
      </c>
      <c r="Y274" s="19" t="str">
        <f>IF(OR(W274&lt;'Cleaning Tasks'!$G$18,W274&gt;'Cleaning Tasks'!$H$18),"Outlier","Normal")</f>
        <v>Normal</v>
      </c>
      <c r="Z274" s="2" t="s">
        <v>66</v>
      </c>
      <c r="AA274" s="2" t="s">
        <v>27</v>
      </c>
      <c r="AB274" s="2" t="s">
        <v>96</v>
      </c>
      <c r="AC274" s="2" t="s">
        <v>105</v>
      </c>
      <c r="AD274" s="2"/>
      <c r="AE274" s="2" t="str">
        <f t="shared" si="65"/>
        <v>Not Required</v>
      </c>
      <c r="AF274" s="2" t="s">
        <v>1073</v>
      </c>
    </row>
    <row r="275" spans="1:32" x14ac:dyDescent="0.3">
      <c r="A275" s="2" t="s">
        <v>1074</v>
      </c>
      <c r="B275" s="2">
        <f t="shared" si="55"/>
        <v>1</v>
      </c>
      <c r="C275" s="12">
        <f t="shared" si="66"/>
        <v>46238.582848449078</v>
      </c>
      <c r="D275" s="13">
        <v>46238.582848449078</v>
      </c>
      <c r="E275" s="2" t="s">
        <v>1075</v>
      </c>
      <c r="F275" s="2" t="str">
        <f t="shared" si="56"/>
        <v>Email Available</v>
      </c>
      <c r="G275" s="2" t="s">
        <v>587</v>
      </c>
      <c r="H275" s="2" t="s">
        <v>361</v>
      </c>
      <c r="I275" s="2" t="s">
        <v>86</v>
      </c>
      <c r="J275" s="2" t="s">
        <v>362</v>
      </c>
      <c r="K275" s="2">
        <v>1</v>
      </c>
      <c r="L275" s="2">
        <v>54.99</v>
      </c>
      <c r="M275" s="19">
        <f t="shared" si="57"/>
        <v>54.99</v>
      </c>
      <c r="N275" s="2" t="s">
        <v>38</v>
      </c>
      <c r="O275" s="2" t="str">
        <f t="shared" si="58"/>
        <v>FREESHIP</v>
      </c>
      <c r="P275" s="2">
        <v>0</v>
      </c>
      <c r="Q275" s="19">
        <f t="shared" si="59"/>
        <v>0</v>
      </c>
      <c r="R275" s="2" t="str">
        <f t="shared" si="60"/>
        <v>Number</v>
      </c>
      <c r="S275" s="2">
        <v>0</v>
      </c>
      <c r="T275" s="19">
        <f t="shared" si="61"/>
        <v>0</v>
      </c>
      <c r="U275" s="2">
        <v>54.99</v>
      </c>
      <c r="V275" s="19">
        <f t="shared" si="62"/>
        <v>54.99</v>
      </c>
      <c r="W275" s="19">
        <f t="shared" si="63"/>
        <v>54.99</v>
      </c>
      <c r="X275" s="19" t="str">
        <f t="shared" si="64"/>
        <v>True</v>
      </c>
      <c r="Y275" s="19" t="str">
        <f>IF(OR(W275&lt;'Cleaning Tasks'!$G$18,W275&gt;'Cleaning Tasks'!$H$18),"Outlier","Normal")</f>
        <v>Normal</v>
      </c>
      <c r="Z275" s="2" t="s">
        <v>66</v>
      </c>
      <c r="AA275" s="2" t="s">
        <v>27</v>
      </c>
      <c r="AB275" s="2" t="s">
        <v>28</v>
      </c>
      <c r="AC275" s="2" t="s">
        <v>29</v>
      </c>
      <c r="AD275" s="2" t="s">
        <v>112</v>
      </c>
      <c r="AE275" s="2" t="str">
        <f t="shared" si="65"/>
        <v>Valid</v>
      </c>
      <c r="AF275" s="2" t="s">
        <v>1076</v>
      </c>
    </row>
    <row r="276" spans="1:32" x14ac:dyDescent="0.3">
      <c r="A276" s="2" t="s">
        <v>1077</v>
      </c>
      <c r="B276" s="2">
        <f t="shared" si="55"/>
        <v>1</v>
      </c>
      <c r="C276" s="12">
        <f t="shared" si="66"/>
        <v>46238.582698287028</v>
      </c>
      <c r="D276" s="13">
        <v>46238.582698287028</v>
      </c>
      <c r="E276" s="2" t="s">
        <v>494</v>
      </c>
      <c r="F276" s="2" t="str">
        <f t="shared" si="56"/>
        <v>Email Available</v>
      </c>
      <c r="G276" s="2" t="s">
        <v>495</v>
      </c>
      <c r="H276" s="2" t="s">
        <v>63</v>
      </c>
      <c r="I276" s="2" t="s">
        <v>47</v>
      </c>
      <c r="J276" s="2" t="s">
        <v>446</v>
      </c>
      <c r="K276" s="2">
        <v>1</v>
      </c>
      <c r="L276" s="2">
        <v>14.99</v>
      </c>
      <c r="M276" s="19">
        <f t="shared" si="57"/>
        <v>14.99</v>
      </c>
      <c r="N276" s="2" t="s">
        <v>203</v>
      </c>
      <c r="O276" s="2" t="str">
        <f t="shared" si="58"/>
        <v>VIP15</v>
      </c>
      <c r="P276" s="2">
        <v>2.25</v>
      </c>
      <c r="Q276" s="19">
        <f t="shared" si="59"/>
        <v>2.25</v>
      </c>
      <c r="R276" s="2" t="str">
        <f t="shared" si="60"/>
        <v>Number</v>
      </c>
      <c r="S276" s="2">
        <v>4.99</v>
      </c>
      <c r="T276" s="19">
        <f t="shared" si="61"/>
        <v>4.99</v>
      </c>
      <c r="U276" s="2">
        <v>17.73</v>
      </c>
      <c r="V276" s="19">
        <f t="shared" si="62"/>
        <v>17.73</v>
      </c>
      <c r="W276" s="19">
        <f t="shared" si="63"/>
        <v>17.73</v>
      </c>
      <c r="X276" s="19" t="str">
        <f t="shared" si="64"/>
        <v>True</v>
      </c>
      <c r="Y276" s="19" t="str">
        <f>IF(OR(W276&lt;'Cleaning Tasks'!$G$18,W276&gt;'Cleaning Tasks'!$H$18),"Outlier","Normal")</f>
        <v>Normal</v>
      </c>
      <c r="Z276" s="2" t="s">
        <v>66</v>
      </c>
      <c r="AA276" s="2" t="s">
        <v>111</v>
      </c>
      <c r="AB276" s="2" t="s">
        <v>50</v>
      </c>
      <c r="AC276" s="2" t="s">
        <v>105</v>
      </c>
      <c r="AD276" s="2"/>
      <c r="AE276" s="2" t="str">
        <f t="shared" si="65"/>
        <v>Not Required</v>
      </c>
      <c r="AF276" s="2" t="s">
        <v>1078</v>
      </c>
    </row>
    <row r="277" spans="1:32" x14ac:dyDescent="0.3">
      <c r="A277" s="2" t="s">
        <v>1079</v>
      </c>
      <c r="B277" s="2">
        <f t="shared" si="55"/>
        <v>1</v>
      </c>
      <c r="C277" s="12">
        <f t="shared" si="66"/>
        <v>46238.584669293981</v>
      </c>
      <c r="D277" s="13">
        <v>46238.584669293981</v>
      </c>
      <c r="E277" s="2" t="s">
        <v>1080</v>
      </c>
      <c r="F277" s="2" t="str">
        <f t="shared" si="56"/>
        <v>Email Available</v>
      </c>
      <c r="G277" s="2" t="s">
        <v>1081</v>
      </c>
      <c r="H277" s="2" t="s">
        <v>267</v>
      </c>
      <c r="I277" s="2" t="s">
        <v>22</v>
      </c>
      <c r="J277" s="2" t="s">
        <v>268</v>
      </c>
      <c r="K277" s="2">
        <v>1</v>
      </c>
      <c r="L277" s="2">
        <v>18.989999999999998</v>
      </c>
      <c r="M277" s="19">
        <f t="shared" si="57"/>
        <v>18.989999999999998</v>
      </c>
      <c r="N277" s="2"/>
      <c r="O277" s="2" t="str">
        <f t="shared" si="58"/>
        <v/>
      </c>
      <c r="P277" s="2">
        <v>0</v>
      </c>
      <c r="Q277" s="19">
        <f t="shared" si="59"/>
        <v>0</v>
      </c>
      <c r="R277" s="2" t="str">
        <f t="shared" si="60"/>
        <v>Number</v>
      </c>
      <c r="S277" s="2">
        <v>7.99</v>
      </c>
      <c r="T277" s="19">
        <f t="shared" si="61"/>
        <v>7.99</v>
      </c>
      <c r="U277" s="2">
        <v>26.98</v>
      </c>
      <c r="V277" s="19">
        <f t="shared" si="62"/>
        <v>26.98</v>
      </c>
      <c r="W277" s="19">
        <f t="shared" si="63"/>
        <v>26.979999999999997</v>
      </c>
      <c r="X277" s="19" t="str">
        <f t="shared" si="64"/>
        <v>True</v>
      </c>
      <c r="Y277" s="19" t="str">
        <f>IF(OR(W277&lt;'Cleaning Tasks'!$G$18,W277&gt;'Cleaning Tasks'!$H$18),"Outlier","Normal")</f>
        <v>Normal</v>
      </c>
      <c r="Z277" s="2" t="s">
        <v>72</v>
      </c>
      <c r="AA277" s="2" t="s">
        <v>27</v>
      </c>
      <c r="AB277" s="2" t="s">
        <v>50</v>
      </c>
      <c r="AC277" s="2" t="s">
        <v>29</v>
      </c>
      <c r="AD277" s="2" t="s">
        <v>30</v>
      </c>
      <c r="AE277" s="2" t="str">
        <f t="shared" si="65"/>
        <v>Valid</v>
      </c>
      <c r="AF277" s="2" t="s">
        <v>1082</v>
      </c>
    </row>
    <row r="278" spans="1:32" x14ac:dyDescent="0.3">
      <c r="A278" s="2" t="s">
        <v>1083</v>
      </c>
      <c r="B278" s="2">
        <f t="shared" si="55"/>
        <v>1</v>
      </c>
      <c r="C278" s="12">
        <f t="shared" si="66"/>
        <v>46238.583340266203</v>
      </c>
      <c r="D278" s="13">
        <v>46238.583340266203</v>
      </c>
      <c r="E278" s="2" t="s">
        <v>1084</v>
      </c>
      <c r="F278" s="2" t="str">
        <f t="shared" si="56"/>
        <v>Email Available</v>
      </c>
      <c r="G278" s="2" t="s">
        <v>1085</v>
      </c>
      <c r="H278" s="2" t="s">
        <v>124</v>
      </c>
      <c r="I278" s="2" t="s">
        <v>79</v>
      </c>
      <c r="J278" s="2" t="s">
        <v>125</v>
      </c>
      <c r="K278" s="2">
        <v>1</v>
      </c>
      <c r="L278" s="2" t="s">
        <v>1086</v>
      </c>
      <c r="M278" s="19">
        <f t="shared" si="57"/>
        <v>13.99</v>
      </c>
      <c r="N278" s="2"/>
      <c r="O278" s="2" t="str">
        <f t="shared" si="58"/>
        <v/>
      </c>
      <c r="P278" s="2">
        <v>0</v>
      </c>
      <c r="Q278" s="19">
        <f t="shared" si="59"/>
        <v>0</v>
      </c>
      <c r="R278" s="2" t="str">
        <f t="shared" si="60"/>
        <v>Number</v>
      </c>
      <c r="S278" s="2">
        <v>7.99</v>
      </c>
      <c r="T278" s="19">
        <f t="shared" si="61"/>
        <v>7.99</v>
      </c>
      <c r="U278" s="2">
        <v>21.98</v>
      </c>
      <c r="V278" s="19">
        <f t="shared" si="62"/>
        <v>21.98</v>
      </c>
      <c r="W278" s="19">
        <f t="shared" si="63"/>
        <v>21.98</v>
      </c>
      <c r="X278" s="19" t="str">
        <f t="shared" si="64"/>
        <v>True</v>
      </c>
      <c r="Y278" s="19" t="str">
        <f>IF(OR(W278&lt;'Cleaning Tasks'!$G$18,W278&gt;'Cleaning Tasks'!$H$18),"Outlier","Normal")</f>
        <v>Normal</v>
      </c>
      <c r="Z278" s="2" t="s">
        <v>49</v>
      </c>
      <c r="AA278" s="2" t="s">
        <v>88</v>
      </c>
      <c r="AB278" s="2" t="s">
        <v>50</v>
      </c>
      <c r="AC278" s="2" t="s">
        <v>29</v>
      </c>
      <c r="AD278" s="2" t="s">
        <v>112</v>
      </c>
      <c r="AE278" s="2" t="str">
        <f t="shared" si="65"/>
        <v>Valid</v>
      </c>
      <c r="AF278" s="2" t="s">
        <v>1087</v>
      </c>
    </row>
    <row r="279" spans="1:32" x14ac:dyDescent="0.3">
      <c r="A279" s="2" t="s">
        <v>1088</v>
      </c>
      <c r="B279" s="2">
        <f t="shared" si="55"/>
        <v>1</v>
      </c>
      <c r="C279" s="12">
        <f t="shared" si="66"/>
        <v>46238.582679363433</v>
      </c>
      <c r="D279" s="13">
        <v>46238.582679363433</v>
      </c>
      <c r="E279" s="2" t="s">
        <v>1089</v>
      </c>
      <c r="F279" s="2" t="str">
        <f t="shared" si="56"/>
        <v>Email Available</v>
      </c>
      <c r="G279" s="2" t="s">
        <v>1090</v>
      </c>
      <c r="H279" s="2" t="s">
        <v>221</v>
      </c>
      <c r="I279" s="2" t="s">
        <v>22</v>
      </c>
      <c r="J279" s="2" t="s">
        <v>222</v>
      </c>
      <c r="K279" s="2">
        <v>2</v>
      </c>
      <c r="L279" s="2">
        <v>17.989999999999998</v>
      </c>
      <c r="M279" s="19">
        <f t="shared" si="57"/>
        <v>17.989999999999998</v>
      </c>
      <c r="N279" s="2"/>
      <c r="O279" s="2" t="str">
        <f t="shared" si="58"/>
        <v/>
      </c>
      <c r="P279" s="2" t="s">
        <v>184</v>
      </c>
      <c r="Q279" s="19">
        <f t="shared" si="59"/>
        <v>0</v>
      </c>
      <c r="R279" s="2" t="str">
        <f t="shared" si="60"/>
        <v>Number</v>
      </c>
      <c r="S279" s="2">
        <v>4.99</v>
      </c>
      <c r="T279" s="19">
        <f t="shared" si="61"/>
        <v>4.99</v>
      </c>
      <c r="U279" s="2">
        <v>40.97</v>
      </c>
      <c r="V279" s="19">
        <f t="shared" si="62"/>
        <v>40.97</v>
      </c>
      <c r="W279" s="19">
        <f t="shared" si="63"/>
        <v>40.97</v>
      </c>
      <c r="X279" s="19" t="str">
        <f t="shared" si="64"/>
        <v>True</v>
      </c>
      <c r="Y279" s="19" t="str">
        <f>IF(OR(W279&lt;'Cleaning Tasks'!$G$18,W279&gt;'Cleaning Tasks'!$H$18),"Outlier","Normal")</f>
        <v>Normal</v>
      </c>
      <c r="Z279" s="2" t="s">
        <v>66</v>
      </c>
      <c r="AA279" s="2" t="s">
        <v>27</v>
      </c>
      <c r="AB279" s="2" t="s">
        <v>50</v>
      </c>
      <c r="AC279" s="2" t="s">
        <v>331</v>
      </c>
      <c r="AD279" s="2"/>
      <c r="AE279" s="2" t="str">
        <f t="shared" si="65"/>
        <v>Not Required</v>
      </c>
      <c r="AF279" s="2" t="s">
        <v>1091</v>
      </c>
    </row>
    <row r="280" spans="1:32" x14ac:dyDescent="0.3">
      <c r="A280" s="2" t="s">
        <v>1092</v>
      </c>
      <c r="B280" s="2">
        <f t="shared" si="55"/>
        <v>1</v>
      </c>
      <c r="C280" s="12">
        <f t="shared" si="66"/>
        <v>46238</v>
      </c>
      <c r="D280" s="13">
        <v>46238</v>
      </c>
      <c r="E280" s="2" t="s">
        <v>61</v>
      </c>
      <c r="F280" s="2" t="str">
        <f t="shared" si="56"/>
        <v>Email Available</v>
      </c>
      <c r="G280" s="2" t="s">
        <v>62</v>
      </c>
      <c r="H280" s="2" t="s">
        <v>309</v>
      </c>
      <c r="I280" s="2" t="s">
        <v>36</v>
      </c>
      <c r="J280" s="2" t="s">
        <v>310</v>
      </c>
      <c r="K280" s="2">
        <v>1</v>
      </c>
      <c r="L280" s="2">
        <v>8.99</v>
      </c>
      <c r="M280" s="19">
        <f t="shared" si="57"/>
        <v>8.99</v>
      </c>
      <c r="N280" s="2" t="s">
        <v>118</v>
      </c>
      <c r="O280" s="2" t="str">
        <f t="shared" si="58"/>
        <v>BFCM25</v>
      </c>
      <c r="P280" s="2">
        <v>2.25</v>
      </c>
      <c r="Q280" s="19">
        <f t="shared" si="59"/>
        <v>2.25</v>
      </c>
      <c r="R280" s="2" t="str">
        <f t="shared" si="60"/>
        <v>Number</v>
      </c>
      <c r="S280" s="2">
        <v>5.99</v>
      </c>
      <c r="T280" s="19">
        <f t="shared" si="61"/>
        <v>5.99</v>
      </c>
      <c r="U280" s="2">
        <v>12.73</v>
      </c>
      <c r="V280" s="19">
        <f t="shared" si="62"/>
        <v>12.73</v>
      </c>
      <c r="W280" s="19">
        <f t="shared" si="63"/>
        <v>12.73</v>
      </c>
      <c r="X280" s="19" t="str">
        <f t="shared" si="64"/>
        <v>True</v>
      </c>
      <c r="Y280" s="19" t="str">
        <f>IF(OR(W280&lt;'Cleaning Tasks'!$G$18,W280&gt;'Cleaning Tasks'!$H$18),"Outlier","Normal")</f>
        <v>Normal</v>
      </c>
      <c r="Z280" s="2" t="s">
        <v>72</v>
      </c>
      <c r="AA280" s="2" t="s">
        <v>88</v>
      </c>
      <c r="AB280" s="2" t="s">
        <v>50</v>
      </c>
      <c r="AC280" s="2" t="s">
        <v>29</v>
      </c>
      <c r="AD280" s="2" t="s">
        <v>89</v>
      </c>
      <c r="AE280" s="2" t="str">
        <f t="shared" si="65"/>
        <v>Valid</v>
      </c>
      <c r="AF280" s="2" t="s">
        <v>1093</v>
      </c>
    </row>
    <row r="281" spans="1:32" x14ac:dyDescent="0.3">
      <c r="A281" s="2" t="s">
        <v>1094</v>
      </c>
      <c r="B281" s="2">
        <f t="shared" si="55"/>
        <v>1</v>
      </c>
      <c r="C281" s="12">
        <f t="shared" si="66"/>
        <v>46238.583318182871</v>
      </c>
      <c r="D281" s="13">
        <v>46238.583318182871</v>
      </c>
      <c r="E281" s="2" t="s">
        <v>1095</v>
      </c>
      <c r="F281" s="2" t="str">
        <f t="shared" si="56"/>
        <v>Email Available</v>
      </c>
      <c r="G281" s="2" t="s">
        <v>1096</v>
      </c>
      <c r="H281" s="2" t="s">
        <v>102</v>
      </c>
      <c r="I281" s="2" t="s">
        <v>103</v>
      </c>
      <c r="J281" s="2" t="s">
        <v>104</v>
      </c>
      <c r="K281" s="2">
        <v>1</v>
      </c>
      <c r="L281" s="2">
        <v>19.989999999999998</v>
      </c>
      <c r="M281" s="19">
        <f t="shared" si="57"/>
        <v>19.989999999999998</v>
      </c>
      <c r="N281" s="2" t="s">
        <v>38</v>
      </c>
      <c r="O281" s="2" t="str">
        <f t="shared" si="58"/>
        <v>FREESHIP</v>
      </c>
      <c r="P281" s="2">
        <v>0</v>
      </c>
      <c r="Q281" s="19">
        <f t="shared" si="59"/>
        <v>0</v>
      </c>
      <c r="R281" s="2" t="str">
        <f t="shared" si="60"/>
        <v>Number</v>
      </c>
      <c r="S281" s="2">
        <v>0</v>
      </c>
      <c r="T281" s="19">
        <f t="shared" si="61"/>
        <v>0</v>
      </c>
      <c r="U281" s="2">
        <v>19.989999999999998</v>
      </c>
      <c r="V281" s="19">
        <f t="shared" si="62"/>
        <v>19.989999999999998</v>
      </c>
      <c r="W281" s="19">
        <f t="shared" si="63"/>
        <v>19.989999999999998</v>
      </c>
      <c r="X281" s="19" t="str">
        <f t="shared" si="64"/>
        <v>True</v>
      </c>
      <c r="Y281" s="19" t="str">
        <f>IF(OR(W281&lt;'Cleaning Tasks'!$G$18,W281&gt;'Cleaning Tasks'!$H$18),"Outlier","Normal")</f>
        <v>Normal</v>
      </c>
      <c r="Z281" s="2" t="s">
        <v>72</v>
      </c>
      <c r="AA281" s="2" t="s">
        <v>27</v>
      </c>
      <c r="AB281" s="2" t="s">
        <v>50</v>
      </c>
      <c r="AC281" s="2" t="s">
        <v>29</v>
      </c>
      <c r="AD281" s="2" t="s">
        <v>30</v>
      </c>
      <c r="AE281" s="2" t="str">
        <f t="shared" si="65"/>
        <v>Valid</v>
      </c>
      <c r="AF281" s="2" t="s">
        <v>1097</v>
      </c>
    </row>
    <row r="282" spans="1:32" x14ac:dyDescent="0.3">
      <c r="A282" s="2" t="s">
        <v>1098</v>
      </c>
      <c r="B282" s="2">
        <f t="shared" si="55"/>
        <v>1</v>
      </c>
      <c r="C282" s="12">
        <f t="shared" si="66"/>
        <v>46238.588253761583</v>
      </c>
      <c r="D282" s="13">
        <v>46238.588253761583</v>
      </c>
      <c r="E282" s="2" t="s">
        <v>1099</v>
      </c>
      <c r="F282" s="2" t="str">
        <f t="shared" si="56"/>
        <v>Email Available</v>
      </c>
      <c r="G282" s="2" t="s">
        <v>1100</v>
      </c>
      <c r="H282" s="2" t="s">
        <v>309</v>
      </c>
      <c r="I282" s="2" t="s">
        <v>36</v>
      </c>
      <c r="J282" s="2" t="s">
        <v>310</v>
      </c>
      <c r="K282" s="2">
        <v>1</v>
      </c>
      <c r="L282" s="2">
        <v>8.99</v>
      </c>
      <c r="M282" s="19">
        <f t="shared" si="57"/>
        <v>8.99</v>
      </c>
      <c r="N282" s="2" t="s">
        <v>203</v>
      </c>
      <c r="O282" s="2" t="str">
        <f t="shared" si="58"/>
        <v>VIP15</v>
      </c>
      <c r="P282" s="2">
        <v>1.35</v>
      </c>
      <c r="Q282" s="19">
        <f t="shared" si="59"/>
        <v>1.35</v>
      </c>
      <c r="R282" s="2" t="str">
        <f t="shared" si="60"/>
        <v>Number</v>
      </c>
      <c r="S282" s="2">
        <v>5.99</v>
      </c>
      <c r="T282" s="19">
        <f t="shared" si="61"/>
        <v>5.99</v>
      </c>
      <c r="U282" s="2">
        <v>13.63</v>
      </c>
      <c r="V282" s="19">
        <f t="shared" si="62"/>
        <v>13.63</v>
      </c>
      <c r="W282" s="19">
        <f t="shared" si="63"/>
        <v>13.63</v>
      </c>
      <c r="X282" s="19" t="str">
        <f t="shared" si="64"/>
        <v>True</v>
      </c>
      <c r="Y282" s="19" t="str">
        <f>IF(OR(W282&lt;'Cleaning Tasks'!$G$18,W282&gt;'Cleaning Tasks'!$H$18),"Outlier","Normal")</f>
        <v>Normal</v>
      </c>
      <c r="Z282" s="2" t="s">
        <v>49</v>
      </c>
      <c r="AA282" s="2" t="s">
        <v>40</v>
      </c>
      <c r="AB282" s="2" t="s">
        <v>50</v>
      </c>
      <c r="AC282" s="2" t="s">
        <v>29</v>
      </c>
      <c r="AD282" s="2" t="s">
        <v>73</v>
      </c>
      <c r="AE282" s="2" t="str">
        <f t="shared" si="65"/>
        <v>Valid</v>
      </c>
      <c r="AF282" s="2" t="s">
        <v>1101</v>
      </c>
    </row>
    <row r="283" spans="1:32" x14ac:dyDescent="0.3">
      <c r="A283" s="2" t="s">
        <v>1102</v>
      </c>
      <c r="B283" s="2">
        <f t="shared" si="55"/>
        <v>1</v>
      </c>
      <c r="C283" s="12">
        <f t="shared" si="66"/>
        <v>46238.588521724538</v>
      </c>
      <c r="D283" s="13">
        <v>46238.588521724538</v>
      </c>
      <c r="E283" s="2"/>
      <c r="F283" s="2" t="str">
        <f t="shared" si="56"/>
        <v>Email Available</v>
      </c>
      <c r="G283" s="2" t="s">
        <v>1103</v>
      </c>
      <c r="H283" s="2" t="s">
        <v>130</v>
      </c>
      <c r="I283" s="2" t="s">
        <v>103</v>
      </c>
      <c r="J283" s="2" t="s">
        <v>131</v>
      </c>
      <c r="K283" s="2">
        <v>2</v>
      </c>
      <c r="L283" s="2">
        <v>16.989999999999998</v>
      </c>
      <c r="M283" s="19">
        <f t="shared" si="57"/>
        <v>16.989999999999998</v>
      </c>
      <c r="N283" s="2"/>
      <c r="O283" s="2" t="str">
        <f t="shared" si="58"/>
        <v/>
      </c>
      <c r="P283" s="2">
        <v>0</v>
      </c>
      <c r="Q283" s="19">
        <f t="shared" si="59"/>
        <v>0</v>
      </c>
      <c r="R283" s="2" t="str">
        <f t="shared" si="60"/>
        <v>Number</v>
      </c>
      <c r="S283" s="2">
        <v>5.99</v>
      </c>
      <c r="T283" s="19">
        <f t="shared" si="61"/>
        <v>5.99</v>
      </c>
      <c r="U283" s="2">
        <v>39.97</v>
      </c>
      <c r="V283" s="19">
        <f t="shared" si="62"/>
        <v>39.97</v>
      </c>
      <c r="W283" s="19">
        <f t="shared" si="63"/>
        <v>39.97</v>
      </c>
      <c r="X283" s="19" t="str">
        <f t="shared" si="64"/>
        <v>True</v>
      </c>
      <c r="Y283" s="19" t="str">
        <f>IF(OR(W283&lt;'Cleaning Tasks'!$G$18,W283&gt;'Cleaning Tasks'!$H$18),"Outlier","Normal")</f>
        <v>Normal</v>
      </c>
      <c r="Z283" s="2" t="s">
        <v>49</v>
      </c>
      <c r="AA283" s="2" t="s">
        <v>27</v>
      </c>
      <c r="AB283" s="2" t="s">
        <v>96</v>
      </c>
      <c r="AC283" s="2" t="s">
        <v>105</v>
      </c>
      <c r="AD283" s="2"/>
      <c r="AE283" s="2" t="str">
        <f t="shared" si="65"/>
        <v>Not Required</v>
      </c>
      <c r="AF283" s="2" t="s">
        <v>1104</v>
      </c>
    </row>
    <row r="284" spans="1:32" x14ac:dyDescent="0.3">
      <c r="A284" s="2" t="s">
        <v>1105</v>
      </c>
      <c r="B284" s="2">
        <f t="shared" si="55"/>
        <v>1</v>
      </c>
      <c r="C284" s="12">
        <f t="shared" si="66"/>
        <v>46238</v>
      </c>
      <c r="D284" s="13">
        <v>46238</v>
      </c>
      <c r="E284" s="2" t="s">
        <v>325</v>
      </c>
      <c r="F284" s="2" t="str">
        <f t="shared" si="56"/>
        <v>Email Available</v>
      </c>
      <c r="G284" s="2" t="s">
        <v>326</v>
      </c>
      <c r="H284" s="2" t="s">
        <v>236</v>
      </c>
      <c r="I284" s="2" t="s">
        <v>237</v>
      </c>
      <c r="J284" s="2" t="s">
        <v>238</v>
      </c>
      <c r="K284" s="2">
        <v>2</v>
      </c>
      <c r="L284" s="2">
        <v>27.99</v>
      </c>
      <c r="M284" s="19">
        <f t="shared" si="57"/>
        <v>27.99</v>
      </c>
      <c r="N284" s="2"/>
      <c r="O284" s="2" t="str">
        <f t="shared" si="58"/>
        <v/>
      </c>
      <c r="P284" s="2">
        <v>0</v>
      </c>
      <c r="Q284" s="19">
        <f t="shared" si="59"/>
        <v>0</v>
      </c>
      <c r="R284" s="2" t="str">
        <f t="shared" si="60"/>
        <v>Number</v>
      </c>
      <c r="S284" s="2">
        <v>5.99</v>
      </c>
      <c r="T284" s="19">
        <f t="shared" si="61"/>
        <v>5.99</v>
      </c>
      <c r="U284" s="2">
        <v>61.97</v>
      </c>
      <c r="V284" s="19">
        <f t="shared" si="62"/>
        <v>61.97</v>
      </c>
      <c r="W284" s="19">
        <f t="shared" si="63"/>
        <v>61.97</v>
      </c>
      <c r="X284" s="19" t="str">
        <f t="shared" si="64"/>
        <v>True</v>
      </c>
      <c r="Y284" s="19" t="str">
        <f>IF(OR(W284&lt;'Cleaning Tasks'!$G$18,W284&gt;'Cleaning Tasks'!$H$18),"Outlier","Normal")</f>
        <v>Normal</v>
      </c>
      <c r="Z284" s="2" t="s">
        <v>26</v>
      </c>
      <c r="AA284" s="2" t="s">
        <v>88</v>
      </c>
      <c r="AB284" s="2" t="s">
        <v>50</v>
      </c>
      <c r="AC284" s="2" t="s">
        <v>29</v>
      </c>
      <c r="AD284" s="2" t="s">
        <v>341</v>
      </c>
      <c r="AE284" s="2" t="str">
        <f t="shared" si="65"/>
        <v>Valid</v>
      </c>
      <c r="AF284" s="2" t="s">
        <v>1106</v>
      </c>
    </row>
    <row r="285" spans="1:32" x14ac:dyDescent="0.3">
      <c r="A285" s="2" t="s">
        <v>1107</v>
      </c>
      <c r="B285" s="2">
        <f t="shared" si="55"/>
        <v>1</v>
      </c>
      <c r="C285" s="12">
        <f t="shared" si="66"/>
        <v>46238.586278946757</v>
      </c>
      <c r="D285" s="13">
        <v>46238.586278946757</v>
      </c>
      <c r="E285" s="2" t="s">
        <v>756</v>
      </c>
      <c r="F285" s="2" t="str">
        <f t="shared" si="56"/>
        <v>Email Available</v>
      </c>
      <c r="G285" s="2" t="s">
        <v>757</v>
      </c>
      <c r="H285" s="2" t="s">
        <v>102</v>
      </c>
      <c r="I285" s="2" t="s">
        <v>103</v>
      </c>
      <c r="J285" s="2" t="s">
        <v>104</v>
      </c>
      <c r="K285" s="2">
        <v>4</v>
      </c>
      <c r="L285" s="2">
        <v>19.989999999999998</v>
      </c>
      <c r="M285" s="19">
        <f t="shared" si="57"/>
        <v>19.989999999999998</v>
      </c>
      <c r="N285" s="2"/>
      <c r="O285" s="2" t="str">
        <f t="shared" si="58"/>
        <v/>
      </c>
      <c r="P285" s="2">
        <v>0</v>
      </c>
      <c r="Q285" s="19">
        <f t="shared" si="59"/>
        <v>0</v>
      </c>
      <c r="R285" s="2" t="str">
        <f t="shared" si="60"/>
        <v>Number</v>
      </c>
      <c r="S285" s="2">
        <v>0</v>
      </c>
      <c r="T285" s="19">
        <f t="shared" si="61"/>
        <v>0</v>
      </c>
      <c r="U285" s="2" t="s">
        <v>496</v>
      </c>
      <c r="V285" s="19">
        <f t="shared" si="62"/>
        <v>79.959999999999994</v>
      </c>
      <c r="W285" s="19">
        <f t="shared" si="63"/>
        <v>79.959999999999994</v>
      </c>
      <c r="X285" s="19" t="str">
        <f t="shared" si="64"/>
        <v>True</v>
      </c>
      <c r="Y285" s="19" t="str">
        <f>IF(OR(W285&lt;'Cleaning Tasks'!$G$18,W285&gt;'Cleaning Tasks'!$H$18),"Outlier","Normal")</f>
        <v>Normal</v>
      </c>
      <c r="Z285" s="2" t="s">
        <v>66</v>
      </c>
      <c r="AA285" s="2" t="s">
        <v>27</v>
      </c>
      <c r="AB285" s="2" t="s">
        <v>96</v>
      </c>
      <c r="AC285" s="2" t="s">
        <v>29</v>
      </c>
      <c r="AD285" s="2" t="s">
        <v>447</v>
      </c>
      <c r="AE285" s="2" t="str">
        <f t="shared" si="65"/>
        <v>Valid</v>
      </c>
      <c r="AF285" s="2" t="s">
        <v>1108</v>
      </c>
    </row>
    <row r="286" spans="1:32" x14ac:dyDescent="0.3">
      <c r="A286" s="2" t="s">
        <v>1109</v>
      </c>
      <c r="B286" s="2">
        <f t="shared" si="55"/>
        <v>1</v>
      </c>
      <c r="C286" s="12">
        <f t="shared" si="66"/>
        <v>46238.581895914351</v>
      </c>
      <c r="D286" s="13">
        <v>46238.581895914351</v>
      </c>
      <c r="E286" s="2" t="s">
        <v>1110</v>
      </c>
      <c r="F286" s="2" t="str">
        <f t="shared" si="56"/>
        <v>Email Available</v>
      </c>
      <c r="G286" s="2" t="s">
        <v>1111</v>
      </c>
      <c r="H286" s="2" t="s">
        <v>117</v>
      </c>
      <c r="I286" s="2" t="s">
        <v>22</v>
      </c>
      <c r="J286" s="2" t="s">
        <v>23</v>
      </c>
      <c r="K286" s="2">
        <v>1</v>
      </c>
      <c r="L286" s="2">
        <v>12.99</v>
      </c>
      <c r="M286" s="19">
        <f t="shared" si="57"/>
        <v>12.99</v>
      </c>
      <c r="N286" s="2" t="s">
        <v>118</v>
      </c>
      <c r="O286" s="2" t="str">
        <f t="shared" si="58"/>
        <v>BFCM25</v>
      </c>
      <c r="P286" s="2">
        <v>3.25</v>
      </c>
      <c r="Q286" s="19">
        <f t="shared" si="59"/>
        <v>3.25</v>
      </c>
      <c r="R286" s="2" t="str">
        <f t="shared" si="60"/>
        <v>Number</v>
      </c>
      <c r="S286" s="2">
        <v>7.99</v>
      </c>
      <c r="T286" s="19">
        <f t="shared" si="61"/>
        <v>7.99</v>
      </c>
      <c r="U286" s="2" t="s">
        <v>1112</v>
      </c>
      <c r="V286" s="19">
        <f t="shared" si="62"/>
        <v>17.73</v>
      </c>
      <c r="W286" s="19">
        <f t="shared" si="63"/>
        <v>17.73</v>
      </c>
      <c r="X286" s="19" t="str">
        <f t="shared" si="64"/>
        <v>True</v>
      </c>
      <c r="Y286" s="19" t="str">
        <f>IF(OR(W286&lt;'Cleaning Tasks'!$G$18,W286&gt;'Cleaning Tasks'!$H$18),"Outlier","Normal")</f>
        <v>Normal</v>
      </c>
      <c r="Z286" s="2" t="s">
        <v>66</v>
      </c>
      <c r="AA286" s="2" t="s">
        <v>27</v>
      </c>
      <c r="AB286" s="2" t="s">
        <v>41</v>
      </c>
      <c r="AC286" s="2" t="s">
        <v>29</v>
      </c>
      <c r="AD286" s="2" t="s">
        <v>89</v>
      </c>
      <c r="AE286" s="2" t="str">
        <f t="shared" si="65"/>
        <v>Valid</v>
      </c>
      <c r="AF286" s="2" t="s">
        <v>1113</v>
      </c>
    </row>
    <row r="287" spans="1:32" x14ac:dyDescent="0.3">
      <c r="A287" s="2" t="s">
        <v>1114</v>
      </c>
      <c r="B287" s="2">
        <f t="shared" si="55"/>
        <v>1</v>
      </c>
      <c r="C287" s="12">
        <f t="shared" si="66"/>
        <v>46238.584448263893</v>
      </c>
      <c r="D287" s="13">
        <v>46238.584448263893</v>
      </c>
      <c r="E287" s="2" t="s">
        <v>871</v>
      </c>
      <c r="F287" s="2" t="str">
        <f t="shared" si="56"/>
        <v>Email Available</v>
      </c>
      <c r="G287" s="2" t="s">
        <v>872</v>
      </c>
      <c r="H287" s="2" t="s">
        <v>56</v>
      </c>
      <c r="I287" s="2" t="s">
        <v>22</v>
      </c>
      <c r="J287" s="2" t="s">
        <v>57</v>
      </c>
      <c r="K287" s="2">
        <v>1</v>
      </c>
      <c r="L287" s="2">
        <v>9.99</v>
      </c>
      <c r="M287" s="19">
        <f t="shared" si="57"/>
        <v>9.99</v>
      </c>
      <c r="N287" s="2"/>
      <c r="O287" s="2" t="str">
        <f t="shared" si="58"/>
        <v/>
      </c>
      <c r="P287" s="2">
        <v>0</v>
      </c>
      <c r="Q287" s="19">
        <f t="shared" si="59"/>
        <v>0</v>
      </c>
      <c r="R287" s="2" t="str">
        <f t="shared" si="60"/>
        <v>Number</v>
      </c>
      <c r="S287" s="2">
        <v>5.99</v>
      </c>
      <c r="T287" s="19">
        <f t="shared" si="61"/>
        <v>5.99</v>
      </c>
      <c r="U287" s="2">
        <v>15.98</v>
      </c>
      <c r="V287" s="19">
        <f t="shared" si="62"/>
        <v>15.98</v>
      </c>
      <c r="W287" s="19">
        <f t="shared" si="63"/>
        <v>15.98</v>
      </c>
      <c r="X287" s="19" t="str">
        <f t="shared" si="64"/>
        <v>True</v>
      </c>
      <c r="Y287" s="19" t="str">
        <f>IF(OR(W287&lt;'Cleaning Tasks'!$G$18,W287&gt;'Cleaning Tasks'!$H$18),"Outlier","Normal")</f>
        <v>Normal</v>
      </c>
      <c r="Z287" s="2" t="s">
        <v>26</v>
      </c>
      <c r="AA287" s="2" t="s">
        <v>111</v>
      </c>
      <c r="AB287" s="2" t="s">
        <v>96</v>
      </c>
      <c r="AC287" s="2" t="s">
        <v>29</v>
      </c>
      <c r="AD287" s="2" t="s">
        <v>140</v>
      </c>
      <c r="AE287" s="2" t="str">
        <f t="shared" si="65"/>
        <v>Valid</v>
      </c>
      <c r="AF287" s="2" t="s">
        <v>1115</v>
      </c>
    </row>
    <row r="288" spans="1:32" x14ac:dyDescent="0.3">
      <c r="A288" s="2" t="s">
        <v>1116</v>
      </c>
      <c r="B288" s="2">
        <f t="shared" si="55"/>
        <v>1</v>
      </c>
      <c r="C288" s="12">
        <f t="shared" si="66"/>
        <v>46238.586516493058</v>
      </c>
      <c r="D288" s="13">
        <v>46238.586516493058</v>
      </c>
      <c r="E288" s="2" t="s">
        <v>1117</v>
      </c>
      <c r="F288" s="2" t="str">
        <f t="shared" si="56"/>
        <v>Email Available</v>
      </c>
      <c r="G288" s="2" t="s">
        <v>1118</v>
      </c>
      <c r="H288" s="2" t="s">
        <v>201</v>
      </c>
      <c r="I288" s="2" t="s">
        <v>191</v>
      </c>
      <c r="J288" s="2" t="s">
        <v>202</v>
      </c>
      <c r="K288" s="2">
        <v>2</v>
      </c>
      <c r="L288" s="2">
        <v>24.99</v>
      </c>
      <c r="M288" s="19">
        <f t="shared" si="57"/>
        <v>24.99</v>
      </c>
      <c r="N288" s="2" t="s">
        <v>65</v>
      </c>
      <c r="O288" s="2" t="str">
        <f t="shared" si="58"/>
        <v>WELCOME10</v>
      </c>
      <c r="P288" s="2">
        <v>5</v>
      </c>
      <c r="Q288" s="19">
        <f t="shared" si="59"/>
        <v>5</v>
      </c>
      <c r="R288" s="2" t="str">
        <f t="shared" si="60"/>
        <v>Number</v>
      </c>
      <c r="S288" s="2">
        <v>7.99</v>
      </c>
      <c r="T288" s="19">
        <f t="shared" si="61"/>
        <v>7.99</v>
      </c>
      <c r="U288" s="2">
        <v>52.97</v>
      </c>
      <c r="V288" s="19">
        <f t="shared" si="62"/>
        <v>52.97</v>
      </c>
      <c r="W288" s="19">
        <f t="shared" si="63"/>
        <v>52.97</v>
      </c>
      <c r="X288" s="19" t="str">
        <f t="shared" si="64"/>
        <v>True</v>
      </c>
      <c r="Y288" s="19" t="str">
        <f>IF(OR(W288&lt;'Cleaning Tasks'!$G$18,W288&gt;'Cleaning Tasks'!$H$18),"Outlier","Normal")</f>
        <v>Normal</v>
      </c>
      <c r="Z288" s="2" t="s">
        <v>39</v>
      </c>
      <c r="AA288" s="2" t="s">
        <v>27</v>
      </c>
      <c r="AB288" s="2" t="s">
        <v>50</v>
      </c>
      <c r="AC288" s="2" t="s">
        <v>331</v>
      </c>
      <c r="AD288" s="2"/>
      <c r="AE288" s="2" t="str">
        <f t="shared" si="65"/>
        <v>Not Required</v>
      </c>
      <c r="AF288" s="2" t="s">
        <v>1119</v>
      </c>
    </row>
    <row r="289" spans="1:32" x14ac:dyDescent="0.3">
      <c r="A289" s="2" t="s">
        <v>1120</v>
      </c>
      <c r="B289" s="2">
        <f t="shared" si="55"/>
        <v>1</v>
      </c>
      <c r="C289" s="12">
        <f t="shared" si="66"/>
        <v>46238.589183865741</v>
      </c>
      <c r="D289" s="13">
        <v>46238.589183865741</v>
      </c>
      <c r="E289" s="2" t="s">
        <v>1084</v>
      </c>
      <c r="F289" s="2" t="str">
        <f t="shared" si="56"/>
        <v>Email Available</v>
      </c>
      <c r="G289" s="2" t="s">
        <v>1085</v>
      </c>
      <c r="H289" s="2" t="s">
        <v>63</v>
      </c>
      <c r="I289" s="2" t="s">
        <v>47</v>
      </c>
      <c r="J289" s="2" t="s">
        <v>64</v>
      </c>
      <c r="K289" s="2">
        <v>1</v>
      </c>
      <c r="L289" s="2">
        <v>14.99</v>
      </c>
      <c r="M289" s="19">
        <f t="shared" si="57"/>
        <v>14.99</v>
      </c>
      <c r="N289" s="2"/>
      <c r="O289" s="2" t="str">
        <f t="shared" si="58"/>
        <v/>
      </c>
      <c r="P289" s="2">
        <v>0</v>
      </c>
      <c r="Q289" s="19">
        <f t="shared" si="59"/>
        <v>0</v>
      </c>
      <c r="R289" s="2" t="str">
        <f t="shared" si="60"/>
        <v>Number</v>
      </c>
      <c r="S289" s="2">
        <v>4.99</v>
      </c>
      <c r="T289" s="19">
        <f t="shared" si="61"/>
        <v>4.99</v>
      </c>
      <c r="U289" s="2">
        <v>19.98</v>
      </c>
      <c r="V289" s="19">
        <f t="shared" si="62"/>
        <v>19.98</v>
      </c>
      <c r="W289" s="19">
        <f t="shared" si="63"/>
        <v>19.98</v>
      </c>
      <c r="X289" s="19" t="str">
        <f t="shared" si="64"/>
        <v>True</v>
      </c>
      <c r="Y289" s="19" t="str">
        <f>IF(OR(W289&lt;'Cleaning Tasks'!$G$18,W289&gt;'Cleaning Tasks'!$H$18),"Outlier","Normal")</f>
        <v>Normal</v>
      </c>
      <c r="Z289" s="2" t="s">
        <v>39</v>
      </c>
      <c r="AA289" s="2" t="s">
        <v>27</v>
      </c>
      <c r="AB289" s="2" t="s">
        <v>41</v>
      </c>
      <c r="AC289" s="2" t="s">
        <v>29</v>
      </c>
      <c r="AD289" s="22" t="s">
        <v>112</v>
      </c>
      <c r="AE289" s="2" t="str">
        <f t="shared" si="65"/>
        <v>Valid</v>
      </c>
      <c r="AF289" s="2" t="s">
        <v>1121</v>
      </c>
    </row>
    <row r="290" spans="1:32" x14ac:dyDescent="0.3">
      <c r="A290" s="2" t="s">
        <v>1122</v>
      </c>
      <c r="B290" s="2">
        <f t="shared" si="55"/>
        <v>1</v>
      </c>
      <c r="C290" s="12">
        <f t="shared" si="66"/>
        <v>46238</v>
      </c>
      <c r="D290" s="13" t="s">
        <v>1123</v>
      </c>
      <c r="E290" s="2" t="s">
        <v>1080</v>
      </c>
      <c r="F290" s="2" t="str">
        <f t="shared" si="56"/>
        <v>Email Available</v>
      </c>
      <c r="G290" s="2" t="s">
        <v>1081</v>
      </c>
      <c r="H290" s="2" t="s">
        <v>261</v>
      </c>
      <c r="I290" s="2" t="s">
        <v>36</v>
      </c>
      <c r="J290" s="2" t="s">
        <v>262</v>
      </c>
      <c r="K290" s="2">
        <v>1</v>
      </c>
      <c r="L290" s="2" t="s">
        <v>318</v>
      </c>
      <c r="M290" s="19">
        <f t="shared" si="57"/>
        <v>15.49</v>
      </c>
      <c r="N290" s="2" t="s">
        <v>1124</v>
      </c>
      <c r="O290" s="2" t="str">
        <f t="shared" si="58"/>
        <v>WELCOME10</v>
      </c>
      <c r="P290" s="2">
        <v>1.55</v>
      </c>
      <c r="Q290" s="19">
        <f t="shared" si="59"/>
        <v>1.55</v>
      </c>
      <c r="R290" s="2" t="str">
        <f t="shared" si="60"/>
        <v>Number</v>
      </c>
      <c r="S290" s="2">
        <v>4.99</v>
      </c>
      <c r="T290" s="19">
        <f t="shared" si="61"/>
        <v>4.99</v>
      </c>
      <c r="U290" s="2">
        <v>18.93</v>
      </c>
      <c r="V290" s="19">
        <f t="shared" si="62"/>
        <v>18.93</v>
      </c>
      <c r="W290" s="19">
        <f t="shared" si="63"/>
        <v>18.93</v>
      </c>
      <c r="X290" s="19" t="str">
        <f t="shared" si="64"/>
        <v>True</v>
      </c>
      <c r="Y290" s="19" t="str">
        <f>IF(OR(W290&lt;'Cleaning Tasks'!$G$18,W290&gt;'Cleaning Tasks'!$H$18),"Outlier","Normal")</f>
        <v>Normal</v>
      </c>
      <c r="Z290" s="2" t="s">
        <v>49</v>
      </c>
      <c r="AA290" s="2" t="s">
        <v>27</v>
      </c>
      <c r="AB290" s="2" t="s">
        <v>28</v>
      </c>
      <c r="AC290" s="2" t="s">
        <v>29</v>
      </c>
      <c r="AD290" s="2" t="s">
        <v>30</v>
      </c>
      <c r="AE290" s="2" t="str">
        <f t="shared" si="65"/>
        <v>Valid</v>
      </c>
      <c r="AF290" s="2" t="s">
        <v>1125</v>
      </c>
    </row>
    <row r="291" spans="1:32" x14ac:dyDescent="0.3">
      <c r="A291" s="2" t="s">
        <v>1126</v>
      </c>
      <c r="B291" s="2">
        <f t="shared" si="55"/>
        <v>1</v>
      </c>
      <c r="C291" s="12">
        <f t="shared" si="66"/>
        <v>46238.585694224537</v>
      </c>
      <c r="D291" s="13">
        <v>46238.585694224537</v>
      </c>
      <c r="E291" s="2" t="s">
        <v>1127</v>
      </c>
      <c r="F291" s="2" t="str">
        <f t="shared" si="56"/>
        <v>Email Available</v>
      </c>
      <c r="G291" s="2" t="s">
        <v>1128</v>
      </c>
      <c r="H291" s="2" t="s">
        <v>63</v>
      </c>
      <c r="I291" s="2" t="s">
        <v>47</v>
      </c>
      <c r="J291" s="2" t="s">
        <v>64</v>
      </c>
      <c r="K291" s="2">
        <v>1</v>
      </c>
      <c r="L291" s="2">
        <v>14.99</v>
      </c>
      <c r="M291" s="19">
        <f t="shared" si="57"/>
        <v>14.99</v>
      </c>
      <c r="N291" s="2" t="s">
        <v>118</v>
      </c>
      <c r="O291" s="2" t="str">
        <f t="shared" si="58"/>
        <v>BFCM25</v>
      </c>
      <c r="P291" s="2">
        <v>3.75</v>
      </c>
      <c r="Q291" s="19">
        <f t="shared" si="59"/>
        <v>3.75</v>
      </c>
      <c r="R291" s="2" t="str">
        <f t="shared" si="60"/>
        <v>Number</v>
      </c>
      <c r="S291" s="2">
        <v>4.99</v>
      </c>
      <c r="T291" s="19">
        <f t="shared" si="61"/>
        <v>4.99</v>
      </c>
      <c r="U291" s="2">
        <v>16.23</v>
      </c>
      <c r="V291" s="19">
        <f t="shared" si="62"/>
        <v>16.23</v>
      </c>
      <c r="W291" s="19">
        <f t="shared" si="63"/>
        <v>16.23</v>
      </c>
      <c r="X291" s="19" t="str">
        <f t="shared" si="64"/>
        <v>True</v>
      </c>
      <c r="Y291" s="19" t="str">
        <f>IF(OR(W291&lt;'Cleaning Tasks'!$G$18,W291&gt;'Cleaning Tasks'!$H$18),"Outlier","Normal")</f>
        <v>Normal</v>
      </c>
      <c r="Z291" s="2" t="s">
        <v>66</v>
      </c>
      <c r="AA291" s="2" t="s">
        <v>88</v>
      </c>
      <c r="AB291" s="2" t="s">
        <v>50</v>
      </c>
      <c r="AC291" s="2" t="s">
        <v>29</v>
      </c>
      <c r="AD291" s="22" t="s">
        <v>243</v>
      </c>
      <c r="AE291" s="2" t="str">
        <f t="shared" si="65"/>
        <v>Valid</v>
      </c>
      <c r="AF291" s="2" t="s">
        <v>1129</v>
      </c>
    </row>
    <row r="292" spans="1:32" x14ac:dyDescent="0.3">
      <c r="A292" s="2" t="s">
        <v>1130</v>
      </c>
      <c r="B292" s="2">
        <f t="shared" si="55"/>
        <v>1</v>
      </c>
      <c r="C292" s="12">
        <f t="shared" si="66"/>
        <v>46238.588949282414</v>
      </c>
      <c r="D292" s="13">
        <v>46238.588949282414</v>
      </c>
      <c r="E292" s="2" t="s">
        <v>1131</v>
      </c>
      <c r="F292" s="2" t="str">
        <f t="shared" si="56"/>
        <v>Email Available</v>
      </c>
      <c r="G292" s="2" t="s">
        <v>474</v>
      </c>
      <c r="H292" s="2" t="s">
        <v>267</v>
      </c>
      <c r="I292" s="2" t="s">
        <v>22</v>
      </c>
      <c r="J292" s="2" t="s">
        <v>268</v>
      </c>
      <c r="K292" s="2">
        <v>2</v>
      </c>
      <c r="L292" s="2">
        <v>18.989999999999998</v>
      </c>
      <c r="M292" s="19">
        <f t="shared" si="57"/>
        <v>18.989999999999998</v>
      </c>
      <c r="N292" s="2"/>
      <c r="O292" s="2" t="str">
        <f t="shared" si="58"/>
        <v/>
      </c>
      <c r="P292" s="2">
        <v>0</v>
      </c>
      <c r="Q292" s="19">
        <f t="shared" si="59"/>
        <v>0</v>
      </c>
      <c r="R292" s="2" t="str">
        <f t="shared" si="60"/>
        <v>Number</v>
      </c>
      <c r="S292" s="2">
        <v>5.99</v>
      </c>
      <c r="T292" s="19">
        <f t="shared" si="61"/>
        <v>5.99</v>
      </c>
      <c r="U292" s="2" t="s">
        <v>1132</v>
      </c>
      <c r="V292" s="19">
        <f t="shared" si="62"/>
        <v>43.97</v>
      </c>
      <c r="W292" s="19">
        <f t="shared" si="63"/>
        <v>43.97</v>
      </c>
      <c r="X292" s="19" t="str">
        <f t="shared" si="64"/>
        <v>True</v>
      </c>
      <c r="Y292" s="19" t="str">
        <f>IF(OR(W292&lt;'Cleaning Tasks'!$G$18,W292&gt;'Cleaning Tasks'!$H$18),"Outlier","Normal")</f>
        <v>Normal</v>
      </c>
      <c r="Z292" s="2" t="s">
        <v>49</v>
      </c>
      <c r="AA292" s="2" t="s">
        <v>27</v>
      </c>
      <c r="AB292" s="2" t="s">
        <v>50</v>
      </c>
      <c r="AC292" s="2" t="s">
        <v>73</v>
      </c>
      <c r="AD292" s="2"/>
      <c r="AE292" s="2" t="str">
        <f t="shared" si="65"/>
        <v>Not Required</v>
      </c>
      <c r="AF292" s="2" t="s">
        <v>1133</v>
      </c>
    </row>
    <row r="293" spans="1:32" x14ac:dyDescent="0.3">
      <c r="A293" s="2" t="s">
        <v>1134</v>
      </c>
      <c r="B293" s="2">
        <f t="shared" si="55"/>
        <v>1</v>
      </c>
      <c r="C293" s="12">
        <f t="shared" si="66"/>
        <v>46238.58202037037</v>
      </c>
      <c r="D293" s="13">
        <v>46238.58202037037</v>
      </c>
      <c r="E293" s="2" t="s">
        <v>100</v>
      </c>
      <c r="F293" s="2" t="str">
        <f t="shared" si="56"/>
        <v>Email Available</v>
      </c>
      <c r="G293" s="2" t="s">
        <v>101</v>
      </c>
      <c r="H293" s="2" t="s">
        <v>56</v>
      </c>
      <c r="I293" s="2" t="s">
        <v>22</v>
      </c>
      <c r="J293" s="2" t="s">
        <v>57</v>
      </c>
      <c r="K293" s="2">
        <v>1</v>
      </c>
      <c r="L293" s="2">
        <v>9.99</v>
      </c>
      <c r="M293" s="19">
        <f t="shared" si="57"/>
        <v>9.99</v>
      </c>
      <c r="N293" s="2" t="s">
        <v>1124</v>
      </c>
      <c r="O293" s="2" t="str">
        <f t="shared" si="58"/>
        <v>WELCOME10</v>
      </c>
      <c r="P293" s="2">
        <v>1</v>
      </c>
      <c r="Q293" s="19">
        <f t="shared" si="59"/>
        <v>1</v>
      </c>
      <c r="R293" s="2" t="str">
        <f t="shared" si="60"/>
        <v>Number</v>
      </c>
      <c r="S293" s="2">
        <v>4.99</v>
      </c>
      <c r="T293" s="19">
        <f t="shared" si="61"/>
        <v>4.99</v>
      </c>
      <c r="U293" s="2" t="s">
        <v>1135</v>
      </c>
      <c r="V293" s="19">
        <f t="shared" si="62"/>
        <v>13.98</v>
      </c>
      <c r="W293" s="19">
        <f t="shared" si="63"/>
        <v>13.98</v>
      </c>
      <c r="X293" s="19" t="str">
        <f t="shared" si="64"/>
        <v>True</v>
      </c>
      <c r="Y293" s="19" t="str">
        <f>IF(OR(W293&lt;'Cleaning Tasks'!$G$18,W293&gt;'Cleaning Tasks'!$H$18),"Outlier","Normal")</f>
        <v>Normal</v>
      </c>
      <c r="Z293" s="2" t="s">
        <v>39</v>
      </c>
      <c r="AA293" s="2" t="s">
        <v>88</v>
      </c>
      <c r="AB293" s="2" t="s">
        <v>41</v>
      </c>
      <c r="AC293" s="2" t="s">
        <v>105</v>
      </c>
      <c r="AD293" s="2"/>
      <c r="AE293" s="2" t="str">
        <f t="shared" si="65"/>
        <v>Not Required</v>
      </c>
      <c r="AF293" s="2" t="s">
        <v>1136</v>
      </c>
    </row>
    <row r="294" spans="1:32" x14ac:dyDescent="0.3">
      <c r="A294" s="2" t="s">
        <v>1137</v>
      </c>
      <c r="B294" s="2">
        <f t="shared" si="55"/>
        <v>1</v>
      </c>
      <c r="C294" s="12">
        <f t="shared" si="66"/>
        <v>46238.582779918979</v>
      </c>
      <c r="D294" s="13">
        <v>46238.582779918979</v>
      </c>
      <c r="E294" s="2" t="s">
        <v>1138</v>
      </c>
      <c r="F294" s="2" t="str">
        <f t="shared" si="56"/>
        <v>Email Available</v>
      </c>
      <c r="G294" s="2" t="s">
        <v>1139</v>
      </c>
      <c r="H294" s="2" t="s">
        <v>190</v>
      </c>
      <c r="I294" s="2" t="s">
        <v>191</v>
      </c>
      <c r="J294" s="2" t="s">
        <v>192</v>
      </c>
      <c r="K294" s="2">
        <v>1</v>
      </c>
      <c r="L294" s="2">
        <v>13.49</v>
      </c>
      <c r="M294" s="19">
        <f t="shared" si="57"/>
        <v>13.49</v>
      </c>
      <c r="N294" s="2" t="s">
        <v>65</v>
      </c>
      <c r="O294" s="2" t="str">
        <f t="shared" si="58"/>
        <v>WELCOME10</v>
      </c>
      <c r="P294" s="2">
        <v>1.35</v>
      </c>
      <c r="Q294" s="19">
        <f t="shared" si="59"/>
        <v>1.35</v>
      </c>
      <c r="R294" s="2" t="str">
        <f t="shared" si="60"/>
        <v>Number</v>
      </c>
      <c r="S294" s="2">
        <v>4.99</v>
      </c>
      <c r="T294" s="19">
        <f t="shared" si="61"/>
        <v>4.99</v>
      </c>
      <c r="U294" s="2" t="s">
        <v>1140</v>
      </c>
      <c r="V294" s="19">
        <f t="shared" si="62"/>
        <v>17.13</v>
      </c>
      <c r="W294" s="19">
        <f t="shared" si="63"/>
        <v>17.130000000000003</v>
      </c>
      <c r="X294" s="19" t="str">
        <f t="shared" si="64"/>
        <v>True</v>
      </c>
      <c r="Y294" s="19" t="str">
        <f>IF(OR(W294&lt;'Cleaning Tasks'!$G$18,W294&gt;'Cleaning Tasks'!$H$18),"Outlier","Normal")</f>
        <v>Normal</v>
      </c>
      <c r="Z294" s="2" t="s">
        <v>72</v>
      </c>
      <c r="AA294" s="2" t="s">
        <v>27</v>
      </c>
      <c r="AB294" s="2" t="s">
        <v>50</v>
      </c>
      <c r="AC294" s="2" t="s">
        <v>29</v>
      </c>
      <c r="AD294" s="2" t="s">
        <v>30</v>
      </c>
      <c r="AE294" s="2" t="str">
        <f t="shared" si="65"/>
        <v>Valid</v>
      </c>
      <c r="AF294" s="2" t="s">
        <v>1141</v>
      </c>
    </row>
    <row r="295" spans="1:32" x14ac:dyDescent="0.3">
      <c r="A295" s="2" t="s">
        <v>1142</v>
      </c>
      <c r="B295" s="2">
        <f t="shared" si="55"/>
        <v>1</v>
      </c>
      <c r="C295" s="12">
        <f t="shared" si="66"/>
        <v>46238.580669236107</v>
      </c>
      <c r="D295" s="13">
        <v>46238.580669236107</v>
      </c>
      <c r="E295" s="2" t="s">
        <v>366</v>
      </c>
      <c r="F295" s="2" t="str">
        <f t="shared" si="56"/>
        <v>Email Available</v>
      </c>
      <c r="G295" s="2" t="s">
        <v>367</v>
      </c>
      <c r="H295" s="2" t="s">
        <v>201</v>
      </c>
      <c r="I295" s="2" t="s">
        <v>191</v>
      </c>
      <c r="J295" s="2" t="s">
        <v>202</v>
      </c>
      <c r="K295" s="2">
        <v>2</v>
      </c>
      <c r="L295" s="2">
        <v>24.99</v>
      </c>
      <c r="M295" s="19">
        <f t="shared" si="57"/>
        <v>24.99</v>
      </c>
      <c r="N295" s="2" t="s">
        <v>65</v>
      </c>
      <c r="O295" s="2" t="str">
        <f t="shared" si="58"/>
        <v>WELCOME10</v>
      </c>
      <c r="P295" s="2" t="s">
        <v>919</v>
      </c>
      <c r="Q295" s="19">
        <f t="shared" si="59"/>
        <v>5</v>
      </c>
      <c r="R295" s="2" t="str">
        <f t="shared" si="60"/>
        <v>Number</v>
      </c>
      <c r="S295" s="2">
        <v>4.99</v>
      </c>
      <c r="T295" s="19">
        <f t="shared" si="61"/>
        <v>4.99</v>
      </c>
      <c r="U295" s="2">
        <v>49.97</v>
      </c>
      <c r="V295" s="19">
        <f t="shared" si="62"/>
        <v>49.97</v>
      </c>
      <c r="W295" s="19">
        <f t="shared" si="63"/>
        <v>49.97</v>
      </c>
      <c r="X295" s="19" t="str">
        <f t="shared" si="64"/>
        <v>True</v>
      </c>
      <c r="Y295" s="19" t="str">
        <f>IF(OR(W295&lt;'Cleaning Tasks'!$G$18,W295&gt;'Cleaning Tasks'!$H$18),"Outlier","Normal")</f>
        <v>Normal</v>
      </c>
      <c r="Z295" s="2" t="s">
        <v>66</v>
      </c>
      <c r="AA295" s="2" t="s">
        <v>27</v>
      </c>
      <c r="AB295" s="2" t="s">
        <v>96</v>
      </c>
      <c r="AC295" s="2" t="s">
        <v>331</v>
      </c>
      <c r="AD295" s="2"/>
      <c r="AE295" s="2" t="str">
        <f t="shared" si="65"/>
        <v>Not Required</v>
      </c>
      <c r="AF295" s="2" t="s">
        <v>1143</v>
      </c>
    </row>
    <row r="296" spans="1:32" x14ac:dyDescent="0.3">
      <c r="A296" s="2" t="s">
        <v>1144</v>
      </c>
      <c r="B296" s="2">
        <f t="shared" si="55"/>
        <v>1</v>
      </c>
      <c r="C296" s="12">
        <f>DATE(VALUE(RIGHT(D296,4)),MATCH(LEFT(D296,3),{"Jan","Feb","Mar","Apr","May","Jun","Jul","Aug","Sep","Oct","Nov","Dec"},0),VALUE(MID(D296,5,2)))</f>
        <v>46238</v>
      </c>
      <c r="D296" s="13" t="s">
        <v>171</v>
      </c>
      <c r="E296" s="2" t="s">
        <v>602</v>
      </c>
      <c r="F296" s="2" t="str">
        <f t="shared" si="56"/>
        <v>Email Available</v>
      </c>
      <c r="G296" s="2" t="s">
        <v>603</v>
      </c>
      <c r="H296" s="2" t="s">
        <v>46</v>
      </c>
      <c r="I296" s="2" t="s">
        <v>47</v>
      </c>
      <c r="J296" s="2" t="s">
        <v>48</v>
      </c>
      <c r="K296" s="2">
        <v>1</v>
      </c>
      <c r="L296" s="2">
        <v>39.99</v>
      </c>
      <c r="M296" s="19">
        <f t="shared" si="57"/>
        <v>39.99</v>
      </c>
      <c r="N296" s="2" t="s">
        <v>65</v>
      </c>
      <c r="O296" s="2" t="str">
        <f t="shared" si="58"/>
        <v>WELCOME10</v>
      </c>
      <c r="P296" s="2">
        <v>4</v>
      </c>
      <c r="Q296" s="19">
        <f t="shared" si="59"/>
        <v>4</v>
      </c>
      <c r="R296" s="2" t="str">
        <f t="shared" si="60"/>
        <v>Number</v>
      </c>
      <c r="S296" s="2">
        <v>7.99</v>
      </c>
      <c r="T296" s="19">
        <f t="shared" si="61"/>
        <v>7.99</v>
      </c>
      <c r="U296" s="2">
        <v>43.98</v>
      </c>
      <c r="V296" s="19">
        <f t="shared" si="62"/>
        <v>43.98</v>
      </c>
      <c r="W296" s="19">
        <f t="shared" si="63"/>
        <v>43.980000000000004</v>
      </c>
      <c r="X296" s="19" t="str">
        <f t="shared" si="64"/>
        <v>True</v>
      </c>
      <c r="Y296" s="19" t="str">
        <f>IF(OR(W296&lt;'Cleaning Tasks'!$G$18,W296&gt;'Cleaning Tasks'!$H$18),"Outlier","Normal")</f>
        <v>Normal</v>
      </c>
      <c r="Z296" s="2" t="s">
        <v>49</v>
      </c>
      <c r="AA296" s="2" t="s">
        <v>40</v>
      </c>
      <c r="AB296" s="2" t="s">
        <v>50</v>
      </c>
      <c r="AC296" s="2" t="s">
        <v>42</v>
      </c>
      <c r="AD296" s="2"/>
      <c r="AE296" s="2" t="str">
        <f t="shared" si="65"/>
        <v>Not Required</v>
      </c>
      <c r="AF296" s="2" t="s">
        <v>1145</v>
      </c>
    </row>
    <row r="297" spans="1:32" x14ac:dyDescent="0.3">
      <c r="A297" s="2" t="s">
        <v>1146</v>
      </c>
      <c r="B297" s="2">
        <f t="shared" si="55"/>
        <v>1</v>
      </c>
      <c r="C297" s="12">
        <f t="shared" ref="C297:C328" si="67">IF(ISNUMBER(D297),D297,DATEVALUE(SUBSTITUTE(TRIM(D297),CHAR(160)," ")))</f>
        <v>46238</v>
      </c>
      <c r="D297" s="13" t="s">
        <v>1147</v>
      </c>
      <c r="E297" s="2" t="s">
        <v>213</v>
      </c>
      <c r="F297" s="2" t="str">
        <f t="shared" si="56"/>
        <v>Email Available</v>
      </c>
      <c r="G297" s="2" t="s">
        <v>214</v>
      </c>
      <c r="H297" s="2" t="s">
        <v>117</v>
      </c>
      <c r="I297" s="2" t="s">
        <v>22</v>
      </c>
      <c r="J297" s="2" t="s">
        <v>23</v>
      </c>
      <c r="K297" s="2">
        <v>1</v>
      </c>
      <c r="L297" s="2" t="s">
        <v>1148</v>
      </c>
      <c r="M297" s="19">
        <f t="shared" si="57"/>
        <v>12.99</v>
      </c>
      <c r="N297" s="2"/>
      <c r="O297" s="2" t="str">
        <f t="shared" si="58"/>
        <v/>
      </c>
      <c r="P297" s="2">
        <v>0</v>
      </c>
      <c r="Q297" s="19">
        <f t="shared" si="59"/>
        <v>0</v>
      </c>
      <c r="R297" s="2" t="str">
        <f t="shared" si="60"/>
        <v>Number</v>
      </c>
      <c r="S297" s="2">
        <v>4.99</v>
      </c>
      <c r="T297" s="19">
        <f t="shared" si="61"/>
        <v>4.99</v>
      </c>
      <c r="U297" s="2">
        <v>17.98</v>
      </c>
      <c r="V297" s="19">
        <f t="shared" si="62"/>
        <v>17.98</v>
      </c>
      <c r="W297" s="19">
        <f t="shared" si="63"/>
        <v>17.98</v>
      </c>
      <c r="X297" s="19" t="str">
        <f t="shared" si="64"/>
        <v>True</v>
      </c>
      <c r="Y297" s="19" t="str">
        <f>IF(OR(W297&lt;'Cleaning Tasks'!$G$18,W297&gt;'Cleaning Tasks'!$H$18),"Outlier","Normal")</f>
        <v>Normal</v>
      </c>
      <c r="Z297" s="2" t="s">
        <v>26</v>
      </c>
      <c r="AA297" s="2" t="s">
        <v>111</v>
      </c>
      <c r="AB297" s="2" t="s">
        <v>50</v>
      </c>
      <c r="AC297" s="2" t="s">
        <v>29</v>
      </c>
      <c r="AD297" s="2" t="s">
        <v>51</v>
      </c>
      <c r="AE297" s="2" t="str">
        <f t="shared" si="65"/>
        <v>Valid</v>
      </c>
      <c r="AF297" s="2" t="s">
        <v>1149</v>
      </c>
    </row>
    <row r="298" spans="1:32" x14ac:dyDescent="0.3">
      <c r="A298" s="2" t="s">
        <v>1150</v>
      </c>
      <c r="B298" s="2">
        <f t="shared" si="55"/>
        <v>1</v>
      </c>
      <c r="C298" s="12">
        <f t="shared" si="67"/>
        <v>46238.586429791663</v>
      </c>
      <c r="D298" s="13">
        <v>46238.586429791663</v>
      </c>
      <c r="E298" s="2" t="s">
        <v>1151</v>
      </c>
      <c r="F298" s="2" t="str">
        <f t="shared" si="56"/>
        <v>Email Available</v>
      </c>
      <c r="G298" s="2" t="s">
        <v>1152</v>
      </c>
      <c r="H298" s="2" t="s">
        <v>56</v>
      </c>
      <c r="I298" s="2" t="s">
        <v>22</v>
      </c>
      <c r="J298" s="2" t="s">
        <v>57</v>
      </c>
      <c r="K298" s="2">
        <v>1</v>
      </c>
      <c r="L298" s="2">
        <v>9.99</v>
      </c>
      <c r="M298" s="19">
        <f t="shared" si="57"/>
        <v>9.99</v>
      </c>
      <c r="N298" s="2" t="s">
        <v>24</v>
      </c>
      <c r="O298" s="2" t="str">
        <f t="shared" si="58"/>
        <v>SAVE20</v>
      </c>
      <c r="P298" s="2">
        <v>2</v>
      </c>
      <c r="Q298" s="19">
        <f t="shared" si="59"/>
        <v>2</v>
      </c>
      <c r="R298" s="2" t="str">
        <f t="shared" si="60"/>
        <v>Number</v>
      </c>
      <c r="S298" s="2">
        <v>4.99</v>
      </c>
      <c r="T298" s="19">
        <f t="shared" si="61"/>
        <v>4.99</v>
      </c>
      <c r="U298" s="2">
        <v>12.98</v>
      </c>
      <c r="V298" s="19">
        <f t="shared" si="62"/>
        <v>12.98</v>
      </c>
      <c r="W298" s="19">
        <f t="shared" si="63"/>
        <v>12.98</v>
      </c>
      <c r="X298" s="19" t="str">
        <f t="shared" si="64"/>
        <v>True</v>
      </c>
      <c r="Y298" s="19" t="str">
        <f>IF(OR(W298&lt;'Cleaning Tasks'!$G$18,W298&gt;'Cleaning Tasks'!$H$18),"Outlier","Normal")</f>
        <v>Normal</v>
      </c>
      <c r="Z298" s="2" t="s">
        <v>66</v>
      </c>
      <c r="AA298" s="2" t="s">
        <v>27</v>
      </c>
      <c r="AB298" s="2" t="s">
        <v>50</v>
      </c>
      <c r="AC298" s="2" t="s">
        <v>29</v>
      </c>
      <c r="AD298" s="2" t="s">
        <v>112</v>
      </c>
      <c r="AE298" s="2" t="str">
        <f t="shared" si="65"/>
        <v>Valid</v>
      </c>
      <c r="AF298" s="2" t="s">
        <v>1153</v>
      </c>
    </row>
    <row r="299" spans="1:32" x14ac:dyDescent="0.3">
      <c r="A299" s="2" t="s">
        <v>1154</v>
      </c>
      <c r="B299" s="2">
        <f t="shared" si="55"/>
        <v>1</v>
      </c>
      <c r="C299" s="12">
        <f t="shared" si="67"/>
        <v>46238.588519386583</v>
      </c>
      <c r="D299" s="13">
        <v>46238.588519386583</v>
      </c>
      <c r="E299" s="2" t="s">
        <v>287</v>
      </c>
      <c r="F299" s="2" t="str">
        <f t="shared" si="56"/>
        <v>Email Available</v>
      </c>
      <c r="G299" s="2" t="s">
        <v>288</v>
      </c>
      <c r="H299" s="2" t="s">
        <v>146</v>
      </c>
      <c r="I299" s="2" t="s">
        <v>47</v>
      </c>
      <c r="J299" s="2" t="s">
        <v>147</v>
      </c>
      <c r="K299" s="2">
        <v>1</v>
      </c>
      <c r="L299" s="2">
        <v>34.99</v>
      </c>
      <c r="M299" s="19">
        <f t="shared" si="57"/>
        <v>34.99</v>
      </c>
      <c r="N299" s="2"/>
      <c r="O299" s="2" t="str">
        <f t="shared" si="58"/>
        <v/>
      </c>
      <c r="P299" s="2">
        <v>0</v>
      </c>
      <c r="Q299" s="19">
        <f t="shared" si="59"/>
        <v>0</v>
      </c>
      <c r="R299" s="2" t="str">
        <f t="shared" si="60"/>
        <v>Number</v>
      </c>
      <c r="S299" s="2">
        <v>7.99</v>
      </c>
      <c r="T299" s="19">
        <f t="shared" si="61"/>
        <v>7.99</v>
      </c>
      <c r="U299" s="2">
        <v>42.98</v>
      </c>
      <c r="V299" s="19">
        <f t="shared" si="62"/>
        <v>42.98</v>
      </c>
      <c r="W299" s="19">
        <f t="shared" si="63"/>
        <v>42.980000000000004</v>
      </c>
      <c r="X299" s="19" t="str">
        <f t="shared" si="64"/>
        <v>True</v>
      </c>
      <c r="Y299" s="19" t="str">
        <f>IF(OR(W299&lt;'Cleaning Tasks'!$G$18,W299&gt;'Cleaning Tasks'!$H$18),"Outlier","Normal")</f>
        <v>Normal</v>
      </c>
      <c r="Z299" s="2" t="s">
        <v>39</v>
      </c>
      <c r="AA299" s="2" t="s">
        <v>111</v>
      </c>
      <c r="AB299" s="2" t="s">
        <v>28</v>
      </c>
      <c r="AC299" s="2" t="s">
        <v>29</v>
      </c>
      <c r="AD299" s="2" t="s">
        <v>51</v>
      </c>
      <c r="AE299" s="2" t="str">
        <f t="shared" si="65"/>
        <v>Valid</v>
      </c>
      <c r="AF299" s="2" t="s">
        <v>1155</v>
      </c>
    </row>
    <row r="300" spans="1:32" x14ac:dyDescent="0.3">
      <c r="A300" s="2" t="s">
        <v>1156</v>
      </c>
      <c r="B300" s="2">
        <f t="shared" si="55"/>
        <v>1</v>
      </c>
      <c r="C300" s="12">
        <f t="shared" si="67"/>
        <v>46238.579256076388</v>
      </c>
      <c r="D300" s="13">
        <v>46238.579256076388</v>
      </c>
      <c r="E300" s="2" t="s">
        <v>1157</v>
      </c>
      <c r="F300" s="2" t="str">
        <f t="shared" si="56"/>
        <v>Email Available</v>
      </c>
      <c r="G300" s="2" t="s">
        <v>1158</v>
      </c>
      <c r="H300" s="2" t="s">
        <v>124</v>
      </c>
      <c r="I300" s="2" t="s">
        <v>79</v>
      </c>
      <c r="J300" s="2" t="s">
        <v>125</v>
      </c>
      <c r="K300" s="2">
        <v>1</v>
      </c>
      <c r="L300" s="2" t="s">
        <v>1086</v>
      </c>
      <c r="M300" s="19">
        <f t="shared" si="57"/>
        <v>13.99</v>
      </c>
      <c r="N300" s="2"/>
      <c r="O300" s="2" t="str">
        <f t="shared" si="58"/>
        <v/>
      </c>
      <c r="P300" s="2">
        <v>0</v>
      </c>
      <c r="Q300" s="19">
        <f t="shared" si="59"/>
        <v>0</v>
      </c>
      <c r="R300" s="2" t="str">
        <f t="shared" si="60"/>
        <v>Number</v>
      </c>
      <c r="S300" s="2">
        <v>4.99</v>
      </c>
      <c r="T300" s="19">
        <f t="shared" si="61"/>
        <v>4.99</v>
      </c>
      <c r="U300" s="2">
        <v>18.98</v>
      </c>
      <c r="V300" s="19">
        <f t="shared" si="62"/>
        <v>18.98</v>
      </c>
      <c r="W300" s="19">
        <f t="shared" si="63"/>
        <v>18.98</v>
      </c>
      <c r="X300" s="19" t="str">
        <f t="shared" si="64"/>
        <v>True</v>
      </c>
      <c r="Y300" s="19" t="str">
        <f>IF(OR(W300&lt;'Cleaning Tasks'!$G$18,W300&gt;'Cleaning Tasks'!$H$18),"Outlier","Normal")</f>
        <v>Normal</v>
      </c>
      <c r="Z300" s="2" t="s">
        <v>49</v>
      </c>
      <c r="AA300" s="2" t="s">
        <v>111</v>
      </c>
      <c r="AB300" s="2" t="s">
        <v>50</v>
      </c>
      <c r="AC300" s="2" t="s">
        <v>42</v>
      </c>
      <c r="AD300" s="2"/>
      <c r="AE300" s="2" t="str">
        <f t="shared" si="65"/>
        <v>Not Required</v>
      </c>
      <c r="AF300" s="2" t="s">
        <v>1159</v>
      </c>
    </row>
    <row r="301" spans="1:32" x14ac:dyDescent="0.3">
      <c r="A301" s="2" t="s">
        <v>1160</v>
      </c>
      <c r="B301" s="2">
        <f t="shared" si="55"/>
        <v>1</v>
      </c>
      <c r="C301" s="12">
        <f t="shared" si="67"/>
        <v>46238.583787719908</v>
      </c>
      <c r="D301" s="13">
        <v>46238.583787719908</v>
      </c>
      <c r="E301" s="2" t="s">
        <v>347</v>
      </c>
      <c r="F301" s="2" t="str">
        <f t="shared" si="56"/>
        <v>Email Available</v>
      </c>
      <c r="G301" s="2" t="s">
        <v>348</v>
      </c>
      <c r="H301" s="2" t="s">
        <v>361</v>
      </c>
      <c r="I301" s="2" t="s">
        <v>86</v>
      </c>
      <c r="J301" s="2" t="s">
        <v>362</v>
      </c>
      <c r="K301" s="2">
        <v>1</v>
      </c>
      <c r="L301" s="2">
        <v>54.99</v>
      </c>
      <c r="M301" s="19">
        <f t="shared" si="57"/>
        <v>54.99</v>
      </c>
      <c r="N301" s="2"/>
      <c r="O301" s="2" t="str">
        <f t="shared" si="58"/>
        <v/>
      </c>
      <c r="P301" s="2">
        <v>0</v>
      </c>
      <c r="Q301" s="19">
        <f t="shared" si="59"/>
        <v>0</v>
      </c>
      <c r="R301" s="2" t="str">
        <f t="shared" si="60"/>
        <v>Number</v>
      </c>
      <c r="S301" s="2">
        <v>7.99</v>
      </c>
      <c r="T301" s="19">
        <f t="shared" si="61"/>
        <v>7.99</v>
      </c>
      <c r="U301" s="2">
        <v>62.98</v>
      </c>
      <c r="V301" s="19">
        <f t="shared" si="62"/>
        <v>62.98</v>
      </c>
      <c r="W301" s="19">
        <f t="shared" si="63"/>
        <v>62.980000000000004</v>
      </c>
      <c r="X301" s="19" t="str">
        <f t="shared" si="64"/>
        <v>True</v>
      </c>
      <c r="Y301" s="19" t="str">
        <f>IF(OR(W301&lt;'Cleaning Tasks'!$G$18,W301&gt;'Cleaning Tasks'!$H$18),"Outlier","Normal")</f>
        <v>Normal</v>
      </c>
      <c r="Z301" s="2" t="s">
        <v>39</v>
      </c>
      <c r="AA301" s="2" t="s">
        <v>88</v>
      </c>
      <c r="AB301" s="2" t="s">
        <v>96</v>
      </c>
      <c r="AC301" s="2" t="s">
        <v>223</v>
      </c>
      <c r="AD301" s="2"/>
      <c r="AE301" s="2" t="str">
        <f t="shared" si="65"/>
        <v>Not Required</v>
      </c>
      <c r="AF301" s="2" t="s">
        <v>1161</v>
      </c>
    </row>
    <row r="302" spans="1:32" x14ac:dyDescent="0.3">
      <c r="A302" s="2" t="s">
        <v>1162</v>
      </c>
      <c r="B302" s="2">
        <f t="shared" si="55"/>
        <v>1</v>
      </c>
      <c r="C302" s="12">
        <f t="shared" si="67"/>
        <v>46238.588957476852</v>
      </c>
      <c r="D302" s="13">
        <v>46238.588957476852</v>
      </c>
      <c r="E302" s="2" t="s">
        <v>557</v>
      </c>
      <c r="F302" s="2" t="str">
        <f t="shared" si="56"/>
        <v>Email Available</v>
      </c>
      <c r="G302" s="2" t="s">
        <v>558</v>
      </c>
      <c r="H302" s="2" t="s">
        <v>236</v>
      </c>
      <c r="I302" s="2" t="s">
        <v>237</v>
      </c>
      <c r="J302" s="2" t="s">
        <v>238</v>
      </c>
      <c r="K302" s="2">
        <v>1</v>
      </c>
      <c r="L302" s="2">
        <v>27.99</v>
      </c>
      <c r="M302" s="19">
        <f t="shared" si="57"/>
        <v>27.99</v>
      </c>
      <c r="N302" s="2" t="s">
        <v>65</v>
      </c>
      <c r="O302" s="2" t="str">
        <f t="shared" si="58"/>
        <v>WELCOME10</v>
      </c>
      <c r="P302" s="2">
        <v>2.8</v>
      </c>
      <c r="Q302" s="19">
        <f t="shared" si="59"/>
        <v>2.8</v>
      </c>
      <c r="R302" s="2" t="str">
        <f t="shared" si="60"/>
        <v>Number</v>
      </c>
      <c r="S302" s="2">
        <v>5.99</v>
      </c>
      <c r="T302" s="19">
        <f t="shared" si="61"/>
        <v>5.99</v>
      </c>
      <c r="U302" s="2">
        <v>31.18</v>
      </c>
      <c r="V302" s="19">
        <f t="shared" si="62"/>
        <v>31.18</v>
      </c>
      <c r="W302" s="19">
        <f t="shared" si="63"/>
        <v>31.18</v>
      </c>
      <c r="X302" s="19" t="str">
        <f t="shared" si="64"/>
        <v>True</v>
      </c>
      <c r="Y302" s="19" t="str">
        <f>IF(OR(W302&lt;'Cleaning Tasks'!$G$18,W302&gt;'Cleaning Tasks'!$H$18),"Outlier","Normal")</f>
        <v>Normal</v>
      </c>
      <c r="Z302" s="2" t="s">
        <v>26</v>
      </c>
      <c r="AA302" s="2" t="s">
        <v>27</v>
      </c>
      <c r="AB302" s="2" t="s">
        <v>41</v>
      </c>
      <c r="AC302" s="2" t="s">
        <v>42</v>
      </c>
      <c r="AD302" s="2"/>
      <c r="AE302" s="2" t="str">
        <f t="shared" si="65"/>
        <v>Not Required</v>
      </c>
      <c r="AF302" s="2" t="s">
        <v>1163</v>
      </c>
    </row>
    <row r="303" spans="1:32" x14ac:dyDescent="0.3">
      <c r="A303" s="2" t="s">
        <v>1164</v>
      </c>
      <c r="B303" s="2">
        <f t="shared" si="55"/>
        <v>1</v>
      </c>
      <c r="C303" s="12">
        <f t="shared" si="67"/>
        <v>46238</v>
      </c>
      <c r="D303" s="13">
        <v>46238</v>
      </c>
      <c r="E303" s="2" t="s">
        <v>413</v>
      </c>
      <c r="F303" s="2" t="str">
        <f t="shared" si="56"/>
        <v>Email Available</v>
      </c>
      <c r="G303" s="2" t="s">
        <v>414</v>
      </c>
      <c r="H303" s="2" t="s">
        <v>117</v>
      </c>
      <c r="I303" s="2" t="s">
        <v>22</v>
      </c>
      <c r="J303" s="2" t="s">
        <v>23</v>
      </c>
      <c r="K303" s="2">
        <v>1</v>
      </c>
      <c r="L303" s="2">
        <v>12.99</v>
      </c>
      <c r="M303" s="19">
        <f t="shared" si="57"/>
        <v>12.99</v>
      </c>
      <c r="N303" s="2" t="s">
        <v>1165</v>
      </c>
      <c r="O303" s="2" t="str">
        <f t="shared" si="58"/>
        <v>BFCM25</v>
      </c>
      <c r="P303" s="2">
        <v>3.25</v>
      </c>
      <c r="Q303" s="19">
        <f t="shared" si="59"/>
        <v>3.25</v>
      </c>
      <c r="R303" s="2" t="str">
        <f t="shared" si="60"/>
        <v>Number</v>
      </c>
      <c r="S303" s="2">
        <v>5.99</v>
      </c>
      <c r="T303" s="19">
        <f t="shared" si="61"/>
        <v>5.99</v>
      </c>
      <c r="U303" s="2" t="s">
        <v>1166</v>
      </c>
      <c r="V303" s="19">
        <f t="shared" si="62"/>
        <v>15.73</v>
      </c>
      <c r="W303" s="19">
        <f t="shared" si="63"/>
        <v>15.73</v>
      </c>
      <c r="X303" s="19" t="str">
        <f t="shared" si="64"/>
        <v>True</v>
      </c>
      <c r="Y303" s="19" t="str">
        <f>IF(OR(W303&lt;'Cleaning Tasks'!$G$18,W303&gt;'Cleaning Tasks'!$H$18),"Outlier","Normal")</f>
        <v>Normal</v>
      </c>
      <c r="Z303" s="2" t="s">
        <v>66</v>
      </c>
      <c r="AA303" s="2" t="s">
        <v>27</v>
      </c>
      <c r="AB303" s="2" t="s">
        <v>50</v>
      </c>
      <c r="AC303" s="2" t="s">
        <v>331</v>
      </c>
      <c r="AD303" s="2"/>
      <c r="AE303" s="2" t="str">
        <f t="shared" si="65"/>
        <v>Not Required</v>
      </c>
      <c r="AF303" s="2" t="s">
        <v>1167</v>
      </c>
    </row>
    <row r="304" spans="1:32" x14ac:dyDescent="0.3">
      <c r="A304" s="2" t="s">
        <v>1168</v>
      </c>
      <c r="B304" s="2">
        <f t="shared" si="55"/>
        <v>1</v>
      </c>
      <c r="C304" s="12">
        <f t="shared" si="67"/>
        <v>46238</v>
      </c>
      <c r="D304" s="13">
        <v>46238</v>
      </c>
      <c r="E304" s="2" t="s">
        <v>885</v>
      </c>
      <c r="F304" s="2" t="str">
        <f t="shared" si="56"/>
        <v>Email Available</v>
      </c>
      <c r="G304" s="2" t="s">
        <v>886</v>
      </c>
      <c r="H304" s="2" t="s">
        <v>279</v>
      </c>
      <c r="I304" s="2" t="s">
        <v>22</v>
      </c>
      <c r="J304" s="2" t="s">
        <v>280</v>
      </c>
      <c r="K304" s="2">
        <v>1</v>
      </c>
      <c r="L304" s="2">
        <v>24.99</v>
      </c>
      <c r="M304" s="19">
        <f t="shared" si="57"/>
        <v>24.99</v>
      </c>
      <c r="N304" s="2" t="s">
        <v>203</v>
      </c>
      <c r="O304" s="2" t="str">
        <f t="shared" si="58"/>
        <v>VIP15</v>
      </c>
      <c r="P304" s="2">
        <v>3.75</v>
      </c>
      <c r="Q304" s="19">
        <f t="shared" si="59"/>
        <v>3.75</v>
      </c>
      <c r="R304" s="2" t="str">
        <f t="shared" si="60"/>
        <v>Number</v>
      </c>
      <c r="S304" s="2">
        <v>4.99</v>
      </c>
      <c r="T304" s="19">
        <f t="shared" si="61"/>
        <v>4.99</v>
      </c>
      <c r="U304" s="2">
        <v>26.23</v>
      </c>
      <c r="V304" s="19">
        <f t="shared" si="62"/>
        <v>26.23</v>
      </c>
      <c r="W304" s="19">
        <f t="shared" si="63"/>
        <v>26.229999999999997</v>
      </c>
      <c r="X304" s="19" t="str">
        <f t="shared" si="64"/>
        <v>True</v>
      </c>
      <c r="Y304" s="19" t="str">
        <f>IF(OR(W304&lt;'Cleaning Tasks'!$G$18,W304&gt;'Cleaning Tasks'!$H$18),"Outlier","Normal")</f>
        <v>Normal</v>
      </c>
      <c r="Z304" s="2" t="s">
        <v>72</v>
      </c>
      <c r="AA304" s="2" t="s">
        <v>27</v>
      </c>
      <c r="AB304" s="2" t="s">
        <v>50</v>
      </c>
      <c r="AC304" s="2" t="s">
        <v>331</v>
      </c>
      <c r="AD304" s="2"/>
      <c r="AE304" s="2" t="str">
        <f t="shared" si="65"/>
        <v>Not Required</v>
      </c>
      <c r="AF304" s="2" t="s">
        <v>1169</v>
      </c>
    </row>
    <row r="305" spans="1:32" x14ac:dyDescent="0.3">
      <c r="A305" s="2" t="s">
        <v>1170</v>
      </c>
      <c r="B305" s="2">
        <f t="shared" si="55"/>
        <v>1</v>
      </c>
      <c r="C305" s="12">
        <f t="shared" si="67"/>
        <v>46238.579529594906</v>
      </c>
      <c r="D305" s="13">
        <v>46238.579529594906</v>
      </c>
      <c r="E305" s="2" t="s">
        <v>673</v>
      </c>
      <c r="F305" s="2" t="str">
        <f t="shared" si="56"/>
        <v>Email Available</v>
      </c>
      <c r="G305" s="2" t="s">
        <v>674</v>
      </c>
      <c r="H305" s="2" t="s">
        <v>201</v>
      </c>
      <c r="I305" s="2" t="s">
        <v>191</v>
      </c>
      <c r="J305" s="2" t="s">
        <v>202</v>
      </c>
      <c r="K305" s="2">
        <v>1</v>
      </c>
      <c r="L305" s="2">
        <v>24.99</v>
      </c>
      <c r="M305" s="19">
        <f t="shared" si="57"/>
        <v>24.99</v>
      </c>
      <c r="N305" s="2" t="s">
        <v>24</v>
      </c>
      <c r="O305" s="2" t="str">
        <f t="shared" si="58"/>
        <v>SAVE20</v>
      </c>
      <c r="P305" s="2">
        <v>5</v>
      </c>
      <c r="Q305" s="19">
        <f t="shared" si="59"/>
        <v>5</v>
      </c>
      <c r="R305" s="2" t="str">
        <f t="shared" si="60"/>
        <v>Number</v>
      </c>
      <c r="S305" s="2">
        <v>4.99</v>
      </c>
      <c r="T305" s="19">
        <f t="shared" si="61"/>
        <v>4.99</v>
      </c>
      <c r="U305" s="2">
        <v>24.98</v>
      </c>
      <c r="V305" s="19">
        <f t="shared" si="62"/>
        <v>24.98</v>
      </c>
      <c r="W305" s="19">
        <f t="shared" si="63"/>
        <v>24.979999999999997</v>
      </c>
      <c r="X305" s="19" t="str">
        <f t="shared" si="64"/>
        <v>True</v>
      </c>
      <c r="Y305" s="19" t="str">
        <f>IF(OR(W305&lt;'Cleaning Tasks'!$G$18,W305&gt;'Cleaning Tasks'!$H$18),"Outlier","Normal")</f>
        <v>Normal</v>
      </c>
      <c r="Z305" s="2" t="s">
        <v>26</v>
      </c>
      <c r="AA305" s="2" t="s">
        <v>27</v>
      </c>
      <c r="AB305" s="2" t="s">
        <v>50</v>
      </c>
      <c r="AC305" s="2" t="s">
        <v>73</v>
      </c>
      <c r="AD305" s="2"/>
      <c r="AE305" s="2" t="str">
        <f t="shared" si="65"/>
        <v>Not Required</v>
      </c>
      <c r="AF305" s="2" t="s">
        <v>1171</v>
      </c>
    </row>
    <row r="306" spans="1:32" x14ac:dyDescent="0.3">
      <c r="A306" s="2" t="s">
        <v>1172</v>
      </c>
      <c r="B306" s="2">
        <f t="shared" si="55"/>
        <v>1</v>
      </c>
      <c r="C306" s="12">
        <f t="shared" si="67"/>
        <v>46238.586282314813</v>
      </c>
      <c r="D306" s="13">
        <v>46238.586282314813</v>
      </c>
      <c r="E306" s="2" t="s">
        <v>1173</v>
      </c>
      <c r="F306" s="2" t="str">
        <f t="shared" si="56"/>
        <v>Email Available</v>
      </c>
      <c r="G306" s="2" t="s">
        <v>1174</v>
      </c>
      <c r="H306" s="2" t="s">
        <v>130</v>
      </c>
      <c r="I306" s="2" t="s">
        <v>103</v>
      </c>
      <c r="J306" s="2" t="s">
        <v>131</v>
      </c>
      <c r="K306" s="2">
        <v>1</v>
      </c>
      <c r="L306" s="2">
        <v>16.989999999999998</v>
      </c>
      <c r="M306" s="19">
        <f t="shared" si="57"/>
        <v>16.989999999999998</v>
      </c>
      <c r="N306" s="2"/>
      <c r="O306" s="2" t="str">
        <f t="shared" si="58"/>
        <v/>
      </c>
      <c r="P306" s="2">
        <v>0</v>
      </c>
      <c r="Q306" s="19">
        <f t="shared" si="59"/>
        <v>0</v>
      </c>
      <c r="R306" s="2" t="str">
        <f t="shared" si="60"/>
        <v>Number</v>
      </c>
      <c r="S306" s="2">
        <v>5.99</v>
      </c>
      <c r="T306" s="19">
        <f t="shared" si="61"/>
        <v>5.99</v>
      </c>
      <c r="U306" s="2">
        <v>22.98</v>
      </c>
      <c r="V306" s="19">
        <f t="shared" si="62"/>
        <v>22.98</v>
      </c>
      <c r="W306" s="19">
        <f t="shared" si="63"/>
        <v>22.979999999999997</v>
      </c>
      <c r="X306" s="19" t="str">
        <f t="shared" si="64"/>
        <v>True</v>
      </c>
      <c r="Y306" s="19" t="str">
        <f>IF(OR(W306&lt;'Cleaning Tasks'!$G$18,W306&gt;'Cleaning Tasks'!$H$18),"Outlier","Normal")</f>
        <v>Normal</v>
      </c>
      <c r="Z306" s="2" t="s">
        <v>72</v>
      </c>
      <c r="AA306" s="2" t="s">
        <v>27</v>
      </c>
      <c r="AB306" s="2" t="s">
        <v>50</v>
      </c>
      <c r="AC306" s="2" t="s">
        <v>42</v>
      </c>
      <c r="AD306" s="2"/>
      <c r="AE306" s="2" t="str">
        <f t="shared" si="65"/>
        <v>Not Required</v>
      </c>
      <c r="AF306" s="2" t="s">
        <v>1175</v>
      </c>
    </row>
    <row r="307" spans="1:32" x14ac:dyDescent="0.3">
      <c r="A307" s="2" t="s">
        <v>1176</v>
      </c>
      <c r="B307" s="2">
        <f t="shared" si="55"/>
        <v>1</v>
      </c>
      <c r="C307" s="12">
        <f t="shared" si="67"/>
        <v>46238.587044120373</v>
      </c>
      <c r="D307" s="13">
        <v>46238.587044120373</v>
      </c>
      <c r="E307" s="2" t="s">
        <v>1177</v>
      </c>
      <c r="F307" s="2" t="str">
        <f t="shared" si="56"/>
        <v>Email Available</v>
      </c>
      <c r="G307" s="2" t="s">
        <v>1178</v>
      </c>
      <c r="H307" s="2" t="s">
        <v>221</v>
      </c>
      <c r="I307" s="2" t="s">
        <v>22</v>
      </c>
      <c r="J307" s="2" t="s">
        <v>222</v>
      </c>
      <c r="K307" s="2">
        <v>2</v>
      </c>
      <c r="L307" s="2">
        <v>17.989999999999998</v>
      </c>
      <c r="M307" s="19">
        <f t="shared" si="57"/>
        <v>17.989999999999998</v>
      </c>
      <c r="N307" s="2" t="s">
        <v>203</v>
      </c>
      <c r="O307" s="2" t="str">
        <f t="shared" si="58"/>
        <v>VIP15</v>
      </c>
      <c r="P307" s="2">
        <v>5.4</v>
      </c>
      <c r="Q307" s="19">
        <f t="shared" si="59"/>
        <v>5.4</v>
      </c>
      <c r="R307" s="2" t="str">
        <f t="shared" si="60"/>
        <v>Number</v>
      </c>
      <c r="S307" s="2">
        <v>7.99</v>
      </c>
      <c r="T307" s="19">
        <f t="shared" si="61"/>
        <v>7.99</v>
      </c>
      <c r="U307" s="2">
        <v>38.57</v>
      </c>
      <c r="V307" s="19">
        <f t="shared" si="62"/>
        <v>38.57</v>
      </c>
      <c r="W307" s="19">
        <f t="shared" si="63"/>
        <v>38.57</v>
      </c>
      <c r="X307" s="19" t="str">
        <f t="shared" si="64"/>
        <v>True</v>
      </c>
      <c r="Y307" s="19" t="str">
        <f>IF(OR(W307&lt;'Cleaning Tasks'!$G$18,W307&gt;'Cleaning Tasks'!$H$18),"Outlier","Normal")</f>
        <v>Normal</v>
      </c>
      <c r="Z307" s="2" t="s">
        <v>26</v>
      </c>
      <c r="AA307" s="2" t="s">
        <v>27</v>
      </c>
      <c r="AB307" s="2" t="s">
        <v>50</v>
      </c>
      <c r="AC307" s="2" t="s">
        <v>29</v>
      </c>
      <c r="AD307" s="2" t="s">
        <v>51</v>
      </c>
      <c r="AE307" s="2" t="str">
        <f t="shared" si="65"/>
        <v>Valid</v>
      </c>
      <c r="AF307" s="2" t="s">
        <v>1179</v>
      </c>
    </row>
    <row r="308" spans="1:32" x14ac:dyDescent="0.3">
      <c r="A308" s="2" t="s">
        <v>1180</v>
      </c>
      <c r="B308" s="2">
        <f t="shared" si="55"/>
        <v>1</v>
      </c>
      <c r="C308" s="12">
        <f t="shared" si="67"/>
        <v>46238.579923437501</v>
      </c>
      <c r="D308" s="13">
        <v>46238.579923437501</v>
      </c>
      <c r="E308" s="2" t="s">
        <v>606</v>
      </c>
      <c r="F308" s="2" t="str">
        <f t="shared" si="56"/>
        <v>Email Available</v>
      </c>
      <c r="G308" s="2" t="s">
        <v>607</v>
      </c>
      <c r="H308" s="2" t="s">
        <v>309</v>
      </c>
      <c r="I308" s="2" t="s">
        <v>36</v>
      </c>
      <c r="J308" s="2" t="s">
        <v>310</v>
      </c>
      <c r="K308" s="2">
        <v>1</v>
      </c>
      <c r="L308" s="2">
        <v>8.99</v>
      </c>
      <c r="M308" s="19">
        <f t="shared" si="57"/>
        <v>8.99</v>
      </c>
      <c r="N308" s="2"/>
      <c r="O308" s="2" t="str">
        <f t="shared" si="58"/>
        <v/>
      </c>
      <c r="P308" s="2">
        <v>0</v>
      </c>
      <c r="Q308" s="19">
        <f t="shared" si="59"/>
        <v>0</v>
      </c>
      <c r="R308" s="2" t="str">
        <f t="shared" si="60"/>
        <v>Number</v>
      </c>
      <c r="S308" s="2">
        <v>7.99</v>
      </c>
      <c r="T308" s="19">
        <f t="shared" si="61"/>
        <v>7.99</v>
      </c>
      <c r="U308" s="2">
        <v>16.98</v>
      </c>
      <c r="V308" s="19">
        <f t="shared" si="62"/>
        <v>16.98</v>
      </c>
      <c r="W308" s="19">
        <f t="shared" si="63"/>
        <v>16.98</v>
      </c>
      <c r="X308" s="19" t="str">
        <f t="shared" si="64"/>
        <v>True</v>
      </c>
      <c r="Y308" s="19" t="str">
        <f>IF(OR(W308&lt;'Cleaning Tasks'!$G$18,W308&gt;'Cleaning Tasks'!$H$18),"Outlier","Normal")</f>
        <v>Normal</v>
      </c>
      <c r="Z308" s="2" t="s">
        <v>39</v>
      </c>
      <c r="AA308" s="2" t="s">
        <v>88</v>
      </c>
      <c r="AB308" s="2" t="s">
        <v>96</v>
      </c>
      <c r="AC308" s="2" t="s">
        <v>42</v>
      </c>
      <c r="AD308" s="2"/>
      <c r="AE308" s="2" t="str">
        <f t="shared" si="65"/>
        <v>Not Required</v>
      </c>
      <c r="AF308" s="2" t="s">
        <v>1181</v>
      </c>
    </row>
    <row r="309" spans="1:32" x14ac:dyDescent="0.3">
      <c r="A309" s="2" t="s">
        <v>1182</v>
      </c>
      <c r="B309" s="2">
        <f t="shared" si="55"/>
        <v>1</v>
      </c>
      <c r="C309" s="12">
        <f t="shared" si="67"/>
        <v>46238.582978564817</v>
      </c>
      <c r="D309" s="13">
        <v>46238.582978564817</v>
      </c>
      <c r="E309" s="2" t="s">
        <v>115</v>
      </c>
      <c r="F309" s="2" t="str">
        <f t="shared" si="56"/>
        <v>Email Available</v>
      </c>
      <c r="G309" s="2" t="s">
        <v>1183</v>
      </c>
      <c r="H309" s="2" t="s">
        <v>182</v>
      </c>
      <c r="I309" s="2" t="s">
        <v>36</v>
      </c>
      <c r="J309" s="2" t="s">
        <v>183</v>
      </c>
      <c r="K309" s="2">
        <v>1</v>
      </c>
      <c r="L309" s="2" t="s">
        <v>402</v>
      </c>
      <c r="M309" s="19">
        <f t="shared" si="57"/>
        <v>11.99</v>
      </c>
      <c r="N309" s="2" t="s">
        <v>65</v>
      </c>
      <c r="O309" s="2" t="str">
        <f t="shared" si="58"/>
        <v>WELCOME10</v>
      </c>
      <c r="P309" s="2">
        <v>1.2</v>
      </c>
      <c r="Q309" s="19">
        <f t="shared" si="59"/>
        <v>1.2</v>
      </c>
      <c r="R309" s="2" t="str">
        <f t="shared" si="60"/>
        <v>Number</v>
      </c>
      <c r="S309" s="2">
        <v>7.99</v>
      </c>
      <c r="T309" s="19">
        <f t="shared" si="61"/>
        <v>7.99</v>
      </c>
      <c r="U309" s="2">
        <v>18.78</v>
      </c>
      <c r="V309" s="19">
        <f t="shared" si="62"/>
        <v>18.78</v>
      </c>
      <c r="W309" s="19">
        <f t="shared" si="63"/>
        <v>18.78</v>
      </c>
      <c r="X309" s="19" t="str">
        <f t="shared" si="64"/>
        <v>True</v>
      </c>
      <c r="Y309" s="19" t="str">
        <f>IF(OR(W309&lt;'Cleaning Tasks'!$G$18,W309&gt;'Cleaning Tasks'!$H$18),"Outlier","Normal")</f>
        <v>Normal</v>
      </c>
      <c r="Z309" s="2" t="s">
        <v>39</v>
      </c>
      <c r="AA309" s="2" t="s">
        <v>27</v>
      </c>
      <c r="AB309" s="2" t="s">
        <v>41</v>
      </c>
      <c r="AC309" s="2" t="s">
        <v>105</v>
      </c>
      <c r="AD309" s="2"/>
      <c r="AE309" s="2" t="str">
        <f t="shared" si="65"/>
        <v>Not Required</v>
      </c>
      <c r="AF309" s="2" t="s">
        <v>1184</v>
      </c>
    </row>
    <row r="310" spans="1:32" x14ac:dyDescent="0.3">
      <c r="A310" s="2" t="s">
        <v>1185</v>
      </c>
      <c r="B310" s="2">
        <f t="shared" si="55"/>
        <v>1</v>
      </c>
      <c r="C310" s="12">
        <f t="shared" si="67"/>
        <v>46238</v>
      </c>
      <c r="D310" s="13" t="s">
        <v>1186</v>
      </c>
      <c r="E310" s="2" t="s">
        <v>347</v>
      </c>
      <c r="F310" s="2" t="str">
        <f t="shared" si="56"/>
        <v>Email Available</v>
      </c>
      <c r="G310" s="2" t="s">
        <v>348</v>
      </c>
      <c r="H310" s="2" t="s">
        <v>261</v>
      </c>
      <c r="I310" s="2" t="s">
        <v>36</v>
      </c>
      <c r="J310" s="2" t="s">
        <v>262</v>
      </c>
      <c r="K310" s="2">
        <v>1</v>
      </c>
      <c r="L310" s="2">
        <v>15.49</v>
      </c>
      <c r="M310" s="19">
        <f t="shared" si="57"/>
        <v>15.49</v>
      </c>
      <c r="N310" s="2"/>
      <c r="O310" s="2" t="str">
        <f t="shared" si="58"/>
        <v/>
      </c>
      <c r="P310" s="2">
        <v>0</v>
      </c>
      <c r="Q310" s="19">
        <f t="shared" si="59"/>
        <v>0</v>
      </c>
      <c r="R310" s="2" t="str">
        <f t="shared" si="60"/>
        <v>Number</v>
      </c>
      <c r="S310" s="2">
        <v>7.99</v>
      </c>
      <c r="T310" s="19">
        <f t="shared" si="61"/>
        <v>7.99</v>
      </c>
      <c r="U310" s="2">
        <v>23.48</v>
      </c>
      <c r="V310" s="19">
        <f t="shared" si="62"/>
        <v>23.48</v>
      </c>
      <c r="W310" s="19">
        <f t="shared" si="63"/>
        <v>23.48</v>
      </c>
      <c r="X310" s="19" t="str">
        <f t="shared" si="64"/>
        <v>True</v>
      </c>
      <c r="Y310" s="19" t="str">
        <f>IF(OR(W310&lt;'Cleaning Tasks'!$G$18,W310&gt;'Cleaning Tasks'!$H$18),"Outlier","Normal")</f>
        <v>Normal</v>
      </c>
      <c r="Z310" s="2" t="s">
        <v>72</v>
      </c>
      <c r="AA310" s="2" t="s">
        <v>27</v>
      </c>
      <c r="AB310" s="2" t="s">
        <v>50</v>
      </c>
      <c r="AC310" s="2" t="s">
        <v>223</v>
      </c>
      <c r="AD310" s="2"/>
      <c r="AE310" s="2" t="str">
        <f t="shared" si="65"/>
        <v>Not Required</v>
      </c>
      <c r="AF310" s="2" t="s">
        <v>1187</v>
      </c>
    </row>
    <row r="311" spans="1:32" x14ac:dyDescent="0.3">
      <c r="A311" s="2" t="s">
        <v>1188</v>
      </c>
      <c r="B311" s="2">
        <f t="shared" si="55"/>
        <v>1</v>
      </c>
      <c r="C311" s="12">
        <f t="shared" si="67"/>
        <v>46238.586076481479</v>
      </c>
      <c r="D311" s="13">
        <v>46238.586076481479</v>
      </c>
      <c r="E311" s="2" t="s">
        <v>61</v>
      </c>
      <c r="F311" s="2" t="str">
        <f t="shared" si="56"/>
        <v>Email Available</v>
      </c>
      <c r="G311" s="2" t="s">
        <v>62</v>
      </c>
      <c r="H311" s="2" t="s">
        <v>152</v>
      </c>
      <c r="I311" s="2" t="s">
        <v>36</v>
      </c>
      <c r="J311" s="2" t="s">
        <v>153</v>
      </c>
      <c r="K311" s="2">
        <v>1</v>
      </c>
      <c r="L311" s="2">
        <v>29.99</v>
      </c>
      <c r="M311" s="19">
        <f t="shared" si="57"/>
        <v>29.99</v>
      </c>
      <c r="N311" s="2" t="s">
        <v>24</v>
      </c>
      <c r="O311" s="2" t="str">
        <f t="shared" si="58"/>
        <v>SAVE20</v>
      </c>
      <c r="P311" s="2">
        <v>6</v>
      </c>
      <c r="Q311" s="19">
        <f t="shared" si="59"/>
        <v>6</v>
      </c>
      <c r="R311" s="2" t="str">
        <f t="shared" si="60"/>
        <v>Number</v>
      </c>
      <c r="S311" s="2">
        <v>5.99</v>
      </c>
      <c r="T311" s="19">
        <f t="shared" si="61"/>
        <v>5.99</v>
      </c>
      <c r="U311" s="2">
        <v>29.98</v>
      </c>
      <c r="V311" s="19">
        <f t="shared" si="62"/>
        <v>29.98</v>
      </c>
      <c r="W311" s="19">
        <f t="shared" si="63"/>
        <v>29.979999999999997</v>
      </c>
      <c r="X311" s="19" t="str">
        <f t="shared" si="64"/>
        <v>True</v>
      </c>
      <c r="Y311" s="19" t="str">
        <f>IF(OR(W311&lt;'Cleaning Tasks'!$G$18,W311&gt;'Cleaning Tasks'!$H$18),"Outlier","Normal")</f>
        <v>Normal</v>
      </c>
      <c r="Z311" s="2" t="s">
        <v>39</v>
      </c>
      <c r="AA311" s="2" t="s">
        <v>27</v>
      </c>
      <c r="AB311" s="2" t="s">
        <v>50</v>
      </c>
      <c r="AC311" s="2" t="s">
        <v>29</v>
      </c>
      <c r="AD311" s="2" t="s">
        <v>51</v>
      </c>
      <c r="AE311" s="2" t="str">
        <f t="shared" si="65"/>
        <v>Valid</v>
      </c>
      <c r="AF311" s="2" t="s">
        <v>1189</v>
      </c>
    </row>
    <row r="312" spans="1:32" x14ac:dyDescent="0.3">
      <c r="A312" s="2" t="s">
        <v>1190</v>
      </c>
      <c r="B312" s="2">
        <f t="shared" si="55"/>
        <v>1</v>
      </c>
      <c r="C312" s="12">
        <f t="shared" si="67"/>
        <v>46238.583679988427</v>
      </c>
      <c r="D312" s="13">
        <v>46238.583679988427</v>
      </c>
      <c r="E312" s="2" t="s">
        <v>795</v>
      </c>
      <c r="F312" s="2" t="str">
        <f t="shared" si="56"/>
        <v>Email Available</v>
      </c>
      <c r="G312" s="2" t="s">
        <v>796</v>
      </c>
      <c r="H312" s="2" t="s">
        <v>201</v>
      </c>
      <c r="I312" s="2" t="s">
        <v>191</v>
      </c>
      <c r="J312" s="2" t="s">
        <v>202</v>
      </c>
      <c r="K312" s="2">
        <v>1</v>
      </c>
      <c r="L312" s="2">
        <v>24.99</v>
      </c>
      <c r="M312" s="19">
        <f t="shared" si="57"/>
        <v>24.99</v>
      </c>
      <c r="N312" s="2" t="s">
        <v>24</v>
      </c>
      <c r="O312" s="2" t="str">
        <f t="shared" si="58"/>
        <v>SAVE20</v>
      </c>
      <c r="P312" s="2">
        <v>5</v>
      </c>
      <c r="Q312" s="19">
        <f t="shared" si="59"/>
        <v>5</v>
      </c>
      <c r="R312" s="2" t="str">
        <f t="shared" si="60"/>
        <v>Number</v>
      </c>
      <c r="S312" s="2">
        <v>4.99</v>
      </c>
      <c r="T312" s="19">
        <f t="shared" si="61"/>
        <v>4.99</v>
      </c>
      <c r="U312" s="2">
        <v>24.98</v>
      </c>
      <c r="V312" s="19">
        <f t="shared" si="62"/>
        <v>24.98</v>
      </c>
      <c r="W312" s="19">
        <f t="shared" si="63"/>
        <v>24.979999999999997</v>
      </c>
      <c r="X312" s="19" t="str">
        <f t="shared" si="64"/>
        <v>True</v>
      </c>
      <c r="Y312" s="19" t="str">
        <f>IF(OR(W312&lt;'Cleaning Tasks'!$G$18,W312&gt;'Cleaning Tasks'!$H$18),"Outlier","Normal")</f>
        <v>Normal</v>
      </c>
      <c r="Z312" s="2" t="s">
        <v>72</v>
      </c>
      <c r="AA312" s="2" t="s">
        <v>27</v>
      </c>
      <c r="AB312" s="2" t="s">
        <v>41</v>
      </c>
      <c r="AC312" s="2" t="s">
        <v>42</v>
      </c>
      <c r="AD312" s="2"/>
      <c r="AE312" s="2" t="str">
        <f t="shared" si="65"/>
        <v>Not Required</v>
      </c>
      <c r="AF312" s="2" t="s">
        <v>1191</v>
      </c>
    </row>
    <row r="313" spans="1:32" x14ac:dyDescent="0.3">
      <c r="A313" s="2" t="s">
        <v>1192</v>
      </c>
      <c r="B313" s="2">
        <f t="shared" si="55"/>
        <v>1</v>
      </c>
      <c r="C313" s="12">
        <f t="shared" si="67"/>
        <v>46238</v>
      </c>
      <c r="D313" s="13" t="s">
        <v>1193</v>
      </c>
      <c r="E313" s="2" t="s">
        <v>1194</v>
      </c>
      <c r="F313" s="2" t="str">
        <f t="shared" si="56"/>
        <v>Email Available</v>
      </c>
      <c r="G313" s="2" t="s">
        <v>1195</v>
      </c>
      <c r="H313" s="2" t="s">
        <v>130</v>
      </c>
      <c r="I313" s="2" t="s">
        <v>103</v>
      </c>
      <c r="J313" s="2" t="s">
        <v>131</v>
      </c>
      <c r="K313" s="2">
        <v>1</v>
      </c>
      <c r="L313" s="2">
        <v>16.989999999999998</v>
      </c>
      <c r="M313" s="19">
        <f t="shared" si="57"/>
        <v>16.989999999999998</v>
      </c>
      <c r="N313" s="2" t="s">
        <v>118</v>
      </c>
      <c r="O313" s="2" t="str">
        <f t="shared" si="58"/>
        <v>BFCM25</v>
      </c>
      <c r="P313" s="2">
        <v>4.25</v>
      </c>
      <c r="Q313" s="19">
        <f t="shared" si="59"/>
        <v>4.25</v>
      </c>
      <c r="R313" s="2" t="str">
        <f t="shared" si="60"/>
        <v>Number</v>
      </c>
      <c r="S313" s="2">
        <v>5.99</v>
      </c>
      <c r="T313" s="19">
        <f t="shared" si="61"/>
        <v>5.99</v>
      </c>
      <c r="U313" s="2">
        <v>18.73</v>
      </c>
      <c r="V313" s="19">
        <f t="shared" si="62"/>
        <v>18.73</v>
      </c>
      <c r="W313" s="19">
        <f t="shared" si="63"/>
        <v>18.729999999999997</v>
      </c>
      <c r="X313" s="19" t="str">
        <f t="shared" si="64"/>
        <v>True</v>
      </c>
      <c r="Y313" s="19" t="str">
        <f>IF(OR(W313&lt;'Cleaning Tasks'!$G$18,W313&gt;'Cleaning Tasks'!$H$18),"Outlier","Normal")</f>
        <v>Normal</v>
      </c>
      <c r="Z313" s="2" t="s">
        <v>39</v>
      </c>
      <c r="AA313" s="2" t="s">
        <v>111</v>
      </c>
      <c r="AB313" s="2" t="s">
        <v>50</v>
      </c>
      <c r="AC313" s="2" t="s">
        <v>105</v>
      </c>
      <c r="AD313" s="2"/>
      <c r="AE313" s="2" t="str">
        <f t="shared" si="65"/>
        <v>Not Required</v>
      </c>
      <c r="AF313" s="2" t="s">
        <v>1196</v>
      </c>
    </row>
    <row r="314" spans="1:32" x14ac:dyDescent="0.3">
      <c r="A314" s="2" t="s">
        <v>1197</v>
      </c>
      <c r="B314" s="2">
        <f t="shared" si="55"/>
        <v>1</v>
      </c>
      <c r="C314" s="12">
        <f t="shared" si="67"/>
        <v>46238</v>
      </c>
      <c r="D314" s="13" t="s">
        <v>1198</v>
      </c>
      <c r="E314" s="2" t="s">
        <v>1199</v>
      </c>
      <c r="F314" s="2" t="str">
        <f t="shared" si="56"/>
        <v>Email Available</v>
      </c>
      <c r="G314" s="2" t="s">
        <v>1200</v>
      </c>
      <c r="H314" s="2" t="s">
        <v>102</v>
      </c>
      <c r="I314" s="2" t="s">
        <v>103</v>
      </c>
      <c r="J314" s="2" t="s">
        <v>104</v>
      </c>
      <c r="K314" s="2">
        <v>1</v>
      </c>
      <c r="L314" s="2" t="s">
        <v>451</v>
      </c>
      <c r="M314" s="19">
        <f t="shared" si="57"/>
        <v>19.989999999999998</v>
      </c>
      <c r="N314" s="2" t="s">
        <v>203</v>
      </c>
      <c r="O314" s="2" t="str">
        <f t="shared" si="58"/>
        <v>VIP15</v>
      </c>
      <c r="P314" s="2">
        <v>3</v>
      </c>
      <c r="Q314" s="19">
        <f t="shared" si="59"/>
        <v>3</v>
      </c>
      <c r="R314" s="2" t="str">
        <f t="shared" si="60"/>
        <v>Number</v>
      </c>
      <c r="S314" s="2">
        <v>4.99</v>
      </c>
      <c r="T314" s="19">
        <f t="shared" si="61"/>
        <v>4.99</v>
      </c>
      <c r="U314" s="2">
        <v>21.98</v>
      </c>
      <c r="V314" s="19">
        <f t="shared" si="62"/>
        <v>21.98</v>
      </c>
      <c r="W314" s="19">
        <f t="shared" si="63"/>
        <v>21.979999999999997</v>
      </c>
      <c r="X314" s="19" t="str">
        <f t="shared" si="64"/>
        <v>True</v>
      </c>
      <c r="Y314" s="19" t="str">
        <f>IF(OR(W314&lt;'Cleaning Tasks'!$G$18,W314&gt;'Cleaning Tasks'!$H$18),"Outlier","Normal")</f>
        <v>Normal</v>
      </c>
      <c r="Z314" s="2" t="s">
        <v>39</v>
      </c>
      <c r="AA314" s="2" t="s">
        <v>27</v>
      </c>
      <c r="AB314" s="2" t="s">
        <v>96</v>
      </c>
      <c r="AC314" s="2" t="s">
        <v>29</v>
      </c>
      <c r="AD314" s="2" t="s">
        <v>51</v>
      </c>
      <c r="AE314" s="2" t="str">
        <f t="shared" si="65"/>
        <v>Valid</v>
      </c>
      <c r="AF314" s="2" t="s">
        <v>1201</v>
      </c>
    </row>
    <row r="315" spans="1:32" x14ac:dyDescent="0.3">
      <c r="A315" s="2" t="s">
        <v>1202</v>
      </c>
      <c r="B315" s="2">
        <f t="shared" si="55"/>
        <v>1</v>
      </c>
      <c r="C315" s="12">
        <f t="shared" si="67"/>
        <v>46238.579191400473</v>
      </c>
      <c r="D315" s="13">
        <v>46238.579191400473</v>
      </c>
      <c r="E315" s="2" t="s">
        <v>1203</v>
      </c>
      <c r="F315" s="2" t="str">
        <f t="shared" si="56"/>
        <v>Email Available</v>
      </c>
      <c r="G315" s="2" t="s">
        <v>1204</v>
      </c>
      <c r="H315" s="2" t="s">
        <v>261</v>
      </c>
      <c r="I315" s="2" t="s">
        <v>36</v>
      </c>
      <c r="J315" s="2" t="s">
        <v>262</v>
      </c>
      <c r="K315" s="2">
        <v>1</v>
      </c>
      <c r="L315" s="2">
        <v>15.49</v>
      </c>
      <c r="M315" s="19">
        <f t="shared" si="57"/>
        <v>15.49</v>
      </c>
      <c r="N315" s="2"/>
      <c r="O315" s="2" t="str">
        <f t="shared" si="58"/>
        <v/>
      </c>
      <c r="P315" s="2">
        <v>0</v>
      </c>
      <c r="Q315" s="19">
        <f t="shared" si="59"/>
        <v>0</v>
      </c>
      <c r="R315" s="2" t="str">
        <f t="shared" si="60"/>
        <v>Number</v>
      </c>
      <c r="S315" s="2">
        <v>5.99</v>
      </c>
      <c r="T315" s="19">
        <f t="shared" si="61"/>
        <v>5.99</v>
      </c>
      <c r="U315" s="2">
        <v>21.48</v>
      </c>
      <c r="V315" s="19">
        <f t="shared" si="62"/>
        <v>21.48</v>
      </c>
      <c r="W315" s="19">
        <f t="shared" si="63"/>
        <v>21.48</v>
      </c>
      <c r="X315" s="19" t="str">
        <f t="shared" si="64"/>
        <v>True</v>
      </c>
      <c r="Y315" s="19" t="str">
        <f>IF(OR(W315&lt;'Cleaning Tasks'!$G$18,W315&gt;'Cleaning Tasks'!$H$18),"Outlier","Normal")</f>
        <v>Normal</v>
      </c>
      <c r="Z315" s="2" t="s">
        <v>26</v>
      </c>
      <c r="AA315" s="2" t="s">
        <v>27</v>
      </c>
      <c r="AB315" s="2" t="s">
        <v>50</v>
      </c>
      <c r="AC315" s="2" t="s">
        <v>73</v>
      </c>
      <c r="AD315" s="2"/>
      <c r="AE315" s="2" t="str">
        <f t="shared" si="65"/>
        <v>Not Required</v>
      </c>
      <c r="AF315" s="2" t="s">
        <v>1205</v>
      </c>
    </row>
    <row r="316" spans="1:32" x14ac:dyDescent="0.3">
      <c r="A316" s="2" t="s">
        <v>1206</v>
      </c>
      <c r="B316" s="2">
        <f t="shared" si="55"/>
        <v>1</v>
      </c>
      <c r="C316" s="12">
        <f t="shared" si="67"/>
        <v>46238.586089618053</v>
      </c>
      <c r="D316" s="13">
        <v>46238.586089618053</v>
      </c>
      <c r="E316" s="2" t="s">
        <v>172</v>
      </c>
      <c r="F316" s="2" t="str">
        <f t="shared" si="56"/>
        <v>Email Available</v>
      </c>
      <c r="G316" s="2" t="s">
        <v>173</v>
      </c>
      <c r="H316" s="2" t="s">
        <v>190</v>
      </c>
      <c r="I316" s="2" t="s">
        <v>191</v>
      </c>
      <c r="J316" s="2" t="s">
        <v>192</v>
      </c>
      <c r="K316" s="2">
        <v>1</v>
      </c>
      <c r="L316" s="2">
        <v>13.49</v>
      </c>
      <c r="M316" s="19">
        <f t="shared" si="57"/>
        <v>13.49</v>
      </c>
      <c r="N316" s="2" t="s">
        <v>203</v>
      </c>
      <c r="O316" s="2" t="str">
        <f t="shared" si="58"/>
        <v>VIP15</v>
      </c>
      <c r="P316" s="2">
        <v>2.02</v>
      </c>
      <c r="Q316" s="19">
        <f t="shared" si="59"/>
        <v>2.02</v>
      </c>
      <c r="R316" s="2" t="str">
        <f t="shared" si="60"/>
        <v>Number</v>
      </c>
      <c r="S316" s="2">
        <v>4.99</v>
      </c>
      <c r="T316" s="19">
        <f t="shared" si="61"/>
        <v>4.99</v>
      </c>
      <c r="U316" s="2">
        <v>16.46</v>
      </c>
      <c r="V316" s="19">
        <f t="shared" si="62"/>
        <v>16.46</v>
      </c>
      <c r="W316" s="19">
        <f t="shared" si="63"/>
        <v>16.46</v>
      </c>
      <c r="X316" s="19" t="str">
        <f t="shared" si="64"/>
        <v>True</v>
      </c>
      <c r="Y316" s="19" t="str">
        <f>IF(OR(W316&lt;'Cleaning Tasks'!$G$18,W316&gt;'Cleaning Tasks'!$H$18),"Outlier","Normal")</f>
        <v>Normal</v>
      </c>
      <c r="Z316" s="2" t="s">
        <v>72</v>
      </c>
      <c r="AA316" s="2" t="s">
        <v>27</v>
      </c>
      <c r="AB316" s="2" t="s">
        <v>50</v>
      </c>
      <c r="AC316" s="2" t="s">
        <v>29</v>
      </c>
      <c r="AD316" s="22" t="s">
        <v>58</v>
      </c>
      <c r="AE316" s="2" t="str">
        <f t="shared" si="65"/>
        <v>Valid</v>
      </c>
      <c r="AF316" s="2" t="s">
        <v>1207</v>
      </c>
    </row>
    <row r="317" spans="1:32" x14ac:dyDescent="0.3">
      <c r="A317" s="2" t="s">
        <v>1208</v>
      </c>
      <c r="B317" s="2">
        <f t="shared" si="55"/>
        <v>1</v>
      </c>
      <c r="C317" s="12">
        <f t="shared" si="67"/>
        <v>46238.582133425924</v>
      </c>
      <c r="D317" s="13">
        <v>46238.582133425924</v>
      </c>
      <c r="E317" s="2" t="s">
        <v>176</v>
      </c>
      <c r="F317" s="2" t="str">
        <f t="shared" si="56"/>
        <v>Email Available</v>
      </c>
      <c r="G317" s="2" t="s">
        <v>177</v>
      </c>
      <c r="H317" s="2" t="s">
        <v>130</v>
      </c>
      <c r="I317" s="2" t="s">
        <v>103</v>
      </c>
      <c r="J317" s="2" t="s">
        <v>131</v>
      </c>
      <c r="K317" s="2">
        <v>1</v>
      </c>
      <c r="L317" s="2">
        <v>16.989999999999998</v>
      </c>
      <c r="M317" s="19">
        <f t="shared" si="57"/>
        <v>16.989999999999998</v>
      </c>
      <c r="N317" s="2" t="s">
        <v>65</v>
      </c>
      <c r="O317" s="2" t="str">
        <f t="shared" si="58"/>
        <v>WELCOME10</v>
      </c>
      <c r="P317" s="2">
        <v>1.7</v>
      </c>
      <c r="Q317" s="19">
        <f t="shared" si="59"/>
        <v>1.7</v>
      </c>
      <c r="R317" s="2" t="str">
        <f t="shared" si="60"/>
        <v>Number</v>
      </c>
      <c r="S317" s="2">
        <v>5.99</v>
      </c>
      <c r="T317" s="19">
        <f t="shared" si="61"/>
        <v>5.99</v>
      </c>
      <c r="U317" s="2">
        <v>21.28</v>
      </c>
      <c r="V317" s="19">
        <f t="shared" si="62"/>
        <v>21.28</v>
      </c>
      <c r="W317" s="19">
        <f t="shared" si="63"/>
        <v>21.28</v>
      </c>
      <c r="X317" s="19" t="str">
        <f t="shared" si="64"/>
        <v>True</v>
      </c>
      <c r="Y317" s="19" t="str">
        <f>IF(OR(W317&lt;'Cleaning Tasks'!$G$18,W317&gt;'Cleaning Tasks'!$H$18),"Outlier","Normal")</f>
        <v>Normal</v>
      </c>
      <c r="Z317" s="2" t="s">
        <v>26</v>
      </c>
      <c r="AA317" s="2" t="s">
        <v>27</v>
      </c>
      <c r="AB317" s="2" t="s">
        <v>96</v>
      </c>
      <c r="AC317" s="2" t="s">
        <v>29</v>
      </c>
      <c r="AD317" s="2" t="s">
        <v>58</v>
      </c>
      <c r="AE317" s="2" t="str">
        <f t="shared" si="65"/>
        <v>Valid</v>
      </c>
      <c r="AF317" s="2" t="s">
        <v>178</v>
      </c>
    </row>
    <row r="318" spans="1:32" x14ac:dyDescent="0.3">
      <c r="A318" s="2" t="s">
        <v>1209</v>
      </c>
      <c r="B318" s="2">
        <f t="shared" si="55"/>
        <v>1</v>
      </c>
      <c r="C318" s="12">
        <f t="shared" si="67"/>
        <v>46238.586953506943</v>
      </c>
      <c r="D318" s="13">
        <v>46238.586953506943</v>
      </c>
      <c r="E318" s="2" t="s">
        <v>1210</v>
      </c>
      <c r="F318" s="2" t="str">
        <f t="shared" si="56"/>
        <v>Email Available</v>
      </c>
      <c r="G318" s="2" t="s">
        <v>1211</v>
      </c>
      <c r="H318" s="2" t="s">
        <v>279</v>
      </c>
      <c r="I318" s="2" t="s">
        <v>22</v>
      </c>
      <c r="J318" s="2" t="s">
        <v>280</v>
      </c>
      <c r="K318" s="2">
        <v>1</v>
      </c>
      <c r="L318" s="2" t="s">
        <v>1212</v>
      </c>
      <c r="M318" s="19">
        <f t="shared" si="57"/>
        <v>24.99</v>
      </c>
      <c r="N318" s="2"/>
      <c r="O318" s="2" t="str">
        <f t="shared" si="58"/>
        <v/>
      </c>
      <c r="P318" s="2">
        <v>0</v>
      </c>
      <c r="Q318" s="19">
        <f t="shared" si="59"/>
        <v>0</v>
      </c>
      <c r="R318" s="2" t="str">
        <f t="shared" si="60"/>
        <v>Number</v>
      </c>
      <c r="S318" s="2">
        <v>5.99</v>
      </c>
      <c r="T318" s="19">
        <f t="shared" si="61"/>
        <v>5.99</v>
      </c>
      <c r="U318" s="2" t="s">
        <v>1213</v>
      </c>
      <c r="V318" s="19">
        <f t="shared" si="62"/>
        <v>30.98</v>
      </c>
      <c r="W318" s="19">
        <f t="shared" si="63"/>
        <v>30.979999999999997</v>
      </c>
      <c r="X318" s="19" t="str">
        <f t="shared" si="64"/>
        <v>True</v>
      </c>
      <c r="Y318" s="19" t="str">
        <f>IF(OR(W318&lt;'Cleaning Tasks'!$G$18,W318&gt;'Cleaning Tasks'!$H$18),"Outlier","Normal")</f>
        <v>Normal</v>
      </c>
      <c r="Z318" s="2" t="s">
        <v>66</v>
      </c>
      <c r="AA318" s="2" t="s">
        <v>27</v>
      </c>
      <c r="AB318" s="2" t="s">
        <v>50</v>
      </c>
      <c r="AC318" s="2" t="s">
        <v>29</v>
      </c>
      <c r="AD318" s="2" t="s">
        <v>51</v>
      </c>
      <c r="AE318" s="2" t="str">
        <f t="shared" si="65"/>
        <v>Valid</v>
      </c>
      <c r="AF318" s="2" t="s">
        <v>1214</v>
      </c>
    </row>
    <row r="319" spans="1:32" x14ac:dyDescent="0.3">
      <c r="A319" s="2" t="s">
        <v>1215</v>
      </c>
      <c r="B319" s="2">
        <f t="shared" si="55"/>
        <v>1</v>
      </c>
      <c r="C319" s="12">
        <f t="shared" si="67"/>
        <v>46238</v>
      </c>
      <c r="D319" s="13">
        <v>46238</v>
      </c>
      <c r="E319" s="2" t="s">
        <v>1216</v>
      </c>
      <c r="F319" s="2" t="str">
        <f t="shared" si="56"/>
        <v>Email Available</v>
      </c>
      <c r="G319" s="2" t="s">
        <v>1217</v>
      </c>
      <c r="H319" s="2" t="s">
        <v>35</v>
      </c>
      <c r="I319" s="2" t="s">
        <v>36</v>
      </c>
      <c r="J319" s="2" t="s">
        <v>37</v>
      </c>
      <c r="K319" s="2">
        <v>1</v>
      </c>
      <c r="L319" s="2">
        <v>21.99</v>
      </c>
      <c r="M319" s="19">
        <f t="shared" si="57"/>
        <v>21.99</v>
      </c>
      <c r="N319" s="2" t="s">
        <v>1124</v>
      </c>
      <c r="O319" s="2" t="str">
        <f t="shared" si="58"/>
        <v>WELCOME10</v>
      </c>
      <c r="P319" s="2">
        <v>2.2000000000000002</v>
      </c>
      <c r="Q319" s="19">
        <f t="shared" si="59"/>
        <v>2.2000000000000002</v>
      </c>
      <c r="R319" s="2" t="str">
        <f t="shared" si="60"/>
        <v>Number</v>
      </c>
      <c r="S319" s="2">
        <v>7.99</v>
      </c>
      <c r="T319" s="19">
        <f t="shared" si="61"/>
        <v>7.99</v>
      </c>
      <c r="U319" s="2">
        <v>27.78</v>
      </c>
      <c r="V319" s="19">
        <f t="shared" si="62"/>
        <v>27.78</v>
      </c>
      <c r="W319" s="19">
        <f t="shared" si="63"/>
        <v>27.78</v>
      </c>
      <c r="X319" s="19" t="str">
        <f t="shared" si="64"/>
        <v>True</v>
      </c>
      <c r="Y319" s="19" t="str">
        <f>IF(OR(W319&lt;'Cleaning Tasks'!$G$18,W319&gt;'Cleaning Tasks'!$H$18),"Outlier","Normal")</f>
        <v>Normal</v>
      </c>
      <c r="Z319" s="2" t="s">
        <v>26</v>
      </c>
      <c r="AA319" s="2" t="s">
        <v>27</v>
      </c>
      <c r="AB319" s="2" t="s">
        <v>50</v>
      </c>
      <c r="AC319" s="2" t="s">
        <v>223</v>
      </c>
      <c r="AD319" s="2"/>
      <c r="AE319" s="2" t="str">
        <f t="shared" si="65"/>
        <v>Not Required</v>
      </c>
      <c r="AF319" s="2" t="s">
        <v>1218</v>
      </c>
    </row>
    <row r="320" spans="1:32" x14ac:dyDescent="0.3">
      <c r="A320" s="2" t="s">
        <v>1219</v>
      </c>
      <c r="B320" s="2">
        <f t="shared" si="55"/>
        <v>1</v>
      </c>
      <c r="C320" s="12">
        <f t="shared" si="67"/>
        <v>46238.588065798613</v>
      </c>
      <c r="D320" s="13">
        <v>46238.588065798613</v>
      </c>
      <c r="E320" s="2" t="s">
        <v>1199</v>
      </c>
      <c r="F320" s="2" t="str">
        <f t="shared" si="56"/>
        <v>Email Available</v>
      </c>
      <c r="G320" s="2" t="s">
        <v>1200</v>
      </c>
      <c r="H320" s="2" t="s">
        <v>279</v>
      </c>
      <c r="I320" s="2" t="s">
        <v>22</v>
      </c>
      <c r="J320" s="2" t="s">
        <v>280</v>
      </c>
      <c r="K320" s="2">
        <v>1</v>
      </c>
      <c r="L320" s="2">
        <v>24.99</v>
      </c>
      <c r="M320" s="19">
        <f t="shared" si="57"/>
        <v>24.99</v>
      </c>
      <c r="N320" s="2" t="s">
        <v>65</v>
      </c>
      <c r="O320" s="2" t="str">
        <f t="shared" si="58"/>
        <v>WELCOME10</v>
      </c>
      <c r="P320" s="2">
        <v>2.5</v>
      </c>
      <c r="Q320" s="19">
        <f t="shared" si="59"/>
        <v>2.5</v>
      </c>
      <c r="R320" s="2" t="str">
        <f t="shared" si="60"/>
        <v>Number</v>
      </c>
      <c r="S320" s="2">
        <v>5.99</v>
      </c>
      <c r="T320" s="19">
        <f t="shared" si="61"/>
        <v>5.99</v>
      </c>
      <c r="U320" s="2">
        <v>28.48</v>
      </c>
      <c r="V320" s="19">
        <f t="shared" si="62"/>
        <v>28.48</v>
      </c>
      <c r="W320" s="19">
        <f t="shared" si="63"/>
        <v>28.479999999999997</v>
      </c>
      <c r="X320" s="19" t="str">
        <f t="shared" si="64"/>
        <v>True</v>
      </c>
      <c r="Y320" s="19" t="str">
        <f>IF(OR(W320&lt;'Cleaning Tasks'!$G$18,W320&gt;'Cleaning Tasks'!$H$18),"Outlier","Normal")</f>
        <v>Normal</v>
      </c>
      <c r="Z320" s="2" t="s">
        <v>26</v>
      </c>
      <c r="AA320" s="2" t="s">
        <v>88</v>
      </c>
      <c r="AB320" s="2" t="s">
        <v>50</v>
      </c>
      <c r="AC320" s="2" t="s">
        <v>29</v>
      </c>
      <c r="AD320" s="2" t="s">
        <v>447</v>
      </c>
      <c r="AE320" s="2" t="str">
        <f t="shared" si="65"/>
        <v>Valid</v>
      </c>
      <c r="AF320" s="2" t="s">
        <v>1220</v>
      </c>
    </row>
    <row r="321" spans="1:32" x14ac:dyDescent="0.3">
      <c r="A321" s="2" t="s">
        <v>1221</v>
      </c>
      <c r="B321" s="2">
        <f t="shared" si="55"/>
        <v>1</v>
      </c>
      <c r="C321" s="12">
        <f t="shared" si="67"/>
        <v>46238</v>
      </c>
      <c r="D321" s="13">
        <v>46238</v>
      </c>
      <c r="E321" s="2" t="s">
        <v>1222</v>
      </c>
      <c r="F321" s="2" t="str">
        <f t="shared" si="56"/>
        <v>Email Available</v>
      </c>
      <c r="G321" s="2" t="s">
        <v>1223</v>
      </c>
      <c r="H321" s="2" t="s">
        <v>279</v>
      </c>
      <c r="I321" s="2" t="s">
        <v>22</v>
      </c>
      <c r="J321" s="2" t="s">
        <v>280</v>
      </c>
      <c r="K321" s="2">
        <v>4</v>
      </c>
      <c r="L321" s="2">
        <v>24.99</v>
      </c>
      <c r="M321" s="19">
        <f t="shared" si="57"/>
        <v>24.99</v>
      </c>
      <c r="N321" s="2"/>
      <c r="O321" s="2" t="str">
        <f t="shared" si="58"/>
        <v/>
      </c>
      <c r="P321" s="2">
        <v>0</v>
      </c>
      <c r="Q321" s="19">
        <f t="shared" si="59"/>
        <v>0</v>
      </c>
      <c r="R321" s="2" t="str">
        <f t="shared" si="60"/>
        <v>Number</v>
      </c>
      <c r="S321" s="2">
        <v>0</v>
      </c>
      <c r="T321" s="19">
        <f t="shared" si="61"/>
        <v>0</v>
      </c>
      <c r="U321" s="2">
        <v>99.96</v>
      </c>
      <c r="V321" s="19">
        <f t="shared" si="62"/>
        <v>99.96</v>
      </c>
      <c r="W321" s="19">
        <f t="shared" si="63"/>
        <v>99.96</v>
      </c>
      <c r="X321" s="19" t="str">
        <f t="shared" si="64"/>
        <v>True</v>
      </c>
      <c r="Y321" s="19" t="str">
        <f>IF(OR(W321&lt;'Cleaning Tasks'!$G$18,W321&gt;'Cleaning Tasks'!$H$18),"Outlier","Normal")</f>
        <v>Outlier</v>
      </c>
      <c r="Z321" s="2" t="s">
        <v>39</v>
      </c>
      <c r="AA321" s="2" t="s">
        <v>40</v>
      </c>
      <c r="AB321" s="2" t="s">
        <v>50</v>
      </c>
      <c r="AC321" s="2" t="s">
        <v>29</v>
      </c>
      <c r="AD321" s="2" t="s">
        <v>58</v>
      </c>
      <c r="AE321" s="2" t="str">
        <f t="shared" si="65"/>
        <v>Valid</v>
      </c>
      <c r="AF321" s="2" t="s">
        <v>1224</v>
      </c>
    </row>
    <row r="322" spans="1:32" x14ac:dyDescent="0.3">
      <c r="A322" s="2" t="s">
        <v>1225</v>
      </c>
      <c r="B322" s="2">
        <f t="shared" ref="B322:B385" si="68">COUNTIF($A$2:$A$1993,A322)</f>
        <v>1</v>
      </c>
      <c r="C322" s="12">
        <f t="shared" si="67"/>
        <v>46238.581575416669</v>
      </c>
      <c r="D322" s="13">
        <v>46238.581575416669</v>
      </c>
      <c r="E322" s="2" t="s">
        <v>347</v>
      </c>
      <c r="F322" s="2" t="str">
        <f t="shared" ref="F322:F385" si="69">IF(TRIM(G322)="","Missing Email","Email Available")</f>
        <v>Email Available</v>
      </c>
      <c r="G322" s="2" t="s">
        <v>348</v>
      </c>
      <c r="H322" s="2" t="s">
        <v>267</v>
      </c>
      <c r="I322" s="2" t="s">
        <v>22</v>
      </c>
      <c r="J322" s="2" t="s">
        <v>268</v>
      </c>
      <c r="K322" s="2">
        <v>1</v>
      </c>
      <c r="L322" s="2">
        <v>18.989999999999998</v>
      </c>
      <c r="M322" s="19">
        <f t="shared" ref="M322:M385" si="70">IF(ISNUMBER(L322),L322,VALUE(SUBSTITUTE(L322,"$","")))</f>
        <v>18.989999999999998</v>
      </c>
      <c r="N322" s="2" t="s">
        <v>203</v>
      </c>
      <c r="O322" s="2" t="str">
        <f t="shared" ref="O322:O385" si="71">IF(TRIM(N322)="","",UPPER(TRIM(SUBSTITUTE(N322,CHAR(160)," "))))</f>
        <v>VIP15</v>
      </c>
      <c r="P322" s="2">
        <v>2.85</v>
      </c>
      <c r="Q322" s="19">
        <f t="shared" ref="Q322:Q385" si="72">IF(ISNUMBER(P322),P322,VALUE(TRIM(SUBSTITUTE(P322,"$",""))))</f>
        <v>2.85</v>
      </c>
      <c r="R322" s="2" t="str">
        <f t="shared" ref="R322:R385" si="73">IF(ISNUMBER(Q322),"Number","Text")</f>
        <v>Number</v>
      </c>
      <c r="S322" s="2">
        <v>5.99</v>
      </c>
      <c r="T322" s="19">
        <f t="shared" ref="T322:T385" si="74">IF(ISNUMBER(S322),S322,VALUE(TRIM(SUBSTITUTE(S322,"$",""))))</f>
        <v>5.99</v>
      </c>
      <c r="U322" s="2">
        <v>22.13</v>
      </c>
      <c r="V322" s="19">
        <f t="shared" ref="V322:V385" si="75">IF(ISNUMBER(U322),U322,VALUE(TRIM(SUBSTITUTE(U322,"$",""))))</f>
        <v>22.13</v>
      </c>
      <c r="W322" s="19">
        <f t="shared" ref="W322:W385" si="76">((M322*K322)-Q322)+T322</f>
        <v>22.129999999999995</v>
      </c>
      <c r="X322" s="19" t="str">
        <f t="shared" ref="X322:X385" si="77">IF(V322=W322,"True","False")</f>
        <v>True</v>
      </c>
      <c r="Y322" s="19" t="str">
        <f>IF(OR(W322&lt;'Cleaning Tasks'!$G$18,W322&gt;'Cleaning Tasks'!$H$18),"Outlier","Normal")</f>
        <v>Normal</v>
      </c>
      <c r="Z322" s="2" t="s">
        <v>49</v>
      </c>
      <c r="AA322" s="2" t="s">
        <v>27</v>
      </c>
      <c r="AB322" s="2" t="s">
        <v>50</v>
      </c>
      <c r="AC322" s="2" t="s">
        <v>223</v>
      </c>
      <c r="AD322" s="2"/>
      <c r="AE322" s="2" t="str">
        <f t="shared" ref="AE322:AE385" si="78">IF(AND(AC322="United States",AD322=""),"Missing state",IF(AD322="","Not Required","Valid"))</f>
        <v>Not Required</v>
      </c>
      <c r="AF322" s="2" t="s">
        <v>1226</v>
      </c>
    </row>
    <row r="323" spans="1:32" x14ac:dyDescent="0.3">
      <c r="A323" s="2" t="s">
        <v>1227</v>
      </c>
      <c r="B323" s="2">
        <f t="shared" si="68"/>
        <v>1</v>
      </c>
      <c r="C323" s="12">
        <f t="shared" si="67"/>
        <v>46238</v>
      </c>
      <c r="D323" s="13" t="s">
        <v>1228</v>
      </c>
      <c r="E323" s="2" t="s">
        <v>740</v>
      </c>
      <c r="F323" s="2" t="str">
        <f t="shared" si="69"/>
        <v>Missing Email</v>
      </c>
      <c r="G323" s="2"/>
      <c r="H323" s="2" t="s">
        <v>85</v>
      </c>
      <c r="I323" s="2" t="s">
        <v>86</v>
      </c>
      <c r="J323" s="2" t="s">
        <v>87</v>
      </c>
      <c r="K323" s="2">
        <v>1</v>
      </c>
      <c r="L323" s="2">
        <v>54.99</v>
      </c>
      <c r="M323" s="19">
        <f t="shared" si="70"/>
        <v>54.99</v>
      </c>
      <c r="N323" s="2" t="s">
        <v>24</v>
      </c>
      <c r="O323" s="2" t="str">
        <f t="shared" si="71"/>
        <v>SAVE20</v>
      </c>
      <c r="P323" s="2">
        <v>11</v>
      </c>
      <c r="Q323" s="19">
        <f t="shared" si="72"/>
        <v>11</v>
      </c>
      <c r="R323" s="2" t="str">
        <f t="shared" si="73"/>
        <v>Number</v>
      </c>
      <c r="S323" s="2">
        <v>5.99</v>
      </c>
      <c r="T323" s="19">
        <f t="shared" si="74"/>
        <v>5.99</v>
      </c>
      <c r="U323" s="2">
        <v>49.98</v>
      </c>
      <c r="V323" s="19">
        <f t="shared" si="75"/>
        <v>49.98</v>
      </c>
      <c r="W323" s="19">
        <f t="shared" si="76"/>
        <v>49.980000000000004</v>
      </c>
      <c r="X323" s="19" t="str">
        <f t="shared" si="77"/>
        <v>True</v>
      </c>
      <c r="Y323" s="19" t="str">
        <f>IF(OR(W323&lt;'Cleaning Tasks'!$G$18,W323&gt;'Cleaning Tasks'!$H$18),"Outlier","Normal")</f>
        <v>Normal</v>
      </c>
      <c r="Z323" s="2" t="s">
        <v>49</v>
      </c>
      <c r="AA323" s="2" t="s">
        <v>111</v>
      </c>
      <c r="AB323" s="2" t="s">
        <v>50</v>
      </c>
      <c r="AC323" s="2" t="s">
        <v>105</v>
      </c>
      <c r="AD323" s="2"/>
      <c r="AE323" s="2" t="str">
        <f t="shared" si="78"/>
        <v>Not Required</v>
      </c>
      <c r="AF323" s="2" t="s">
        <v>1229</v>
      </c>
    </row>
    <row r="324" spans="1:32" x14ac:dyDescent="0.3">
      <c r="A324" s="2" t="s">
        <v>1230</v>
      </c>
      <c r="B324" s="2">
        <f t="shared" si="68"/>
        <v>1</v>
      </c>
      <c r="C324" s="12">
        <f t="shared" si="67"/>
        <v>46238.587185983793</v>
      </c>
      <c r="D324" s="13">
        <v>46238.587185983793</v>
      </c>
      <c r="E324" s="2" t="s">
        <v>1231</v>
      </c>
      <c r="F324" s="2" t="str">
        <f t="shared" si="69"/>
        <v>Email Available</v>
      </c>
      <c r="G324" s="2" t="s">
        <v>1232</v>
      </c>
      <c r="H324" s="2" t="s">
        <v>78</v>
      </c>
      <c r="I324" s="2" t="s">
        <v>79</v>
      </c>
      <c r="J324" s="2" t="s">
        <v>80</v>
      </c>
      <c r="K324" s="2">
        <v>1</v>
      </c>
      <c r="L324" s="2">
        <v>89.99</v>
      </c>
      <c r="M324" s="19">
        <f t="shared" si="70"/>
        <v>89.99</v>
      </c>
      <c r="N324" s="2" t="s">
        <v>203</v>
      </c>
      <c r="O324" s="2" t="str">
        <f t="shared" si="71"/>
        <v>VIP15</v>
      </c>
      <c r="P324" s="2">
        <v>13.5</v>
      </c>
      <c r="Q324" s="19">
        <f t="shared" si="72"/>
        <v>13.5</v>
      </c>
      <c r="R324" s="2" t="str">
        <f t="shared" si="73"/>
        <v>Number</v>
      </c>
      <c r="S324" s="2">
        <v>0</v>
      </c>
      <c r="T324" s="19">
        <f t="shared" si="74"/>
        <v>0</v>
      </c>
      <c r="U324" s="2">
        <v>76.489999999999995</v>
      </c>
      <c r="V324" s="19">
        <f t="shared" si="75"/>
        <v>76.489999999999995</v>
      </c>
      <c r="W324" s="19">
        <f t="shared" si="76"/>
        <v>76.489999999999995</v>
      </c>
      <c r="X324" s="19" t="str">
        <f t="shared" si="77"/>
        <v>True</v>
      </c>
      <c r="Y324" s="19" t="str">
        <f>IF(OR(W324&lt;'Cleaning Tasks'!$G$18,W324&gt;'Cleaning Tasks'!$H$18),"Outlier","Normal")</f>
        <v>Normal</v>
      </c>
      <c r="Z324" s="2" t="s">
        <v>39</v>
      </c>
      <c r="AA324" s="2" t="s">
        <v>88</v>
      </c>
      <c r="AB324" s="2" t="s">
        <v>50</v>
      </c>
      <c r="AC324" s="2" t="s">
        <v>29</v>
      </c>
      <c r="AD324" s="2" t="s">
        <v>112</v>
      </c>
      <c r="AE324" s="2" t="str">
        <f t="shared" si="78"/>
        <v>Valid</v>
      </c>
      <c r="AF324" s="2" t="s">
        <v>1233</v>
      </c>
    </row>
    <row r="325" spans="1:32" x14ac:dyDescent="0.3">
      <c r="A325" s="2" t="s">
        <v>1234</v>
      </c>
      <c r="B325" s="2">
        <f t="shared" si="68"/>
        <v>1</v>
      </c>
      <c r="C325" s="12">
        <f t="shared" si="67"/>
        <v>46238.581945844897</v>
      </c>
      <c r="D325" s="13">
        <v>46238.581945844897</v>
      </c>
      <c r="E325" s="2" t="s">
        <v>1235</v>
      </c>
      <c r="F325" s="2" t="str">
        <f t="shared" si="69"/>
        <v>Email Available</v>
      </c>
      <c r="G325" s="2" t="s">
        <v>1236</v>
      </c>
      <c r="H325" s="2" t="s">
        <v>109</v>
      </c>
      <c r="I325" s="2" t="s">
        <v>79</v>
      </c>
      <c r="J325" s="2" t="s">
        <v>110</v>
      </c>
      <c r="K325" s="2">
        <v>1</v>
      </c>
      <c r="L325" s="2">
        <v>22.99</v>
      </c>
      <c r="M325" s="19">
        <f t="shared" si="70"/>
        <v>22.99</v>
      </c>
      <c r="N325" s="2"/>
      <c r="O325" s="2" t="str">
        <f t="shared" si="71"/>
        <v/>
      </c>
      <c r="P325" s="2">
        <v>0</v>
      </c>
      <c r="Q325" s="19">
        <f t="shared" si="72"/>
        <v>0</v>
      </c>
      <c r="R325" s="2" t="str">
        <f t="shared" si="73"/>
        <v>Number</v>
      </c>
      <c r="S325" s="2">
        <v>5.99</v>
      </c>
      <c r="T325" s="19">
        <f t="shared" si="74"/>
        <v>5.99</v>
      </c>
      <c r="U325" s="2">
        <v>28.98</v>
      </c>
      <c r="V325" s="19">
        <f t="shared" si="75"/>
        <v>28.98</v>
      </c>
      <c r="W325" s="19">
        <f t="shared" si="76"/>
        <v>28.979999999999997</v>
      </c>
      <c r="X325" s="19" t="str">
        <f t="shared" si="77"/>
        <v>True</v>
      </c>
      <c r="Y325" s="19" t="str">
        <f>IF(OR(W325&lt;'Cleaning Tasks'!$G$18,W325&gt;'Cleaning Tasks'!$H$18),"Outlier","Normal")</f>
        <v>Normal</v>
      </c>
      <c r="Z325" s="2" t="s">
        <v>49</v>
      </c>
      <c r="AA325" s="2" t="s">
        <v>27</v>
      </c>
      <c r="AB325" s="2" t="s">
        <v>50</v>
      </c>
      <c r="AC325" s="2" t="s">
        <v>105</v>
      </c>
      <c r="AD325" s="2"/>
      <c r="AE325" s="2" t="str">
        <f t="shared" si="78"/>
        <v>Not Required</v>
      </c>
      <c r="AF325" s="2" t="s">
        <v>1237</v>
      </c>
    </row>
    <row r="326" spans="1:32" x14ac:dyDescent="0.3">
      <c r="A326" s="2" t="s">
        <v>1238</v>
      </c>
      <c r="B326" s="2">
        <f t="shared" si="68"/>
        <v>1</v>
      </c>
      <c r="C326" s="12">
        <f t="shared" si="67"/>
        <v>46238.580953726851</v>
      </c>
      <c r="D326" s="13">
        <v>46238.580953726851</v>
      </c>
      <c r="E326" s="2" t="s">
        <v>635</v>
      </c>
      <c r="F326" s="2" t="str">
        <f t="shared" si="69"/>
        <v>Email Available</v>
      </c>
      <c r="G326" s="2" t="s">
        <v>636</v>
      </c>
      <c r="H326" s="2" t="s">
        <v>309</v>
      </c>
      <c r="I326" s="2" t="s">
        <v>36</v>
      </c>
      <c r="J326" s="2" t="s">
        <v>310</v>
      </c>
      <c r="K326" s="2">
        <v>1</v>
      </c>
      <c r="L326" s="2">
        <v>8.99</v>
      </c>
      <c r="M326" s="19">
        <f t="shared" si="70"/>
        <v>8.99</v>
      </c>
      <c r="N326" s="2"/>
      <c r="O326" s="2" t="str">
        <f t="shared" si="71"/>
        <v/>
      </c>
      <c r="P326" s="2">
        <v>0</v>
      </c>
      <c r="Q326" s="19">
        <f t="shared" si="72"/>
        <v>0</v>
      </c>
      <c r="R326" s="2" t="str">
        <f t="shared" si="73"/>
        <v>Number</v>
      </c>
      <c r="S326" s="2">
        <v>5.99</v>
      </c>
      <c r="T326" s="19">
        <f t="shared" si="74"/>
        <v>5.99</v>
      </c>
      <c r="U326" s="2">
        <v>14.98</v>
      </c>
      <c r="V326" s="19">
        <f t="shared" si="75"/>
        <v>14.98</v>
      </c>
      <c r="W326" s="19">
        <f t="shared" si="76"/>
        <v>14.98</v>
      </c>
      <c r="X326" s="19" t="str">
        <f t="shared" si="77"/>
        <v>True</v>
      </c>
      <c r="Y326" s="19" t="str">
        <f>IF(OR(W326&lt;'Cleaning Tasks'!$G$18,W326&gt;'Cleaning Tasks'!$H$18),"Outlier","Normal")</f>
        <v>Normal</v>
      </c>
      <c r="Z326" s="2" t="s">
        <v>26</v>
      </c>
      <c r="AA326" s="2" t="s">
        <v>111</v>
      </c>
      <c r="AB326" s="2" t="s">
        <v>50</v>
      </c>
      <c r="AC326" s="2" t="s">
        <v>29</v>
      </c>
      <c r="AD326" s="2" t="s">
        <v>30</v>
      </c>
      <c r="AE326" s="2" t="str">
        <f t="shared" si="78"/>
        <v>Valid</v>
      </c>
      <c r="AF326" s="2" t="s">
        <v>1239</v>
      </c>
    </row>
    <row r="327" spans="1:32" x14ac:dyDescent="0.3">
      <c r="A327" s="2" t="s">
        <v>1240</v>
      </c>
      <c r="B327" s="2">
        <f t="shared" si="68"/>
        <v>1</v>
      </c>
      <c r="C327" s="12">
        <f t="shared" si="67"/>
        <v>46238</v>
      </c>
      <c r="D327" s="13">
        <v>46238</v>
      </c>
      <c r="E327" s="2" t="s">
        <v>602</v>
      </c>
      <c r="F327" s="2" t="str">
        <f t="shared" si="69"/>
        <v>Email Available</v>
      </c>
      <c r="G327" s="2" t="s">
        <v>603</v>
      </c>
      <c r="H327" s="2" t="s">
        <v>78</v>
      </c>
      <c r="I327" s="2" t="s">
        <v>79</v>
      </c>
      <c r="J327" s="2" t="s">
        <v>80</v>
      </c>
      <c r="K327" s="2">
        <v>1</v>
      </c>
      <c r="L327" s="2">
        <v>89.99</v>
      </c>
      <c r="M327" s="19">
        <f t="shared" si="70"/>
        <v>89.99</v>
      </c>
      <c r="N327" s="2"/>
      <c r="O327" s="2" t="str">
        <f t="shared" si="71"/>
        <v/>
      </c>
      <c r="P327" s="2">
        <v>0</v>
      </c>
      <c r="Q327" s="19">
        <f t="shared" si="72"/>
        <v>0</v>
      </c>
      <c r="R327" s="2" t="str">
        <f t="shared" si="73"/>
        <v>Number</v>
      </c>
      <c r="S327" s="2">
        <v>0</v>
      </c>
      <c r="T327" s="19">
        <f t="shared" si="74"/>
        <v>0</v>
      </c>
      <c r="U327" s="2">
        <v>89.99</v>
      </c>
      <c r="V327" s="19">
        <f t="shared" si="75"/>
        <v>89.99</v>
      </c>
      <c r="W327" s="19">
        <f t="shared" si="76"/>
        <v>89.99</v>
      </c>
      <c r="X327" s="19" t="str">
        <f t="shared" si="77"/>
        <v>True</v>
      </c>
      <c r="Y327" s="19" t="str">
        <f>IF(OR(W327&lt;'Cleaning Tasks'!$G$18,W327&gt;'Cleaning Tasks'!$H$18),"Outlier","Normal")</f>
        <v>Outlier</v>
      </c>
      <c r="Z327" s="2" t="s">
        <v>39</v>
      </c>
      <c r="AA327" s="2" t="s">
        <v>27</v>
      </c>
      <c r="AB327" s="2" t="s">
        <v>96</v>
      </c>
      <c r="AC327" s="2" t="s">
        <v>42</v>
      </c>
      <c r="AD327" s="2"/>
      <c r="AE327" s="2" t="str">
        <f t="shared" si="78"/>
        <v>Not Required</v>
      </c>
      <c r="AF327" s="2" t="s">
        <v>1241</v>
      </c>
    </row>
    <row r="328" spans="1:32" x14ac:dyDescent="0.3">
      <c r="A328" s="2" t="s">
        <v>1242</v>
      </c>
      <c r="B328" s="2">
        <f t="shared" si="68"/>
        <v>1</v>
      </c>
      <c r="C328" s="12">
        <f t="shared" si="67"/>
        <v>46238.579760289351</v>
      </c>
      <c r="D328" s="13">
        <v>46238.579760289351</v>
      </c>
      <c r="E328" s="2" t="s">
        <v>1243</v>
      </c>
      <c r="F328" s="2" t="str">
        <f t="shared" si="69"/>
        <v>Email Available</v>
      </c>
      <c r="G328" s="2" t="s">
        <v>1244</v>
      </c>
      <c r="H328" s="2" t="s">
        <v>46</v>
      </c>
      <c r="I328" s="2" t="s">
        <v>47</v>
      </c>
      <c r="J328" s="2" t="s">
        <v>48</v>
      </c>
      <c r="K328" s="2">
        <v>1</v>
      </c>
      <c r="L328" s="2">
        <v>39.99</v>
      </c>
      <c r="M328" s="19">
        <f t="shared" si="70"/>
        <v>39.99</v>
      </c>
      <c r="N328" s="2" t="s">
        <v>203</v>
      </c>
      <c r="O328" s="2" t="str">
        <f t="shared" si="71"/>
        <v>VIP15</v>
      </c>
      <c r="P328" s="2">
        <v>6</v>
      </c>
      <c r="Q328" s="19">
        <f t="shared" si="72"/>
        <v>6</v>
      </c>
      <c r="R328" s="2" t="str">
        <f t="shared" si="73"/>
        <v>Number</v>
      </c>
      <c r="S328" s="2">
        <v>5.99</v>
      </c>
      <c r="T328" s="19">
        <f t="shared" si="74"/>
        <v>5.99</v>
      </c>
      <c r="U328" s="2">
        <v>39.979999999999997</v>
      </c>
      <c r="V328" s="19">
        <f t="shared" si="75"/>
        <v>39.979999999999997</v>
      </c>
      <c r="W328" s="19">
        <f t="shared" si="76"/>
        <v>39.980000000000004</v>
      </c>
      <c r="X328" s="19" t="str">
        <f t="shared" si="77"/>
        <v>True</v>
      </c>
      <c r="Y328" s="19" t="str">
        <f>IF(OR(W328&lt;'Cleaning Tasks'!$G$18,W328&gt;'Cleaning Tasks'!$H$18),"Outlier","Normal")</f>
        <v>Normal</v>
      </c>
      <c r="Z328" s="2" t="s">
        <v>26</v>
      </c>
      <c r="AA328" s="2" t="s">
        <v>88</v>
      </c>
      <c r="AB328" s="2" t="s">
        <v>50</v>
      </c>
      <c r="AC328" s="2" t="s">
        <v>29</v>
      </c>
      <c r="AD328" s="2" t="s">
        <v>89</v>
      </c>
      <c r="AE328" s="2" t="str">
        <f t="shared" si="78"/>
        <v>Valid</v>
      </c>
      <c r="AF328" s="2" t="s">
        <v>1245</v>
      </c>
    </row>
    <row r="329" spans="1:32" x14ac:dyDescent="0.3">
      <c r="A329" s="2" t="s">
        <v>1246</v>
      </c>
      <c r="B329" s="2">
        <f t="shared" si="68"/>
        <v>1</v>
      </c>
      <c r="C329" s="12">
        <f t="shared" ref="C329:C360" si="79">IF(ISNUMBER(D329),D329,DATEVALUE(SUBSTITUTE(TRIM(D329),CHAR(160)," ")))</f>
        <v>46238</v>
      </c>
      <c r="D329" s="13">
        <v>46238</v>
      </c>
      <c r="E329" s="2" t="s">
        <v>557</v>
      </c>
      <c r="F329" s="2" t="str">
        <f t="shared" si="69"/>
        <v>Email Available</v>
      </c>
      <c r="G329" s="2" t="s">
        <v>558</v>
      </c>
      <c r="H329" s="2" t="s">
        <v>56</v>
      </c>
      <c r="I329" s="2" t="s">
        <v>22</v>
      </c>
      <c r="J329" s="2" t="s">
        <v>57</v>
      </c>
      <c r="K329" s="2">
        <v>1</v>
      </c>
      <c r="L329" s="2">
        <v>9.99</v>
      </c>
      <c r="M329" s="19">
        <f t="shared" si="70"/>
        <v>9.99</v>
      </c>
      <c r="N329" s="2" t="s">
        <v>203</v>
      </c>
      <c r="O329" s="2" t="str">
        <f t="shared" si="71"/>
        <v>VIP15</v>
      </c>
      <c r="P329" s="2">
        <v>1.5</v>
      </c>
      <c r="Q329" s="19">
        <f t="shared" si="72"/>
        <v>1.5</v>
      </c>
      <c r="R329" s="2" t="str">
        <f t="shared" si="73"/>
        <v>Number</v>
      </c>
      <c r="S329" s="2">
        <v>4.99</v>
      </c>
      <c r="T329" s="19">
        <f t="shared" si="74"/>
        <v>4.99</v>
      </c>
      <c r="U329" s="2">
        <v>13.48</v>
      </c>
      <c r="V329" s="19">
        <f t="shared" si="75"/>
        <v>13.48</v>
      </c>
      <c r="W329" s="19">
        <f t="shared" si="76"/>
        <v>13.48</v>
      </c>
      <c r="X329" s="19" t="str">
        <f t="shared" si="77"/>
        <v>True</v>
      </c>
      <c r="Y329" s="19" t="str">
        <f>IF(OR(W329&lt;'Cleaning Tasks'!$G$18,W329&gt;'Cleaning Tasks'!$H$18),"Outlier","Normal")</f>
        <v>Normal</v>
      </c>
      <c r="Z329" s="2" t="s">
        <v>66</v>
      </c>
      <c r="AA329" s="2" t="s">
        <v>111</v>
      </c>
      <c r="AB329" s="2" t="s">
        <v>96</v>
      </c>
      <c r="AC329" s="2" t="s">
        <v>42</v>
      </c>
      <c r="AD329" s="2"/>
      <c r="AE329" s="2" t="str">
        <f t="shared" si="78"/>
        <v>Not Required</v>
      </c>
      <c r="AF329" s="2" t="s">
        <v>1247</v>
      </c>
    </row>
    <row r="330" spans="1:32" x14ac:dyDescent="0.3">
      <c r="A330" s="2" t="s">
        <v>1248</v>
      </c>
      <c r="B330" s="2">
        <f t="shared" si="68"/>
        <v>1</v>
      </c>
      <c r="C330" s="12">
        <f t="shared" si="79"/>
        <v>46238.588228321758</v>
      </c>
      <c r="D330" s="13">
        <v>46238.588228321758</v>
      </c>
      <c r="E330" s="2" t="s">
        <v>494</v>
      </c>
      <c r="F330" s="2" t="str">
        <f t="shared" si="69"/>
        <v>Email Available</v>
      </c>
      <c r="G330" s="2" t="s">
        <v>495</v>
      </c>
      <c r="H330" s="2" t="s">
        <v>85</v>
      </c>
      <c r="I330" s="2" t="s">
        <v>86</v>
      </c>
      <c r="J330" s="2" t="s">
        <v>87</v>
      </c>
      <c r="K330" s="2">
        <v>1</v>
      </c>
      <c r="L330" s="2">
        <v>54.99</v>
      </c>
      <c r="M330" s="19">
        <f t="shared" si="70"/>
        <v>54.99</v>
      </c>
      <c r="N330" s="2" t="s">
        <v>24</v>
      </c>
      <c r="O330" s="2" t="str">
        <f t="shared" si="71"/>
        <v>SAVE20</v>
      </c>
      <c r="P330" s="2">
        <v>11</v>
      </c>
      <c r="Q330" s="19">
        <f t="shared" si="72"/>
        <v>11</v>
      </c>
      <c r="R330" s="2" t="str">
        <f t="shared" si="73"/>
        <v>Number</v>
      </c>
      <c r="S330" s="2">
        <v>7.99</v>
      </c>
      <c r="T330" s="19">
        <f t="shared" si="74"/>
        <v>7.99</v>
      </c>
      <c r="U330" s="2">
        <v>51.98</v>
      </c>
      <c r="V330" s="19">
        <f t="shared" si="75"/>
        <v>51.98</v>
      </c>
      <c r="W330" s="19">
        <f t="shared" si="76"/>
        <v>51.980000000000004</v>
      </c>
      <c r="X330" s="19" t="str">
        <f t="shared" si="77"/>
        <v>True</v>
      </c>
      <c r="Y330" s="19" t="str">
        <f>IF(OR(W330&lt;'Cleaning Tasks'!$G$18,W330&gt;'Cleaning Tasks'!$H$18),"Outlier","Normal")</f>
        <v>Normal</v>
      </c>
      <c r="Z330" s="2" t="s">
        <v>49</v>
      </c>
      <c r="AA330" s="2" t="s">
        <v>27</v>
      </c>
      <c r="AB330" s="2" t="s">
        <v>41</v>
      </c>
      <c r="AC330" s="2" t="s">
        <v>105</v>
      </c>
      <c r="AD330" s="2"/>
      <c r="AE330" s="2" t="str">
        <f t="shared" si="78"/>
        <v>Not Required</v>
      </c>
      <c r="AF330" s="2" t="s">
        <v>1249</v>
      </c>
    </row>
    <row r="331" spans="1:32" x14ac:dyDescent="0.3">
      <c r="A331" s="2" t="s">
        <v>1250</v>
      </c>
      <c r="B331" s="2">
        <f t="shared" si="68"/>
        <v>1</v>
      </c>
      <c r="C331" s="12">
        <f t="shared" si="79"/>
        <v>46238.581739641202</v>
      </c>
      <c r="D331" s="13">
        <v>46238.581739641202</v>
      </c>
      <c r="E331" s="2" t="s">
        <v>150</v>
      </c>
      <c r="F331" s="2" t="str">
        <f t="shared" si="69"/>
        <v>Email Available</v>
      </c>
      <c r="G331" s="2" t="s">
        <v>151</v>
      </c>
      <c r="H331" s="2" t="s">
        <v>166</v>
      </c>
      <c r="I331" s="2" t="s">
        <v>103</v>
      </c>
      <c r="J331" s="2" t="s">
        <v>167</v>
      </c>
      <c r="K331" s="2">
        <v>1</v>
      </c>
      <c r="L331" s="2">
        <v>32.99</v>
      </c>
      <c r="M331" s="19">
        <f t="shared" si="70"/>
        <v>32.99</v>
      </c>
      <c r="N331" s="2"/>
      <c r="O331" s="2" t="str">
        <f t="shared" si="71"/>
        <v/>
      </c>
      <c r="P331" s="2" t="s">
        <v>184</v>
      </c>
      <c r="Q331" s="19">
        <f t="shared" si="72"/>
        <v>0</v>
      </c>
      <c r="R331" s="2" t="str">
        <f t="shared" si="73"/>
        <v>Number</v>
      </c>
      <c r="S331" s="2">
        <v>5.99</v>
      </c>
      <c r="T331" s="19">
        <f t="shared" si="74"/>
        <v>5.99</v>
      </c>
      <c r="U331" s="2">
        <v>38.979999999999997</v>
      </c>
      <c r="V331" s="19">
        <f t="shared" si="75"/>
        <v>38.979999999999997</v>
      </c>
      <c r="W331" s="19">
        <f t="shared" si="76"/>
        <v>38.980000000000004</v>
      </c>
      <c r="X331" s="19" t="str">
        <f t="shared" si="77"/>
        <v>True</v>
      </c>
      <c r="Y331" s="19" t="str">
        <f>IF(OR(W331&lt;'Cleaning Tasks'!$G$18,W331&gt;'Cleaning Tasks'!$H$18),"Outlier","Normal")</f>
        <v>Normal</v>
      </c>
      <c r="Z331" s="2" t="s">
        <v>26</v>
      </c>
      <c r="AA331" s="2" t="s">
        <v>27</v>
      </c>
      <c r="AB331" s="2" t="s">
        <v>50</v>
      </c>
      <c r="AC331" s="2" t="s">
        <v>29</v>
      </c>
      <c r="AD331" s="2" t="s">
        <v>447</v>
      </c>
      <c r="AE331" s="2" t="str">
        <f t="shared" si="78"/>
        <v>Valid</v>
      </c>
      <c r="AF331" s="2" t="s">
        <v>1251</v>
      </c>
    </row>
    <row r="332" spans="1:32" x14ac:dyDescent="0.3">
      <c r="A332" s="2" t="s">
        <v>1252</v>
      </c>
      <c r="B332" s="2">
        <f t="shared" si="68"/>
        <v>1</v>
      </c>
      <c r="C332" s="12">
        <f t="shared" si="79"/>
        <v>46238.579662638891</v>
      </c>
      <c r="D332" s="13">
        <v>46238.579662638891</v>
      </c>
      <c r="E332" s="2" t="s">
        <v>740</v>
      </c>
      <c r="F332" s="2" t="str">
        <f t="shared" si="69"/>
        <v>Email Available</v>
      </c>
      <c r="G332" s="2" t="s">
        <v>741</v>
      </c>
      <c r="H332" s="2" t="s">
        <v>117</v>
      </c>
      <c r="I332" s="2" t="s">
        <v>22</v>
      </c>
      <c r="J332" s="2" t="s">
        <v>23</v>
      </c>
      <c r="K332" s="2">
        <v>1</v>
      </c>
      <c r="L332" s="2">
        <v>12.99</v>
      </c>
      <c r="M332" s="19">
        <f t="shared" si="70"/>
        <v>12.99</v>
      </c>
      <c r="N332" s="2"/>
      <c r="O332" s="2" t="str">
        <f t="shared" si="71"/>
        <v/>
      </c>
      <c r="P332" s="2" t="s">
        <v>184</v>
      </c>
      <c r="Q332" s="19">
        <f t="shared" si="72"/>
        <v>0</v>
      </c>
      <c r="R332" s="2" t="str">
        <f t="shared" si="73"/>
        <v>Number</v>
      </c>
      <c r="S332" s="2">
        <v>4.99</v>
      </c>
      <c r="T332" s="19">
        <f t="shared" si="74"/>
        <v>4.99</v>
      </c>
      <c r="U332" s="2">
        <v>17.98</v>
      </c>
      <c r="V332" s="19">
        <f t="shared" si="75"/>
        <v>17.98</v>
      </c>
      <c r="W332" s="19">
        <f t="shared" si="76"/>
        <v>17.98</v>
      </c>
      <c r="X332" s="19" t="str">
        <f t="shared" si="77"/>
        <v>True</v>
      </c>
      <c r="Y332" s="19" t="str">
        <f>IF(OR(W332&lt;'Cleaning Tasks'!$G$18,W332&gt;'Cleaning Tasks'!$H$18),"Outlier","Normal")</f>
        <v>Normal</v>
      </c>
      <c r="Z332" s="2" t="s">
        <v>66</v>
      </c>
      <c r="AA332" s="2" t="s">
        <v>27</v>
      </c>
      <c r="AB332" s="2" t="s">
        <v>41</v>
      </c>
      <c r="AC332" s="2" t="s">
        <v>105</v>
      </c>
      <c r="AD332" s="2"/>
      <c r="AE332" s="2" t="str">
        <f t="shared" si="78"/>
        <v>Not Required</v>
      </c>
      <c r="AF332" s="2" t="s">
        <v>1253</v>
      </c>
    </row>
    <row r="333" spans="1:32" x14ac:dyDescent="0.3">
      <c r="A333" s="2" t="s">
        <v>1254</v>
      </c>
      <c r="B333" s="2">
        <f t="shared" si="68"/>
        <v>1</v>
      </c>
      <c r="C333" s="12">
        <f t="shared" si="79"/>
        <v>46238</v>
      </c>
      <c r="D333" s="13" t="s">
        <v>338</v>
      </c>
      <c r="E333" s="2" t="s">
        <v>1255</v>
      </c>
      <c r="F333" s="2" t="str">
        <f t="shared" si="69"/>
        <v>Email Available</v>
      </c>
      <c r="G333" s="2" t="s">
        <v>1256</v>
      </c>
      <c r="H333" s="2" t="s">
        <v>182</v>
      </c>
      <c r="I333" s="2" t="s">
        <v>36</v>
      </c>
      <c r="J333" s="2" t="s">
        <v>183</v>
      </c>
      <c r="K333" s="2">
        <v>1</v>
      </c>
      <c r="L333" s="2">
        <v>11.99</v>
      </c>
      <c r="M333" s="19">
        <f t="shared" si="70"/>
        <v>11.99</v>
      </c>
      <c r="N333" s="2" t="s">
        <v>38</v>
      </c>
      <c r="O333" s="2" t="str">
        <f t="shared" si="71"/>
        <v>FREESHIP</v>
      </c>
      <c r="P333" s="2">
        <v>0</v>
      </c>
      <c r="Q333" s="19">
        <f t="shared" si="72"/>
        <v>0</v>
      </c>
      <c r="R333" s="2" t="str">
        <f t="shared" si="73"/>
        <v>Number</v>
      </c>
      <c r="S333" s="2">
        <v>0</v>
      </c>
      <c r="T333" s="19">
        <f t="shared" si="74"/>
        <v>0</v>
      </c>
      <c r="U333" s="2">
        <v>11.99</v>
      </c>
      <c r="V333" s="19">
        <f t="shared" si="75"/>
        <v>11.99</v>
      </c>
      <c r="W333" s="19">
        <f t="shared" si="76"/>
        <v>11.99</v>
      </c>
      <c r="X333" s="19" t="str">
        <f t="shared" si="77"/>
        <v>True</v>
      </c>
      <c r="Y333" s="19" t="str">
        <f>IF(OR(W333&lt;'Cleaning Tasks'!$G$18,W333&gt;'Cleaning Tasks'!$H$18),"Outlier","Normal")</f>
        <v>Normal</v>
      </c>
      <c r="Z333" s="2" t="s">
        <v>49</v>
      </c>
      <c r="AA333" s="2" t="s">
        <v>27</v>
      </c>
      <c r="AB333" s="2" t="s">
        <v>50</v>
      </c>
      <c r="AC333" s="2" t="s">
        <v>105</v>
      </c>
      <c r="AD333" s="2"/>
      <c r="AE333" s="2" t="str">
        <f t="shared" si="78"/>
        <v>Not Required</v>
      </c>
      <c r="AF333" s="2" t="s">
        <v>1257</v>
      </c>
    </row>
    <row r="334" spans="1:32" x14ac:dyDescent="0.3">
      <c r="A334" s="2" t="s">
        <v>1258</v>
      </c>
      <c r="B334" s="2">
        <f t="shared" si="68"/>
        <v>1</v>
      </c>
      <c r="C334" s="12">
        <f t="shared" si="79"/>
        <v>46238.584811620371</v>
      </c>
      <c r="D334" s="13">
        <v>46238.584811620371</v>
      </c>
      <c r="E334" s="2" t="s">
        <v>366</v>
      </c>
      <c r="F334" s="2" t="str">
        <f t="shared" si="69"/>
        <v>Email Available</v>
      </c>
      <c r="G334" s="2" t="s">
        <v>367</v>
      </c>
      <c r="H334" s="2" t="s">
        <v>109</v>
      </c>
      <c r="I334" s="2" t="s">
        <v>79</v>
      </c>
      <c r="J334" s="2" t="s">
        <v>110</v>
      </c>
      <c r="K334" s="2">
        <v>2</v>
      </c>
      <c r="L334" s="2">
        <v>22.99</v>
      </c>
      <c r="M334" s="19">
        <f t="shared" si="70"/>
        <v>22.99</v>
      </c>
      <c r="N334" s="2" t="s">
        <v>24</v>
      </c>
      <c r="O334" s="2" t="str">
        <f t="shared" si="71"/>
        <v>SAVE20</v>
      </c>
      <c r="P334" s="2">
        <v>9.1999999999999993</v>
      </c>
      <c r="Q334" s="19">
        <f t="shared" si="72"/>
        <v>9.1999999999999993</v>
      </c>
      <c r="R334" s="2" t="str">
        <f t="shared" si="73"/>
        <v>Number</v>
      </c>
      <c r="S334" s="2">
        <v>7.99</v>
      </c>
      <c r="T334" s="19">
        <f t="shared" si="74"/>
        <v>7.99</v>
      </c>
      <c r="U334" s="2">
        <v>44.77</v>
      </c>
      <c r="V334" s="19">
        <f t="shared" si="75"/>
        <v>44.77</v>
      </c>
      <c r="W334" s="19">
        <f t="shared" si="76"/>
        <v>44.77</v>
      </c>
      <c r="X334" s="19" t="str">
        <f t="shared" si="77"/>
        <v>True</v>
      </c>
      <c r="Y334" s="19" t="str">
        <f>IF(OR(W334&lt;'Cleaning Tasks'!$G$18,W334&gt;'Cleaning Tasks'!$H$18),"Outlier","Normal")</f>
        <v>Normal</v>
      </c>
      <c r="Z334" s="2" t="s">
        <v>26</v>
      </c>
      <c r="AA334" s="2" t="s">
        <v>40</v>
      </c>
      <c r="AB334" s="2" t="s">
        <v>28</v>
      </c>
      <c r="AC334" s="2" t="s">
        <v>331</v>
      </c>
      <c r="AD334" s="2"/>
      <c r="AE334" s="2" t="str">
        <f t="shared" si="78"/>
        <v>Not Required</v>
      </c>
      <c r="AF334" s="2" t="s">
        <v>1259</v>
      </c>
    </row>
    <row r="335" spans="1:32" x14ac:dyDescent="0.3">
      <c r="A335" s="2" t="s">
        <v>1260</v>
      </c>
      <c r="B335" s="2">
        <f t="shared" si="68"/>
        <v>1</v>
      </c>
      <c r="C335" s="12">
        <f t="shared" si="79"/>
        <v>46238.58356421296</v>
      </c>
      <c r="D335" s="13">
        <v>46238.58356421296</v>
      </c>
      <c r="E335" s="2" t="s">
        <v>1261</v>
      </c>
      <c r="F335" s="2" t="str">
        <f t="shared" si="69"/>
        <v>Email Available</v>
      </c>
      <c r="G335" s="2" t="s">
        <v>1262</v>
      </c>
      <c r="H335" s="2" t="s">
        <v>146</v>
      </c>
      <c r="I335" s="2" t="s">
        <v>47</v>
      </c>
      <c r="J335" s="2" t="s">
        <v>147</v>
      </c>
      <c r="K335" s="2">
        <v>1</v>
      </c>
      <c r="L335" s="2">
        <v>34.99</v>
      </c>
      <c r="M335" s="19">
        <f t="shared" si="70"/>
        <v>34.99</v>
      </c>
      <c r="N335" s="2"/>
      <c r="O335" s="2" t="str">
        <f t="shared" si="71"/>
        <v/>
      </c>
      <c r="P335" s="2">
        <v>0</v>
      </c>
      <c r="Q335" s="19">
        <f t="shared" si="72"/>
        <v>0</v>
      </c>
      <c r="R335" s="2" t="str">
        <f t="shared" si="73"/>
        <v>Number</v>
      </c>
      <c r="S335" s="2">
        <v>5.99</v>
      </c>
      <c r="T335" s="19">
        <f t="shared" si="74"/>
        <v>5.99</v>
      </c>
      <c r="U335" s="2">
        <v>40.98</v>
      </c>
      <c r="V335" s="19">
        <f t="shared" si="75"/>
        <v>40.98</v>
      </c>
      <c r="W335" s="19">
        <f t="shared" si="76"/>
        <v>40.980000000000004</v>
      </c>
      <c r="X335" s="19" t="str">
        <f t="shared" si="77"/>
        <v>True</v>
      </c>
      <c r="Y335" s="19" t="str">
        <f>IF(OR(W335&lt;'Cleaning Tasks'!$G$18,W335&gt;'Cleaning Tasks'!$H$18),"Outlier","Normal")</f>
        <v>Normal</v>
      </c>
      <c r="Z335" s="2" t="s">
        <v>39</v>
      </c>
      <c r="AA335" s="2" t="s">
        <v>27</v>
      </c>
      <c r="AB335" s="2" t="s">
        <v>50</v>
      </c>
      <c r="AC335" s="2" t="s">
        <v>331</v>
      </c>
      <c r="AD335" s="2"/>
      <c r="AE335" s="2" t="str">
        <f t="shared" si="78"/>
        <v>Not Required</v>
      </c>
      <c r="AF335" s="2" t="s">
        <v>1263</v>
      </c>
    </row>
    <row r="336" spans="1:32" x14ac:dyDescent="0.3">
      <c r="A336" s="2" t="s">
        <v>1264</v>
      </c>
      <c r="B336" s="2">
        <f t="shared" si="68"/>
        <v>1</v>
      </c>
      <c r="C336" s="12">
        <f t="shared" si="79"/>
        <v>46238.582892847233</v>
      </c>
      <c r="D336" s="13">
        <v>46238.582892847233</v>
      </c>
      <c r="E336" s="2" t="s">
        <v>1265</v>
      </c>
      <c r="F336" s="2" t="str">
        <f t="shared" si="69"/>
        <v>Email Available</v>
      </c>
      <c r="G336" s="2" t="s">
        <v>1266</v>
      </c>
      <c r="H336" s="2" t="s">
        <v>190</v>
      </c>
      <c r="I336" s="2" t="s">
        <v>191</v>
      </c>
      <c r="J336" s="2" t="s">
        <v>192</v>
      </c>
      <c r="K336" s="2">
        <v>2</v>
      </c>
      <c r="L336" s="2">
        <v>13.49</v>
      </c>
      <c r="M336" s="19">
        <f t="shared" si="70"/>
        <v>13.49</v>
      </c>
      <c r="N336" s="2" t="s">
        <v>65</v>
      </c>
      <c r="O336" s="2" t="str">
        <f t="shared" si="71"/>
        <v>WELCOME10</v>
      </c>
      <c r="P336" s="2">
        <v>2.7</v>
      </c>
      <c r="Q336" s="19">
        <f t="shared" si="72"/>
        <v>2.7</v>
      </c>
      <c r="R336" s="2" t="str">
        <f t="shared" si="73"/>
        <v>Number</v>
      </c>
      <c r="S336" s="2">
        <v>5.99</v>
      </c>
      <c r="T336" s="19">
        <f t="shared" si="74"/>
        <v>5.99</v>
      </c>
      <c r="U336" s="2">
        <v>30.27</v>
      </c>
      <c r="V336" s="19">
        <f t="shared" si="75"/>
        <v>30.27</v>
      </c>
      <c r="W336" s="19">
        <f t="shared" si="76"/>
        <v>30.270000000000003</v>
      </c>
      <c r="X336" s="19" t="str">
        <f t="shared" si="77"/>
        <v>True</v>
      </c>
      <c r="Y336" s="19" t="str">
        <f>IF(OR(W336&lt;'Cleaning Tasks'!$G$18,W336&gt;'Cleaning Tasks'!$H$18),"Outlier","Normal")</f>
        <v>Normal</v>
      </c>
      <c r="Z336" s="2" t="s">
        <v>72</v>
      </c>
      <c r="AA336" s="2" t="s">
        <v>111</v>
      </c>
      <c r="AB336" s="2" t="s">
        <v>50</v>
      </c>
      <c r="AC336" s="2" t="s">
        <v>29</v>
      </c>
      <c r="AD336" s="2" t="s">
        <v>30</v>
      </c>
      <c r="AE336" s="2" t="str">
        <f t="shared" si="78"/>
        <v>Valid</v>
      </c>
      <c r="AF336" s="2" t="s">
        <v>1267</v>
      </c>
    </row>
    <row r="337" spans="1:32" x14ac:dyDescent="0.3">
      <c r="A337" s="2" t="s">
        <v>1268</v>
      </c>
      <c r="B337" s="2">
        <f t="shared" si="68"/>
        <v>1</v>
      </c>
      <c r="C337" s="12">
        <f t="shared" si="79"/>
        <v>46238.58632328704</v>
      </c>
      <c r="D337" s="13">
        <v>46238.58632328704</v>
      </c>
      <c r="E337" s="2" t="s">
        <v>516</v>
      </c>
      <c r="F337" s="2" t="str">
        <f t="shared" si="69"/>
        <v>Email Available</v>
      </c>
      <c r="G337" s="2" t="s">
        <v>517</v>
      </c>
      <c r="H337" s="2" t="s">
        <v>261</v>
      </c>
      <c r="I337" s="2" t="s">
        <v>36</v>
      </c>
      <c r="J337" s="2" t="s">
        <v>262</v>
      </c>
      <c r="K337" s="2">
        <v>2</v>
      </c>
      <c r="L337" s="2">
        <v>15.49</v>
      </c>
      <c r="M337" s="19">
        <f t="shared" si="70"/>
        <v>15.49</v>
      </c>
      <c r="N337" s="2"/>
      <c r="O337" s="2" t="str">
        <f t="shared" si="71"/>
        <v/>
      </c>
      <c r="P337" s="2">
        <v>0</v>
      </c>
      <c r="Q337" s="19">
        <f t="shared" si="72"/>
        <v>0</v>
      </c>
      <c r="R337" s="2" t="str">
        <f t="shared" si="73"/>
        <v>Number</v>
      </c>
      <c r="S337" s="2">
        <v>5.99</v>
      </c>
      <c r="T337" s="19">
        <f t="shared" si="74"/>
        <v>5.99</v>
      </c>
      <c r="U337" s="2">
        <v>36.97</v>
      </c>
      <c r="V337" s="19">
        <f t="shared" si="75"/>
        <v>36.97</v>
      </c>
      <c r="W337" s="19">
        <f t="shared" si="76"/>
        <v>36.97</v>
      </c>
      <c r="X337" s="19" t="str">
        <f t="shared" si="77"/>
        <v>True</v>
      </c>
      <c r="Y337" s="19" t="str">
        <f>IF(OR(W337&lt;'Cleaning Tasks'!$G$18,W337&gt;'Cleaning Tasks'!$H$18),"Outlier","Normal")</f>
        <v>Normal</v>
      </c>
      <c r="Z337" s="2" t="s">
        <v>49</v>
      </c>
      <c r="AA337" s="2" t="s">
        <v>88</v>
      </c>
      <c r="AB337" s="2" t="s">
        <v>28</v>
      </c>
      <c r="AC337" s="2" t="s">
        <v>29</v>
      </c>
      <c r="AD337" s="2" t="s">
        <v>447</v>
      </c>
      <c r="AE337" s="2" t="str">
        <f t="shared" si="78"/>
        <v>Valid</v>
      </c>
      <c r="AF337" s="2" t="s">
        <v>1269</v>
      </c>
    </row>
    <row r="338" spans="1:32" x14ac:dyDescent="0.3">
      <c r="A338" s="2" t="s">
        <v>1270</v>
      </c>
      <c r="B338" s="2">
        <f t="shared" si="68"/>
        <v>1</v>
      </c>
      <c r="C338" s="12">
        <f t="shared" si="79"/>
        <v>46238</v>
      </c>
      <c r="D338" s="13">
        <v>46238</v>
      </c>
      <c r="E338" s="2" t="s">
        <v>1271</v>
      </c>
      <c r="F338" s="2" t="str">
        <f t="shared" si="69"/>
        <v>Email Available</v>
      </c>
      <c r="G338" s="2" t="s">
        <v>1272</v>
      </c>
      <c r="H338" s="2" t="s">
        <v>109</v>
      </c>
      <c r="I338" s="2" t="s">
        <v>79</v>
      </c>
      <c r="J338" s="2" t="s">
        <v>110</v>
      </c>
      <c r="K338" s="2">
        <v>1</v>
      </c>
      <c r="L338" s="2">
        <v>22.99</v>
      </c>
      <c r="M338" s="19">
        <f t="shared" si="70"/>
        <v>22.99</v>
      </c>
      <c r="N338" s="2"/>
      <c r="O338" s="2" t="str">
        <f t="shared" si="71"/>
        <v/>
      </c>
      <c r="P338" s="2">
        <v>0</v>
      </c>
      <c r="Q338" s="19">
        <f t="shared" si="72"/>
        <v>0</v>
      </c>
      <c r="R338" s="2" t="str">
        <f t="shared" si="73"/>
        <v>Number</v>
      </c>
      <c r="S338" s="2">
        <v>4.99</v>
      </c>
      <c r="T338" s="19">
        <f t="shared" si="74"/>
        <v>4.99</v>
      </c>
      <c r="U338" s="2">
        <v>27.98</v>
      </c>
      <c r="V338" s="19">
        <f t="shared" si="75"/>
        <v>27.98</v>
      </c>
      <c r="W338" s="19">
        <f t="shared" si="76"/>
        <v>27.979999999999997</v>
      </c>
      <c r="X338" s="19" t="str">
        <f t="shared" si="77"/>
        <v>True</v>
      </c>
      <c r="Y338" s="19" t="str">
        <f>IF(OR(W338&lt;'Cleaning Tasks'!$G$18,W338&gt;'Cleaning Tasks'!$H$18),"Outlier","Normal")</f>
        <v>Normal</v>
      </c>
      <c r="Z338" s="2" t="s">
        <v>49</v>
      </c>
      <c r="AA338" s="2" t="s">
        <v>111</v>
      </c>
      <c r="AB338" s="2" t="s">
        <v>50</v>
      </c>
      <c r="AC338" s="2" t="s">
        <v>73</v>
      </c>
      <c r="AD338" s="2"/>
      <c r="AE338" s="2" t="str">
        <f t="shared" si="78"/>
        <v>Not Required</v>
      </c>
      <c r="AF338" s="2" t="s">
        <v>1273</v>
      </c>
    </row>
    <row r="339" spans="1:32" x14ac:dyDescent="0.3">
      <c r="A339" s="2" t="s">
        <v>1274</v>
      </c>
      <c r="B339" s="2">
        <f t="shared" si="68"/>
        <v>1</v>
      </c>
      <c r="C339" s="12">
        <f t="shared" si="79"/>
        <v>46238</v>
      </c>
      <c r="D339" s="13">
        <v>46238</v>
      </c>
      <c r="E339" s="2" t="s">
        <v>1275</v>
      </c>
      <c r="F339" s="2" t="str">
        <f t="shared" si="69"/>
        <v>Email Available</v>
      </c>
      <c r="G339" s="2" t="s">
        <v>1256</v>
      </c>
      <c r="H339" s="2" t="s">
        <v>56</v>
      </c>
      <c r="I339" s="2" t="s">
        <v>22</v>
      </c>
      <c r="J339" s="2" t="s">
        <v>57</v>
      </c>
      <c r="K339" s="2">
        <v>1</v>
      </c>
      <c r="L339" s="2">
        <v>9.99</v>
      </c>
      <c r="M339" s="19">
        <f t="shared" si="70"/>
        <v>9.99</v>
      </c>
      <c r="N339" s="2" t="s">
        <v>203</v>
      </c>
      <c r="O339" s="2" t="str">
        <f t="shared" si="71"/>
        <v>VIP15</v>
      </c>
      <c r="P339" s="2">
        <v>1.5</v>
      </c>
      <c r="Q339" s="19">
        <f t="shared" si="72"/>
        <v>1.5</v>
      </c>
      <c r="R339" s="2" t="str">
        <f t="shared" si="73"/>
        <v>Number</v>
      </c>
      <c r="S339" s="2">
        <v>5.99</v>
      </c>
      <c r="T339" s="19">
        <f t="shared" si="74"/>
        <v>5.99</v>
      </c>
      <c r="U339" s="2">
        <v>14.48</v>
      </c>
      <c r="V339" s="19">
        <f t="shared" si="75"/>
        <v>14.48</v>
      </c>
      <c r="W339" s="19">
        <f t="shared" si="76"/>
        <v>14.48</v>
      </c>
      <c r="X339" s="19" t="str">
        <f t="shared" si="77"/>
        <v>True</v>
      </c>
      <c r="Y339" s="19" t="str">
        <f>IF(OR(W339&lt;'Cleaning Tasks'!$G$18,W339&gt;'Cleaning Tasks'!$H$18),"Outlier","Normal")</f>
        <v>Normal</v>
      </c>
      <c r="Z339" s="2" t="s">
        <v>72</v>
      </c>
      <c r="AA339" s="2" t="s">
        <v>40</v>
      </c>
      <c r="AB339" s="2" t="s">
        <v>28</v>
      </c>
      <c r="AC339" s="2" t="s">
        <v>105</v>
      </c>
      <c r="AD339" s="2"/>
      <c r="AE339" s="2" t="str">
        <f t="shared" si="78"/>
        <v>Not Required</v>
      </c>
      <c r="AF339" s="2" t="s">
        <v>1276</v>
      </c>
    </row>
    <row r="340" spans="1:32" x14ac:dyDescent="0.3">
      <c r="A340" s="2" t="s">
        <v>1277</v>
      </c>
      <c r="B340" s="2">
        <f t="shared" si="68"/>
        <v>1</v>
      </c>
      <c r="C340" s="12">
        <f t="shared" si="79"/>
        <v>46238.581240208332</v>
      </c>
      <c r="D340" s="13">
        <v>46238.581240208332</v>
      </c>
      <c r="E340" s="2" t="s">
        <v>1278</v>
      </c>
      <c r="F340" s="2" t="str">
        <f t="shared" si="69"/>
        <v>Email Available</v>
      </c>
      <c r="G340" s="2" t="s">
        <v>1279</v>
      </c>
      <c r="H340" s="2" t="s">
        <v>63</v>
      </c>
      <c r="I340" s="2" t="s">
        <v>47</v>
      </c>
      <c r="J340" s="2" t="s">
        <v>446</v>
      </c>
      <c r="K340" s="2">
        <v>1</v>
      </c>
      <c r="L340" s="2">
        <v>14.99</v>
      </c>
      <c r="M340" s="19">
        <f t="shared" si="70"/>
        <v>14.99</v>
      </c>
      <c r="N340" s="2" t="s">
        <v>1280</v>
      </c>
      <c r="O340" s="2" t="str">
        <f t="shared" si="71"/>
        <v>VIP15</v>
      </c>
      <c r="P340" s="2">
        <v>2.25</v>
      </c>
      <c r="Q340" s="19">
        <f t="shared" si="72"/>
        <v>2.25</v>
      </c>
      <c r="R340" s="2" t="str">
        <f t="shared" si="73"/>
        <v>Number</v>
      </c>
      <c r="S340" s="2">
        <v>7.99</v>
      </c>
      <c r="T340" s="19">
        <f t="shared" si="74"/>
        <v>7.99</v>
      </c>
      <c r="U340" s="2">
        <v>20.73</v>
      </c>
      <c r="V340" s="19">
        <f t="shared" si="75"/>
        <v>20.73</v>
      </c>
      <c r="W340" s="19">
        <f t="shared" si="76"/>
        <v>20.73</v>
      </c>
      <c r="X340" s="19" t="str">
        <f t="shared" si="77"/>
        <v>True</v>
      </c>
      <c r="Y340" s="19" t="str">
        <f>IF(OR(W340&lt;'Cleaning Tasks'!$G$18,W340&gt;'Cleaning Tasks'!$H$18),"Outlier","Normal")</f>
        <v>Normal</v>
      </c>
      <c r="Z340" s="2" t="s">
        <v>26</v>
      </c>
      <c r="AA340" s="2" t="s">
        <v>27</v>
      </c>
      <c r="AB340" s="2" t="s">
        <v>41</v>
      </c>
      <c r="AC340" s="2" t="s">
        <v>29</v>
      </c>
      <c r="AD340" s="2" t="s">
        <v>447</v>
      </c>
      <c r="AE340" s="2" t="str">
        <f t="shared" si="78"/>
        <v>Valid</v>
      </c>
      <c r="AF340" s="2" t="s">
        <v>1281</v>
      </c>
    </row>
    <row r="341" spans="1:32" x14ac:dyDescent="0.3">
      <c r="A341" s="2" t="s">
        <v>1282</v>
      </c>
      <c r="B341" s="2">
        <f t="shared" si="68"/>
        <v>1</v>
      </c>
      <c r="C341" s="12">
        <f t="shared" si="79"/>
        <v>46238.588356099543</v>
      </c>
      <c r="D341" s="13">
        <v>46238.588356099543</v>
      </c>
      <c r="E341" s="2" t="s">
        <v>1283</v>
      </c>
      <c r="F341" s="2" t="str">
        <f t="shared" si="69"/>
        <v>Email Available</v>
      </c>
      <c r="G341" s="2" t="s">
        <v>1284</v>
      </c>
      <c r="H341" s="2" t="s">
        <v>109</v>
      </c>
      <c r="I341" s="2" t="s">
        <v>79</v>
      </c>
      <c r="J341" s="2" t="s">
        <v>110</v>
      </c>
      <c r="K341" s="2">
        <v>1</v>
      </c>
      <c r="L341" s="2">
        <v>22.99</v>
      </c>
      <c r="M341" s="19">
        <f t="shared" si="70"/>
        <v>22.99</v>
      </c>
      <c r="N341" s="2" t="s">
        <v>65</v>
      </c>
      <c r="O341" s="2" t="str">
        <f t="shared" si="71"/>
        <v>WELCOME10</v>
      </c>
      <c r="P341" s="2">
        <v>2.2999999999999998</v>
      </c>
      <c r="Q341" s="19">
        <f t="shared" si="72"/>
        <v>2.2999999999999998</v>
      </c>
      <c r="R341" s="2" t="str">
        <f t="shared" si="73"/>
        <v>Number</v>
      </c>
      <c r="S341" s="2">
        <v>4.99</v>
      </c>
      <c r="T341" s="19">
        <f t="shared" si="74"/>
        <v>4.99</v>
      </c>
      <c r="U341" s="2">
        <v>25.68</v>
      </c>
      <c r="V341" s="19">
        <f t="shared" si="75"/>
        <v>25.68</v>
      </c>
      <c r="W341" s="19">
        <f t="shared" si="76"/>
        <v>25.68</v>
      </c>
      <c r="X341" s="19" t="str">
        <f t="shared" si="77"/>
        <v>True</v>
      </c>
      <c r="Y341" s="19" t="str">
        <f>IF(OR(W341&lt;'Cleaning Tasks'!$G$18,W341&gt;'Cleaning Tasks'!$H$18),"Outlier","Normal")</f>
        <v>Normal</v>
      </c>
      <c r="Z341" s="2" t="s">
        <v>66</v>
      </c>
      <c r="AA341" s="2" t="s">
        <v>88</v>
      </c>
      <c r="AB341" s="2" t="s">
        <v>41</v>
      </c>
      <c r="AC341" s="2" t="s">
        <v>42</v>
      </c>
      <c r="AD341" s="2"/>
      <c r="AE341" s="2" t="str">
        <f t="shared" si="78"/>
        <v>Not Required</v>
      </c>
      <c r="AF341" s="2" t="s">
        <v>1285</v>
      </c>
    </row>
    <row r="342" spans="1:32" x14ac:dyDescent="0.3">
      <c r="A342" s="2" t="s">
        <v>1286</v>
      </c>
      <c r="B342" s="2">
        <f t="shared" si="68"/>
        <v>1</v>
      </c>
      <c r="C342" s="12">
        <f t="shared" si="79"/>
        <v>46238.587142673612</v>
      </c>
      <c r="D342" s="13">
        <v>46238.587142673612</v>
      </c>
      <c r="E342" s="2" t="s">
        <v>1287</v>
      </c>
      <c r="F342" s="2" t="str">
        <f t="shared" si="69"/>
        <v>Email Available</v>
      </c>
      <c r="G342" s="2" t="s">
        <v>1288</v>
      </c>
      <c r="H342" s="2" t="s">
        <v>221</v>
      </c>
      <c r="I342" s="2" t="s">
        <v>22</v>
      </c>
      <c r="J342" s="2" t="s">
        <v>222</v>
      </c>
      <c r="K342" s="2">
        <v>3</v>
      </c>
      <c r="L342" s="2">
        <v>17.989999999999998</v>
      </c>
      <c r="M342" s="19">
        <f t="shared" si="70"/>
        <v>17.989999999999998</v>
      </c>
      <c r="N342" s="2"/>
      <c r="O342" s="2" t="str">
        <f t="shared" si="71"/>
        <v/>
      </c>
      <c r="P342" s="2">
        <v>0</v>
      </c>
      <c r="Q342" s="19">
        <f t="shared" si="72"/>
        <v>0</v>
      </c>
      <c r="R342" s="2" t="str">
        <f t="shared" si="73"/>
        <v>Number</v>
      </c>
      <c r="S342" s="2">
        <v>4.99</v>
      </c>
      <c r="T342" s="19">
        <f t="shared" si="74"/>
        <v>4.99</v>
      </c>
      <c r="U342" s="2" t="s">
        <v>1289</v>
      </c>
      <c r="V342" s="19">
        <f t="shared" si="75"/>
        <v>58.96</v>
      </c>
      <c r="W342" s="19">
        <f t="shared" si="76"/>
        <v>58.96</v>
      </c>
      <c r="X342" s="19" t="str">
        <f t="shared" si="77"/>
        <v>True</v>
      </c>
      <c r="Y342" s="19" t="str">
        <f>IF(OR(W342&lt;'Cleaning Tasks'!$G$18,W342&gt;'Cleaning Tasks'!$H$18),"Outlier","Normal")</f>
        <v>Normal</v>
      </c>
      <c r="Z342" s="2" t="s">
        <v>66</v>
      </c>
      <c r="AA342" s="2" t="s">
        <v>88</v>
      </c>
      <c r="AB342" s="2" t="s">
        <v>28</v>
      </c>
      <c r="AC342" s="2" t="s">
        <v>73</v>
      </c>
      <c r="AD342" s="2"/>
      <c r="AE342" s="2" t="str">
        <f t="shared" si="78"/>
        <v>Not Required</v>
      </c>
      <c r="AF342" s="2" t="s">
        <v>1290</v>
      </c>
    </row>
    <row r="343" spans="1:32" x14ac:dyDescent="0.3">
      <c r="A343" s="2" t="s">
        <v>1291</v>
      </c>
      <c r="B343" s="2">
        <f t="shared" si="68"/>
        <v>1</v>
      </c>
      <c r="C343" s="12">
        <f t="shared" si="79"/>
        <v>46238</v>
      </c>
      <c r="D343" s="13">
        <v>46238</v>
      </c>
      <c r="E343" s="2" t="s">
        <v>421</v>
      </c>
      <c r="F343" s="2" t="str">
        <f t="shared" si="69"/>
        <v>Email Available</v>
      </c>
      <c r="G343" s="2" t="s">
        <v>422</v>
      </c>
      <c r="H343" s="2" t="s">
        <v>146</v>
      </c>
      <c r="I343" s="2" t="s">
        <v>47</v>
      </c>
      <c r="J343" s="2" t="s">
        <v>147</v>
      </c>
      <c r="K343" s="2">
        <v>2</v>
      </c>
      <c r="L343" s="2">
        <v>34.99</v>
      </c>
      <c r="M343" s="19">
        <f t="shared" si="70"/>
        <v>34.99</v>
      </c>
      <c r="N343" s="2" t="s">
        <v>118</v>
      </c>
      <c r="O343" s="2" t="str">
        <f t="shared" si="71"/>
        <v>BFCM25</v>
      </c>
      <c r="P343" s="2">
        <v>17.5</v>
      </c>
      <c r="Q343" s="19">
        <f t="shared" si="72"/>
        <v>17.5</v>
      </c>
      <c r="R343" s="2" t="str">
        <f t="shared" si="73"/>
        <v>Number</v>
      </c>
      <c r="S343" s="2">
        <v>7.99</v>
      </c>
      <c r="T343" s="19">
        <f t="shared" si="74"/>
        <v>7.99</v>
      </c>
      <c r="U343" s="2">
        <v>60.47</v>
      </c>
      <c r="V343" s="19">
        <f t="shared" si="75"/>
        <v>60.47</v>
      </c>
      <c r="W343" s="19">
        <f t="shared" si="76"/>
        <v>60.470000000000006</v>
      </c>
      <c r="X343" s="19" t="str">
        <f t="shared" si="77"/>
        <v>True</v>
      </c>
      <c r="Y343" s="19" t="str">
        <f>IF(OR(W343&lt;'Cleaning Tasks'!$G$18,W343&gt;'Cleaning Tasks'!$H$18),"Outlier","Normal")</f>
        <v>Normal</v>
      </c>
      <c r="Z343" s="2" t="s">
        <v>72</v>
      </c>
      <c r="AA343" s="2" t="s">
        <v>88</v>
      </c>
      <c r="AB343" s="2" t="s">
        <v>50</v>
      </c>
      <c r="AC343" s="2" t="s">
        <v>29</v>
      </c>
      <c r="AD343" s="2" t="s">
        <v>447</v>
      </c>
      <c r="AE343" s="2" t="str">
        <f t="shared" si="78"/>
        <v>Valid</v>
      </c>
      <c r="AF343" s="2" t="s">
        <v>1292</v>
      </c>
    </row>
    <row r="344" spans="1:32" x14ac:dyDescent="0.3">
      <c r="A344" s="2" t="s">
        <v>1293</v>
      </c>
      <c r="B344" s="2">
        <f t="shared" si="68"/>
        <v>1</v>
      </c>
      <c r="C344" s="12">
        <f t="shared" si="79"/>
        <v>46238.579099340277</v>
      </c>
      <c r="D344" s="13">
        <v>46238.579099340277</v>
      </c>
      <c r="E344" s="2" t="s">
        <v>1294</v>
      </c>
      <c r="F344" s="2" t="str">
        <f t="shared" si="69"/>
        <v>Email Available</v>
      </c>
      <c r="G344" s="2" t="s">
        <v>1295</v>
      </c>
      <c r="H344" s="2" t="s">
        <v>201</v>
      </c>
      <c r="I344" s="2" t="s">
        <v>191</v>
      </c>
      <c r="J344" s="2" t="s">
        <v>202</v>
      </c>
      <c r="K344" s="2">
        <v>1</v>
      </c>
      <c r="L344" s="2">
        <v>24.99</v>
      </c>
      <c r="M344" s="19">
        <f t="shared" si="70"/>
        <v>24.99</v>
      </c>
      <c r="N344" s="2"/>
      <c r="O344" s="2" t="str">
        <f t="shared" si="71"/>
        <v/>
      </c>
      <c r="P344" s="2" t="s">
        <v>184</v>
      </c>
      <c r="Q344" s="19">
        <f t="shared" si="72"/>
        <v>0</v>
      </c>
      <c r="R344" s="2" t="str">
        <f t="shared" si="73"/>
        <v>Number</v>
      </c>
      <c r="S344" s="2">
        <v>7.99</v>
      </c>
      <c r="T344" s="19">
        <f t="shared" si="74"/>
        <v>7.99</v>
      </c>
      <c r="U344" s="2">
        <v>32.979999999999997</v>
      </c>
      <c r="V344" s="19">
        <f t="shared" si="75"/>
        <v>32.979999999999997</v>
      </c>
      <c r="W344" s="19">
        <f t="shared" si="76"/>
        <v>32.979999999999997</v>
      </c>
      <c r="X344" s="19" t="str">
        <f t="shared" si="77"/>
        <v>True</v>
      </c>
      <c r="Y344" s="19" t="str">
        <f>IF(OR(W344&lt;'Cleaning Tasks'!$G$18,W344&gt;'Cleaning Tasks'!$H$18),"Outlier","Normal")</f>
        <v>Normal</v>
      </c>
      <c r="Z344" s="2" t="s">
        <v>39</v>
      </c>
      <c r="AA344" s="2" t="s">
        <v>27</v>
      </c>
      <c r="AB344" s="2" t="s">
        <v>41</v>
      </c>
      <c r="AC344" s="2" t="s">
        <v>29</v>
      </c>
      <c r="AD344" s="2" t="s">
        <v>30</v>
      </c>
      <c r="AE344" s="2" t="str">
        <f t="shared" si="78"/>
        <v>Valid</v>
      </c>
      <c r="AF344" s="2" t="s">
        <v>1296</v>
      </c>
    </row>
    <row r="345" spans="1:32" x14ac:dyDescent="0.3">
      <c r="A345" s="2" t="s">
        <v>1297</v>
      </c>
      <c r="B345" s="2">
        <f t="shared" si="68"/>
        <v>1</v>
      </c>
      <c r="C345" s="12">
        <f t="shared" si="79"/>
        <v>46238.587887986112</v>
      </c>
      <c r="D345" s="13">
        <v>46238.587887986112</v>
      </c>
      <c r="E345" s="2" t="s">
        <v>76</v>
      </c>
      <c r="F345" s="2" t="str">
        <f t="shared" si="69"/>
        <v>Email Available</v>
      </c>
      <c r="G345" s="2" t="s">
        <v>77</v>
      </c>
      <c r="H345" s="2" t="s">
        <v>201</v>
      </c>
      <c r="I345" s="2" t="s">
        <v>191</v>
      </c>
      <c r="J345" s="2" t="s">
        <v>202</v>
      </c>
      <c r="K345" s="2">
        <v>1</v>
      </c>
      <c r="L345" s="2">
        <v>24.99</v>
      </c>
      <c r="M345" s="19">
        <f t="shared" si="70"/>
        <v>24.99</v>
      </c>
      <c r="N345" s="2" t="s">
        <v>38</v>
      </c>
      <c r="O345" s="2" t="str">
        <f t="shared" si="71"/>
        <v>FREESHIP</v>
      </c>
      <c r="P345" s="2">
        <v>0</v>
      </c>
      <c r="Q345" s="19">
        <f t="shared" si="72"/>
        <v>0</v>
      </c>
      <c r="R345" s="2" t="str">
        <f t="shared" si="73"/>
        <v>Number</v>
      </c>
      <c r="S345" s="2">
        <v>0</v>
      </c>
      <c r="T345" s="19">
        <f t="shared" si="74"/>
        <v>0</v>
      </c>
      <c r="U345" s="2" t="s">
        <v>1212</v>
      </c>
      <c r="V345" s="19">
        <f t="shared" si="75"/>
        <v>24.99</v>
      </c>
      <c r="W345" s="19">
        <f t="shared" si="76"/>
        <v>24.99</v>
      </c>
      <c r="X345" s="19" t="str">
        <f t="shared" si="77"/>
        <v>True</v>
      </c>
      <c r="Y345" s="19" t="str">
        <f>IF(OR(W345&lt;'Cleaning Tasks'!$G$18,W345&gt;'Cleaning Tasks'!$H$18),"Outlier","Normal")</f>
        <v>Normal</v>
      </c>
      <c r="Z345" s="2" t="s">
        <v>39</v>
      </c>
      <c r="AA345" s="2" t="s">
        <v>88</v>
      </c>
      <c r="AB345" s="2" t="s">
        <v>41</v>
      </c>
      <c r="AC345" s="2" t="s">
        <v>73</v>
      </c>
      <c r="AD345" s="2"/>
      <c r="AE345" s="2" t="str">
        <f t="shared" si="78"/>
        <v>Not Required</v>
      </c>
      <c r="AF345" s="2" t="s">
        <v>1298</v>
      </c>
    </row>
    <row r="346" spans="1:32" x14ac:dyDescent="0.3">
      <c r="A346" s="2" t="s">
        <v>1299</v>
      </c>
      <c r="B346" s="2">
        <f t="shared" si="68"/>
        <v>1</v>
      </c>
      <c r="C346" s="12">
        <f t="shared" si="79"/>
        <v>46238.583242997687</v>
      </c>
      <c r="D346" s="13">
        <v>46238.583242997687</v>
      </c>
      <c r="E346" s="2" t="s">
        <v>329</v>
      </c>
      <c r="F346" s="2" t="str">
        <f t="shared" si="69"/>
        <v>Missing Email</v>
      </c>
      <c r="G346" s="2"/>
      <c r="H346" s="2" t="s">
        <v>201</v>
      </c>
      <c r="I346" s="2" t="s">
        <v>191</v>
      </c>
      <c r="J346" s="2" t="s">
        <v>202</v>
      </c>
      <c r="K346" s="2">
        <v>1</v>
      </c>
      <c r="L346" s="2">
        <v>24.99</v>
      </c>
      <c r="M346" s="19">
        <f t="shared" si="70"/>
        <v>24.99</v>
      </c>
      <c r="N346" s="2"/>
      <c r="O346" s="2" t="str">
        <f t="shared" si="71"/>
        <v/>
      </c>
      <c r="P346" s="2">
        <v>0</v>
      </c>
      <c r="Q346" s="19">
        <f t="shared" si="72"/>
        <v>0</v>
      </c>
      <c r="R346" s="2" t="str">
        <f t="shared" si="73"/>
        <v>Number</v>
      </c>
      <c r="S346" s="2">
        <v>4.99</v>
      </c>
      <c r="T346" s="19">
        <f t="shared" si="74"/>
        <v>4.99</v>
      </c>
      <c r="U346" s="2">
        <v>29.98</v>
      </c>
      <c r="V346" s="19">
        <f t="shared" si="75"/>
        <v>29.98</v>
      </c>
      <c r="W346" s="19">
        <f t="shared" si="76"/>
        <v>29.979999999999997</v>
      </c>
      <c r="X346" s="19" t="str">
        <f t="shared" si="77"/>
        <v>True</v>
      </c>
      <c r="Y346" s="19" t="str">
        <f>IF(OR(W346&lt;'Cleaning Tasks'!$G$18,W346&gt;'Cleaning Tasks'!$H$18),"Outlier","Normal")</f>
        <v>Normal</v>
      </c>
      <c r="Z346" s="2" t="s">
        <v>72</v>
      </c>
      <c r="AA346" s="2" t="s">
        <v>88</v>
      </c>
      <c r="AB346" s="2" t="s">
        <v>28</v>
      </c>
      <c r="AC346" s="2" t="s">
        <v>331</v>
      </c>
      <c r="AD346" s="2"/>
      <c r="AE346" s="2" t="str">
        <f t="shared" si="78"/>
        <v>Not Required</v>
      </c>
      <c r="AF346" s="2" t="s">
        <v>1300</v>
      </c>
    </row>
    <row r="347" spans="1:32" x14ac:dyDescent="0.3">
      <c r="A347" s="2" t="s">
        <v>1301</v>
      </c>
      <c r="B347" s="2">
        <f t="shared" si="68"/>
        <v>1</v>
      </c>
      <c r="C347" s="12">
        <f t="shared" si="79"/>
        <v>46238.586051817132</v>
      </c>
      <c r="D347" s="13">
        <v>46238.586051817132</v>
      </c>
      <c r="E347" s="2" t="s">
        <v>1302</v>
      </c>
      <c r="F347" s="2" t="str">
        <f t="shared" si="69"/>
        <v>Email Available</v>
      </c>
      <c r="G347" s="2" t="s">
        <v>1303</v>
      </c>
      <c r="H347" s="2" t="s">
        <v>182</v>
      </c>
      <c r="I347" s="2" t="s">
        <v>36</v>
      </c>
      <c r="J347" s="2" t="s">
        <v>183</v>
      </c>
      <c r="K347" s="2">
        <v>1</v>
      </c>
      <c r="L347" s="2">
        <v>11.99</v>
      </c>
      <c r="M347" s="19">
        <f t="shared" si="70"/>
        <v>11.99</v>
      </c>
      <c r="N347" s="2" t="s">
        <v>65</v>
      </c>
      <c r="O347" s="2" t="str">
        <f t="shared" si="71"/>
        <v>WELCOME10</v>
      </c>
      <c r="P347" s="2">
        <v>1.2</v>
      </c>
      <c r="Q347" s="19">
        <f t="shared" si="72"/>
        <v>1.2</v>
      </c>
      <c r="R347" s="2" t="str">
        <f t="shared" si="73"/>
        <v>Number</v>
      </c>
      <c r="S347" s="2">
        <v>5.99</v>
      </c>
      <c r="T347" s="19">
        <f t="shared" si="74"/>
        <v>5.99</v>
      </c>
      <c r="U347" s="2">
        <v>16.78</v>
      </c>
      <c r="V347" s="19">
        <f t="shared" si="75"/>
        <v>16.78</v>
      </c>
      <c r="W347" s="19">
        <f t="shared" si="76"/>
        <v>16.78</v>
      </c>
      <c r="X347" s="19" t="str">
        <f t="shared" si="77"/>
        <v>True</v>
      </c>
      <c r="Y347" s="19" t="str">
        <f>IF(OR(W347&lt;'Cleaning Tasks'!$G$18,W347&gt;'Cleaning Tasks'!$H$18),"Outlier","Normal")</f>
        <v>Normal</v>
      </c>
      <c r="Z347" s="2" t="s">
        <v>49</v>
      </c>
      <c r="AA347" s="2" t="s">
        <v>88</v>
      </c>
      <c r="AB347" s="2" t="s">
        <v>41</v>
      </c>
      <c r="AC347" s="2" t="s">
        <v>29</v>
      </c>
      <c r="AD347" s="2" t="s">
        <v>58</v>
      </c>
      <c r="AE347" s="2" t="str">
        <f t="shared" si="78"/>
        <v>Valid</v>
      </c>
      <c r="AF347" s="2" t="s">
        <v>1304</v>
      </c>
    </row>
    <row r="348" spans="1:32" x14ac:dyDescent="0.3">
      <c r="A348" s="2" t="s">
        <v>1305</v>
      </c>
      <c r="B348" s="2">
        <f t="shared" si="68"/>
        <v>1</v>
      </c>
      <c r="C348" s="12">
        <f t="shared" si="79"/>
        <v>46238</v>
      </c>
      <c r="D348" s="13" t="s">
        <v>1193</v>
      </c>
      <c r="E348" s="2" t="s">
        <v>1306</v>
      </c>
      <c r="F348" s="2" t="str">
        <f t="shared" si="69"/>
        <v>Email Available</v>
      </c>
      <c r="G348" s="2" t="s">
        <v>1307</v>
      </c>
      <c r="H348" s="2" t="s">
        <v>63</v>
      </c>
      <c r="I348" s="2" t="s">
        <v>47</v>
      </c>
      <c r="J348" s="2" t="s">
        <v>64</v>
      </c>
      <c r="K348" s="2">
        <v>1</v>
      </c>
      <c r="L348" s="2">
        <v>14.99</v>
      </c>
      <c r="M348" s="19">
        <f t="shared" si="70"/>
        <v>14.99</v>
      </c>
      <c r="N348" s="2" t="s">
        <v>203</v>
      </c>
      <c r="O348" s="2" t="str">
        <f t="shared" si="71"/>
        <v>VIP15</v>
      </c>
      <c r="P348" s="2">
        <v>2.25</v>
      </c>
      <c r="Q348" s="19">
        <f t="shared" si="72"/>
        <v>2.25</v>
      </c>
      <c r="R348" s="2" t="str">
        <f t="shared" si="73"/>
        <v>Number</v>
      </c>
      <c r="S348" s="2">
        <v>5.99</v>
      </c>
      <c r="T348" s="19">
        <f t="shared" si="74"/>
        <v>5.99</v>
      </c>
      <c r="U348" s="2">
        <v>18.73</v>
      </c>
      <c r="V348" s="19">
        <f t="shared" si="75"/>
        <v>18.73</v>
      </c>
      <c r="W348" s="19">
        <f t="shared" si="76"/>
        <v>18.73</v>
      </c>
      <c r="X348" s="19" t="str">
        <f t="shared" si="77"/>
        <v>True</v>
      </c>
      <c r="Y348" s="19" t="str">
        <f>IF(OR(W348&lt;'Cleaning Tasks'!$G$18,W348&gt;'Cleaning Tasks'!$H$18),"Outlier","Normal")</f>
        <v>Normal</v>
      </c>
      <c r="Z348" s="2" t="s">
        <v>66</v>
      </c>
      <c r="AA348" s="2" t="s">
        <v>27</v>
      </c>
      <c r="AB348" s="2" t="s">
        <v>41</v>
      </c>
      <c r="AC348" s="2" t="s">
        <v>29</v>
      </c>
      <c r="AD348" s="2" t="s">
        <v>58</v>
      </c>
      <c r="AE348" s="2" t="str">
        <f t="shared" si="78"/>
        <v>Valid</v>
      </c>
      <c r="AF348" s="2" t="s">
        <v>1308</v>
      </c>
    </row>
    <row r="349" spans="1:32" x14ac:dyDescent="0.3">
      <c r="A349" s="2" t="s">
        <v>1309</v>
      </c>
      <c r="B349" s="2">
        <f t="shared" si="68"/>
        <v>1</v>
      </c>
      <c r="C349" s="12">
        <f t="shared" si="79"/>
        <v>46238.584679039363</v>
      </c>
      <c r="D349" s="13">
        <v>46238.584679039363</v>
      </c>
      <c r="E349" s="2" t="s">
        <v>499</v>
      </c>
      <c r="F349" s="2" t="str">
        <f t="shared" si="69"/>
        <v>Email Available</v>
      </c>
      <c r="G349" s="2" t="s">
        <v>500</v>
      </c>
      <c r="H349" s="2" t="s">
        <v>146</v>
      </c>
      <c r="I349" s="2" t="s">
        <v>47</v>
      </c>
      <c r="J349" s="2" t="s">
        <v>147</v>
      </c>
      <c r="K349" s="2">
        <v>1</v>
      </c>
      <c r="L349" s="2">
        <v>34.99</v>
      </c>
      <c r="M349" s="19">
        <f t="shared" si="70"/>
        <v>34.99</v>
      </c>
      <c r="N349" s="2" t="s">
        <v>65</v>
      </c>
      <c r="O349" s="2" t="str">
        <f t="shared" si="71"/>
        <v>WELCOME10</v>
      </c>
      <c r="P349" s="2">
        <v>3.5</v>
      </c>
      <c r="Q349" s="19">
        <f t="shared" si="72"/>
        <v>3.5</v>
      </c>
      <c r="R349" s="2" t="str">
        <f t="shared" si="73"/>
        <v>Number</v>
      </c>
      <c r="S349" s="2">
        <v>5.99</v>
      </c>
      <c r="T349" s="19">
        <f t="shared" si="74"/>
        <v>5.99</v>
      </c>
      <c r="U349" s="2">
        <v>37.479999999999997</v>
      </c>
      <c r="V349" s="19">
        <f t="shared" si="75"/>
        <v>37.479999999999997</v>
      </c>
      <c r="W349" s="19">
        <f t="shared" si="76"/>
        <v>37.480000000000004</v>
      </c>
      <c r="X349" s="19" t="str">
        <f t="shared" si="77"/>
        <v>True</v>
      </c>
      <c r="Y349" s="19" t="str">
        <f>IF(OR(W349&lt;'Cleaning Tasks'!$G$18,W349&gt;'Cleaning Tasks'!$H$18),"Outlier","Normal")</f>
        <v>Normal</v>
      </c>
      <c r="Z349" s="2" t="s">
        <v>26</v>
      </c>
      <c r="AA349" s="2" t="s">
        <v>27</v>
      </c>
      <c r="AB349" s="2" t="s">
        <v>28</v>
      </c>
      <c r="AC349" s="2" t="s">
        <v>29</v>
      </c>
      <c r="AD349" s="2" t="s">
        <v>89</v>
      </c>
      <c r="AE349" s="2" t="str">
        <f t="shared" si="78"/>
        <v>Valid</v>
      </c>
      <c r="AF349" s="2" t="s">
        <v>1310</v>
      </c>
    </row>
    <row r="350" spans="1:32" x14ac:dyDescent="0.3">
      <c r="A350" s="2" t="s">
        <v>1311</v>
      </c>
      <c r="B350" s="2">
        <f t="shared" si="68"/>
        <v>1</v>
      </c>
      <c r="C350" s="12">
        <f t="shared" si="79"/>
        <v>46238.579666562502</v>
      </c>
      <c r="D350" s="13">
        <v>46238.579666562502</v>
      </c>
      <c r="E350" s="2" t="s">
        <v>156</v>
      </c>
      <c r="F350" s="2" t="str">
        <f t="shared" si="69"/>
        <v>Email Available</v>
      </c>
      <c r="G350" s="2" t="s">
        <v>157</v>
      </c>
      <c r="H350" s="2" t="s">
        <v>35</v>
      </c>
      <c r="I350" s="2" t="s">
        <v>36</v>
      </c>
      <c r="J350" s="2" t="s">
        <v>37</v>
      </c>
      <c r="K350" s="2">
        <v>1</v>
      </c>
      <c r="L350" s="2">
        <v>21.99</v>
      </c>
      <c r="M350" s="19">
        <f t="shared" si="70"/>
        <v>21.99</v>
      </c>
      <c r="N350" s="2" t="s">
        <v>24</v>
      </c>
      <c r="O350" s="2" t="str">
        <f t="shared" si="71"/>
        <v>SAVE20</v>
      </c>
      <c r="P350" s="2">
        <v>4.4000000000000004</v>
      </c>
      <c r="Q350" s="19">
        <f t="shared" si="72"/>
        <v>4.4000000000000004</v>
      </c>
      <c r="R350" s="2" t="str">
        <f t="shared" si="73"/>
        <v>Number</v>
      </c>
      <c r="S350" s="2">
        <v>5.99</v>
      </c>
      <c r="T350" s="19">
        <f t="shared" si="74"/>
        <v>5.99</v>
      </c>
      <c r="U350" s="2">
        <v>23.58</v>
      </c>
      <c r="V350" s="19">
        <f t="shared" si="75"/>
        <v>23.58</v>
      </c>
      <c r="W350" s="19">
        <f t="shared" si="76"/>
        <v>23.58</v>
      </c>
      <c r="X350" s="19" t="str">
        <f t="shared" si="77"/>
        <v>True</v>
      </c>
      <c r="Y350" s="19" t="str">
        <f>IF(OR(W350&lt;'Cleaning Tasks'!$G$18,W350&gt;'Cleaning Tasks'!$H$18),"Outlier","Normal")</f>
        <v>Normal</v>
      </c>
      <c r="Z350" s="2" t="s">
        <v>72</v>
      </c>
      <c r="AA350" s="2" t="s">
        <v>40</v>
      </c>
      <c r="AB350" s="2" t="s">
        <v>50</v>
      </c>
      <c r="AC350" s="2" t="s">
        <v>105</v>
      </c>
      <c r="AD350" s="2"/>
      <c r="AE350" s="2" t="str">
        <f t="shared" si="78"/>
        <v>Not Required</v>
      </c>
      <c r="AF350" s="2" t="s">
        <v>1312</v>
      </c>
    </row>
    <row r="351" spans="1:32" x14ac:dyDescent="0.3">
      <c r="A351" s="2" t="s">
        <v>1313</v>
      </c>
      <c r="B351" s="2">
        <f t="shared" si="68"/>
        <v>1</v>
      </c>
      <c r="C351" s="12">
        <f t="shared" si="79"/>
        <v>46238.584699872677</v>
      </c>
      <c r="D351" s="13">
        <v>46238.584699872677</v>
      </c>
      <c r="E351" s="2" t="s">
        <v>409</v>
      </c>
      <c r="F351" s="2" t="str">
        <f t="shared" si="69"/>
        <v>Email Available</v>
      </c>
      <c r="G351" s="2" t="s">
        <v>410</v>
      </c>
      <c r="H351" s="2" t="s">
        <v>63</v>
      </c>
      <c r="I351" s="2" t="s">
        <v>47</v>
      </c>
      <c r="J351" s="2" t="s">
        <v>64</v>
      </c>
      <c r="K351" s="2">
        <v>2</v>
      </c>
      <c r="L351" s="2">
        <v>14.99</v>
      </c>
      <c r="M351" s="19">
        <f t="shared" si="70"/>
        <v>14.99</v>
      </c>
      <c r="N351" s="2" t="s">
        <v>203</v>
      </c>
      <c r="O351" s="2" t="str">
        <f t="shared" si="71"/>
        <v>VIP15</v>
      </c>
      <c r="P351" s="2">
        <v>4.5</v>
      </c>
      <c r="Q351" s="19">
        <f t="shared" si="72"/>
        <v>4.5</v>
      </c>
      <c r="R351" s="2" t="str">
        <f t="shared" si="73"/>
        <v>Number</v>
      </c>
      <c r="S351" s="2">
        <v>7.99</v>
      </c>
      <c r="T351" s="19">
        <f t="shared" si="74"/>
        <v>7.99</v>
      </c>
      <c r="U351" s="2">
        <v>33.47</v>
      </c>
      <c r="V351" s="19">
        <f t="shared" si="75"/>
        <v>33.47</v>
      </c>
      <c r="W351" s="19">
        <f t="shared" si="76"/>
        <v>33.47</v>
      </c>
      <c r="X351" s="19" t="str">
        <f t="shared" si="77"/>
        <v>True</v>
      </c>
      <c r="Y351" s="19" t="str">
        <f>IF(OR(W351&lt;'Cleaning Tasks'!$G$18,W351&gt;'Cleaning Tasks'!$H$18),"Outlier","Normal")</f>
        <v>Normal</v>
      </c>
      <c r="Z351" s="2" t="s">
        <v>72</v>
      </c>
      <c r="AA351" s="2" t="s">
        <v>88</v>
      </c>
      <c r="AB351" s="2" t="s">
        <v>28</v>
      </c>
      <c r="AC351" s="2" t="s">
        <v>42</v>
      </c>
      <c r="AD351" s="2"/>
      <c r="AE351" s="2" t="str">
        <f t="shared" si="78"/>
        <v>Not Required</v>
      </c>
      <c r="AF351" s="2" t="s">
        <v>1314</v>
      </c>
    </row>
    <row r="352" spans="1:32" x14ac:dyDescent="0.3">
      <c r="A352" s="2" t="s">
        <v>1315</v>
      </c>
      <c r="B352" s="2">
        <f t="shared" si="68"/>
        <v>1</v>
      </c>
      <c r="C352" s="12">
        <f t="shared" si="79"/>
        <v>46238.584550902779</v>
      </c>
      <c r="D352" s="13">
        <v>46238.584550902779</v>
      </c>
      <c r="E352" s="2" t="s">
        <v>160</v>
      </c>
      <c r="F352" s="2" t="str">
        <f t="shared" si="69"/>
        <v>Email Available</v>
      </c>
      <c r="G352" s="2" t="s">
        <v>161</v>
      </c>
      <c r="H352" s="2" t="s">
        <v>261</v>
      </c>
      <c r="I352" s="2" t="s">
        <v>36</v>
      </c>
      <c r="J352" s="2" t="s">
        <v>262</v>
      </c>
      <c r="K352" s="2">
        <v>1</v>
      </c>
      <c r="L352" s="2">
        <v>15.49</v>
      </c>
      <c r="M352" s="19">
        <f t="shared" si="70"/>
        <v>15.49</v>
      </c>
      <c r="N352" s="2" t="s">
        <v>38</v>
      </c>
      <c r="O352" s="2" t="str">
        <f t="shared" si="71"/>
        <v>FREESHIP</v>
      </c>
      <c r="P352" s="2">
        <v>0</v>
      </c>
      <c r="Q352" s="19">
        <f t="shared" si="72"/>
        <v>0</v>
      </c>
      <c r="R352" s="2" t="str">
        <f t="shared" si="73"/>
        <v>Number</v>
      </c>
      <c r="S352" s="2">
        <v>0</v>
      </c>
      <c r="T352" s="19">
        <f t="shared" si="74"/>
        <v>0</v>
      </c>
      <c r="U352" s="2">
        <v>15.49</v>
      </c>
      <c r="V352" s="19">
        <f t="shared" si="75"/>
        <v>15.49</v>
      </c>
      <c r="W352" s="19">
        <f t="shared" si="76"/>
        <v>15.49</v>
      </c>
      <c r="X352" s="19" t="str">
        <f t="shared" si="77"/>
        <v>True</v>
      </c>
      <c r="Y352" s="19" t="str">
        <f>IF(OR(W352&lt;'Cleaning Tasks'!$G$18,W352&gt;'Cleaning Tasks'!$H$18),"Outlier","Normal")</f>
        <v>Normal</v>
      </c>
      <c r="Z352" s="2" t="s">
        <v>72</v>
      </c>
      <c r="AA352" s="2" t="s">
        <v>27</v>
      </c>
      <c r="AB352" s="2" t="s">
        <v>50</v>
      </c>
      <c r="AC352" s="2" t="s">
        <v>29</v>
      </c>
      <c r="AD352" s="2" t="s">
        <v>30</v>
      </c>
      <c r="AE352" s="2" t="str">
        <f t="shared" si="78"/>
        <v>Valid</v>
      </c>
      <c r="AF352" s="2" t="s">
        <v>1316</v>
      </c>
    </row>
    <row r="353" spans="1:32" x14ac:dyDescent="0.3">
      <c r="A353" s="2" t="s">
        <v>1317</v>
      </c>
      <c r="B353" s="2">
        <f t="shared" si="68"/>
        <v>1</v>
      </c>
      <c r="C353" s="12">
        <f t="shared" si="79"/>
        <v>46238.582952523153</v>
      </c>
      <c r="D353" s="13">
        <v>46238.582952523153</v>
      </c>
      <c r="E353" s="2" t="s">
        <v>889</v>
      </c>
      <c r="F353" s="2" t="str">
        <f t="shared" si="69"/>
        <v>Email Available</v>
      </c>
      <c r="G353" s="2" t="s">
        <v>890</v>
      </c>
      <c r="H353" s="2" t="s">
        <v>35</v>
      </c>
      <c r="I353" s="2" t="s">
        <v>36</v>
      </c>
      <c r="J353" s="2" t="s">
        <v>37</v>
      </c>
      <c r="K353" s="2">
        <v>2</v>
      </c>
      <c r="L353" s="2">
        <v>21.99</v>
      </c>
      <c r="M353" s="19">
        <f t="shared" si="70"/>
        <v>21.99</v>
      </c>
      <c r="N353" s="2"/>
      <c r="O353" s="2" t="str">
        <f t="shared" si="71"/>
        <v/>
      </c>
      <c r="P353" s="2">
        <v>0</v>
      </c>
      <c r="Q353" s="19">
        <f t="shared" si="72"/>
        <v>0</v>
      </c>
      <c r="R353" s="2" t="str">
        <f t="shared" si="73"/>
        <v>Number</v>
      </c>
      <c r="S353" s="2">
        <v>5.99</v>
      </c>
      <c r="T353" s="19">
        <f t="shared" si="74"/>
        <v>5.99</v>
      </c>
      <c r="U353" s="2">
        <v>49.97</v>
      </c>
      <c r="V353" s="19">
        <f t="shared" si="75"/>
        <v>49.97</v>
      </c>
      <c r="W353" s="19">
        <f t="shared" si="76"/>
        <v>49.97</v>
      </c>
      <c r="X353" s="19" t="str">
        <f t="shared" si="77"/>
        <v>True</v>
      </c>
      <c r="Y353" s="19" t="str">
        <f>IF(OR(W353&lt;'Cleaning Tasks'!$G$18,W353&gt;'Cleaning Tasks'!$H$18),"Outlier","Normal")</f>
        <v>Normal</v>
      </c>
      <c r="Z353" s="2" t="s">
        <v>26</v>
      </c>
      <c r="AA353" s="2" t="s">
        <v>27</v>
      </c>
      <c r="AB353" s="2" t="s">
        <v>41</v>
      </c>
      <c r="AC353" s="2" t="s">
        <v>29</v>
      </c>
      <c r="AD353" s="2" t="s">
        <v>447</v>
      </c>
      <c r="AE353" s="2" t="str">
        <f t="shared" si="78"/>
        <v>Valid</v>
      </c>
      <c r="AF353" s="2" t="s">
        <v>1318</v>
      </c>
    </row>
    <row r="354" spans="1:32" x14ac:dyDescent="0.3">
      <c r="A354" s="2" t="s">
        <v>1319</v>
      </c>
      <c r="B354" s="2">
        <f t="shared" si="68"/>
        <v>1</v>
      </c>
      <c r="C354" s="12">
        <f t="shared" si="79"/>
        <v>46238.586640185182</v>
      </c>
      <c r="D354" s="13">
        <v>46238.586640185182</v>
      </c>
      <c r="E354" s="2" t="s">
        <v>1320</v>
      </c>
      <c r="F354" s="2" t="str">
        <f t="shared" si="69"/>
        <v>Email Available</v>
      </c>
      <c r="G354" s="2" t="s">
        <v>1321</v>
      </c>
      <c r="H354" s="2" t="s">
        <v>261</v>
      </c>
      <c r="I354" s="2" t="s">
        <v>36</v>
      </c>
      <c r="J354" s="2" t="s">
        <v>262</v>
      </c>
      <c r="K354" s="2">
        <v>2</v>
      </c>
      <c r="L354" s="2">
        <v>15.49</v>
      </c>
      <c r="M354" s="19">
        <f t="shared" si="70"/>
        <v>15.49</v>
      </c>
      <c r="N354" s="2"/>
      <c r="O354" s="2" t="str">
        <f t="shared" si="71"/>
        <v/>
      </c>
      <c r="P354" s="2">
        <v>0</v>
      </c>
      <c r="Q354" s="19">
        <f t="shared" si="72"/>
        <v>0</v>
      </c>
      <c r="R354" s="2" t="str">
        <f t="shared" si="73"/>
        <v>Number</v>
      </c>
      <c r="S354" s="2">
        <v>7.99</v>
      </c>
      <c r="T354" s="19">
        <f t="shared" si="74"/>
        <v>7.99</v>
      </c>
      <c r="U354" s="2">
        <v>38.97</v>
      </c>
      <c r="V354" s="19">
        <f t="shared" si="75"/>
        <v>38.97</v>
      </c>
      <c r="W354" s="19">
        <f t="shared" si="76"/>
        <v>38.97</v>
      </c>
      <c r="X354" s="19" t="str">
        <f t="shared" si="77"/>
        <v>True</v>
      </c>
      <c r="Y354" s="19" t="str">
        <f>IF(OR(W354&lt;'Cleaning Tasks'!$G$18,W354&gt;'Cleaning Tasks'!$H$18),"Outlier","Normal")</f>
        <v>Normal</v>
      </c>
      <c r="Z354" s="2" t="s">
        <v>66</v>
      </c>
      <c r="AA354" s="2" t="s">
        <v>27</v>
      </c>
      <c r="AB354" s="2" t="s">
        <v>50</v>
      </c>
      <c r="AC354" s="2" t="s">
        <v>42</v>
      </c>
      <c r="AD354" s="2"/>
      <c r="AE354" s="2" t="str">
        <f t="shared" si="78"/>
        <v>Not Required</v>
      </c>
      <c r="AF354" s="2" t="s">
        <v>1322</v>
      </c>
    </row>
    <row r="355" spans="1:32" x14ac:dyDescent="0.3">
      <c r="A355" s="2" t="s">
        <v>1323</v>
      </c>
      <c r="B355" s="2">
        <f t="shared" si="68"/>
        <v>1</v>
      </c>
      <c r="C355" s="12">
        <f t="shared" si="79"/>
        <v>46238.586561446762</v>
      </c>
      <c r="D355" s="13">
        <v>46238.586561446762</v>
      </c>
      <c r="E355" s="2" t="s">
        <v>291</v>
      </c>
      <c r="F355" s="2" t="str">
        <f t="shared" si="69"/>
        <v>Email Available</v>
      </c>
      <c r="G355" s="2" t="s">
        <v>292</v>
      </c>
      <c r="H355" s="2" t="s">
        <v>261</v>
      </c>
      <c r="I355" s="2" t="s">
        <v>36</v>
      </c>
      <c r="J355" s="2" t="s">
        <v>262</v>
      </c>
      <c r="K355" s="2">
        <v>1</v>
      </c>
      <c r="L355" s="2">
        <v>15.49</v>
      </c>
      <c r="M355" s="19">
        <f t="shared" si="70"/>
        <v>15.49</v>
      </c>
      <c r="N355" s="2" t="s">
        <v>1124</v>
      </c>
      <c r="O355" s="2" t="str">
        <f t="shared" si="71"/>
        <v>WELCOME10</v>
      </c>
      <c r="P355" s="2">
        <v>1.55</v>
      </c>
      <c r="Q355" s="19">
        <f t="shared" si="72"/>
        <v>1.55</v>
      </c>
      <c r="R355" s="2" t="str">
        <f t="shared" si="73"/>
        <v>Number</v>
      </c>
      <c r="S355" s="2">
        <v>7.99</v>
      </c>
      <c r="T355" s="19">
        <f t="shared" si="74"/>
        <v>7.99</v>
      </c>
      <c r="U355" s="2">
        <v>21.93</v>
      </c>
      <c r="V355" s="19">
        <f t="shared" si="75"/>
        <v>21.93</v>
      </c>
      <c r="W355" s="19">
        <f t="shared" si="76"/>
        <v>21.93</v>
      </c>
      <c r="X355" s="19" t="str">
        <f t="shared" si="77"/>
        <v>True</v>
      </c>
      <c r="Y355" s="19" t="str">
        <f>IF(OR(W355&lt;'Cleaning Tasks'!$G$18,W355&gt;'Cleaning Tasks'!$H$18),"Outlier","Normal")</f>
        <v>Normal</v>
      </c>
      <c r="Z355" s="2" t="s">
        <v>49</v>
      </c>
      <c r="AA355" s="2" t="s">
        <v>88</v>
      </c>
      <c r="AB355" s="2" t="s">
        <v>50</v>
      </c>
      <c r="AC355" s="2" t="s">
        <v>223</v>
      </c>
      <c r="AD355" s="2"/>
      <c r="AE355" s="2" t="str">
        <f t="shared" si="78"/>
        <v>Not Required</v>
      </c>
      <c r="AF355" s="2" t="s">
        <v>1324</v>
      </c>
    </row>
    <row r="356" spans="1:32" x14ac:dyDescent="0.3">
      <c r="A356" s="2" t="s">
        <v>1325</v>
      </c>
      <c r="B356" s="2">
        <f t="shared" si="68"/>
        <v>1</v>
      </c>
      <c r="C356" s="12">
        <f t="shared" si="79"/>
        <v>46238.585245613423</v>
      </c>
      <c r="D356" s="13">
        <v>46238.585245613423</v>
      </c>
      <c r="E356" s="2" t="s">
        <v>321</v>
      </c>
      <c r="F356" s="2" t="str">
        <f t="shared" si="69"/>
        <v>Email Available</v>
      </c>
      <c r="G356" s="2" t="s">
        <v>322</v>
      </c>
      <c r="H356" s="2" t="s">
        <v>117</v>
      </c>
      <c r="I356" s="2" t="s">
        <v>22</v>
      </c>
      <c r="J356" s="2" t="s">
        <v>23</v>
      </c>
      <c r="K356" s="2">
        <v>1</v>
      </c>
      <c r="L356" s="2">
        <v>12.99</v>
      </c>
      <c r="M356" s="19">
        <f t="shared" si="70"/>
        <v>12.99</v>
      </c>
      <c r="N356" s="2" t="s">
        <v>24</v>
      </c>
      <c r="O356" s="2" t="str">
        <f t="shared" si="71"/>
        <v>SAVE20</v>
      </c>
      <c r="P356" s="2">
        <v>2.6</v>
      </c>
      <c r="Q356" s="19">
        <f t="shared" si="72"/>
        <v>2.6</v>
      </c>
      <c r="R356" s="2" t="str">
        <f t="shared" si="73"/>
        <v>Number</v>
      </c>
      <c r="S356" s="2">
        <v>5.99</v>
      </c>
      <c r="T356" s="19">
        <f t="shared" si="74"/>
        <v>5.99</v>
      </c>
      <c r="U356" s="2">
        <v>16.38</v>
      </c>
      <c r="V356" s="19">
        <f t="shared" si="75"/>
        <v>16.38</v>
      </c>
      <c r="W356" s="19">
        <f t="shared" si="76"/>
        <v>16.380000000000003</v>
      </c>
      <c r="X356" s="19" t="str">
        <f t="shared" si="77"/>
        <v>True</v>
      </c>
      <c r="Y356" s="19" t="str">
        <f>IF(OR(W356&lt;'Cleaning Tasks'!$G$18,W356&gt;'Cleaning Tasks'!$H$18),"Outlier","Normal")</f>
        <v>Normal</v>
      </c>
      <c r="Z356" s="2" t="s">
        <v>72</v>
      </c>
      <c r="AA356" s="2" t="s">
        <v>27</v>
      </c>
      <c r="AB356" s="2" t="s">
        <v>96</v>
      </c>
      <c r="AC356" s="2" t="s">
        <v>223</v>
      </c>
      <c r="AD356" s="2"/>
      <c r="AE356" s="2" t="str">
        <f t="shared" si="78"/>
        <v>Not Required</v>
      </c>
      <c r="AF356" s="2" t="s">
        <v>1326</v>
      </c>
    </row>
    <row r="357" spans="1:32" x14ac:dyDescent="0.3">
      <c r="A357" s="2" t="s">
        <v>1327</v>
      </c>
      <c r="B357" s="2">
        <f t="shared" si="68"/>
        <v>1</v>
      </c>
      <c r="C357" s="12">
        <f t="shared" si="79"/>
        <v>46238.57951541667</v>
      </c>
      <c r="D357" s="13">
        <v>46238.57951541667</v>
      </c>
      <c r="E357" s="2"/>
      <c r="F357" s="2" t="str">
        <f t="shared" si="69"/>
        <v>Email Available</v>
      </c>
      <c r="G357" s="2" t="s">
        <v>607</v>
      </c>
      <c r="H357" s="2" t="s">
        <v>261</v>
      </c>
      <c r="I357" s="2" t="s">
        <v>36</v>
      </c>
      <c r="J357" s="2" t="s">
        <v>262</v>
      </c>
      <c r="K357" s="2">
        <v>1</v>
      </c>
      <c r="L357" s="2">
        <v>15.49</v>
      </c>
      <c r="M357" s="19">
        <f t="shared" si="70"/>
        <v>15.49</v>
      </c>
      <c r="N357" s="2" t="s">
        <v>38</v>
      </c>
      <c r="O357" s="2" t="str">
        <f t="shared" si="71"/>
        <v>FREESHIP</v>
      </c>
      <c r="P357" s="2">
        <v>0</v>
      </c>
      <c r="Q357" s="19">
        <f t="shared" si="72"/>
        <v>0</v>
      </c>
      <c r="R357" s="2" t="str">
        <f t="shared" si="73"/>
        <v>Number</v>
      </c>
      <c r="S357" s="2">
        <v>0</v>
      </c>
      <c r="T357" s="19">
        <f t="shared" si="74"/>
        <v>0</v>
      </c>
      <c r="U357" s="2">
        <v>15.49</v>
      </c>
      <c r="V357" s="19">
        <f t="shared" si="75"/>
        <v>15.49</v>
      </c>
      <c r="W357" s="19">
        <f t="shared" si="76"/>
        <v>15.49</v>
      </c>
      <c r="X357" s="19" t="str">
        <f t="shared" si="77"/>
        <v>True</v>
      </c>
      <c r="Y357" s="19" t="str">
        <f>IF(OR(W357&lt;'Cleaning Tasks'!$G$18,W357&gt;'Cleaning Tasks'!$H$18),"Outlier","Normal")</f>
        <v>Normal</v>
      </c>
      <c r="Z357" s="2" t="s">
        <v>72</v>
      </c>
      <c r="AA357" s="2" t="s">
        <v>27</v>
      </c>
      <c r="AB357" s="2" t="s">
        <v>41</v>
      </c>
      <c r="AC357" s="2" t="s">
        <v>42</v>
      </c>
      <c r="AD357" s="2"/>
      <c r="AE357" s="2" t="str">
        <f t="shared" si="78"/>
        <v>Not Required</v>
      </c>
      <c r="AF357" s="2" t="s">
        <v>1328</v>
      </c>
    </row>
    <row r="358" spans="1:32" x14ac:dyDescent="0.3">
      <c r="A358" s="2" t="s">
        <v>1329</v>
      </c>
      <c r="B358" s="2">
        <f t="shared" si="68"/>
        <v>1</v>
      </c>
      <c r="C358" s="12">
        <f t="shared" si="79"/>
        <v>46238.585830520831</v>
      </c>
      <c r="D358" s="13">
        <v>46238.585830520831</v>
      </c>
      <c r="E358" s="2" t="s">
        <v>417</v>
      </c>
      <c r="F358" s="2" t="str">
        <f t="shared" si="69"/>
        <v>Email Available</v>
      </c>
      <c r="G358" s="2" t="s">
        <v>418</v>
      </c>
      <c r="H358" s="2" t="s">
        <v>117</v>
      </c>
      <c r="I358" s="2" t="s">
        <v>22</v>
      </c>
      <c r="J358" s="2" t="s">
        <v>23</v>
      </c>
      <c r="K358" s="2">
        <v>1</v>
      </c>
      <c r="L358" s="2">
        <v>12.99</v>
      </c>
      <c r="M358" s="19">
        <f t="shared" si="70"/>
        <v>12.99</v>
      </c>
      <c r="N358" s="2" t="s">
        <v>203</v>
      </c>
      <c r="O358" s="2" t="str">
        <f t="shared" si="71"/>
        <v>VIP15</v>
      </c>
      <c r="P358" s="2">
        <v>1.95</v>
      </c>
      <c r="Q358" s="19">
        <f t="shared" si="72"/>
        <v>1.95</v>
      </c>
      <c r="R358" s="2" t="str">
        <f t="shared" si="73"/>
        <v>Number</v>
      </c>
      <c r="S358" s="2">
        <v>7.99</v>
      </c>
      <c r="T358" s="19">
        <f t="shared" si="74"/>
        <v>7.99</v>
      </c>
      <c r="U358" s="2">
        <v>19.03</v>
      </c>
      <c r="V358" s="19">
        <f t="shared" si="75"/>
        <v>19.03</v>
      </c>
      <c r="W358" s="19">
        <f t="shared" si="76"/>
        <v>19.03</v>
      </c>
      <c r="X358" s="19" t="str">
        <f t="shared" si="77"/>
        <v>True</v>
      </c>
      <c r="Y358" s="19" t="str">
        <f>IF(OR(W358&lt;'Cleaning Tasks'!$G$18,W358&gt;'Cleaning Tasks'!$H$18),"Outlier","Normal")</f>
        <v>Normal</v>
      </c>
      <c r="Z358" s="2" t="s">
        <v>26</v>
      </c>
      <c r="AA358" s="2" t="s">
        <v>111</v>
      </c>
      <c r="AB358" s="2" t="s">
        <v>50</v>
      </c>
      <c r="AC358" s="2" t="s">
        <v>29</v>
      </c>
      <c r="AD358" s="2" t="s">
        <v>51</v>
      </c>
      <c r="AE358" s="2" t="str">
        <f t="shared" si="78"/>
        <v>Valid</v>
      </c>
      <c r="AF358" s="2" t="s">
        <v>1330</v>
      </c>
    </row>
    <row r="359" spans="1:32" x14ac:dyDescent="0.3">
      <c r="A359" s="2" t="s">
        <v>1331</v>
      </c>
      <c r="B359" s="2">
        <f t="shared" si="68"/>
        <v>1</v>
      </c>
      <c r="C359" s="12">
        <f t="shared" si="79"/>
        <v>46238.580578819441</v>
      </c>
      <c r="D359" s="13">
        <v>46238.580578819441</v>
      </c>
      <c r="E359" s="2" t="s">
        <v>389</v>
      </c>
      <c r="F359" s="2" t="str">
        <f t="shared" si="69"/>
        <v>Email Available</v>
      </c>
      <c r="G359" s="2" t="s">
        <v>390</v>
      </c>
      <c r="H359" s="2" t="s">
        <v>182</v>
      </c>
      <c r="I359" s="2" t="s">
        <v>36</v>
      </c>
      <c r="J359" s="2" t="s">
        <v>183</v>
      </c>
      <c r="K359" s="2">
        <v>1</v>
      </c>
      <c r="L359" s="2">
        <v>11.99</v>
      </c>
      <c r="M359" s="19">
        <f t="shared" si="70"/>
        <v>11.99</v>
      </c>
      <c r="N359" s="2"/>
      <c r="O359" s="2" t="str">
        <f t="shared" si="71"/>
        <v/>
      </c>
      <c r="P359" s="2">
        <v>0</v>
      </c>
      <c r="Q359" s="19">
        <f t="shared" si="72"/>
        <v>0</v>
      </c>
      <c r="R359" s="2" t="str">
        <f t="shared" si="73"/>
        <v>Number</v>
      </c>
      <c r="S359" s="2">
        <v>5.99</v>
      </c>
      <c r="T359" s="19">
        <f t="shared" si="74"/>
        <v>5.99</v>
      </c>
      <c r="U359" s="2">
        <v>17.98</v>
      </c>
      <c r="V359" s="19">
        <f t="shared" si="75"/>
        <v>17.98</v>
      </c>
      <c r="W359" s="19">
        <f t="shared" si="76"/>
        <v>17.98</v>
      </c>
      <c r="X359" s="19" t="str">
        <f t="shared" si="77"/>
        <v>True</v>
      </c>
      <c r="Y359" s="19" t="str">
        <f>IF(OR(W359&lt;'Cleaning Tasks'!$G$18,W359&gt;'Cleaning Tasks'!$H$18),"Outlier","Normal")</f>
        <v>Normal</v>
      </c>
      <c r="Z359" s="2" t="s">
        <v>49</v>
      </c>
      <c r="AA359" s="2" t="s">
        <v>88</v>
      </c>
      <c r="AB359" s="2" t="s">
        <v>50</v>
      </c>
      <c r="AC359" s="2" t="s">
        <v>331</v>
      </c>
      <c r="AD359" s="2"/>
      <c r="AE359" s="2" t="str">
        <f t="shared" si="78"/>
        <v>Not Required</v>
      </c>
      <c r="AF359" s="2" t="s">
        <v>1332</v>
      </c>
    </row>
    <row r="360" spans="1:32" x14ac:dyDescent="0.3">
      <c r="A360" s="2" t="s">
        <v>1333</v>
      </c>
      <c r="B360" s="2">
        <f t="shared" si="68"/>
        <v>1</v>
      </c>
      <c r="C360" s="12">
        <f t="shared" si="79"/>
        <v>46238.582012233797</v>
      </c>
      <c r="D360" s="13">
        <v>46238.582012233797</v>
      </c>
      <c r="E360" s="2" t="s">
        <v>1334</v>
      </c>
      <c r="F360" s="2" t="str">
        <f t="shared" si="69"/>
        <v>Email Available</v>
      </c>
      <c r="G360" s="2" t="s">
        <v>716</v>
      </c>
      <c r="H360" s="2" t="s">
        <v>190</v>
      </c>
      <c r="I360" s="2" t="s">
        <v>191</v>
      </c>
      <c r="J360" s="2" t="s">
        <v>192</v>
      </c>
      <c r="K360" s="2">
        <v>1</v>
      </c>
      <c r="L360" s="2">
        <v>13.49</v>
      </c>
      <c r="M360" s="19">
        <f t="shared" si="70"/>
        <v>13.49</v>
      </c>
      <c r="N360" s="2" t="s">
        <v>24</v>
      </c>
      <c r="O360" s="2" t="str">
        <f t="shared" si="71"/>
        <v>SAVE20</v>
      </c>
      <c r="P360" s="2">
        <v>2.7</v>
      </c>
      <c r="Q360" s="19">
        <f t="shared" si="72"/>
        <v>2.7</v>
      </c>
      <c r="R360" s="2" t="str">
        <f t="shared" si="73"/>
        <v>Number</v>
      </c>
      <c r="S360" s="2">
        <v>4.99</v>
      </c>
      <c r="T360" s="19">
        <f t="shared" si="74"/>
        <v>4.99</v>
      </c>
      <c r="U360" s="2">
        <v>15.78</v>
      </c>
      <c r="V360" s="19">
        <f t="shared" si="75"/>
        <v>15.78</v>
      </c>
      <c r="W360" s="19">
        <f t="shared" si="76"/>
        <v>15.78</v>
      </c>
      <c r="X360" s="19" t="str">
        <f t="shared" si="77"/>
        <v>True</v>
      </c>
      <c r="Y360" s="19" t="str">
        <f>IF(OR(W360&lt;'Cleaning Tasks'!$G$18,W360&gt;'Cleaning Tasks'!$H$18),"Outlier","Normal")</f>
        <v>Normal</v>
      </c>
      <c r="Z360" s="2" t="s">
        <v>66</v>
      </c>
      <c r="AA360" s="2" t="s">
        <v>88</v>
      </c>
      <c r="AB360" s="2" t="s">
        <v>41</v>
      </c>
      <c r="AC360" s="2" t="s">
        <v>29</v>
      </c>
      <c r="AD360" s="2" t="s">
        <v>447</v>
      </c>
      <c r="AE360" s="2" t="str">
        <f t="shared" si="78"/>
        <v>Valid</v>
      </c>
      <c r="AF360" s="2" t="s">
        <v>1335</v>
      </c>
    </row>
    <row r="361" spans="1:32" x14ac:dyDescent="0.3">
      <c r="A361" s="2" t="s">
        <v>1336</v>
      </c>
      <c r="B361" s="2">
        <f t="shared" si="68"/>
        <v>1</v>
      </c>
      <c r="C361" s="12">
        <f t="shared" ref="C361:C376" si="80">IF(ISNUMBER(D361),D361,DATEVALUE(SUBSTITUTE(TRIM(D361),CHAR(160)," ")))</f>
        <v>46238.587175011577</v>
      </c>
      <c r="D361" s="13">
        <v>46238.587175011577</v>
      </c>
      <c r="E361" s="2" t="s">
        <v>1275</v>
      </c>
      <c r="F361" s="2" t="str">
        <f t="shared" si="69"/>
        <v>Email Available</v>
      </c>
      <c r="G361" s="2" t="s">
        <v>1256</v>
      </c>
      <c r="H361" s="2" t="s">
        <v>35</v>
      </c>
      <c r="I361" s="2" t="s">
        <v>36</v>
      </c>
      <c r="J361" s="2" t="s">
        <v>37</v>
      </c>
      <c r="K361" s="2">
        <v>1</v>
      </c>
      <c r="L361" s="2">
        <v>21.99</v>
      </c>
      <c r="M361" s="19">
        <f t="shared" si="70"/>
        <v>21.99</v>
      </c>
      <c r="N361" s="2"/>
      <c r="O361" s="2" t="str">
        <f t="shared" si="71"/>
        <v/>
      </c>
      <c r="P361" s="2">
        <v>0</v>
      </c>
      <c r="Q361" s="19">
        <f t="shared" si="72"/>
        <v>0</v>
      </c>
      <c r="R361" s="2" t="str">
        <f t="shared" si="73"/>
        <v>Number</v>
      </c>
      <c r="S361" s="2">
        <v>5.99</v>
      </c>
      <c r="T361" s="19">
        <f t="shared" si="74"/>
        <v>5.99</v>
      </c>
      <c r="U361" s="2">
        <v>27.98</v>
      </c>
      <c r="V361" s="19">
        <f t="shared" si="75"/>
        <v>27.98</v>
      </c>
      <c r="W361" s="19">
        <f t="shared" si="76"/>
        <v>27.979999999999997</v>
      </c>
      <c r="X361" s="19" t="str">
        <f t="shared" si="77"/>
        <v>True</v>
      </c>
      <c r="Y361" s="19" t="str">
        <f>IF(OR(W361&lt;'Cleaning Tasks'!$G$18,W361&gt;'Cleaning Tasks'!$H$18),"Outlier","Normal")</f>
        <v>Normal</v>
      </c>
      <c r="Z361" s="2" t="s">
        <v>26</v>
      </c>
      <c r="AA361" s="2" t="s">
        <v>27</v>
      </c>
      <c r="AB361" s="2" t="s">
        <v>50</v>
      </c>
      <c r="AC361" s="2" t="s">
        <v>105</v>
      </c>
      <c r="AD361" s="2"/>
      <c r="AE361" s="2" t="str">
        <f t="shared" si="78"/>
        <v>Not Required</v>
      </c>
      <c r="AF361" s="2" t="s">
        <v>1337</v>
      </c>
    </row>
    <row r="362" spans="1:32" x14ac:dyDescent="0.3">
      <c r="A362" s="2" t="s">
        <v>1338</v>
      </c>
      <c r="B362" s="2">
        <f t="shared" si="68"/>
        <v>1</v>
      </c>
      <c r="C362" s="12">
        <f t="shared" si="80"/>
        <v>46238.582035127307</v>
      </c>
      <c r="D362" s="13">
        <v>46238.582035127307</v>
      </c>
      <c r="E362" s="2" t="s">
        <v>1339</v>
      </c>
      <c r="F362" s="2" t="str">
        <f t="shared" si="69"/>
        <v>Email Available</v>
      </c>
      <c r="G362" s="2" t="s">
        <v>1340</v>
      </c>
      <c r="H362" s="2" t="s">
        <v>267</v>
      </c>
      <c r="I362" s="2" t="s">
        <v>22</v>
      </c>
      <c r="J362" s="2" t="s">
        <v>268</v>
      </c>
      <c r="K362" s="2">
        <v>1</v>
      </c>
      <c r="L362" s="2">
        <v>18.989999999999998</v>
      </c>
      <c r="M362" s="19">
        <f t="shared" si="70"/>
        <v>18.989999999999998</v>
      </c>
      <c r="N362" s="2"/>
      <c r="O362" s="2" t="str">
        <f t="shared" si="71"/>
        <v/>
      </c>
      <c r="P362" s="2">
        <v>0</v>
      </c>
      <c r="Q362" s="19">
        <f t="shared" si="72"/>
        <v>0</v>
      </c>
      <c r="R362" s="2" t="str">
        <f t="shared" si="73"/>
        <v>Number</v>
      </c>
      <c r="S362" s="2">
        <v>5.99</v>
      </c>
      <c r="T362" s="19">
        <f t="shared" si="74"/>
        <v>5.99</v>
      </c>
      <c r="U362" s="2">
        <v>24.98</v>
      </c>
      <c r="V362" s="19">
        <f t="shared" si="75"/>
        <v>24.98</v>
      </c>
      <c r="W362" s="19">
        <f t="shared" si="76"/>
        <v>24.979999999999997</v>
      </c>
      <c r="X362" s="19" t="str">
        <f t="shared" si="77"/>
        <v>True</v>
      </c>
      <c r="Y362" s="19" t="str">
        <f>IF(OR(W362&lt;'Cleaning Tasks'!$G$18,W362&gt;'Cleaning Tasks'!$H$18),"Outlier","Normal")</f>
        <v>Normal</v>
      </c>
      <c r="Z362" s="2" t="s">
        <v>72</v>
      </c>
      <c r="AA362" s="2" t="s">
        <v>40</v>
      </c>
      <c r="AB362" s="2" t="s">
        <v>50</v>
      </c>
      <c r="AC362" s="2" t="s">
        <v>42</v>
      </c>
      <c r="AD362" s="2"/>
      <c r="AE362" s="2" t="str">
        <f t="shared" si="78"/>
        <v>Not Required</v>
      </c>
      <c r="AF362" s="2" t="s">
        <v>1341</v>
      </c>
    </row>
    <row r="363" spans="1:32" x14ac:dyDescent="0.3">
      <c r="A363" s="2" t="s">
        <v>1342</v>
      </c>
      <c r="B363" s="2">
        <f t="shared" si="68"/>
        <v>1</v>
      </c>
      <c r="C363" s="12">
        <f t="shared" si="80"/>
        <v>46238</v>
      </c>
      <c r="D363" s="13">
        <v>46238</v>
      </c>
      <c r="E363" s="2" t="s">
        <v>1343</v>
      </c>
      <c r="F363" s="2" t="str">
        <f t="shared" si="69"/>
        <v>Email Available</v>
      </c>
      <c r="G363" s="2" t="s">
        <v>1344</v>
      </c>
      <c r="H363" s="2" t="s">
        <v>63</v>
      </c>
      <c r="I363" s="2" t="s">
        <v>47</v>
      </c>
      <c r="J363" s="2" t="s">
        <v>64</v>
      </c>
      <c r="K363" s="2">
        <v>2</v>
      </c>
      <c r="L363" s="2">
        <v>14.99</v>
      </c>
      <c r="M363" s="19">
        <f t="shared" si="70"/>
        <v>14.99</v>
      </c>
      <c r="N363" s="2" t="s">
        <v>118</v>
      </c>
      <c r="O363" s="2" t="str">
        <f t="shared" si="71"/>
        <v>BFCM25</v>
      </c>
      <c r="P363" s="2">
        <v>7.5</v>
      </c>
      <c r="Q363" s="19">
        <f t="shared" si="72"/>
        <v>7.5</v>
      </c>
      <c r="R363" s="2" t="str">
        <f t="shared" si="73"/>
        <v>Number</v>
      </c>
      <c r="S363" s="2">
        <v>4.99</v>
      </c>
      <c r="T363" s="19">
        <f t="shared" si="74"/>
        <v>4.99</v>
      </c>
      <c r="U363" s="2">
        <v>27.47</v>
      </c>
      <c r="V363" s="19">
        <f t="shared" si="75"/>
        <v>27.47</v>
      </c>
      <c r="W363" s="19">
        <f t="shared" si="76"/>
        <v>27.47</v>
      </c>
      <c r="X363" s="19" t="str">
        <f t="shared" si="77"/>
        <v>True</v>
      </c>
      <c r="Y363" s="19" t="str">
        <f>IF(OR(W363&lt;'Cleaning Tasks'!$G$18,W363&gt;'Cleaning Tasks'!$H$18),"Outlier","Normal")</f>
        <v>Normal</v>
      </c>
      <c r="Z363" s="2" t="s">
        <v>66</v>
      </c>
      <c r="AA363" s="2" t="s">
        <v>27</v>
      </c>
      <c r="AB363" s="2" t="s">
        <v>50</v>
      </c>
      <c r="AC363" s="2" t="s">
        <v>29</v>
      </c>
      <c r="AD363" s="2" t="s">
        <v>51</v>
      </c>
      <c r="AE363" s="2" t="str">
        <f t="shared" si="78"/>
        <v>Valid</v>
      </c>
      <c r="AF363" s="2" t="s">
        <v>1345</v>
      </c>
    </row>
    <row r="364" spans="1:32" x14ac:dyDescent="0.3">
      <c r="A364" s="2" t="s">
        <v>1346</v>
      </c>
      <c r="B364" s="2">
        <f t="shared" si="68"/>
        <v>1</v>
      </c>
      <c r="C364" s="12">
        <f t="shared" si="80"/>
        <v>46238.579701759263</v>
      </c>
      <c r="D364" s="13">
        <v>46238.579701759263</v>
      </c>
      <c r="E364" s="2" t="s">
        <v>251</v>
      </c>
      <c r="F364" s="2" t="str">
        <f t="shared" si="69"/>
        <v>Email Available</v>
      </c>
      <c r="G364" s="2" t="s">
        <v>344</v>
      </c>
      <c r="H364" s="2" t="s">
        <v>85</v>
      </c>
      <c r="I364" s="2" t="s">
        <v>86</v>
      </c>
      <c r="J364" s="2" t="s">
        <v>87</v>
      </c>
      <c r="K364" s="2">
        <v>2</v>
      </c>
      <c r="L364" s="2">
        <v>54.99</v>
      </c>
      <c r="M364" s="19">
        <f t="shared" si="70"/>
        <v>54.99</v>
      </c>
      <c r="N364" s="2" t="s">
        <v>65</v>
      </c>
      <c r="O364" s="2" t="str">
        <f t="shared" si="71"/>
        <v>WELCOME10</v>
      </c>
      <c r="P364" s="2">
        <v>11</v>
      </c>
      <c r="Q364" s="19">
        <f t="shared" si="72"/>
        <v>11</v>
      </c>
      <c r="R364" s="2" t="str">
        <f t="shared" si="73"/>
        <v>Number</v>
      </c>
      <c r="S364" s="2">
        <v>0</v>
      </c>
      <c r="T364" s="19">
        <f t="shared" si="74"/>
        <v>0</v>
      </c>
      <c r="U364" s="2">
        <v>98.98</v>
      </c>
      <c r="V364" s="19">
        <f t="shared" si="75"/>
        <v>98.98</v>
      </c>
      <c r="W364" s="19">
        <f t="shared" si="76"/>
        <v>98.98</v>
      </c>
      <c r="X364" s="19" t="str">
        <f t="shared" si="77"/>
        <v>True</v>
      </c>
      <c r="Y364" s="19" t="str">
        <f>IF(OR(W364&lt;'Cleaning Tasks'!$G$18,W364&gt;'Cleaning Tasks'!$H$18),"Outlier","Normal")</f>
        <v>Outlier</v>
      </c>
      <c r="Z364" s="2" t="s">
        <v>72</v>
      </c>
      <c r="AA364" s="2" t="s">
        <v>27</v>
      </c>
      <c r="AB364" s="2" t="s">
        <v>50</v>
      </c>
      <c r="AC364" s="2" t="s">
        <v>29</v>
      </c>
      <c r="AD364" s="2" t="s">
        <v>112</v>
      </c>
      <c r="AE364" s="2" t="str">
        <f t="shared" si="78"/>
        <v>Valid</v>
      </c>
      <c r="AF364" s="2" t="s">
        <v>1347</v>
      </c>
    </row>
    <row r="365" spans="1:32" x14ac:dyDescent="0.3">
      <c r="A365" s="2" t="s">
        <v>1348</v>
      </c>
      <c r="B365" s="2">
        <f t="shared" si="68"/>
        <v>1</v>
      </c>
      <c r="C365" s="12">
        <f t="shared" si="80"/>
        <v>46238.581874629628</v>
      </c>
      <c r="D365" s="13">
        <v>46238.581874629628</v>
      </c>
      <c r="E365" s="2" t="s">
        <v>1349</v>
      </c>
      <c r="F365" s="2" t="str">
        <f t="shared" si="69"/>
        <v>Email Available</v>
      </c>
      <c r="G365" s="2" t="s">
        <v>1350</v>
      </c>
      <c r="H365" s="2" t="s">
        <v>56</v>
      </c>
      <c r="I365" s="2" t="s">
        <v>22</v>
      </c>
      <c r="J365" s="2" t="s">
        <v>57</v>
      </c>
      <c r="K365" s="2">
        <v>1</v>
      </c>
      <c r="L365" s="2">
        <v>9.99</v>
      </c>
      <c r="M365" s="19">
        <f t="shared" si="70"/>
        <v>9.99</v>
      </c>
      <c r="N365" s="2" t="s">
        <v>38</v>
      </c>
      <c r="O365" s="2" t="str">
        <f t="shared" si="71"/>
        <v>FREESHIP</v>
      </c>
      <c r="P365" s="2">
        <v>0</v>
      </c>
      <c r="Q365" s="19">
        <f t="shared" si="72"/>
        <v>0</v>
      </c>
      <c r="R365" s="2" t="str">
        <f t="shared" si="73"/>
        <v>Number</v>
      </c>
      <c r="S365" s="2">
        <v>0</v>
      </c>
      <c r="T365" s="19">
        <f t="shared" si="74"/>
        <v>0</v>
      </c>
      <c r="U365" s="2">
        <v>9.99</v>
      </c>
      <c r="V365" s="19">
        <f t="shared" si="75"/>
        <v>9.99</v>
      </c>
      <c r="W365" s="19">
        <f t="shared" si="76"/>
        <v>9.99</v>
      </c>
      <c r="X365" s="19" t="str">
        <f t="shared" si="77"/>
        <v>True</v>
      </c>
      <c r="Y365" s="19" t="str">
        <f>IF(OR(W365&lt;'Cleaning Tasks'!$G$18,W365&gt;'Cleaning Tasks'!$H$18),"Outlier","Normal")</f>
        <v>Normal</v>
      </c>
      <c r="Z365" s="2" t="s">
        <v>72</v>
      </c>
      <c r="AA365" s="2" t="s">
        <v>88</v>
      </c>
      <c r="AB365" s="2" t="s">
        <v>50</v>
      </c>
      <c r="AC365" s="2" t="s">
        <v>42</v>
      </c>
      <c r="AD365" s="2"/>
      <c r="AE365" s="2" t="str">
        <f t="shared" si="78"/>
        <v>Not Required</v>
      </c>
      <c r="AF365" s="2" t="s">
        <v>1351</v>
      </c>
    </row>
    <row r="366" spans="1:32" x14ac:dyDescent="0.3">
      <c r="A366" s="2" t="s">
        <v>1352</v>
      </c>
      <c r="B366" s="2">
        <f t="shared" si="68"/>
        <v>1</v>
      </c>
      <c r="C366" s="12">
        <f t="shared" si="80"/>
        <v>46238</v>
      </c>
      <c r="D366" s="13">
        <v>46238</v>
      </c>
      <c r="E366" s="2" t="s">
        <v>606</v>
      </c>
      <c r="F366" s="2" t="str">
        <f t="shared" si="69"/>
        <v>Email Available</v>
      </c>
      <c r="G366" s="2" t="s">
        <v>607</v>
      </c>
      <c r="H366" s="2" t="s">
        <v>35</v>
      </c>
      <c r="I366" s="2" t="s">
        <v>36</v>
      </c>
      <c r="J366" s="2" t="s">
        <v>37</v>
      </c>
      <c r="K366" s="2">
        <v>1</v>
      </c>
      <c r="L366" s="2">
        <v>21.99</v>
      </c>
      <c r="M366" s="19">
        <f t="shared" si="70"/>
        <v>21.99</v>
      </c>
      <c r="N366" s="2" t="s">
        <v>65</v>
      </c>
      <c r="O366" s="2" t="str">
        <f t="shared" si="71"/>
        <v>WELCOME10</v>
      </c>
      <c r="P366" s="2">
        <v>2.2000000000000002</v>
      </c>
      <c r="Q366" s="19">
        <f t="shared" si="72"/>
        <v>2.2000000000000002</v>
      </c>
      <c r="R366" s="2" t="str">
        <f t="shared" si="73"/>
        <v>Number</v>
      </c>
      <c r="S366" s="2">
        <v>7.99</v>
      </c>
      <c r="T366" s="19">
        <f t="shared" si="74"/>
        <v>7.99</v>
      </c>
      <c r="U366" s="2">
        <v>27.78</v>
      </c>
      <c r="V366" s="19">
        <f t="shared" si="75"/>
        <v>27.78</v>
      </c>
      <c r="W366" s="19">
        <f t="shared" si="76"/>
        <v>27.78</v>
      </c>
      <c r="X366" s="19" t="str">
        <f t="shared" si="77"/>
        <v>True</v>
      </c>
      <c r="Y366" s="19" t="str">
        <f>IF(OR(W366&lt;'Cleaning Tasks'!$G$18,W366&gt;'Cleaning Tasks'!$H$18),"Outlier","Normal")</f>
        <v>Normal</v>
      </c>
      <c r="Z366" s="2" t="s">
        <v>49</v>
      </c>
      <c r="AA366" s="2" t="s">
        <v>40</v>
      </c>
      <c r="AB366" s="2" t="s">
        <v>28</v>
      </c>
      <c r="AC366" s="2" t="s">
        <v>42</v>
      </c>
      <c r="AD366" s="2"/>
      <c r="AE366" s="2" t="str">
        <f t="shared" si="78"/>
        <v>Not Required</v>
      </c>
      <c r="AF366" s="2" t="s">
        <v>1353</v>
      </c>
    </row>
    <row r="367" spans="1:32" x14ac:dyDescent="0.3">
      <c r="A367" s="2" t="s">
        <v>1354</v>
      </c>
      <c r="B367" s="2">
        <f t="shared" si="68"/>
        <v>1</v>
      </c>
      <c r="C367" s="12">
        <f t="shared" si="80"/>
        <v>46238.582844849538</v>
      </c>
      <c r="D367" s="13">
        <v>46238.582844849538</v>
      </c>
      <c r="E367" s="2" t="s">
        <v>347</v>
      </c>
      <c r="F367" s="2" t="str">
        <f t="shared" si="69"/>
        <v>Email Available</v>
      </c>
      <c r="G367" s="2" t="s">
        <v>348</v>
      </c>
      <c r="H367" s="2" t="s">
        <v>182</v>
      </c>
      <c r="I367" s="2" t="s">
        <v>36</v>
      </c>
      <c r="J367" s="2" t="s">
        <v>183</v>
      </c>
      <c r="K367" s="2">
        <v>1</v>
      </c>
      <c r="L367" s="2">
        <v>11.99</v>
      </c>
      <c r="M367" s="19">
        <f t="shared" si="70"/>
        <v>11.99</v>
      </c>
      <c r="N367" s="2" t="s">
        <v>38</v>
      </c>
      <c r="O367" s="2" t="str">
        <f t="shared" si="71"/>
        <v>FREESHIP</v>
      </c>
      <c r="P367" s="2">
        <v>0</v>
      </c>
      <c r="Q367" s="19">
        <f t="shared" si="72"/>
        <v>0</v>
      </c>
      <c r="R367" s="2" t="str">
        <f t="shared" si="73"/>
        <v>Number</v>
      </c>
      <c r="S367" s="2">
        <v>0</v>
      </c>
      <c r="T367" s="19">
        <f t="shared" si="74"/>
        <v>0</v>
      </c>
      <c r="U367" s="2" t="s">
        <v>402</v>
      </c>
      <c r="V367" s="19">
        <f t="shared" si="75"/>
        <v>11.99</v>
      </c>
      <c r="W367" s="19">
        <f t="shared" si="76"/>
        <v>11.99</v>
      </c>
      <c r="X367" s="19" t="str">
        <f t="shared" si="77"/>
        <v>True</v>
      </c>
      <c r="Y367" s="19" t="str">
        <f>IF(OR(W367&lt;'Cleaning Tasks'!$G$18,W367&gt;'Cleaning Tasks'!$H$18),"Outlier","Normal")</f>
        <v>Normal</v>
      </c>
      <c r="Z367" s="2" t="s">
        <v>39</v>
      </c>
      <c r="AA367" s="2" t="s">
        <v>27</v>
      </c>
      <c r="AB367" s="2" t="s">
        <v>50</v>
      </c>
      <c r="AC367" s="2" t="s">
        <v>223</v>
      </c>
      <c r="AD367" s="2"/>
      <c r="AE367" s="2" t="str">
        <f t="shared" si="78"/>
        <v>Not Required</v>
      </c>
      <c r="AF367" s="2" t="s">
        <v>1355</v>
      </c>
    </row>
    <row r="368" spans="1:32" x14ac:dyDescent="0.3">
      <c r="A368" s="2" t="s">
        <v>1356</v>
      </c>
      <c r="B368" s="2">
        <f t="shared" si="68"/>
        <v>1</v>
      </c>
      <c r="C368" s="12">
        <f t="shared" si="80"/>
        <v>46238</v>
      </c>
      <c r="D368" s="13">
        <v>46238</v>
      </c>
      <c r="E368" s="2" t="s">
        <v>935</v>
      </c>
      <c r="F368" s="2" t="str">
        <f t="shared" si="69"/>
        <v>Email Available</v>
      </c>
      <c r="G368" s="2" t="s">
        <v>936</v>
      </c>
      <c r="H368" s="2" t="s">
        <v>124</v>
      </c>
      <c r="I368" s="2" t="s">
        <v>79</v>
      </c>
      <c r="J368" s="2" t="s">
        <v>125</v>
      </c>
      <c r="K368" s="2">
        <v>1</v>
      </c>
      <c r="L368" s="2">
        <v>13.99</v>
      </c>
      <c r="M368" s="19">
        <f t="shared" si="70"/>
        <v>13.99</v>
      </c>
      <c r="N368" s="2"/>
      <c r="O368" s="2" t="str">
        <f t="shared" si="71"/>
        <v/>
      </c>
      <c r="P368" s="2">
        <v>0</v>
      </c>
      <c r="Q368" s="19">
        <f t="shared" si="72"/>
        <v>0</v>
      </c>
      <c r="R368" s="2" t="str">
        <f t="shared" si="73"/>
        <v>Number</v>
      </c>
      <c r="S368" s="2">
        <v>4.99</v>
      </c>
      <c r="T368" s="19">
        <f t="shared" si="74"/>
        <v>4.99</v>
      </c>
      <c r="U368" s="2">
        <v>18.98</v>
      </c>
      <c r="V368" s="19">
        <f t="shared" si="75"/>
        <v>18.98</v>
      </c>
      <c r="W368" s="19">
        <f t="shared" si="76"/>
        <v>18.98</v>
      </c>
      <c r="X368" s="19" t="str">
        <f t="shared" si="77"/>
        <v>True</v>
      </c>
      <c r="Y368" s="19" t="str">
        <f>IF(OR(W368&lt;'Cleaning Tasks'!$G$18,W368&gt;'Cleaning Tasks'!$H$18),"Outlier","Normal")</f>
        <v>Normal</v>
      </c>
      <c r="Z368" s="2" t="s">
        <v>72</v>
      </c>
      <c r="AA368" s="2" t="s">
        <v>27</v>
      </c>
      <c r="AB368" s="2" t="s">
        <v>41</v>
      </c>
      <c r="AC368" s="2" t="s">
        <v>29</v>
      </c>
      <c r="AD368" s="2" t="s">
        <v>51</v>
      </c>
      <c r="AE368" s="2" t="str">
        <f t="shared" si="78"/>
        <v>Valid</v>
      </c>
      <c r="AF368" s="2" t="s">
        <v>1357</v>
      </c>
    </row>
    <row r="369" spans="1:32" x14ac:dyDescent="0.3">
      <c r="A369" s="2" t="s">
        <v>1358</v>
      </c>
      <c r="B369" s="2">
        <f t="shared" si="68"/>
        <v>1</v>
      </c>
      <c r="C369" s="12">
        <f t="shared" si="80"/>
        <v>46238.58312221065</v>
      </c>
      <c r="D369" s="13">
        <v>46238.58312221065</v>
      </c>
      <c r="E369" s="2" t="s">
        <v>1359</v>
      </c>
      <c r="F369" s="2" t="str">
        <f t="shared" si="69"/>
        <v>Email Available</v>
      </c>
      <c r="G369" s="2" t="s">
        <v>1360</v>
      </c>
      <c r="H369" s="2" t="s">
        <v>182</v>
      </c>
      <c r="I369" s="2" t="s">
        <v>36</v>
      </c>
      <c r="J369" s="2" t="s">
        <v>183</v>
      </c>
      <c r="K369" s="2">
        <v>1</v>
      </c>
      <c r="L369" s="2">
        <v>11.99</v>
      </c>
      <c r="M369" s="19">
        <f t="shared" si="70"/>
        <v>11.99</v>
      </c>
      <c r="N369" s="2" t="s">
        <v>24</v>
      </c>
      <c r="O369" s="2" t="str">
        <f t="shared" si="71"/>
        <v>SAVE20</v>
      </c>
      <c r="P369" s="2">
        <v>2.4</v>
      </c>
      <c r="Q369" s="19">
        <f t="shared" si="72"/>
        <v>2.4</v>
      </c>
      <c r="R369" s="2" t="str">
        <f t="shared" si="73"/>
        <v>Number</v>
      </c>
      <c r="S369" s="2">
        <v>5.99</v>
      </c>
      <c r="T369" s="19">
        <f t="shared" si="74"/>
        <v>5.99</v>
      </c>
      <c r="U369" s="2">
        <v>15.58</v>
      </c>
      <c r="V369" s="19">
        <f t="shared" si="75"/>
        <v>15.58</v>
      </c>
      <c r="W369" s="19">
        <f t="shared" si="76"/>
        <v>15.58</v>
      </c>
      <c r="X369" s="19" t="str">
        <f t="shared" si="77"/>
        <v>True</v>
      </c>
      <c r="Y369" s="19" t="str">
        <f>IF(OR(W369&lt;'Cleaning Tasks'!$G$18,W369&gt;'Cleaning Tasks'!$H$18),"Outlier","Normal")</f>
        <v>Normal</v>
      </c>
      <c r="Z369" s="2" t="s">
        <v>72</v>
      </c>
      <c r="AA369" s="2" t="s">
        <v>27</v>
      </c>
      <c r="AB369" s="2" t="s">
        <v>50</v>
      </c>
      <c r="AC369" s="2" t="s">
        <v>331</v>
      </c>
      <c r="AD369" s="2"/>
      <c r="AE369" s="2" t="str">
        <f t="shared" si="78"/>
        <v>Not Required</v>
      </c>
      <c r="AF369" s="2" t="s">
        <v>1361</v>
      </c>
    </row>
    <row r="370" spans="1:32" x14ac:dyDescent="0.3">
      <c r="A370" s="2" t="s">
        <v>1362</v>
      </c>
      <c r="B370" s="2">
        <f t="shared" si="68"/>
        <v>1</v>
      </c>
      <c r="C370" s="12">
        <f t="shared" si="80"/>
        <v>46238.586508668981</v>
      </c>
      <c r="D370" s="13">
        <v>46238.586508668981</v>
      </c>
      <c r="E370" s="2" t="s">
        <v>1363</v>
      </c>
      <c r="F370" s="2" t="str">
        <f t="shared" si="69"/>
        <v>Email Available</v>
      </c>
      <c r="G370" s="2" t="s">
        <v>1364</v>
      </c>
      <c r="H370" s="2" t="s">
        <v>146</v>
      </c>
      <c r="I370" s="2" t="s">
        <v>47</v>
      </c>
      <c r="J370" s="2" t="s">
        <v>147</v>
      </c>
      <c r="K370" s="2">
        <v>1</v>
      </c>
      <c r="L370" s="2">
        <v>34.99</v>
      </c>
      <c r="M370" s="19">
        <f t="shared" si="70"/>
        <v>34.99</v>
      </c>
      <c r="N370" s="2"/>
      <c r="O370" s="2" t="str">
        <f t="shared" si="71"/>
        <v/>
      </c>
      <c r="P370" s="2">
        <v>0</v>
      </c>
      <c r="Q370" s="19">
        <f t="shared" si="72"/>
        <v>0</v>
      </c>
      <c r="R370" s="2" t="str">
        <f t="shared" si="73"/>
        <v>Number</v>
      </c>
      <c r="S370" s="2">
        <v>7.99</v>
      </c>
      <c r="T370" s="19">
        <f t="shared" si="74"/>
        <v>7.99</v>
      </c>
      <c r="U370" s="2">
        <v>42.98</v>
      </c>
      <c r="V370" s="19">
        <f t="shared" si="75"/>
        <v>42.98</v>
      </c>
      <c r="W370" s="19">
        <f t="shared" si="76"/>
        <v>42.980000000000004</v>
      </c>
      <c r="X370" s="19" t="str">
        <f t="shared" si="77"/>
        <v>True</v>
      </c>
      <c r="Y370" s="19" t="str">
        <f>IF(OR(W370&lt;'Cleaning Tasks'!$G$18,W370&gt;'Cleaning Tasks'!$H$18),"Outlier","Normal")</f>
        <v>Normal</v>
      </c>
      <c r="Z370" s="2" t="s">
        <v>49</v>
      </c>
      <c r="AA370" s="2" t="s">
        <v>27</v>
      </c>
      <c r="AB370" s="2" t="s">
        <v>28</v>
      </c>
      <c r="AC370" s="2" t="s">
        <v>223</v>
      </c>
      <c r="AD370" s="2"/>
      <c r="AE370" s="2" t="str">
        <f t="shared" si="78"/>
        <v>Not Required</v>
      </c>
      <c r="AF370" s="2" t="s">
        <v>1365</v>
      </c>
    </row>
    <row r="371" spans="1:32" x14ac:dyDescent="0.3">
      <c r="A371" s="2" t="s">
        <v>1366</v>
      </c>
      <c r="B371" s="2">
        <f t="shared" si="68"/>
        <v>1</v>
      </c>
      <c r="C371" s="12">
        <f t="shared" si="80"/>
        <v>46238</v>
      </c>
      <c r="D371" s="13" t="s">
        <v>714</v>
      </c>
      <c r="E371" s="2" t="s">
        <v>1117</v>
      </c>
      <c r="F371" s="2" t="str">
        <f t="shared" si="69"/>
        <v>Email Available</v>
      </c>
      <c r="G371" s="2" t="s">
        <v>1118</v>
      </c>
      <c r="H371" s="2" t="s">
        <v>146</v>
      </c>
      <c r="I371" s="2" t="s">
        <v>47</v>
      </c>
      <c r="J371" s="2" t="s">
        <v>147</v>
      </c>
      <c r="K371" s="2">
        <v>1</v>
      </c>
      <c r="L371" s="2">
        <v>34.99</v>
      </c>
      <c r="M371" s="19">
        <f t="shared" si="70"/>
        <v>34.99</v>
      </c>
      <c r="N371" s="2"/>
      <c r="O371" s="2" t="str">
        <f t="shared" si="71"/>
        <v/>
      </c>
      <c r="P371" s="2">
        <v>0</v>
      </c>
      <c r="Q371" s="19">
        <f t="shared" si="72"/>
        <v>0</v>
      </c>
      <c r="R371" s="2" t="str">
        <f t="shared" si="73"/>
        <v>Number</v>
      </c>
      <c r="S371" s="2">
        <v>7.99</v>
      </c>
      <c r="T371" s="19">
        <f t="shared" si="74"/>
        <v>7.99</v>
      </c>
      <c r="U371" s="2">
        <v>42.98</v>
      </c>
      <c r="V371" s="19">
        <f t="shared" si="75"/>
        <v>42.98</v>
      </c>
      <c r="W371" s="19">
        <f t="shared" si="76"/>
        <v>42.980000000000004</v>
      </c>
      <c r="X371" s="19" t="str">
        <f t="shared" si="77"/>
        <v>True</v>
      </c>
      <c r="Y371" s="19" t="str">
        <f>IF(OR(W371&lt;'Cleaning Tasks'!$G$18,W371&gt;'Cleaning Tasks'!$H$18),"Outlier","Normal")</f>
        <v>Normal</v>
      </c>
      <c r="Z371" s="2" t="s">
        <v>72</v>
      </c>
      <c r="AA371" s="2" t="s">
        <v>40</v>
      </c>
      <c r="AB371" s="2" t="s">
        <v>50</v>
      </c>
      <c r="AC371" s="2" t="s">
        <v>331</v>
      </c>
      <c r="AD371" s="2"/>
      <c r="AE371" s="2" t="str">
        <f t="shared" si="78"/>
        <v>Not Required</v>
      </c>
      <c r="AF371" s="2" t="s">
        <v>1367</v>
      </c>
    </row>
    <row r="372" spans="1:32" x14ac:dyDescent="0.3">
      <c r="A372" s="2" t="s">
        <v>1368</v>
      </c>
      <c r="B372" s="2">
        <f t="shared" si="68"/>
        <v>1</v>
      </c>
      <c r="C372" s="12">
        <f t="shared" si="80"/>
        <v>46238.583217962972</v>
      </c>
      <c r="D372" s="13">
        <v>46238.583217962972</v>
      </c>
      <c r="E372" s="2" t="s">
        <v>1369</v>
      </c>
      <c r="F372" s="2" t="str">
        <f t="shared" si="69"/>
        <v>Email Available</v>
      </c>
      <c r="G372" s="2" t="s">
        <v>1370</v>
      </c>
      <c r="H372" s="2" t="s">
        <v>146</v>
      </c>
      <c r="I372" s="2" t="s">
        <v>47</v>
      </c>
      <c r="J372" s="2" t="s">
        <v>147</v>
      </c>
      <c r="K372" s="2">
        <v>1</v>
      </c>
      <c r="L372" s="2">
        <v>34.99</v>
      </c>
      <c r="M372" s="19">
        <f t="shared" si="70"/>
        <v>34.99</v>
      </c>
      <c r="N372" s="2"/>
      <c r="O372" s="2" t="str">
        <f t="shared" si="71"/>
        <v/>
      </c>
      <c r="P372" s="2">
        <v>0</v>
      </c>
      <c r="Q372" s="19">
        <f t="shared" si="72"/>
        <v>0</v>
      </c>
      <c r="R372" s="2" t="str">
        <f t="shared" si="73"/>
        <v>Number</v>
      </c>
      <c r="S372" s="2">
        <v>4.99</v>
      </c>
      <c r="T372" s="19">
        <f t="shared" si="74"/>
        <v>4.99</v>
      </c>
      <c r="U372" s="2">
        <v>39.979999999999997</v>
      </c>
      <c r="V372" s="19">
        <f t="shared" si="75"/>
        <v>39.979999999999997</v>
      </c>
      <c r="W372" s="19">
        <f t="shared" si="76"/>
        <v>39.980000000000004</v>
      </c>
      <c r="X372" s="19" t="str">
        <f t="shared" si="77"/>
        <v>True</v>
      </c>
      <c r="Y372" s="19" t="str">
        <f>IF(OR(W372&lt;'Cleaning Tasks'!$G$18,W372&gt;'Cleaning Tasks'!$H$18),"Outlier","Normal")</f>
        <v>Normal</v>
      </c>
      <c r="Z372" s="2" t="s">
        <v>72</v>
      </c>
      <c r="AA372" s="2" t="s">
        <v>27</v>
      </c>
      <c r="AB372" s="2" t="s">
        <v>96</v>
      </c>
      <c r="AC372" s="2" t="s">
        <v>73</v>
      </c>
      <c r="AD372" s="2"/>
      <c r="AE372" s="2" t="str">
        <f t="shared" si="78"/>
        <v>Not Required</v>
      </c>
      <c r="AF372" s="2" t="s">
        <v>1371</v>
      </c>
    </row>
    <row r="373" spans="1:32" x14ac:dyDescent="0.3">
      <c r="A373" s="2" t="s">
        <v>1372</v>
      </c>
      <c r="B373" s="2">
        <f t="shared" si="68"/>
        <v>1</v>
      </c>
      <c r="C373" s="12">
        <f t="shared" si="80"/>
        <v>46238.584731145827</v>
      </c>
      <c r="D373" s="13">
        <v>46238.584731145827</v>
      </c>
      <c r="E373" s="2" t="s">
        <v>1373</v>
      </c>
      <c r="F373" s="2" t="str">
        <f t="shared" si="69"/>
        <v>Email Available</v>
      </c>
      <c r="G373" s="2" t="s">
        <v>1374</v>
      </c>
      <c r="H373" s="2" t="s">
        <v>361</v>
      </c>
      <c r="I373" s="2" t="s">
        <v>86</v>
      </c>
      <c r="J373" s="2" t="s">
        <v>362</v>
      </c>
      <c r="K373" s="2">
        <v>1</v>
      </c>
      <c r="L373" s="2">
        <v>54.99</v>
      </c>
      <c r="M373" s="19">
        <f t="shared" si="70"/>
        <v>54.99</v>
      </c>
      <c r="N373" s="2" t="s">
        <v>118</v>
      </c>
      <c r="O373" s="2" t="str">
        <f t="shared" si="71"/>
        <v>BFCM25</v>
      </c>
      <c r="P373" s="2">
        <v>13.75</v>
      </c>
      <c r="Q373" s="19">
        <f t="shared" si="72"/>
        <v>13.75</v>
      </c>
      <c r="R373" s="2" t="str">
        <f t="shared" si="73"/>
        <v>Number</v>
      </c>
      <c r="S373" s="2">
        <v>7.99</v>
      </c>
      <c r="T373" s="19">
        <f t="shared" si="74"/>
        <v>7.99</v>
      </c>
      <c r="U373" s="2">
        <v>49.23</v>
      </c>
      <c r="V373" s="19">
        <f t="shared" si="75"/>
        <v>49.23</v>
      </c>
      <c r="W373" s="19">
        <f t="shared" si="76"/>
        <v>49.230000000000004</v>
      </c>
      <c r="X373" s="19" t="str">
        <f t="shared" si="77"/>
        <v>True</v>
      </c>
      <c r="Y373" s="19" t="str">
        <f>IF(OR(W373&lt;'Cleaning Tasks'!$G$18,W373&gt;'Cleaning Tasks'!$H$18),"Outlier","Normal")</f>
        <v>Normal</v>
      </c>
      <c r="Z373" s="2" t="s">
        <v>49</v>
      </c>
      <c r="AA373" s="2" t="s">
        <v>27</v>
      </c>
      <c r="AB373" s="2" t="s">
        <v>50</v>
      </c>
      <c r="AC373" s="2" t="s">
        <v>223</v>
      </c>
      <c r="AD373" s="2"/>
      <c r="AE373" s="2" t="str">
        <f t="shared" si="78"/>
        <v>Not Required</v>
      </c>
      <c r="AF373" s="2" t="s">
        <v>1375</v>
      </c>
    </row>
    <row r="374" spans="1:32" x14ac:dyDescent="0.3">
      <c r="A374" s="2" t="s">
        <v>1376</v>
      </c>
      <c r="B374" s="2">
        <f t="shared" si="68"/>
        <v>1</v>
      </c>
      <c r="C374" s="12">
        <f t="shared" si="80"/>
        <v>46238.586880358787</v>
      </c>
      <c r="D374" s="13">
        <v>46238.586880358787</v>
      </c>
      <c r="E374" s="2" t="s">
        <v>188</v>
      </c>
      <c r="F374" s="2" t="str">
        <f t="shared" si="69"/>
        <v>Missing Email</v>
      </c>
      <c r="G374" s="2"/>
      <c r="H374" s="2" t="s">
        <v>56</v>
      </c>
      <c r="I374" s="2" t="s">
        <v>22</v>
      </c>
      <c r="J374" s="2" t="s">
        <v>57</v>
      </c>
      <c r="K374" s="2">
        <v>2</v>
      </c>
      <c r="L374" s="2">
        <v>9.99</v>
      </c>
      <c r="M374" s="19">
        <f t="shared" si="70"/>
        <v>9.99</v>
      </c>
      <c r="N374" s="2" t="s">
        <v>24</v>
      </c>
      <c r="O374" s="2" t="str">
        <f t="shared" si="71"/>
        <v>SAVE20</v>
      </c>
      <c r="P374" s="2">
        <v>4</v>
      </c>
      <c r="Q374" s="19">
        <f t="shared" si="72"/>
        <v>4</v>
      </c>
      <c r="R374" s="2" t="str">
        <f t="shared" si="73"/>
        <v>Number</v>
      </c>
      <c r="S374" s="2">
        <v>4.99</v>
      </c>
      <c r="T374" s="19">
        <f t="shared" si="74"/>
        <v>4.99</v>
      </c>
      <c r="U374" s="2">
        <v>20.97</v>
      </c>
      <c r="V374" s="19">
        <f t="shared" si="75"/>
        <v>20.97</v>
      </c>
      <c r="W374" s="19">
        <f t="shared" si="76"/>
        <v>20.97</v>
      </c>
      <c r="X374" s="19" t="str">
        <f t="shared" si="77"/>
        <v>True</v>
      </c>
      <c r="Y374" s="19" t="str">
        <f>IF(OR(W374&lt;'Cleaning Tasks'!$G$18,W374&gt;'Cleaning Tasks'!$H$18),"Outlier","Normal")</f>
        <v>Normal</v>
      </c>
      <c r="Z374" s="2" t="s">
        <v>49</v>
      </c>
      <c r="AA374" s="2" t="s">
        <v>27</v>
      </c>
      <c r="AB374" s="2" t="s">
        <v>28</v>
      </c>
      <c r="AC374" s="2" t="s">
        <v>29</v>
      </c>
      <c r="AD374" s="2" t="s">
        <v>30</v>
      </c>
      <c r="AE374" s="2" t="str">
        <f t="shared" si="78"/>
        <v>Valid</v>
      </c>
      <c r="AF374" s="2" t="s">
        <v>1377</v>
      </c>
    </row>
    <row r="375" spans="1:32" x14ac:dyDescent="0.3">
      <c r="A375" s="2" t="s">
        <v>1378</v>
      </c>
      <c r="B375" s="2">
        <f t="shared" si="68"/>
        <v>1</v>
      </c>
      <c r="C375" s="12">
        <f t="shared" si="80"/>
        <v>46238.582060266213</v>
      </c>
      <c r="D375" s="13">
        <v>46238.582060266213</v>
      </c>
      <c r="E375" s="2" t="s">
        <v>164</v>
      </c>
      <c r="F375" s="2" t="str">
        <f t="shared" si="69"/>
        <v>Missing Email</v>
      </c>
      <c r="G375" s="2"/>
      <c r="H375" s="2" t="s">
        <v>236</v>
      </c>
      <c r="I375" s="2" t="s">
        <v>237</v>
      </c>
      <c r="J375" s="2" t="s">
        <v>238</v>
      </c>
      <c r="K375" s="2">
        <v>2</v>
      </c>
      <c r="L375" s="2">
        <v>27.99</v>
      </c>
      <c r="M375" s="19">
        <f t="shared" si="70"/>
        <v>27.99</v>
      </c>
      <c r="N375" s="2" t="s">
        <v>118</v>
      </c>
      <c r="O375" s="2" t="str">
        <f t="shared" si="71"/>
        <v>BFCM25</v>
      </c>
      <c r="P375" s="2">
        <v>13.99</v>
      </c>
      <c r="Q375" s="19">
        <f t="shared" si="72"/>
        <v>13.99</v>
      </c>
      <c r="R375" s="2" t="str">
        <f t="shared" si="73"/>
        <v>Number</v>
      </c>
      <c r="S375" s="2">
        <v>5.99</v>
      </c>
      <c r="T375" s="19">
        <f t="shared" si="74"/>
        <v>5.99</v>
      </c>
      <c r="U375" s="2">
        <v>47.98</v>
      </c>
      <c r="V375" s="19">
        <f t="shared" si="75"/>
        <v>47.98</v>
      </c>
      <c r="W375" s="19">
        <f t="shared" si="76"/>
        <v>47.98</v>
      </c>
      <c r="X375" s="19" t="str">
        <f t="shared" si="77"/>
        <v>True</v>
      </c>
      <c r="Y375" s="19" t="str">
        <f>IF(OR(W375&lt;'Cleaning Tasks'!$G$18,W375&gt;'Cleaning Tasks'!$H$18),"Outlier","Normal")</f>
        <v>Normal</v>
      </c>
      <c r="Z375" s="2" t="s">
        <v>39</v>
      </c>
      <c r="AA375" s="2" t="s">
        <v>40</v>
      </c>
      <c r="AB375" s="2" t="s">
        <v>50</v>
      </c>
      <c r="AC375" s="2" t="s">
        <v>105</v>
      </c>
      <c r="AD375" s="2"/>
      <c r="AE375" s="2" t="str">
        <f t="shared" si="78"/>
        <v>Not Required</v>
      </c>
      <c r="AF375" s="2" t="s">
        <v>1379</v>
      </c>
    </row>
    <row r="376" spans="1:32" x14ac:dyDescent="0.3">
      <c r="A376" s="2" t="s">
        <v>1380</v>
      </c>
      <c r="B376" s="2">
        <f t="shared" si="68"/>
        <v>1</v>
      </c>
      <c r="C376" s="12">
        <f t="shared" si="80"/>
        <v>46238.5842671875</v>
      </c>
      <c r="D376" s="13">
        <v>46238.5842671875</v>
      </c>
      <c r="E376" s="2" t="s">
        <v>413</v>
      </c>
      <c r="F376" s="2" t="str">
        <f t="shared" si="69"/>
        <v>Email Available</v>
      </c>
      <c r="G376" s="2" t="s">
        <v>414</v>
      </c>
      <c r="H376" s="2" t="s">
        <v>361</v>
      </c>
      <c r="I376" s="2" t="s">
        <v>86</v>
      </c>
      <c r="J376" s="2" t="s">
        <v>362</v>
      </c>
      <c r="K376" s="2">
        <v>2</v>
      </c>
      <c r="L376" s="2">
        <v>54.99</v>
      </c>
      <c r="M376" s="19">
        <f t="shared" si="70"/>
        <v>54.99</v>
      </c>
      <c r="N376" s="2" t="s">
        <v>65</v>
      </c>
      <c r="O376" s="2" t="str">
        <f t="shared" si="71"/>
        <v>WELCOME10</v>
      </c>
      <c r="P376" s="2">
        <v>11</v>
      </c>
      <c r="Q376" s="19">
        <f t="shared" si="72"/>
        <v>11</v>
      </c>
      <c r="R376" s="2" t="str">
        <f t="shared" si="73"/>
        <v>Number</v>
      </c>
      <c r="S376" s="2">
        <v>0</v>
      </c>
      <c r="T376" s="19">
        <f t="shared" si="74"/>
        <v>0</v>
      </c>
      <c r="U376" s="2">
        <v>98.98</v>
      </c>
      <c r="V376" s="19">
        <f t="shared" si="75"/>
        <v>98.98</v>
      </c>
      <c r="W376" s="19">
        <f t="shared" si="76"/>
        <v>98.98</v>
      </c>
      <c r="X376" s="19" t="str">
        <f t="shared" si="77"/>
        <v>True</v>
      </c>
      <c r="Y376" s="19" t="str">
        <f>IF(OR(W376&lt;'Cleaning Tasks'!$G$18,W376&gt;'Cleaning Tasks'!$H$18),"Outlier","Normal")</f>
        <v>Outlier</v>
      </c>
      <c r="Z376" s="2" t="s">
        <v>49</v>
      </c>
      <c r="AA376" s="2" t="s">
        <v>88</v>
      </c>
      <c r="AB376" s="2" t="s">
        <v>50</v>
      </c>
      <c r="AC376" s="2" t="s">
        <v>331</v>
      </c>
      <c r="AD376" s="2"/>
      <c r="AE376" s="2" t="str">
        <f t="shared" si="78"/>
        <v>Not Required</v>
      </c>
      <c r="AF376" s="2" t="s">
        <v>1381</v>
      </c>
    </row>
    <row r="377" spans="1:32" x14ac:dyDescent="0.3">
      <c r="A377" s="2" t="s">
        <v>1382</v>
      </c>
      <c r="B377" s="2">
        <f t="shared" si="68"/>
        <v>1</v>
      </c>
      <c r="C377" s="12">
        <f>DATE(VALUE(RIGHT(D377,4)),MATCH(LEFT(D377,3),{"Jan","Feb","Mar","Apr","May","Jun","Jul","Aug","Sep","Oct","Nov","Dec"},0),VALUE(MID(D377,5,2)))</f>
        <v>46238</v>
      </c>
      <c r="D377" s="13" t="s">
        <v>171</v>
      </c>
      <c r="E377" s="2" t="s">
        <v>473</v>
      </c>
      <c r="F377" s="2" t="str">
        <f t="shared" si="69"/>
        <v>Email Available</v>
      </c>
      <c r="G377" s="2" t="s">
        <v>474</v>
      </c>
      <c r="H377" s="2" t="s">
        <v>201</v>
      </c>
      <c r="I377" s="2" t="s">
        <v>191</v>
      </c>
      <c r="J377" s="2" t="s">
        <v>202</v>
      </c>
      <c r="K377" s="2">
        <v>1</v>
      </c>
      <c r="L377" s="2">
        <v>24.99</v>
      </c>
      <c r="M377" s="19">
        <f t="shared" si="70"/>
        <v>24.99</v>
      </c>
      <c r="N377" s="2" t="s">
        <v>203</v>
      </c>
      <c r="O377" s="2" t="str">
        <f t="shared" si="71"/>
        <v>VIP15</v>
      </c>
      <c r="P377" s="2">
        <v>3.75</v>
      </c>
      <c r="Q377" s="19">
        <f t="shared" si="72"/>
        <v>3.75</v>
      </c>
      <c r="R377" s="2" t="str">
        <f t="shared" si="73"/>
        <v>Number</v>
      </c>
      <c r="S377" s="2">
        <v>5.99</v>
      </c>
      <c r="T377" s="19">
        <f t="shared" si="74"/>
        <v>5.99</v>
      </c>
      <c r="U377" s="2">
        <v>27.23</v>
      </c>
      <c r="V377" s="19">
        <f t="shared" si="75"/>
        <v>27.23</v>
      </c>
      <c r="W377" s="19">
        <f t="shared" si="76"/>
        <v>27.229999999999997</v>
      </c>
      <c r="X377" s="19" t="str">
        <f t="shared" si="77"/>
        <v>True</v>
      </c>
      <c r="Y377" s="19" t="str">
        <f>IF(OR(W377&lt;'Cleaning Tasks'!$G$18,W377&gt;'Cleaning Tasks'!$H$18),"Outlier","Normal")</f>
        <v>Normal</v>
      </c>
      <c r="Z377" s="2" t="s">
        <v>49</v>
      </c>
      <c r="AA377" s="2" t="s">
        <v>88</v>
      </c>
      <c r="AB377" s="2" t="s">
        <v>50</v>
      </c>
      <c r="AC377" s="2" t="s">
        <v>73</v>
      </c>
      <c r="AD377" s="2"/>
      <c r="AE377" s="2" t="str">
        <f t="shared" si="78"/>
        <v>Not Required</v>
      </c>
      <c r="AF377" s="2" t="s">
        <v>1383</v>
      </c>
    </row>
    <row r="378" spans="1:32" x14ac:dyDescent="0.3">
      <c r="A378" s="2" t="s">
        <v>1384</v>
      </c>
      <c r="B378" s="2">
        <f t="shared" si="68"/>
        <v>1</v>
      </c>
      <c r="C378" s="12">
        <f>IF(ISNUMBER(D378),D378,DATEVALUE(SUBSTITUTE(TRIM(D378),CHAR(160)," ")))</f>
        <v>46238.58292385417</v>
      </c>
      <c r="D378" s="13">
        <v>46238.58292385417</v>
      </c>
      <c r="E378" s="2" t="s">
        <v>1385</v>
      </c>
      <c r="F378" s="2" t="str">
        <f t="shared" si="69"/>
        <v>Email Available</v>
      </c>
      <c r="G378" s="2" t="s">
        <v>1386</v>
      </c>
      <c r="H378" s="2" t="s">
        <v>221</v>
      </c>
      <c r="I378" s="2" t="s">
        <v>22</v>
      </c>
      <c r="J378" s="2" t="s">
        <v>222</v>
      </c>
      <c r="K378" s="2">
        <v>1</v>
      </c>
      <c r="L378" s="2">
        <v>17.989999999999998</v>
      </c>
      <c r="M378" s="19">
        <f t="shared" si="70"/>
        <v>17.989999999999998</v>
      </c>
      <c r="N378" s="2" t="s">
        <v>24</v>
      </c>
      <c r="O378" s="2" t="str">
        <f t="shared" si="71"/>
        <v>SAVE20</v>
      </c>
      <c r="P378" s="2">
        <v>3.6</v>
      </c>
      <c r="Q378" s="19">
        <f t="shared" si="72"/>
        <v>3.6</v>
      </c>
      <c r="R378" s="2" t="str">
        <f t="shared" si="73"/>
        <v>Number</v>
      </c>
      <c r="S378" s="2">
        <v>5.99</v>
      </c>
      <c r="T378" s="19">
        <f t="shared" si="74"/>
        <v>5.99</v>
      </c>
      <c r="U378" s="2">
        <v>20.38</v>
      </c>
      <c r="V378" s="19">
        <f t="shared" si="75"/>
        <v>20.38</v>
      </c>
      <c r="W378" s="19">
        <f t="shared" si="76"/>
        <v>20.38</v>
      </c>
      <c r="X378" s="19" t="str">
        <f t="shared" si="77"/>
        <v>True</v>
      </c>
      <c r="Y378" s="19" t="str">
        <f>IF(OR(W378&lt;'Cleaning Tasks'!$G$18,W378&gt;'Cleaning Tasks'!$H$18),"Outlier","Normal")</f>
        <v>Normal</v>
      </c>
      <c r="Z378" s="2" t="s">
        <v>39</v>
      </c>
      <c r="AA378" s="2" t="s">
        <v>111</v>
      </c>
      <c r="AB378" s="2" t="s">
        <v>28</v>
      </c>
      <c r="AC378" s="2" t="s">
        <v>73</v>
      </c>
      <c r="AD378" s="2"/>
      <c r="AE378" s="2" t="str">
        <f t="shared" si="78"/>
        <v>Not Required</v>
      </c>
      <c r="AF378" s="2" t="s">
        <v>1387</v>
      </c>
    </row>
    <row r="379" spans="1:32" x14ac:dyDescent="0.3">
      <c r="A379" s="2" t="s">
        <v>1388</v>
      </c>
      <c r="B379" s="2">
        <f t="shared" si="68"/>
        <v>1</v>
      </c>
      <c r="C379" s="12">
        <f>IF(ISNUMBER(D379),D379,DATEVALUE(SUBSTITUTE(TRIM(D379),CHAR(160)," ")))</f>
        <v>46238.587132592591</v>
      </c>
      <c r="D379" s="13">
        <v>46238.587132592591</v>
      </c>
      <c r="E379" s="2" t="s">
        <v>602</v>
      </c>
      <c r="F379" s="2" t="str">
        <f t="shared" si="69"/>
        <v>Email Available</v>
      </c>
      <c r="G379" s="2" t="s">
        <v>603</v>
      </c>
      <c r="H379" s="2" t="s">
        <v>63</v>
      </c>
      <c r="I379" s="2" t="s">
        <v>47</v>
      </c>
      <c r="J379" s="2" t="s">
        <v>446</v>
      </c>
      <c r="K379" s="2">
        <v>2</v>
      </c>
      <c r="L379" s="2">
        <v>14.99</v>
      </c>
      <c r="M379" s="19">
        <f t="shared" si="70"/>
        <v>14.99</v>
      </c>
      <c r="N379" s="2"/>
      <c r="O379" s="2" t="str">
        <f t="shared" si="71"/>
        <v/>
      </c>
      <c r="P379" s="2">
        <v>0</v>
      </c>
      <c r="Q379" s="19">
        <f t="shared" si="72"/>
        <v>0</v>
      </c>
      <c r="R379" s="2" t="str">
        <f t="shared" si="73"/>
        <v>Number</v>
      </c>
      <c r="S379" s="2">
        <v>5.99</v>
      </c>
      <c r="T379" s="19">
        <f t="shared" si="74"/>
        <v>5.99</v>
      </c>
      <c r="U379" s="2">
        <v>35.97</v>
      </c>
      <c r="V379" s="19">
        <f t="shared" si="75"/>
        <v>35.97</v>
      </c>
      <c r="W379" s="19">
        <f t="shared" si="76"/>
        <v>35.97</v>
      </c>
      <c r="X379" s="19" t="str">
        <f t="shared" si="77"/>
        <v>True</v>
      </c>
      <c r="Y379" s="19" t="str">
        <f>IF(OR(W379&lt;'Cleaning Tasks'!$G$18,W379&gt;'Cleaning Tasks'!$H$18),"Outlier","Normal")</f>
        <v>Normal</v>
      </c>
      <c r="Z379" s="2" t="s">
        <v>39</v>
      </c>
      <c r="AA379" s="2" t="s">
        <v>40</v>
      </c>
      <c r="AB379" s="2" t="s">
        <v>50</v>
      </c>
      <c r="AC379" s="2" t="s">
        <v>42</v>
      </c>
      <c r="AD379" s="2"/>
      <c r="AE379" s="2" t="str">
        <f t="shared" si="78"/>
        <v>Not Required</v>
      </c>
      <c r="AF379" s="2" t="s">
        <v>1389</v>
      </c>
    </row>
    <row r="380" spans="1:32" x14ac:dyDescent="0.3">
      <c r="A380" s="2" t="s">
        <v>1390</v>
      </c>
      <c r="B380" s="2">
        <f t="shared" si="68"/>
        <v>1</v>
      </c>
      <c r="C380" s="12">
        <f>IF(ISNUMBER(D380),D380,DATEVALUE(SUBSTITUTE(TRIM(D380),CHAR(160)," ")))</f>
        <v>46238</v>
      </c>
      <c r="D380" s="13">
        <v>46238</v>
      </c>
      <c r="E380" s="2" t="s">
        <v>1391</v>
      </c>
      <c r="F380" s="2" t="str">
        <f t="shared" si="69"/>
        <v>Email Available</v>
      </c>
      <c r="G380" s="2" t="s">
        <v>1392</v>
      </c>
      <c r="H380" s="2" t="s">
        <v>130</v>
      </c>
      <c r="I380" s="2" t="s">
        <v>103</v>
      </c>
      <c r="J380" s="2" t="s">
        <v>131</v>
      </c>
      <c r="K380" s="2">
        <v>1</v>
      </c>
      <c r="L380" s="2">
        <v>16.989999999999998</v>
      </c>
      <c r="M380" s="19">
        <f t="shared" si="70"/>
        <v>16.989999999999998</v>
      </c>
      <c r="N380" s="2" t="s">
        <v>118</v>
      </c>
      <c r="O380" s="2" t="str">
        <f t="shared" si="71"/>
        <v>BFCM25</v>
      </c>
      <c r="P380" s="2">
        <v>4.25</v>
      </c>
      <c r="Q380" s="19">
        <f t="shared" si="72"/>
        <v>4.25</v>
      </c>
      <c r="R380" s="2" t="str">
        <f t="shared" si="73"/>
        <v>Number</v>
      </c>
      <c r="S380" s="2">
        <v>4.99</v>
      </c>
      <c r="T380" s="19">
        <f t="shared" si="74"/>
        <v>4.99</v>
      </c>
      <c r="U380" s="2">
        <v>17.73</v>
      </c>
      <c r="V380" s="19">
        <f t="shared" si="75"/>
        <v>17.73</v>
      </c>
      <c r="W380" s="19">
        <f t="shared" si="76"/>
        <v>17.729999999999997</v>
      </c>
      <c r="X380" s="19" t="str">
        <f t="shared" si="77"/>
        <v>True</v>
      </c>
      <c r="Y380" s="19" t="str">
        <f>IF(OR(W380&lt;'Cleaning Tasks'!$G$18,W380&gt;'Cleaning Tasks'!$H$18),"Outlier","Normal")</f>
        <v>Normal</v>
      </c>
      <c r="Z380" s="2" t="s">
        <v>72</v>
      </c>
      <c r="AA380" s="2" t="s">
        <v>111</v>
      </c>
      <c r="AB380" s="2" t="s">
        <v>96</v>
      </c>
      <c r="AC380" s="2" t="s">
        <v>29</v>
      </c>
      <c r="AD380" s="22" t="s">
        <v>30</v>
      </c>
      <c r="AE380" s="2" t="str">
        <f t="shared" si="78"/>
        <v>Valid</v>
      </c>
      <c r="AF380" s="2" t="s">
        <v>1393</v>
      </c>
    </row>
    <row r="381" spans="1:32" x14ac:dyDescent="0.3">
      <c r="A381" s="2" t="s">
        <v>1394</v>
      </c>
      <c r="B381" s="2">
        <f t="shared" si="68"/>
        <v>1</v>
      </c>
      <c r="C381" s="12">
        <f>IF(ISNUMBER(D381),D381,DATEVALUE(SUBSTITUTE(TRIM(D381),CHAR(160)," ")))</f>
        <v>46238.581728935183</v>
      </c>
      <c r="D381" s="13">
        <v>46238.581728935183</v>
      </c>
      <c r="E381" s="2" t="s">
        <v>164</v>
      </c>
      <c r="F381" s="2" t="str">
        <f t="shared" si="69"/>
        <v>Email Available</v>
      </c>
      <c r="G381" s="2" t="s">
        <v>165</v>
      </c>
      <c r="H381" s="2" t="s">
        <v>261</v>
      </c>
      <c r="I381" s="2" t="s">
        <v>36</v>
      </c>
      <c r="J381" s="2" t="s">
        <v>262</v>
      </c>
      <c r="K381" s="2">
        <v>1</v>
      </c>
      <c r="L381" s="2">
        <v>15.49</v>
      </c>
      <c r="M381" s="19">
        <f t="shared" si="70"/>
        <v>15.49</v>
      </c>
      <c r="N381" s="2"/>
      <c r="O381" s="2" t="str">
        <f t="shared" si="71"/>
        <v/>
      </c>
      <c r="P381" s="2">
        <v>0</v>
      </c>
      <c r="Q381" s="19">
        <f t="shared" si="72"/>
        <v>0</v>
      </c>
      <c r="R381" s="2" t="str">
        <f t="shared" si="73"/>
        <v>Number</v>
      </c>
      <c r="S381" s="2">
        <v>5.99</v>
      </c>
      <c r="T381" s="19">
        <f t="shared" si="74"/>
        <v>5.99</v>
      </c>
      <c r="U381" s="2">
        <v>21.48</v>
      </c>
      <c r="V381" s="19">
        <f t="shared" si="75"/>
        <v>21.48</v>
      </c>
      <c r="W381" s="19">
        <f t="shared" si="76"/>
        <v>21.48</v>
      </c>
      <c r="X381" s="19" t="str">
        <f t="shared" si="77"/>
        <v>True</v>
      </c>
      <c r="Y381" s="19" t="str">
        <f>IF(OR(W381&lt;'Cleaning Tasks'!$G$18,W381&gt;'Cleaning Tasks'!$H$18),"Outlier","Normal")</f>
        <v>Normal</v>
      </c>
      <c r="Z381" s="2" t="s">
        <v>49</v>
      </c>
      <c r="AA381" s="2" t="s">
        <v>27</v>
      </c>
      <c r="AB381" s="2" t="s">
        <v>28</v>
      </c>
      <c r="AC381" s="2" t="s">
        <v>105</v>
      </c>
      <c r="AD381" s="2"/>
      <c r="AE381" s="2" t="str">
        <f t="shared" si="78"/>
        <v>Not Required</v>
      </c>
      <c r="AF381" s="2" t="s">
        <v>1395</v>
      </c>
    </row>
    <row r="382" spans="1:32" x14ac:dyDescent="0.3">
      <c r="A382" s="2" t="s">
        <v>1396</v>
      </c>
      <c r="B382" s="2">
        <f t="shared" si="68"/>
        <v>1</v>
      </c>
      <c r="C382" s="12">
        <f>IF(ISNUMBER(D382),D382,DATEVALUE(SUBSTITUTE(TRIM(D382),CHAR(160)," ")))</f>
        <v>46238</v>
      </c>
      <c r="D382" s="13" t="s">
        <v>714</v>
      </c>
      <c r="E382" s="2" t="s">
        <v>417</v>
      </c>
      <c r="F382" s="2" t="str">
        <f t="shared" si="69"/>
        <v>Email Available</v>
      </c>
      <c r="G382" s="2" t="s">
        <v>418</v>
      </c>
      <c r="H382" s="2" t="s">
        <v>309</v>
      </c>
      <c r="I382" s="2" t="s">
        <v>36</v>
      </c>
      <c r="J382" s="2" t="s">
        <v>310</v>
      </c>
      <c r="K382" s="2">
        <v>1</v>
      </c>
      <c r="L382" s="2">
        <v>8.99</v>
      </c>
      <c r="M382" s="19">
        <f t="shared" si="70"/>
        <v>8.99</v>
      </c>
      <c r="N382" s="2" t="s">
        <v>65</v>
      </c>
      <c r="O382" s="2" t="str">
        <f t="shared" si="71"/>
        <v>WELCOME10</v>
      </c>
      <c r="P382" s="2">
        <v>0.9</v>
      </c>
      <c r="Q382" s="19">
        <f t="shared" si="72"/>
        <v>0.9</v>
      </c>
      <c r="R382" s="2" t="str">
        <f t="shared" si="73"/>
        <v>Number</v>
      </c>
      <c r="S382" s="2">
        <v>7.99</v>
      </c>
      <c r="T382" s="19">
        <f t="shared" si="74"/>
        <v>7.99</v>
      </c>
      <c r="U382" s="2" t="s">
        <v>1397</v>
      </c>
      <c r="V382" s="19">
        <f t="shared" si="75"/>
        <v>16.079999999999998</v>
      </c>
      <c r="W382" s="19">
        <f t="shared" si="76"/>
        <v>16.079999999999998</v>
      </c>
      <c r="X382" s="19" t="str">
        <f t="shared" si="77"/>
        <v>True</v>
      </c>
      <c r="Y382" s="19" t="str">
        <f>IF(OR(W382&lt;'Cleaning Tasks'!$G$18,W382&gt;'Cleaning Tasks'!$H$18),"Outlier","Normal")</f>
        <v>Normal</v>
      </c>
      <c r="Z382" s="2" t="s">
        <v>72</v>
      </c>
      <c r="AA382" s="2" t="s">
        <v>40</v>
      </c>
      <c r="AB382" s="2" t="s">
        <v>50</v>
      </c>
      <c r="AC382" s="2" t="s">
        <v>29</v>
      </c>
      <c r="AD382" s="22" t="s">
        <v>243</v>
      </c>
      <c r="AE382" s="2" t="str">
        <f t="shared" si="78"/>
        <v>Valid</v>
      </c>
      <c r="AF382" s="2" t="s">
        <v>1398</v>
      </c>
    </row>
    <row r="383" spans="1:32" x14ac:dyDescent="0.3">
      <c r="A383" s="2" t="s">
        <v>1399</v>
      </c>
      <c r="B383" s="2">
        <f t="shared" si="68"/>
        <v>1</v>
      </c>
      <c r="C383" s="12">
        <f>DATE(VALUE(RIGHT(D383,4)),MATCH(LEFT(D383,3),{"Jan","Feb","Mar","Apr","May","Jun","Jul","Aug","Sep","Oct","Nov","Dec"},0),VALUE(MID(D383,5,2)))</f>
        <v>46238</v>
      </c>
      <c r="D383" s="13" t="s">
        <v>171</v>
      </c>
      <c r="E383" s="2" t="s">
        <v>1400</v>
      </c>
      <c r="F383" s="2" t="str">
        <f t="shared" si="69"/>
        <v>Email Available</v>
      </c>
      <c r="G383" s="2" t="s">
        <v>1401</v>
      </c>
      <c r="H383" s="2" t="s">
        <v>63</v>
      </c>
      <c r="I383" s="2" t="s">
        <v>47</v>
      </c>
      <c r="J383" s="2" t="s">
        <v>446</v>
      </c>
      <c r="K383" s="2">
        <v>1</v>
      </c>
      <c r="L383" s="2">
        <v>14.99</v>
      </c>
      <c r="M383" s="19">
        <f t="shared" si="70"/>
        <v>14.99</v>
      </c>
      <c r="N383" s="2"/>
      <c r="O383" s="2" t="str">
        <f t="shared" si="71"/>
        <v/>
      </c>
      <c r="P383" s="2">
        <v>0</v>
      </c>
      <c r="Q383" s="19">
        <f t="shared" si="72"/>
        <v>0</v>
      </c>
      <c r="R383" s="2" t="str">
        <f t="shared" si="73"/>
        <v>Number</v>
      </c>
      <c r="S383" s="2">
        <v>7.99</v>
      </c>
      <c r="T383" s="19">
        <f t="shared" si="74"/>
        <v>7.99</v>
      </c>
      <c r="U383" s="2">
        <v>22.98</v>
      </c>
      <c r="V383" s="19">
        <f t="shared" si="75"/>
        <v>22.98</v>
      </c>
      <c r="W383" s="19">
        <f t="shared" si="76"/>
        <v>22.98</v>
      </c>
      <c r="X383" s="19" t="str">
        <f t="shared" si="77"/>
        <v>True</v>
      </c>
      <c r="Y383" s="19" t="str">
        <f>IF(OR(W383&lt;'Cleaning Tasks'!$G$18,W383&gt;'Cleaning Tasks'!$H$18),"Outlier","Normal")</f>
        <v>Normal</v>
      </c>
      <c r="Z383" s="2" t="s">
        <v>26</v>
      </c>
      <c r="AA383" s="2" t="s">
        <v>27</v>
      </c>
      <c r="AB383" s="2" t="s">
        <v>28</v>
      </c>
      <c r="AC383" s="2" t="s">
        <v>105</v>
      </c>
      <c r="AD383" s="2"/>
      <c r="AE383" s="2" t="str">
        <f t="shared" si="78"/>
        <v>Not Required</v>
      </c>
      <c r="AF383" s="2" t="s">
        <v>1402</v>
      </c>
    </row>
    <row r="384" spans="1:32" x14ac:dyDescent="0.3">
      <c r="A384" s="2" t="s">
        <v>1403</v>
      </c>
      <c r="B384" s="2">
        <f t="shared" si="68"/>
        <v>1</v>
      </c>
      <c r="C384" s="12">
        <f t="shared" ref="C384:C415" si="81">IF(ISNUMBER(D384),D384,DATEVALUE(SUBSTITUTE(TRIM(D384),CHAR(160)," ")))</f>
        <v>46238.583042534723</v>
      </c>
      <c r="D384" s="13">
        <v>46238.583042534723</v>
      </c>
      <c r="E384" s="2" t="s">
        <v>1404</v>
      </c>
      <c r="F384" s="2" t="str">
        <f t="shared" si="69"/>
        <v>Email Available</v>
      </c>
      <c r="G384" s="2" t="s">
        <v>1405</v>
      </c>
      <c r="H384" s="2" t="s">
        <v>117</v>
      </c>
      <c r="I384" s="2" t="s">
        <v>22</v>
      </c>
      <c r="J384" s="2" t="s">
        <v>23</v>
      </c>
      <c r="K384" s="2">
        <v>1</v>
      </c>
      <c r="L384" s="2" t="s">
        <v>1148</v>
      </c>
      <c r="M384" s="19">
        <f t="shared" si="70"/>
        <v>12.99</v>
      </c>
      <c r="N384" s="2" t="s">
        <v>24</v>
      </c>
      <c r="O384" s="2" t="str">
        <f t="shared" si="71"/>
        <v>SAVE20</v>
      </c>
      <c r="P384" s="2">
        <v>2.6</v>
      </c>
      <c r="Q384" s="19">
        <f t="shared" si="72"/>
        <v>2.6</v>
      </c>
      <c r="R384" s="2" t="str">
        <f t="shared" si="73"/>
        <v>Number</v>
      </c>
      <c r="S384" s="2">
        <v>5.99</v>
      </c>
      <c r="T384" s="19">
        <f t="shared" si="74"/>
        <v>5.99</v>
      </c>
      <c r="U384" s="2">
        <v>16.38</v>
      </c>
      <c r="V384" s="19">
        <f t="shared" si="75"/>
        <v>16.38</v>
      </c>
      <c r="W384" s="19">
        <f t="shared" si="76"/>
        <v>16.380000000000003</v>
      </c>
      <c r="X384" s="19" t="str">
        <f t="shared" si="77"/>
        <v>True</v>
      </c>
      <c r="Y384" s="19" t="str">
        <f>IF(OR(W384&lt;'Cleaning Tasks'!$G$18,W384&gt;'Cleaning Tasks'!$H$18),"Outlier","Normal")</f>
        <v>Normal</v>
      </c>
      <c r="Z384" s="2" t="s">
        <v>49</v>
      </c>
      <c r="AA384" s="2" t="s">
        <v>40</v>
      </c>
      <c r="AB384" s="2" t="s">
        <v>41</v>
      </c>
      <c r="AC384" s="2" t="s">
        <v>29</v>
      </c>
      <c r="AD384" s="2" t="s">
        <v>140</v>
      </c>
      <c r="AE384" s="2" t="str">
        <f t="shared" si="78"/>
        <v>Valid</v>
      </c>
      <c r="AF384" s="2" t="s">
        <v>1406</v>
      </c>
    </row>
    <row r="385" spans="1:32" x14ac:dyDescent="0.3">
      <c r="A385" s="2" t="s">
        <v>1407</v>
      </c>
      <c r="B385" s="2">
        <f t="shared" si="68"/>
        <v>1</v>
      </c>
      <c r="C385" s="12">
        <f t="shared" si="81"/>
        <v>46238.578872534723</v>
      </c>
      <c r="D385" s="13">
        <v>46238.578872534723</v>
      </c>
      <c r="E385" s="2" t="s">
        <v>377</v>
      </c>
      <c r="F385" s="2" t="str">
        <f t="shared" si="69"/>
        <v>Email Available</v>
      </c>
      <c r="G385" s="2" t="s">
        <v>378</v>
      </c>
      <c r="H385" s="2" t="s">
        <v>78</v>
      </c>
      <c r="I385" s="2" t="s">
        <v>79</v>
      </c>
      <c r="J385" s="2" t="s">
        <v>80</v>
      </c>
      <c r="K385" s="2">
        <v>2</v>
      </c>
      <c r="L385" s="2">
        <v>89.99</v>
      </c>
      <c r="M385" s="19">
        <f t="shared" si="70"/>
        <v>89.99</v>
      </c>
      <c r="N385" s="2" t="s">
        <v>38</v>
      </c>
      <c r="O385" s="2" t="str">
        <f t="shared" si="71"/>
        <v>FREESHIP</v>
      </c>
      <c r="P385" s="2">
        <v>0</v>
      </c>
      <c r="Q385" s="19">
        <f t="shared" si="72"/>
        <v>0</v>
      </c>
      <c r="R385" s="2" t="str">
        <f t="shared" si="73"/>
        <v>Number</v>
      </c>
      <c r="S385" s="2">
        <v>0</v>
      </c>
      <c r="T385" s="19">
        <f t="shared" si="74"/>
        <v>0</v>
      </c>
      <c r="U385" s="2">
        <v>179.98</v>
      </c>
      <c r="V385" s="19">
        <f t="shared" si="75"/>
        <v>179.98</v>
      </c>
      <c r="W385" s="19">
        <f t="shared" si="76"/>
        <v>179.98</v>
      </c>
      <c r="X385" s="19" t="str">
        <f t="shared" si="77"/>
        <v>True</v>
      </c>
      <c r="Y385" s="19" t="str">
        <f>IF(OR(W385&lt;'Cleaning Tasks'!$G$18,W385&gt;'Cleaning Tasks'!$H$18),"Outlier","Normal")</f>
        <v>Outlier</v>
      </c>
      <c r="Z385" s="2" t="s">
        <v>26</v>
      </c>
      <c r="AA385" s="2" t="s">
        <v>27</v>
      </c>
      <c r="AB385" s="2" t="s">
        <v>41</v>
      </c>
      <c r="AC385" s="2" t="s">
        <v>73</v>
      </c>
      <c r="AD385" s="2"/>
      <c r="AE385" s="2" t="str">
        <f t="shared" si="78"/>
        <v>Not Required</v>
      </c>
      <c r="AF385" s="2" t="s">
        <v>1408</v>
      </c>
    </row>
    <row r="386" spans="1:32" x14ac:dyDescent="0.3">
      <c r="A386" s="2" t="s">
        <v>1409</v>
      </c>
      <c r="B386" s="2">
        <f t="shared" ref="B386:B449" si="82">COUNTIF($A$2:$A$1993,A386)</f>
        <v>1</v>
      </c>
      <c r="C386" s="12">
        <f t="shared" si="81"/>
        <v>46238.581529710653</v>
      </c>
      <c r="D386" s="13">
        <v>46238.581529710653</v>
      </c>
      <c r="E386" s="2" t="s">
        <v>377</v>
      </c>
      <c r="F386" s="2" t="str">
        <f t="shared" ref="F386:F449" si="83">IF(TRIM(G386)="","Missing Email","Email Available")</f>
        <v>Email Available</v>
      </c>
      <c r="G386" s="2" t="s">
        <v>378</v>
      </c>
      <c r="H386" s="2" t="s">
        <v>261</v>
      </c>
      <c r="I386" s="2" t="s">
        <v>36</v>
      </c>
      <c r="J386" s="2" t="s">
        <v>262</v>
      </c>
      <c r="K386" s="2">
        <v>3</v>
      </c>
      <c r="L386" s="2">
        <v>15.49</v>
      </c>
      <c r="M386" s="19">
        <f t="shared" ref="M386:M449" si="84">IF(ISNUMBER(L386),L386,VALUE(SUBSTITUTE(L386,"$","")))</f>
        <v>15.49</v>
      </c>
      <c r="N386" s="2" t="s">
        <v>203</v>
      </c>
      <c r="O386" s="2" t="str">
        <f t="shared" ref="O386:O449" si="85">IF(TRIM(N386)="","",UPPER(TRIM(SUBSTITUTE(N386,CHAR(160)," "))))</f>
        <v>VIP15</v>
      </c>
      <c r="P386" s="2">
        <v>6.97</v>
      </c>
      <c r="Q386" s="19">
        <f t="shared" ref="Q386:Q449" si="86">IF(ISNUMBER(P386),P386,VALUE(TRIM(SUBSTITUTE(P386,"$",""))))</f>
        <v>6.97</v>
      </c>
      <c r="R386" s="2" t="str">
        <f t="shared" ref="R386:R449" si="87">IF(ISNUMBER(Q386),"Number","Text")</f>
        <v>Number</v>
      </c>
      <c r="S386" s="2">
        <v>4.99</v>
      </c>
      <c r="T386" s="19">
        <f t="shared" ref="T386:T449" si="88">IF(ISNUMBER(S386),S386,VALUE(TRIM(SUBSTITUTE(S386,"$",""))))</f>
        <v>4.99</v>
      </c>
      <c r="U386" s="2">
        <v>44.49</v>
      </c>
      <c r="V386" s="19">
        <f t="shared" ref="V386:V449" si="89">IF(ISNUMBER(U386),U386,VALUE(TRIM(SUBSTITUTE(U386,"$",""))))</f>
        <v>44.49</v>
      </c>
      <c r="W386" s="19">
        <f t="shared" ref="W386:W449" si="90">((M386*K386)-Q386)+T386</f>
        <v>44.49</v>
      </c>
      <c r="X386" s="19" t="str">
        <f t="shared" ref="X386:X449" si="91">IF(V386=W386,"True","False")</f>
        <v>True</v>
      </c>
      <c r="Y386" s="19" t="str">
        <f>IF(OR(W386&lt;'Cleaning Tasks'!$G$18,W386&gt;'Cleaning Tasks'!$H$18),"Outlier","Normal")</f>
        <v>Normal</v>
      </c>
      <c r="Z386" s="2" t="s">
        <v>26</v>
      </c>
      <c r="AA386" s="2" t="s">
        <v>40</v>
      </c>
      <c r="AB386" s="2" t="s">
        <v>96</v>
      </c>
      <c r="AC386" s="2" t="s">
        <v>73</v>
      </c>
      <c r="AD386" s="2"/>
      <c r="AE386" s="2" t="str">
        <f t="shared" ref="AE386:AE449" si="92">IF(AND(AC386="United States",AD386=""),"Missing state",IF(AD386="","Not Required","Valid"))</f>
        <v>Not Required</v>
      </c>
      <c r="AF386" s="2" t="s">
        <v>1410</v>
      </c>
    </row>
    <row r="387" spans="1:32" x14ac:dyDescent="0.3">
      <c r="A387" s="2" t="s">
        <v>1411</v>
      </c>
      <c r="B387" s="2">
        <f t="shared" si="82"/>
        <v>1</v>
      </c>
      <c r="C387" s="12">
        <f t="shared" si="81"/>
        <v>46238.585664722217</v>
      </c>
      <c r="D387" s="13">
        <v>46238.585664722217</v>
      </c>
      <c r="E387" s="2" t="s">
        <v>1084</v>
      </c>
      <c r="F387" s="2" t="str">
        <f t="shared" si="83"/>
        <v>Email Available</v>
      </c>
      <c r="G387" s="2" t="s">
        <v>1085</v>
      </c>
      <c r="H387" s="2" t="s">
        <v>35</v>
      </c>
      <c r="I387" s="2" t="s">
        <v>36</v>
      </c>
      <c r="J387" s="2" t="s">
        <v>37</v>
      </c>
      <c r="K387" s="2">
        <v>1</v>
      </c>
      <c r="L387" s="2">
        <v>21.99</v>
      </c>
      <c r="M387" s="19">
        <f t="shared" si="84"/>
        <v>21.99</v>
      </c>
      <c r="N387" s="2" t="s">
        <v>118</v>
      </c>
      <c r="O387" s="2" t="str">
        <f t="shared" si="85"/>
        <v>BFCM25</v>
      </c>
      <c r="P387" s="2">
        <v>5.5</v>
      </c>
      <c r="Q387" s="19">
        <f t="shared" si="86"/>
        <v>5.5</v>
      </c>
      <c r="R387" s="2" t="str">
        <f t="shared" si="87"/>
        <v>Number</v>
      </c>
      <c r="S387" s="2">
        <v>7.99</v>
      </c>
      <c r="T387" s="19">
        <f t="shared" si="88"/>
        <v>7.99</v>
      </c>
      <c r="U387" s="2">
        <v>24.48</v>
      </c>
      <c r="V387" s="19">
        <f t="shared" si="89"/>
        <v>24.48</v>
      </c>
      <c r="W387" s="19">
        <f t="shared" si="90"/>
        <v>24.479999999999997</v>
      </c>
      <c r="X387" s="19" t="str">
        <f t="shared" si="91"/>
        <v>True</v>
      </c>
      <c r="Y387" s="19" t="str">
        <f>IF(OR(W387&lt;'Cleaning Tasks'!$G$18,W387&gt;'Cleaning Tasks'!$H$18),"Outlier","Normal")</f>
        <v>Normal</v>
      </c>
      <c r="Z387" s="2" t="s">
        <v>72</v>
      </c>
      <c r="AA387" s="2" t="s">
        <v>40</v>
      </c>
      <c r="AB387" s="2" t="s">
        <v>50</v>
      </c>
      <c r="AC387" s="2" t="s">
        <v>29</v>
      </c>
      <c r="AD387" s="2" t="s">
        <v>140</v>
      </c>
      <c r="AE387" s="2" t="str">
        <f t="shared" si="92"/>
        <v>Valid</v>
      </c>
      <c r="AF387" s="2" t="s">
        <v>1412</v>
      </c>
    </row>
    <row r="388" spans="1:32" x14ac:dyDescent="0.3">
      <c r="A388" s="2" t="s">
        <v>1413</v>
      </c>
      <c r="B388" s="2">
        <f t="shared" si="82"/>
        <v>1</v>
      </c>
      <c r="C388" s="12">
        <f t="shared" si="81"/>
        <v>46238.586296493057</v>
      </c>
      <c r="D388" s="13">
        <v>46238.586296493057</v>
      </c>
      <c r="E388" s="2" t="s">
        <v>1414</v>
      </c>
      <c r="F388" s="2" t="str">
        <f t="shared" si="83"/>
        <v>Email Available</v>
      </c>
      <c r="G388" s="2" t="s">
        <v>45</v>
      </c>
      <c r="H388" s="2" t="s">
        <v>63</v>
      </c>
      <c r="I388" s="2" t="s">
        <v>47</v>
      </c>
      <c r="J388" s="2" t="s">
        <v>446</v>
      </c>
      <c r="K388" s="2">
        <v>2</v>
      </c>
      <c r="L388" s="2">
        <v>14.99</v>
      </c>
      <c r="M388" s="19">
        <f t="shared" si="84"/>
        <v>14.99</v>
      </c>
      <c r="N388" s="2" t="s">
        <v>65</v>
      </c>
      <c r="O388" s="2" t="str">
        <f t="shared" si="85"/>
        <v>WELCOME10</v>
      </c>
      <c r="P388" s="2">
        <v>3</v>
      </c>
      <c r="Q388" s="19">
        <f t="shared" si="86"/>
        <v>3</v>
      </c>
      <c r="R388" s="2" t="str">
        <f t="shared" si="87"/>
        <v>Number</v>
      </c>
      <c r="S388" s="2">
        <v>5.99</v>
      </c>
      <c r="T388" s="19">
        <f t="shared" si="88"/>
        <v>5.99</v>
      </c>
      <c r="U388" s="2">
        <v>32.97</v>
      </c>
      <c r="V388" s="19">
        <f t="shared" si="89"/>
        <v>32.97</v>
      </c>
      <c r="W388" s="19">
        <f t="shared" si="90"/>
        <v>32.97</v>
      </c>
      <c r="X388" s="19" t="str">
        <f t="shared" si="91"/>
        <v>True</v>
      </c>
      <c r="Y388" s="19" t="str">
        <f>IF(OR(W388&lt;'Cleaning Tasks'!$G$18,W388&gt;'Cleaning Tasks'!$H$18),"Outlier","Normal")</f>
        <v>Normal</v>
      </c>
      <c r="Z388" s="2" t="s">
        <v>49</v>
      </c>
      <c r="AA388" s="2" t="s">
        <v>111</v>
      </c>
      <c r="AB388" s="2" t="s">
        <v>50</v>
      </c>
      <c r="AC388" s="2" t="s">
        <v>29</v>
      </c>
      <c r="AD388" s="2" t="s">
        <v>341</v>
      </c>
      <c r="AE388" s="2" t="str">
        <f t="shared" si="92"/>
        <v>Valid</v>
      </c>
      <c r="AF388" s="2" t="s">
        <v>1415</v>
      </c>
    </row>
    <row r="389" spans="1:32" x14ac:dyDescent="0.3">
      <c r="A389" s="2" t="s">
        <v>1416</v>
      </c>
      <c r="B389" s="2">
        <f t="shared" si="82"/>
        <v>1</v>
      </c>
      <c r="C389" s="12">
        <f t="shared" si="81"/>
        <v>46238</v>
      </c>
      <c r="D389" s="13">
        <v>46238</v>
      </c>
      <c r="E389" s="2" t="s">
        <v>1417</v>
      </c>
      <c r="F389" s="2" t="str">
        <f t="shared" si="83"/>
        <v>Missing Email</v>
      </c>
      <c r="G389" s="2"/>
      <c r="H389" s="2" t="s">
        <v>35</v>
      </c>
      <c r="I389" s="2" t="s">
        <v>36</v>
      </c>
      <c r="J389" s="2" t="s">
        <v>37</v>
      </c>
      <c r="K389" s="2">
        <v>3</v>
      </c>
      <c r="L389" s="2">
        <v>21.99</v>
      </c>
      <c r="M389" s="19">
        <f t="shared" si="84"/>
        <v>21.99</v>
      </c>
      <c r="N389" s="2"/>
      <c r="O389" s="2" t="str">
        <f t="shared" si="85"/>
        <v/>
      </c>
      <c r="P389" s="2">
        <v>0</v>
      </c>
      <c r="Q389" s="19">
        <f t="shared" si="86"/>
        <v>0</v>
      </c>
      <c r="R389" s="2" t="str">
        <f t="shared" si="87"/>
        <v>Number</v>
      </c>
      <c r="S389" s="2">
        <v>4.99</v>
      </c>
      <c r="T389" s="19">
        <f t="shared" si="88"/>
        <v>4.99</v>
      </c>
      <c r="U389" s="2">
        <v>70.959999999999994</v>
      </c>
      <c r="V389" s="19">
        <f t="shared" si="89"/>
        <v>70.959999999999994</v>
      </c>
      <c r="W389" s="19">
        <f t="shared" si="90"/>
        <v>70.959999999999994</v>
      </c>
      <c r="X389" s="19" t="str">
        <f t="shared" si="91"/>
        <v>True</v>
      </c>
      <c r="Y389" s="19" t="str">
        <f>IF(OR(W389&lt;'Cleaning Tasks'!$G$18,W389&gt;'Cleaning Tasks'!$H$18),"Outlier","Normal")</f>
        <v>Normal</v>
      </c>
      <c r="Z389" s="2" t="s">
        <v>66</v>
      </c>
      <c r="AA389" s="2" t="s">
        <v>111</v>
      </c>
      <c r="AB389" s="2" t="s">
        <v>50</v>
      </c>
      <c r="AC389" s="2" t="s">
        <v>73</v>
      </c>
      <c r="AD389" s="2"/>
      <c r="AE389" s="2" t="str">
        <f t="shared" si="92"/>
        <v>Not Required</v>
      </c>
      <c r="AF389" s="2" t="s">
        <v>1418</v>
      </c>
    </row>
    <row r="390" spans="1:32" x14ac:dyDescent="0.3">
      <c r="A390" s="2" t="s">
        <v>1419</v>
      </c>
      <c r="B390" s="2">
        <f t="shared" si="82"/>
        <v>1</v>
      </c>
      <c r="C390" s="12">
        <f t="shared" si="81"/>
        <v>46238.579096157409</v>
      </c>
      <c r="D390" s="13">
        <v>46238.579096157409</v>
      </c>
      <c r="E390" s="2" t="s">
        <v>425</v>
      </c>
      <c r="F390" s="2" t="str">
        <f t="shared" si="83"/>
        <v>Email Available</v>
      </c>
      <c r="G390" s="2" t="s">
        <v>426</v>
      </c>
      <c r="H390" s="2" t="s">
        <v>309</v>
      </c>
      <c r="I390" s="2" t="s">
        <v>36</v>
      </c>
      <c r="J390" s="2" t="s">
        <v>310</v>
      </c>
      <c r="K390" s="2">
        <v>1</v>
      </c>
      <c r="L390" s="2">
        <v>8.99</v>
      </c>
      <c r="M390" s="19">
        <f t="shared" si="84"/>
        <v>8.99</v>
      </c>
      <c r="N390" s="2" t="s">
        <v>65</v>
      </c>
      <c r="O390" s="2" t="str">
        <f t="shared" si="85"/>
        <v>WELCOME10</v>
      </c>
      <c r="P390" s="2">
        <v>0.9</v>
      </c>
      <c r="Q390" s="19">
        <f t="shared" si="86"/>
        <v>0.9</v>
      </c>
      <c r="R390" s="2" t="str">
        <f t="shared" si="87"/>
        <v>Number</v>
      </c>
      <c r="S390" s="2">
        <v>5.99</v>
      </c>
      <c r="T390" s="19">
        <f t="shared" si="88"/>
        <v>5.99</v>
      </c>
      <c r="U390" s="2">
        <v>14.08</v>
      </c>
      <c r="V390" s="19">
        <f t="shared" si="89"/>
        <v>14.08</v>
      </c>
      <c r="W390" s="19">
        <f t="shared" si="90"/>
        <v>14.08</v>
      </c>
      <c r="X390" s="19" t="str">
        <f t="shared" si="91"/>
        <v>True</v>
      </c>
      <c r="Y390" s="19" t="str">
        <f>IF(OR(W390&lt;'Cleaning Tasks'!$G$18,W390&gt;'Cleaning Tasks'!$H$18),"Outlier","Normal")</f>
        <v>Normal</v>
      </c>
      <c r="Z390" s="2" t="s">
        <v>26</v>
      </c>
      <c r="AA390" s="2" t="s">
        <v>27</v>
      </c>
      <c r="AB390" s="2" t="s">
        <v>50</v>
      </c>
      <c r="AC390" s="2" t="s">
        <v>331</v>
      </c>
      <c r="AD390" s="2"/>
      <c r="AE390" s="2" t="str">
        <f t="shared" si="92"/>
        <v>Not Required</v>
      </c>
      <c r="AF390" s="2" t="s">
        <v>1420</v>
      </c>
    </row>
    <row r="391" spans="1:32" x14ac:dyDescent="0.3">
      <c r="A391" s="2" t="s">
        <v>1421</v>
      </c>
      <c r="B391" s="2">
        <f t="shared" si="82"/>
        <v>1</v>
      </c>
      <c r="C391" s="12">
        <f t="shared" si="81"/>
        <v>46238.587510520832</v>
      </c>
      <c r="D391" s="13">
        <v>46238.587510520832</v>
      </c>
      <c r="E391" s="2" t="s">
        <v>409</v>
      </c>
      <c r="F391" s="2" t="str">
        <f t="shared" si="83"/>
        <v>Email Available</v>
      </c>
      <c r="G391" s="2" t="s">
        <v>410</v>
      </c>
      <c r="H391" s="2" t="s">
        <v>78</v>
      </c>
      <c r="I391" s="2" t="s">
        <v>79</v>
      </c>
      <c r="J391" s="2" t="s">
        <v>80</v>
      </c>
      <c r="K391" s="2">
        <v>1</v>
      </c>
      <c r="L391" s="2">
        <v>89.99</v>
      </c>
      <c r="M391" s="19">
        <f t="shared" si="84"/>
        <v>89.99</v>
      </c>
      <c r="N391" s="2" t="s">
        <v>118</v>
      </c>
      <c r="O391" s="2" t="str">
        <f t="shared" si="85"/>
        <v>BFCM25</v>
      </c>
      <c r="P391" s="2">
        <v>22.5</v>
      </c>
      <c r="Q391" s="19">
        <f t="shared" si="86"/>
        <v>22.5</v>
      </c>
      <c r="R391" s="2" t="str">
        <f t="shared" si="87"/>
        <v>Number</v>
      </c>
      <c r="S391" s="2">
        <v>0</v>
      </c>
      <c r="T391" s="19">
        <f t="shared" si="88"/>
        <v>0</v>
      </c>
      <c r="U391" s="2">
        <v>67.489999999999995</v>
      </c>
      <c r="V391" s="19">
        <f t="shared" si="89"/>
        <v>67.489999999999995</v>
      </c>
      <c r="W391" s="19">
        <f t="shared" si="90"/>
        <v>67.489999999999995</v>
      </c>
      <c r="X391" s="19" t="str">
        <f t="shared" si="91"/>
        <v>True</v>
      </c>
      <c r="Y391" s="19" t="str">
        <f>IF(OR(W391&lt;'Cleaning Tasks'!$G$18,W391&gt;'Cleaning Tasks'!$H$18),"Outlier","Normal")</f>
        <v>Normal</v>
      </c>
      <c r="Z391" s="2" t="s">
        <v>49</v>
      </c>
      <c r="AA391" s="2" t="s">
        <v>27</v>
      </c>
      <c r="AB391" s="2" t="s">
        <v>50</v>
      </c>
      <c r="AC391" s="2" t="s">
        <v>42</v>
      </c>
      <c r="AD391" s="2"/>
      <c r="AE391" s="2" t="str">
        <f t="shared" si="92"/>
        <v>Not Required</v>
      </c>
      <c r="AF391" s="2" t="s">
        <v>1422</v>
      </c>
    </row>
    <row r="392" spans="1:32" x14ac:dyDescent="0.3">
      <c r="A392" s="2" t="s">
        <v>1423</v>
      </c>
      <c r="B392" s="2">
        <f t="shared" si="82"/>
        <v>1</v>
      </c>
      <c r="C392" s="12">
        <f t="shared" si="81"/>
        <v>46238.57910790509</v>
      </c>
      <c r="D392" s="13">
        <v>46238.57910790509</v>
      </c>
      <c r="E392" s="2" t="s">
        <v>1424</v>
      </c>
      <c r="F392" s="2" t="str">
        <f t="shared" si="83"/>
        <v>Email Available</v>
      </c>
      <c r="G392" s="2" t="s">
        <v>1425</v>
      </c>
      <c r="H392" s="2" t="s">
        <v>166</v>
      </c>
      <c r="I392" s="2" t="s">
        <v>103</v>
      </c>
      <c r="J392" s="2" t="s">
        <v>167</v>
      </c>
      <c r="K392" s="2">
        <v>1</v>
      </c>
      <c r="L392" s="2" t="s">
        <v>168</v>
      </c>
      <c r="M392" s="19">
        <f t="shared" si="84"/>
        <v>32.99</v>
      </c>
      <c r="N392" s="2" t="s">
        <v>118</v>
      </c>
      <c r="O392" s="2" t="str">
        <f t="shared" si="85"/>
        <v>BFCM25</v>
      </c>
      <c r="P392" s="2">
        <v>8.25</v>
      </c>
      <c r="Q392" s="19">
        <f t="shared" si="86"/>
        <v>8.25</v>
      </c>
      <c r="R392" s="2" t="str">
        <f t="shared" si="87"/>
        <v>Number</v>
      </c>
      <c r="S392" s="2">
        <v>5.99</v>
      </c>
      <c r="T392" s="19">
        <f t="shared" si="88"/>
        <v>5.99</v>
      </c>
      <c r="U392" s="2">
        <v>30.73</v>
      </c>
      <c r="V392" s="19">
        <f t="shared" si="89"/>
        <v>30.73</v>
      </c>
      <c r="W392" s="19">
        <f t="shared" si="90"/>
        <v>30.730000000000004</v>
      </c>
      <c r="X392" s="19" t="str">
        <f t="shared" si="91"/>
        <v>True</v>
      </c>
      <c r="Y392" s="19" t="str">
        <f>IF(OR(W392&lt;'Cleaning Tasks'!$G$18,W392&gt;'Cleaning Tasks'!$H$18),"Outlier","Normal")</f>
        <v>Normal</v>
      </c>
      <c r="Z392" s="2" t="s">
        <v>49</v>
      </c>
      <c r="AA392" s="2" t="s">
        <v>111</v>
      </c>
      <c r="AB392" s="2" t="s">
        <v>41</v>
      </c>
      <c r="AC392" s="2" t="s">
        <v>29</v>
      </c>
      <c r="AD392" s="2" t="s">
        <v>112</v>
      </c>
      <c r="AE392" s="2" t="str">
        <f t="shared" si="92"/>
        <v>Valid</v>
      </c>
      <c r="AF392" s="2" t="s">
        <v>1426</v>
      </c>
    </row>
    <row r="393" spans="1:32" x14ac:dyDescent="0.3">
      <c r="A393" s="2" t="s">
        <v>1427</v>
      </c>
      <c r="B393" s="2">
        <f t="shared" si="82"/>
        <v>1</v>
      </c>
      <c r="C393" s="12">
        <f t="shared" si="81"/>
        <v>46238.578777372677</v>
      </c>
      <c r="D393" s="13">
        <v>46238.578777372677</v>
      </c>
      <c r="E393" s="2" t="s">
        <v>673</v>
      </c>
      <c r="F393" s="2" t="str">
        <f t="shared" si="83"/>
        <v>Email Available</v>
      </c>
      <c r="G393" s="2" t="s">
        <v>674</v>
      </c>
      <c r="H393" s="2" t="s">
        <v>261</v>
      </c>
      <c r="I393" s="2" t="s">
        <v>36</v>
      </c>
      <c r="J393" s="2" t="s">
        <v>262</v>
      </c>
      <c r="K393" s="2">
        <v>1</v>
      </c>
      <c r="L393" s="2">
        <v>15.49</v>
      </c>
      <c r="M393" s="19">
        <f t="shared" si="84"/>
        <v>15.49</v>
      </c>
      <c r="N393" s="2"/>
      <c r="O393" s="2" t="str">
        <f t="shared" si="85"/>
        <v/>
      </c>
      <c r="P393" s="2">
        <v>0</v>
      </c>
      <c r="Q393" s="19">
        <f t="shared" si="86"/>
        <v>0</v>
      </c>
      <c r="R393" s="2" t="str">
        <f t="shared" si="87"/>
        <v>Number</v>
      </c>
      <c r="S393" s="2">
        <v>5.99</v>
      </c>
      <c r="T393" s="19">
        <f t="shared" si="88"/>
        <v>5.99</v>
      </c>
      <c r="U393" s="2">
        <v>21.48</v>
      </c>
      <c r="V393" s="19">
        <f t="shared" si="89"/>
        <v>21.48</v>
      </c>
      <c r="W393" s="19">
        <f t="shared" si="90"/>
        <v>21.48</v>
      </c>
      <c r="X393" s="19" t="str">
        <f t="shared" si="91"/>
        <v>True</v>
      </c>
      <c r="Y393" s="19" t="str">
        <f>IF(OR(W393&lt;'Cleaning Tasks'!$G$18,W393&gt;'Cleaning Tasks'!$H$18),"Outlier","Normal")</f>
        <v>Normal</v>
      </c>
      <c r="Z393" s="2" t="s">
        <v>72</v>
      </c>
      <c r="AA393" s="2" t="s">
        <v>27</v>
      </c>
      <c r="AB393" s="2" t="s">
        <v>28</v>
      </c>
      <c r="AC393" s="2" t="s">
        <v>73</v>
      </c>
      <c r="AD393" s="2"/>
      <c r="AE393" s="2" t="str">
        <f t="shared" si="92"/>
        <v>Not Required</v>
      </c>
      <c r="AF393" s="2" t="s">
        <v>1428</v>
      </c>
    </row>
    <row r="394" spans="1:32" x14ac:dyDescent="0.3">
      <c r="A394" s="2" t="s">
        <v>1429</v>
      </c>
      <c r="B394" s="2">
        <f t="shared" si="82"/>
        <v>1</v>
      </c>
      <c r="C394" s="12">
        <f t="shared" si="81"/>
        <v>46238.584106805552</v>
      </c>
      <c r="D394" s="13">
        <v>46238.584106805552</v>
      </c>
      <c r="E394" s="2" t="s">
        <v>889</v>
      </c>
      <c r="F394" s="2" t="str">
        <f t="shared" si="83"/>
        <v>Email Available</v>
      </c>
      <c r="G394" s="2" t="s">
        <v>890</v>
      </c>
      <c r="H394" s="2" t="s">
        <v>109</v>
      </c>
      <c r="I394" s="2" t="s">
        <v>79</v>
      </c>
      <c r="J394" s="2" t="s">
        <v>110</v>
      </c>
      <c r="K394" s="2">
        <v>1</v>
      </c>
      <c r="L394" s="2">
        <v>22.99</v>
      </c>
      <c r="M394" s="19">
        <f t="shared" si="84"/>
        <v>22.99</v>
      </c>
      <c r="N394" s="2" t="s">
        <v>24</v>
      </c>
      <c r="O394" s="2" t="str">
        <f t="shared" si="85"/>
        <v>SAVE20</v>
      </c>
      <c r="P394" s="2">
        <v>4.5999999999999996</v>
      </c>
      <c r="Q394" s="19">
        <f t="shared" si="86"/>
        <v>4.5999999999999996</v>
      </c>
      <c r="R394" s="2" t="str">
        <f t="shared" si="87"/>
        <v>Number</v>
      </c>
      <c r="S394" s="2">
        <v>7.99</v>
      </c>
      <c r="T394" s="19">
        <f t="shared" si="88"/>
        <v>7.99</v>
      </c>
      <c r="U394" s="2">
        <v>26.38</v>
      </c>
      <c r="V394" s="19">
        <f t="shared" si="89"/>
        <v>26.38</v>
      </c>
      <c r="W394" s="19">
        <f t="shared" si="90"/>
        <v>26.380000000000003</v>
      </c>
      <c r="X394" s="19" t="str">
        <f t="shared" si="91"/>
        <v>True</v>
      </c>
      <c r="Y394" s="19" t="str">
        <f>IF(OR(W394&lt;'Cleaning Tasks'!$G$18,W394&gt;'Cleaning Tasks'!$H$18),"Outlier","Normal")</f>
        <v>Normal</v>
      </c>
      <c r="Z394" s="2" t="s">
        <v>39</v>
      </c>
      <c r="AA394" s="2" t="s">
        <v>27</v>
      </c>
      <c r="AB394" s="2" t="s">
        <v>28</v>
      </c>
      <c r="AC394" s="2" t="s">
        <v>29</v>
      </c>
      <c r="AD394" s="22" t="s">
        <v>30</v>
      </c>
      <c r="AE394" s="2" t="str">
        <f t="shared" si="92"/>
        <v>Valid</v>
      </c>
      <c r="AF394" s="2" t="s">
        <v>1430</v>
      </c>
    </row>
    <row r="395" spans="1:32" x14ac:dyDescent="0.3">
      <c r="A395" s="2" t="s">
        <v>1431</v>
      </c>
      <c r="B395" s="2">
        <f t="shared" si="82"/>
        <v>1</v>
      </c>
      <c r="C395" s="12">
        <f t="shared" si="81"/>
        <v>46238.586267175917</v>
      </c>
      <c r="D395" s="13">
        <v>46238.586267175917</v>
      </c>
      <c r="E395" s="2" t="s">
        <v>843</v>
      </c>
      <c r="F395" s="2" t="str">
        <f t="shared" si="83"/>
        <v>Email Available</v>
      </c>
      <c r="G395" s="2" t="s">
        <v>844</v>
      </c>
      <c r="H395" s="2" t="s">
        <v>35</v>
      </c>
      <c r="I395" s="2" t="s">
        <v>36</v>
      </c>
      <c r="J395" s="2" t="s">
        <v>37</v>
      </c>
      <c r="K395" s="2">
        <v>4</v>
      </c>
      <c r="L395" s="2">
        <v>21.99</v>
      </c>
      <c r="M395" s="19">
        <f t="shared" si="84"/>
        <v>21.99</v>
      </c>
      <c r="N395" s="2"/>
      <c r="O395" s="2" t="str">
        <f t="shared" si="85"/>
        <v/>
      </c>
      <c r="P395" s="2">
        <v>0</v>
      </c>
      <c r="Q395" s="19">
        <f t="shared" si="86"/>
        <v>0</v>
      </c>
      <c r="R395" s="2" t="str">
        <f t="shared" si="87"/>
        <v>Number</v>
      </c>
      <c r="S395" s="2">
        <v>0</v>
      </c>
      <c r="T395" s="19">
        <f t="shared" si="88"/>
        <v>0</v>
      </c>
      <c r="U395" s="2">
        <v>87.96</v>
      </c>
      <c r="V395" s="19">
        <f t="shared" si="89"/>
        <v>87.96</v>
      </c>
      <c r="W395" s="19">
        <f t="shared" si="90"/>
        <v>87.96</v>
      </c>
      <c r="X395" s="19" t="str">
        <f t="shared" si="91"/>
        <v>True</v>
      </c>
      <c r="Y395" s="19" t="str">
        <f>IF(OR(W395&lt;'Cleaning Tasks'!$G$18,W395&gt;'Cleaning Tasks'!$H$18),"Outlier","Normal")</f>
        <v>Outlier</v>
      </c>
      <c r="Z395" s="2" t="s">
        <v>26</v>
      </c>
      <c r="AA395" s="2" t="s">
        <v>27</v>
      </c>
      <c r="AB395" s="2" t="s">
        <v>41</v>
      </c>
      <c r="AC395" s="2" t="s">
        <v>29</v>
      </c>
      <c r="AD395" s="2" t="s">
        <v>51</v>
      </c>
      <c r="AE395" s="2" t="str">
        <f t="shared" si="92"/>
        <v>Valid</v>
      </c>
      <c r="AF395" s="2" t="s">
        <v>1432</v>
      </c>
    </row>
    <row r="396" spans="1:32" x14ac:dyDescent="0.3">
      <c r="A396" s="2" t="s">
        <v>1433</v>
      </c>
      <c r="B396" s="2">
        <f t="shared" si="82"/>
        <v>1</v>
      </c>
      <c r="C396" s="12">
        <f t="shared" si="81"/>
        <v>46238.587784085648</v>
      </c>
      <c r="D396" s="13">
        <v>46238.587784085648</v>
      </c>
      <c r="E396" s="2" t="s">
        <v>206</v>
      </c>
      <c r="F396" s="2" t="str">
        <f t="shared" si="83"/>
        <v>Email Available</v>
      </c>
      <c r="G396" s="2" t="s">
        <v>207</v>
      </c>
      <c r="H396" s="2" t="s">
        <v>182</v>
      </c>
      <c r="I396" s="2" t="s">
        <v>36</v>
      </c>
      <c r="J396" s="2" t="s">
        <v>183</v>
      </c>
      <c r="K396" s="2">
        <v>2</v>
      </c>
      <c r="L396" s="2">
        <v>11.99</v>
      </c>
      <c r="M396" s="19">
        <f t="shared" si="84"/>
        <v>11.99</v>
      </c>
      <c r="N396" s="2" t="s">
        <v>118</v>
      </c>
      <c r="O396" s="2" t="str">
        <f t="shared" si="85"/>
        <v>BFCM25</v>
      </c>
      <c r="P396" s="2">
        <v>6</v>
      </c>
      <c r="Q396" s="19">
        <f t="shared" si="86"/>
        <v>6</v>
      </c>
      <c r="R396" s="2" t="str">
        <f t="shared" si="87"/>
        <v>Number</v>
      </c>
      <c r="S396" s="2">
        <v>7.99</v>
      </c>
      <c r="T396" s="19">
        <f t="shared" si="88"/>
        <v>7.99</v>
      </c>
      <c r="U396" s="2">
        <v>25.97</v>
      </c>
      <c r="V396" s="19">
        <f t="shared" si="89"/>
        <v>25.97</v>
      </c>
      <c r="W396" s="19">
        <f t="shared" si="90"/>
        <v>25.97</v>
      </c>
      <c r="X396" s="19" t="str">
        <f t="shared" si="91"/>
        <v>True</v>
      </c>
      <c r="Y396" s="19" t="str">
        <f>IF(OR(W396&lt;'Cleaning Tasks'!$G$18,W396&gt;'Cleaning Tasks'!$H$18),"Outlier","Normal")</f>
        <v>Normal</v>
      </c>
      <c r="Z396" s="2" t="s">
        <v>49</v>
      </c>
      <c r="AA396" s="2" t="s">
        <v>111</v>
      </c>
      <c r="AB396" s="2" t="s">
        <v>28</v>
      </c>
      <c r="AC396" s="2" t="s">
        <v>105</v>
      </c>
      <c r="AD396" s="2"/>
      <c r="AE396" s="2" t="str">
        <f t="shared" si="92"/>
        <v>Not Required</v>
      </c>
      <c r="AF396" s="2" t="s">
        <v>1434</v>
      </c>
    </row>
    <row r="397" spans="1:32" x14ac:dyDescent="0.3">
      <c r="A397" s="2" t="s">
        <v>1435</v>
      </c>
      <c r="B397" s="2">
        <f t="shared" si="82"/>
        <v>1</v>
      </c>
      <c r="C397" s="12">
        <f t="shared" si="81"/>
        <v>46238.582162939812</v>
      </c>
      <c r="D397" s="13">
        <v>46238.582162939812</v>
      </c>
      <c r="E397" s="2" t="s">
        <v>1436</v>
      </c>
      <c r="F397" s="2" t="str">
        <f t="shared" si="83"/>
        <v>Email Available</v>
      </c>
      <c r="G397" s="2" t="s">
        <v>529</v>
      </c>
      <c r="H397" s="2" t="s">
        <v>85</v>
      </c>
      <c r="I397" s="2" t="s">
        <v>86</v>
      </c>
      <c r="J397" s="2" t="s">
        <v>87</v>
      </c>
      <c r="K397" s="2">
        <v>1</v>
      </c>
      <c r="L397" s="2">
        <v>54.99</v>
      </c>
      <c r="M397" s="19">
        <f t="shared" si="84"/>
        <v>54.99</v>
      </c>
      <c r="N397" s="2" t="s">
        <v>24</v>
      </c>
      <c r="O397" s="2" t="str">
        <f t="shared" si="85"/>
        <v>SAVE20</v>
      </c>
      <c r="P397" s="2">
        <v>11</v>
      </c>
      <c r="Q397" s="19">
        <f t="shared" si="86"/>
        <v>11</v>
      </c>
      <c r="R397" s="2" t="str">
        <f t="shared" si="87"/>
        <v>Number</v>
      </c>
      <c r="S397" s="2">
        <v>7.99</v>
      </c>
      <c r="T397" s="19">
        <f t="shared" si="88"/>
        <v>7.99</v>
      </c>
      <c r="U397" s="2">
        <v>51.98</v>
      </c>
      <c r="V397" s="19">
        <f t="shared" si="89"/>
        <v>51.98</v>
      </c>
      <c r="W397" s="19">
        <f t="shared" si="90"/>
        <v>51.980000000000004</v>
      </c>
      <c r="X397" s="19" t="str">
        <f t="shared" si="91"/>
        <v>True</v>
      </c>
      <c r="Y397" s="19" t="str">
        <f>IF(OR(W397&lt;'Cleaning Tasks'!$G$18,W397&gt;'Cleaning Tasks'!$H$18),"Outlier","Normal")</f>
        <v>Normal</v>
      </c>
      <c r="Z397" s="2" t="s">
        <v>72</v>
      </c>
      <c r="AA397" s="2" t="s">
        <v>40</v>
      </c>
      <c r="AB397" s="2" t="s">
        <v>50</v>
      </c>
      <c r="AC397" s="2" t="s">
        <v>29</v>
      </c>
      <c r="AD397" s="22" t="s">
        <v>112</v>
      </c>
      <c r="AE397" s="2" t="str">
        <f t="shared" si="92"/>
        <v>Valid</v>
      </c>
      <c r="AF397" s="2" t="s">
        <v>1437</v>
      </c>
    </row>
    <row r="398" spans="1:32" x14ac:dyDescent="0.3">
      <c r="A398" s="2" t="s">
        <v>1438</v>
      </c>
      <c r="B398" s="2">
        <f t="shared" si="82"/>
        <v>1</v>
      </c>
      <c r="C398" s="12">
        <f t="shared" si="81"/>
        <v>46238.57931144676</v>
      </c>
      <c r="D398" s="13">
        <v>46238.57931144676</v>
      </c>
      <c r="E398" s="2" t="s">
        <v>1439</v>
      </c>
      <c r="F398" s="2" t="str">
        <f t="shared" si="83"/>
        <v>Email Available</v>
      </c>
      <c r="G398" s="2" t="s">
        <v>1440</v>
      </c>
      <c r="H398" s="2" t="s">
        <v>130</v>
      </c>
      <c r="I398" s="2" t="s">
        <v>103</v>
      </c>
      <c r="J398" s="2" t="s">
        <v>131</v>
      </c>
      <c r="K398" s="2">
        <v>1</v>
      </c>
      <c r="L398" s="2">
        <v>16.989999999999998</v>
      </c>
      <c r="M398" s="19">
        <f t="shared" si="84"/>
        <v>16.989999999999998</v>
      </c>
      <c r="N398" s="2" t="s">
        <v>203</v>
      </c>
      <c r="O398" s="2" t="str">
        <f t="shared" si="85"/>
        <v>VIP15</v>
      </c>
      <c r="P398" s="2">
        <v>2.5499999999999998</v>
      </c>
      <c r="Q398" s="19">
        <f t="shared" si="86"/>
        <v>2.5499999999999998</v>
      </c>
      <c r="R398" s="2" t="str">
        <f t="shared" si="87"/>
        <v>Number</v>
      </c>
      <c r="S398" s="2">
        <v>4.99</v>
      </c>
      <c r="T398" s="19">
        <f t="shared" si="88"/>
        <v>4.99</v>
      </c>
      <c r="U398" s="2">
        <v>19.43</v>
      </c>
      <c r="V398" s="19">
        <f t="shared" si="89"/>
        <v>19.43</v>
      </c>
      <c r="W398" s="19">
        <f t="shared" si="90"/>
        <v>19.43</v>
      </c>
      <c r="X398" s="19" t="str">
        <f t="shared" si="91"/>
        <v>True</v>
      </c>
      <c r="Y398" s="19" t="str">
        <f>IF(OR(W398&lt;'Cleaning Tasks'!$G$18,W398&gt;'Cleaning Tasks'!$H$18),"Outlier","Normal")</f>
        <v>Normal</v>
      </c>
      <c r="Z398" s="2" t="s">
        <v>72</v>
      </c>
      <c r="AA398" s="2" t="s">
        <v>27</v>
      </c>
      <c r="AB398" s="2" t="s">
        <v>50</v>
      </c>
      <c r="AC398" s="2" t="s">
        <v>29</v>
      </c>
      <c r="AD398" s="2" t="s">
        <v>51</v>
      </c>
      <c r="AE398" s="2" t="str">
        <f t="shared" si="92"/>
        <v>Valid</v>
      </c>
      <c r="AF398" s="2" t="s">
        <v>1441</v>
      </c>
    </row>
    <row r="399" spans="1:32" x14ac:dyDescent="0.3">
      <c r="A399" s="2" t="s">
        <v>1442</v>
      </c>
      <c r="B399" s="2">
        <f t="shared" si="82"/>
        <v>1</v>
      </c>
      <c r="C399" s="12">
        <f t="shared" si="81"/>
        <v>46238.585828564806</v>
      </c>
      <c r="D399" s="13">
        <v>46238.585828564806</v>
      </c>
      <c r="E399" s="2" t="s">
        <v>1443</v>
      </c>
      <c r="F399" s="2" t="str">
        <f t="shared" si="83"/>
        <v>Email Available</v>
      </c>
      <c r="G399" s="2" t="s">
        <v>1444</v>
      </c>
      <c r="H399" s="2" t="s">
        <v>109</v>
      </c>
      <c r="I399" s="2" t="s">
        <v>79</v>
      </c>
      <c r="J399" s="2" t="s">
        <v>110</v>
      </c>
      <c r="K399" s="2">
        <v>1</v>
      </c>
      <c r="L399" s="2">
        <v>22.99</v>
      </c>
      <c r="M399" s="19">
        <f t="shared" si="84"/>
        <v>22.99</v>
      </c>
      <c r="N399" s="2" t="s">
        <v>203</v>
      </c>
      <c r="O399" s="2" t="str">
        <f t="shared" si="85"/>
        <v>VIP15</v>
      </c>
      <c r="P399" s="2">
        <v>3.45</v>
      </c>
      <c r="Q399" s="19">
        <f t="shared" si="86"/>
        <v>3.45</v>
      </c>
      <c r="R399" s="2" t="str">
        <f t="shared" si="87"/>
        <v>Number</v>
      </c>
      <c r="S399" s="2">
        <v>4.99</v>
      </c>
      <c r="T399" s="19">
        <f t="shared" si="88"/>
        <v>4.99</v>
      </c>
      <c r="U399" s="2">
        <v>24.53</v>
      </c>
      <c r="V399" s="19">
        <f t="shared" si="89"/>
        <v>24.53</v>
      </c>
      <c r="W399" s="19">
        <f t="shared" si="90"/>
        <v>24.53</v>
      </c>
      <c r="X399" s="19" t="str">
        <f t="shared" si="91"/>
        <v>True</v>
      </c>
      <c r="Y399" s="19" t="str">
        <f>IF(OR(W399&lt;'Cleaning Tasks'!$G$18,W399&gt;'Cleaning Tasks'!$H$18),"Outlier","Normal")</f>
        <v>Normal</v>
      </c>
      <c r="Z399" s="2" t="s">
        <v>49</v>
      </c>
      <c r="AA399" s="2" t="s">
        <v>40</v>
      </c>
      <c r="AB399" s="2" t="s">
        <v>50</v>
      </c>
      <c r="AC399" s="2" t="s">
        <v>42</v>
      </c>
      <c r="AD399" s="2"/>
      <c r="AE399" s="2" t="str">
        <f t="shared" si="92"/>
        <v>Not Required</v>
      </c>
      <c r="AF399" s="2" t="s">
        <v>1445</v>
      </c>
    </row>
    <row r="400" spans="1:32" x14ac:dyDescent="0.3">
      <c r="A400" s="2" t="s">
        <v>1446</v>
      </c>
      <c r="B400" s="2">
        <f t="shared" si="82"/>
        <v>1</v>
      </c>
      <c r="C400" s="12">
        <f t="shared" si="81"/>
        <v>46238.583905416657</v>
      </c>
      <c r="D400" s="13">
        <v>46238.583905416657</v>
      </c>
      <c r="E400" s="2" t="s">
        <v>1447</v>
      </c>
      <c r="F400" s="2" t="str">
        <f t="shared" si="83"/>
        <v>Email Available</v>
      </c>
      <c r="G400" s="2" t="s">
        <v>1448</v>
      </c>
      <c r="H400" s="2" t="s">
        <v>102</v>
      </c>
      <c r="I400" s="2" t="s">
        <v>103</v>
      </c>
      <c r="J400" s="2" t="s">
        <v>104</v>
      </c>
      <c r="K400" s="2">
        <v>1</v>
      </c>
      <c r="L400" s="2">
        <v>19.989999999999998</v>
      </c>
      <c r="M400" s="19">
        <f t="shared" si="84"/>
        <v>19.989999999999998</v>
      </c>
      <c r="N400" s="2" t="s">
        <v>38</v>
      </c>
      <c r="O400" s="2" t="str">
        <f t="shared" si="85"/>
        <v>FREESHIP</v>
      </c>
      <c r="P400" s="2">
        <v>0</v>
      </c>
      <c r="Q400" s="19">
        <f t="shared" si="86"/>
        <v>0</v>
      </c>
      <c r="R400" s="2" t="str">
        <f t="shared" si="87"/>
        <v>Number</v>
      </c>
      <c r="S400" s="2">
        <v>0</v>
      </c>
      <c r="T400" s="19">
        <f t="shared" si="88"/>
        <v>0</v>
      </c>
      <c r="U400" s="2">
        <v>19.989999999999998</v>
      </c>
      <c r="V400" s="19">
        <f t="shared" si="89"/>
        <v>19.989999999999998</v>
      </c>
      <c r="W400" s="19">
        <f t="shared" si="90"/>
        <v>19.989999999999998</v>
      </c>
      <c r="X400" s="19" t="str">
        <f t="shared" si="91"/>
        <v>True</v>
      </c>
      <c r="Y400" s="19" t="str">
        <f>IF(OR(W400&lt;'Cleaning Tasks'!$G$18,W400&gt;'Cleaning Tasks'!$H$18),"Outlier","Normal")</f>
        <v>Normal</v>
      </c>
      <c r="Z400" s="2" t="s">
        <v>26</v>
      </c>
      <c r="AA400" s="2" t="s">
        <v>88</v>
      </c>
      <c r="AB400" s="2" t="s">
        <v>50</v>
      </c>
      <c r="AC400" s="2" t="s">
        <v>73</v>
      </c>
      <c r="AD400" s="2"/>
      <c r="AE400" s="2" t="str">
        <f t="shared" si="92"/>
        <v>Not Required</v>
      </c>
      <c r="AF400" s="2" t="s">
        <v>1449</v>
      </c>
    </row>
    <row r="401" spans="1:32" x14ac:dyDescent="0.3">
      <c r="A401" s="2" t="s">
        <v>1450</v>
      </c>
      <c r="B401" s="2">
        <f t="shared" si="82"/>
        <v>1</v>
      </c>
      <c r="C401" s="12">
        <f t="shared" si="81"/>
        <v>46238.586766180553</v>
      </c>
      <c r="D401" s="13">
        <v>46238.586766180553</v>
      </c>
      <c r="E401" s="2" t="s">
        <v>1451</v>
      </c>
      <c r="F401" s="2" t="str">
        <f t="shared" si="83"/>
        <v>Email Available</v>
      </c>
      <c r="G401" s="2" t="s">
        <v>1452</v>
      </c>
      <c r="H401" s="2" t="s">
        <v>117</v>
      </c>
      <c r="I401" s="2" t="s">
        <v>22</v>
      </c>
      <c r="J401" s="2" t="s">
        <v>23</v>
      </c>
      <c r="K401" s="2">
        <v>1</v>
      </c>
      <c r="L401" s="2">
        <v>12.99</v>
      </c>
      <c r="M401" s="19">
        <f t="shared" si="84"/>
        <v>12.99</v>
      </c>
      <c r="N401" s="2"/>
      <c r="O401" s="2" t="str">
        <f t="shared" si="85"/>
        <v/>
      </c>
      <c r="P401" s="2">
        <v>0</v>
      </c>
      <c r="Q401" s="19">
        <f t="shared" si="86"/>
        <v>0</v>
      </c>
      <c r="R401" s="2" t="str">
        <f t="shared" si="87"/>
        <v>Number</v>
      </c>
      <c r="S401" s="2">
        <v>7.99</v>
      </c>
      <c r="T401" s="19">
        <f t="shared" si="88"/>
        <v>7.99</v>
      </c>
      <c r="U401" s="2">
        <v>20.98</v>
      </c>
      <c r="V401" s="19">
        <f t="shared" si="89"/>
        <v>20.98</v>
      </c>
      <c r="W401" s="19">
        <f t="shared" si="90"/>
        <v>20.98</v>
      </c>
      <c r="X401" s="19" t="str">
        <f t="shared" si="91"/>
        <v>True</v>
      </c>
      <c r="Y401" s="19" t="str">
        <f>IF(OR(W401&lt;'Cleaning Tasks'!$G$18,W401&gt;'Cleaning Tasks'!$H$18),"Outlier","Normal")</f>
        <v>Normal</v>
      </c>
      <c r="Z401" s="2" t="s">
        <v>49</v>
      </c>
      <c r="AA401" s="2" t="s">
        <v>27</v>
      </c>
      <c r="AB401" s="2" t="s">
        <v>28</v>
      </c>
      <c r="AC401" s="2" t="s">
        <v>29</v>
      </c>
      <c r="AD401" s="2" t="s">
        <v>341</v>
      </c>
      <c r="AE401" s="2" t="str">
        <f t="shared" si="92"/>
        <v>Valid</v>
      </c>
      <c r="AF401" s="2" t="s">
        <v>1453</v>
      </c>
    </row>
    <row r="402" spans="1:32" x14ac:dyDescent="0.3">
      <c r="A402" s="2" t="s">
        <v>1454</v>
      </c>
      <c r="B402" s="2">
        <f t="shared" si="82"/>
        <v>1</v>
      </c>
      <c r="C402" s="12">
        <f t="shared" si="81"/>
        <v>46238.588373182873</v>
      </c>
      <c r="D402" s="13">
        <v>46238.588373182873</v>
      </c>
      <c r="E402" s="2" t="s">
        <v>1455</v>
      </c>
      <c r="F402" s="2" t="str">
        <f t="shared" si="83"/>
        <v>Email Available</v>
      </c>
      <c r="G402" s="2" t="s">
        <v>1279</v>
      </c>
      <c r="H402" s="2" t="s">
        <v>63</v>
      </c>
      <c r="I402" s="2" t="s">
        <v>47</v>
      </c>
      <c r="J402" s="2" t="s">
        <v>64</v>
      </c>
      <c r="K402" s="2">
        <v>1</v>
      </c>
      <c r="L402" s="2">
        <v>14.99</v>
      </c>
      <c r="M402" s="19">
        <f t="shared" si="84"/>
        <v>14.99</v>
      </c>
      <c r="N402" s="2" t="s">
        <v>65</v>
      </c>
      <c r="O402" s="2" t="str">
        <f t="shared" si="85"/>
        <v>WELCOME10</v>
      </c>
      <c r="P402" s="2">
        <v>1.5</v>
      </c>
      <c r="Q402" s="19">
        <f t="shared" si="86"/>
        <v>1.5</v>
      </c>
      <c r="R402" s="2" t="str">
        <f t="shared" si="87"/>
        <v>Number</v>
      </c>
      <c r="S402" s="2">
        <v>7.99</v>
      </c>
      <c r="T402" s="19">
        <f t="shared" si="88"/>
        <v>7.99</v>
      </c>
      <c r="U402" s="2">
        <v>21.48</v>
      </c>
      <c r="V402" s="19">
        <f t="shared" si="89"/>
        <v>21.48</v>
      </c>
      <c r="W402" s="19">
        <f t="shared" si="90"/>
        <v>21.48</v>
      </c>
      <c r="X402" s="19" t="str">
        <f t="shared" si="91"/>
        <v>True</v>
      </c>
      <c r="Y402" s="19" t="str">
        <f>IF(OR(W402&lt;'Cleaning Tasks'!$G$18,W402&gt;'Cleaning Tasks'!$H$18),"Outlier","Normal")</f>
        <v>Normal</v>
      </c>
      <c r="Z402" s="2" t="s">
        <v>66</v>
      </c>
      <c r="AA402" s="2" t="s">
        <v>40</v>
      </c>
      <c r="AB402" s="2" t="s">
        <v>50</v>
      </c>
      <c r="AC402" s="2" t="s">
        <v>29</v>
      </c>
      <c r="AD402" s="2" t="s">
        <v>30</v>
      </c>
      <c r="AE402" s="2" t="str">
        <f t="shared" si="92"/>
        <v>Valid</v>
      </c>
      <c r="AF402" s="2" t="s">
        <v>1456</v>
      </c>
    </row>
    <row r="403" spans="1:32" x14ac:dyDescent="0.3">
      <c r="A403" s="2" t="s">
        <v>1457</v>
      </c>
      <c r="B403" s="2">
        <f t="shared" si="82"/>
        <v>1</v>
      </c>
      <c r="C403" s="12">
        <f t="shared" si="81"/>
        <v>46238.586491261573</v>
      </c>
      <c r="D403" s="13">
        <v>46238.586491261573</v>
      </c>
      <c r="E403" s="2" t="s">
        <v>251</v>
      </c>
      <c r="F403" s="2" t="str">
        <f t="shared" si="83"/>
        <v>Missing Email</v>
      </c>
      <c r="G403" s="2"/>
      <c r="H403" s="2" t="s">
        <v>117</v>
      </c>
      <c r="I403" s="2" t="s">
        <v>22</v>
      </c>
      <c r="J403" s="2" t="s">
        <v>23</v>
      </c>
      <c r="K403" s="2">
        <v>2</v>
      </c>
      <c r="L403" s="2">
        <v>12.99</v>
      </c>
      <c r="M403" s="19">
        <f t="shared" si="84"/>
        <v>12.99</v>
      </c>
      <c r="N403" s="2"/>
      <c r="O403" s="2" t="str">
        <f t="shared" si="85"/>
        <v/>
      </c>
      <c r="P403" s="2">
        <v>0</v>
      </c>
      <c r="Q403" s="19">
        <f t="shared" si="86"/>
        <v>0</v>
      </c>
      <c r="R403" s="2" t="str">
        <f t="shared" si="87"/>
        <v>Number</v>
      </c>
      <c r="S403" s="2">
        <v>4.99</v>
      </c>
      <c r="T403" s="19">
        <f t="shared" si="88"/>
        <v>4.99</v>
      </c>
      <c r="U403" s="2" t="s">
        <v>491</v>
      </c>
      <c r="V403" s="19">
        <f t="shared" si="89"/>
        <v>30.97</v>
      </c>
      <c r="W403" s="19">
        <f t="shared" si="90"/>
        <v>30.97</v>
      </c>
      <c r="X403" s="19" t="str">
        <f t="shared" si="91"/>
        <v>True</v>
      </c>
      <c r="Y403" s="19" t="str">
        <f>IF(OR(W403&lt;'Cleaning Tasks'!$G$18,W403&gt;'Cleaning Tasks'!$H$18),"Outlier","Normal")</f>
        <v>Normal</v>
      </c>
      <c r="Z403" s="2" t="s">
        <v>72</v>
      </c>
      <c r="AA403" s="2" t="s">
        <v>88</v>
      </c>
      <c r="AB403" s="2" t="s">
        <v>50</v>
      </c>
      <c r="AC403" s="2" t="s">
        <v>29</v>
      </c>
      <c r="AD403" s="2" t="s">
        <v>67</v>
      </c>
      <c r="AE403" s="2" t="str">
        <f t="shared" si="92"/>
        <v>Valid</v>
      </c>
      <c r="AF403" s="2" t="s">
        <v>1458</v>
      </c>
    </row>
    <row r="404" spans="1:32" x14ac:dyDescent="0.3">
      <c r="A404" s="2" t="s">
        <v>1459</v>
      </c>
      <c r="B404" s="2">
        <f t="shared" si="82"/>
        <v>1</v>
      </c>
      <c r="C404" s="12">
        <f t="shared" si="81"/>
        <v>46238.583752395833</v>
      </c>
      <c r="D404" s="13">
        <v>46238.583752395833</v>
      </c>
      <c r="E404" s="2" t="s">
        <v>1084</v>
      </c>
      <c r="F404" s="2" t="str">
        <f t="shared" si="83"/>
        <v>Email Available</v>
      </c>
      <c r="G404" s="2" t="s">
        <v>1085</v>
      </c>
      <c r="H404" s="2" t="s">
        <v>309</v>
      </c>
      <c r="I404" s="2" t="s">
        <v>36</v>
      </c>
      <c r="J404" s="2" t="s">
        <v>310</v>
      </c>
      <c r="K404" s="2">
        <v>3</v>
      </c>
      <c r="L404" s="2">
        <v>8.99</v>
      </c>
      <c r="M404" s="19">
        <f t="shared" si="84"/>
        <v>8.99</v>
      </c>
      <c r="N404" s="2"/>
      <c r="O404" s="2" t="str">
        <f t="shared" si="85"/>
        <v/>
      </c>
      <c r="P404" s="2">
        <v>0</v>
      </c>
      <c r="Q404" s="19">
        <f t="shared" si="86"/>
        <v>0</v>
      </c>
      <c r="R404" s="2" t="str">
        <f t="shared" si="87"/>
        <v>Number</v>
      </c>
      <c r="S404" s="2">
        <v>7.99</v>
      </c>
      <c r="T404" s="19">
        <f t="shared" si="88"/>
        <v>7.99</v>
      </c>
      <c r="U404" s="2">
        <v>34.96</v>
      </c>
      <c r="V404" s="19">
        <f t="shared" si="89"/>
        <v>34.96</v>
      </c>
      <c r="W404" s="19">
        <f t="shared" si="90"/>
        <v>34.96</v>
      </c>
      <c r="X404" s="19" t="str">
        <f t="shared" si="91"/>
        <v>True</v>
      </c>
      <c r="Y404" s="19" t="str">
        <f>IF(OR(W404&lt;'Cleaning Tasks'!$G$18,W404&gt;'Cleaning Tasks'!$H$18),"Outlier","Normal")</f>
        <v>Normal</v>
      </c>
      <c r="Z404" s="2" t="s">
        <v>39</v>
      </c>
      <c r="AA404" s="2" t="s">
        <v>111</v>
      </c>
      <c r="AB404" s="2" t="s">
        <v>96</v>
      </c>
      <c r="AC404" s="2" t="s">
        <v>29</v>
      </c>
      <c r="AD404" s="2" t="s">
        <v>67</v>
      </c>
      <c r="AE404" s="2" t="str">
        <f t="shared" si="92"/>
        <v>Valid</v>
      </c>
      <c r="AF404" s="2" t="s">
        <v>1460</v>
      </c>
    </row>
    <row r="405" spans="1:32" x14ac:dyDescent="0.3">
      <c r="A405" s="2" t="s">
        <v>1461</v>
      </c>
      <c r="B405" s="2">
        <f t="shared" si="82"/>
        <v>1</v>
      </c>
      <c r="C405" s="12">
        <f t="shared" si="81"/>
        <v>46238.588373425933</v>
      </c>
      <c r="D405" s="13">
        <v>46238.588373425933</v>
      </c>
      <c r="E405" s="2" t="s">
        <v>1462</v>
      </c>
      <c r="F405" s="2" t="str">
        <f t="shared" si="83"/>
        <v>Email Available</v>
      </c>
      <c r="G405" s="2" t="s">
        <v>1463</v>
      </c>
      <c r="H405" s="2" t="s">
        <v>63</v>
      </c>
      <c r="I405" s="2" t="s">
        <v>47</v>
      </c>
      <c r="J405" s="2" t="s">
        <v>446</v>
      </c>
      <c r="K405" s="2">
        <v>1</v>
      </c>
      <c r="L405" s="2">
        <v>14.99</v>
      </c>
      <c r="M405" s="19">
        <f t="shared" si="84"/>
        <v>14.99</v>
      </c>
      <c r="N405" s="2" t="s">
        <v>1464</v>
      </c>
      <c r="O405" s="2" t="str">
        <f t="shared" si="85"/>
        <v>FREESHIP</v>
      </c>
      <c r="P405" s="2">
        <v>0</v>
      </c>
      <c r="Q405" s="19">
        <f t="shared" si="86"/>
        <v>0</v>
      </c>
      <c r="R405" s="2" t="str">
        <f t="shared" si="87"/>
        <v>Number</v>
      </c>
      <c r="S405" s="2">
        <v>0</v>
      </c>
      <c r="T405" s="19">
        <f t="shared" si="88"/>
        <v>0</v>
      </c>
      <c r="U405" s="2" t="s">
        <v>1465</v>
      </c>
      <c r="V405" s="19">
        <f t="shared" si="89"/>
        <v>14.99</v>
      </c>
      <c r="W405" s="19">
        <f t="shared" si="90"/>
        <v>14.99</v>
      </c>
      <c r="X405" s="19" t="str">
        <f t="shared" si="91"/>
        <v>True</v>
      </c>
      <c r="Y405" s="19" t="str">
        <f>IF(OR(W405&lt;'Cleaning Tasks'!$G$18,W405&gt;'Cleaning Tasks'!$H$18),"Outlier","Normal")</f>
        <v>Normal</v>
      </c>
      <c r="Z405" s="2" t="s">
        <v>26</v>
      </c>
      <c r="AA405" s="2" t="s">
        <v>27</v>
      </c>
      <c r="AB405" s="2" t="s">
        <v>50</v>
      </c>
      <c r="AC405" s="2" t="s">
        <v>73</v>
      </c>
      <c r="AD405" s="2"/>
      <c r="AE405" s="2" t="str">
        <f t="shared" si="92"/>
        <v>Not Required</v>
      </c>
      <c r="AF405" s="2" t="s">
        <v>1466</v>
      </c>
    </row>
    <row r="406" spans="1:32" x14ac:dyDescent="0.3">
      <c r="A406" s="2" t="s">
        <v>1467</v>
      </c>
      <c r="B406" s="2">
        <f t="shared" si="82"/>
        <v>1</v>
      </c>
      <c r="C406" s="12">
        <f t="shared" si="81"/>
        <v>46238.589002314817</v>
      </c>
      <c r="D406" s="13">
        <v>46238.589002314817</v>
      </c>
      <c r="E406" s="2" t="s">
        <v>1210</v>
      </c>
      <c r="F406" s="2" t="str">
        <f t="shared" si="83"/>
        <v>Email Available</v>
      </c>
      <c r="G406" s="2" t="s">
        <v>1211</v>
      </c>
      <c r="H406" s="2" t="s">
        <v>85</v>
      </c>
      <c r="I406" s="2" t="s">
        <v>86</v>
      </c>
      <c r="J406" s="2" t="s">
        <v>87</v>
      </c>
      <c r="K406" s="2">
        <v>1</v>
      </c>
      <c r="L406" s="2">
        <v>54.99</v>
      </c>
      <c r="M406" s="19">
        <f t="shared" si="84"/>
        <v>54.99</v>
      </c>
      <c r="N406" s="2"/>
      <c r="O406" s="2" t="str">
        <f t="shared" si="85"/>
        <v/>
      </c>
      <c r="P406" s="2">
        <v>0</v>
      </c>
      <c r="Q406" s="19">
        <f t="shared" si="86"/>
        <v>0</v>
      </c>
      <c r="R406" s="2" t="str">
        <f t="shared" si="87"/>
        <v>Number</v>
      </c>
      <c r="S406" s="2">
        <v>7.99</v>
      </c>
      <c r="T406" s="19">
        <f t="shared" si="88"/>
        <v>7.99</v>
      </c>
      <c r="U406" s="2">
        <v>62.98</v>
      </c>
      <c r="V406" s="19">
        <f t="shared" si="89"/>
        <v>62.98</v>
      </c>
      <c r="W406" s="19">
        <f t="shared" si="90"/>
        <v>62.980000000000004</v>
      </c>
      <c r="X406" s="19" t="str">
        <f t="shared" si="91"/>
        <v>True</v>
      </c>
      <c r="Y406" s="19" t="str">
        <f>IF(OR(W406&lt;'Cleaning Tasks'!$G$18,W406&gt;'Cleaning Tasks'!$H$18),"Outlier","Normal")</f>
        <v>Normal</v>
      </c>
      <c r="Z406" s="2" t="s">
        <v>72</v>
      </c>
      <c r="AA406" s="2" t="s">
        <v>88</v>
      </c>
      <c r="AB406" s="2" t="s">
        <v>96</v>
      </c>
      <c r="AC406" s="2" t="s">
        <v>29</v>
      </c>
      <c r="AD406" s="2" t="s">
        <v>112</v>
      </c>
      <c r="AE406" s="2" t="str">
        <f t="shared" si="92"/>
        <v>Valid</v>
      </c>
      <c r="AF406" s="2" t="s">
        <v>1468</v>
      </c>
    </row>
    <row r="407" spans="1:32" x14ac:dyDescent="0.3">
      <c r="A407" s="2" t="s">
        <v>1469</v>
      </c>
      <c r="B407" s="2">
        <f t="shared" si="82"/>
        <v>1</v>
      </c>
      <c r="C407" s="12">
        <f t="shared" si="81"/>
        <v>46238.581097638889</v>
      </c>
      <c r="D407" s="13">
        <v>46238.581097638889</v>
      </c>
      <c r="E407" s="2" t="s">
        <v>1470</v>
      </c>
      <c r="F407" s="2" t="str">
        <f t="shared" si="83"/>
        <v>Email Available</v>
      </c>
      <c r="G407" s="2" t="s">
        <v>1103</v>
      </c>
      <c r="H407" s="2" t="s">
        <v>190</v>
      </c>
      <c r="I407" s="2" t="s">
        <v>191</v>
      </c>
      <c r="J407" s="2" t="s">
        <v>192</v>
      </c>
      <c r="K407" s="2">
        <v>1</v>
      </c>
      <c r="L407" s="2">
        <v>13.49</v>
      </c>
      <c r="M407" s="19">
        <f t="shared" si="84"/>
        <v>13.49</v>
      </c>
      <c r="N407" s="2"/>
      <c r="O407" s="2" t="str">
        <f t="shared" si="85"/>
        <v/>
      </c>
      <c r="P407" s="2" t="s">
        <v>184</v>
      </c>
      <c r="Q407" s="19">
        <f t="shared" si="86"/>
        <v>0</v>
      </c>
      <c r="R407" s="2" t="str">
        <f t="shared" si="87"/>
        <v>Number</v>
      </c>
      <c r="S407" s="2">
        <v>4.99</v>
      </c>
      <c r="T407" s="19">
        <f t="shared" si="88"/>
        <v>4.99</v>
      </c>
      <c r="U407" s="2">
        <v>18.48</v>
      </c>
      <c r="V407" s="19">
        <f t="shared" si="89"/>
        <v>18.48</v>
      </c>
      <c r="W407" s="19">
        <f t="shared" si="90"/>
        <v>18.48</v>
      </c>
      <c r="X407" s="19" t="str">
        <f t="shared" si="91"/>
        <v>True</v>
      </c>
      <c r="Y407" s="19" t="str">
        <f>IF(OR(W407&lt;'Cleaning Tasks'!$G$18,W407&gt;'Cleaning Tasks'!$H$18),"Outlier","Normal")</f>
        <v>Normal</v>
      </c>
      <c r="Z407" s="2" t="s">
        <v>26</v>
      </c>
      <c r="AA407" s="2" t="s">
        <v>111</v>
      </c>
      <c r="AB407" s="2" t="s">
        <v>50</v>
      </c>
      <c r="AC407" s="2" t="s">
        <v>105</v>
      </c>
      <c r="AD407" s="2"/>
      <c r="AE407" s="2" t="str">
        <f t="shared" si="92"/>
        <v>Not Required</v>
      </c>
      <c r="AF407" s="2" t="s">
        <v>1471</v>
      </c>
    </row>
    <row r="408" spans="1:32" x14ac:dyDescent="0.3">
      <c r="A408" s="2" t="s">
        <v>1472</v>
      </c>
      <c r="B408" s="2">
        <f t="shared" si="82"/>
        <v>1</v>
      </c>
      <c r="C408" s="12">
        <f t="shared" si="81"/>
        <v>46238.583122858799</v>
      </c>
      <c r="D408" s="13">
        <v>46238.583122858799</v>
      </c>
      <c r="E408" s="2" t="s">
        <v>1261</v>
      </c>
      <c r="F408" s="2" t="str">
        <f t="shared" si="83"/>
        <v>Email Available</v>
      </c>
      <c r="G408" s="2" t="s">
        <v>1262</v>
      </c>
      <c r="H408" s="2" t="s">
        <v>182</v>
      </c>
      <c r="I408" s="2" t="s">
        <v>36</v>
      </c>
      <c r="J408" s="2" t="s">
        <v>183</v>
      </c>
      <c r="K408" s="2">
        <v>2</v>
      </c>
      <c r="L408" s="2">
        <v>11.99</v>
      </c>
      <c r="M408" s="19">
        <f t="shared" si="84"/>
        <v>11.99</v>
      </c>
      <c r="N408" s="2" t="s">
        <v>24</v>
      </c>
      <c r="O408" s="2" t="str">
        <f t="shared" si="85"/>
        <v>SAVE20</v>
      </c>
      <c r="P408" s="2">
        <v>4.8</v>
      </c>
      <c r="Q408" s="19">
        <f t="shared" si="86"/>
        <v>4.8</v>
      </c>
      <c r="R408" s="2" t="str">
        <f t="shared" si="87"/>
        <v>Number</v>
      </c>
      <c r="S408" s="2">
        <v>5.99</v>
      </c>
      <c r="T408" s="19">
        <f t="shared" si="88"/>
        <v>5.99</v>
      </c>
      <c r="U408" s="2">
        <v>25.17</v>
      </c>
      <c r="V408" s="19">
        <f t="shared" si="89"/>
        <v>25.17</v>
      </c>
      <c r="W408" s="19">
        <f t="shared" si="90"/>
        <v>25.17</v>
      </c>
      <c r="X408" s="19" t="str">
        <f t="shared" si="91"/>
        <v>True</v>
      </c>
      <c r="Y408" s="19" t="str">
        <f>IF(OR(W408&lt;'Cleaning Tasks'!$G$18,W408&gt;'Cleaning Tasks'!$H$18),"Outlier","Normal")</f>
        <v>Normal</v>
      </c>
      <c r="Z408" s="2" t="s">
        <v>26</v>
      </c>
      <c r="AA408" s="2" t="s">
        <v>40</v>
      </c>
      <c r="AB408" s="2" t="s">
        <v>50</v>
      </c>
      <c r="AC408" s="2" t="s">
        <v>331</v>
      </c>
      <c r="AD408" s="2"/>
      <c r="AE408" s="2" t="str">
        <f t="shared" si="92"/>
        <v>Not Required</v>
      </c>
      <c r="AF408" s="2" t="s">
        <v>1473</v>
      </c>
    </row>
    <row r="409" spans="1:32" x14ac:dyDescent="0.3">
      <c r="A409" s="2" t="s">
        <v>1474</v>
      </c>
      <c r="B409" s="2">
        <f t="shared" si="82"/>
        <v>1</v>
      </c>
      <c r="C409" s="12">
        <f t="shared" si="81"/>
        <v>46238.584702812499</v>
      </c>
      <c r="D409" s="13">
        <v>46238.584702812499</v>
      </c>
      <c r="E409" s="2" t="s">
        <v>1475</v>
      </c>
      <c r="F409" s="2" t="str">
        <f t="shared" si="83"/>
        <v>Email Available</v>
      </c>
      <c r="G409" s="2" t="s">
        <v>1476</v>
      </c>
      <c r="H409" s="2" t="s">
        <v>46</v>
      </c>
      <c r="I409" s="2" t="s">
        <v>47</v>
      </c>
      <c r="J409" s="2" t="s">
        <v>48</v>
      </c>
      <c r="K409" s="2">
        <v>1</v>
      </c>
      <c r="L409" s="2">
        <v>39.99</v>
      </c>
      <c r="M409" s="19">
        <f t="shared" si="84"/>
        <v>39.99</v>
      </c>
      <c r="N409" s="2"/>
      <c r="O409" s="2" t="str">
        <f t="shared" si="85"/>
        <v/>
      </c>
      <c r="P409" s="2">
        <v>0</v>
      </c>
      <c r="Q409" s="19">
        <f t="shared" si="86"/>
        <v>0</v>
      </c>
      <c r="R409" s="2" t="str">
        <f t="shared" si="87"/>
        <v>Number</v>
      </c>
      <c r="S409" s="2">
        <v>7.99</v>
      </c>
      <c r="T409" s="19">
        <f t="shared" si="88"/>
        <v>7.99</v>
      </c>
      <c r="U409" s="2" t="s">
        <v>1477</v>
      </c>
      <c r="V409" s="19">
        <f t="shared" si="89"/>
        <v>47.98</v>
      </c>
      <c r="W409" s="19">
        <f t="shared" si="90"/>
        <v>47.980000000000004</v>
      </c>
      <c r="X409" s="19" t="str">
        <f t="shared" si="91"/>
        <v>True</v>
      </c>
      <c r="Y409" s="19" t="str">
        <f>IF(OR(W409&lt;'Cleaning Tasks'!$G$18,W409&gt;'Cleaning Tasks'!$H$18),"Outlier","Normal")</f>
        <v>Normal</v>
      </c>
      <c r="Z409" s="2" t="s">
        <v>26</v>
      </c>
      <c r="AA409" s="2" t="s">
        <v>88</v>
      </c>
      <c r="AB409" s="2" t="s">
        <v>50</v>
      </c>
      <c r="AC409" s="2" t="s">
        <v>42</v>
      </c>
      <c r="AD409" s="2"/>
      <c r="AE409" s="2" t="str">
        <f t="shared" si="92"/>
        <v>Not Required</v>
      </c>
      <c r="AF409" s="2" t="s">
        <v>1478</v>
      </c>
    </row>
    <row r="410" spans="1:32" x14ac:dyDescent="0.3">
      <c r="A410" s="2" t="s">
        <v>1479</v>
      </c>
      <c r="B410" s="2">
        <f t="shared" si="82"/>
        <v>1</v>
      </c>
      <c r="C410" s="12">
        <f t="shared" si="81"/>
        <v>46238.58084386574</v>
      </c>
      <c r="D410" s="13">
        <v>46238.58084386574</v>
      </c>
      <c r="E410" s="2" t="s">
        <v>1439</v>
      </c>
      <c r="F410" s="2" t="str">
        <f t="shared" si="83"/>
        <v>Email Available</v>
      </c>
      <c r="G410" s="2" t="s">
        <v>1440</v>
      </c>
      <c r="H410" s="2" t="s">
        <v>236</v>
      </c>
      <c r="I410" s="2" t="s">
        <v>237</v>
      </c>
      <c r="J410" s="2" t="s">
        <v>238</v>
      </c>
      <c r="K410" s="2">
        <v>1</v>
      </c>
      <c r="L410" s="2">
        <v>27.99</v>
      </c>
      <c r="M410" s="19">
        <f t="shared" si="84"/>
        <v>27.99</v>
      </c>
      <c r="N410" s="2"/>
      <c r="O410" s="2" t="str">
        <f t="shared" si="85"/>
        <v/>
      </c>
      <c r="P410" s="2">
        <v>0</v>
      </c>
      <c r="Q410" s="19">
        <f t="shared" si="86"/>
        <v>0</v>
      </c>
      <c r="R410" s="2" t="str">
        <f t="shared" si="87"/>
        <v>Number</v>
      </c>
      <c r="S410" s="2">
        <v>5.99</v>
      </c>
      <c r="T410" s="19">
        <f t="shared" si="88"/>
        <v>5.99</v>
      </c>
      <c r="U410" s="2">
        <v>33.979999999999997</v>
      </c>
      <c r="V410" s="19">
        <f t="shared" si="89"/>
        <v>33.979999999999997</v>
      </c>
      <c r="W410" s="19">
        <f t="shared" si="90"/>
        <v>33.979999999999997</v>
      </c>
      <c r="X410" s="19" t="str">
        <f t="shared" si="91"/>
        <v>True</v>
      </c>
      <c r="Y410" s="19" t="str">
        <f>IF(OR(W410&lt;'Cleaning Tasks'!$G$18,W410&gt;'Cleaning Tasks'!$H$18),"Outlier","Normal")</f>
        <v>Normal</v>
      </c>
      <c r="Z410" s="2" t="s">
        <v>39</v>
      </c>
      <c r="AA410" s="2" t="s">
        <v>27</v>
      </c>
      <c r="AB410" s="2" t="s">
        <v>50</v>
      </c>
      <c r="AC410" s="2" t="s">
        <v>29</v>
      </c>
      <c r="AD410" s="2" t="s">
        <v>447</v>
      </c>
      <c r="AE410" s="2" t="str">
        <f t="shared" si="92"/>
        <v>Valid</v>
      </c>
      <c r="AF410" s="2" t="s">
        <v>1480</v>
      </c>
    </row>
    <row r="411" spans="1:32" x14ac:dyDescent="0.3">
      <c r="A411" s="2" t="s">
        <v>1481</v>
      </c>
      <c r="B411" s="2">
        <f t="shared" si="82"/>
        <v>1</v>
      </c>
      <c r="C411" s="12">
        <f t="shared" si="81"/>
        <v>46238.579906076389</v>
      </c>
      <c r="D411" s="13">
        <v>46238.579906076389</v>
      </c>
      <c r="E411" s="2" t="s">
        <v>1482</v>
      </c>
      <c r="F411" s="2" t="str">
        <f t="shared" si="83"/>
        <v>Email Available</v>
      </c>
      <c r="G411" s="2" t="s">
        <v>1483</v>
      </c>
      <c r="H411" s="2" t="s">
        <v>361</v>
      </c>
      <c r="I411" s="2" t="s">
        <v>86</v>
      </c>
      <c r="J411" s="2" t="s">
        <v>362</v>
      </c>
      <c r="K411" s="2">
        <v>3</v>
      </c>
      <c r="L411" s="2">
        <v>54.99</v>
      </c>
      <c r="M411" s="19">
        <f t="shared" si="84"/>
        <v>54.99</v>
      </c>
      <c r="N411" s="2" t="s">
        <v>24</v>
      </c>
      <c r="O411" s="2" t="str">
        <f t="shared" si="85"/>
        <v>SAVE20</v>
      </c>
      <c r="P411" s="2">
        <v>32.99</v>
      </c>
      <c r="Q411" s="19">
        <f t="shared" si="86"/>
        <v>32.99</v>
      </c>
      <c r="R411" s="2" t="str">
        <f t="shared" si="87"/>
        <v>Number</v>
      </c>
      <c r="S411" s="2">
        <v>0</v>
      </c>
      <c r="T411" s="19">
        <f t="shared" si="88"/>
        <v>0</v>
      </c>
      <c r="U411" s="2">
        <v>131.97999999999999</v>
      </c>
      <c r="V411" s="19">
        <f t="shared" si="89"/>
        <v>131.97999999999999</v>
      </c>
      <c r="W411" s="19">
        <f t="shared" si="90"/>
        <v>131.97999999999999</v>
      </c>
      <c r="X411" s="19" t="str">
        <f t="shared" si="91"/>
        <v>True</v>
      </c>
      <c r="Y411" s="19" t="str">
        <f>IF(OR(W411&lt;'Cleaning Tasks'!$G$18,W411&gt;'Cleaning Tasks'!$H$18),"Outlier","Normal")</f>
        <v>Outlier</v>
      </c>
      <c r="Z411" s="2" t="s">
        <v>26</v>
      </c>
      <c r="AA411" s="2" t="s">
        <v>27</v>
      </c>
      <c r="AB411" s="2" t="s">
        <v>50</v>
      </c>
      <c r="AC411" s="2" t="s">
        <v>29</v>
      </c>
      <c r="AD411" s="22" t="s">
        <v>67</v>
      </c>
      <c r="AE411" s="2" t="str">
        <f t="shared" si="92"/>
        <v>Valid</v>
      </c>
      <c r="AF411" s="2" t="s">
        <v>1484</v>
      </c>
    </row>
    <row r="412" spans="1:32" x14ac:dyDescent="0.3">
      <c r="A412" s="2" t="s">
        <v>1485</v>
      </c>
      <c r="B412" s="2">
        <f t="shared" si="82"/>
        <v>1</v>
      </c>
      <c r="C412" s="12">
        <f t="shared" si="81"/>
        <v>46238.587945567131</v>
      </c>
      <c r="D412" s="13">
        <v>46238.587945567131</v>
      </c>
      <c r="E412" s="2" t="s">
        <v>1486</v>
      </c>
      <c r="F412" s="2" t="str">
        <f t="shared" si="83"/>
        <v>Email Available</v>
      </c>
      <c r="G412" s="2" t="s">
        <v>1487</v>
      </c>
      <c r="H412" s="2" t="s">
        <v>109</v>
      </c>
      <c r="I412" s="2" t="s">
        <v>79</v>
      </c>
      <c r="J412" s="2" t="s">
        <v>110</v>
      </c>
      <c r="K412" s="2">
        <v>2</v>
      </c>
      <c r="L412" s="2">
        <v>22.99</v>
      </c>
      <c r="M412" s="19">
        <f t="shared" si="84"/>
        <v>22.99</v>
      </c>
      <c r="N412" s="2"/>
      <c r="O412" s="2" t="str">
        <f t="shared" si="85"/>
        <v/>
      </c>
      <c r="P412" s="2">
        <v>0</v>
      </c>
      <c r="Q412" s="19">
        <f t="shared" si="86"/>
        <v>0</v>
      </c>
      <c r="R412" s="2" t="str">
        <f t="shared" si="87"/>
        <v>Number</v>
      </c>
      <c r="S412" s="2">
        <v>4.99</v>
      </c>
      <c r="T412" s="19">
        <f t="shared" si="88"/>
        <v>4.99</v>
      </c>
      <c r="U412" s="2">
        <v>50.97</v>
      </c>
      <c r="V412" s="19">
        <f t="shared" si="89"/>
        <v>50.97</v>
      </c>
      <c r="W412" s="19">
        <f t="shared" si="90"/>
        <v>50.97</v>
      </c>
      <c r="X412" s="19" t="str">
        <f t="shared" si="91"/>
        <v>True</v>
      </c>
      <c r="Y412" s="19" t="str">
        <f>IF(OR(W412&lt;'Cleaning Tasks'!$G$18,W412&gt;'Cleaning Tasks'!$H$18),"Outlier","Normal")</f>
        <v>Normal</v>
      </c>
      <c r="Z412" s="2" t="s">
        <v>72</v>
      </c>
      <c r="AA412" s="2" t="s">
        <v>111</v>
      </c>
      <c r="AB412" s="2" t="s">
        <v>50</v>
      </c>
      <c r="AC412" s="2" t="s">
        <v>42</v>
      </c>
      <c r="AD412" s="2"/>
      <c r="AE412" s="2" t="str">
        <f t="shared" si="92"/>
        <v>Not Required</v>
      </c>
      <c r="AF412" s="2" t="s">
        <v>1488</v>
      </c>
    </row>
    <row r="413" spans="1:32" x14ac:dyDescent="0.3">
      <c r="A413" s="2" t="s">
        <v>1489</v>
      </c>
      <c r="B413" s="2">
        <f t="shared" si="82"/>
        <v>1</v>
      </c>
      <c r="C413" s="12">
        <f t="shared" si="81"/>
        <v>46238</v>
      </c>
      <c r="D413" s="13">
        <v>46238</v>
      </c>
      <c r="E413" s="2" t="s">
        <v>1490</v>
      </c>
      <c r="F413" s="2" t="str">
        <f t="shared" si="83"/>
        <v>Missing Email</v>
      </c>
      <c r="G413" s="2"/>
      <c r="H413" s="2" t="s">
        <v>236</v>
      </c>
      <c r="I413" s="2" t="s">
        <v>237</v>
      </c>
      <c r="J413" s="2" t="s">
        <v>238</v>
      </c>
      <c r="K413" s="2">
        <v>1</v>
      </c>
      <c r="L413" s="2">
        <v>27.99</v>
      </c>
      <c r="M413" s="19">
        <f t="shared" si="84"/>
        <v>27.99</v>
      </c>
      <c r="N413" s="2" t="s">
        <v>374</v>
      </c>
      <c r="O413" s="2" t="str">
        <f t="shared" si="85"/>
        <v>FREESHIP</v>
      </c>
      <c r="P413" s="2">
        <v>0</v>
      </c>
      <c r="Q413" s="19">
        <f t="shared" si="86"/>
        <v>0</v>
      </c>
      <c r="R413" s="2" t="str">
        <f t="shared" si="87"/>
        <v>Number</v>
      </c>
      <c r="S413" s="2">
        <v>0</v>
      </c>
      <c r="T413" s="19">
        <f t="shared" si="88"/>
        <v>0</v>
      </c>
      <c r="U413" s="2">
        <v>27.99</v>
      </c>
      <c r="V413" s="19">
        <f t="shared" si="89"/>
        <v>27.99</v>
      </c>
      <c r="W413" s="19">
        <f t="shared" si="90"/>
        <v>27.99</v>
      </c>
      <c r="X413" s="19" t="str">
        <f t="shared" si="91"/>
        <v>True</v>
      </c>
      <c r="Y413" s="19" t="str">
        <f>IF(OR(W413&lt;'Cleaning Tasks'!$G$18,W413&gt;'Cleaning Tasks'!$H$18),"Outlier","Normal")</f>
        <v>Normal</v>
      </c>
      <c r="Z413" s="2" t="s">
        <v>49</v>
      </c>
      <c r="AA413" s="2" t="s">
        <v>40</v>
      </c>
      <c r="AB413" s="2" t="s">
        <v>96</v>
      </c>
      <c r="AC413" s="2" t="s">
        <v>223</v>
      </c>
      <c r="AD413" s="2"/>
      <c r="AE413" s="2" t="str">
        <f t="shared" si="92"/>
        <v>Not Required</v>
      </c>
      <c r="AF413" s="2" t="s">
        <v>1491</v>
      </c>
    </row>
    <row r="414" spans="1:32" x14ac:dyDescent="0.3">
      <c r="A414" s="2" t="s">
        <v>1492</v>
      </c>
      <c r="B414" s="2">
        <f t="shared" si="82"/>
        <v>1</v>
      </c>
      <c r="C414" s="12">
        <f t="shared" si="81"/>
        <v>46238.588293553243</v>
      </c>
      <c r="D414" s="13">
        <v>46238.588293553243</v>
      </c>
      <c r="E414" s="2" t="s">
        <v>993</v>
      </c>
      <c r="F414" s="2" t="str">
        <f t="shared" si="83"/>
        <v>Email Available</v>
      </c>
      <c r="G414" s="2" t="s">
        <v>994</v>
      </c>
      <c r="H414" s="2" t="s">
        <v>46</v>
      </c>
      <c r="I414" s="2" t="s">
        <v>47</v>
      </c>
      <c r="J414" s="2" t="s">
        <v>48</v>
      </c>
      <c r="K414" s="2">
        <v>1</v>
      </c>
      <c r="L414" s="2" t="s">
        <v>1493</v>
      </c>
      <c r="M414" s="19">
        <f t="shared" si="84"/>
        <v>39.99</v>
      </c>
      <c r="N414" s="2"/>
      <c r="O414" s="2" t="str">
        <f t="shared" si="85"/>
        <v/>
      </c>
      <c r="P414" s="2">
        <v>0</v>
      </c>
      <c r="Q414" s="19">
        <f t="shared" si="86"/>
        <v>0</v>
      </c>
      <c r="R414" s="2" t="str">
        <f t="shared" si="87"/>
        <v>Number</v>
      </c>
      <c r="S414" s="2">
        <v>7.99</v>
      </c>
      <c r="T414" s="19">
        <f t="shared" si="88"/>
        <v>7.99</v>
      </c>
      <c r="U414" s="2" t="s">
        <v>1477</v>
      </c>
      <c r="V414" s="19">
        <f t="shared" si="89"/>
        <v>47.98</v>
      </c>
      <c r="W414" s="19">
        <f t="shared" si="90"/>
        <v>47.980000000000004</v>
      </c>
      <c r="X414" s="19" t="str">
        <f t="shared" si="91"/>
        <v>True</v>
      </c>
      <c r="Y414" s="19" t="str">
        <f>IF(OR(W414&lt;'Cleaning Tasks'!$G$18,W414&gt;'Cleaning Tasks'!$H$18),"Outlier","Normal")</f>
        <v>Normal</v>
      </c>
      <c r="Z414" s="2" t="s">
        <v>72</v>
      </c>
      <c r="AA414" s="2" t="s">
        <v>27</v>
      </c>
      <c r="AB414" s="2" t="s">
        <v>41</v>
      </c>
      <c r="AC414" s="2" t="s">
        <v>42</v>
      </c>
      <c r="AD414" s="2"/>
      <c r="AE414" s="2" t="str">
        <f t="shared" si="92"/>
        <v>Not Required</v>
      </c>
      <c r="AF414" s="2" t="s">
        <v>1494</v>
      </c>
    </row>
    <row r="415" spans="1:32" x14ac:dyDescent="0.3">
      <c r="A415" s="2" t="s">
        <v>1495</v>
      </c>
      <c r="B415" s="2">
        <f t="shared" si="82"/>
        <v>1</v>
      </c>
      <c r="C415" s="12">
        <f t="shared" si="81"/>
        <v>46238</v>
      </c>
      <c r="D415" s="13">
        <v>46238</v>
      </c>
      <c r="E415" s="2" t="s">
        <v>213</v>
      </c>
      <c r="F415" s="2" t="str">
        <f t="shared" si="83"/>
        <v>Email Available</v>
      </c>
      <c r="G415" s="2" t="s">
        <v>214</v>
      </c>
      <c r="H415" s="2" t="s">
        <v>361</v>
      </c>
      <c r="I415" s="2" t="s">
        <v>86</v>
      </c>
      <c r="J415" s="2" t="s">
        <v>362</v>
      </c>
      <c r="K415" s="2">
        <v>1</v>
      </c>
      <c r="L415" s="2">
        <v>54.99</v>
      </c>
      <c r="M415" s="19">
        <f t="shared" si="84"/>
        <v>54.99</v>
      </c>
      <c r="N415" s="2" t="s">
        <v>24</v>
      </c>
      <c r="O415" s="2" t="str">
        <f t="shared" si="85"/>
        <v>SAVE20</v>
      </c>
      <c r="P415" s="2">
        <v>11</v>
      </c>
      <c r="Q415" s="19">
        <f t="shared" si="86"/>
        <v>11</v>
      </c>
      <c r="R415" s="2" t="str">
        <f t="shared" si="87"/>
        <v>Number</v>
      </c>
      <c r="S415" s="2">
        <v>5.99</v>
      </c>
      <c r="T415" s="19">
        <f t="shared" si="88"/>
        <v>5.99</v>
      </c>
      <c r="U415" s="2">
        <v>49.98</v>
      </c>
      <c r="V415" s="19">
        <f t="shared" si="89"/>
        <v>49.98</v>
      </c>
      <c r="W415" s="19">
        <f t="shared" si="90"/>
        <v>49.980000000000004</v>
      </c>
      <c r="X415" s="19" t="str">
        <f t="shared" si="91"/>
        <v>True</v>
      </c>
      <c r="Y415" s="19" t="str">
        <f>IF(OR(W415&lt;'Cleaning Tasks'!$G$18,W415&gt;'Cleaning Tasks'!$H$18),"Outlier","Normal")</f>
        <v>Normal</v>
      </c>
      <c r="Z415" s="2" t="s">
        <v>49</v>
      </c>
      <c r="AA415" s="2" t="s">
        <v>27</v>
      </c>
      <c r="AB415" s="2" t="s">
        <v>50</v>
      </c>
      <c r="AC415" s="2" t="s">
        <v>29</v>
      </c>
      <c r="AD415" s="2" t="s">
        <v>51</v>
      </c>
      <c r="AE415" s="2" t="str">
        <f t="shared" si="92"/>
        <v>Valid</v>
      </c>
      <c r="AF415" s="2" t="s">
        <v>1496</v>
      </c>
    </row>
    <row r="416" spans="1:32" x14ac:dyDescent="0.3">
      <c r="A416" s="2" t="s">
        <v>1497</v>
      </c>
      <c r="B416" s="2">
        <f t="shared" si="82"/>
        <v>1</v>
      </c>
      <c r="C416" s="12">
        <f>DATE(VALUE(RIGHT(D416,4)),MATCH(LEFT(D416,3),{"Jan","Feb","Mar","Apr","May","Jun","Jul","Aug","Sep","Oct","Nov","Dec"},0),VALUE(MID(D416,5,2)))</f>
        <v>46238</v>
      </c>
      <c r="D416" s="13" t="s">
        <v>171</v>
      </c>
      <c r="E416" s="2" t="s">
        <v>329</v>
      </c>
      <c r="F416" s="2" t="str">
        <f t="shared" si="83"/>
        <v>Email Available</v>
      </c>
      <c r="G416" s="2" t="s">
        <v>330</v>
      </c>
      <c r="H416" s="2" t="s">
        <v>46</v>
      </c>
      <c r="I416" s="2" t="s">
        <v>47</v>
      </c>
      <c r="J416" s="2" t="s">
        <v>48</v>
      </c>
      <c r="K416" s="2">
        <v>1</v>
      </c>
      <c r="L416" s="2">
        <v>39.99</v>
      </c>
      <c r="M416" s="19">
        <f t="shared" si="84"/>
        <v>39.99</v>
      </c>
      <c r="N416" s="2" t="s">
        <v>24</v>
      </c>
      <c r="O416" s="2" t="str">
        <f t="shared" si="85"/>
        <v>SAVE20</v>
      </c>
      <c r="P416" s="2">
        <v>8</v>
      </c>
      <c r="Q416" s="19">
        <f t="shared" si="86"/>
        <v>8</v>
      </c>
      <c r="R416" s="2" t="str">
        <f t="shared" si="87"/>
        <v>Number</v>
      </c>
      <c r="S416" s="2">
        <v>4.99</v>
      </c>
      <c r="T416" s="19">
        <f t="shared" si="88"/>
        <v>4.99</v>
      </c>
      <c r="U416" s="2">
        <v>36.979999999999997</v>
      </c>
      <c r="V416" s="19">
        <f t="shared" si="89"/>
        <v>36.979999999999997</v>
      </c>
      <c r="W416" s="19">
        <f t="shared" si="90"/>
        <v>36.980000000000004</v>
      </c>
      <c r="X416" s="19" t="str">
        <f t="shared" si="91"/>
        <v>True</v>
      </c>
      <c r="Y416" s="19" t="str">
        <f>IF(OR(W416&lt;'Cleaning Tasks'!$G$18,W416&gt;'Cleaning Tasks'!$H$18),"Outlier","Normal")</f>
        <v>Normal</v>
      </c>
      <c r="Z416" s="2" t="s">
        <v>26</v>
      </c>
      <c r="AA416" s="2" t="s">
        <v>40</v>
      </c>
      <c r="AB416" s="2" t="s">
        <v>41</v>
      </c>
      <c r="AC416" s="2" t="s">
        <v>331</v>
      </c>
      <c r="AD416" s="2"/>
      <c r="AE416" s="2" t="str">
        <f t="shared" si="92"/>
        <v>Not Required</v>
      </c>
      <c r="AF416" s="2" t="s">
        <v>1498</v>
      </c>
    </row>
    <row r="417" spans="1:32" x14ac:dyDescent="0.3">
      <c r="A417" s="2" t="s">
        <v>1499</v>
      </c>
      <c r="B417" s="2">
        <f t="shared" si="82"/>
        <v>1</v>
      </c>
      <c r="C417" s="12">
        <f>IF(ISNUMBER(D417),D417,DATEVALUE(SUBSTITUTE(TRIM(D417),CHAR(160)," ")))</f>
        <v>46238.580997569443</v>
      </c>
      <c r="D417" s="13">
        <v>46238.580997569443</v>
      </c>
      <c r="E417" s="2" t="s">
        <v>1500</v>
      </c>
      <c r="F417" s="2" t="str">
        <f t="shared" si="83"/>
        <v>Email Available</v>
      </c>
      <c r="G417" s="2" t="s">
        <v>1501</v>
      </c>
      <c r="H417" s="2" t="s">
        <v>361</v>
      </c>
      <c r="I417" s="2" t="s">
        <v>86</v>
      </c>
      <c r="J417" s="2" t="s">
        <v>362</v>
      </c>
      <c r="K417" s="2">
        <v>1</v>
      </c>
      <c r="L417" s="2">
        <v>54.99</v>
      </c>
      <c r="M417" s="19">
        <f t="shared" si="84"/>
        <v>54.99</v>
      </c>
      <c r="N417" s="2" t="s">
        <v>38</v>
      </c>
      <c r="O417" s="2" t="str">
        <f t="shared" si="85"/>
        <v>FREESHIP</v>
      </c>
      <c r="P417" s="2">
        <v>0</v>
      </c>
      <c r="Q417" s="19">
        <f t="shared" si="86"/>
        <v>0</v>
      </c>
      <c r="R417" s="2" t="str">
        <f t="shared" si="87"/>
        <v>Number</v>
      </c>
      <c r="S417" s="2">
        <v>0</v>
      </c>
      <c r="T417" s="19">
        <f t="shared" si="88"/>
        <v>0</v>
      </c>
      <c r="U417" s="2">
        <v>54.99</v>
      </c>
      <c r="V417" s="19">
        <f t="shared" si="89"/>
        <v>54.99</v>
      </c>
      <c r="W417" s="19">
        <f t="shared" si="90"/>
        <v>54.99</v>
      </c>
      <c r="X417" s="19" t="str">
        <f t="shared" si="91"/>
        <v>True</v>
      </c>
      <c r="Y417" s="19" t="str">
        <f>IF(OR(W417&lt;'Cleaning Tasks'!$G$18,W417&gt;'Cleaning Tasks'!$H$18),"Outlier","Normal")</f>
        <v>Normal</v>
      </c>
      <c r="Z417" s="2" t="s">
        <v>49</v>
      </c>
      <c r="AA417" s="2" t="s">
        <v>27</v>
      </c>
      <c r="AB417" s="2" t="s">
        <v>28</v>
      </c>
      <c r="AC417" s="2" t="s">
        <v>29</v>
      </c>
      <c r="AD417" s="22" t="s">
        <v>243</v>
      </c>
      <c r="AE417" s="2" t="str">
        <f t="shared" si="92"/>
        <v>Valid</v>
      </c>
      <c r="AF417" s="2" t="s">
        <v>1502</v>
      </c>
    </row>
    <row r="418" spans="1:32" x14ac:dyDescent="0.3">
      <c r="A418" s="2" t="s">
        <v>1503</v>
      </c>
      <c r="B418" s="2">
        <f t="shared" si="82"/>
        <v>1</v>
      </c>
      <c r="C418" s="12">
        <f>IF(ISNUMBER(D418),D418,DATEVALUE(SUBSTITUTE(TRIM(D418),CHAR(160)," ")))</f>
        <v>46238.585868310183</v>
      </c>
      <c r="D418" s="13">
        <v>46238.585868310183</v>
      </c>
      <c r="E418" s="2" t="s">
        <v>1075</v>
      </c>
      <c r="F418" s="2" t="str">
        <f t="shared" si="83"/>
        <v>Email Available</v>
      </c>
      <c r="G418" s="2" t="s">
        <v>587</v>
      </c>
      <c r="H418" s="2" t="s">
        <v>35</v>
      </c>
      <c r="I418" s="2" t="s">
        <v>36</v>
      </c>
      <c r="J418" s="2" t="s">
        <v>37</v>
      </c>
      <c r="K418" s="2">
        <v>1</v>
      </c>
      <c r="L418" s="2">
        <v>21.99</v>
      </c>
      <c r="M418" s="19">
        <f t="shared" si="84"/>
        <v>21.99</v>
      </c>
      <c r="N418" s="2" t="s">
        <v>118</v>
      </c>
      <c r="O418" s="2" t="str">
        <f t="shared" si="85"/>
        <v>BFCM25</v>
      </c>
      <c r="P418" s="2" t="s">
        <v>1504</v>
      </c>
      <c r="Q418" s="19">
        <f t="shared" si="86"/>
        <v>5.5</v>
      </c>
      <c r="R418" s="2" t="str">
        <f t="shared" si="87"/>
        <v>Number</v>
      </c>
      <c r="S418" s="2">
        <v>7.99</v>
      </c>
      <c r="T418" s="19">
        <f t="shared" si="88"/>
        <v>7.99</v>
      </c>
      <c r="U418" s="2">
        <v>24.48</v>
      </c>
      <c r="V418" s="19">
        <f t="shared" si="89"/>
        <v>24.48</v>
      </c>
      <c r="W418" s="19">
        <f t="shared" si="90"/>
        <v>24.479999999999997</v>
      </c>
      <c r="X418" s="19" t="str">
        <f t="shared" si="91"/>
        <v>True</v>
      </c>
      <c r="Y418" s="19" t="str">
        <f>IF(OR(W418&lt;'Cleaning Tasks'!$G$18,W418&gt;'Cleaning Tasks'!$H$18),"Outlier","Normal")</f>
        <v>Normal</v>
      </c>
      <c r="Z418" s="2" t="s">
        <v>72</v>
      </c>
      <c r="AA418" s="2" t="s">
        <v>88</v>
      </c>
      <c r="AB418" s="2" t="s">
        <v>50</v>
      </c>
      <c r="AC418" s="2" t="s">
        <v>29</v>
      </c>
      <c r="AD418" s="2" t="s">
        <v>30</v>
      </c>
      <c r="AE418" s="2" t="str">
        <f t="shared" si="92"/>
        <v>Valid</v>
      </c>
      <c r="AF418" s="2" t="s">
        <v>772</v>
      </c>
    </row>
    <row r="419" spans="1:32" x14ac:dyDescent="0.3">
      <c r="A419" s="2" t="s">
        <v>1505</v>
      </c>
      <c r="B419" s="2">
        <f t="shared" si="82"/>
        <v>1</v>
      </c>
      <c r="C419" s="12">
        <f>IF(ISNUMBER(D419),D419,DATEVALUE(SUBSTITUTE(TRIM(D419),CHAR(160)," ")))</f>
        <v>46238.586493356481</v>
      </c>
      <c r="D419" s="13">
        <v>46238.586493356481</v>
      </c>
      <c r="E419" s="2" t="s">
        <v>1506</v>
      </c>
      <c r="F419" s="2" t="str">
        <f t="shared" si="83"/>
        <v>Email Available</v>
      </c>
      <c r="G419" s="2" t="s">
        <v>1507</v>
      </c>
      <c r="H419" s="2" t="s">
        <v>309</v>
      </c>
      <c r="I419" s="2" t="s">
        <v>36</v>
      </c>
      <c r="J419" s="2" t="s">
        <v>310</v>
      </c>
      <c r="K419" s="2">
        <v>1</v>
      </c>
      <c r="L419" s="2">
        <v>8.99</v>
      </c>
      <c r="M419" s="19">
        <f t="shared" si="84"/>
        <v>8.99</v>
      </c>
      <c r="N419" s="2" t="s">
        <v>24</v>
      </c>
      <c r="O419" s="2" t="str">
        <f t="shared" si="85"/>
        <v>SAVE20</v>
      </c>
      <c r="P419" s="2">
        <v>1.8</v>
      </c>
      <c r="Q419" s="19">
        <f t="shared" si="86"/>
        <v>1.8</v>
      </c>
      <c r="R419" s="2" t="str">
        <f t="shared" si="87"/>
        <v>Number</v>
      </c>
      <c r="S419" s="2">
        <v>4.99</v>
      </c>
      <c r="T419" s="19">
        <f t="shared" si="88"/>
        <v>4.99</v>
      </c>
      <c r="U419" s="2">
        <v>12.18</v>
      </c>
      <c r="V419" s="19">
        <f t="shared" si="89"/>
        <v>12.18</v>
      </c>
      <c r="W419" s="19">
        <f t="shared" si="90"/>
        <v>12.18</v>
      </c>
      <c r="X419" s="19" t="str">
        <f t="shared" si="91"/>
        <v>True</v>
      </c>
      <c r="Y419" s="19" t="str">
        <f>IF(OR(W419&lt;'Cleaning Tasks'!$G$18,W419&gt;'Cleaning Tasks'!$H$18),"Outlier","Normal")</f>
        <v>Normal</v>
      </c>
      <c r="Z419" s="2" t="s">
        <v>72</v>
      </c>
      <c r="AA419" s="2" t="s">
        <v>27</v>
      </c>
      <c r="AB419" s="2" t="s">
        <v>96</v>
      </c>
      <c r="AC419" s="2" t="s">
        <v>105</v>
      </c>
      <c r="AD419" s="2"/>
      <c r="AE419" s="2" t="str">
        <f t="shared" si="92"/>
        <v>Not Required</v>
      </c>
      <c r="AF419" s="2" t="s">
        <v>1508</v>
      </c>
    </row>
    <row r="420" spans="1:32" x14ac:dyDescent="0.3">
      <c r="A420" s="2" t="s">
        <v>1509</v>
      </c>
      <c r="B420" s="2">
        <f t="shared" si="82"/>
        <v>1</v>
      </c>
      <c r="C420" s="12">
        <f>IF(ISNUMBER(D420),D420,DATEVALUE(SUBSTITUTE(TRIM(D420),CHAR(160)," ")))</f>
        <v>46238</v>
      </c>
      <c r="D420" s="13">
        <v>46238</v>
      </c>
      <c r="E420" s="2" t="s">
        <v>1510</v>
      </c>
      <c r="F420" s="2" t="str">
        <f t="shared" si="83"/>
        <v>Email Available</v>
      </c>
      <c r="G420" s="2" t="s">
        <v>1511</v>
      </c>
      <c r="H420" s="2" t="s">
        <v>236</v>
      </c>
      <c r="I420" s="2" t="s">
        <v>237</v>
      </c>
      <c r="J420" s="2" t="s">
        <v>238</v>
      </c>
      <c r="K420" s="2">
        <v>1</v>
      </c>
      <c r="L420" s="2" t="s">
        <v>1512</v>
      </c>
      <c r="M420" s="19">
        <f t="shared" si="84"/>
        <v>27.99</v>
      </c>
      <c r="N420" s="2"/>
      <c r="O420" s="2" t="str">
        <f t="shared" si="85"/>
        <v/>
      </c>
      <c r="P420" s="2">
        <v>0</v>
      </c>
      <c r="Q420" s="19">
        <f t="shared" si="86"/>
        <v>0</v>
      </c>
      <c r="R420" s="2" t="str">
        <f t="shared" si="87"/>
        <v>Number</v>
      </c>
      <c r="S420" s="2">
        <v>4.99</v>
      </c>
      <c r="T420" s="19">
        <f t="shared" si="88"/>
        <v>4.99</v>
      </c>
      <c r="U420" s="2">
        <v>32.979999999999997</v>
      </c>
      <c r="V420" s="19">
        <f t="shared" si="89"/>
        <v>32.979999999999997</v>
      </c>
      <c r="W420" s="19">
        <f t="shared" si="90"/>
        <v>32.979999999999997</v>
      </c>
      <c r="X420" s="19" t="str">
        <f t="shared" si="91"/>
        <v>True</v>
      </c>
      <c r="Y420" s="19" t="str">
        <f>IF(OR(W420&lt;'Cleaning Tasks'!$G$18,W420&gt;'Cleaning Tasks'!$H$18),"Outlier","Normal")</f>
        <v>Normal</v>
      </c>
      <c r="Z420" s="2" t="s">
        <v>66</v>
      </c>
      <c r="AA420" s="2" t="s">
        <v>27</v>
      </c>
      <c r="AB420" s="2" t="s">
        <v>50</v>
      </c>
      <c r="AC420" s="2" t="s">
        <v>42</v>
      </c>
      <c r="AD420" s="2"/>
      <c r="AE420" s="2" t="str">
        <f t="shared" si="92"/>
        <v>Not Required</v>
      </c>
      <c r="AF420" s="2" t="s">
        <v>1513</v>
      </c>
    </row>
    <row r="421" spans="1:32" x14ac:dyDescent="0.3">
      <c r="A421" s="2" t="s">
        <v>1514</v>
      </c>
      <c r="B421" s="2">
        <f t="shared" si="82"/>
        <v>1</v>
      </c>
      <c r="C421" s="12">
        <f>DATE(VALUE(RIGHT(D421,4)),MATCH(LEFT(D421,3),{"Jan","Feb","Mar","Apr","May","Jun","Jul","Aug","Sep","Oct","Nov","Dec"},0),VALUE(MID(D421,5,2)))</f>
        <v>46238</v>
      </c>
      <c r="D421" s="13" t="s">
        <v>171</v>
      </c>
      <c r="E421" s="2" t="s">
        <v>1515</v>
      </c>
      <c r="F421" s="2" t="str">
        <f t="shared" si="83"/>
        <v>Email Available</v>
      </c>
      <c r="G421" s="2" t="s">
        <v>1516</v>
      </c>
      <c r="H421" s="2" t="s">
        <v>56</v>
      </c>
      <c r="I421" s="2" t="s">
        <v>22</v>
      </c>
      <c r="J421" s="2" t="s">
        <v>57</v>
      </c>
      <c r="K421" s="2">
        <v>1</v>
      </c>
      <c r="L421" s="2">
        <v>9.99</v>
      </c>
      <c r="M421" s="19">
        <f t="shared" si="84"/>
        <v>9.99</v>
      </c>
      <c r="N421" s="2"/>
      <c r="O421" s="2" t="str">
        <f t="shared" si="85"/>
        <v/>
      </c>
      <c r="P421" s="2">
        <v>0</v>
      </c>
      <c r="Q421" s="19">
        <f t="shared" si="86"/>
        <v>0</v>
      </c>
      <c r="R421" s="2" t="str">
        <f t="shared" si="87"/>
        <v>Number</v>
      </c>
      <c r="S421" s="2">
        <v>5.99</v>
      </c>
      <c r="T421" s="19">
        <f t="shared" si="88"/>
        <v>5.99</v>
      </c>
      <c r="U421" s="2">
        <v>15.98</v>
      </c>
      <c r="V421" s="19">
        <f t="shared" si="89"/>
        <v>15.98</v>
      </c>
      <c r="W421" s="19">
        <f t="shared" si="90"/>
        <v>15.98</v>
      </c>
      <c r="X421" s="19" t="str">
        <f t="shared" si="91"/>
        <v>True</v>
      </c>
      <c r="Y421" s="19" t="str">
        <f>IF(OR(W421&lt;'Cleaning Tasks'!$G$18,W421&gt;'Cleaning Tasks'!$H$18),"Outlier","Normal")</f>
        <v>Normal</v>
      </c>
      <c r="Z421" s="2" t="s">
        <v>39</v>
      </c>
      <c r="AA421" s="2" t="s">
        <v>111</v>
      </c>
      <c r="AB421" s="2" t="s">
        <v>96</v>
      </c>
      <c r="AC421" s="2" t="s">
        <v>73</v>
      </c>
      <c r="AD421" s="2"/>
      <c r="AE421" s="2" t="str">
        <f t="shared" si="92"/>
        <v>Not Required</v>
      </c>
      <c r="AF421" s="2" t="s">
        <v>1517</v>
      </c>
    </row>
    <row r="422" spans="1:32" x14ac:dyDescent="0.3">
      <c r="A422" s="2" t="s">
        <v>1518</v>
      </c>
      <c r="B422" s="2">
        <f t="shared" si="82"/>
        <v>1</v>
      </c>
      <c r="C422" s="12">
        <f t="shared" ref="C422:C453" si="93">IF(ISNUMBER(D422),D422,DATEVALUE(SUBSTITUTE(TRIM(D422),CHAR(160)," ")))</f>
        <v>46238.587920787038</v>
      </c>
      <c r="D422" s="13">
        <v>46238.587920787038</v>
      </c>
      <c r="E422" s="2" t="s">
        <v>698</v>
      </c>
      <c r="F422" s="2" t="str">
        <f t="shared" si="83"/>
        <v>Email Available</v>
      </c>
      <c r="G422" s="2" t="s">
        <v>699</v>
      </c>
      <c r="H422" s="2" t="s">
        <v>63</v>
      </c>
      <c r="I422" s="2" t="s">
        <v>47</v>
      </c>
      <c r="J422" s="2" t="s">
        <v>446</v>
      </c>
      <c r="K422" s="2">
        <v>1</v>
      </c>
      <c r="L422" s="2">
        <v>14.99</v>
      </c>
      <c r="M422" s="19">
        <f t="shared" si="84"/>
        <v>14.99</v>
      </c>
      <c r="N422" s="2"/>
      <c r="O422" s="2" t="str">
        <f t="shared" si="85"/>
        <v/>
      </c>
      <c r="P422" s="2">
        <v>0</v>
      </c>
      <c r="Q422" s="19">
        <f t="shared" si="86"/>
        <v>0</v>
      </c>
      <c r="R422" s="2" t="str">
        <f t="shared" si="87"/>
        <v>Number</v>
      </c>
      <c r="S422" s="2">
        <v>4.99</v>
      </c>
      <c r="T422" s="19">
        <f t="shared" si="88"/>
        <v>4.99</v>
      </c>
      <c r="U422" s="2">
        <v>19.98</v>
      </c>
      <c r="V422" s="19">
        <f t="shared" si="89"/>
        <v>19.98</v>
      </c>
      <c r="W422" s="19">
        <f t="shared" si="90"/>
        <v>19.98</v>
      </c>
      <c r="X422" s="19" t="str">
        <f t="shared" si="91"/>
        <v>True</v>
      </c>
      <c r="Y422" s="19" t="str">
        <f>IF(OR(W422&lt;'Cleaning Tasks'!$G$18,W422&gt;'Cleaning Tasks'!$H$18),"Outlier","Normal")</f>
        <v>Normal</v>
      </c>
      <c r="Z422" s="2" t="s">
        <v>72</v>
      </c>
      <c r="AA422" s="2" t="s">
        <v>27</v>
      </c>
      <c r="AB422" s="2" t="s">
        <v>50</v>
      </c>
      <c r="AC422" s="2" t="s">
        <v>29</v>
      </c>
      <c r="AD422" s="2" t="s">
        <v>67</v>
      </c>
      <c r="AE422" s="2" t="str">
        <f t="shared" si="92"/>
        <v>Valid</v>
      </c>
      <c r="AF422" s="2" t="s">
        <v>1519</v>
      </c>
    </row>
    <row r="423" spans="1:32" x14ac:dyDescent="0.3">
      <c r="A423" s="2" t="s">
        <v>1520</v>
      </c>
      <c r="B423" s="2">
        <f t="shared" si="82"/>
        <v>1</v>
      </c>
      <c r="C423" s="12">
        <f t="shared" si="93"/>
        <v>46238.580854409724</v>
      </c>
      <c r="D423" s="13">
        <v>46238.580854409724</v>
      </c>
      <c r="E423" s="2" t="s">
        <v>1099</v>
      </c>
      <c r="F423" s="2" t="str">
        <f t="shared" si="83"/>
        <v>Email Available</v>
      </c>
      <c r="G423" s="2" t="s">
        <v>1100</v>
      </c>
      <c r="H423" s="2" t="s">
        <v>124</v>
      </c>
      <c r="I423" s="2" t="s">
        <v>79</v>
      </c>
      <c r="J423" s="2" t="s">
        <v>125</v>
      </c>
      <c r="K423" s="2">
        <v>1</v>
      </c>
      <c r="L423" s="2">
        <v>13.99</v>
      </c>
      <c r="M423" s="19">
        <f t="shared" si="84"/>
        <v>13.99</v>
      </c>
      <c r="N423" s="2"/>
      <c r="O423" s="2" t="str">
        <f t="shared" si="85"/>
        <v/>
      </c>
      <c r="P423" s="2">
        <v>0</v>
      </c>
      <c r="Q423" s="19">
        <f t="shared" si="86"/>
        <v>0</v>
      </c>
      <c r="R423" s="2" t="str">
        <f t="shared" si="87"/>
        <v>Number</v>
      </c>
      <c r="S423" s="2">
        <v>4.99</v>
      </c>
      <c r="T423" s="19">
        <f t="shared" si="88"/>
        <v>4.99</v>
      </c>
      <c r="U423" s="2">
        <v>18.98</v>
      </c>
      <c r="V423" s="19">
        <f t="shared" si="89"/>
        <v>18.98</v>
      </c>
      <c r="W423" s="19">
        <f t="shared" si="90"/>
        <v>18.98</v>
      </c>
      <c r="X423" s="19" t="str">
        <f t="shared" si="91"/>
        <v>True</v>
      </c>
      <c r="Y423" s="19" t="str">
        <f>IF(OR(W423&lt;'Cleaning Tasks'!$G$18,W423&gt;'Cleaning Tasks'!$H$18),"Outlier","Normal")</f>
        <v>Normal</v>
      </c>
      <c r="Z423" s="2" t="s">
        <v>66</v>
      </c>
      <c r="AA423" s="2" t="s">
        <v>27</v>
      </c>
      <c r="AB423" s="2" t="s">
        <v>96</v>
      </c>
      <c r="AC423" s="2" t="s">
        <v>29</v>
      </c>
      <c r="AD423" s="2" t="s">
        <v>447</v>
      </c>
      <c r="AE423" s="2" t="str">
        <f t="shared" si="92"/>
        <v>Valid</v>
      </c>
      <c r="AF423" s="2" t="s">
        <v>1521</v>
      </c>
    </row>
    <row r="424" spans="1:32" x14ac:dyDescent="0.3">
      <c r="A424" s="2" t="s">
        <v>1522</v>
      </c>
      <c r="B424" s="2">
        <f t="shared" si="82"/>
        <v>1</v>
      </c>
      <c r="C424" s="12">
        <f t="shared" si="93"/>
        <v>46238.578975439807</v>
      </c>
      <c r="D424" s="13">
        <v>46238.578975439807</v>
      </c>
      <c r="E424" s="2" t="s">
        <v>1523</v>
      </c>
      <c r="F424" s="2" t="str">
        <f t="shared" si="83"/>
        <v>Email Available</v>
      </c>
      <c r="G424" s="2" t="s">
        <v>1524</v>
      </c>
      <c r="H424" s="2" t="s">
        <v>152</v>
      </c>
      <c r="I424" s="2" t="s">
        <v>36</v>
      </c>
      <c r="J424" s="2" t="s">
        <v>153</v>
      </c>
      <c r="K424" s="2">
        <v>1</v>
      </c>
      <c r="L424" s="2">
        <v>29.99</v>
      </c>
      <c r="M424" s="19">
        <f t="shared" si="84"/>
        <v>29.99</v>
      </c>
      <c r="N424" s="2" t="s">
        <v>118</v>
      </c>
      <c r="O424" s="2" t="str">
        <f t="shared" si="85"/>
        <v>BFCM25</v>
      </c>
      <c r="P424" s="2">
        <v>7.5</v>
      </c>
      <c r="Q424" s="19">
        <f t="shared" si="86"/>
        <v>7.5</v>
      </c>
      <c r="R424" s="2" t="str">
        <f t="shared" si="87"/>
        <v>Number</v>
      </c>
      <c r="S424" s="2">
        <v>5.99</v>
      </c>
      <c r="T424" s="19">
        <f t="shared" si="88"/>
        <v>5.99</v>
      </c>
      <c r="U424" s="2">
        <v>28.48</v>
      </c>
      <c r="V424" s="19">
        <f t="shared" si="89"/>
        <v>28.48</v>
      </c>
      <c r="W424" s="19">
        <f t="shared" si="90"/>
        <v>28.479999999999997</v>
      </c>
      <c r="X424" s="19" t="str">
        <f t="shared" si="91"/>
        <v>True</v>
      </c>
      <c r="Y424" s="19" t="str">
        <f>IF(OR(W424&lt;'Cleaning Tasks'!$G$18,W424&gt;'Cleaning Tasks'!$H$18),"Outlier","Normal")</f>
        <v>Normal</v>
      </c>
      <c r="Z424" s="2" t="s">
        <v>26</v>
      </c>
      <c r="AA424" s="2" t="s">
        <v>111</v>
      </c>
      <c r="AB424" s="2" t="s">
        <v>96</v>
      </c>
      <c r="AC424" s="2" t="s">
        <v>29</v>
      </c>
      <c r="AD424" s="22" t="s">
        <v>140</v>
      </c>
      <c r="AE424" s="2" t="str">
        <f t="shared" si="92"/>
        <v>Valid</v>
      </c>
      <c r="AF424" s="2" t="s">
        <v>1525</v>
      </c>
    </row>
    <row r="425" spans="1:32" x14ac:dyDescent="0.3">
      <c r="A425" s="2" t="s">
        <v>1526</v>
      </c>
      <c r="B425" s="2">
        <f t="shared" si="82"/>
        <v>1</v>
      </c>
      <c r="C425" s="12">
        <f t="shared" si="93"/>
        <v>46238.584165694447</v>
      </c>
      <c r="D425" s="13">
        <v>46238.584165694447</v>
      </c>
      <c r="E425" s="2" t="s">
        <v>108</v>
      </c>
      <c r="F425" s="2" t="str">
        <f t="shared" si="83"/>
        <v>Email Available</v>
      </c>
      <c r="G425" s="2" t="s">
        <v>1527</v>
      </c>
      <c r="H425" s="2" t="s">
        <v>102</v>
      </c>
      <c r="I425" s="2" t="s">
        <v>103</v>
      </c>
      <c r="J425" s="2" t="s">
        <v>104</v>
      </c>
      <c r="K425" s="2">
        <v>1</v>
      </c>
      <c r="L425" s="2">
        <v>19.989999999999998</v>
      </c>
      <c r="M425" s="19">
        <f t="shared" si="84"/>
        <v>19.989999999999998</v>
      </c>
      <c r="N425" s="2" t="s">
        <v>65</v>
      </c>
      <c r="O425" s="2" t="str">
        <f t="shared" si="85"/>
        <v>WELCOME10</v>
      </c>
      <c r="P425" s="2">
        <v>2</v>
      </c>
      <c r="Q425" s="19">
        <f t="shared" si="86"/>
        <v>2</v>
      </c>
      <c r="R425" s="2" t="str">
        <f t="shared" si="87"/>
        <v>Number</v>
      </c>
      <c r="S425" s="2">
        <v>4.99</v>
      </c>
      <c r="T425" s="19">
        <f t="shared" si="88"/>
        <v>4.99</v>
      </c>
      <c r="U425" s="2">
        <v>22.98</v>
      </c>
      <c r="V425" s="19">
        <f t="shared" si="89"/>
        <v>22.98</v>
      </c>
      <c r="W425" s="19">
        <f t="shared" si="90"/>
        <v>22.979999999999997</v>
      </c>
      <c r="X425" s="19" t="str">
        <f t="shared" si="91"/>
        <v>True</v>
      </c>
      <c r="Y425" s="19" t="str">
        <f>IF(OR(W425&lt;'Cleaning Tasks'!$G$18,W425&gt;'Cleaning Tasks'!$H$18),"Outlier","Normal")</f>
        <v>Normal</v>
      </c>
      <c r="Z425" s="2" t="s">
        <v>39</v>
      </c>
      <c r="AA425" s="2" t="s">
        <v>27</v>
      </c>
      <c r="AB425" s="2" t="s">
        <v>50</v>
      </c>
      <c r="AC425" s="2" t="s">
        <v>29</v>
      </c>
      <c r="AD425" s="2" t="s">
        <v>30</v>
      </c>
      <c r="AE425" s="2" t="str">
        <f t="shared" si="92"/>
        <v>Valid</v>
      </c>
      <c r="AF425" s="2" t="s">
        <v>1528</v>
      </c>
    </row>
    <row r="426" spans="1:32" x14ac:dyDescent="0.3">
      <c r="A426" s="2" t="s">
        <v>1529</v>
      </c>
      <c r="B426" s="2">
        <f t="shared" si="82"/>
        <v>1</v>
      </c>
      <c r="C426" s="12">
        <f t="shared" si="93"/>
        <v>46238.582818703697</v>
      </c>
      <c r="D426" s="13">
        <v>46238.582818703697</v>
      </c>
      <c r="E426" s="2" t="s">
        <v>1210</v>
      </c>
      <c r="F426" s="2" t="str">
        <f t="shared" si="83"/>
        <v>Missing Email</v>
      </c>
      <c r="G426" s="2"/>
      <c r="H426" s="2" t="s">
        <v>78</v>
      </c>
      <c r="I426" s="2" t="s">
        <v>79</v>
      </c>
      <c r="J426" s="2" t="s">
        <v>80</v>
      </c>
      <c r="K426" s="2">
        <v>1</v>
      </c>
      <c r="L426" s="2">
        <v>89.99</v>
      </c>
      <c r="M426" s="19">
        <f t="shared" si="84"/>
        <v>89.99</v>
      </c>
      <c r="N426" s="2"/>
      <c r="O426" s="2" t="str">
        <f t="shared" si="85"/>
        <v/>
      </c>
      <c r="P426" s="2">
        <v>0</v>
      </c>
      <c r="Q426" s="19">
        <f t="shared" si="86"/>
        <v>0</v>
      </c>
      <c r="R426" s="2" t="str">
        <f t="shared" si="87"/>
        <v>Number</v>
      </c>
      <c r="S426" s="2">
        <v>0</v>
      </c>
      <c r="T426" s="19">
        <f t="shared" si="88"/>
        <v>0</v>
      </c>
      <c r="U426" s="2">
        <v>89.99</v>
      </c>
      <c r="V426" s="19">
        <f t="shared" si="89"/>
        <v>89.99</v>
      </c>
      <c r="W426" s="19">
        <f t="shared" si="90"/>
        <v>89.99</v>
      </c>
      <c r="X426" s="19" t="str">
        <f t="shared" si="91"/>
        <v>True</v>
      </c>
      <c r="Y426" s="19" t="str">
        <f>IF(OR(W426&lt;'Cleaning Tasks'!$G$18,W426&gt;'Cleaning Tasks'!$H$18),"Outlier","Normal")</f>
        <v>Outlier</v>
      </c>
      <c r="Z426" s="2" t="s">
        <v>66</v>
      </c>
      <c r="AA426" s="2" t="s">
        <v>27</v>
      </c>
      <c r="AB426" s="2" t="s">
        <v>50</v>
      </c>
      <c r="AC426" s="2" t="s">
        <v>29</v>
      </c>
      <c r="AD426" s="2" t="s">
        <v>89</v>
      </c>
      <c r="AE426" s="2" t="str">
        <f t="shared" si="92"/>
        <v>Valid</v>
      </c>
      <c r="AF426" s="2" t="s">
        <v>1530</v>
      </c>
    </row>
    <row r="427" spans="1:32" x14ac:dyDescent="0.3">
      <c r="A427" s="2" t="s">
        <v>1531</v>
      </c>
      <c r="B427" s="2">
        <f t="shared" si="82"/>
        <v>1</v>
      </c>
      <c r="C427" s="12">
        <f t="shared" si="93"/>
        <v>46238.588649513891</v>
      </c>
      <c r="D427" s="13">
        <v>46238.588649513891</v>
      </c>
      <c r="E427" s="2" t="s">
        <v>1532</v>
      </c>
      <c r="F427" s="2" t="str">
        <f t="shared" si="83"/>
        <v>Email Available</v>
      </c>
      <c r="G427" s="2" t="s">
        <v>1533</v>
      </c>
      <c r="H427" s="2" t="s">
        <v>130</v>
      </c>
      <c r="I427" s="2" t="s">
        <v>103</v>
      </c>
      <c r="J427" s="2" t="s">
        <v>131</v>
      </c>
      <c r="K427" s="2">
        <v>2</v>
      </c>
      <c r="L427" s="2">
        <v>16.989999999999998</v>
      </c>
      <c r="M427" s="19">
        <f t="shared" si="84"/>
        <v>16.989999999999998</v>
      </c>
      <c r="N427" s="2"/>
      <c r="O427" s="2" t="str">
        <f t="shared" si="85"/>
        <v/>
      </c>
      <c r="P427" s="2">
        <v>0</v>
      </c>
      <c r="Q427" s="19">
        <f t="shared" si="86"/>
        <v>0</v>
      </c>
      <c r="R427" s="2" t="str">
        <f t="shared" si="87"/>
        <v>Number</v>
      </c>
      <c r="S427" s="2">
        <v>5.99</v>
      </c>
      <c r="T427" s="19">
        <f t="shared" si="88"/>
        <v>5.99</v>
      </c>
      <c r="U427" s="2">
        <v>39.97</v>
      </c>
      <c r="V427" s="19">
        <f t="shared" si="89"/>
        <v>39.97</v>
      </c>
      <c r="W427" s="19">
        <f t="shared" si="90"/>
        <v>39.97</v>
      </c>
      <c r="X427" s="19" t="str">
        <f t="shared" si="91"/>
        <v>True</v>
      </c>
      <c r="Y427" s="19" t="str">
        <f>IF(OR(W427&lt;'Cleaning Tasks'!$G$18,W427&gt;'Cleaning Tasks'!$H$18),"Outlier","Normal")</f>
        <v>Normal</v>
      </c>
      <c r="Z427" s="2" t="s">
        <v>39</v>
      </c>
      <c r="AA427" s="2" t="s">
        <v>27</v>
      </c>
      <c r="AB427" s="2" t="s">
        <v>50</v>
      </c>
      <c r="AC427" s="2" t="s">
        <v>73</v>
      </c>
      <c r="AD427" s="2"/>
      <c r="AE427" s="2" t="str">
        <f t="shared" si="92"/>
        <v>Not Required</v>
      </c>
      <c r="AF427" s="2" t="s">
        <v>1534</v>
      </c>
    </row>
    <row r="428" spans="1:32" x14ac:dyDescent="0.3">
      <c r="A428" s="2" t="s">
        <v>1535</v>
      </c>
      <c r="B428" s="2">
        <f t="shared" si="82"/>
        <v>1</v>
      </c>
      <c r="C428" s="12">
        <f t="shared" si="93"/>
        <v>46238</v>
      </c>
      <c r="D428" s="13" t="s">
        <v>143</v>
      </c>
      <c r="E428" s="2" t="s">
        <v>1231</v>
      </c>
      <c r="F428" s="2" t="str">
        <f t="shared" si="83"/>
        <v>Email Available</v>
      </c>
      <c r="G428" s="2" t="s">
        <v>1232</v>
      </c>
      <c r="H428" s="2" t="s">
        <v>261</v>
      </c>
      <c r="I428" s="2" t="s">
        <v>36</v>
      </c>
      <c r="J428" s="2" t="s">
        <v>262</v>
      </c>
      <c r="K428" s="2">
        <v>1</v>
      </c>
      <c r="L428" s="2">
        <v>15.49</v>
      </c>
      <c r="M428" s="19">
        <f t="shared" si="84"/>
        <v>15.49</v>
      </c>
      <c r="N428" s="2" t="s">
        <v>203</v>
      </c>
      <c r="O428" s="2" t="str">
        <f t="shared" si="85"/>
        <v>VIP15</v>
      </c>
      <c r="P428" s="2">
        <v>2.3199999999999998</v>
      </c>
      <c r="Q428" s="19">
        <f t="shared" si="86"/>
        <v>2.3199999999999998</v>
      </c>
      <c r="R428" s="2" t="str">
        <f t="shared" si="87"/>
        <v>Number</v>
      </c>
      <c r="S428" s="2">
        <v>4.99</v>
      </c>
      <c r="T428" s="19">
        <f t="shared" si="88"/>
        <v>4.99</v>
      </c>
      <c r="U428" s="2">
        <v>18.16</v>
      </c>
      <c r="V428" s="19">
        <f t="shared" si="89"/>
        <v>18.16</v>
      </c>
      <c r="W428" s="19">
        <f t="shared" si="90"/>
        <v>18.16</v>
      </c>
      <c r="X428" s="19" t="str">
        <f t="shared" si="91"/>
        <v>True</v>
      </c>
      <c r="Y428" s="19" t="str">
        <f>IF(OR(W428&lt;'Cleaning Tasks'!$G$18,W428&gt;'Cleaning Tasks'!$H$18),"Outlier","Normal")</f>
        <v>Normal</v>
      </c>
      <c r="Z428" s="2" t="s">
        <v>66</v>
      </c>
      <c r="AA428" s="2" t="s">
        <v>27</v>
      </c>
      <c r="AB428" s="2" t="s">
        <v>50</v>
      </c>
      <c r="AC428" s="2" t="s">
        <v>29</v>
      </c>
      <c r="AD428" s="2" t="s">
        <v>112</v>
      </c>
      <c r="AE428" s="2" t="str">
        <f t="shared" si="92"/>
        <v>Valid</v>
      </c>
      <c r="AF428" s="2" t="s">
        <v>1536</v>
      </c>
    </row>
    <row r="429" spans="1:32" x14ac:dyDescent="0.3">
      <c r="A429" s="2" t="s">
        <v>1537</v>
      </c>
      <c r="B429" s="2">
        <f t="shared" si="82"/>
        <v>1</v>
      </c>
      <c r="C429" s="12">
        <f t="shared" si="93"/>
        <v>46238.578795972222</v>
      </c>
      <c r="D429" s="13">
        <v>46238.578795972222</v>
      </c>
      <c r="E429" s="2" t="s">
        <v>494</v>
      </c>
      <c r="F429" s="2" t="str">
        <f t="shared" si="83"/>
        <v>Email Available</v>
      </c>
      <c r="G429" s="2" t="s">
        <v>495</v>
      </c>
      <c r="H429" s="2" t="s">
        <v>56</v>
      </c>
      <c r="I429" s="2" t="s">
        <v>22</v>
      </c>
      <c r="J429" s="2" t="s">
        <v>57</v>
      </c>
      <c r="K429" s="2">
        <v>1</v>
      </c>
      <c r="L429" s="2">
        <v>9.99</v>
      </c>
      <c r="M429" s="19">
        <f t="shared" si="84"/>
        <v>9.99</v>
      </c>
      <c r="N429" s="2" t="s">
        <v>118</v>
      </c>
      <c r="O429" s="2" t="str">
        <f t="shared" si="85"/>
        <v>BFCM25</v>
      </c>
      <c r="P429" s="2">
        <v>2.5</v>
      </c>
      <c r="Q429" s="19">
        <f t="shared" si="86"/>
        <v>2.5</v>
      </c>
      <c r="R429" s="2" t="str">
        <f t="shared" si="87"/>
        <v>Number</v>
      </c>
      <c r="S429" s="2">
        <v>4.99</v>
      </c>
      <c r="T429" s="19">
        <f t="shared" si="88"/>
        <v>4.99</v>
      </c>
      <c r="U429" s="2">
        <v>12.48</v>
      </c>
      <c r="V429" s="19">
        <f t="shared" si="89"/>
        <v>12.48</v>
      </c>
      <c r="W429" s="19">
        <f t="shared" si="90"/>
        <v>12.48</v>
      </c>
      <c r="X429" s="19" t="str">
        <f t="shared" si="91"/>
        <v>True</v>
      </c>
      <c r="Y429" s="19" t="str">
        <f>IF(OR(W429&lt;'Cleaning Tasks'!$G$18,W429&gt;'Cleaning Tasks'!$H$18),"Outlier","Normal")</f>
        <v>Normal</v>
      </c>
      <c r="Z429" s="2" t="s">
        <v>39</v>
      </c>
      <c r="AA429" s="2" t="s">
        <v>40</v>
      </c>
      <c r="AB429" s="2" t="s">
        <v>50</v>
      </c>
      <c r="AC429" s="2" t="s">
        <v>105</v>
      </c>
      <c r="AD429" s="2"/>
      <c r="AE429" s="2" t="str">
        <f t="shared" si="92"/>
        <v>Not Required</v>
      </c>
      <c r="AF429" s="2" t="s">
        <v>1538</v>
      </c>
    </row>
    <row r="430" spans="1:32" x14ac:dyDescent="0.3">
      <c r="A430" s="2" t="s">
        <v>1539</v>
      </c>
      <c r="B430" s="2">
        <f t="shared" si="82"/>
        <v>1</v>
      </c>
      <c r="C430" s="12">
        <f t="shared" si="93"/>
        <v>46238.587609282411</v>
      </c>
      <c r="D430" s="13">
        <v>46238.587609282411</v>
      </c>
      <c r="E430" s="2" t="s">
        <v>1540</v>
      </c>
      <c r="F430" s="2" t="str">
        <f t="shared" si="83"/>
        <v>Email Available</v>
      </c>
      <c r="G430" s="2" t="s">
        <v>1541</v>
      </c>
      <c r="H430" s="2" t="s">
        <v>267</v>
      </c>
      <c r="I430" s="2" t="s">
        <v>22</v>
      </c>
      <c r="J430" s="2" t="s">
        <v>268</v>
      </c>
      <c r="K430" s="2">
        <v>1</v>
      </c>
      <c r="L430" s="2">
        <v>18.989999999999998</v>
      </c>
      <c r="M430" s="19">
        <f t="shared" si="84"/>
        <v>18.989999999999998</v>
      </c>
      <c r="N430" s="2"/>
      <c r="O430" s="2" t="str">
        <f t="shared" si="85"/>
        <v/>
      </c>
      <c r="P430" s="2">
        <v>0</v>
      </c>
      <c r="Q430" s="19">
        <f t="shared" si="86"/>
        <v>0</v>
      </c>
      <c r="R430" s="2" t="str">
        <f t="shared" si="87"/>
        <v>Number</v>
      </c>
      <c r="S430" s="2">
        <v>5.99</v>
      </c>
      <c r="T430" s="19">
        <f t="shared" si="88"/>
        <v>5.99</v>
      </c>
      <c r="U430" s="2" t="s">
        <v>941</v>
      </c>
      <c r="V430" s="19">
        <f t="shared" si="89"/>
        <v>24.98</v>
      </c>
      <c r="W430" s="19">
        <f t="shared" si="90"/>
        <v>24.979999999999997</v>
      </c>
      <c r="X430" s="19" t="str">
        <f t="shared" si="91"/>
        <v>True</v>
      </c>
      <c r="Y430" s="19" t="str">
        <f>IF(OR(W430&lt;'Cleaning Tasks'!$G$18,W430&gt;'Cleaning Tasks'!$H$18),"Outlier","Normal")</f>
        <v>Normal</v>
      </c>
      <c r="Z430" s="2" t="s">
        <v>39</v>
      </c>
      <c r="AA430" s="2" t="s">
        <v>111</v>
      </c>
      <c r="AB430" s="2" t="s">
        <v>41</v>
      </c>
      <c r="AC430" s="2" t="s">
        <v>29</v>
      </c>
      <c r="AD430" s="2" t="s">
        <v>30</v>
      </c>
      <c r="AE430" s="2" t="str">
        <f t="shared" si="92"/>
        <v>Valid</v>
      </c>
      <c r="AF430" s="2" t="s">
        <v>1542</v>
      </c>
    </row>
    <row r="431" spans="1:32" x14ac:dyDescent="0.3">
      <c r="A431" s="2" t="s">
        <v>1543</v>
      </c>
      <c r="B431" s="2">
        <f t="shared" si="82"/>
        <v>1</v>
      </c>
      <c r="C431" s="12">
        <f t="shared" si="93"/>
        <v>46238.583837129627</v>
      </c>
      <c r="D431" s="13">
        <v>46238.583837129627</v>
      </c>
      <c r="E431" s="2" t="s">
        <v>1544</v>
      </c>
      <c r="F431" s="2" t="str">
        <f t="shared" si="83"/>
        <v>Email Available</v>
      </c>
      <c r="G431" s="2" t="s">
        <v>1545</v>
      </c>
      <c r="H431" s="2" t="s">
        <v>46</v>
      </c>
      <c r="I431" s="2" t="s">
        <v>47</v>
      </c>
      <c r="J431" s="2" t="s">
        <v>48</v>
      </c>
      <c r="K431" s="2">
        <v>2</v>
      </c>
      <c r="L431" s="2">
        <v>39.99</v>
      </c>
      <c r="M431" s="19">
        <f t="shared" si="84"/>
        <v>39.99</v>
      </c>
      <c r="N431" s="2" t="s">
        <v>38</v>
      </c>
      <c r="O431" s="2" t="str">
        <f t="shared" si="85"/>
        <v>FREESHIP</v>
      </c>
      <c r="P431" s="2" t="s">
        <v>184</v>
      </c>
      <c r="Q431" s="19">
        <f t="shared" si="86"/>
        <v>0</v>
      </c>
      <c r="R431" s="2" t="str">
        <f t="shared" si="87"/>
        <v>Number</v>
      </c>
      <c r="S431" s="2">
        <v>0</v>
      </c>
      <c r="T431" s="19">
        <f t="shared" si="88"/>
        <v>0</v>
      </c>
      <c r="U431" s="2">
        <v>79.98</v>
      </c>
      <c r="V431" s="19">
        <f t="shared" si="89"/>
        <v>79.98</v>
      </c>
      <c r="W431" s="19">
        <f t="shared" si="90"/>
        <v>79.98</v>
      </c>
      <c r="X431" s="19" t="str">
        <f t="shared" si="91"/>
        <v>True</v>
      </c>
      <c r="Y431" s="19" t="str">
        <f>IF(OR(W431&lt;'Cleaning Tasks'!$G$18,W431&gt;'Cleaning Tasks'!$H$18),"Outlier","Normal")</f>
        <v>Normal</v>
      </c>
      <c r="Z431" s="2" t="s">
        <v>72</v>
      </c>
      <c r="AA431" s="2" t="s">
        <v>111</v>
      </c>
      <c r="AB431" s="2" t="s">
        <v>96</v>
      </c>
      <c r="AC431" s="2" t="s">
        <v>29</v>
      </c>
      <c r="AD431" s="2" t="s">
        <v>243</v>
      </c>
      <c r="AE431" s="2" t="str">
        <f t="shared" si="92"/>
        <v>Valid</v>
      </c>
      <c r="AF431" s="2" t="s">
        <v>1546</v>
      </c>
    </row>
    <row r="432" spans="1:32" x14ac:dyDescent="0.3">
      <c r="A432" s="2" t="s">
        <v>1547</v>
      </c>
      <c r="B432" s="2">
        <f t="shared" si="82"/>
        <v>1</v>
      </c>
      <c r="C432" s="12">
        <f t="shared" si="93"/>
        <v>46238.583883599538</v>
      </c>
      <c r="D432" s="13">
        <v>46238.583883599538</v>
      </c>
      <c r="E432" s="2" t="s">
        <v>421</v>
      </c>
      <c r="F432" s="2" t="str">
        <f t="shared" si="83"/>
        <v>Email Available</v>
      </c>
      <c r="G432" s="2" t="s">
        <v>422</v>
      </c>
      <c r="H432" s="2" t="s">
        <v>109</v>
      </c>
      <c r="I432" s="2" t="s">
        <v>79</v>
      </c>
      <c r="J432" s="2" t="s">
        <v>110</v>
      </c>
      <c r="K432" s="2">
        <v>1</v>
      </c>
      <c r="L432" s="2">
        <v>22.99</v>
      </c>
      <c r="M432" s="19">
        <f t="shared" si="84"/>
        <v>22.99</v>
      </c>
      <c r="N432" s="2" t="s">
        <v>118</v>
      </c>
      <c r="O432" s="2" t="str">
        <f t="shared" si="85"/>
        <v>BFCM25</v>
      </c>
      <c r="P432" s="2">
        <v>5.75</v>
      </c>
      <c r="Q432" s="19">
        <f t="shared" si="86"/>
        <v>5.75</v>
      </c>
      <c r="R432" s="2" t="str">
        <f t="shared" si="87"/>
        <v>Number</v>
      </c>
      <c r="S432" s="2">
        <v>4.99</v>
      </c>
      <c r="T432" s="19">
        <f t="shared" si="88"/>
        <v>4.99</v>
      </c>
      <c r="U432" s="2">
        <v>22.23</v>
      </c>
      <c r="V432" s="19">
        <f t="shared" si="89"/>
        <v>22.23</v>
      </c>
      <c r="W432" s="19">
        <f t="shared" si="90"/>
        <v>22.229999999999997</v>
      </c>
      <c r="X432" s="19" t="str">
        <f t="shared" si="91"/>
        <v>True</v>
      </c>
      <c r="Y432" s="19" t="str">
        <f>IF(OR(W432&lt;'Cleaning Tasks'!$G$18,W432&gt;'Cleaning Tasks'!$H$18),"Outlier","Normal")</f>
        <v>Normal</v>
      </c>
      <c r="Z432" s="2" t="s">
        <v>39</v>
      </c>
      <c r="AA432" s="2" t="s">
        <v>27</v>
      </c>
      <c r="AB432" s="2" t="s">
        <v>50</v>
      </c>
      <c r="AC432" s="2" t="s">
        <v>29</v>
      </c>
      <c r="AD432" s="2" t="s">
        <v>58</v>
      </c>
      <c r="AE432" s="2" t="str">
        <f t="shared" si="92"/>
        <v>Valid</v>
      </c>
      <c r="AF432" s="2" t="s">
        <v>1548</v>
      </c>
    </row>
    <row r="433" spans="1:32" x14ac:dyDescent="0.3">
      <c r="A433" s="2" t="s">
        <v>1549</v>
      </c>
      <c r="B433" s="2">
        <f t="shared" si="82"/>
        <v>1</v>
      </c>
      <c r="C433" s="12">
        <f t="shared" si="93"/>
        <v>46238.586306319441</v>
      </c>
      <c r="D433" s="13">
        <v>46238.586306319441</v>
      </c>
      <c r="E433" s="2" t="s">
        <v>1550</v>
      </c>
      <c r="F433" s="2" t="str">
        <f t="shared" si="83"/>
        <v>Email Available</v>
      </c>
      <c r="G433" s="2" t="s">
        <v>1551</v>
      </c>
      <c r="H433" s="2" t="s">
        <v>146</v>
      </c>
      <c r="I433" s="2" t="s">
        <v>47</v>
      </c>
      <c r="J433" s="2" t="s">
        <v>147</v>
      </c>
      <c r="K433" s="2">
        <v>2</v>
      </c>
      <c r="L433" s="2">
        <v>34.99</v>
      </c>
      <c r="M433" s="19">
        <f t="shared" si="84"/>
        <v>34.99</v>
      </c>
      <c r="N433" s="2"/>
      <c r="O433" s="2" t="str">
        <f t="shared" si="85"/>
        <v/>
      </c>
      <c r="P433" s="2">
        <v>0</v>
      </c>
      <c r="Q433" s="19">
        <f t="shared" si="86"/>
        <v>0</v>
      </c>
      <c r="R433" s="2" t="str">
        <f t="shared" si="87"/>
        <v>Number</v>
      </c>
      <c r="S433" s="2">
        <v>5.99</v>
      </c>
      <c r="T433" s="19">
        <f t="shared" si="88"/>
        <v>5.99</v>
      </c>
      <c r="U433" s="2">
        <v>75.97</v>
      </c>
      <c r="V433" s="19">
        <f t="shared" si="89"/>
        <v>75.97</v>
      </c>
      <c r="W433" s="19">
        <f t="shared" si="90"/>
        <v>75.97</v>
      </c>
      <c r="X433" s="19" t="str">
        <f t="shared" si="91"/>
        <v>True</v>
      </c>
      <c r="Y433" s="19" t="str">
        <f>IF(OR(W433&lt;'Cleaning Tasks'!$G$18,W433&gt;'Cleaning Tasks'!$H$18),"Outlier","Normal")</f>
        <v>Normal</v>
      </c>
      <c r="Z433" s="2" t="s">
        <v>26</v>
      </c>
      <c r="AA433" s="2" t="s">
        <v>111</v>
      </c>
      <c r="AB433" s="2" t="s">
        <v>50</v>
      </c>
      <c r="AC433" s="2" t="s">
        <v>42</v>
      </c>
      <c r="AD433" s="2"/>
      <c r="AE433" s="2" t="str">
        <f t="shared" si="92"/>
        <v>Not Required</v>
      </c>
      <c r="AF433" s="2" t="s">
        <v>1552</v>
      </c>
    </row>
    <row r="434" spans="1:32" x14ac:dyDescent="0.3">
      <c r="A434" s="2" t="s">
        <v>1553</v>
      </c>
      <c r="B434" s="2">
        <f t="shared" si="82"/>
        <v>1</v>
      </c>
      <c r="C434" s="12">
        <f t="shared" si="93"/>
        <v>46238</v>
      </c>
      <c r="D434" s="13" t="s">
        <v>1554</v>
      </c>
      <c r="E434" s="2" t="s">
        <v>1555</v>
      </c>
      <c r="F434" s="2" t="str">
        <f t="shared" si="83"/>
        <v>Email Available</v>
      </c>
      <c r="G434" s="2" t="s">
        <v>1556</v>
      </c>
      <c r="H434" s="2" t="s">
        <v>124</v>
      </c>
      <c r="I434" s="2" t="s">
        <v>79</v>
      </c>
      <c r="J434" s="2" t="s">
        <v>125</v>
      </c>
      <c r="K434" s="2">
        <v>1</v>
      </c>
      <c r="L434" s="2">
        <v>13.99</v>
      </c>
      <c r="M434" s="19">
        <f t="shared" si="84"/>
        <v>13.99</v>
      </c>
      <c r="N434" s="2" t="s">
        <v>203</v>
      </c>
      <c r="O434" s="2" t="str">
        <f t="shared" si="85"/>
        <v>VIP15</v>
      </c>
      <c r="P434" s="2">
        <v>2.1</v>
      </c>
      <c r="Q434" s="19">
        <f t="shared" si="86"/>
        <v>2.1</v>
      </c>
      <c r="R434" s="2" t="str">
        <f t="shared" si="87"/>
        <v>Number</v>
      </c>
      <c r="S434" s="2">
        <v>4.99</v>
      </c>
      <c r="T434" s="19">
        <f t="shared" si="88"/>
        <v>4.99</v>
      </c>
      <c r="U434" s="2">
        <v>16.88</v>
      </c>
      <c r="V434" s="19">
        <f t="shared" si="89"/>
        <v>16.88</v>
      </c>
      <c r="W434" s="19">
        <f t="shared" si="90"/>
        <v>16.880000000000003</v>
      </c>
      <c r="X434" s="19" t="str">
        <f t="shared" si="91"/>
        <v>True</v>
      </c>
      <c r="Y434" s="19" t="str">
        <f>IF(OR(W434&lt;'Cleaning Tasks'!$G$18,W434&gt;'Cleaning Tasks'!$H$18),"Outlier","Normal")</f>
        <v>Normal</v>
      </c>
      <c r="Z434" s="2" t="s">
        <v>49</v>
      </c>
      <c r="AA434" s="2" t="s">
        <v>88</v>
      </c>
      <c r="AB434" s="2" t="s">
        <v>50</v>
      </c>
      <c r="AC434" s="2" t="s">
        <v>105</v>
      </c>
      <c r="AD434" s="2"/>
      <c r="AE434" s="2" t="str">
        <f t="shared" si="92"/>
        <v>Not Required</v>
      </c>
      <c r="AF434" s="2" t="s">
        <v>1557</v>
      </c>
    </row>
    <row r="435" spans="1:32" x14ac:dyDescent="0.3">
      <c r="A435" s="2" t="s">
        <v>1558</v>
      </c>
      <c r="B435" s="2">
        <f t="shared" si="82"/>
        <v>1</v>
      </c>
      <c r="C435" s="12">
        <f t="shared" si="93"/>
        <v>46238.580890474543</v>
      </c>
      <c r="D435" s="13">
        <v>46238.580890474543</v>
      </c>
      <c r="E435" s="2" t="s">
        <v>805</v>
      </c>
      <c r="F435" s="2" t="str">
        <f t="shared" si="83"/>
        <v>Email Available</v>
      </c>
      <c r="G435" s="2" t="s">
        <v>806</v>
      </c>
      <c r="H435" s="2" t="s">
        <v>117</v>
      </c>
      <c r="I435" s="2" t="s">
        <v>22</v>
      </c>
      <c r="J435" s="2" t="s">
        <v>23</v>
      </c>
      <c r="K435" s="2">
        <v>1</v>
      </c>
      <c r="L435" s="2">
        <v>12.99</v>
      </c>
      <c r="M435" s="19">
        <f t="shared" si="84"/>
        <v>12.99</v>
      </c>
      <c r="N435" s="2"/>
      <c r="O435" s="2" t="str">
        <f t="shared" si="85"/>
        <v/>
      </c>
      <c r="P435" s="2">
        <v>0</v>
      </c>
      <c r="Q435" s="19">
        <f t="shared" si="86"/>
        <v>0</v>
      </c>
      <c r="R435" s="2" t="str">
        <f t="shared" si="87"/>
        <v>Number</v>
      </c>
      <c r="S435" s="2">
        <v>7.99</v>
      </c>
      <c r="T435" s="19">
        <f t="shared" si="88"/>
        <v>7.99</v>
      </c>
      <c r="U435" s="2">
        <v>20.98</v>
      </c>
      <c r="V435" s="19">
        <f t="shared" si="89"/>
        <v>20.98</v>
      </c>
      <c r="W435" s="19">
        <f t="shared" si="90"/>
        <v>20.98</v>
      </c>
      <c r="X435" s="19" t="str">
        <f t="shared" si="91"/>
        <v>True</v>
      </c>
      <c r="Y435" s="19" t="str">
        <f>IF(OR(W435&lt;'Cleaning Tasks'!$G$18,W435&gt;'Cleaning Tasks'!$H$18),"Outlier","Normal")</f>
        <v>Normal</v>
      </c>
      <c r="Z435" s="2" t="s">
        <v>72</v>
      </c>
      <c r="AA435" s="2" t="s">
        <v>27</v>
      </c>
      <c r="AB435" s="2" t="s">
        <v>50</v>
      </c>
      <c r="AC435" s="2" t="s">
        <v>29</v>
      </c>
      <c r="AD435" s="2" t="s">
        <v>89</v>
      </c>
      <c r="AE435" s="2" t="str">
        <f t="shared" si="92"/>
        <v>Valid</v>
      </c>
      <c r="AF435" s="2" t="s">
        <v>1559</v>
      </c>
    </row>
    <row r="436" spans="1:32" x14ac:dyDescent="0.3">
      <c r="A436" s="2" t="s">
        <v>1560</v>
      </c>
      <c r="B436" s="2">
        <f t="shared" si="82"/>
        <v>1</v>
      </c>
      <c r="C436" s="12">
        <f t="shared" si="93"/>
        <v>46238.588386759257</v>
      </c>
      <c r="D436" s="13">
        <v>46238.588386759257</v>
      </c>
      <c r="E436" s="2" t="s">
        <v>516</v>
      </c>
      <c r="F436" s="2" t="str">
        <f t="shared" si="83"/>
        <v>Email Available</v>
      </c>
      <c r="G436" s="2" t="s">
        <v>517</v>
      </c>
      <c r="H436" s="2" t="s">
        <v>267</v>
      </c>
      <c r="I436" s="2" t="s">
        <v>22</v>
      </c>
      <c r="J436" s="2" t="s">
        <v>268</v>
      </c>
      <c r="K436" s="2">
        <v>1</v>
      </c>
      <c r="L436" s="2">
        <v>18.989999999999998</v>
      </c>
      <c r="M436" s="19">
        <f t="shared" si="84"/>
        <v>18.989999999999998</v>
      </c>
      <c r="N436" s="2" t="s">
        <v>24</v>
      </c>
      <c r="O436" s="2" t="str">
        <f t="shared" si="85"/>
        <v>SAVE20</v>
      </c>
      <c r="P436" s="2">
        <v>3.8</v>
      </c>
      <c r="Q436" s="19">
        <f t="shared" si="86"/>
        <v>3.8</v>
      </c>
      <c r="R436" s="2" t="str">
        <f t="shared" si="87"/>
        <v>Number</v>
      </c>
      <c r="S436" s="2">
        <v>7.99</v>
      </c>
      <c r="T436" s="19">
        <f t="shared" si="88"/>
        <v>7.99</v>
      </c>
      <c r="U436" s="2">
        <v>23.18</v>
      </c>
      <c r="V436" s="19">
        <f t="shared" si="89"/>
        <v>23.18</v>
      </c>
      <c r="W436" s="19">
        <f t="shared" si="90"/>
        <v>23.18</v>
      </c>
      <c r="X436" s="19" t="str">
        <f t="shared" si="91"/>
        <v>True</v>
      </c>
      <c r="Y436" s="19" t="str">
        <f>IF(OR(W436&lt;'Cleaning Tasks'!$G$18,W436&gt;'Cleaning Tasks'!$H$18),"Outlier","Normal")</f>
        <v>Normal</v>
      </c>
      <c r="Z436" s="2" t="s">
        <v>72</v>
      </c>
      <c r="AA436" s="2" t="s">
        <v>27</v>
      </c>
      <c r="AB436" s="2" t="s">
        <v>50</v>
      </c>
      <c r="AC436" s="2" t="s">
        <v>29</v>
      </c>
      <c r="AD436" s="2" t="s">
        <v>51</v>
      </c>
      <c r="AE436" s="2" t="str">
        <f t="shared" si="92"/>
        <v>Valid</v>
      </c>
      <c r="AF436" s="2" t="s">
        <v>1561</v>
      </c>
    </row>
    <row r="437" spans="1:32" x14ac:dyDescent="0.3">
      <c r="A437" s="2" t="s">
        <v>1562</v>
      </c>
      <c r="B437" s="2">
        <f t="shared" si="82"/>
        <v>1</v>
      </c>
      <c r="C437" s="12">
        <f t="shared" si="93"/>
        <v>46238.584779780103</v>
      </c>
      <c r="D437" s="13">
        <v>46238.584779780103</v>
      </c>
      <c r="E437" s="2" t="s">
        <v>1271</v>
      </c>
      <c r="F437" s="2" t="str">
        <f t="shared" si="83"/>
        <v>Email Available</v>
      </c>
      <c r="G437" s="2" t="s">
        <v>1272</v>
      </c>
      <c r="H437" s="2" t="s">
        <v>46</v>
      </c>
      <c r="I437" s="2" t="s">
        <v>47</v>
      </c>
      <c r="J437" s="2" t="s">
        <v>48</v>
      </c>
      <c r="K437" s="2">
        <v>2</v>
      </c>
      <c r="L437" s="2">
        <v>39.99</v>
      </c>
      <c r="M437" s="19">
        <f t="shared" si="84"/>
        <v>39.99</v>
      </c>
      <c r="N437" s="2" t="s">
        <v>24</v>
      </c>
      <c r="O437" s="2" t="str">
        <f t="shared" si="85"/>
        <v>SAVE20</v>
      </c>
      <c r="P437" s="2">
        <v>16</v>
      </c>
      <c r="Q437" s="19">
        <f t="shared" si="86"/>
        <v>16</v>
      </c>
      <c r="R437" s="2" t="str">
        <f t="shared" si="87"/>
        <v>Number</v>
      </c>
      <c r="S437" s="2">
        <v>0</v>
      </c>
      <c r="T437" s="19">
        <f t="shared" si="88"/>
        <v>0</v>
      </c>
      <c r="U437" s="2">
        <v>63.98</v>
      </c>
      <c r="V437" s="19">
        <f t="shared" si="89"/>
        <v>63.98</v>
      </c>
      <c r="W437" s="19">
        <f t="shared" si="90"/>
        <v>63.980000000000004</v>
      </c>
      <c r="X437" s="19" t="str">
        <f t="shared" si="91"/>
        <v>True</v>
      </c>
      <c r="Y437" s="19" t="str">
        <f>IF(OR(W437&lt;'Cleaning Tasks'!$G$18,W437&gt;'Cleaning Tasks'!$H$18),"Outlier","Normal")</f>
        <v>Normal</v>
      </c>
      <c r="Z437" s="2" t="s">
        <v>66</v>
      </c>
      <c r="AA437" s="2" t="s">
        <v>88</v>
      </c>
      <c r="AB437" s="2" t="s">
        <v>50</v>
      </c>
      <c r="AC437" s="2" t="s">
        <v>73</v>
      </c>
      <c r="AD437" s="2"/>
      <c r="AE437" s="2" t="str">
        <f t="shared" si="92"/>
        <v>Not Required</v>
      </c>
      <c r="AF437" s="2" t="s">
        <v>1563</v>
      </c>
    </row>
    <row r="438" spans="1:32" x14ac:dyDescent="0.3">
      <c r="A438" s="2" t="s">
        <v>1564</v>
      </c>
      <c r="B438" s="2">
        <f t="shared" si="82"/>
        <v>1</v>
      </c>
      <c r="C438" s="12">
        <f t="shared" si="93"/>
        <v>46238.588086759257</v>
      </c>
      <c r="D438" s="13">
        <v>46238.588086759257</v>
      </c>
      <c r="E438" s="2" t="s">
        <v>172</v>
      </c>
      <c r="F438" s="2" t="str">
        <f t="shared" si="83"/>
        <v>Email Available</v>
      </c>
      <c r="G438" s="2" t="s">
        <v>173</v>
      </c>
      <c r="H438" s="2" t="s">
        <v>63</v>
      </c>
      <c r="I438" s="2" t="s">
        <v>47</v>
      </c>
      <c r="J438" s="2" t="s">
        <v>64</v>
      </c>
      <c r="K438" s="2">
        <v>1</v>
      </c>
      <c r="L438" s="2">
        <v>14.99</v>
      </c>
      <c r="M438" s="19">
        <f t="shared" si="84"/>
        <v>14.99</v>
      </c>
      <c r="N438" s="2"/>
      <c r="O438" s="2" t="str">
        <f t="shared" si="85"/>
        <v/>
      </c>
      <c r="P438" s="2">
        <v>0</v>
      </c>
      <c r="Q438" s="19">
        <f t="shared" si="86"/>
        <v>0</v>
      </c>
      <c r="R438" s="2" t="str">
        <f t="shared" si="87"/>
        <v>Number</v>
      </c>
      <c r="S438" s="2">
        <v>7.99</v>
      </c>
      <c r="T438" s="19">
        <f t="shared" si="88"/>
        <v>7.99</v>
      </c>
      <c r="U438" s="2">
        <v>22.98</v>
      </c>
      <c r="V438" s="19">
        <f t="shared" si="89"/>
        <v>22.98</v>
      </c>
      <c r="W438" s="19">
        <f t="shared" si="90"/>
        <v>22.98</v>
      </c>
      <c r="X438" s="19" t="str">
        <f t="shared" si="91"/>
        <v>True</v>
      </c>
      <c r="Y438" s="19" t="str">
        <f>IF(OR(W438&lt;'Cleaning Tasks'!$G$18,W438&gt;'Cleaning Tasks'!$H$18),"Outlier","Normal")</f>
        <v>Normal</v>
      </c>
      <c r="Z438" s="2" t="s">
        <v>49</v>
      </c>
      <c r="AA438" s="2" t="s">
        <v>40</v>
      </c>
      <c r="AB438" s="2" t="s">
        <v>41</v>
      </c>
      <c r="AC438" s="2" t="s">
        <v>29</v>
      </c>
      <c r="AD438" s="2" t="s">
        <v>51</v>
      </c>
      <c r="AE438" s="2" t="str">
        <f t="shared" si="92"/>
        <v>Valid</v>
      </c>
      <c r="AF438" s="2" t="s">
        <v>1565</v>
      </c>
    </row>
    <row r="439" spans="1:32" x14ac:dyDescent="0.3">
      <c r="A439" s="2" t="s">
        <v>1566</v>
      </c>
      <c r="B439" s="2">
        <f t="shared" si="82"/>
        <v>1</v>
      </c>
      <c r="C439" s="12">
        <f t="shared" si="93"/>
        <v>46238</v>
      </c>
      <c r="D439" s="13" t="s">
        <v>1023</v>
      </c>
      <c r="E439" s="2" t="s">
        <v>1567</v>
      </c>
      <c r="F439" s="2" t="str">
        <f t="shared" si="83"/>
        <v>Email Available</v>
      </c>
      <c r="G439" s="2" t="s">
        <v>1568</v>
      </c>
      <c r="H439" s="2" t="s">
        <v>109</v>
      </c>
      <c r="I439" s="2" t="s">
        <v>79</v>
      </c>
      <c r="J439" s="2" t="s">
        <v>110</v>
      </c>
      <c r="K439" s="2">
        <v>1</v>
      </c>
      <c r="L439" s="2">
        <v>22.99</v>
      </c>
      <c r="M439" s="19">
        <f t="shared" si="84"/>
        <v>22.99</v>
      </c>
      <c r="N439" s="2" t="s">
        <v>118</v>
      </c>
      <c r="O439" s="2" t="str">
        <f t="shared" si="85"/>
        <v>BFCM25</v>
      </c>
      <c r="P439" s="2">
        <v>5.75</v>
      </c>
      <c r="Q439" s="19">
        <f t="shared" si="86"/>
        <v>5.75</v>
      </c>
      <c r="R439" s="2" t="str">
        <f t="shared" si="87"/>
        <v>Number</v>
      </c>
      <c r="S439" s="2">
        <v>4.99</v>
      </c>
      <c r="T439" s="19">
        <f t="shared" si="88"/>
        <v>4.99</v>
      </c>
      <c r="U439" s="2" t="s">
        <v>1569</v>
      </c>
      <c r="V439" s="19">
        <f t="shared" si="89"/>
        <v>22.23</v>
      </c>
      <c r="W439" s="19">
        <f t="shared" si="90"/>
        <v>22.229999999999997</v>
      </c>
      <c r="X439" s="19" t="str">
        <f t="shared" si="91"/>
        <v>True</v>
      </c>
      <c r="Y439" s="19" t="str">
        <f>IF(OR(W439&lt;'Cleaning Tasks'!$G$18,W439&gt;'Cleaning Tasks'!$H$18),"Outlier","Normal")</f>
        <v>Normal</v>
      </c>
      <c r="Z439" s="2" t="s">
        <v>49</v>
      </c>
      <c r="AA439" s="2" t="s">
        <v>40</v>
      </c>
      <c r="AB439" s="2" t="s">
        <v>28</v>
      </c>
      <c r="AC439" s="2" t="s">
        <v>29</v>
      </c>
      <c r="AD439" s="2" t="s">
        <v>67</v>
      </c>
      <c r="AE439" s="2" t="str">
        <f t="shared" si="92"/>
        <v>Valid</v>
      </c>
      <c r="AF439" s="2" t="s">
        <v>1570</v>
      </c>
    </row>
    <row r="440" spans="1:32" x14ac:dyDescent="0.3">
      <c r="A440" s="2" t="s">
        <v>1571</v>
      </c>
      <c r="B440" s="2">
        <f t="shared" si="82"/>
        <v>1</v>
      </c>
      <c r="C440" s="12">
        <f t="shared" si="93"/>
        <v>46238</v>
      </c>
      <c r="D440" s="13" t="s">
        <v>338</v>
      </c>
      <c r="E440" s="2" t="s">
        <v>557</v>
      </c>
      <c r="F440" s="2" t="str">
        <f t="shared" si="83"/>
        <v>Email Available</v>
      </c>
      <c r="G440" s="2" t="s">
        <v>558</v>
      </c>
      <c r="H440" s="2" t="s">
        <v>85</v>
      </c>
      <c r="I440" s="2" t="s">
        <v>86</v>
      </c>
      <c r="J440" s="2" t="s">
        <v>87</v>
      </c>
      <c r="K440" s="2">
        <v>1</v>
      </c>
      <c r="L440" s="2" t="s">
        <v>363</v>
      </c>
      <c r="M440" s="19">
        <f t="shared" si="84"/>
        <v>54.99</v>
      </c>
      <c r="N440" s="2" t="s">
        <v>203</v>
      </c>
      <c r="O440" s="2" t="str">
        <f t="shared" si="85"/>
        <v>VIP15</v>
      </c>
      <c r="P440" s="2">
        <v>8.25</v>
      </c>
      <c r="Q440" s="19">
        <f t="shared" si="86"/>
        <v>8.25</v>
      </c>
      <c r="R440" s="2" t="str">
        <f t="shared" si="87"/>
        <v>Number</v>
      </c>
      <c r="S440" s="2">
        <v>7.99</v>
      </c>
      <c r="T440" s="19">
        <f t="shared" si="88"/>
        <v>7.99</v>
      </c>
      <c r="U440" s="2">
        <v>54.73</v>
      </c>
      <c r="V440" s="19">
        <f t="shared" si="89"/>
        <v>54.73</v>
      </c>
      <c r="W440" s="19">
        <f t="shared" si="90"/>
        <v>54.730000000000004</v>
      </c>
      <c r="X440" s="19" t="str">
        <f t="shared" si="91"/>
        <v>True</v>
      </c>
      <c r="Y440" s="19" t="str">
        <f>IF(OR(W440&lt;'Cleaning Tasks'!$G$18,W440&gt;'Cleaning Tasks'!$H$18),"Outlier","Normal")</f>
        <v>Normal</v>
      </c>
      <c r="Z440" s="2" t="s">
        <v>26</v>
      </c>
      <c r="AA440" s="2" t="s">
        <v>27</v>
      </c>
      <c r="AB440" s="2" t="s">
        <v>28</v>
      </c>
      <c r="AC440" s="2" t="s">
        <v>42</v>
      </c>
      <c r="AD440" s="2"/>
      <c r="AE440" s="2" t="str">
        <f t="shared" si="92"/>
        <v>Not Required</v>
      </c>
      <c r="AF440" s="2" t="s">
        <v>1572</v>
      </c>
    </row>
    <row r="441" spans="1:32" x14ac:dyDescent="0.3">
      <c r="A441" s="2" t="s">
        <v>1573</v>
      </c>
      <c r="B441" s="2">
        <f t="shared" si="82"/>
        <v>1</v>
      </c>
      <c r="C441" s="12">
        <f t="shared" si="93"/>
        <v>46238.58259928241</v>
      </c>
      <c r="D441" s="13">
        <v>46238.58259928241</v>
      </c>
      <c r="E441" s="2" t="s">
        <v>251</v>
      </c>
      <c r="F441" s="2" t="str">
        <f t="shared" si="83"/>
        <v>Email Available</v>
      </c>
      <c r="G441" s="2" t="s">
        <v>344</v>
      </c>
      <c r="H441" s="2" t="s">
        <v>56</v>
      </c>
      <c r="I441" s="2" t="s">
        <v>22</v>
      </c>
      <c r="J441" s="2" t="s">
        <v>57</v>
      </c>
      <c r="K441" s="2">
        <v>2</v>
      </c>
      <c r="L441" s="2">
        <v>9.99</v>
      </c>
      <c r="M441" s="19">
        <f t="shared" si="84"/>
        <v>9.99</v>
      </c>
      <c r="N441" s="2" t="s">
        <v>203</v>
      </c>
      <c r="O441" s="2" t="str">
        <f t="shared" si="85"/>
        <v>VIP15</v>
      </c>
      <c r="P441" s="2">
        <v>3</v>
      </c>
      <c r="Q441" s="19">
        <f t="shared" si="86"/>
        <v>3</v>
      </c>
      <c r="R441" s="2" t="str">
        <f t="shared" si="87"/>
        <v>Number</v>
      </c>
      <c r="S441" s="2">
        <v>5.99</v>
      </c>
      <c r="T441" s="19">
        <f t="shared" si="88"/>
        <v>5.99</v>
      </c>
      <c r="U441" s="2">
        <v>22.97</v>
      </c>
      <c r="V441" s="19">
        <f t="shared" si="89"/>
        <v>22.97</v>
      </c>
      <c r="W441" s="19">
        <f t="shared" si="90"/>
        <v>22.97</v>
      </c>
      <c r="X441" s="19" t="str">
        <f t="shared" si="91"/>
        <v>True</v>
      </c>
      <c r="Y441" s="19" t="str">
        <f>IF(OR(W441&lt;'Cleaning Tasks'!$G$18,W441&gt;'Cleaning Tasks'!$H$18),"Outlier","Normal")</f>
        <v>Normal</v>
      </c>
      <c r="Z441" s="2" t="s">
        <v>49</v>
      </c>
      <c r="AA441" s="2" t="s">
        <v>27</v>
      </c>
      <c r="AB441" s="2" t="s">
        <v>50</v>
      </c>
      <c r="AC441" s="2" t="s">
        <v>29</v>
      </c>
      <c r="AD441" s="2" t="s">
        <v>89</v>
      </c>
      <c r="AE441" s="2" t="str">
        <f t="shared" si="92"/>
        <v>Valid</v>
      </c>
      <c r="AF441" s="2" t="s">
        <v>1574</v>
      </c>
    </row>
    <row r="442" spans="1:32" x14ac:dyDescent="0.3">
      <c r="A442" s="2" t="s">
        <v>1575</v>
      </c>
      <c r="B442" s="2">
        <f t="shared" si="82"/>
        <v>1</v>
      </c>
      <c r="C442" s="12">
        <f t="shared" si="93"/>
        <v>46238.581570057868</v>
      </c>
      <c r="D442" s="13">
        <v>46238.581570057868</v>
      </c>
      <c r="E442" s="2" t="s">
        <v>1576</v>
      </c>
      <c r="F442" s="2" t="str">
        <f t="shared" si="83"/>
        <v>Email Available</v>
      </c>
      <c r="G442" s="2" t="s">
        <v>177</v>
      </c>
      <c r="H442" s="2" t="s">
        <v>152</v>
      </c>
      <c r="I442" s="2" t="s">
        <v>36</v>
      </c>
      <c r="J442" s="2" t="s">
        <v>153</v>
      </c>
      <c r="K442" s="2">
        <v>1</v>
      </c>
      <c r="L442" s="2">
        <v>29.99</v>
      </c>
      <c r="M442" s="19">
        <f t="shared" si="84"/>
        <v>29.99</v>
      </c>
      <c r="N442" s="2" t="s">
        <v>1165</v>
      </c>
      <c r="O442" s="2" t="str">
        <f t="shared" si="85"/>
        <v>BFCM25</v>
      </c>
      <c r="P442" s="2" t="s">
        <v>1577</v>
      </c>
      <c r="Q442" s="19">
        <f t="shared" si="86"/>
        <v>7.5</v>
      </c>
      <c r="R442" s="2" t="str">
        <f t="shared" si="87"/>
        <v>Number</v>
      </c>
      <c r="S442" s="2">
        <v>5.99</v>
      </c>
      <c r="T442" s="19">
        <f t="shared" si="88"/>
        <v>5.99</v>
      </c>
      <c r="U442" s="2">
        <v>28.48</v>
      </c>
      <c r="V442" s="19">
        <f t="shared" si="89"/>
        <v>28.48</v>
      </c>
      <c r="W442" s="19">
        <f t="shared" si="90"/>
        <v>28.479999999999997</v>
      </c>
      <c r="X442" s="19" t="str">
        <f t="shared" si="91"/>
        <v>True</v>
      </c>
      <c r="Y442" s="19" t="str">
        <f>IF(OR(W442&lt;'Cleaning Tasks'!$G$18,W442&gt;'Cleaning Tasks'!$H$18),"Outlier","Normal")</f>
        <v>Normal</v>
      </c>
      <c r="Z442" s="2" t="s">
        <v>72</v>
      </c>
      <c r="AA442" s="2" t="s">
        <v>40</v>
      </c>
      <c r="AB442" s="2" t="s">
        <v>41</v>
      </c>
      <c r="AC442" s="2" t="s">
        <v>29</v>
      </c>
      <c r="AD442" s="22" t="s">
        <v>51</v>
      </c>
      <c r="AE442" s="2" t="str">
        <f t="shared" si="92"/>
        <v>Valid</v>
      </c>
      <c r="AF442" s="2" t="s">
        <v>1578</v>
      </c>
    </row>
    <row r="443" spans="1:32" x14ac:dyDescent="0.3">
      <c r="A443" s="2" t="s">
        <v>1579</v>
      </c>
      <c r="B443" s="2">
        <f t="shared" si="82"/>
        <v>1</v>
      </c>
      <c r="C443" s="12">
        <f t="shared" si="93"/>
        <v>46238.585917025463</v>
      </c>
      <c r="D443" s="13">
        <v>46238.585917025463</v>
      </c>
      <c r="E443" s="2" t="s">
        <v>213</v>
      </c>
      <c r="F443" s="2" t="str">
        <f t="shared" si="83"/>
        <v>Email Available</v>
      </c>
      <c r="G443" s="2" t="s">
        <v>214</v>
      </c>
      <c r="H443" s="2" t="s">
        <v>279</v>
      </c>
      <c r="I443" s="2" t="s">
        <v>22</v>
      </c>
      <c r="J443" s="2" t="s">
        <v>280</v>
      </c>
      <c r="K443" s="2">
        <v>2</v>
      </c>
      <c r="L443" s="2">
        <v>24.99</v>
      </c>
      <c r="M443" s="19">
        <f t="shared" si="84"/>
        <v>24.99</v>
      </c>
      <c r="N443" s="2" t="s">
        <v>203</v>
      </c>
      <c r="O443" s="2" t="str">
        <f t="shared" si="85"/>
        <v>VIP15</v>
      </c>
      <c r="P443" s="2">
        <v>7.5</v>
      </c>
      <c r="Q443" s="19">
        <f t="shared" si="86"/>
        <v>7.5</v>
      </c>
      <c r="R443" s="2" t="str">
        <f t="shared" si="87"/>
        <v>Number</v>
      </c>
      <c r="S443" s="2">
        <v>5.99</v>
      </c>
      <c r="T443" s="19">
        <f t="shared" si="88"/>
        <v>5.99</v>
      </c>
      <c r="U443" s="2">
        <v>48.47</v>
      </c>
      <c r="V443" s="19">
        <f t="shared" si="89"/>
        <v>48.47</v>
      </c>
      <c r="W443" s="19">
        <f t="shared" si="90"/>
        <v>48.47</v>
      </c>
      <c r="X443" s="19" t="str">
        <f t="shared" si="91"/>
        <v>True</v>
      </c>
      <c r="Y443" s="19" t="str">
        <f>IF(OR(W443&lt;'Cleaning Tasks'!$G$18,W443&gt;'Cleaning Tasks'!$H$18),"Outlier","Normal")</f>
        <v>Normal</v>
      </c>
      <c r="Z443" s="2" t="s">
        <v>49</v>
      </c>
      <c r="AA443" s="2" t="s">
        <v>88</v>
      </c>
      <c r="AB443" s="2" t="s">
        <v>28</v>
      </c>
      <c r="AC443" s="2" t="s">
        <v>29</v>
      </c>
      <c r="AD443" s="2" t="s">
        <v>341</v>
      </c>
      <c r="AE443" s="2" t="str">
        <f t="shared" si="92"/>
        <v>Valid</v>
      </c>
      <c r="AF443" s="2" t="s">
        <v>1580</v>
      </c>
    </row>
    <row r="444" spans="1:32" x14ac:dyDescent="0.3">
      <c r="A444" s="2" t="s">
        <v>1581</v>
      </c>
      <c r="B444" s="2">
        <f t="shared" si="82"/>
        <v>1</v>
      </c>
      <c r="C444" s="12">
        <f t="shared" si="93"/>
        <v>46238.583853344913</v>
      </c>
      <c r="D444" s="13">
        <v>46238.583853344913</v>
      </c>
      <c r="E444" s="2" t="s">
        <v>1582</v>
      </c>
      <c r="F444" s="2" t="str">
        <f t="shared" si="83"/>
        <v>Email Available</v>
      </c>
      <c r="G444" s="2" t="s">
        <v>896</v>
      </c>
      <c r="H444" s="2" t="s">
        <v>166</v>
      </c>
      <c r="I444" s="2" t="s">
        <v>103</v>
      </c>
      <c r="J444" s="2" t="s">
        <v>167</v>
      </c>
      <c r="K444" s="2">
        <v>1</v>
      </c>
      <c r="L444" s="2">
        <v>32.99</v>
      </c>
      <c r="M444" s="19">
        <f t="shared" si="84"/>
        <v>32.99</v>
      </c>
      <c r="N444" s="2" t="s">
        <v>203</v>
      </c>
      <c r="O444" s="2" t="str">
        <f t="shared" si="85"/>
        <v>VIP15</v>
      </c>
      <c r="P444" s="2" t="s">
        <v>1583</v>
      </c>
      <c r="Q444" s="19">
        <f t="shared" si="86"/>
        <v>4.95</v>
      </c>
      <c r="R444" s="2" t="str">
        <f t="shared" si="87"/>
        <v>Number</v>
      </c>
      <c r="S444" s="2">
        <v>5.99</v>
      </c>
      <c r="T444" s="19">
        <f t="shared" si="88"/>
        <v>5.99</v>
      </c>
      <c r="U444" s="2">
        <v>34.03</v>
      </c>
      <c r="V444" s="19">
        <f t="shared" si="89"/>
        <v>34.03</v>
      </c>
      <c r="W444" s="19">
        <f t="shared" si="90"/>
        <v>34.03</v>
      </c>
      <c r="X444" s="19" t="str">
        <f t="shared" si="91"/>
        <v>True</v>
      </c>
      <c r="Y444" s="19" t="str">
        <f>IF(OR(W444&lt;'Cleaning Tasks'!$G$18,W444&gt;'Cleaning Tasks'!$H$18),"Outlier","Normal")</f>
        <v>Normal</v>
      </c>
      <c r="Z444" s="2" t="s">
        <v>66</v>
      </c>
      <c r="AA444" s="2" t="s">
        <v>27</v>
      </c>
      <c r="AB444" s="2" t="s">
        <v>50</v>
      </c>
      <c r="AC444" s="2" t="s">
        <v>29</v>
      </c>
      <c r="AD444" s="2" t="s">
        <v>140</v>
      </c>
      <c r="AE444" s="2" t="str">
        <f t="shared" si="92"/>
        <v>Valid</v>
      </c>
      <c r="AF444" s="2" t="s">
        <v>1584</v>
      </c>
    </row>
    <row r="445" spans="1:32" x14ac:dyDescent="0.3">
      <c r="A445" s="2" t="s">
        <v>1585</v>
      </c>
      <c r="B445" s="2">
        <f t="shared" si="82"/>
        <v>1</v>
      </c>
      <c r="C445" s="12">
        <f t="shared" si="93"/>
        <v>46238</v>
      </c>
      <c r="D445" s="13">
        <v>46238</v>
      </c>
      <c r="E445" s="2" t="s">
        <v>251</v>
      </c>
      <c r="F445" s="2" t="str">
        <f t="shared" si="83"/>
        <v>Email Available</v>
      </c>
      <c r="G445" s="2" t="s">
        <v>344</v>
      </c>
      <c r="H445" s="2" t="s">
        <v>261</v>
      </c>
      <c r="I445" s="2" t="s">
        <v>36</v>
      </c>
      <c r="J445" s="2" t="s">
        <v>262</v>
      </c>
      <c r="K445" s="2">
        <v>1</v>
      </c>
      <c r="L445" s="2" t="s">
        <v>318</v>
      </c>
      <c r="M445" s="19">
        <f t="shared" si="84"/>
        <v>15.49</v>
      </c>
      <c r="N445" s="2" t="s">
        <v>38</v>
      </c>
      <c r="O445" s="2" t="str">
        <f t="shared" si="85"/>
        <v>FREESHIP</v>
      </c>
      <c r="P445" s="2">
        <v>0</v>
      </c>
      <c r="Q445" s="19">
        <f t="shared" si="86"/>
        <v>0</v>
      </c>
      <c r="R445" s="2" t="str">
        <f t="shared" si="87"/>
        <v>Number</v>
      </c>
      <c r="S445" s="2">
        <v>0</v>
      </c>
      <c r="T445" s="19">
        <f t="shared" si="88"/>
        <v>0</v>
      </c>
      <c r="U445" s="2">
        <v>15.49</v>
      </c>
      <c r="V445" s="19">
        <f t="shared" si="89"/>
        <v>15.49</v>
      </c>
      <c r="W445" s="19">
        <f t="shared" si="90"/>
        <v>15.49</v>
      </c>
      <c r="X445" s="19" t="str">
        <f t="shared" si="91"/>
        <v>True</v>
      </c>
      <c r="Y445" s="19" t="str">
        <f>IF(OR(W445&lt;'Cleaning Tasks'!$G$18,W445&gt;'Cleaning Tasks'!$H$18),"Outlier","Normal")</f>
        <v>Normal</v>
      </c>
      <c r="Z445" s="2" t="s">
        <v>49</v>
      </c>
      <c r="AA445" s="2" t="s">
        <v>40</v>
      </c>
      <c r="AB445" s="2" t="s">
        <v>50</v>
      </c>
      <c r="AC445" s="2" t="s">
        <v>29</v>
      </c>
      <c r="AD445" s="22" t="s">
        <v>243</v>
      </c>
      <c r="AE445" s="2" t="str">
        <f t="shared" si="92"/>
        <v>Valid</v>
      </c>
      <c r="AF445" s="2" t="s">
        <v>1586</v>
      </c>
    </row>
    <row r="446" spans="1:32" x14ac:dyDescent="0.3">
      <c r="A446" s="2" t="s">
        <v>1587</v>
      </c>
      <c r="B446" s="2">
        <f t="shared" si="82"/>
        <v>1</v>
      </c>
      <c r="C446" s="12">
        <f t="shared" si="93"/>
        <v>46238.581777106483</v>
      </c>
      <c r="D446" s="13">
        <v>46238.581777106483</v>
      </c>
      <c r="E446" s="2" t="s">
        <v>1588</v>
      </c>
      <c r="F446" s="2" t="str">
        <f t="shared" si="83"/>
        <v>Email Available</v>
      </c>
      <c r="G446" s="2" t="s">
        <v>1589</v>
      </c>
      <c r="H446" s="2" t="s">
        <v>63</v>
      </c>
      <c r="I446" s="2" t="s">
        <v>47</v>
      </c>
      <c r="J446" s="2" t="s">
        <v>64</v>
      </c>
      <c r="K446" s="2">
        <v>1</v>
      </c>
      <c r="L446" s="2">
        <v>14.99</v>
      </c>
      <c r="M446" s="19">
        <f t="shared" si="84"/>
        <v>14.99</v>
      </c>
      <c r="N446" s="2"/>
      <c r="O446" s="2" t="str">
        <f t="shared" si="85"/>
        <v/>
      </c>
      <c r="P446" s="2">
        <v>0</v>
      </c>
      <c r="Q446" s="19">
        <f t="shared" si="86"/>
        <v>0</v>
      </c>
      <c r="R446" s="2" t="str">
        <f t="shared" si="87"/>
        <v>Number</v>
      </c>
      <c r="S446" s="2">
        <v>5.99</v>
      </c>
      <c r="T446" s="19">
        <f t="shared" si="88"/>
        <v>5.99</v>
      </c>
      <c r="U446" s="2">
        <v>20.98</v>
      </c>
      <c r="V446" s="19">
        <f t="shared" si="89"/>
        <v>20.98</v>
      </c>
      <c r="W446" s="19">
        <f t="shared" si="90"/>
        <v>20.98</v>
      </c>
      <c r="X446" s="19" t="str">
        <f t="shared" si="91"/>
        <v>True</v>
      </c>
      <c r="Y446" s="19" t="str">
        <f>IF(OR(W446&lt;'Cleaning Tasks'!$G$18,W446&gt;'Cleaning Tasks'!$H$18),"Outlier","Normal")</f>
        <v>Normal</v>
      </c>
      <c r="Z446" s="2" t="s">
        <v>26</v>
      </c>
      <c r="AA446" s="2" t="s">
        <v>111</v>
      </c>
      <c r="AB446" s="2" t="s">
        <v>50</v>
      </c>
      <c r="AC446" s="2" t="s">
        <v>73</v>
      </c>
      <c r="AD446" s="2"/>
      <c r="AE446" s="2" t="str">
        <f t="shared" si="92"/>
        <v>Not Required</v>
      </c>
      <c r="AF446" s="2" t="s">
        <v>1590</v>
      </c>
    </row>
    <row r="447" spans="1:32" x14ac:dyDescent="0.3">
      <c r="A447" s="2" t="s">
        <v>1591</v>
      </c>
      <c r="B447" s="2">
        <f t="shared" si="82"/>
        <v>1</v>
      </c>
      <c r="C447" s="12">
        <f t="shared" si="93"/>
        <v>46238</v>
      </c>
      <c r="D447" s="13" t="s">
        <v>143</v>
      </c>
      <c r="E447" s="2" t="s">
        <v>1592</v>
      </c>
      <c r="F447" s="2" t="str">
        <f t="shared" si="83"/>
        <v>Email Available</v>
      </c>
      <c r="G447" s="2" t="s">
        <v>1593</v>
      </c>
      <c r="H447" s="2" t="s">
        <v>236</v>
      </c>
      <c r="I447" s="2" t="s">
        <v>237</v>
      </c>
      <c r="J447" s="2" t="s">
        <v>238</v>
      </c>
      <c r="K447" s="2">
        <v>1</v>
      </c>
      <c r="L447" s="2">
        <v>27.99</v>
      </c>
      <c r="M447" s="19">
        <f t="shared" si="84"/>
        <v>27.99</v>
      </c>
      <c r="N447" s="2"/>
      <c r="O447" s="2" t="str">
        <f t="shared" si="85"/>
        <v/>
      </c>
      <c r="P447" s="2">
        <v>0</v>
      </c>
      <c r="Q447" s="19">
        <f t="shared" si="86"/>
        <v>0</v>
      </c>
      <c r="R447" s="2" t="str">
        <f t="shared" si="87"/>
        <v>Number</v>
      </c>
      <c r="S447" s="2">
        <v>7.99</v>
      </c>
      <c r="T447" s="19">
        <f t="shared" si="88"/>
        <v>7.99</v>
      </c>
      <c r="U447" s="2">
        <v>35.979999999999997</v>
      </c>
      <c r="V447" s="19">
        <f t="shared" si="89"/>
        <v>35.979999999999997</v>
      </c>
      <c r="W447" s="19">
        <f t="shared" si="90"/>
        <v>35.979999999999997</v>
      </c>
      <c r="X447" s="19" t="str">
        <f t="shared" si="91"/>
        <v>True</v>
      </c>
      <c r="Y447" s="19" t="str">
        <f>IF(OR(W447&lt;'Cleaning Tasks'!$G$18,W447&gt;'Cleaning Tasks'!$H$18),"Outlier","Normal")</f>
        <v>Normal</v>
      </c>
      <c r="Z447" s="2" t="s">
        <v>49</v>
      </c>
      <c r="AA447" s="2" t="s">
        <v>27</v>
      </c>
      <c r="AB447" s="2" t="s">
        <v>50</v>
      </c>
      <c r="AC447" s="2" t="s">
        <v>331</v>
      </c>
      <c r="AD447" s="2"/>
      <c r="AE447" s="2" t="str">
        <f t="shared" si="92"/>
        <v>Not Required</v>
      </c>
      <c r="AF447" s="2" t="s">
        <v>1594</v>
      </c>
    </row>
    <row r="448" spans="1:32" x14ac:dyDescent="0.3">
      <c r="A448" s="2" t="s">
        <v>1595</v>
      </c>
      <c r="B448" s="2">
        <f t="shared" si="82"/>
        <v>1</v>
      </c>
      <c r="C448" s="12">
        <f t="shared" si="93"/>
        <v>46238.588743263892</v>
      </c>
      <c r="D448" s="13">
        <v>46238.588743263892</v>
      </c>
      <c r="E448" s="2" t="s">
        <v>1596</v>
      </c>
      <c r="F448" s="2" t="str">
        <f t="shared" si="83"/>
        <v>Email Available</v>
      </c>
      <c r="G448" s="2" t="s">
        <v>1597</v>
      </c>
      <c r="H448" s="2" t="s">
        <v>46</v>
      </c>
      <c r="I448" s="2" t="s">
        <v>47</v>
      </c>
      <c r="J448" s="2" t="s">
        <v>48</v>
      </c>
      <c r="K448" s="2">
        <v>2</v>
      </c>
      <c r="L448" s="2">
        <v>39.99</v>
      </c>
      <c r="M448" s="19">
        <f t="shared" si="84"/>
        <v>39.99</v>
      </c>
      <c r="N448" s="2" t="s">
        <v>203</v>
      </c>
      <c r="O448" s="2" t="str">
        <f t="shared" si="85"/>
        <v>VIP15</v>
      </c>
      <c r="P448" s="2">
        <v>12</v>
      </c>
      <c r="Q448" s="19">
        <f t="shared" si="86"/>
        <v>12</v>
      </c>
      <c r="R448" s="2" t="str">
        <f t="shared" si="87"/>
        <v>Number</v>
      </c>
      <c r="S448" s="2">
        <v>0</v>
      </c>
      <c r="T448" s="19">
        <f t="shared" si="88"/>
        <v>0</v>
      </c>
      <c r="U448" s="2">
        <v>67.98</v>
      </c>
      <c r="V448" s="19">
        <f t="shared" si="89"/>
        <v>67.98</v>
      </c>
      <c r="W448" s="19">
        <f t="shared" si="90"/>
        <v>67.98</v>
      </c>
      <c r="X448" s="19" t="str">
        <f t="shared" si="91"/>
        <v>True</v>
      </c>
      <c r="Y448" s="19" t="str">
        <f>IF(OR(W448&lt;'Cleaning Tasks'!$G$18,W448&gt;'Cleaning Tasks'!$H$18),"Outlier","Normal")</f>
        <v>Normal</v>
      </c>
      <c r="Z448" s="2" t="s">
        <v>26</v>
      </c>
      <c r="AA448" s="2" t="s">
        <v>27</v>
      </c>
      <c r="AB448" s="2" t="s">
        <v>96</v>
      </c>
      <c r="AC448" s="2" t="s">
        <v>73</v>
      </c>
      <c r="AD448" s="2"/>
      <c r="AE448" s="2" t="str">
        <f t="shared" si="92"/>
        <v>Not Required</v>
      </c>
      <c r="AF448" s="2" t="s">
        <v>1598</v>
      </c>
    </row>
    <row r="449" spans="1:32" x14ac:dyDescent="0.3">
      <c r="A449" s="2" t="s">
        <v>1599</v>
      </c>
      <c r="B449" s="2">
        <f t="shared" si="82"/>
        <v>1</v>
      </c>
      <c r="C449" s="12">
        <f t="shared" si="93"/>
        <v>46238.581500659719</v>
      </c>
      <c r="D449" s="13">
        <v>46238.581500659719</v>
      </c>
      <c r="E449" s="2" t="s">
        <v>1334</v>
      </c>
      <c r="F449" s="2" t="str">
        <f t="shared" si="83"/>
        <v>Email Available</v>
      </c>
      <c r="G449" s="2" t="s">
        <v>716</v>
      </c>
      <c r="H449" s="2" t="s">
        <v>182</v>
      </c>
      <c r="I449" s="2" t="s">
        <v>36</v>
      </c>
      <c r="J449" s="2" t="s">
        <v>183</v>
      </c>
      <c r="K449" s="2">
        <v>1</v>
      </c>
      <c r="L449" s="2">
        <v>11.99</v>
      </c>
      <c r="M449" s="19">
        <f t="shared" si="84"/>
        <v>11.99</v>
      </c>
      <c r="N449" s="2" t="s">
        <v>24</v>
      </c>
      <c r="O449" s="2" t="str">
        <f t="shared" si="85"/>
        <v>SAVE20</v>
      </c>
      <c r="P449" s="2">
        <v>2.4</v>
      </c>
      <c r="Q449" s="19">
        <f t="shared" si="86"/>
        <v>2.4</v>
      </c>
      <c r="R449" s="2" t="str">
        <f t="shared" si="87"/>
        <v>Number</v>
      </c>
      <c r="S449" s="2">
        <v>5.99</v>
      </c>
      <c r="T449" s="19">
        <f t="shared" si="88"/>
        <v>5.99</v>
      </c>
      <c r="U449" s="2">
        <v>779</v>
      </c>
      <c r="V449" s="19">
        <f t="shared" si="89"/>
        <v>779</v>
      </c>
      <c r="W449" s="19">
        <f t="shared" si="90"/>
        <v>15.58</v>
      </c>
      <c r="X449" s="19" t="str">
        <f t="shared" si="91"/>
        <v>False</v>
      </c>
      <c r="Y449" s="19" t="str">
        <f>IF(OR(W449&lt;'Cleaning Tasks'!$G$18,W449&gt;'Cleaning Tasks'!$H$18),"Outlier","Normal")</f>
        <v>Normal</v>
      </c>
      <c r="Z449" s="2" t="s">
        <v>66</v>
      </c>
      <c r="AA449" s="2" t="s">
        <v>111</v>
      </c>
      <c r="AB449" s="2" t="s">
        <v>50</v>
      </c>
      <c r="AC449" s="2" t="s">
        <v>29</v>
      </c>
      <c r="AD449" s="22" t="s">
        <v>67</v>
      </c>
      <c r="AE449" s="2" t="str">
        <f t="shared" si="92"/>
        <v>Valid</v>
      </c>
      <c r="AF449" s="2" t="s">
        <v>1600</v>
      </c>
    </row>
    <row r="450" spans="1:32" x14ac:dyDescent="0.3">
      <c r="A450" s="2" t="s">
        <v>1601</v>
      </c>
      <c r="B450" s="2">
        <f t="shared" ref="B450:B513" si="94">COUNTIF($A$2:$A$1993,A450)</f>
        <v>1</v>
      </c>
      <c r="C450" s="12">
        <f t="shared" si="93"/>
        <v>46238.582296805558</v>
      </c>
      <c r="D450" s="13">
        <v>46238.582296805558</v>
      </c>
      <c r="E450" s="2" t="s">
        <v>843</v>
      </c>
      <c r="F450" s="2" t="str">
        <f t="shared" ref="F450:F513" si="95">IF(TRIM(G450)="","Missing Email","Email Available")</f>
        <v>Email Available</v>
      </c>
      <c r="G450" s="2" t="s">
        <v>844</v>
      </c>
      <c r="H450" s="2" t="s">
        <v>109</v>
      </c>
      <c r="I450" s="2" t="s">
        <v>79</v>
      </c>
      <c r="J450" s="2" t="s">
        <v>110</v>
      </c>
      <c r="K450" s="2">
        <v>1</v>
      </c>
      <c r="L450" s="2">
        <v>22.99</v>
      </c>
      <c r="M450" s="19">
        <f t="shared" ref="M450:M513" si="96">IF(ISNUMBER(L450),L450,VALUE(SUBSTITUTE(L450,"$","")))</f>
        <v>22.99</v>
      </c>
      <c r="N450" s="2" t="s">
        <v>203</v>
      </c>
      <c r="O450" s="2" t="str">
        <f t="shared" ref="O450:O513" si="97">IF(TRIM(N450)="","",UPPER(TRIM(SUBSTITUTE(N450,CHAR(160)," "))))</f>
        <v>VIP15</v>
      </c>
      <c r="P450" s="2">
        <v>3.45</v>
      </c>
      <c r="Q450" s="19">
        <f t="shared" ref="Q450:Q513" si="98">IF(ISNUMBER(P450),P450,VALUE(TRIM(SUBSTITUTE(P450,"$",""))))</f>
        <v>3.45</v>
      </c>
      <c r="R450" s="2" t="str">
        <f t="shared" ref="R450:R513" si="99">IF(ISNUMBER(Q450),"Number","Text")</f>
        <v>Number</v>
      </c>
      <c r="S450" s="2">
        <v>4.99</v>
      </c>
      <c r="T450" s="19">
        <f t="shared" ref="T450:T513" si="100">IF(ISNUMBER(S450),S450,VALUE(TRIM(SUBSTITUTE(S450,"$",""))))</f>
        <v>4.99</v>
      </c>
      <c r="U450" s="2">
        <v>24.53</v>
      </c>
      <c r="V450" s="19">
        <f t="shared" ref="V450:V513" si="101">IF(ISNUMBER(U450),U450,VALUE(TRIM(SUBSTITUTE(U450,"$",""))))</f>
        <v>24.53</v>
      </c>
      <c r="W450" s="19">
        <f t="shared" ref="W450:W513" si="102">((M450*K450)-Q450)+T450</f>
        <v>24.53</v>
      </c>
      <c r="X450" s="19" t="str">
        <f t="shared" ref="X450:X513" si="103">IF(V450=W450,"True","False")</f>
        <v>True</v>
      </c>
      <c r="Y450" s="19" t="str">
        <f>IF(OR(W450&lt;'Cleaning Tasks'!$G$18,W450&gt;'Cleaning Tasks'!$H$18),"Outlier","Normal")</f>
        <v>Normal</v>
      </c>
      <c r="Z450" s="2" t="s">
        <v>66</v>
      </c>
      <c r="AA450" s="2" t="s">
        <v>27</v>
      </c>
      <c r="AB450" s="2" t="s">
        <v>28</v>
      </c>
      <c r="AC450" s="2" t="s">
        <v>29</v>
      </c>
      <c r="AD450" s="2" t="s">
        <v>89</v>
      </c>
      <c r="AE450" s="2" t="str">
        <f t="shared" ref="AE450:AE513" si="104">IF(AND(AC450="United States",AD450=""),"Missing state",IF(AD450="","Not Required","Valid"))</f>
        <v>Valid</v>
      </c>
      <c r="AF450" s="2" t="s">
        <v>1602</v>
      </c>
    </row>
    <row r="451" spans="1:32" x14ac:dyDescent="0.3">
      <c r="A451" s="2" t="s">
        <v>1603</v>
      </c>
      <c r="B451" s="2">
        <f t="shared" si="94"/>
        <v>1</v>
      </c>
      <c r="C451" s="12">
        <f t="shared" si="93"/>
        <v>46238.580820462957</v>
      </c>
      <c r="D451" s="13">
        <v>46238.580820462957</v>
      </c>
      <c r="E451" s="2" t="s">
        <v>1604</v>
      </c>
      <c r="F451" s="2" t="str">
        <f t="shared" si="95"/>
        <v>Email Available</v>
      </c>
      <c r="G451" s="2" t="s">
        <v>1425</v>
      </c>
      <c r="H451" s="2" t="s">
        <v>78</v>
      </c>
      <c r="I451" s="2" t="s">
        <v>79</v>
      </c>
      <c r="J451" s="2" t="s">
        <v>80</v>
      </c>
      <c r="K451" s="2">
        <v>3</v>
      </c>
      <c r="L451" s="2" t="s">
        <v>571</v>
      </c>
      <c r="M451" s="19">
        <f t="shared" si="96"/>
        <v>89.99</v>
      </c>
      <c r="N451" s="2"/>
      <c r="O451" s="2" t="str">
        <f t="shared" si="97"/>
        <v/>
      </c>
      <c r="P451" s="2" t="s">
        <v>184</v>
      </c>
      <c r="Q451" s="19">
        <f t="shared" si="98"/>
        <v>0</v>
      </c>
      <c r="R451" s="2" t="str">
        <f t="shared" si="99"/>
        <v>Number</v>
      </c>
      <c r="S451" s="2">
        <v>0</v>
      </c>
      <c r="T451" s="19">
        <f t="shared" si="100"/>
        <v>0</v>
      </c>
      <c r="U451" s="2">
        <v>269.97000000000003</v>
      </c>
      <c r="V451" s="19">
        <f t="shared" si="101"/>
        <v>269.97000000000003</v>
      </c>
      <c r="W451" s="19">
        <f t="shared" si="102"/>
        <v>269.96999999999997</v>
      </c>
      <c r="X451" s="19" t="str">
        <f t="shared" si="103"/>
        <v>True</v>
      </c>
      <c r="Y451" s="19" t="str">
        <f>IF(OR(W451&lt;'Cleaning Tasks'!$G$18,W451&gt;'Cleaning Tasks'!$H$18),"Outlier","Normal")</f>
        <v>Outlier</v>
      </c>
      <c r="Z451" s="2" t="s">
        <v>72</v>
      </c>
      <c r="AA451" s="2" t="s">
        <v>27</v>
      </c>
      <c r="AB451" s="2" t="s">
        <v>50</v>
      </c>
      <c r="AC451" s="2" t="s">
        <v>29</v>
      </c>
      <c r="AD451" s="2" t="s">
        <v>51</v>
      </c>
      <c r="AE451" s="2" t="str">
        <f t="shared" si="104"/>
        <v>Valid</v>
      </c>
      <c r="AF451" s="2" t="s">
        <v>1605</v>
      </c>
    </row>
    <row r="452" spans="1:32" x14ac:dyDescent="0.3">
      <c r="A452" s="2" t="s">
        <v>1606</v>
      </c>
      <c r="B452" s="2">
        <f t="shared" si="94"/>
        <v>1</v>
      </c>
      <c r="C452" s="12">
        <f t="shared" si="93"/>
        <v>46238.588469444447</v>
      </c>
      <c r="D452" s="13">
        <v>46238.588469444447</v>
      </c>
      <c r="E452" s="2" t="s">
        <v>1127</v>
      </c>
      <c r="F452" s="2" t="str">
        <f t="shared" si="95"/>
        <v>Email Available</v>
      </c>
      <c r="G452" s="2" t="s">
        <v>1128</v>
      </c>
      <c r="H452" s="2" t="s">
        <v>63</v>
      </c>
      <c r="I452" s="2" t="s">
        <v>47</v>
      </c>
      <c r="J452" s="2" t="s">
        <v>64</v>
      </c>
      <c r="K452" s="2">
        <v>1</v>
      </c>
      <c r="L452" s="2">
        <v>14.99</v>
      </c>
      <c r="M452" s="19">
        <f t="shared" si="96"/>
        <v>14.99</v>
      </c>
      <c r="N452" s="2"/>
      <c r="O452" s="2" t="str">
        <f t="shared" si="97"/>
        <v/>
      </c>
      <c r="P452" s="2">
        <v>0</v>
      </c>
      <c r="Q452" s="19">
        <f t="shared" si="98"/>
        <v>0</v>
      </c>
      <c r="R452" s="2" t="str">
        <f t="shared" si="99"/>
        <v>Number</v>
      </c>
      <c r="S452" s="2">
        <v>4.99</v>
      </c>
      <c r="T452" s="19">
        <f t="shared" si="100"/>
        <v>4.99</v>
      </c>
      <c r="U452" s="2">
        <v>19.98</v>
      </c>
      <c r="V452" s="19">
        <f t="shared" si="101"/>
        <v>19.98</v>
      </c>
      <c r="W452" s="19">
        <f t="shared" si="102"/>
        <v>19.98</v>
      </c>
      <c r="X452" s="19" t="str">
        <f t="shared" si="103"/>
        <v>True</v>
      </c>
      <c r="Y452" s="19" t="str">
        <f>IF(OR(W452&lt;'Cleaning Tasks'!$G$18,W452&gt;'Cleaning Tasks'!$H$18),"Outlier","Normal")</f>
        <v>Normal</v>
      </c>
      <c r="Z452" s="2" t="s">
        <v>26</v>
      </c>
      <c r="AA452" s="2" t="s">
        <v>40</v>
      </c>
      <c r="AB452" s="2" t="s">
        <v>50</v>
      </c>
      <c r="AC452" s="2" t="s">
        <v>29</v>
      </c>
      <c r="AD452" s="2" t="s">
        <v>89</v>
      </c>
      <c r="AE452" s="2" t="str">
        <f t="shared" si="104"/>
        <v>Valid</v>
      </c>
      <c r="AF452" s="2" t="s">
        <v>1607</v>
      </c>
    </row>
    <row r="453" spans="1:32" x14ac:dyDescent="0.3">
      <c r="A453" s="2" t="s">
        <v>1608</v>
      </c>
      <c r="B453" s="2">
        <f t="shared" si="94"/>
        <v>1</v>
      </c>
      <c r="C453" s="12">
        <f t="shared" si="93"/>
        <v>46238.585831597222</v>
      </c>
      <c r="D453" s="13">
        <v>46238.585831597222</v>
      </c>
      <c r="E453" s="2" t="s">
        <v>635</v>
      </c>
      <c r="F453" s="2" t="str">
        <f t="shared" si="95"/>
        <v>Email Available</v>
      </c>
      <c r="G453" s="2" t="s">
        <v>636</v>
      </c>
      <c r="H453" s="2" t="s">
        <v>166</v>
      </c>
      <c r="I453" s="2" t="s">
        <v>103</v>
      </c>
      <c r="J453" s="2" t="s">
        <v>167</v>
      </c>
      <c r="K453" s="2">
        <v>1</v>
      </c>
      <c r="L453" s="2">
        <v>32.99</v>
      </c>
      <c r="M453" s="19">
        <f t="shared" si="96"/>
        <v>32.99</v>
      </c>
      <c r="N453" s="2" t="s">
        <v>203</v>
      </c>
      <c r="O453" s="2" t="str">
        <f t="shared" si="97"/>
        <v>VIP15</v>
      </c>
      <c r="P453" s="2">
        <v>4.95</v>
      </c>
      <c r="Q453" s="19">
        <f t="shared" si="98"/>
        <v>4.95</v>
      </c>
      <c r="R453" s="2" t="str">
        <f t="shared" si="99"/>
        <v>Number</v>
      </c>
      <c r="S453" s="2">
        <v>7.99</v>
      </c>
      <c r="T453" s="19">
        <f t="shared" si="100"/>
        <v>7.99</v>
      </c>
      <c r="U453" s="2">
        <v>36.03</v>
      </c>
      <c r="V453" s="19">
        <f t="shared" si="101"/>
        <v>36.03</v>
      </c>
      <c r="W453" s="19">
        <f t="shared" si="102"/>
        <v>36.03</v>
      </c>
      <c r="X453" s="19" t="str">
        <f t="shared" si="103"/>
        <v>True</v>
      </c>
      <c r="Y453" s="19" t="str">
        <f>IF(OR(W453&lt;'Cleaning Tasks'!$G$18,W453&gt;'Cleaning Tasks'!$H$18),"Outlier","Normal")</f>
        <v>Normal</v>
      </c>
      <c r="Z453" s="2" t="s">
        <v>39</v>
      </c>
      <c r="AA453" s="2" t="s">
        <v>40</v>
      </c>
      <c r="AB453" s="2" t="s">
        <v>41</v>
      </c>
      <c r="AC453" s="2" t="s">
        <v>29</v>
      </c>
      <c r="AD453" s="22" t="s">
        <v>140</v>
      </c>
      <c r="AE453" s="2" t="str">
        <f t="shared" si="104"/>
        <v>Valid</v>
      </c>
      <c r="AF453" s="2" t="s">
        <v>1609</v>
      </c>
    </row>
    <row r="454" spans="1:32" x14ac:dyDescent="0.3">
      <c r="A454" s="2" t="s">
        <v>1610</v>
      </c>
      <c r="B454" s="2">
        <f t="shared" si="94"/>
        <v>1</v>
      </c>
      <c r="C454" s="12">
        <f t="shared" ref="C454:C485" si="105">IF(ISNUMBER(D454),D454,DATEVALUE(SUBSTITUTE(TRIM(D454),CHAR(160)," ")))</f>
        <v>46238.583044131941</v>
      </c>
      <c r="D454" s="13">
        <v>46238.583044131941</v>
      </c>
      <c r="E454" s="2" t="s">
        <v>1611</v>
      </c>
      <c r="F454" s="2" t="str">
        <f t="shared" si="95"/>
        <v>Email Available</v>
      </c>
      <c r="G454" s="2" t="s">
        <v>1612</v>
      </c>
      <c r="H454" s="2" t="s">
        <v>279</v>
      </c>
      <c r="I454" s="2" t="s">
        <v>22</v>
      </c>
      <c r="J454" s="2" t="s">
        <v>280</v>
      </c>
      <c r="K454" s="2">
        <v>1</v>
      </c>
      <c r="L454" s="2">
        <v>24.99</v>
      </c>
      <c r="M454" s="19">
        <f t="shared" si="96"/>
        <v>24.99</v>
      </c>
      <c r="N454" s="2" t="s">
        <v>65</v>
      </c>
      <c r="O454" s="2" t="str">
        <f t="shared" si="97"/>
        <v>WELCOME10</v>
      </c>
      <c r="P454" s="2">
        <v>2.5</v>
      </c>
      <c r="Q454" s="19">
        <f t="shared" si="98"/>
        <v>2.5</v>
      </c>
      <c r="R454" s="2" t="str">
        <f t="shared" si="99"/>
        <v>Number</v>
      </c>
      <c r="S454" s="2">
        <v>7.99</v>
      </c>
      <c r="T454" s="19">
        <f t="shared" si="100"/>
        <v>7.99</v>
      </c>
      <c r="U454" s="2">
        <v>30.48</v>
      </c>
      <c r="V454" s="19">
        <f t="shared" si="101"/>
        <v>30.48</v>
      </c>
      <c r="W454" s="19">
        <f t="shared" si="102"/>
        <v>30.479999999999997</v>
      </c>
      <c r="X454" s="19" t="str">
        <f t="shared" si="103"/>
        <v>True</v>
      </c>
      <c r="Y454" s="19" t="str">
        <f>IF(OR(W454&lt;'Cleaning Tasks'!$G$18,W454&gt;'Cleaning Tasks'!$H$18),"Outlier","Normal")</f>
        <v>Normal</v>
      </c>
      <c r="Z454" s="2" t="s">
        <v>66</v>
      </c>
      <c r="AA454" s="2" t="s">
        <v>27</v>
      </c>
      <c r="AB454" s="2" t="s">
        <v>28</v>
      </c>
      <c r="AC454" s="2" t="s">
        <v>29</v>
      </c>
      <c r="AD454" s="2" t="s">
        <v>140</v>
      </c>
      <c r="AE454" s="2" t="str">
        <f t="shared" si="104"/>
        <v>Valid</v>
      </c>
      <c r="AF454" s="2" t="s">
        <v>1613</v>
      </c>
    </row>
    <row r="455" spans="1:32" x14ac:dyDescent="0.3">
      <c r="A455" s="2" t="s">
        <v>1614</v>
      </c>
      <c r="B455" s="2">
        <f t="shared" si="94"/>
        <v>1</v>
      </c>
      <c r="C455" s="12">
        <f t="shared" si="105"/>
        <v>46238.579856909717</v>
      </c>
      <c r="D455" s="13">
        <v>46238.579856909717</v>
      </c>
      <c r="E455" s="2" t="s">
        <v>176</v>
      </c>
      <c r="F455" s="2" t="str">
        <f t="shared" si="95"/>
        <v>Email Available</v>
      </c>
      <c r="G455" s="2" t="s">
        <v>177</v>
      </c>
      <c r="H455" s="2" t="s">
        <v>78</v>
      </c>
      <c r="I455" s="2" t="s">
        <v>79</v>
      </c>
      <c r="J455" s="2" t="s">
        <v>80</v>
      </c>
      <c r="K455" s="2">
        <v>2</v>
      </c>
      <c r="L455" s="2">
        <v>89.99</v>
      </c>
      <c r="M455" s="19">
        <f t="shared" si="96"/>
        <v>89.99</v>
      </c>
      <c r="N455" s="2"/>
      <c r="O455" s="2" t="str">
        <f t="shared" si="97"/>
        <v/>
      </c>
      <c r="P455" s="2" t="s">
        <v>184</v>
      </c>
      <c r="Q455" s="19">
        <f t="shared" si="98"/>
        <v>0</v>
      </c>
      <c r="R455" s="2" t="str">
        <f t="shared" si="99"/>
        <v>Number</v>
      </c>
      <c r="S455" s="2">
        <v>0</v>
      </c>
      <c r="T455" s="19">
        <f t="shared" si="100"/>
        <v>0</v>
      </c>
      <c r="U455" s="2">
        <v>179.98</v>
      </c>
      <c r="V455" s="19">
        <f t="shared" si="101"/>
        <v>179.98</v>
      </c>
      <c r="W455" s="19">
        <f t="shared" si="102"/>
        <v>179.98</v>
      </c>
      <c r="X455" s="19" t="str">
        <f t="shared" si="103"/>
        <v>True</v>
      </c>
      <c r="Y455" s="19" t="str">
        <f>IF(OR(W455&lt;'Cleaning Tasks'!$G$18,W455&gt;'Cleaning Tasks'!$H$18),"Outlier","Normal")</f>
        <v>Outlier</v>
      </c>
      <c r="Z455" s="2" t="s">
        <v>49</v>
      </c>
      <c r="AA455" s="2" t="s">
        <v>111</v>
      </c>
      <c r="AB455" s="2" t="s">
        <v>28</v>
      </c>
      <c r="AC455" s="2" t="s">
        <v>29</v>
      </c>
      <c r="AD455" s="2" t="s">
        <v>58</v>
      </c>
      <c r="AE455" s="2" t="str">
        <f t="shared" si="104"/>
        <v>Valid</v>
      </c>
      <c r="AF455" s="2" t="s">
        <v>1615</v>
      </c>
    </row>
    <row r="456" spans="1:32" x14ac:dyDescent="0.3">
      <c r="A456" s="2" t="s">
        <v>1616</v>
      </c>
      <c r="B456" s="2">
        <f t="shared" si="94"/>
        <v>1</v>
      </c>
      <c r="C456" s="12">
        <f t="shared" si="105"/>
        <v>46238.588058472233</v>
      </c>
      <c r="D456" s="13">
        <v>46238.588058472233</v>
      </c>
      <c r="E456" s="2" t="s">
        <v>654</v>
      </c>
      <c r="F456" s="2" t="str">
        <f t="shared" si="95"/>
        <v>Email Available</v>
      </c>
      <c r="G456" s="2" t="s">
        <v>655</v>
      </c>
      <c r="H456" s="2" t="s">
        <v>56</v>
      </c>
      <c r="I456" s="2" t="s">
        <v>22</v>
      </c>
      <c r="J456" s="2" t="s">
        <v>57</v>
      </c>
      <c r="K456" s="2">
        <v>2</v>
      </c>
      <c r="L456" s="2">
        <v>9.99</v>
      </c>
      <c r="M456" s="19">
        <f t="shared" si="96"/>
        <v>9.99</v>
      </c>
      <c r="N456" s="2"/>
      <c r="O456" s="2" t="str">
        <f t="shared" si="97"/>
        <v/>
      </c>
      <c r="P456" s="2">
        <v>0</v>
      </c>
      <c r="Q456" s="19">
        <f t="shared" si="98"/>
        <v>0</v>
      </c>
      <c r="R456" s="2" t="str">
        <f t="shared" si="99"/>
        <v>Number</v>
      </c>
      <c r="S456" s="2">
        <v>5.99</v>
      </c>
      <c r="T456" s="19">
        <f t="shared" si="100"/>
        <v>5.99</v>
      </c>
      <c r="U456" s="2">
        <v>25.97</v>
      </c>
      <c r="V456" s="19">
        <f t="shared" si="101"/>
        <v>25.97</v>
      </c>
      <c r="W456" s="19">
        <f t="shared" si="102"/>
        <v>25.97</v>
      </c>
      <c r="X456" s="19" t="str">
        <f t="shared" si="103"/>
        <v>True</v>
      </c>
      <c r="Y456" s="19" t="str">
        <f>IF(OR(W456&lt;'Cleaning Tasks'!$G$18,W456&gt;'Cleaning Tasks'!$H$18),"Outlier","Normal")</f>
        <v>Normal</v>
      </c>
      <c r="Z456" s="2" t="s">
        <v>66</v>
      </c>
      <c r="AA456" s="2" t="s">
        <v>88</v>
      </c>
      <c r="AB456" s="2" t="s">
        <v>50</v>
      </c>
      <c r="AC456" s="2" t="s">
        <v>29</v>
      </c>
      <c r="AD456" s="2" t="s">
        <v>447</v>
      </c>
      <c r="AE456" s="2" t="str">
        <f t="shared" si="104"/>
        <v>Valid</v>
      </c>
      <c r="AF456" s="2" t="s">
        <v>1617</v>
      </c>
    </row>
    <row r="457" spans="1:32" x14ac:dyDescent="0.3">
      <c r="A457" s="2" t="s">
        <v>1618</v>
      </c>
      <c r="B457" s="2">
        <f t="shared" si="94"/>
        <v>1</v>
      </c>
      <c r="C457" s="12">
        <f t="shared" si="105"/>
        <v>46238.583183333343</v>
      </c>
      <c r="D457" s="13">
        <v>46238.583183333343</v>
      </c>
      <c r="E457" s="2" t="s">
        <v>1619</v>
      </c>
      <c r="F457" s="2" t="str">
        <f t="shared" si="95"/>
        <v>Email Available</v>
      </c>
      <c r="G457" s="2" t="s">
        <v>1620</v>
      </c>
      <c r="H457" s="2" t="s">
        <v>109</v>
      </c>
      <c r="I457" s="2" t="s">
        <v>79</v>
      </c>
      <c r="J457" s="2" t="s">
        <v>110</v>
      </c>
      <c r="K457" s="2">
        <v>1</v>
      </c>
      <c r="L457" s="2">
        <v>22.99</v>
      </c>
      <c r="M457" s="19">
        <f t="shared" si="96"/>
        <v>22.99</v>
      </c>
      <c r="N457" s="2" t="s">
        <v>24</v>
      </c>
      <c r="O457" s="2" t="str">
        <f t="shared" si="97"/>
        <v>SAVE20</v>
      </c>
      <c r="P457" s="2">
        <v>4.5999999999999996</v>
      </c>
      <c r="Q457" s="19">
        <f t="shared" si="98"/>
        <v>4.5999999999999996</v>
      </c>
      <c r="R457" s="2" t="str">
        <f t="shared" si="99"/>
        <v>Number</v>
      </c>
      <c r="S457" s="2">
        <v>4.99</v>
      </c>
      <c r="T457" s="19">
        <f t="shared" si="100"/>
        <v>4.99</v>
      </c>
      <c r="U457" s="2">
        <v>23.38</v>
      </c>
      <c r="V457" s="19">
        <f t="shared" si="101"/>
        <v>23.38</v>
      </c>
      <c r="W457" s="19">
        <f t="shared" si="102"/>
        <v>23.380000000000003</v>
      </c>
      <c r="X457" s="19" t="str">
        <f t="shared" si="103"/>
        <v>True</v>
      </c>
      <c r="Y457" s="19" t="str">
        <f>IF(OR(W457&lt;'Cleaning Tasks'!$G$18,W457&gt;'Cleaning Tasks'!$H$18),"Outlier","Normal")</f>
        <v>Normal</v>
      </c>
      <c r="Z457" s="2" t="s">
        <v>66</v>
      </c>
      <c r="AA457" s="2" t="s">
        <v>27</v>
      </c>
      <c r="AB457" s="2" t="s">
        <v>41</v>
      </c>
      <c r="AC457" s="2" t="s">
        <v>105</v>
      </c>
      <c r="AD457" s="2"/>
      <c r="AE457" s="2" t="str">
        <f t="shared" si="104"/>
        <v>Not Required</v>
      </c>
      <c r="AF457" s="2" t="s">
        <v>1621</v>
      </c>
    </row>
    <row r="458" spans="1:32" x14ac:dyDescent="0.3">
      <c r="A458" s="2" t="s">
        <v>1622</v>
      </c>
      <c r="B458" s="2">
        <f t="shared" si="94"/>
        <v>1</v>
      </c>
      <c r="C458" s="12">
        <f t="shared" si="105"/>
        <v>46238.586105740738</v>
      </c>
      <c r="D458" s="13">
        <v>46238.586105740738</v>
      </c>
      <c r="E458" s="2" t="s">
        <v>325</v>
      </c>
      <c r="F458" s="2" t="str">
        <f t="shared" si="95"/>
        <v>Email Available</v>
      </c>
      <c r="G458" s="2" t="s">
        <v>326</v>
      </c>
      <c r="H458" s="2" t="s">
        <v>130</v>
      </c>
      <c r="I458" s="2" t="s">
        <v>103</v>
      </c>
      <c r="J458" s="2" t="s">
        <v>131</v>
      </c>
      <c r="K458" s="2">
        <v>1</v>
      </c>
      <c r="L458" s="2">
        <v>16.989999999999998</v>
      </c>
      <c r="M458" s="19">
        <f t="shared" si="96"/>
        <v>16.989999999999998</v>
      </c>
      <c r="N458" s="2"/>
      <c r="O458" s="2" t="str">
        <f t="shared" si="97"/>
        <v/>
      </c>
      <c r="P458" s="2">
        <v>0</v>
      </c>
      <c r="Q458" s="19">
        <f t="shared" si="98"/>
        <v>0</v>
      </c>
      <c r="R458" s="2" t="str">
        <f t="shared" si="99"/>
        <v>Number</v>
      </c>
      <c r="S458" s="2">
        <v>7.99</v>
      </c>
      <c r="T458" s="19">
        <f t="shared" si="100"/>
        <v>7.99</v>
      </c>
      <c r="U458" s="2">
        <v>24.98</v>
      </c>
      <c r="V458" s="19">
        <f t="shared" si="101"/>
        <v>24.98</v>
      </c>
      <c r="W458" s="19">
        <f t="shared" si="102"/>
        <v>24.979999999999997</v>
      </c>
      <c r="X458" s="19" t="str">
        <f t="shared" si="103"/>
        <v>True</v>
      </c>
      <c r="Y458" s="19" t="str">
        <f>IF(OR(W458&lt;'Cleaning Tasks'!$G$18,W458&gt;'Cleaning Tasks'!$H$18),"Outlier","Normal")</f>
        <v>Normal</v>
      </c>
      <c r="Z458" s="2" t="s">
        <v>39</v>
      </c>
      <c r="AA458" s="2" t="s">
        <v>27</v>
      </c>
      <c r="AB458" s="2" t="s">
        <v>50</v>
      </c>
      <c r="AC458" s="2" t="s">
        <v>29</v>
      </c>
      <c r="AD458" s="2" t="s">
        <v>58</v>
      </c>
      <c r="AE458" s="2" t="str">
        <f t="shared" si="104"/>
        <v>Valid</v>
      </c>
      <c r="AF458" s="2" t="s">
        <v>1623</v>
      </c>
    </row>
    <row r="459" spans="1:32" x14ac:dyDescent="0.3">
      <c r="A459" s="2" t="s">
        <v>1624</v>
      </c>
      <c r="B459" s="2">
        <f t="shared" si="94"/>
        <v>1</v>
      </c>
      <c r="C459" s="12">
        <f t="shared" si="105"/>
        <v>46238.588937418979</v>
      </c>
      <c r="D459" s="13">
        <v>46238.588937418979</v>
      </c>
      <c r="E459" s="2" t="s">
        <v>1625</v>
      </c>
      <c r="F459" s="2" t="str">
        <f t="shared" si="95"/>
        <v>Email Available</v>
      </c>
      <c r="G459" s="2" t="s">
        <v>1533</v>
      </c>
      <c r="H459" s="2" t="s">
        <v>78</v>
      </c>
      <c r="I459" s="2" t="s">
        <v>79</v>
      </c>
      <c r="J459" s="2" t="s">
        <v>80</v>
      </c>
      <c r="K459" s="2">
        <v>1</v>
      </c>
      <c r="L459" s="2">
        <v>89.99</v>
      </c>
      <c r="M459" s="19">
        <f t="shared" si="96"/>
        <v>89.99</v>
      </c>
      <c r="N459" s="2" t="s">
        <v>24</v>
      </c>
      <c r="O459" s="2" t="str">
        <f t="shared" si="97"/>
        <v>SAVE20</v>
      </c>
      <c r="P459" s="2" t="s">
        <v>1626</v>
      </c>
      <c r="Q459" s="19">
        <f t="shared" si="98"/>
        <v>18</v>
      </c>
      <c r="R459" s="2" t="str">
        <f t="shared" si="99"/>
        <v>Number</v>
      </c>
      <c r="S459" s="2">
        <v>0</v>
      </c>
      <c r="T459" s="19">
        <f t="shared" si="100"/>
        <v>0</v>
      </c>
      <c r="U459" s="2">
        <v>71.989999999999995</v>
      </c>
      <c r="V459" s="19">
        <f t="shared" si="101"/>
        <v>71.989999999999995</v>
      </c>
      <c r="W459" s="19">
        <f t="shared" si="102"/>
        <v>71.989999999999995</v>
      </c>
      <c r="X459" s="19" t="str">
        <f t="shared" si="103"/>
        <v>True</v>
      </c>
      <c r="Y459" s="19" t="str">
        <f>IF(OR(W459&lt;'Cleaning Tasks'!$G$18,W459&gt;'Cleaning Tasks'!$H$18),"Outlier","Normal")</f>
        <v>Normal</v>
      </c>
      <c r="Z459" s="2" t="s">
        <v>66</v>
      </c>
      <c r="AA459" s="2" t="s">
        <v>27</v>
      </c>
      <c r="AB459" s="2" t="s">
        <v>41</v>
      </c>
      <c r="AC459" s="2" t="s">
        <v>73</v>
      </c>
      <c r="AD459" s="2"/>
      <c r="AE459" s="2" t="str">
        <f t="shared" si="104"/>
        <v>Not Required</v>
      </c>
      <c r="AF459" s="2" t="s">
        <v>1627</v>
      </c>
    </row>
    <row r="460" spans="1:32" x14ac:dyDescent="0.3">
      <c r="A460" s="2" t="s">
        <v>1628</v>
      </c>
      <c r="B460" s="2">
        <f t="shared" si="94"/>
        <v>1</v>
      </c>
      <c r="C460" s="12">
        <f t="shared" si="105"/>
        <v>46238.584768506953</v>
      </c>
      <c r="D460" s="13">
        <v>46238.584768506953</v>
      </c>
      <c r="E460" s="2" t="s">
        <v>979</v>
      </c>
      <c r="F460" s="2" t="str">
        <f t="shared" si="95"/>
        <v>Email Available</v>
      </c>
      <c r="G460" s="2" t="s">
        <v>670</v>
      </c>
      <c r="H460" s="2" t="s">
        <v>236</v>
      </c>
      <c r="I460" s="2" t="s">
        <v>237</v>
      </c>
      <c r="J460" s="2" t="s">
        <v>238</v>
      </c>
      <c r="K460" s="2">
        <v>1</v>
      </c>
      <c r="L460" s="2">
        <v>27.99</v>
      </c>
      <c r="M460" s="19">
        <f t="shared" si="96"/>
        <v>27.99</v>
      </c>
      <c r="N460" s="2"/>
      <c r="O460" s="2" t="str">
        <f t="shared" si="97"/>
        <v/>
      </c>
      <c r="P460" s="2">
        <v>0</v>
      </c>
      <c r="Q460" s="19">
        <f t="shared" si="98"/>
        <v>0</v>
      </c>
      <c r="R460" s="2" t="str">
        <f t="shared" si="99"/>
        <v>Number</v>
      </c>
      <c r="S460" s="2">
        <v>4.99</v>
      </c>
      <c r="T460" s="19">
        <f t="shared" si="100"/>
        <v>4.99</v>
      </c>
      <c r="U460" s="2">
        <v>32.979999999999997</v>
      </c>
      <c r="V460" s="19">
        <f t="shared" si="101"/>
        <v>32.979999999999997</v>
      </c>
      <c r="W460" s="19">
        <f t="shared" si="102"/>
        <v>32.979999999999997</v>
      </c>
      <c r="X460" s="19" t="str">
        <f t="shared" si="103"/>
        <v>True</v>
      </c>
      <c r="Y460" s="19" t="str">
        <f>IF(OR(W460&lt;'Cleaning Tasks'!$G$18,W460&gt;'Cleaning Tasks'!$H$18),"Outlier","Normal")</f>
        <v>Normal</v>
      </c>
      <c r="Z460" s="2" t="s">
        <v>39</v>
      </c>
      <c r="AA460" s="2" t="s">
        <v>27</v>
      </c>
      <c r="AB460" s="2" t="s">
        <v>50</v>
      </c>
      <c r="AC460" s="2" t="s">
        <v>29</v>
      </c>
      <c r="AD460" s="22" t="s">
        <v>67</v>
      </c>
      <c r="AE460" s="2" t="str">
        <f t="shared" si="104"/>
        <v>Valid</v>
      </c>
      <c r="AF460" s="2" t="s">
        <v>1629</v>
      </c>
    </row>
    <row r="461" spans="1:32" x14ac:dyDescent="0.3">
      <c r="A461" s="2" t="s">
        <v>1630</v>
      </c>
      <c r="B461" s="2">
        <f t="shared" si="94"/>
        <v>1</v>
      </c>
      <c r="C461" s="12">
        <f t="shared" si="105"/>
        <v>46238.582413784723</v>
      </c>
      <c r="D461" s="13">
        <v>46238.582413784723</v>
      </c>
      <c r="E461" s="2" t="s">
        <v>1177</v>
      </c>
      <c r="F461" s="2" t="str">
        <f t="shared" si="95"/>
        <v>Email Available</v>
      </c>
      <c r="G461" s="2" t="s">
        <v>1178</v>
      </c>
      <c r="H461" s="2" t="s">
        <v>85</v>
      </c>
      <c r="I461" s="2" t="s">
        <v>86</v>
      </c>
      <c r="J461" s="2" t="s">
        <v>87</v>
      </c>
      <c r="K461" s="2">
        <v>1</v>
      </c>
      <c r="L461" s="2">
        <v>54.99</v>
      </c>
      <c r="M461" s="19">
        <f t="shared" si="96"/>
        <v>54.99</v>
      </c>
      <c r="N461" s="2" t="s">
        <v>118</v>
      </c>
      <c r="O461" s="2" t="str">
        <f t="shared" si="97"/>
        <v>BFCM25</v>
      </c>
      <c r="P461" s="2">
        <v>13.75</v>
      </c>
      <c r="Q461" s="19">
        <f t="shared" si="98"/>
        <v>13.75</v>
      </c>
      <c r="R461" s="2" t="str">
        <f t="shared" si="99"/>
        <v>Number</v>
      </c>
      <c r="S461" s="2">
        <v>4.99</v>
      </c>
      <c r="T461" s="19">
        <f t="shared" si="100"/>
        <v>4.99</v>
      </c>
      <c r="U461" s="2">
        <v>46.23</v>
      </c>
      <c r="V461" s="19">
        <f t="shared" si="101"/>
        <v>46.23</v>
      </c>
      <c r="W461" s="19">
        <f t="shared" si="102"/>
        <v>46.230000000000004</v>
      </c>
      <c r="X461" s="19" t="str">
        <f t="shared" si="103"/>
        <v>True</v>
      </c>
      <c r="Y461" s="19" t="str">
        <f>IF(OR(W461&lt;'Cleaning Tasks'!$G$18,W461&gt;'Cleaning Tasks'!$H$18),"Outlier","Normal")</f>
        <v>Normal</v>
      </c>
      <c r="Z461" s="2" t="s">
        <v>39</v>
      </c>
      <c r="AA461" s="2" t="s">
        <v>27</v>
      </c>
      <c r="AB461" s="2" t="s">
        <v>96</v>
      </c>
      <c r="AC461" s="2" t="s">
        <v>29</v>
      </c>
      <c r="AD461" s="22" t="s">
        <v>89</v>
      </c>
      <c r="AE461" s="2" t="str">
        <f t="shared" si="104"/>
        <v>Valid</v>
      </c>
      <c r="AF461" s="2" t="s">
        <v>1631</v>
      </c>
    </row>
    <row r="462" spans="1:32" x14ac:dyDescent="0.3">
      <c r="A462" s="2" t="s">
        <v>1632</v>
      </c>
      <c r="B462" s="2">
        <f t="shared" si="94"/>
        <v>1</v>
      </c>
      <c r="C462" s="12">
        <f t="shared" si="105"/>
        <v>46238.584837476847</v>
      </c>
      <c r="D462" s="13">
        <v>46238.584837476847</v>
      </c>
      <c r="E462" s="2" t="s">
        <v>1633</v>
      </c>
      <c r="F462" s="2" t="str">
        <f t="shared" si="95"/>
        <v>Email Available</v>
      </c>
      <c r="G462" s="2" t="s">
        <v>1634</v>
      </c>
      <c r="H462" s="2" t="s">
        <v>124</v>
      </c>
      <c r="I462" s="2" t="s">
        <v>79</v>
      </c>
      <c r="J462" s="2" t="s">
        <v>125</v>
      </c>
      <c r="K462" s="2">
        <v>1</v>
      </c>
      <c r="L462" s="2">
        <v>13.99</v>
      </c>
      <c r="M462" s="19">
        <f t="shared" si="96"/>
        <v>13.99</v>
      </c>
      <c r="N462" s="2" t="s">
        <v>65</v>
      </c>
      <c r="O462" s="2" t="str">
        <f t="shared" si="97"/>
        <v>WELCOME10</v>
      </c>
      <c r="P462" s="2" t="s">
        <v>1635</v>
      </c>
      <c r="Q462" s="19">
        <f t="shared" si="98"/>
        <v>1.4</v>
      </c>
      <c r="R462" s="2" t="str">
        <f t="shared" si="99"/>
        <v>Number</v>
      </c>
      <c r="S462" s="2">
        <v>4.99</v>
      </c>
      <c r="T462" s="19">
        <f t="shared" si="100"/>
        <v>4.99</v>
      </c>
      <c r="U462" s="2">
        <v>17.579999999999998</v>
      </c>
      <c r="V462" s="19">
        <f t="shared" si="101"/>
        <v>17.579999999999998</v>
      </c>
      <c r="W462" s="19">
        <f t="shared" si="102"/>
        <v>17.579999999999998</v>
      </c>
      <c r="X462" s="19" t="str">
        <f t="shared" si="103"/>
        <v>True</v>
      </c>
      <c r="Y462" s="19" t="str">
        <f>IF(OR(W462&lt;'Cleaning Tasks'!$G$18,W462&gt;'Cleaning Tasks'!$H$18),"Outlier","Normal")</f>
        <v>Normal</v>
      </c>
      <c r="Z462" s="2" t="s">
        <v>39</v>
      </c>
      <c r="AA462" s="2" t="s">
        <v>27</v>
      </c>
      <c r="AB462" s="2" t="s">
        <v>50</v>
      </c>
      <c r="AC462" s="2" t="s">
        <v>223</v>
      </c>
      <c r="AD462" s="2"/>
      <c r="AE462" s="2" t="str">
        <f t="shared" si="104"/>
        <v>Not Required</v>
      </c>
      <c r="AF462" s="2" t="s">
        <v>1636</v>
      </c>
    </row>
    <row r="463" spans="1:32" x14ac:dyDescent="0.3">
      <c r="A463" s="2" t="s">
        <v>1637</v>
      </c>
      <c r="B463" s="2">
        <f t="shared" si="94"/>
        <v>1</v>
      </c>
      <c r="C463" s="12">
        <f t="shared" si="105"/>
        <v>46238.586425914349</v>
      </c>
      <c r="D463" s="13">
        <v>46238.586425914349</v>
      </c>
      <c r="E463" s="2" t="s">
        <v>441</v>
      </c>
      <c r="F463" s="2" t="str">
        <f t="shared" si="95"/>
        <v>Email Available</v>
      </c>
      <c r="G463" s="2" t="s">
        <v>442</v>
      </c>
      <c r="H463" s="2" t="s">
        <v>236</v>
      </c>
      <c r="I463" s="2" t="s">
        <v>237</v>
      </c>
      <c r="J463" s="2" t="s">
        <v>238</v>
      </c>
      <c r="K463" s="2">
        <v>1</v>
      </c>
      <c r="L463" s="2" t="s">
        <v>1512</v>
      </c>
      <c r="M463" s="19">
        <f t="shared" si="96"/>
        <v>27.99</v>
      </c>
      <c r="N463" s="2"/>
      <c r="O463" s="2" t="str">
        <f t="shared" si="97"/>
        <v/>
      </c>
      <c r="P463" s="2">
        <v>0</v>
      </c>
      <c r="Q463" s="19">
        <f t="shared" si="98"/>
        <v>0</v>
      </c>
      <c r="R463" s="2" t="str">
        <f t="shared" si="99"/>
        <v>Number</v>
      </c>
      <c r="S463" s="2">
        <v>5.99</v>
      </c>
      <c r="T463" s="19">
        <f t="shared" si="100"/>
        <v>5.99</v>
      </c>
      <c r="U463" s="2" t="s">
        <v>1638</v>
      </c>
      <c r="V463" s="19">
        <f t="shared" si="101"/>
        <v>33.979999999999997</v>
      </c>
      <c r="W463" s="19">
        <f t="shared" si="102"/>
        <v>33.979999999999997</v>
      </c>
      <c r="X463" s="19" t="str">
        <f t="shared" si="103"/>
        <v>True</v>
      </c>
      <c r="Y463" s="19" t="str">
        <f>IF(OR(W463&lt;'Cleaning Tasks'!$G$18,W463&gt;'Cleaning Tasks'!$H$18),"Outlier","Normal")</f>
        <v>Normal</v>
      </c>
      <c r="Z463" s="2" t="s">
        <v>49</v>
      </c>
      <c r="AA463" s="2" t="s">
        <v>27</v>
      </c>
      <c r="AB463" s="2" t="s">
        <v>41</v>
      </c>
      <c r="AC463" s="2" t="s">
        <v>29</v>
      </c>
      <c r="AD463" s="2" t="s">
        <v>30</v>
      </c>
      <c r="AE463" s="2" t="str">
        <f t="shared" si="104"/>
        <v>Valid</v>
      </c>
      <c r="AF463" s="2" t="s">
        <v>1639</v>
      </c>
    </row>
    <row r="464" spans="1:32" x14ac:dyDescent="0.3">
      <c r="A464" s="2" t="s">
        <v>1640</v>
      </c>
      <c r="B464" s="2">
        <f t="shared" si="94"/>
        <v>1</v>
      </c>
      <c r="C464" s="12">
        <f t="shared" si="105"/>
        <v>46238.581160995367</v>
      </c>
      <c r="D464" s="13">
        <v>46238.581160995367</v>
      </c>
      <c r="E464" s="2" t="s">
        <v>1641</v>
      </c>
      <c r="F464" s="2" t="str">
        <f t="shared" si="95"/>
        <v>Email Available</v>
      </c>
      <c r="G464" s="2" t="s">
        <v>691</v>
      </c>
      <c r="H464" s="2" t="s">
        <v>109</v>
      </c>
      <c r="I464" s="2" t="s">
        <v>79</v>
      </c>
      <c r="J464" s="2" t="s">
        <v>110</v>
      </c>
      <c r="K464" s="2">
        <v>2</v>
      </c>
      <c r="L464" s="2">
        <v>22.99</v>
      </c>
      <c r="M464" s="19">
        <f t="shared" si="96"/>
        <v>22.99</v>
      </c>
      <c r="N464" s="2"/>
      <c r="O464" s="2" t="str">
        <f t="shared" si="97"/>
        <v/>
      </c>
      <c r="P464" s="2" t="s">
        <v>184</v>
      </c>
      <c r="Q464" s="19">
        <f t="shared" si="98"/>
        <v>0</v>
      </c>
      <c r="R464" s="2" t="str">
        <f t="shared" si="99"/>
        <v>Number</v>
      </c>
      <c r="S464" s="2">
        <v>7.99</v>
      </c>
      <c r="T464" s="19">
        <f t="shared" si="100"/>
        <v>7.99</v>
      </c>
      <c r="U464" s="2">
        <v>53.97</v>
      </c>
      <c r="V464" s="19">
        <f t="shared" si="101"/>
        <v>53.97</v>
      </c>
      <c r="W464" s="19">
        <f t="shared" si="102"/>
        <v>53.97</v>
      </c>
      <c r="X464" s="19" t="str">
        <f t="shared" si="103"/>
        <v>True</v>
      </c>
      <c r="Y464" s="19" t="str">
        <f>IF(OR(W464&lt;'Cleaning Tasks'!$G$18,W464&gt;'Cleaning Tasks'!$H$18),"Outlier","Normal")</f>
        <v>Normal</v>
      </c>
      <c r="Z464" s="2" t="s">
        <v>66</v>
      </c>
      <c r="AA464" s="2" t="s">
        <v>27</v>
      </c>
      <c r="AB464" s="2" t="s">
        <v>50</v>
      </c>
      <c r="AC464" s="2" t="s">
        <v>29</v>
      </c>
      <c r="AD464" s="2" t="s">
        <v>140</v>
      </c>
      <c r="AE464" s="2" t="str">
        <f t="shared" si="104"/>
        <v>Valid</v>
      </c>
      <c r="AF464" s="2" t="s">
        <v>1642</v>
      </c>
    </row>
    <row r="465" spans="1:32" x14ac:dyDescent="0.3">
      <c r="A465" s="2" t="s">
        <v>1643</v>
      </c>
      <c r="B465" s="2">
        <f t="shared" si="94"/>
        <v>1</v>
      </c>
      <c r="C465" s="12">
        <f t="shared" si="105"/>
        <v>46238.588320625</v>
      </c>
      <c r="D465" s="13">
        <v>46238.588320625</v>
      </c>
      <c r="E465" s="2" t="s">
        <v>957</v>
      </c>
      <c r="F465" s="2" t="str">
        <f t="shared" si="95"/>
        <v>Email Available</v>
      </c>
      <c r="G465" s="2" t="s">
        <v>958</v>
      </c>
      <c r="H465" s="2" t="s">
        <v>361</v>
      </c>
      <c r="I465" s="2" t="s">
        <v>86</v>
      </c>
      <c r="J465" s="2" t="s">
        <v>362</v>
      </c>
      <c r="K465" s="2">
        <v>1</v>
      </c>
      <c r="L465" s="2">
        <v>54.99</v>
      </c>
      <c r="M465" s="19">
        <f t="shared" si="96"/>
        <v>54.99</v>
      </c>
      <c r="N465" s="2"/>
      <c r="O465" s="2" t="str">
        <f t="shared" si="97"/>
        <v/>
      </c>
      <c r="P465" s="2">
        <v>0</v>
      </c>
      <c r="Q465" s="19">
        <f t="shared" si="98"/>
        <v>0</v>
      </c>
      <c r="R465" s="2" t="str">
        <f t="shared" si="99"/>
        <v>Number</v>
      </c>
      <c r="S465" s="2">
        <v>5.99</v>
      </c>
      <c r="T465" s="19">
        <f t="shared" si="100"/>
        <v>5.99</v>
      </c>
      <c r="U465" s="2">
        <v>60.98</v>
      </c>
      <c r="V465" s="19">
        <f t="shared" si="101"/>
        <v>60.98</v>
      </c>
      <c r="W465" s="19">
        <f t="shared" si="102"/>
        <v>60.980000000000004</v>
      </c>
      <c r="X465" s="19" t="str">
        <f t="shared" si="103"/>
        <v>True</v>
      </c>
      <c r="Y465" s="19" t="str">
        <f>IF(OR(W465&lt;'Cleaning Tasks'!$G$18,W465&gt;'Cleaning Tasks'!$H$18),"Outlier","Normal")</f>
        <v>Normal</v>
      </c>
      <c r="Z465" s="2" t="s">
        <v>39</v>
      </c>
      <c r="AA465" s="2" t="s">
        <v>88</v>
      </c>
      <c r="AB465" s="2" t="s">
        <v>28</v>
      </c>
      <c r="AC465" s="2" t="s">
        <v>331</v>
      </c>
      <c r="AD465" s="2"/>
      <c r="AE465" s="2" t="str">
        <f t="shared" si="104"/>
        <v>Not Required</v>
      </c>
      <c r="AF465" s="2" t="s">
        <v>1644</v>
      </c>
    </row>
    <row r="466" spans="1:32" x14ac:dyDescent="0.3">
      <c r="A466" s="2" t="s">
        <v>1645</v>
      </c>
      <c r="B466" s="2">
        <f t="shared" si="94"/>
        <v>1</v>
      </c>
      <c r="C466" s="12">
        <f t="shared" si="105"/>
        <v>46238.582700798608</v>
      </c>
      <c r="D466" s="13">
        <v>46238.582700798608</v>
      </c>
      <c r="E466" s="2" t="s">
        <v>405</v>
      </c>
      <c r="F466" s="2" t="str">
        <f t="shared" si="95"/>
        <v>Email Available</v>
      </c>
      <c r="G466" s="2" t="s">
        <v>406</v>
      </c>
      <c r="H466" s="2" t="s">
        <v>166</v>
      </c>
      <c r="I466" s="2" t="s">
        <v>103</v>
      </c>
      <c r="J466" s="2" t="s">
        <v>167</v>
      </c>
      <c r="K466" s="2">
        <v>1</v>
      </c>
      <c r="L466" s="2">
        <v>32.99</v>
      </c>
      <c r="M466" s="19">
        <f t="shared" si="96"/>
        <v>32.99</v>
      </c>
      <c r="N466" s="2"/>
      <c r="O466" s="2" t="str">
        <f t="shared" si="97"/>
        <v/>
      </c>
      <c r="P466" s="2">
        <v>0</v>
      </c>
      <c r="Q466" s="19">
        <f t="shared" si="98"/>
        <v>0</v>
      </c>
      <c r="R466" s="2" t="str">
        <f t="shared" si="99"/>
        <v>Number</v>
      </c>
      <c r="S466" s="2">
        <v>4.99</v>
      </c>
      <c r="T466" s="19">
        <f t="shared" si="100"/>
        <v>4.99</v>
      </c>
      <c r="U466" s="2">
        <v>37.979999999999997</v>
      </c>
      <c r="V466" s="19">
        <f t="shared" si="101"/>
        <v>37.979999999999997</v>
      </c>
      <c r="W466" s="19">
        <f t="shared" si="102"/>
        <v>37.980000000000004</v>
      </c>
      <c r="X466" s="19" t="str">
        <f t="shared" si="103"/>
        <v>True</v>
      </c>
      <c r="Y466" s="19" t="str">
        <f>IF(OR(W466&lt;'Cleaning Tasks'!$G$18,W466&gt;'Cleaning Tasks'!$H$18),"Outlier","Normal")</f>
        <v>Normal</v>
      </c>
      <c r="Z466" s="2" t="s">
        <v>49</v>
      </c>
      <c r="AA466" s="2" t="s">
        <v>27</v>
      </c>
      <c r="AB466" s="2" t="s">
        <v>50</v>
      </c>
      <c r="AC466" s="2" t="s">
        <v>29</v>
      </c>
      <c r="AD466" s="22" t="s">
        <v>67</v>
      </c>
      <c r="AE466" s="2" t="str">
        <f t="shared" si="104"/>
        <v>Valid</v>
      </c>
      <c r="AF466" s="2" t="s">
        <v>1646</v>
      </c>
    </row>
    <row r="467" spans="1:32" x14ac:dyDescent="0.3">
      <c r="A467" s="2" t="s">
        <v>1647</v>
      </c>
      <c r="B467" s="2">
        <f t="shared" si="94"/>
        <v>1</v>
      </c>
      <c r="C467" s="12">
        <f t="shared" si="105"/>
        <v>46238.581285185188</v>
      </c>
      <c r="D467" s="13">
        <v>46238.581285185188</v>
      </c>
      <c r="E467" s="2" t="s">
        <v>1596</v>
      </c>
      <c r="F467" s="2" t="str">
        <f t="shared" si="95"/>
        <v>Email Available</v>
      </c>
      <c r="G467" s="2" t="s">
        <v>1597</v>
      </c>
      <c r="H467" s="2" t="s">
        <v>35</v>
      </c>
      <c r="I467" s="2" t="s">
        <v>36</v>
      </c>
      <c r="J467" s="2" t="s">
        <v>37</v>
      </c>
      <c r="K467" s="2">
        <v>1</v>
      </c>
      <c r="L467" s="2">
        <v>21.99</v>
      </c>
      <c r="M467" s="19">
        <f t="shared" si="96"/>
        <v>21.99</v>
      </c>
      <c r="N467" s="2"/>
      <c r="O467" s="2" t="str">
        <f t="shared" si="97"/>
        <v/>
      </c>
      <c r="P467" s="2">
        <v>0</v>
      </c>
      <c r="Q467" s="19">
        <f t="shared" si="98"/>
        <v>0</v>
      </c>
      <c r="R467" s="2" t="str">
        <f t="shared" si="99"/>
        <v>Number</v>
      </c>
      <c r="S467" s="2">
        <v>7.99</v>
      </c>
      <c r="T467" s="19">
        <f t="shared" si="100"/>
        <v>7.99</v>
      </c>
      <c r="U467" s="2">
        <v>29.98</v>
      </c>
      <c r="V467" s="19">
        <f t="shared" si="101"/>
        <v>29.98</v>
      </c>
      <c r="W467" s="19">
        <f t="shared" si="102"/>
        <v>29.979999999999997</v>
      </c>
      <c r="X467" s="19" t="str">
        <f t="shared" si="103"/>
        <v>True</v>
      </c>
      <c r="Y467" s="19" t="str">
        <f>IF(OR(W467&lt;'Cleaning Tasks'!$G$18,W467&gt;'Cleaning Tasks'!$H$18),"Outlier","Normal")</f>
        <v>Normal</v>
      </c>
      <c r="Z467" s="2" t="s">
        <v>39</v>
      </c>
      <c r="AA467" s="2" t="s">
        <v>88</v>
      </c>
      <c r="AB467" s="2" t="s">
        <v>96</v>
      </c>
      <c r="AC467" s="2" t="s">
        <v>73</v>
      </c>
      <c r="AD467" s="2"/>
      <c r="AE467" s="2" t="str">
        <f t="shared" si="104"/>
        <v>Not Required</v>
      </c>
      <c r="AF467" s="2" t="s">
        <v>1648</v>
      </c>
    </row>
    <row r="468" spans="1:32" x14ac:dyDescent="0.3">
      <c r="A468" s="2" t="s">
        <v>1649</v>
      </c>
      <c r="B468" s="2">
        <f t="shared" si="94"/>
        <v>1</v>
      </c>
      <c r="C468" s="12">
        <f t="shared" si="105"/>
        <v>46238.586651469908</v>
      </c>
      <c r="D468" s="13">
        <v>46238.586651469908</v>
      </c>
      <c r="E468" s="2" t="s">
        <v>1650</v>
      </c>
      <c r="F468" s="2" t="str">
        <f t="shared" si="95"/>
        <v>Email Available</v>
      </c>
      <c r="G468" s="2" t="s">
        <v>1651</v>
      </c>
      <c r="H468" s="2" t="s">
        <v>56</v>
      </c>
      <c r="I468" s="2" t="s">
        <v>22</v>
      </c>
      <c r="J468" s="2" t="s">
        <v>57</v>
      </c>
      <c r="K468" s="2">
        <v>1</v>
      </c>
      <c r="L468" s="2">
        <v>9.99</v>
      </c>
      <c r="M468" s="19">
        <f t="shared" si="96"/>
        <v>9.99</v>
      </c>
      <c r="N468" s="2"/>
      <c r="O468" s="2" t="str">
        <f t="shared" si="97"/>
        <v/>
      </c>
      <c r="P468" s="2">
        <v>0</v>
      </c>
      <c r="Q468" s="19">
        <f t="shared" si="98"/>
        <v>0</v>
      </c>
      <c r="R468" s="2" t="str">
        <f t="shared" si="99"/>
        <v>Number</v>
      </c>
      <c r="S468" s="2">
        <v>4.99</v>
      </c>
      <c r="T468" s="19">
        <f t="shared" si="100"/>
        <v>4.99</v>
      </c>
      <c r="U468" s="2">
        <v>14.98</v>
      </c>
      <c r="V468" s="19">
        <f t="shared" si="101"/>
        <v>14.98</v>
      </c>
      <c r="W468" s="19">
        <f t="shared" si="102"/>
        <v>14.98</v>
      </c>
      <c r="X468" s="19" t="str">
        <f t="shared" si="103"/>
        <v>True</v>
      </c>
      <c r="Y468" s="19" t="str">
        <f>IF(OR(W468&lt;'Cleaning Tasks'!$G$18,W468&gt;'Cleaning Tasks'!$H$18),"Outlier","Normal")</f>
        <v>Normal</v>
      </c>
      <c r="Z468" s="2" t="s">
        <v>26</v>
      </c>
      <c r="AA468" s="2" t="s">
        <v>40</v>
      </c>
      <c r="AB468" s="2" t="s">
        <v>96</v>
      </c>
      <c r="AC468" s="2" t="s">
        <v>29</v>
      </c>
      <c r="AD468" s="2" t="s">
        <v>51</v>
      </c>
      <c r="AE468" s="2" t="str">
        <f t="shared" si="104"/>
        <v>Valid</v>
      </c>
      <c r="AF468" s="2" t="s">
        <v>1652</v>
      </c>
    </row>
    <row r="469" spans="1:32" x14ac:dyDescent="0.3">
      <c r="A469" s="2" t="s">
        <v>1653</v>
      </c>
      <c r="B469" s="2">
        <f t="shared" si="94"/>
        <v>1</v>
      </c>
      <c r="C469" s="12">
        <f t="shared" si="105"/>
        <v>46238.585685370374</v>
      </c>
      <c r="D469" s="13">
        <v>46238.585685370374</v>
      </c>
      <c r="E469" s="2" t="s">
        <v>673</v>
      </c>
      <c r="F469" s="2" t="str">
        <f t="shared" si="95"/>
        <v>Email Available</v>
      </c>
      <c r="G469" s="2" t="s">
        <v>674</v>
      </c>
      <c r="H469" s="2" t="s">
        <v>152</v>
      </c>
      <c r="I469" s="2" t="s">
        <v>36</v>
      </c>
      <c r="J469" s="2" t="s">
        <v>153</v>
      </c>
      <c r="K469" s="2">
        <v>1</v>
      </c>
      <c r="L469" s="2">
        <v>29.99</v>
      </c>
      <c r="M469" s="19">
        <f t="shared" si="96"/>
        <v>29.99</v>
      </c>
      <c r="N469" s="2"/>
      <c r="O469" s="2" t="str">
        <f t="shared" si="97"/>
        <v/>
      </c>
      <c r="P469" s="2">
        <v>0</v>
      </c>
      <c r="Q469" s="19">
        <f t="shared" si="98"/>
        <v>0</v>
      </c>
      <c r="R469" s="2" t="str">
        <f t="shared" si="99"/>
        <v>Number</v>
      </c>
      <c r="S469" s="2">
        <v>5.99</v>
      </c>
      <c r="T469" s="19">
        <f t="shared" si="100"/>
        <v>5.99</v>
      </c>
      <c r="U469" s="2">
        <v>35.979999999999997</v>
      </c>
      <c r="V469" s="19">
        <f t="shared" si="101"/>
        <v>35.979999999999997</v>
      </c>
      <c r="W469" s="19">
        <f t="shared" si="102"/>
        <v>35.979999999999997</v>
      </c>
      <c r="X469" s="19" t="str">
        <f t="shared" si="103"/>
        <v>True</v>
      </c>
      <c r="Y469" s="19" t="str">
        <f>IF(OR(W469&lt;'Cleaning Tasks'!$G$18,W469&gt;'Cleaning Tasks'!$H$18),"Outlier","Normal")</f>
        <v>Normal</v>
      </c>
      <c r="Z469" s="2" t="s">
        <v>72</v>
      </c>
      <c r="AA469" s="2" t="s">
        <v>27</v>
      </c>
      <c r="AB469" s="2" t="s">
        <v>96</v>
      </c>
      <c r="AC469" s="2" t="s">
        <v>73</v>
      </c>
      <c r="AD469" s="2"/>
      <c r="AE469" s="2" t="str">
        <f t="shared" si="104"/>
        <v>Not Required</v>
      </c>
      <c r="AF469" s="2" t="s">
        <v>1654</v>
      </c>
    </row>
    <row r="470" spans="1:32" x14ac:dyDescent="0.3">
      <c r="A470" s="2" t="s">
        <v>1655</v>
      </c>
      <c r="B470" s="2">
        <f t="shared" si="94"/>
        <v>1</v>
      </c>
      <c r="C470" s="12">
        <f t="shared" si="105"/>
        <v>46238</v>
      </c>
      <c r="D470" s="13" t="s">
        <v>338</v>
      </c>
      <c r="E470" s="2" t="s">
        <v>1656</v>
      </c>
      <c r="F470" s="2" t="str">
        <f t="shared" si="95"/>
        <v>Email Available</v>
      </c>
      <c r="G470" s="2" t="s">
        <v>1657</v>
      </c>
      <c r="H470" s="2" t="s">
        <v>361</v>
      </c>
      <c r="I470" s="2" t="s">
        <v>86</v>
      </c>
      <c r="J470" s="2" t="s">
        <v>362</v>
      </c>
      <c r="K470" s="2">
        <v>1</v>
      </c>
      <c r="L470" s="2">
        <v>54.99</v>
      </c>
      <c r="M470" s="19">
        <f t="shared" si="96"/>
        <v>54.99</v>
      </c>
      <c r="N470" s="2"/>
      <c r="O470" s="2" t="str">
        <f t="shared" si="97"/>
        <v/>
      </c>
      <c r="P470" s="2">
        <v>0</v>
      </c>
      <c r="Q470" s="19">
        <f t="shared" si="98"/>
        <v>0</v>
      </c>
      <c r="R470" s="2" t="str">
        <f t="shared" si="99"/>
        <v>Number</v>
      </c>
      <c r="S470" s="2">
        <v>4.99</v>
      </c>
      <c r="T470" s="19">
        <f t="shared" si="100"/>
        <v>4.99</v>
      </c>
      <c r="U470" s="2">
        <v>2999</v>
      </c>
      <c r="V470" s="19">
        <f t="shared" si="101"/>
        <v>2999</v>
      </c>
      <c r="W470" s="19">
        <f t="shared" si="102"/>
        <v>59.980000000000004</v>
      </c>
      <c r="X470" s="19" t="str">
        <f t="shared" si="103"/>
        <v>False</v>
      </c>
      <c r="Y470" s="19" t="str">
        <f>IF(OR(W470&lt;'Cleaning Tasks'!$G$18,W470&gt;'Cleaning Tasks'!$H$18),"Outlier","Normal")</f>
        <v>Normal</v>
      </c>
      <c r="Z470" s="2" t="s">
        <v>39</v>
      </c>
      <c r="AA470" s="2" t="s">
        <v>27</v>
      </c>
      <c r="AB470" s="2" t="s">
        <v>50</v>
      </c>
      <c r="AC470" s="2" t="s">
        <v>29</v>
      </c>
      <c r="AD470" s="2" t="s">
        <v>89</v>
      </c>
      <c r="AE470" s="2" t="str">
        <f t="shared" si="104"/>
        <v>Valid</v>
      </c>
      <c r="AF470" s="2" t="s">
        <v>1658</v>
      </c>
    </row>
    <row r="471" spans="1:32" x14ac:dyDescent="0.3">
      <c r="A471" s="2" t="s">
        <v>1659</v>
      </c>
      <c r="B471" s="2">
        <f t="shared" si="94"/>
        <v>1</v>
      </c>
      <c r="C471" s="12">
        <f t="shared" si="105"/>
        <v>46238.580755312498</v>
      </c>
      <c r="D471" s="13">
        <v>46238.580755312498</v>
      </c>
      <c r="E471" s="2" t="s">
        <v>176</v>
      </c>
      <c r="F471" s="2" t="str">
        <f t="shared" si="95"/>
        <v>Email Available</v>
      </c>
      <c r="G471" s="2" t="s">
        <v>177</v>
      </c>
      <c r="H471" s="2" t="s">
        <v>56</v>
      </c>
      <c r="I471" s="2" t="s">
        <v>22</v>
      </c>
      <c r="J471" s="2" t="s">
        <v>57</v>
      </c>
      <c r="K471" s="2">
        <v>1</v>
      </c>
      <c r="L471" s="2">
        <v>9.99</v>
      </c>
      <c r="M471" s="19">
        <f t="shared" si="96"/>
        <v>9.99</v>
      </c>
      <c r="N471" s="2" t="s">
        <v>24</v>
      </c>
      <c r="O471" s="2" t="str">
        <f t="shared" si="97"/>
        <v>SAVE20</v>
      </c>
      <c r="P471" s="2">
        <v>2</v>
      </c>
      <c r="Q471" s="19">
        <f t="shared" si="98"/>
        <v>2</v>
      </c>
      <c r="R471" s="2" t="str">
        <f t="shared" si="99"/>
        <v>Number</v>
      </c>
      <c r="S471" s="2">
        <v>7.99</v>
      </c>
      <c r="T471" s="19">
        <f t="shared" si="100"/>
        <v>7.99</v>
      </c>
      <c r="U471" s="2">
        <v>15.98</v>
      </c>
      <c r="V471" s="19">
        <f t="shared" si="101"/>
        <v>15.98</v>
      </c>
      <c r="W471" s="19">
        <f t="shared" si="102"/>
        <v>15.98</v>
      </c>
      <c r="X471" s="19" t="str">
        <f t="shared" si="103"/>
        <v>True</v>
      </c>
      <c r="Y471" s="19" t="str">
        <f>IF(OR(W471&lt;'Cleaning Tasks'!$G$18,W471&gt;'Cleaning Tasks'!$H$18),"Outlier","Normal")</f>
        <v>Normal</v>
      </c>
      <c r="Z471" s="2" t="s">
        <v>49</v>
      </c>
      <c r="AA471" s="2" t="s">
        <v>27</v>
      </c>
      <c r="AB471" s="2" t="s">
        <v>50</v>
      </c>
      <c r="AC471" s="2" t="s">
        <v>29</v>
      </c>
      <c r="AD471" s="2" t="s">
        <v>73</v>
      </c>
      <c r="AE471" s="2" t="str">
        <f t="shared" si="104"/>
        <v>Valid</v>
      </c>
      <c r="AF471" s="2" t="s">
        <v>1660</v>
      </c>
    </row>
    <row r="472" spans="1:32" x14ac:dyDescent="0.3">
      <c r="A472" s="2" t="s">
        <v>1661</v>
      </c>
      <c r="B472" s="2">
        <f t="shared" si="94"/>
        <v>1</v>
      </c>
      <c r="C472" s="12">
        <f t="shared" si="105"/>
        <v>46238.581202800917</v>
      </c>
      <c r="D472" s="13">
        <v>46238.581202800917</v>
      </c>
      <c r="E472" s="2" t="s">
        <v>347</v>
      </c>
      <c r="F472" s="2" t="str">
        <f t="shared" si="95"/>
        <v>Email Available</v>
      </c>
      <c r="G472" s="2" t="s">
        <v>348</v>
      </c>
      <c r="H472" s="2" t="s">
        <v>146</v>
      </c>
      <c r="I472" s="2" t="s">
        <v>47</v>
      </c>
      <c r="J472" s="2" t="s">
        <v>147</v>
      </c>
      <c r="K472" s="2">
        <v>2</v>
      </c>
      <c r="L472" s="2">
        <v>34.99</v>
      </c>
      <c r="M472" s="19">
        <f t="shared" si="96"/>
        <v>34.99</v>
      </c>
      <c r="N472" s="2"/>
      <c r="O472" s="2" t="str">
        <f t="shared" si="97"/>
        <v/>
      </c>
      <c r="P472" s="2">
        <v>0</v>
      </c>
      <c r="Q472" s="19">
        <f t="shared" si="98"/>
        <v>0</v>
      </c>
      <c r="R472" s="2" t="str">
        <f t="shared" si="99"/>
        <v>Number</v>
      </c>
      <c r="S472" s="2">
        <v>7.99</v>
      </c>
      <c r="T472" s="19">
        <f t="shared" si="100"/>
        <v>7.99</v>
      </c>
      <c r="U472" s="2">
        <v>77.97</v>
      </c>
      <c r="V472" s="19">
        <f t="shared" si="101"/>
        <v>77.97</v>
      </c>
      <c r="W472" s="19">
        <f t="shared" si="102"/>
        <v>77.97</v>
      </c>
      <c r="X472" s="19" t="str">
        <f t="shared" si="103"/>
        <v>True</v>
      </c>
      <c r="Y472" s="19" t="str">
        <f>IF(OR(W472&lt;'Cleaning Tasks'!$G$18,W472&gt;'Cleaning Tasks'!$H$18),"Outlier","Normal")</f>
        <v>Normal</v>
      </c>
      <c r="Z472" s="2" t="s">
        <v>66</v>
      </c>
      <c r="AA472" s="2" t="s">
        <v>111</v>
      </c>
      <c r="AB472" s="2" t="s">
        <v>41</v>
      </c>
      <c r="AC472" s="2" t="s">
        <v>223</v>
      </c>
      <c r="AD472" s="2"/>
      <c r="AE472" s="2" t="str">
        <f t="shared" si="104"/>
        <v>Not Required</v>
      </c>
      <c r="AF472" s="2" t="s">
        <v>1662</v>
      </c>
    </row>
    <row r="473" spans="1:32" x14ac:dyDescent="0.3">
      <c r="A473" s="2" t="s">
        <v>1663</v>
      </c>
      <c r="B473" s="2">
        <f t="shared" si="94"/>
        <v>1</v>
      </c>
      <c r="C473" s="12">
        <f t="shared" si="105"/>
        <v>46238</v>
      </c>
      <c r="D473" s="13">
        <v>46238</v>
      </c>
      <c r="E473" s="2" t="s">
        <v>993</v>
      </c>
      <c r="F473" s="2" t="str">
        <f t="shared" si="95"/>
        <v>Email Available</v>
      </c>
      <c r="G473" s="2" t="s">
        <v>994</v>
      </c>
      <c r="H473" s="2" t="s">
        <v>146</v>
      </c>
      <c r="I473" s="2" t="s">
        <v>47</v>
      </c>
      <c r="J473" s="2" t="s">
        <v>147</v>
      </c>
      <c r="K473" s="2">
        <v>1</v>
      </c>
      <c r="L473" s="2">
        <v>34.99</v>
      </c>
      <c r="M473" s="19">
        <f t="shared" si="96"/>
        <v>34.99</v>
      </c>
      <c r="N473" s="2" t="s">
        <v>203</v>
      </c>
      <c r="O473" s="2" t="str">
        <f t="shared" si="97"/>
        <v>VIP15</v>
      </c>
      <c r="P473" s="2">
        <v>5.25</v>
      </c>
      <c r="Q473" s="19">
        <f t="shared" si="98"/>
        <v>5.25</v>
      </c>
      <c r="R473" s="2" t="str">
        <f t="shared" si="99"/>
        <v>Number</v>
      </c>
      <c r="S473" s="2">
        <v>7.99</v>
      </c>
      <c r="T473" s="19">
        <f t="shared" si="100"/>
        <v>7.99</v>
      </c>
      <c r="U473" s="2">
        <v>37.729999999999997</v>
      </c>
      <c r="V473" s="19">
        <f t="shared" si="101"/>
        <v>37.729999999999997</v>
      </c>
      <c r="W473" s="19">
        <f t="shared" si="102"/>
        <v>37.730000000000004</v>
      </c>
      <c r="X473" s="19" t="str">
        <f t="shared" si="103"/>
        <v>True</v>
      </c>
      <c r="Y473" s="19" t="str">
        <f>IF(OR(W473&lt;'Cleaning Tasks'!$G$18,W473&gt;'Cleaning Tasks'!$H$18),"Outlier","Normal")</f>
        <v>Normal</v>
      </c>
      <c r="Z473" s="2" t="s">
        <v>66</v>
      </c>
      <c r="AA473" s="2" t="s">
        <v>111</v>
      </c>
      <c r="AB473" s="2" t="s">
        <v>96</v>
      </c>
      <c r="AC473" s="2" t="s">
        <v>42</v>
      </c>
      <c r="AD473" s="2"/>
      <c r="AE473" s="2" t="str">
        <f t="shared" si="104"/>
        <v>Not Required</v>
      </c>
      <c r="AF473" s="2" t="s">
        <v>1664</v>
      </c>
    </row>
    <row r="474" spans="1:32" x14ac:dyDescent="0.3">
      <c r="A474" s="2" t="s">
        <v>1665</v>
      </c>
      <c r="B474" s="2">
        <f t="shared" si="94"/>
        <v>1</v>
      </c>
      <c r="C474" s="12">
        <f t="shared" si="105"/>
        <v>46238.584400949083</v>
      </c>
      <c r="D474" s="13">
        <v>46238.584400949083</v>
      </c>
      <c r="E474" s="2" t="s">
        <v>557</v>
      </c>
      <c r="F474" s="2" t="str">
        <f t="shared" si="95"/>
        <v>Email Available</v>
      </c>
      <c r="G474" s="2" t="s">
        <v>558</v>
      </c>
      <c r="H474" s="2" t="s">
        <v>261</v>
      </c>
      <c r="I474" s="2" t="s">
        <v>36</v>
      </c>
      <c r="J474" s="2" t="s">
        <v>262</v>
      </c>
      <c r="K474" s="2">
        <v>2</v>
      </c>
      <c r="L474" s="2">
        <v>15.49</v>
      </c>
      <c r="M474" s="19">
        <f t="shared" si="96"/>
        <v>15.49</v>
      </c>
      <c r="N474" s="2" t="s">
        <v>24</v>
      </c>
      <c r="O474" s="2" t="str">
        <f t="shared" si="97"/>
        <v>SAVE20</v>
      </c>
      <c r="P474" s="2">
        <v>6.2</v>
      </c>
      <c r="Q474" s="19">
        <f t="shared" si="98"/>
        <v>6.2</v>
      </c>
      <c r="R474" s="2" t="str">
        <f t="shared" si="99"/>
        <v>Number</v>
      </c>
      <c r="S474" s="2">
        <v>5.99</v>
      </c>
      <c r="T474" s="19">
        <f t="shared" si="100"/>
        <v>5.99</v>
      </c>
      <c r="U474" s="2">
        <v>30.77</v>
      </c>
      <c r="V474" s="19">
        <f t="shared" si="101"/>
        <v>30.77</v>
      </c>
      <c r="W474" s="19">
        <f t="shared" si="102"/>
        <v>30.770000000000003</v>
      </c>
      <c r="X474" s="19" t="str">
        <f t="shared" si="103"/>
        <v>True</v>
      </c>
      <c r="Y474" s="19" t="str">
        <f>IF(OR(W474&lt;'Cleaning Tasks'!$G$18,W474&gt;'Cleaning Tasks'!$H$18),"Outlier","Normal")</f>
        <v>Normal</v>
      </c>
      <c r="Z474" s="2" t="s">
        <v>72</v>
      </c>
      <c r="AA474" s="2" t="s">
        <v>88</v>
      </c>
      <c r="AB474" s="2" t="s">
        <v>28</v>
      </c>
      <c r="AC474" s="2" t="s">
        <v>42</v>
      </c>
      <c r="AD474" s="2"/>
      <c r="AE474" s="2" t="str">
        <f t="shared" si="104"/>
        <v>Not Required</v>
      </c>
      <c r="AF474" s="2" t="s">
        <v>1666</v>
      </c>
    </row>
    <row r="475" spans="1:32" x14ac:dyDescent="0.3">
      <c r="A475" s="2" t="s">
        <v>1667</v>
      </c>
      <c r="B475" s="2">
        <f t="shared" si="94"/>
        <v>1</v>
      </c>
      <c r="C475" s="12">
        <f t="shared" si="105"/>
        <v>46238.581196851846</v>
      </c>
      <c r="D475" s="13">
        <v>46238.581196851846</v>
      </c>
      <c r="E475" s="2" t="s">
        <v>1271</v>
      </c>
      <c r="F475" s="2" t="str">
        <f t="shared" si="95"/>
        <v>Missing Email</v>
      </c>
      <c r="G475" s="2"/>
      <c r="H475" s="2" t="s">
        <v>109</v>
      </c>
      <c r="I475" s="2" t="s">
        <v>79</v>
      </c>
      <c r="J475" s="2" t="s">
        <v>110</v>
      </c>
      <c r="K475" s="2">
        <v>1</v>
      </c>
      <c r="L475" s="2">
        <v>22.99</v>
      </c>
      <c r="M475" s="19">
        <f t="shared" si="96"/>
        <v>22.99</v>
      </c>
      <c r="N475" s="2" t="s">
        <v>24</v>
      </c>
      <c r="O475" s="2" t="str">
        <f t="shared" si="97"/>
        <v>SAVE20</v>
      </c>
      <c r="P475" s="2">
        <v>4.5999999999999996</v>
      </c>
      <c r="Q475" s="19">
        <f t="shared" si="98"/>
        <v>4.5999999999999996</v>
      </c>
      <c r="R475" s="2" t="str">
        <f t="shared" si="99"/>
        <v>Number</v>
      </c>
      <c r="S475" s="2">
        <v>5.99</v>
      </c>
      <c r="T475" s="19">
        <f t="shared" si="100"/>
        <v>5.99</v>
      </c>
      <c r="U475" s="2">
        <v>24.38</v>
      </c>
      <c r="V475" s="19">
        <f t="shared" si="101"/>
        <v>24.38</v>
      </c>
      <c r="W475" s="19">
        <f t="shared" si="102"/>
        <v>24.380000000000003</v>
      </c>
      <c r="X475" s="19" t="str">
        <f t="shared" si="103"/>
        <v>True</v>
      </c>
      <c r="Y475" s="19" t="str">
        <f>IF(OR(W475&lt;'Cleaning Tasks'!$G$18,W475&gt;'Cleaning Tasks'!$H$18),"Outlier","Normal")</f>
        <v>Normal</v>
      </c>
      <c r="Z475" s="2" t="s">
        <v>26</v>
      </c>
      <c r="AA475" s="2" t="s">
        <v>27</v>
      </c>
      <c r="AB475" s="2" t="s">
        <v>96</v>
      </c>
      <c r="AC475" s="2" t="s">
        <v>73</v>
      </c>
      <c r="AD475" s="2"/>
      <c r="AE475" s="2" t="str">
        <f t="shared" si="104"/>
        <v>Not Required</v>
      </c>
      <c r="AF475" s="2" t="s">
        <v>1668</v>
      </c>
    </row>
    <row r="476" spans="1:32" x14ac:dyDescent="0.3">
      <c r="A476" s="2" t="s">
        <v>1669</v>
      </c>
      <c r="B476" s="2">
        <f t="shared" si="94"/>
        <v>1</v>
      </c>
      <c r="C476" s="12">
        <f t="shared" si="105"/>
        <v>46238.581001770843</v>
      </c>
      <c r="D476" s="13">
        <v>46238.581001770843</v>
      </c>
      <c r="E476" s="2" t="s">
        <v>1506</v>
      </c>
      <c r="F476" s="2" t="str">
        <f t="shared" si="95"/>
        <v>Email Available</v>
      </c>
      <c r="G476" s="2" t="s">
        <v>1507</v>
      </c>
      <c r="H476" s="2" t="s">
        <v>190</v>
      </c>
      <c r="I476" s="2" t="s">
        <v>191</v>
      </c>
      <c r="J476" s="2" t="s">
        <v>192</v>
      </c>
      <c r="K476" s="2">
        <v>3</v>
      </c>
      <c r="L476" s="2">
        <v>13.49</v>
      </c>
      <c r="M476" s="19">
        <f t="shared" si="96"/>
        <v>13.49</v>
      </c>
      <c r="N476" s="2" t="s">
        <v>24</v>
      </c>
      <c r="O476" s="2" t="str">
        <f t="shared" si="97"/>
        <v>SAVE20</v>
      </c>
      <c r="P476" s="2">
        <v>8.09</v>
      </c>
      <c r="Q476" s="19">
        <f t="shared" si="98"/>
        <v>8.09</v>
      </c>
      <c r="R476" s="2" t="str">
        <f t="shared" si="99"/>
        <v>Number</v>
      </c>
      <c r="S476" s="2">
        <v>5.99</v>
      </c>
      <c r="T476" s="19">
        <f t="shared" si="100"/>
        <v>5.99</v>
      </c>
      <c r="U476" s="2">
        <v>38.369999999999997</v>
      </c>
      <c r="V476" s="19">
        <f t="shared" si="101"/>
        <v>38.369999999999997</v>
      </c>
      <c r="W476" s="19">
        <f t="shared" si="102"/>
        <v>38.369999999999997</v>
      </c>
      <c r="X476" s="19" t="str">
        <f t="shared" si="103"/>
        <v>True</v>
      </c>
      <c r="Y476" s="19" t="str">
        <f>IF(OR(W476&lt;'Cleaning Tasks'!$G$18,W476&gt;'Cleaning Tasks'!$H$18),"Outlier","Normal")</f>
        <v>Normal</v>
      </c>
      <c r="Z476" s="2" t="s">
        <v>39</v>
      </c>
      <c r="AA476" s="2" t="s">
        <v>40</v>
      </c>
      <c r="AB476" s="2" t="s">
        <v>50</v>
      </c>
      <c r="AC476" s="2" t="s">
        <v>105</v>
      </c>
      <c r="AD476" s="2"/>
      <c r="AE476" s="2" t="str">
        <f t="shared" si="104"/>
        <v>Not Required</v>
      </c>
      <c r="AF476" s="2" t="s">
        <v>1670</v>
      </c>
    </row>
    <row r="477" spans="1:32" x14ac:dyDescent="0.3">
      <c r="A477" s="2" t="s">
        <v>1671</v>
      </c>
      <c r="B477" s="2">
        <f t="shared" si="94"/>
        <v>1</v>
      </c>
      <c r="C477" s="12">
        <f t="shared" si="105"/>
        <v>46238.583976608803</v>
      </c>
      <c r="D477" s="13">
        <v>46238.583976608803</v>
      </c>
      <c r="E477" s="2" t="s">
        <v>329</v>
      </c>
      <c r="F477" s="2" t="str">
        <f t="shared" si="95"/>
        <v>Email Available</v>
      </c>
      <c r="G477" s="2" t="s">
        <v>330</v>
      </c>
      <c r="H477" s="2" t="s">
        <v>102</v>
      </c>
      <c r="I477" s="2" t="s">
        <v>103</v>
      </c>
      <c r="J477" s="2" t="s">
        <v>104</v>
      </c>
      <c r="K477" s="2">
        <v>1</v>
      </c>
      <c r="L477" s="2">
        <v>19.989999999999998</v>
      </c>
      <c r="M477" s="19">
        <f t="shared" si="96"/>
        <v>19.989999999999998</v>
      </c>
      <c r="N477" s="2" t="s">
        <v>65</v>
      </c>
      <c r="O477" s="2" t="str">
        <f t="shared" si="97"/>
        <v>WELCOME10</v>
      </c>
      <c r="P477" s="2">
        <v>2</v>
      </c>
      <c r="Q477" s="19">
        <f t="shared" si="98"/>
        <v>2</v>
      </c>
      <c r="R477" s="2" t="str">
        <f t="shared" si="99"/>
        <v>Number</v>
      </c>
      <c r="S477" s="2">
        <v>7.99</v>
      </c>
      <c r="T477" s="19">
        <f t="shared" si="100"/>
        <v>7.99</v>
      </c>
      <c r="U477" s="2">
        <v>25.98</v>
      </c>
      <c r="V477" s="19">
        <f t="shared" si="101"/>
        <v>25.98</v>
      </c>
      <c r="W477" s="19">
        <f t="shared" si="102"/>
        <v>25.979999999999997</v>
      </c>
      <c r="X477" s="19" t="str">
        <f t="shared" si="103"/>
        <v>True</v>
      </c>
      <c r="Y477" s="19" t="str">
        <f>IF(OR(W477&lt;'Cleaning Tasks'!$G$18,W477&gt;'Cleaning Tasks'!$H$18),"Outlier","Normal")</f>
        <v>Normal</v>
      </c>
      <c r="Z477" s="2" t="s">
        <v>66</v>
      </c>
      <c r="AA477" s="2" t="s">
        <v>111</v>
      </c>
      <c r="AB477" s="2" t="s">
        <v>50</v>
      </c>
      <c r="AC477" s="2" t="s">
        <v>331</v>
      </c>
      <c r="AD477" s="2"/>
      <c r="AE477" s="2" t="str">
        <f t="shared" si="104"/>
        <v>Not Required</v>
      </c>
      <c r="AF477" s="2" t="s">
        <v>1672</v>
      </c>
    </row>
    <row r="478" spans="1:32" x14ac:dyDescent="0.3">
      <c r="A478" s="2" t="s">
        <v>1673</v>
      </c>
      <c r="B478" s="2">
        <f t="shared" si="94"/>
        <v>1</v>
      </c>
      <c r="C478" s="12">
        <f t="shared" si="105"/>
        <v>46238.588188009257</v>
      </c>
      <c r="D478" s="13">
        <v>46238.588188009257</v>
      </c>
      <c r="E478" s="2" t="s">
        <v>871</v>
      </c>
      <c r="F478" s="2" t="str">
        <f t="shared" si="95"/>
        <v>Email Available</v>
      </c>
      <c r="G478" s="2" t="s">
        <v>872</v>
      </c>
      <c r="H478" s="2" t="s">
        <v>261</v>
      </c>
      <c r="I478" s="2" t="s">
        <v>36</v>
      </c>
      <c r="J478" s="2" t="s">
        <v>262</v>
      </c>
      <c r="K478" s="2">
        <v>1</v>
      </c>
      <c r="L478" s="2">
        <v>15.49</v>
      </c>
      <c r="M478" s="19">
        <f t="shared" si="96"/>
        <v>15.49</v>
      </c>
      <c r="N478" s="2"/>
      <c r="O478" s="2" t="str">
        <f t="shared" si="97"/>
        <v/>
      </c>
      <c r="P478" s="2" t="s">
        <v>184</v>
      </c>
      <c r="Q478" s="19">
        <f t="shared" si="98"/>
        <v>0</v>
      </c>
      <c r="R478" s="2" t="str">
        <f t="shared" si="99"/>
        <v>Number</v>
      </c>
      <c r="S478" s="2">
        <v>7.99</v>
      </c>
      <c r="T478" s="19">
        <f t="shared" si="100"/>
        <v>7.99</v>
      </c>
      <c r="U478" s="2">
        <v>23.48</v>
      </c>
      <c r="V478" s="19">
        <f t="shared" si="101"/>
        <v>23.48</v>
      </c>
      <c r="W478" s="19">
        <f t="shared" si="102"/>
        <v>23.48</v>
      </c>
      <c r="X478" s="19" t="str">
        <f t="shared" si="103"/>
        <v>True</v>
      </c>
      <c r="Y478" s="19" t="str">
        <f>IF(OR(W478&lt;'Cleaning Tasks'!$G$18,W478&gt;'Cleaning Tasks'!$H$18),"Outlier","Normal")</f>
        <v>Normal</v>
      </c>
      <c r="Z478" s="2" t="s">
        <v>26</v>
      </c>
      <c r="AA478" s="2" t="s">
        <v>111</v>
      </c>
      <c r="AB478" s="2" t="s">
        <v>96</v>
      </c>
      <c r="AC478" s="2" t="s">
        <v>29</v>
      </c>
      <c r="AD478" s="2" t="s">
        <v>67</v>
      </c>
      <c r="AE478" s="2" t="str">
        <f t="shared" si="104"/>
        <v>Valid</v>
      </c>
      <c r="AF478" s="2" t="s">
        <v>1674</v>
      </c>
    </row>
    <row r="479" spans="1:32" x14ac:dyDescent="0.3">
      <c r="A479" s="2" t="s">
        <v>1675</v>
      </c>
      <c r="B479" s="2">
        <f t="shared" si="94"/>
        <v>1</v>
      </c>
      <c r="C479" s="12">
        <f t="shared" si="105"/>
        <v>46238</v>
      </c>
      <c r="D479" s="13" t="s">
        <v>338</v>
      </c>
      <c r="E479" s="2" t="s">
        <v>1275</v>
      </c>
      <c r="F479" s="2" t="str">
        <f t="shared" si="95"/>
        <v>Email Available</v>
      </c>
      <c r="G479" s="2" t="s">
        <v>1256</v>
      </c>
      <c r="H479" s="2" t="s">
        <v>201</v>
      </c>
      <c r="I479" s="2" t="s">
        <v>191</v>
      </c>
      <c r="J479" s="2" t="s">
        <v>202</v>
      </c>
      <c r="K479" s="2">
        <v>2</v>
      </c>
      <c r="L479" s="2" t="s">
        <v>1212</v>
      </c>
      <c r="M479" s="19">
        <f t="shared" si="96"/>
        <v>24.99</v>
      </c>
      <c r="N479" s="2"/>
      <c r="O479" s="2" t="str">
        <f t="shared" si="97"/>
        <v/>
      </c>
      <c r="P479" s="2">
        <v>0</v>
      </c>
      <c r="Q479" s="19">
        <f t="shared" si="98"/>
        <v>0</v>
      </c>
      <c r="R479" s="2" t="str">
        <f t="shared" si="99"/>
        <v>Number</v>
      </c>
      <c r="S479" s="2">
        <v>5.99</v>
      </c>
      <c r="T479" s="19">
        <f t="shared" si="100"/>
        <v>5.99</v>
      </c>
      <c r="U479" s="2">
        <v>55.97</v>
      </c>
      <c r="V479" s="19">
        <f t="shared" si="101"/>
        <v>55.97</v>
      </c>
      <c r="W479" s="19">
        <f t="shared" si="102"/>
        <v>55.97</v>
      </c>
      <c r="X479" s="19" t="str">
        <f t="shared" si="103"/>
        <v>True</v>
      </c>
      <c r="Y479" s="19" t="str">
        <f>IF(OR(W479&lt;'Cleaning Tasks'!$G$18,W479&gt;'Cleaning Tasks'!$H$18),"Outlier","Normal")</f>
        <v>Normal</v>
      </c>
      <c r="Z479" s="2" t="s">
        <v>66</v>
      </c>
      <c r="AA479" s="2" t="s">
        <v>40</v>
      </c>
      <c r="AB479" s="2" t="s">
        <v>28</v>
      </c>
      <c r="AC479" s="2" t="s">
        <v>105</v>
      </c>
      <c r="AD479" s="2"/>
      <c r="AE479" s="2" t="str">
        <f t="shared" si="104"/>
        <v>Not Required</v>
      </c>
      <c r="AF479" s="2" t="s">
        <v>1676</v>
      </c>
    </row>
    <row r="480" spans="1:32" x14ac:dyDescent="0.3">
      <c r="A480" s="2" t="s">
        <v>1677</v>
      </c>
      <c r="B480" s="2">
        <f t="shared" si="94"/>
        <v>1</v>
      </c>
      <c r="C480" s="12">
        <f t="shared" si="105"/>
        <v>46238.581901273152</v>
      </c>
      <c r="D480" s="13">
        <v>46238.581901273152</v>
      </c>
      <c r="E480" s="2" t="s">
        <v>1678</v>
      </c>
      <c r="F480" s="2" t="str">
        <f t="shared" si="95"/>
        <v>Email Available</v>
      </c>
      <c r="G480" s="2" t="s">
        <v>1679</v>
      </c>
      <c r="H480" s="2" t="s">
        <v>361</v>
      </c>
      <c r="I480" s="2" t="s">
        <v>86</v>
      </c>
      <c r="J480" s="2" t="s">
        <v>362</v>
      </c>
      <c r="K480" s="2">
        <v>2</v>
      </c>
      <c r="L480" s="2">
        <v>54.99</v>
      </c>
      <c r="M480" s="19">
        <f t="shared" si="96"/>
        <v>54.99</v>
      </c>
      <c r="N480" s="2" t="s">
        <v>203</v>
      </c>
      <c r="O480" s="2" t="str">
        <f t="shared" si="97"/>
        <v>VIP15</v>
      </c>
      <c r="P480" s="2">
        <v>16.5</v>
      </c>
      <c r="Q480" s="19">
        <f t="shared" si="98"/>
        <v>16.5</v>
      </c>
      <c r="R480" s="2" t="str">
        <f t="shared" si="99"/>
        <v>Number</v>
      </c>
      <c r="S480" s="2">
        <v>0</v>
      </c>
      <c r="T480" s="19">
        <f t="shared" si="100"/>
        <v>0</v>
      </c>
      <c r="U480" s="2">
        <v>93.48</v>
      </c>
      <c r="V480" s="19">
        <f t="shared" si="101"/>
        <v>93.48</v>
      </c>
      <c r="W480" s="19">
        <f t="shared" si="102"/>
        <v>93.48</v>
      </c>
      <c r="X480" s="19" t="str">
        <f t="shared" si="103"/>
        <v>True</v>
      </c>
      <c r="Y480" s="19" t="str">
        <f>IF(OR(W480&lt;'Cleaning Tasks'!$G$18,W480&gt;'Cleaning Tasks'!$H$18),"Outlier","Normal")</f>
        <v>Outlier</v>
      </c>
      <c r="Z480" s="2" t="s">
        <v>66</v>
      </c>
      <c r="AA480" s="2" t="s">
        <v>88</v>
      </c>
      <c r="AB480" s="2" t="s">
        <v>28</v>
      </c>
      <c r="AC480" s="2" t="s">
        <v>223</v>
      </c>
      <c r="AD480" s="2"/>
      <c r="AE480" s="2" t="str">
        <f t="shared" si="104"/>
        <v>Not Required</v>
      </c>
      <c r="AF480" s="2" t="s">
        <v>1680</v>
      </c>
    </row>
    <row r="481" spans="1:32" x14ac:dyDescent="0.3">
      <c r="A481" s="2" t="s">
        <v>1681</v>
      </c>
      <c r="B481" s="2">
        <f t="shared" si="94"/>
        <v>1</v>
      </c>
      <c r="C481" s="12">
        <f t="shared" si="105"/>
        <v>46238.58628304398</v>
      </c>
      <c r="D481" s="13">
        <v>46238.58628304398</v>
      </c>
      <c r="E481" s="2" t="s">
        <v>710</v>
      </c>
      <c r="F481" s="2" t="str">
        <f t="shared" si="95"/>
        <v>Email Available</v>
      </c>
      <c r="G481" s="2" t="s">
        <v>711</v>
      </c>
      <c r="H481" s="2" t="s">
        <v>78</v>
      </c>
      <c r="I481" s="2" t="s">
        <v>79</v>
      </c>
      <c r="J481" s="2" t="s">
        <v>80</v>
      </c>
      <c r="K481" s="2">
        <v>4</v>
      </c>
      <c r="L481" s="2">
        <v>89.99</v>
      </c>
      <c r="M481" s="19">
        <f t="shared" si="96"/>
        <v>89.99</v>
      </c>
      <c r="N481" s="2" t="s">
        <v>203</v>
      </c>
      <c r="O481" s="2" t="str">
        <f t="shared" si="97"/>
        <v>VIP15</v>
      </c>
      <c r="P481" s="2">
        <v>53.99</v>
      </c>
      <c r="Q481" s="19">
        <f t="shared" si="98"/>
        <v>53.99</v>
      </c>
      <c r="R481" s="2" t="str">
        <f t="shared" si="99"/>
        <v>Number</v>
      </c>
      <c r="S481" s="2">
        <v>0</v>
      </c>
      <c r="T481" s="19">
        <f t="shared" si="100"/>
        <v>0</v>
      </c>
      <c r="U481" s="2">
        <v>305.97000000000003</v>
      </c>
      <c r="V481" s="19">
        <f t="shared" si="101"/>
        <v>305.97000000000003</v>
      </c>
      <c r="W481" s="19">
        <f t="shared" si="102"/>
        <v>305.96999999999997</v>
      </c>
      <c r="X481" s="19" t="str">
        <f t="shared" si="103"/>
        <v>True</v>
      </c>
      <c r="Y481" s="19" t="str">
        <f>IF(OR(W481&lt;'Cleaning Tasks'!$G$18,W481&gt;'Cleaning Tasks'!$H$18),"Outlier","Normal")</f>
        <v>Outlier</v>
      </c>
      <c r="Z481" s="2" t="s">
        <v>66</v>
      </c>
      <c r="AA481" s="2" t="s">
        <v>27</v>
      </c>
      <c r="AB481" s="2" t="s">
        <v>50</v>
      </c>
      <c r="AC481" s="2" t="s">
        <v>29</v>
      </c>
      <c r="AD481" s="22" t="s">
        <v>243</v>
      </c>
      <c r="AE481" s="2" t="str">
        <f t="shared" si="104"/>
        <v>Valid</v>
      </c>
      <c r="AF481" s="2" t="s">
        <v>1682</v>
      </c>
    </row>
    <row r="482" spans="1:32" x14ac:dyDescent="0.3">
      <c r="A482" s="2" t="s">
        <v>1683</v>
      </c>
      <c r="B482" s="2">
        <f t="shared" si="94"/>
        <v>1</v>
      </c>
      <c r="C482" s="12">
        <f t="shared" si="105"/>
        <v>46238.579914120368</v>
      </c>
      <c r="D482" s="13">
        <v>46238.579914120368</v>
      </c>
      <c r="E482" s="2" t="s">
        <v>1095</v>
      </c>
      <c r="F482" s="2" t="str">
        <f t="shared" si="95"/>
        <v>Email Available</v>
      </c>
      <c r="G482" s="2" t="s">
        <v>1096</v>
      </c>
      <c r="H482" s="2" t="s">
        <v>152</v>
      </c>
      <c r="I482" s="2" t="s">
        <v>36</v>
      </c>
      <c r="J482" s="2" t="s">
        <v>153</v>
      </c>
      <c r="K482" s="2">
        <v>1</v>
      </c>
      <c r="L482" s="2">
        <v>29.99</v>
      </c>
      <c r="M482" s="19">
        <f t="shared" si="96"/>
        <v>29.99</v>
      </c>
      <c r="N482" s="2" t="s">
        <v>1684</v>
      </c>
      <c r="O482" s="2" t="str">
        <f t="shared" si="97"/>
        <v>WELCOME10</v>
      </c>
      <c r="P482" s="2">
        <v>3</v>
      </c>
      <c r="Q482" s="19">
        <f t="shared" si="98"/>
        <v>3</v>
      </c>
      <c r="R482" s="2" t="str">
        <f t="shared" si="99"/>
        <v>Number</v>
      </c>
      <c r="S482" s="2">
        <v>4.99</v>
      </c>
      <c r="T482" s="19">
        <f t="shared" si="100"/>
        <v>4.99</v>
      </c>
      <c r="U482" s="2">
        <v>31.98</v>
      </c>
      <c r="V482" s="19">
        <f t="shared" si="101"/>
        <v>31.98</v>
      </c>
      <c r="W482" s="19">
        <f t="shared" si="102"/>
        <v>31.979999999999997</v>
      </c>
      <c r="X482" s="19" t="str">
        <f t="shared" si="103"/>
        <v>True</v>
      </c>
      <c r="Y482" s="19" t="str">
        <f>IF(OR(W482&lt;'Cleaning Tasks'!$G$18,W482&gt;'Cleaning Tasks'!$H$18),"Outlier","Normal")</f>
        <v>Normal</v>
      </c>
      <c r="Z482" s="2" t="s">
        <v>26</v>
      </c>
      <c r="AA482" s="2" t="s">
        <v>111</v>
      </c>
      <c r="AB482" s="2" t="s">
        <v>50</v>
      </c>
      <c r="AC482" s="2" t="s">
        <v>29</v>
      </c>
      <c r="AD482" s="2" t="s">
        <v>447</v>
      </c>
      <c r="AE482" s="2" t="str">
        <f t="shared" si="104"/>
        <v>Valid</v>
      </c>
      <c r="AF482" s="2" t="s">
        <v>1685</v>
      </c>
    </row>
    <row r="483" spans="1:32" x14ac:dyDescent="0.3">
      <c r="A483" s="2" t="s">
        <v>1686</v>
      </c>
      <c r="B483" s="2">
        <f t="shared" si="94"/>
        <v>1</v>
      </c>
      <c r="C483" s="12">
        <f t="shared" si="105"/>
        <v>46238.588429722222</v>
      </c>
      <c r="D483" s="13">
        <v>46238.588429722222</v>
      </c>
      <c r="E483" s="2" t="s">
        <v>489</v>
      </c>
      <c r="F483" s="2" t="str">
        <f t="shared" si="95"/>
        <v>Email Available</v>
      </c>
      <c r="G483" s="2" t="s">
        <v>490</v>
      </c>
      <c r="H483" s="2" t="s">
        <v>279</v>
      </c>
      <c r="I483" s="2" t="s">
        <v>22</v>
      </c>
      <c r="J483" s="2" t="s">
        <v>280</v>
      </c>
      <c r="K483" s="2">
        <v>1</v>
      </c>
      <c r="L483" s="2">
        <v>24.99</v>
      </c>
      <c r="M483" s="19">
        <f t="shared" si="96"/>
        <v>24.99</v>
      </c>
      <c r="N483" s="2" t="s">
        <v>203</v>
      </c>
      <c r="O483" s="2" t="str">
        <f t="shared" si="97"/>
        <v>VIP15</v>
      </c>
      <c r="P483" s="2">
        <v>3.75</v>
      </c>
      <c r="Q483" s="19">
        <f t="shared" si="98"/>
        <v>3.75</v>
      </c>
      <c r="R483" s="2" t="str">
        <f t="shared" si="99"/>
        <v>Number</v>
      </c>
      <c r="S483" s="2">
        <v>5.99</v>
      </c>
      <c r="T483" s="19">
        <f t="shared" si="100"/>
        <v>5.99</v>
      </c>
      <c r="U483" s="2">
        <v>27.23</v>
      </c>
      <c r="V483" s="19">
        <f t="shared" si="101"/>
        <v>27.23</v>
      </c>
      <c r="W483" s="19">
        <f t="shared" si="102"/>
        <v>27.229999999999997</v>
      </c>
      <c r="X483" s="19" t="str">
        <f t="shared" si="103"/>
        <v>True</v>
      </c>
      <c r="Y483" s="19" t="str">
        <f>IF(OR(W483&lt;'Cleaning Tasks'!$G$18,W483&gt;'Cleaning Tasks'!$H$18),"Outlier","Normal")</f>
        <v>Normal</v>
      </c>
      <c r="Z483" s="2" t="s">
        <v>49</v>
      </c>
      <c r="AA483" s="2" t="s">
        <v>88</v>
      </c>
      <c r="AB483" s="2" t="s">
        <v>41</v>
      </c>
      <c r="AC483" s="2" t="s">
        <v>29</v>
      </c>
      <c r="AD483" s="22" t="s">
        <v>89</v>
      </c>
      <c r="AE483" s="2" t="str">
        <f t="shared" si="104"/>
        <v>Valid</v>
      </c>
      <c r="AF483" s="2" t="s">
        <v>1687</v>
      </c>
    </row>
    <row r="484" spans="1:32" x14ac:dyDescent="0.3">
      <c r="A484" s="2" t="s">
        <v>1688</v>
      </c>
      <c r="B484" s="2">
        <f t="shared" si="94"/>
        <v>1</v>
      </c>
      <c r="C484" s="12">
        <f t="shared" si="105"/>
        <v>46238.581396493057</v>
      </c>
      <c r="D484" s="13">
        <v>46238.581396493057</v>
      </c>
      <c r="E484" s="2" t="s">
        <v>441</v>
      </c>
      <c r="F484" s="2" t="str">
        <f t="shared" si="95"/>
        <v>Missing Email</v>
      </c>
      <c r="G484" s="2"/>
      <c r="H484" s="2" t="s">
        <v>46</v>
      </c>
      <c r="I484" s="2" t="s">
        <v>47</v>
      </c>
      <c r="J484" s="2" t="s">
        <v>48</v>
      </c>
      <c r="K484" s="2">
        <v>1</v>
      </c>
      <c r="L484" s="2">
        <v>39.99</v>
      </c>
      <c r="M484" s="19">
        <f t="shared" si="96"/>
        <v>39.99</v>
      </c>
      <c r="N484" s="2"/>
      <c r="O484" s="2" t="str">
        <f t="shared" si="97"/>
        <v/>
      </c>
      <c r="P484" s="2">
        <v>0</v>
      </c>
      <c r="Q484" s="19">
        <f t="shared" si="98"/>
        <v>0</v>
      </c>
      <c r="R484" s="2" t="str">
        <f t="shared" si="99"/>
        <v>Number</v>
      </c>
      <c r="S484" s="2">
        <v>5.99</v>
      </c>
      <c r="T484" s="19">
        <f t="shared" si="100"/>
        <v>5.99</v>
      </c>
      <c r="U484" s="2">
        <v>45.98</v>
      </c>
      <c r="V484" s="19">
        <f t="shared" si="101"/>
        <v>45.98</v>
      </c>
      <c r="W484" s="19">
        <f t="shared" si="102"/>
        <v>45.980000000000004</v>
      </c>
      <c r="X484" s="19" t="str">
        <f t="shared" si="103"/>
        <v>True</v>
      </c>
      <c r="Y484" s="19" t="str">
        <f>IF(OR(W484&lt;'Cleaning Tasks'!$G$18,W484&gt;'Cleaning Tasks'!$H$18),"Outlier","Normal")</f>
        <v>Normal</v>
      </c>
      <c r="Z484" s="2" t="s">
        <v>26</v>
      </c>
      <c r="AA484" s="2" t="s">
        <v>27</v>
      </c>
      <c r="AB484" s="2" t="s">
        <v>50</v>
      </c>
      <c r="AC484" s="2" t="s">
        <v>29</v>
      </c>
      <c r="AD484" s="2" t="s">
        <v>112</v>
      </c>
      <c r="AE484" s="2" t="str">
        <f t="shared" si="104"/>
        <v>Valid</v>
      </c>
      <c r="AF484" s="2" t="s">
        <v>1689</v>
      </c>
    </row>
    <row r="485" spans="1:32" x14ac:dyDescent="0.3">
      <c r="A485" s="2" t="s">
        <v>1690</v>
      </c>
      <c r="B485" s="2">
        <f t="shared" si="94"/>
        <v>1</v>
      </c>
      <c r="C485" s="12">
        <f t="shared" si="105"/>
        <v>46238.58051861111</v>
      </c>
      <c r="D485" s="13">
        <v>46238.58051861111</v>
      </c>
      <c r="E485" s="2" t="s">
        <v>835</v>
      </c>
      <c r="F485" s="2" t="str">
        <f t="shared" si="95"/>
        <v>Email Available</v>
      </c>
      <c r="G485" s="2" t="s">
        <v>836</v>
      </c>
      <c r="H485" s="2" t="s">
        <v>190</v>
      </c>
      <c r="I485" s="2" t="s">
        <v>191</v>
      </c>
      <c r="J485" s="2" t="s">
        <v>192</v>
      </c>
      <c r="K485" s="2">
        <v>2</v>
      </c>
      <c r="L485" s="2">
        <v>13.49</v>
      </c>
      <c r="M485" s="19">
        <f t="shared" si="96"/>
        <v>13.49</v>
      </c>
      <c r="N485" s="2" t="s">
        <v>203</v>
      </c>
      <c r="O485" s="2" t="str">
        <f t="shared" si="97"/>
        <v>VIP15</v>
      </c>
      <c r="P485" s="2">
        <v>4.05</v>
      </c>
      <c r="Q485" s="19">
        <f t="shared" si="98"/>
        <v>4.05</v>
      </c>
      <c r="R485" s="2" t="str">
        <f t="shared" si="99"/>
        <v>Number</v>
      </c>
      <c r="S485" s="2">
        <v>4.99</v>
      </c>
      <c r="T485" s="19">
        <f t="shared" si="100"/>
        <v>4.99</v>
      </c>
      <c r="U485" s="2">
        <v>27.92</v>
      </c>
      <c r="V485" s="19">
        <f t="shared" si="101"/>
        <v>27.92</v>
      </c>
      <c r="W485" s="19">
        <f t="shared" si="102"/>
        <v>27.92</v>
      </c>
      <c r="X485" s="19" t="str">
        <f t="shared" si="103"/>
        <v>True</v>
      </c>
      <c r="Y485" s="19" t="str">
        <f>IF(OR(W485&lt;'Cleaning Tasks'!$G$18,W485&gt;'Cleaning Tasks'!$H$18),"Outlier","Normal")</f>
        <v>Normal</v>
      </c>
      <c r="Z485" s="2" t="s">
        <v>39</v>
      </c>
      <c r="AA485" s="2" t="s">
        <v>40</v>
      </c>
      <c r="AB485" s="2" t="s">
        <v>28</v>
      </c>
      <c r="AC485" s="2" t="s">
        <v>29</v>
      </c>
      <c r="AD485" s="2" t="s">
        <v>243</v>
      </c>
      <c r="AE485" s="2" t="str">
        <f t="shared" si="104"/>
        <v>Valid</v>
      </c>
      <c r="AF485" s="2" t="s">
        <v>1691</v>
      </c>
    </row>
    <row r="486" spans="1:32" x14ac:dyDescent="0.3">
      <c r="A486" s="2" t="s">
        <v>1692</v>
      </c>
      <c r="B486" s="2">
        <f t="shared" si="94"/>
        <v>1</v>
      </c>
      <c r="C486" s="12">
        <f t="shared" ref="C486:C517" si="106">IF(ISNUMBER(D486),D486,DATEVALUE(SUBSTITUTE(TRIM(D486),CHAR(160)," ")))</f>
        <v>46238.587606550929</v>
      </c>
      <c r="D486" s="13">
        <v>46238.587606550929</v>
      </c>
      <c r="E486" s="2" t="s">
        <v>339</v>
      </c>
      <c r="F486" s="2" t="str">
        <f t="shared" si="95"/>
        <v>Missing Email</v>
      </c>
      <c r="G486" s="2"/>
      <c r="H486" s="2" t="s">
        <v>56</v>
      </c>
      <c r="I486" s="2" t="s">
        <v>22</v>
      </c>
      <c r="J486" s="2" t="s">
        <v>57</v>
      </c>
      <c r="K486" s="2">
        <v>1</v>
      </c>
      <c r="L486" s="2">
        <v>9.99</v>
      </c>
      <c r="M486" s="19">
        <f t="shared" si="96"/>
        <v>9.99</v>
      </c>
      <c r="N486" s="2" t="s">
        <v>38</v>
      </c>
      <c r="O486" s="2" t="str">
        <f t="shared" si="97"/>
        <v>FREESHIP</v>
      </c>
      <c r="P486" s="2">
        <v>0</v>
      </c>
      <c r="Q486" s="19">
        <f t="shared" si="98"/>
        <v>0</v>
      </c>
      <c r="R486" s="2" t="str">
        <f t="shared" si="99"/>
        <v>Number</v>
      </c>
      <c r="S486" s="2">
        <v>0</v>
      </c>
      <c r="T486" s="19">
        <f t="shared" si="100"/>
        <v>0</v>
      </c>
      <c r="U486" s="2">
        <v>9.99</v>
      </c>
      <c r="V486" s="19">
        <f t="shared" si="101"/>
        <v>9.99</v>
      </c>
      <c r="W486" s="19">
        <f t="shared" si="102"/>
        <v>9.99</v>
      </c>
      <c r="X486" s="19" t="str">
        <f t="shared" si="103"/>
        <v>True</v>
      </c>
      <c r="Y486" s="19" t="str">
        <f>IF(OR(W486&lt;'Cleaning Tasks'!$G$18,W486&gt;'Cleaning Tasks'!$H$18),"Outlier","Normal")</f>
        <v>Normal</v>
      </c>
      <c r="Z486" s="2" t="s">
        <v>72</v>
      </c>
      <c r="AA486" s="2" t="s">
        <v>40</v>
      </c>
      <c r="AB486" s="2" t="s">
        <v>50</v>
      </c>
      <c r="AC486" s="2" t="s">
        <v>29</v>
      </c>
      <c r="AD486" s="2" t="s">
        <v>89</v>
      </c>
      <c r="AE486" s="2" t="str">
        <f t="shared" si="104"/>
        <v>Valid</v>
      </c>
      <c r="AF486" s="2" t="s">
        <v>1693</v>
      </c>
    </row>
    <row r="487" spans="1:32" x14ac:dyDescent="0.3">
      <c r="A487" s="2" t="s">
        <v>1694</v>
      </c>
      <c r="B487" s="2">
        <f t="shared" si="94"/>
        <v>1</v>
      </c>
      <c r="C487" s="12">
        <f t="shared" si="106"/>
        <v>46238.584804108803</v>
      </c>
      <c r="D487" s="13">
        <v>46238.584804108803</v>
      </c>
      <c r="E487" s="2" t="s">
        <v>234</v>
      </c>
      <c r="F487" s="2" t="str">
        <f t="shared" si="95"/>
        <v>Email Available</v>
      </c>
      <c r="G487" s="2" t="s">
        <v>235</v>
      </c>
      <c r="H487" s="2" t="s">
        <v>102</v>
      </c>
      <c r="I487" s="2" t="s">
        <v>103</v>
      </c>
      <c r="J487" s="2" t="s">
        <v>104</v>
      </c>
      <c r="K487" s="2">
        <v>3</v>
      </c>
      <c r="L487" s="2">
        <v>19.989999999999998</v>
      </c>
      <c r="M487" s="19">
        <f t="shared" si="96"/>
        <v>19.989999999999998</v>
      </c>
      <c r="N487" s="2" t="s">
        <v>38</v>
      </c>
      <c r="O487" s="2" t="str">
        <f t="shared" si="97"/>
        <v>FREESHIP</v>
      </c>
      <c r="P487" s="2">
        <v>0</v>
      </c>
      <c r="Q487" s="19">
        <f t="shared" si="98"/>
        <v>0</v>
      </c>
      <c r="R487" s="2" t="str">
        <f t="shared" si="99"/>
        <v>Number</v>
      </c>
      <c r="S487" s="2">
        <v>0</v>
      </c>
      <c r="T487" s="19">
        <f t="shared" si="100"/>
        <v>0</v>
      </c>
      <c r="U487" s="2">
        <v>59.97</v>
      </c>
      <c r="V487" s="19">
        <f t="shared" si="101"/>
        <v>59.97</v>
      </c>
      <c r="W487" s="19">
        <f t="shared" si="102"/>
        <v>59.97</v>
      </c>
      <c r="X487" s="19" t="str">
        <f t="shared" si="103"/>
        <v>True</v>
      </c>
      <c r="Y487" s="19" t="str">
        <f>IF(OR(W487&lt;'Cleaning Tasks'!$G$18,W487&gt;'Cleaning Tasks'!$H$18),"Outlier","Normal")</f>
        <v>Normal</v>
      </c>
      <c r="Z487" s="2" t="s">
        <v>72</v>
      </c>
      <c r="AA487" s="2" t="s">
        <v>111</v>
      </c>
      <c r="AB487" s="2" t="s">
        <v>50</v>
      </c>
      <c r="AC487" s="2" t="s">
        <v>73</v>
      </c>
      <c r="AD487" s="2"/>
      <c r="AE487" s="2" t="str">
        <f t="shared" si="104"/>
        <v>Not Required</v>
      </c>
      <c r="AF487" s="2" t="s">
        <v>1695</v>
      </c>
    </row>
    <row r="488" spans="1:32" x14ac:dyDescent="0.3">
      <c r="A488" s="2" t="s">
        <v>1696</v>
      </c>
      <c r="B488" s="2">
        <f t="shared" si="94"/>
        <v>1</v>
      </c>
      <c r="C488" s="12">
        <f t="shared" si="106"/>
        <v>46238.584948564807</v>
      </c>
      <c r="D488" s="13">
        <v>46238.584948564807</v>
      </c>
      <c r="E488" s="2" t="s">
        <v>1265</v>
      </c>
      <c r="F488" s="2" t="str">
        <f t="shared" si="95"/>
        <v>Email Available</v>
      </c>
      <c r="G488" s="2" t="s">
        <v>1266</v>
      </c>
      <c r="H488" s="2" t="s">
        <v>63</v>
      </c>
      <c r="I488" s="2" t="s">
        <v>47</v>
      </c>
      <c r="J488" s="2" t="s">
        <v>446</v>
      </c>
      <c r="K488" s="2">
        <v>1</v>
      </c>
      <c r="L488" s="2">
        <v>14.99</v>
      </c>
      <c r="M488" s="19">
        <f t="shared" si="96"/>
        <v>14.99</v>
      </c>
      <c r="N488" s="2" t="s">
        <v>118</v>
      </c>
      <c r="O488" s="2" t="str">
        <f t="shared" si="97"/>
        <v>BFCM25</v>
      </c>
      <c r="P488" s="2">
        <v>3.75</v>
      </c>
      <c r="Q488" s="19">
        <f t="shared" si="98"/>
        <v>3.75</v>
      </c>
      <c r="R488" s="2" t="str">
        <f t="shared" si="99"/>
        <v>Number</v>
      </c>
      <c r="S488" s="2">
        <v>7.99</v>
      </c>
      <c r="T488" s="19">
        <f t="shared" si="100"/>
        <v>7.99</v>
      </c>
      <c r="U488" s="2">
        <v>19.23</v>
      </c>
      <c r="V488" s="19">
        <f t="shared" si="101"/>
        <v>19.23</v>
      </c>
      <c r="W488" s="19">
        <f t="shared" si="102"/>
        <v>19.23</v>
      </c>
      <c r="X488" s="19" t="str">
        <f t="shared" si="103"/>
        <v>True</v>
      </c>
      <c r="Y488" s="19" t="str">
        <f>IF(OR(W488&lt;'Cleaning Tasks'!$G$18,W488&gt;'Cleaning Tasks'!$H$18),"Outlier","Normal")</f>
        <v>Normal</v>
      </c>
      <c r="Z488" s="2" t="s">
        <v>26</v>
      </c>
      <c r="AA488" s="2" t="s">
        <v>27</v>
      </c>
      <c r="AB488" s="2" t="s">
        <v>28</v>
      </c>
      <c r="AC488" s="2" t="s">
        <v>29</v>
      </c>
      <c r="AD488" s="2" t="s">
        <v>58</v>
      </c>
      <c r="AE488" s="2" t="str">
        <f t="shared" si="104"/>
        <v>Valid</v>
      </c>
      <c r="AF488" s="2" t="s">
        <v>1697</v>
      </c>
    </row>
    <row r="489" spans="1:32" x14ac:dyDescent="0.3">
      <c r="A489" s="2" t="s">
        <v>1698</v>
      </c>
      <c r="B489" s="2">
        <f t="shared" si="94"/>
        <v>1</v>
      </c>
      <c r="C489" s="12">
        <f t="shared" si="106"/>
        <v>46238</v>
      </c>
      <c r="D489" s="13">
        <v>46238</v>
      </c>
      <c r="E489" s="2" t="s">
        <v>160</v>
      </c>
      <c r="F489" s="2" t="str">
        <f t="shared" si="95"/>
        <v>Email Available</v>
      </c>
      <c r="G489" s="2" t="s">
        <v>161</v>
      </c>
      <c r="H489" s="2" t="s">
        <v>109</v>
      </c>
      <c r="I489" s="2" t="s">
        <v>79</v>
      </c>
      <c r="J489" s="2" t="s">
        <v>110</v>
      </c>
      <c r="K489" s="2">
        <v>1</v>
      </c>
      <c r="L489" s="2">
        <v>22.99</v>
      </c>
      <c r="M489" s="19">
        <f t="shared" si="96"/>
        <v>22.99</v>
      </c>
      <c r="N489" s="2"/>
      <c r="O489" s="2" t="str">
        <f t="shared" si="97"/>
        <v/>
      </c>
      <c r="P489" s="2">
        <v>0</v>
      </c>
      <c r="Q489" s="19">
        <f t="shared" si="98"/>
        <v>0</v>
      </c>
      <c r="R489" s="2" t="str">
        <f t="shared" si="99"/>
        <v>Number</v>
      </c>
      <c r="S489" s="2">
        <v>5.99</v>
      </c>
      <c r="T489" s="19">
        <f t="shared" si="100"/>
        <v>5.99</v>
      </c>
      <c r="U489" s="2">
        <v>28.98</v>
      </c>
      <c r="V489" s="19">
        <f t="shared" si="101"/>
        <v>28.98</v>
      </c>
      <c r="W489" s="19">
        <f t="shared" si="102"/>
        <v>28.979999999999997</v>
      </c>
      <c r="X489" s="19" t="str">
        <f t="shared" si="103"/>
        <v>True</v>
      </c>
      <c r="Y489" s="19" t="str">
        <f>IF(OR(W489&lt;'Cleaning Tasks'!$G$18,W489&gt;'Cleaning Tasks'!$H$18),"Outlier","Normal")</f>
        <v>Normal</v>
      </c>
      <c r="Z489" s="2" t="s">
        <v>49</v>
      </c>
      <c r="AA489" s="2" t="s">
        <v>27</v>
      </c>
      <c r="AB489" s="2" t="s">
        <v>50</v>
      </c>
      <c r="AC489" s="2" t="s">
        <v>29</v>
      </c>
      <c r="AD489" s="2" t="s">
        <v>447</v>
      </c>
      <c r="AE489" s="2" t="str">
        <f t="shared" si="104"/>
        <v>Valid</v>
      </c>
      <c r="AF489" s="2" t="s">
        <v>1699</v>
      </c>
    </row>
    <row r="490" spans="1:32" x14ac:dyDescent="0.3">
      <c r="A490" s="2" t="s">
        <v>1700</v>
      </c>
      <c r="B490" s="2">
        <f t="shared" si="94"/>
        <v>1</v>
      </c>
      <c r="C490" s="12">
        <f t="shared" si="106"/>
        <v>46238.587262997688</v>
      </c>
      <c r="D490" s="13">
        <v>46238.587262997688</v>
      </c>
      <c r="E490" s="2" t="s">
        <v>1701</v>
      </c>
      <c r="F490" s="2" t="str">
        <f t="shared" si="95"/>
        <v>Email Available</v>
      </c>
      <c r="G490" s="2" t="s">
        <v>598</v>
      </c>
      <c r="H490" s="2" t="s">
        <v>267</v>
      </c>
      <c r="I490" s="2" t="s">
        <v>22</v>
      </c>
      <c r="J490" s="2" t="s">
        <v>268</v>
      </c>
      <c r="K490" s="2">
        <v>1</v>
      </c>
      <c r="L490" s="2">
        <v>18.989999999999998</v>
      </c>
      <c r="M490" s="19">
        <f t="shared" si="96"/>
        <v>18.989999999999998</v>
      </c>
      <c r="N490" s="2" t="s">
        <v>65</v>
      </c>
      <c r="O490" s="2" t="str">
        <f t="shared" si="97"/>
        <v>WELCOME10</v>
      </c>
      <c r="P490" s="2">
        <v>1.9</v>
      </c>
      <c r="Q490" s="19">
        <f t="shared" si="98"/>
        <v>1.9</v>
      </c>
      <c r="R490" s="2" t="str">
        <f t="shared" si="99"/>
        <v>Number</v>
      </c>
      <c r="S490" s="2">
        <v>7.99</v>
      </c>
      <c r="T490" s="19">
        <f t="shared" si="100"/>
        <v>7.99</v>
      </c>
      <c r="U490" s="2">
        <v>25.08</v>
      </c>
      <c r="V490" s="19">
        <f t="shared" si="101"/>
        <v>25.08</v>
      </c>
      <c r="W490" s="19">
        <f t="shared" si="102"/>
        <v>25.08</v>
      </c>
      <c r="X490" s="19" t="str">
        <f t="shared" si="103"/>
        <v>True</v>
      </c>
      <c r="Y490" s="19" t="str">
        <f>IF(OR(W490&lt;'Cleaning Tasks'!$G$18,W490&gt;'Cleaning Tasks'!$H$18),"Outlier","Normal")</f>
        <v>Normal</v>
      </c>
      <c r="Z490" s="2" t="s">
        <v>66</v>
      </c>
      <c r="AA490" s="2" t="s">
        <v>88</v>
      </c>
      <c r="AB490" s="2" t="s">
        <v>50</v>
      </c>
      <c r="AC490" s="2" t="s">
        <v>29</v>
      </c>
      <c r="AD490" s="22" t="s">
        <v>58</v>
      </c>
      <c r="AE490" s="2" t="str">
        <f t="shared" si="104"/>
        <v>Valid</v>
      </c>
      <c r="AF490" s="2" t="s">
        <v>1702</v>
      </c>
    </row>
    <row r="491" spans="1:32" x14ac:dyDescent="0.3">
      <c r="A491" s="2" t="s">
        <v>1703</v>
      </c>
      <c r="B491" s="2">
        <f t="shared" si="94"/>
        <v>1</v>
      </c>
      <c r="C491" s="12">
        <f t="shared" si="106"/>
        <v>46238.585760752307</v>
      </c>
      <c r="D491" s="13">
        <v>46238.585760752307</v>
      </c>
      <c r="E491" s="2" t="s">
        <v>199</v>
      </c>
      <c r="F491" s="2" t="str">
        <f t="shared" si="95"/>
        <v>Email Available</v>
      </c>
      <c r="G491" s="2" t="s">
        <v>1704</v>
      </c>
      <c r="H491" s="2" t="s">
        <v>35</v>
      </c>
      <c r="I491" s="2" t="s">
        <v>36</v>
      </c>
      <c r="J491" s="2" t="s">
        <v>37</v>
      </c>
      <c r="K491" s="2">
        <v>3</v>
      </c>
      <c r="L491" s="2">
        <v>21.99</v>
      </c>
      <c r="M491" s="19">
        <f t="shared" si="96"/>
        <v>21.99</v>
      </c>
      <c r="N491" s="2"/>
      <c r="O491" s="2" t="str">
        <f t="shared" si="97"/>
        <v/>
      </c>
      <c r="P491" s="2">
        <v>0</v>
      </c>
      <c r="Q491" s="19">
        <f t="shared" si="98"/>
        <v>0</v>
      </c>
      <c r="R491" s="2" t="str">
        <f t="shared" si="99"/>
        <v>Number</v>
      </c>
      <c r="S491" s="2">
        <v>4.99</v>
      </c>
      <c r="T491" s="19">
        <f t="shared" si="100"/>
        <v>4.99</v>
      </c>
      <c r="U491" s="2">
        <v>70.959999999999994</v>
      </c>
      <c r="V491" s="19">
        <f t="shared" si="101"/>
        <v>70.959999999999994</v>
      </c>
      <c r="W491" s="19">
        <f t="shared" si="102"/>
        <v>70.959999999999994</v>
      </c>
      <c r="X491" s="19" t="str">
        <f t="shared" si="103"/>
        <v>True</v>
      </c>
      <c r="Y491" s="19" t="str">
        <f>IF(OR(W491&lt;'Cleaning Tasks'!$G$18,W491&gt;'Cleaning Tasks'!$H$18),"Outlier","Normal")</f>
        <v>Normal</v>
      </c>
      <c r="Z491" s="2" t="s">
        <v>72</v>
      </c>
      <c r="AA491" s="2" t="s">
        <v>27</v>
      </c>
      <c r="AB491" s="2" t="s">
        <v>50</v>
      </c>
      <c r="AC491" s="2" t="s">
        <v>29</v>
      </c>
      <c r="AD491" s="2" t="s">
        <v>73</v>
      </c>
      <c r="AE491" s="2" t="str">
        <f t="shared" si="104"/>
        <v>Valid</v>
      </c>
      <c r="AF491" s="2" t="s">
        <v>1705</v>
      </c>
    </row>
    <row r="492" spans="1:32" x14ac:dyDescent="0.3">
      <c r="A492" s="2" t="s">
        <v>1706</v>
      </c>
      <c r="B492" s="2">
        <f t="shared" si="94"/>
        <v>1</v>
      </c>
      <c r="C492" s="12">
        <f t="shared" si="106"/>
        <v>46238.583971956017</v>
      </c>
      <c r="D492" s="13">
        <v>46238.583971956017</v>
      </c>
      <c r="E492" s="2" t="s">
        <v>1707</v>
      </c>
      <c r="F492" s="2" t="str">
        <f t="shared" si="95"/>
        <v>Email Available</v>
      </c>
      <c r="G492" s="2" t="s">
        <v>1708</v>
      </c>
      <c r="H492" s="2" t="s">
        <v>117</v>
      </c>
      <c r="I492" s="2" t="s">
        <v>22</v>
      </c>
      <c r="J492" s="2" t="s">
        <v>23</v>
      </c>
      <c r="K492" s="2">
        <v>1</v>
      </c>
      <c r="L492" s="2">
        <v>12.99</v>
      </c>
      <c r="M492" s="19">
        <f t="shared" si="96"/>
        <v>12.99</v>
      </c>
      <c r="N492" s="2" t="s">
        <v>65</v>
      </c>
      <c r="O492" s="2" t="str">
        <f t="shared" si="97"/>
        <v>WELCOME10</v>
      </c>
      <c r="P492" s="2" t="s">
        <v>1709</v>
      </c>
      <c r="Q492" s="19">
        <f t="shared" si="98"/>
        <v>1.3</v>
      </c>
      <c r="R492" s="2" t="str">
        <f t="shared" si="99"/>
        <v>Number</v>
      </c>
      <c r="S492" s="2">
        <v>7.99</v>
      </c>
      <c r="T492" s="19">
        <f t="shared" si="100"/>
        <v>7.99</v>
      </c>
      <c r="U492" s="2">
        <v>19.68</v>
      </c>
      <c r="V492" s="19">
        <f t="shared" si="101"/>
        <v>19.68</v>
      </c>
      <c r="W492" s="19">
        <f t="shared" si="102"/>
        <v>19.68</v>
      </c>
      <c r="X492" s="19" t="str">
        <f t="shared" si="103"/>
        <v>True</v>
      </c>
      <c r="Y492" s="19" t="str">
        <f>IF(OR(W492&lt;'Cleaning Tasks'!$G$18,W492&gt;'Cleaning Tasks'!$H$18),"Outlier","Normal")</f>
        <v>Normal</v>
      </c>
      <c r="Z492" s="2" t="s">
        <v>49</v>
      </c>
      <c r="AA492" s="2" t="s">
        <v>88</v>
      </c>
      <c r="AB492" s="2" t="s">
        <v>50</v>
      </c>
      <c r="AC492" s="2" t="s">
        <v>29</v>
      </c>
      <c r="AD492" s="2" t="s">
        <v>89</v>
      </c>
      <c r="AE492" s="2" t="str">
        <f t="shared" si="104"/>
        <v>Valid</v>
      </c>
      <c r="AF492" s="2" t="s">
        <v>1710</v>
      </c>
    </row>
    <row r="493" spans="1:32" x14ac:dyDescent="0.3">
      <c r="A493" s="2" t="s">
        <v>1711</v>
      </c>
      <c r="B493" s="2">
        <f t="shared" si="94"/>
        <v>1</v>
      </c>
      <c r="C493" s="12">
        <f t="shared" si="106"/>
        <v>46238.584754131953</v>
      </c>
      <c r="D493" s="13">
        <v>46238.584754131953</v>
      </c>
      <c r="E493" s="2" t="s">
        <v>1712</v>
      </c>
      <c r="F493" s="2" t="str">
        <f t="shared" si="95"/>
        <v>Email Available</v>
      </c>
      <c r="G493" s="2" t="s">
        <v>1713</v>
      </c>
      <c r="H493" s="2" t="s">
        <v>221</v>
      </c>
      <c r="I493" s="2" t="s">
        <v>22</v>
      </c>
      <c r="J493" s="2" t="s">
        <v>222</v>
      </c>
      <c r="K493" s="2">
        <v>1</v>
      </c>
      <c r="L493" s="2">
        <v>17.989999999999998</v>
      </c>
      <c r="M493" s="19">
        <f t="shared" si="96"/>
        <v>17.989999999999998</v>
      </c>
      <c r="N493" s="2"/>
      <c r="O493" s="2" t="str">
        <f t="shared" si="97"/>
        <v/>
      </c>
      <c r="P493" s="2">
        <v>0</v>
      </c>
      <c r="Q493" s="19">
        <f t="shared" si="98"/>
        <v>0</v>
      </c>
      <c r="R493" s="2" t="str">
        <f t="shared" si="99"/>
        <v>Number</v>
      </c>
      <c r="S493" s="2">
        <v>7.99</v>
      </c>
      <c r="T493" s="19">
        <f t="shared" si="100"/>
        <v>7.99</v>
      </c>
      <c r="U493" s="2">
        <v>25.98</v>
      </c>
      <c r="V493" s="19">
        <f t="shared" si="101"/>
        <v>25.98</v>
      </c>
      <c r="W493" s="19">
        <f t="shared" si="102"/>
        <v>25.979999999999997</v>
      </c>
      <c r="X493" s="19" t="str">
        <f t="shared" si="103"/>
        <v>True</v>
      </c>
      <c r="Y493" s="19" t="str">
        <f>IF(OR(W493&lt;'Cleaning Tasks'!$G$18,W493&gt;'Cleaning Tasks'!$H$18),"Outlier","Normal")</f>
        <v>Normal</v>
      </c>
      <c r="Z493" s="2" t="s">
        <v>26</v>
      </c>
      <c r="AA493" s="2" t="s">
        <v>27</v>
      </c>
      <c r="AB493" s="2" t="s">
        <v>96</v>
      </c>
      <c r="AC493" s="2" t="s">
        <v>331</v>
      </c>
      <c r="AD493" s="2"/>
      <c r="AE493" s="2" t="str">
        <f t="shared" si="104"/>
        <v>Not Required</v>
      </c>
      <c r="AF493" s="2" t="s">
        <v>1714</v>
      </c>
    </row>
    <row r="494" spans="1:32" x14ac:dyDescent="0.3">
      <c r="A494" s="2" t="s">
        <v>1715</v>
      </c>
      <c r="B494" s="2">
        <f t="shared" si="94"/>
        <v>1</v>
      </c>
      <c r="C494" s="12">
        <f t="shared" si="106"/>
        <v>46238</v>
      </c>
      <c r="D494" s="13" t="s">
        <v>1716</v>
      </c>
      <c r="E494" s="2" t="s">
        <v>756</v>
      </c>
      <c r="F494" s="2" t="str">
        <f t="shared" si="95"/>
        <v>Email Available</v>
      </c>
      <c r="G494" s="2" t="s">
        <v>757</v>
      </c>
      <c r="H494" s="2" t="s">
        <v>279</v>
      </c>
      <c r="I494" s="2" t="s">
        <v>22</v>
      </c>
      <c r="J494" s="2" t="s">
        <v>280</v>
      </c>
      <c r="K494" s="2">
        <v>3</v>
      </c>
      <c r="L494" s="2">
        <v>24.99</v>
      </c>
      <c r="M494" s="19">
        <f t="shared" si="96"/>
        <v>24.99</v>
      </c>
      <c r="N494" s="2"/>
      <c r="O494" s="2" t="str">
        <f t="shared" si="97"/>
        <v/>
      </c>
      <c r="P494" s="2">
        <v>0</v>
      </c>
      <c r="Q494" s="19">
        <f t="shared" si="98"/>
        <v>0</v>
      </c>
      <c r="R494" s="2" t="str">
        <f t="shared" si="99"/>
        <v>Number</v>
      </c>
      <c r="S494" s="2">
        <v>7.99</v>
      </c>
      <c r="T494" s="19">
        <f t="shared" si="100"/>
        <v>7.99</v>
      </c>
      <c r="U494" s="2">
        <v>82.96</v>
      </c>
      <c r="V494" s="19">
        <f t="shared" si="101"/>
        <v>82.96</v>
      </c>
      <c r="W494" s="19">
        <f t="shared" si="102"/>
        <v>82.96</v>
      </c>
      <c r="X494" s="19" t="str">
        <f t="shared" si="103"/>
        <v>True</v>
      </c>
      <c r="Y494" s="19" t="str">
        <f>IF(OR(W494&lt;'Cleaning Tasks'!$G$18,W494&gt;'Cleaning Tasks'!$H$18),"Outlier","Normal")</f>
        <v>Outlier</v>
      </c>
      <c r="Z494" s="2" t="s">
        <v>26</v>
      </c>
      <c r="AA494" s="2" t="s">
        <v>111</v>
      </c>
      <c r="AB494" s="2" t="s">
        <v>50</v>
      </c>
      <c r="AC494" s="2" t="s">
        <v>29</v>
      </c>
      <c r="AD494" s="2" t="s">
        <v>447</v>
      </c>
      <c r="AE494" s="2" t="str">
        <f t="shared" si="104"/>
        <v>Valid</v>
      </c>
      <c r="AF494" s="2" t="s">
        <v>1717</v>
      </c>
    </row>
    <row r="495" spans="1:32" x14ac:dyDescent="0.3">
      <c r="A495" s="2" t="s">
        <v>1718</v>
      </c>
      <c r="B495" s="2">
        <f t="shared" si="94"/>
        <v>1</v>
      </c>
      <c r="C495" s="12">
        <f t="shared" si="106"/>
        <v>46238.580210312502</v>
      </c>
      <c r="D495" s="13">
        <v>46238.580210312502</v>
      </c>
      <c r="E495" s="2" t="s">
        <v>329</v>
      </c>
      <c r="F495" s="2" t="str">
        <f t="shared" si="95"/>
        <v>Email Available</v>
      </c>
      <c r="G495" s="2" t="s">
        <v>330</v>
      </c>
      <c r="H495" s="2" t="s">
        <v>279</v>
      </c>
      <c r="I495" s="2" t="s">
        <v>22</v>
      </c>
      <c r="J495" s="2" t="s">
        <v>280</v>
      </c>
      <c r="K495" s="2">
        <v>1</v>
      </c>
      <c r="L495" s="2">
        <v>24.99</v>
      </c>
      <c r="M495" s="19">
        <f t="shared" si="96"/>
        <v>24.99</v>
      </c>
      <c r="N495" s="2"/>
      <c r="O495" s="2" t="str">
        <f t="shared" si="97"/>
        <v/>
      </c>
      <c r="P495" s="2">
        <v>0</v>
      </c>
      <c r="Q495" s="19">
        <f t="shared" si="98"/>
        <v>0</v>
      </c>
      <c r="R495" s="2" t="str">
        <f t="shared" si="99"/>
        <v>Number</v>
      </c>
      <c r="S495" s="2">
        <v>7.99</v>
      </c>
      <c r="T495" s="19">
        <f t="shared" si="100"/>
        <v>7.99</v>
      </c>
      <c r="U495" s="2">
        <v>32.979999999999997</v>
      </c>
      <c r="V495" s="19">
        <f t="shared" si="101"/>
        <v>32.979999999999997</v>
      </c>
      <c r="W495" s="19">
        <f t="shared" si="102"/>
        <v>32.979999999999997</v>
      </c>
      <c r="X495" s="19" t="str">
        <f t="shared" si="103"/>
        <v>True</v>
      </c>
      <c r="Y495" s="19" t="str">
        <f>IF(OR(W495&lt;'Cleaning Tasks'!$G$18,W495&gt;'Cleaning Tasks'!$H$18),"Outlier","Normal")</f>
        <v>Normal</v>
      </c>
      <c r="Z495" s="2" t="s">
        <v>66</v>
      </c>
      <c r="AA495" s="2" t="s">
        <v>40</v>
      </c>
      <c r="AB495" s="2" t="s">
        <v>50</v>
      </c>
      <c r="AC495" s="2" t="s">
        <v>331</v>
      </c>
      <c r="AD495" s="2"/>
      <c r="AE495" s="2" t="str">
        <f t="shared" si="104"/>
        <v>Not Required</v>
      </c>
      <c r="AF495" s="2" t="s">
        <v>1719</v>
      </c>
    </row>
    <row r="496" spans="1:32" x14ac:dyDescent="0.3">
      <c r="A496" s="2" t="s">
        <v>1720</v>
      </c>
      <c r="B496" s="2">
        <f t="shared" si="94"/>
        <v>1</v>
      </c>
      <c r="C496" s="12">
        <f t="shared" si="106"/>
        <v>46238.588183854168</v>
      </c>
      <c r="D496" s="13">
        <v>46238.588183854168</v>
      </c>
      <c r="E496" s="2" t="s">
        <v>815</v>
      </c>
      <c r="F496" s="2" t="str">
        <f t="shared" si="95"/>
        <v>Email Available</v>
      </c>
      <c r="G496" s="2" t="s">
        <v>816</v>
      </c>
      <c r="H496" s="2" t="s">
        <v>78</v>
      </c>
      <c r="I496" s="2" t="s">
        <v>79</v>
      </c>
      <c r="J496" s="2" t="s">
        <v>80</v>
      </c>
      <c r="K496" s="2">
        <v>1</v>
      </c>
      <c r="L496" s="2" t="s">
        <v>571</v>
      </c>
      <c r="M496" s="19">
        <f t="shared" si="96"/>
        <v>89.99</v>
      </c>
      <c r="N496" s="2"/>
      <c r="O496" s="2" t="str">
        <f t="shared" si="97"/>
        <v/>
      </c>
      <c r="P496" s="2" t="s">
        <v>184</v>
      </c>
      <c r="Q496" s="19">
        <f t="shared" si="98"/>
        <v>0</v>
      </c>
      <c r="R496" s="2" t="str">
        <f t="shared" si="99"/>
        <v>Number</v>
      </c>
      <c r="S496" s="2">
        <v>0</v>
      </c>
      <c r="T496" s="19">
        <f t="shared" si="100"/>
        <v>0</v>
      </c>
      <c r="U496" s="2">
        <v>89.99</v>
      </c>
      <c r="V496" s="19">
        <f t="shared" si="101"/>
        <v>89.99</v>
      </c>
      <c r="W496" s="19">
        <f t="shared" si="102"/>
        <v>89.99</v>
      </c>
      <c r="X496" s="19" t="str">
        <f t="shared" si="103"/>
        <v>True</v>
      </c>
      <c r="Y496" s="19" t="str">
        <f>IF(OR(W496&lt;'Cleaning Tasks'!$G$18,W496&gt;'Cleaning Tasks'!$H$18),"Outlier","Normal")</f>
        <v>Outlier</v>
      </c>
      <c r="Z496" s="2" t="s">
        <v>49</v>
      </c>
      <c r="AA496" s="2" t="s">
        <v>27</v>
      </c>
      <c r="AB496" s="2" t="s">
        <v>50</v>
      </c>
      <c r="AC496" s="2" t="s">
        <v>73</v>
      </c>
      <c r="AD496" s="2"/>
      <c r="AE496" s="2" t="str">
        <f t="shared" si="104"/>
        <v>Not Required</v>
      </c>
      <c r="AF496" s="2" t="s">
        <v>1721</v>
      </c>
    </row>
    <row r="497" spans="1:32" x14ac:dyDescent="0.3">
      <c r="A497" s="2" t="s">
        <v>1722</v>
      </c>
      <c r="B497" s="2">
        <f t="shared" si="94"/>
        <v>1</v>
      </c>
      <c r="C497" s="12">
        <f t="shared" si="106"/>
        <v>46238.588460925923</v>
      </c>
      <c r="D497" s="13">
        <v>46238.588460925923</v>
      </c>
      <c r="E497" s="2" t="s">
        <v>409</v>
      </c>
      <c r="F497" s="2" t="str">
        <f t="shared" si="95"/>
        <v>Email Available</v>
      </c>
      <c r="G497" s="2" t="s">
        <v>410</v>
      </c>
      <c r="H497" s="2" t="s">
        <v>152</v>
      </c>
      <c r="I497" s="2" t="s">
        <v>36</v>
      </c>
      <c r="J497" s="2" t="s">
        <v>153</v>
      </c>
      <c r="K497" s="2">
        <v>2</v>
      </c>
      <c r="L497" s="2">
        <v>29.99</v>
      </c>
      <c r="M497" s="19">
        <f t="shared" si="96"/>
        <v>29.99</v>
      </c>
      <c r="N497" s="2"/>
      <c r="O497" s="2" t="str">
        <f t="shared" si="97"/>
        <v/>
      </c>
      <c r="P497" s="2">
        <v>0</v>
      </c>
      <c r="Q497" s="19">
        <f t="shared" si="98"/>
        <v>0</v>
      </c>
      <c r="R497" s="2" t="str">
        <f t="shared" si="99"/>
        <v>Number</v>
      </c>
      <c r="S497" s="2">
        <v>7.99</v>
      </c>
      <c r="T497" s="19">
        <f t="shared" si="100"/>
        <v>7.99</v>
      </c>
      <c r="U497" s="2">
        <v>67.97</v>
      </c>
      <c r="V497" s="19">
        <f t="shared" si="101"/>
        <v>67.97</v>
      </c>
      <c r="W497" s="19">
        <f t="shared" si="102"/>
        <v>67.97</v>
      </c>
      <c r="X497" s="19" t="str">
        <f t="shared" si="103"/>
        <v>True</v>
      </c>
      <c r="Y497" s="19" t="str">
        <f>IF(OR(W497&lt;'Cleaning Tasks'!$G$18,W497&gt;'Cleaning Tasks'!$H$18),"Outlier","Normal")</f>
        <v>Normal</v>
      </c>
      <c r="Z497" s="2" t="s">
        <v>49</v>
      </c>
      <c r="AA497" s="2" t="s">
        <v>27</v>
      </c>
      <c r="AB497" s="2" t="s">
        <v>50</v>
      </c>
      <c r="AC497" s="2" t="s">
        <v>42</v>
      </c>
      <c r="AD497" s="2"/>
      <c r="AE497" s="2" t="str">
        <f t="shared" si="104"/>
        <v>Not Required</v>
      </c>
      <c r="AF497" s="2" t="s">
        <v>1723</v>
      </c>
    </row>
    <row r="498" spans="1:32" x14ac:dyDescent="0.3">
      <c r="A498" s="2" t="s">
        <v>1724</v>
      </c>
      <c r="B498" s="2">
        <f t="shared" si="94"/>
        <v>1</v>
      </c>
      <c r="C498" s="12">
        <f t="shared" si="106"/>
        <v>46238.580872037041</v>
      </c>
      <c r="D498" s="13">
        <v>46238.580872037041</v>
      </c>
      <c r="E498" s="2" t="s">
        <v>1199</v>
      </c>
      <c r="F498" s="2" t="str">
        <f t="shared" si="95"/>
        <v>Email Available</v>
      </c>
      <c r="G498" s="2" t="s">
        <v>1200</v>
      </c>
      <c r="H498" s="2" t="s">
        <v>279</v>
      </c>
      <c r="I498" s="2" t="s">
        <v>22</v>
      </c>
      <c r="J498" s="2" t="s">
        <v>280</v>
      </c>
      <c r="K498" s="2">
        <v>1</v>
      </c>
      <c r="L498" s="2">
        <v>24.99</v>
      </c>
      <c r="M498" s="19">
        <f t="shared" si="96"/>
        <v>24.99</v>
      </c>
      <c r="N498" s="2" t="s">
        <v>38</v>
      </c>
      <c r="O498" s="2" t="str">
        <f t="shared" si="97"/>
        <v>FREESHIP</v>
      </c>
      <c r="P498" s="2" t="s">
        <v>184</v>
      </c>
      <c r="Q498" s="19">
        <f t="shared" si="98"/>
        <v>0</v>
      </c>
      <c r="R498" s="2" t="str">
        <f t="shared" si="99"/>
        <v>Number</v>
      </c>
      <c r="S498" s="2">
        <v>0</v>
      </c>
      <c r="T498" s="19">
        <f t="shared" si="100"/>
        <v>0</v>
      </c>
      <c r="U498" s="2">
        <v>24.99</v>
      </c>
      <c r="V498" s="19">
        <f t="shared" si="101"/>
        <v>24.99</v>
      </c>
      <c r="W498" s="19">
        <f t="shared" si="102"/>
        <v>24.99</v>
      </c>
      <c r="X498" s="19" t="str">
        <f t="shared" si="103"/>
        <v>True</v>
      </c>
      <c r="Y498" s="19" t="str">
        <f>IF(OR(W498&lt;'Cleaning Tasks'!$G$18,W498&gt;'Cleaning Tasks'!$H$18),"Outlier","Normal")</f>
        <v>Normal</v>
      </c>
      <c r="Z498" s="2" t="s">
        <v>72</v>
      </c>
      <c r="AA498" s="2" t="s">
        <v>27</v>
      </c>
      <c r="AB498" s="2" t="s">
        <v>28</v>
      </c>
      <c r="AC498" s="2" t="s">
        <v>29</v>
      </c>
      <c r="AD498" s="2" t="s">
        <v>243</v>
      </c>
      <c r="AE498" s="2" t="str">
        <f t="shared" si="104"/>
        <v>Valid</v>
      </c>
      <c r="AF498" s="2" t="s">
        <v>1725</v>
      </c>
    </row>
    <row r="499" spans="1:32" x14ac:dyDescent="0.3">
      <c r="A499" s="2" t="s">
        <v>1726</v>
      </c>
      <c r="B499" s="2">
        <f t="shared" si="94"/>
        <v>1</v>
      </c>
      <c r="C499" s="12">
        <f t="shared" si="106"/>
        <v>46238</v>
      </c>
      <c r="D499" s="13">
        <v>46238</v>
      </c>
      <c r="E499" s="2" t="s">
        <v>1727</v>
      </c>
      <c r="F499" s="2" t="str">
        <f t="shared" si="95"/>
        <v>Email Available</v>
      </c>
      <c r="G499" s="2" t="s">
        <v>1728</v>
      </c>
      <c r="H499" s="2" t="s">
        <v>63</v>
      </c>
      <c r="I499" s="2" t="s">
        <v>47</v>
      </c>
      <c r="J499" s="2" t="s">
        <v>446</v>
      </c>
      <c r="K499" s="2">
        <v>1</v>
      </c>
      <c r="L499" s="2">
        <v>14.99</v>
      </c>
      <c r="M499" s="19">
        <f t="shared" si="96"/>
        <v>14.99</v>
      </c>
      <c r="N499" s="2" t="s">
        <v>24</v>
      </c>
      <c r="O499" s="2" t="str">
        <f t="shared" si="97"/>
        <v>SAVE20</v>
      </c>
      <c r="P499" s="2">
        <v>3</v>
      </c>
      <c r="Q499" s="19">
        <f t="shared" si="98"/>
        <v>3</v>
      </c>
      <c r="R499" s="2" t="str">
        <f t="shared" si="99"/>
        <v>Number</v>
      </c>
      <c r="S499" s="2">
        <v>4.99</v>
      </c>
      <c r="T499" s="19">
        <f t="shared" si="100"/>
        <v>4.99</v>
      </c>
      <c r="U499" s="2">
        <v>16.98</v>
      </c>
      <c r="V499" s="19">
        <f t="shared" si="101"/>
        <v>16.98</v>
      </c>
      <c r="W499" s="19">
        <f t="shared" si="102"/>
        <v>16.98</v>
      </c>
      <c r="X499" s="19" t="str">
        <f t="shared" si="103"/>
        <v>True</v>
      </c>
      <c r="Y499" s="19" t="str">
        <f>IF(OR(W499&lt;'Cleaning Tasks'!$G$18,W499&gt;'Cleaning Tasks'!$H$18),"Outlier","Normal")</f>
        <v>Normal</v>
      </c>
      <c r="Z499" s="2" t="s">
        <v>72</v>
      </c>
      <c r="AA499" s="2" t="s">
        <v>27</v>
      </c>
      <c r="AB499" s="2" t="s">
        <v>50</v>
      </c>
      <c r="AC499" s="2" t="s">
        <v>29</v>
      </c>
      <c r="AD499" s="2" t="s">
        <v>51</v>
      </c>
      <c r="AE499" s="2" t="str">
        <f t="shared" si="104"/>
        <v>Valid</v>
      </c>
      <c r="AF499" s="2" t="s">
        <v>1729</v>
      </c>
    </row>
    <row r="500" spans="1:32" x14ac:dyDescent="0.3">
      <c r="A500" s="2" t="s">
        <v>1730</v>
      </c>
      <c r="B500" s="2">
        <f t="shared" si="94"/>
        <v>1</v>
      </c>
      <c r="C500" s="12">
        <f t="shared" si="106"/>
        <v>46238.582664328707</v>
      </c>
      <c r="D500" s="13">
        <v>46238.582664328707</v>
      </c>
      <c r="E500" s="2" t="s">
        <v>1731</v>
      </c>
      <c r="F500" s="2" t="str">
        <f t="shared" si="95"/>
        <v>Email Available</v>
      </c>
      <c r="G500" s="2" t="s">
        <v>1732</v>
      </c>
      <c r="H500" s="2" t="s">
        <v>236</v>
      </c>
      <c r="I500" s="2" t="s">
        <v>237</v>
      </c>
      <c r="J500" s="2" t="s">
        <v>238</v>
      </c>
      <c r="K500" s="2">
        <v>1</v>
      </c>
      <c r="L500" s="2">
        <v>27.99</v>
      </c>
      <c r="M500" s="19">
        <f t="shared" si="96"/>
        <v>27.99</v>
      </c>
      <c r="N500" s="2"/>
      <c r="O500" s="2" t="str">
        <f t="shared" si="97"/>
        <v/>
      </c>
      <c r="P500" s="2">
        <v>0</v>
      </c>
      <c r="Q500" s="19">
        <f t="shared" si="98"/>
        <v>0</v>
      </c>
      <c r="R500" s="2" t="str">
        <f t="shared" si="99"/>
        <v>Number</v>
      </c>
      <c r="S500" s="2">
        <v>7.99</v>
      </c>
      <c r="T500" s="19">
        <f t="shared" si="100"/>
        <v>7.99</v>
      </c>
      <c r="U500" s="2">
        <v>35.979999999999997</v>
      </c>
      <c r="V500" s="19">
        <f t="shared" si="101"/>
        <v>35.979999999999997</v>
      </c>
      <c r="W500" s="19">
        <f t="shared" si="102"/>
        <v>35.979999999999997</v>
      </c>
      <c r="X500" s="19" t="str">
        <f t="shared" si="103"/>
        <v>True</v>
      </c>
      <c r="Y500" s="19" t="str">
        <f>IF(OR(W500&lt;'Cleaning Tasks'!$G$18,W500&gt;'Cleaning Tasks'!$H$18),"Outlier","Normal")</f>
        <v>Normal</v>
      </c>
      <c r="Z500" s="2" t="s">
        <v>72</v>
      </c>
      <c r="AA500" s="2" t="s">
        <v>111</v>
      </c>
      <c r="AB500" s="2" t="s">
        <v>50</v>
      </c>
      <c r="AC500" s="2" t="s">
        <v>73</v>
      </c>
      <c r="AD500" s="2"/>
      <c r="AE500" s="2" t="str">
        <f t="shared" si="104"/>
        <v>Not Required</v>
      </c>
      <c r="AF500" s="2" t="s">
        <v>1733</v>
      </c>
    </row>
    <row r="501" spans="1:32" x14ac:dyDescent="0.3">
      <c r="A501" s="2" t="s">
        <v>1734</v>
      </c>
      <c r="B501" s="2">
        <f t="shared" si="94"/>
        <v>1</v>
      </c>
      <c r="C501" s="12">
        <f t="shared" si="106"/>
        <v>46238.586886550933</v>
      </c>
      <c r="D501" s="13">
        <v>46238.586886550933</v>
      </c>
      <c r="E501" s="2" t="s">
        <v>1735</v>
      </c>
      <c r="F501" s="2" t="str">
        <f t="shared" si="95"/>
        <v>Email Available</v>
      </c>
      <c r="G501" s="2" t="s">
        <v>1736</v>
      </c>
      <c r="H501" s="2" t="s">
        <v>46</v>
      </c>
      <c r="I501" s="2" t="s">
        <v>47</v>
      </c>
      <c r="J501" s="2" t="s">
        <v>48</v>
      </c>
      <c r="K501" s="2">
        <v>1</v>
      </c>
      <c r="L501" s="2">
        <v>39.99</v>
      </c>
      <c r="M501" s="19">
        <f t="shared" si="96"/>
        <v>39.99</v>
      </c>
      <c r="N501" s="2"/>
      <c r="O501" s="2" t="str">
        <f t="shared" si="97"/>
        <v/>
      </c>
      <c r="P501" s="2">
        <v>0</v>
      </c>
      <c r="Q501" s="19">
        <f t="shared" si="98"/>
        <v>0</v>
      </c>
      <c r="R501" s="2" t="str">
        <f t="shared" si="99"/>
        <v>Number</v>
      </c>
      <c r="S501" s="2">
        <v>7.99</v>
      </c>
      <c r="T501" s="19">
        <f t="shared" si="100"/>
        <v>7.99</v>
      </c>
      <c r="U501" s="2">
        <v>47.98</v>
      </c>
      <c r="V501" s="19">
        <f t="shared" si="101"/>
        <v>47.98</v>
      </c>
      <c r="W501" s="19">
        <f t="shared" si="102"/>
        <v>47.980000000000004</v>
      </c>
      <c r="X501" s="19" t="str">
        <f t="shared" si="103"/>
        <v>True</v>
      </c>
      <c r="Y501" s="19" t="str">
        <f>IF(OR(W501&lt;'Cleaning Tasks'!$G$18,W501&gt;'Cleaning Tasks'!$H$18),"Outlier","Normal")</f>
        <v>Normal</v>
      </c>
      <c r="Z501" s="2" t="s">
        <v>66</v>
      </c>
      <c r="AA501" s="2" t="s">
        <v>27</v>
      </c>
      <c r="AB501" s="2" t="s">
        <v>50</v>
      </c>
      <c r="AC501" s="2" t="s">
        <v>331</v>
      </c>
      <c r="AD501" s="2"/>
      <c r="AE501" s="2" t="str">
        <f t="shared" si="104"/>
        <v>Not Required</v>
      </c>
      <c r="AF501" s="2" t="s">
        <v>1737</v>
      </c>
    </row>
    <row r="502" spans="1:32" x14ac:dyDescent="0.3">
      <c r="A502" s="2" t="s">
        <v>1738</v>
      </c>
      <c r="B502" s="2">
        <f t="shared" si="94"/>
        <v>1</v>
      </c>
      <c r="C502" s="12">
        <f t="shared" si="106"/>
        <v>46238.580911504629</v>
      </c>
      <c r="D502" s="13">
        <v>46238.580911504629</v>
      </c>
      <c r="E502" s="2" t="s">
        <v>1203</v>
      </c>
      <c r="F502" s="2" t="str">
        <f t="shared" si="95"/>
        <v>Email Available</v>
      </c>
      <c r="G502" s="2" t="s">
        <v>1204</v>
      </c>
      <c r="H502" s="2" t="s">
        <v>124</v>
      </c>
      <c r="I502" s="2" t="s">
        <v>79</v>
      </c>
      <c r="J502" s="2" t="s">
        <v>125</v>
      </c>
      <c r="K502" s="2">
        <v>2</v>
      </c>
      <c r="L502" s="2" t="s">
        <v>1086</v>
      </c>
      <c r="M502" s="19">
        <f t="shared" si="96"/>
        <v>13.99</v>
      </c>
      <c r="N502" s="2" t="s">
        <v>24</v>
      </c>
      <c r="O502" s="2" t="str">
        <f t="shared" si="97"/>
        <v>SAVE20</v>
      </c>
      <c r="P502" s="2">
        <v>5.6</v>
      </c>
      <c r="Q502" s="19">
        <f t="shared" si="98"/>
        <v>5.6</v>
      </c>
      <c r="R502" s="2" t="str">
        <f t="shared" si="99"/>
        <v>Number</v>
      </c>
      <c r="S502" s="2">
        <v>7.99</v>
      </c>
      <c r="T502" s="19">
        <f t="shared" si="100"/>
        <v>7.99</v>
      </c>
      <c r="U502" s="2">
        <v>30.37</v>
      </c>
      <c r="V502" s="19">
        <f t="shared" si="101"/>
        <v>30.37</v>
      </c>
      <c r="W502" s="19">
        <f t="shared" si="102"/>
        <v>30.370000000000005</v>
      </c>
      <c r="X502" s="19" t="str">
        <f t="shared" si="103"/>
        <v>True</v>
      </c>
      <c r="Y502" s="19" t="str">
        <f>IF(OR(W502&lt;'Cleaning Tasks'!$G$18,W502&gt;'Cleaning Tasks'!$H$18),"Outlier","Normal")</f>
        <v>Normal</v>
      </c>
      <c r="Z502" s="2" t="s">
        <v>66</v>
      </c>
      <c r="AA502" s="2" t="s">
        <v>40</v>
      </c>
      <c r="AB502" s="2" t="s">
        <v>50</v>
      </c>
      <c r="AC502" s="2" t="s">
        <v>73</v>
      </c>
      <c r="AD502" s="2"/>
      <c r="AE502" s="2" t="str">
        <f t="shared" si="104"/>
        <v>Not Required</v>
      </c>
      <c r="AF502" s="2" t="s">
        <v>1739</v>
      </c>
    </row>
    <row r="503" spans="1:32" x14ac:dyDescent="0.3">
      <c r="A503" s="2" t="s">
        <v>1740</v>
      </c>
      <c r="B503" s="2">
        <f t="shared" si="94"/>
        <v>1</v>
      </c>
      <c r="C503" s="12">
        <f t="shared" si="106"/>
        <v>46238.58070377315</v>
      </c>
      <c r="D503" s="13">
        <v>46238.58070377315</v>
      </c>
      <c r="E503" s="2" t="s">
        <v>1741</v>
      </c>
      <c r="F503" s="2" t="str">
        <f t="shared" si="95"/>
        <v>Email Available</v>
      </c>
      <c r="G503" s="2" t="s">
        <v>348</v>
      </c>
      <c r="H503" s="2" t="s">
        <v>63</v>
      </c>
      <c r="I503" s="2" t="s">
        <v>47</v>
      </c>
      <c r="J503" s="2" t="s">
        <v>64</v>
      </c>
      <c r="K503" s="2">
        <v>3</v>
      </c>
      <c r="L503" s="2">
        <v>14.99</v>
      </c>
      <c r="M503" s="19">
        <f t="shared" si="96"/>
        <v>14.99</v>
      </c>
      <c r="N503" s="2"/>
      <c r="O503" s="2" t="str">
        <f t="shared" si="97"/>
        <v/>
      </c>
      <c r="P503" s="2">
        <v>0</v>
      </c>
      <c r="Q503" s="19">
        <f t="shared" si="98"/>
        <v>0</v>
      </c>
      <c r="R503" s="2" t="str">
        <f t="shared" si="99"/>
        <v>Number</v>
      </c>
      <c r="S503" s="2">
        <v>4.99</v>
      </c>
      <c r="T503" s="19">
        <f t="shared" si="100"/>
        <v>4.99</v>
      </c>
      <c r="U503" s="2">
        <v>49.96</v>
      </c>
      <c r="V503" s="19">
        <f t="shared" si="101"/>
        <v>49.96</v>
      </c>
      <c r="W503" s="19">
        <f t="shared" si="102"/>
        <v>49.96</v>
      </c>
      <c r="X503" s="19" t="str">
        <f t="shared" si="103"/>
        <v>True</v>
      </c>
      <c r="Y503" s="19" t="str">
        <f>IF(OR(W503&lt;'Cleaning Tasks'!$G$18,W503&gt;'Cleaning Tasks'!$H$18),"Outlier","Normal")</f>
        <v>Normal</v>
      </c>
      <c r="Z503" s="2" t="s">
        <v>49</v>
      </c>
      <c r="AA503" s="2" t="s">
        <v>88</v>
      </c>
      <c r="AB503" s="2" t="s">
        <v>50</v>
      </c>
      <c r="AC503" s="2" t="s">
        <v>223</v>
      </c>
      <c r="AD503" s="2"/>
      <c r="AE503" s="2" t="str">
        <f t="shared" si="104"/>
        <v>Not Required</v>
      </c>
      <c r="AF503" s="2" t="s">
        <v>1742</v>
      </c>
    </row>
    <row r="504" spans="1:32" x14ac:dyDescent="0.3">
      <c r="A504" s="2" t="s">
        <v>1743</v>
      </c>
      <c r="B504" s="2">
        <f t="shared" si="94"/>
        <v>1</v>
      </c>
      <c r="C504" s="12">
        <f t="shared" si="106"/>
        <v>46238.581815509257</v>
      </c>
      <c r="D504" s="13">
        <v>46238.581815509257</v>
      </c>
      <c r="E504" s="2" t="s">
        <v>1744</v>
      </c>
      <c r="F504" s="2" t="str">
        <f t="shared" si="95"/>
        <v>Email Available</v>
      </c>
      <c r="G504" s="2" t="s">
        <v>1745</v>
      </c>
      <c r="H504" s="2" t="s">
        <v>146</v>
      </c>
      <c r="I504" s="2" t="s">
        <v>47</v>
      </c>
      <c r="J504" s="2" t="s">
        <v>147</v>
      </c>
      <c r="K504" s="2">
        <v>1</v>
      </c>
      <c r="L504" s="2">
        <v>34.99</v>
      </c>
      <c r="M504" s="19">
        <f t="shared" si="96"/>
        <v>34.99</v>
      </c>
      <c r="N504" s="2"/>
      <c r="O504" s="2" t="str">
        <f t="shared" si="97"/>
        <v/>
      </c>
      <c r="P504" s="2">
        <v>0</v>
      </c>
      <c r="Q504" s="19">
        <f t="shared" si="98"/>
        <v>0</v>
      </c>
      <c r="R504" s="2" t="str">
        <f t="shared" si="99"/>
        <v>Number</v>
      </c>
      <c r="S504" s="2">
        <v>4.99</v>
      </c>
      <c r="T504" s="19">
        <f t="shared" si="100"/>
        <v>4.99</v>
      </c>
      <c r="U504" s="2">
        <v>39.979999999999997</v>
      </c>
      <c r="V504" s="19">
        <f t="shared" si="101"/>
        <v>39.979999999999997</v>
      </c>
      <c r="W504" s="19">
        <f t="shared" si="102"/>
        <v>39.980000000000004</v>
      </c>
      <c r="X504" s="19" t="str">
        <f t="shared" si="103"/>
        <v>True</v>
      </c>
      <c r="Y504" s="19" t="str">
        <f>IF(OR(W504&lt;'Cleaning Tasks'!$G$18,W504&gt;'Cleaning Tasks'!$H$18),"Outlier","Normal")</f>
        <v>Normal</v>
      </c>
      <c r="Z504" s="2" t="s">
        <v>66</v>
      </c>
      <c r="AA504" s="2" t="s">
        <v>27</v>
      </c>
      <c r="AB504" s="2" t="s">
        <v>50</v>
      </c>
      <c r="AC504" s="2" t="s">
        <v>29</v>
      </c>
      <c r="AD504" s="22" t="s">
        <v>112</v>
      </c>
      <c r="AE504" s="2" t="str">
        <f t="shared" si="104"/>
        <v>Valid</v>
      </c>
      <c r="AF504" s="2" t="s">
        <v>1746</v>
      </c>
    </row>
    <row r="505" spans="1:32" x14ac:dyDescent="0.3">
      <c r="A505" s="2" t="s">
        <v>1747</v>
      </c>
      <c r="B505" s="2">
        <f t="shared" si="94"/>
        <v>1</v>
      </c>
      <c r="C505" s="12">
        <f t="shared" si="106"/>
        <v>46238</v>
      </c>
      <c r="D505" s="13" t="s">
        <v>1716</v>
      </c>
      <c r="E505" s="2" t="s">
        <v>1748</v>
      </c>
      <c r="F505" s="2" t="str">
        <f t="shared" si="95"/>
        <v>Email Available</v>
      </c>
      <c r="G505" s="2" t="s">
        <v>165</v>
      </c>
      <c r="H505" s="2" t="s">
        <v>279</v>
      </c>
      <c r="I505" s="2" t="s">
        <v>22</v>
      </c>
      <c r="J505" s="2" t="s">
        <v>280</v>
      </c>
      <c r="K505" s="2">
        <v>1</v>
      </c>
      <c r="L505" s="2">
        <v>24.99</v>
      </c>
      <c r="M505" s="19">
        <f t="shared" si="96"/>
        <v>24.99</v>
      </c>
      <c r="N505" s="2" t="s">
        <v>1124</v>
      </c>
      <c r="O505" s="2" t="str">
        <f t="shared" si="97"/>
        <v>WELCOME10</v>
      </c>
      <c r="P505" s="2" t="s">
        <v>999</v>
      </c>
      <c r="Q505" s="19">
        <f t="shared" si="98"/>
        <v>2.5</v>
      </c>
      <c r="R505" s="2" t="str">
        <f t="shared" si="99"/>
        <v>Number</v>
      </c>
      <c r="S505" s="2">
        <v>4.99</v>
      </c>
      <c r="T505" s="19">
        <f t="shared" si="100"/>
        <v>4.99</v>
      </c>
      <c r="U505" s="2">
        <v>27.48</v>
      </c>
      <c r="V505" s="19">
        <f t="shared" si="101"/>
        <v>27.48</v>
      </c>
      <c r="W505" s="19">
        <f t="shared" si="102"/>
        <v>27.479999999999997</v>
      </c>
      <c r="X505" s="19" t="str">
        <f t="shared" si="103"/>
        <v>True</v>
      </c>
      <c r="Y505" s="19" t="str">
        <f>IF(OR(W505&lt;'Cleaning Tasks'!$G$18,W505&gt;'Cleaning Tasks'!$H$18),"Outlier","Normal")</f>
        <v>Normal</v>
      </c>
      <c r="Z505" s="2" t="s">
        <v>39</v>
      </c>
      <c r="AA505" s="2" t="s">
        <v>27</v>
      </c>
      <c r="AB505" s="2" t="s">
        <v>50</v>
      </c>
      <c r="AC505" s="2" t="s">
        <v>105</v>
      </c>
      <c r="AD505" s="2"/>
      <c r="AE505" s="2" t="str">
        <f t="shared" si="104"/>
        <v>Not Required</v>
      </c>
      <c r="AF505" s="2" t="s">
        <v>1749</v>
      </c>
    </row>
    <row r="506" spans="1:32" x14ac:dyDescent="0.3">
      <c r="A506" s="2" t="s">
        <v>1750</v>
      </c>
      <c r="B506" s="2">
        <f t="shared" si="94"/>
        <v>1</v>
      </c>
      <c r="C506" s="12">
        <f t="shared" si="106"/>
        <v>46238.578867974538</v>
      </c>
      <c r="D506" s="13">
        <v>46238.578867974538</v>
      </c>
      <c r="E506" s="2" t="s">
        <v>303</v>
      </c>
      <c r="F506" s="2" t="str">
        <f t="shared" si="95"/>
        <v>Email Available</v>
      </c>
      <c r="G506" s="2" t="s">
        <v>304</v>
      </c>
      <c r="H506" s="2" t="s">
        <v>236</v>
      </c>
      <c r="I506" s="2" t="s">
        <v>237</v>
      </c>
      <c r="J506" s="2" t="s">
        <v>238</v>
      </c>
      <c r="K506" s="2">
        <v>1</v>
      </c>
      <c r="L506" s="2">
        <v>27.99</v>
      </c>
      <c r="M506" s="19">
        <f t="shared" si="96"/>
        <v>27.99</v>
      </c>
      <c r="N506" s="2" t="s">
        <v>24</v>
      </c>
      <c r="O506" s="2" t="str">
        <f t="shared" si="97"/>
        <v>SAVE20</v>
      </c>
      <c r="P506" s="2">
        <v>5.6</v>
      </c>
      <c r="Q506" s="19">
        <f t="shared" si="98"/>
        <v>5.6</v>
      </c>
      <c r="R506" s="2" t="str">
        <f t="shared" si="99"/>
        <v>Number</v>
      </c>
      <c r="S506" s="2">
        <v>4.99</v>
      </c>
      <c r="T506" s="19">
        <f t="shared" si="100"/>
        <v>4.99</v>
      </c>
      <c r="U506" s="2">
        <v>27.38</v>
      </c>
      <c r="V506" s="19">
        <f t="shared" si="101"/>
        <v>27.38</v>
      </c>
      <c r="W506" s="19">
        <f t="shared" si="102"/>
        <v>27.380000000000003</v>
      </c>
      <c r="X506" s="19" t="str">
        <f t="shared" si="103"/>
        <v>True</v>
      </c>
      <c r="Y506" s="19" t="str">
        <f>IF(OR(W506&lt;'Cleaning Tasks'!$G$18,W506&gt;'Cleaning Tasks'!$H$18),"Outlier","Normal")</f>
        <v>Normal</v>
      </c>
      <c r="Z506" s="2" t="s">
        <v>39</v>
      </c>
      <c r="AA506" s="2" t="s">
        <v>27</v>
      </c>
      <c r="AB506" s="2" t="s">
        <v>50</v>
      </c>
      <c r="AC506" s="2" t="s">
        <v>29</v>
      </c>
      <c r="AD506" s="2" t="s">
        <v>89</v>
      </c>
      <c r="AE506" s="2" t="str">
        <f t="shared" si="104"/>
        <v>Valid</v>
      </c>
      <c r="AF506" s="2" t="s">
        <v>1751</v>
      </c>
    </row>
    <row r="507" spans="1:32" x14ac:dyDescent="0.3">
      <c r="A507" s="2" t="s">
        <v>1752</v>
      </c>
      <c r="B507" s="2">
        <f t="shared" si="94"/>
        <v>1</v>
      </c>
      <c r="C507" s="12">
        <f t="shared" si="106"/>
        <v>46238.582394456018</v>
      </c>
      <c r="D507" s="13">
        <v>46238.582394456018</v>
      </c>
      <c r="E507" s="2" t="s">
        <v>805</v>
      </c>
      <c r="F507" s="2" t="str">
        <f t="shared" si="95"/>
        <v>Email Available</v>
      </c>
      <c r="G507" s="2" t="s">
        <v>806</v>
      </c>
      <c r="H507" s="2" t="s">
        <v>124</v>
      </c>
      <c r="I507" s="2" t="s">
        <v>79</v>
      </c>
      <c r="J507" s="2" t="s">
        <v>125</v>
      </c>
      <c r="K507" s="2">
        <v>2</v>
      </c>
      <c r="L507" s="2">
        <v>13.99</v>
      </c>
      <c r="M507" s="19">
        <f t="shared" si="96"/>
        <v>13.99</v>
      </c>
      <c r="N507" s="2" t="s">
        <v>24</v>
      </c>
      <c r="O507" s="2" t="str">
        <f t="shared" si="97"/>
        <v>SAVE20</v>
      </c>
      <c r="P507" s="2">
        <v>5.6</v>
      </c>
      <c r="Q507" s="19">
        <f t="shared" si="98"/>
        <v>5.6</v>
      </c>
      <c r="R507" s="2" t="str">
        <f t="shared" si="99"/>
        <v>Number</v>
      </c>
      <c r="S507" s="2">
        <v>7.99</v>
      </c>
      <c r="T507" s="19">
        <f t="shared" si="100"/>
        <v>7.99</v>
      </c>
      <c r="U507" s="2">
        <v>30.37</v>
      </c>
      <c r="V507" s="19">
        <f t="shared" si="101"/>
        <v>30.37</v>
      </c>
      <c r="W507" s="19">
        <f t="shared" si="102"/>
        <v>30.370000000000005</v>
      </c>
      <c r="X507" s="19" t="str">
        <f t="shared" si="103"/>
        <v>True</v>
      </c>
      <c r="Y507" s="19" t="str">
        <f>IF(OR(W507&lt;'Cleaning Tasks'!$G$18,W507&gt;'Cleaning Tasks'!$H$18),"Outlier","Normal")</f>
        <v>Normal</v>
      </c>
      <c r="Z507" s="2" t="s">
        <v>66</v>
      </c>
      <c r="AA507" s="2" t="s">
        <v>27</v>
      </c>
      <c r="AB507" s="2" t="s">
        <v>50</v>
      </c>
      <c r="AC507" s="2" t="s">
        <v>29</v>
      </c>
      <c r="AD507" s="2" t="s">
        <v>112</v>
      </c>
      <c r="AE507" s="2" t="str">
        <f t="shared" si="104"/>
        <v>Valid</v>
      </c>
      <c r="AF507" s="2" t="s">
        <v>1753</v>
      </c>
    </row>
    <row r="508" spans="1:32" x14ac:dyDescent="0.3">
      <c r="A508" s="2" t="s">
        <v>1754</v>
      </c>
      <c r="B508" s="2">
        <f t="shared" si="94"/>
        <v>1</v>
      </c>
      <c r="C508" s="12">
        <f t="shared" si="106"/>
        <v>46238.581648831023</v>
      </c>
      <c r="D508" s="13">
        <v>46238.581648831023</v>
      </c>
      <c r="E508" s="2" t="s">
        <v>494</v>
      </c>
      <c r="F508" s="2" t="str">
        <f t="shared" si="95"/>
        <v>Email Available</v>
      </c>
      <c r="G508" s="2" t="s">
        <v>495</v>
      </c>
      <c r="H508" s="2" t="s">
        <v>190</v>
      </c>
      <c r="I508" s="2" t="s">
        <v>191</v>
      </c>
      <c r="J508" s="2" t="s">
        <v>192</v>
      </c>
      <c r="K508" s="2">
        <v>1</v>
      </c>
      <c r="L508" s="2">
        <v>13.49</v>
      </c>
      <c r="M508" s="19">
        <f t="shared" si="96"/>
        <v>13.49</v>
      </c>
      <c r="N508" s="2"/>
      <c r="O508" s="2" t="str">
        <f t="shared" si="97"/>
        <v/>
      </c>
      <c r="P508" s="2">
        <v>0</v>
      </c>
      <c r="Q508" s="19">
        <f t="shared" si="98"/>
        <v>0</v>
      </c>
      <c r="R508" s="2" t="str">
        <f t="shared" si="99"/>
        <v>Number</v>
      </c>
      <c r="S508" s="2">
        <v>4.99</v>
      </c>
      <c r="T508" s="19">
        <f t="shared" si="100"/>
        <v>4.99</v>
      </c>
      <c r="U508" s="2" t="s">
        <v>1755</v>
      </c>
      <c r="V508" s="19">
        <f t="shared" si="101"/>
        <v>18.48</v>
      </c>
      <c r="W508" s="19">
        <f t="shared" si="102"/>
        <v>18.48</v>
      </c>
      <c r="X508" s="19" t="str">
        <f t="shared" si="103"/>
        <v>True</v>
      </c>
      <c r="Y508" s="19" t="str">
        <f>IF(OR(W508&lt;'Cleaning Tasks'!$G$18,W508&gt;'Cleaning Tasks'!$H$18),"Outlier","Normal")</f>
        <v>Normal</v>
      </c>
      <c r="Z508" s="2" t="s">
        <v>72</v>
      </c>
      <c r="AA508" s="2" t="s">
        <v>88</v>
      </c>
      <c r="AB508" s="2" t="s">
        <v>50</v>
      </c>
      <c r="AC508" s="2" t="s">
        <v>105</v>
      </c>
      <c r="AD508" s="2"/>
      <c r="AE508" s="2" t="str">
        <f t="shared" si="104"/>
        <v>Not Required</v>
      </c>
      <c r="AF508" s="2" t="s">
        <v>1756</v>
      </c>
    </row>
    <row r="509" spans="1:32" x14ac:dyDescent="0.3">
      <c r="A509" s="2" t="s">
        <v>1757</v>
      </c>
      <c r="B509" s="2">
        <f t="shared" si="94"/>
        <v>1</v>
      </c>
      <c r="C509" s="12">
        <f t="shared" si="106"/>
        <v>46238.582466956017</v>
      </c>
      <c r="D509" s="13">
        <v>46238.582466956017</v>
      </c>
      <c r="E509" s="2" t="s">
        <v>1758</v>
      </c>
      <c r="F509" s="2" t="str">
        <f t="shared" si="95"/>
        <v>Email Available</v>
      </c>
      <c r="G509" s="2" t="s">
        <v>529</v>
      </c>
      <c r="H509" s="2" t="s">
        <v>63</v>
      </c>
      <c r="I509" s="2" t="s">
        <v>47</v>
      </c>
      <c r="J509" s="2" t="s">
        <v>64</v>
      </c>
      <c r="K509" s="2">
        <v>2</v>
      </c>
      <c r="L509" s="2">
        <v>14.99</v>
      </c>
      <c r="M509" s="19">
        <f t="shared" si="96"/>
        <v>14.99</v>
      </c>
      <c r="N509" s="2"/>
      <c r="O509" s="2" t="str">
        <f t="shared" si="97"/>
        <v/>
      </c>
      <c r="P509" s="2">
        <v>0</v>
      </c>
      <c r="Q509" s="19">
        <f t="shared" si="98"/>
        <v>0</v>
      </c>
      <c r="R509" s="2" t="str">
        <f t="shared" si="99"/>
        <v>Number</v>
      </c>
      <c r="S509" s="2">
        <v>4.99</v>
      </c>
      <c r="T509" s="19">
        <f t="shared" si="100"/>
        <v>4.99</v>
      </c>
      <c r="U509" s="2">
        <v>34.97</v>
      </c>
      <c r="V509" s="19">
        <f t="shared" si="101"/>
        <v>34.97</v>
      </c>
      <c r="W509" s="19">
        <f t="shared" si="102"/>
        <v>34.97</v>
      </c>
      <c r="X509" s="19" t="str">
        <f t="shared" si="103"/>
        <v>True</v>
      </c>
      <c r="Y509" s="19" t="str">
        <f>IF(OR(W509&lt;'Cleaning Tasks'!$G$18,W509&gt;'Cleaning Tasks'!$H$18),"Outlier","Normal")</f>
        <v>Normal</v>
      </c>
      <c r="Z509" s="2" t="s">
        <v>66</v>
      </c>
      <c r="AA509" s="2" t="s">
        <v>27</v>
      </c>
      <c r="AB509" s="2" t="s">
        <v>50</v>
      </c>
      <c r="AC509" s="2" t="s">
        <v>29</v>
      </c>
      <c r="AD509" s="2" t="s">
        <v>89</v>
      </c>
      <c r="AE509" s="2" t="str">
        <f t="shared" si="104"/>
        <v>Valid</v>
      </c>
      <c r="AF509" s="2" t="s">
        <v>1759</v>
      </c>
    </row>
    <row r="510" spans="1:32" x14ac:dyDescent="0.3">
      <c r="A510" s="2" t="s">
        <v>1760</v>
      </c>
      <c r="B510" s="2">
        <f t="shared" si="94"/>
        <v>1</v>
      </c>
      <c r="C510" s="12">
        <f t="shared" si="106"/>
        <v>46238.584092627323</v>
      </c>
      <c r="D510" s="13">
        <v>46238.584092627323</v>
      </c>
      <c r="E510" s="2" t="s">
        <v>1596</v>
      </c>
      <c r="F510" s="2" t="str">
        <f t="shared" si="95"/>
        <v>Email Available</v>
      </c>
      <c r="G510" s="2" t="s">
        <v>1597</v>
      </c>
      <c r="H510" s="2" t="s">
        <v>130</v>
      </c>
      <c r="I510" s="2" t="s">
        <v>103</v>
      </c>
      <c r="J510" s="2" t="s">
        <v>131</v>
      </c>
      <c r="K510" s="2">
        <v>1</v>
      </c>
      <c r="L510" s="2">
        <v>16.989999999999998</v>
      </c>
      <c r="M510" s="19">
        <f t="shared" si="96"/>
        <v>16.989999999999998</v>
      </c>
      <c r="N510" s="2" t="s">
        <v>65</v>
      </c>
      <c r="O510" s="2" t="str">
        <f t="shared" si="97"/>
        <v>WELCOME10</v>
      </c>
      <c r="P510" s="2" t="s">
        <v>1761</v>
      </c>
      <c r="Q510" s="19">
        <f t="shared" si="98"/>
        <v>1.7</v>
      </c>
      <c r="R510" s="2" t="str">
        <f t="shared" si="99"/>
        <v>Number</v>
      </c>
      <c r="S510" s="2">
        <v>5.99</v>
      </c>
      <c r="T510" s="19">
        <f t="shared" si="100"/>
        <v>5.99</v>
      </c>
      <c r="U510" s="2">
        <v>21.28</v>
      </c>
      <c r="V510" s="19">
        <f t="shared" si="101"/>
        <v>21.28</v>
      </c>
      <c r="W510" s="19">
        <f t="shared" si="102"/>
        <v>21.28</v>
      </c>
      <c r="X510" s="19" t="str">
        <f t="shared" si="103"/>
        <v>True</v>
      </c>
      <c r="Y510" s="19" t="str">
        <f>IF(OR(W510&lt;'Cleaning Tasks'!$G$18,W510&gt;'Cleaning Tasks'!$H$18),"Outlier","Normal")</f>
        <v>Normal</v>
      </c>
      <c r="Z510" s="2" t="s">
        <v>26</v>
      </c>
      <c r="AA510" s="2" t="s">
        <v>27</v>
      </c>
      <c r="AB510" s="2" t="s">
        <v>96</v>
      </c>
      <c r="AC510" s="2" t="s">
        <v>73</v>
      </c>
      <c r="AD510" s="2"/>
      <c r="AE510" s="2" t="str">
        <f t="shared" si="104"/>
        <v>Not Required</v>
      </c>
      <c r="AF510" s="2" t="s">
        <v>1762</v>
      </c>
    </row>
    <row r="511" spans="1:32" x14ac:dyDescent="0.3">
      <c r="A511" s="2" t="s">
        <v>1763</v>
      </c>
      <c r="B511" s="2">
        <f t="shared" si="94"/>
        <v>1</v>
      </c>
      <c r="C511" s="12">
        <f t="shared" si="106"/>
        <v>46238.584576979163</v>
      </c>
      <c r="D511" s="13">
        <v>46238.584576979163</v>
      </c>
      <c r="E511" s="2" t="s">
        <v>1764</v>
      </c>
      <c r="F511" s="2" t="str">
        <f t="shared" si="95"/>
        <v>Email Available</v>
      </c>
      <c r="G511" s="2" t="s">
        <v>1765</v>
      </c>
      <c r="H511" s="2" t="s">
        <v>117</v>
      </c>
      <c r="I511" s="2" t="s">
        <v>22</v>
      </c>
      <c r="J511" s="2" t="s">
        <v>23</v>
      </c>
      <c r="K511" s="2">
        <v>1</v>
      </c>
      <c r="L511" s="2">
        <v>12.99</v>
      </c>
      <c r="M511" s="19">
        <f t="shared" si="96"/>
        <v>12.99</v>
      </c>
      <c r="N511" s="2" t="s">
        <v>118</v>
      </c>
      <c r="O511" s="2" t="str">
        <f t="shared" si="97"/>
        <v>BFCM25</v>
      </c>
      <c r="P511" s="2" t="s">
        <v>1766</v>
      </c>
      <c r="Q511" s="19">
        <f t="shared" si="98"/>
        <v>3.25</v>
      </c>
      <c r="R511" s="2" t="str">
        <f t="shared" si="99"/>
        <v>Number</v>
      </c>
      <c r="S511" s="2">
        <v>4.99</v>
      </c>
      <c r="T511" s="19">
        <f t="shared" si="100"/>
        <v>4.99</v>
      </c>
      <c r="U511" s="2">
        <v>14.73</v>
      </c>
      <c r="V511" s="19">
        <f t="shared" si="101"/>
        <v>14.73</v>
      </c>
      <c r="W511" s="19">
        <f t="shared" si="102"/>
        <v>14.73</v>
      </c>
      <c r="X511" s="19" t="str">
        <f t="shared" si="103"/>
        <v>True</v>
      </c>
      <c r="Y511" s="19" t="str">
        <f>IF(OR(W511&lt;'Cleaning Tasks'!$G$18,W511&gt;'Cleaning Tasks'!$H$18),"Outlier","Normal")</f>
        <v>Normal</v>
      </c>
      <c r="Z511" s="2" t="s">
        <v>39</v>
      </c>
      <c r="AA511" s="2" t="s">
        <v>27</v>
      </c>
      <c r="AB511" s="2" t="s">
        <v>50</v>
      </c>
      <c r="AC511" s="2" t="s">
        <v>29</v>
      </c>
      <c r="AD511" s="2" t="s">
        <v>51</v>
      </c>
      <c r="AE511" s="2" t="str">
        <f t="shared" si="104"/>
        <v>Valid</v>
      </c>
      <c r="AF511" s="2" t="s">
        <v>1767</v>
      </c>
    </row>
    <row r="512" spans="1:32" x14ac:dyDescent="0.3">
      <c r="A512" s="2" t="s">
        <v>1768</v>
      </c>
      <c r="B512" s="2">
        <f t="shared" si="94"/>
        <v>1</v>
      </c>
      <c r="C512" s="12">
        <f t="shared" si="106"/>
        <v>46238.585767696757</v>
      </c>
      <c r="D512" s="13">
        <v>46238.585767696757</v>
      </c>
      <c r="E512" s="2" t="s">
        <v>1769</v>
      </c>
      <c r="F512" s="2" t="str">
        <f t="shared" si="95"/>
        <v>Email Available</v>
      </c>
      <c r="G512" s="2" t="s">
        <v>1770</v>
      </c>
      <c r="H512" s="2" t="s">
        <v>309</v>
      </c>
      <c r="I512" s="2" t="s">
        <v>36</v>
      </c>
      <c r="J512" s="2" t="s">
        <v>310</v>
      </c>
      <c r="K512" s="2">
        <v>1</v>
      </c>
      <c r="L512" s="2">
        <v>8.99</v>
      </c>
      <c r="M512" s="19">
        <f t="shared" si="96"/>
        <v>8.99</v>
      </c>
      <c r="N512" s="2"/>
      <c r="O512" s="2" t="str">
        <f t="shared" si="97"/>
        <v/>
      </c>
      <c r="P512" s="2">
        <v>0</v>
      </c>
      <c r="Q512" s="19">
        <f t="shared" si="98"/>
        <v>0</v>
      </c>
      <c r="R512" s="2" t="str">
        <f t="shared" si="99"/>
        <v>Number</v>
      </c>
      <c r="S512" s="2">
        <v>5.99</v>
      </c>
      <c r="T512" s="19">
        <f t="shared" si="100"/>
        <v>5.99</v>
      </c>
      <c r="U512" s="2">
        <v>14.98</v>
      </c>
      <c r="V512" s="19">
        <f t="shared" si="101"/>
        <v>14.98</v>
      </c>
      <c r="W512" s="19">
        <f t="shared" si="102"/>
        <v>14.98</v>
      </c>
      <c r="X512" s="19" t="str">
        <f t="shared" si="103"/>
        <v>True</v>
      </c>
      <c r="Y512" s="19" t="str">
        <f>IF(OR(W512&lt;'Cleaning Tasks'!$G$18,W512&gt;'Cleaning Tasks'!$H$18),"Outlier","Normal")</f>
        <v>Normal</v>
      </c>
      <c r="Z512" s="2" t="s">
        <v>66</v>
      </c>
      <c r="AA512" s="2" t="s">
        <v>40</v>
      </c>
      <c r="AB512" s="2" t="s">
        <v>50</v>
      </c>
      <c r="AC512" s="2" t="s">
        <v>73</v>
      </c>
      <c r="AD512" s="2"/>
      <c r="AE512" s="2" t="str">
        <f t="shared" si="104"/>
        <v>Not Required</v>
      </c>
      <c r="AF512" s="2" t="s">
        <v>1771</v>
      </c>
    </row>
    <row r="513" spans="1:32" x14ac:dyDescent="0.3">
      <c r="A513" s="2" t="s">
        <v>1772</v>
      </c>
      <c r="B513" s="2">
        <f t="shared" si="94"/>
        <v>1</v>
      </c>
      <c r="C513" s="12">
        <f t="shared" si="106"/>
        <v>46238.588124259259</v>
      </c>
      <c r="D513" s="13">
        <v>46238.588124259259</v>
      </c>
      <c r="E513" s="2" t="s">
        <v>1203</v>
      </c>
      <c r="F513" s="2" t="str">
        <f t="shared" si="95"/>
        <v>Email Available</v>
      </c>
      <c r="G513" s="2" t="s">
        <v>1204</v>
      </c>
      <c r="H513" s="2" t="s">
        <v>267</v>
      </c>
      <c r="I513" s="2" t="s">
        <v>22</v>
      </c>
      <c r="J513" s="2" t="s">
        <v>268</v>
      </c>
      <c r="K513" s="2">
        <v>1</v>
      </c>
      <c r="L513" s="2" t="s">
        <v>631</v>
      </c>
      <c r="M513" s="19">
        <f t="shared" si="96"/>
        <v>18.989999999999998</v>
      </c>
      <c r="N513" s="2" t="s">
        <v>118</v>
      </c>
      <c r="O513" s="2" t="str">
        <f t="shared" si="97"/>
        <v>BFCM25</v>
      </c>
      <c r="P513" s="2">
        <v>4.75</v>
      </c>
      <c r="Q513" s="19">
        <f t="shared" si="98"/>
        <v>4.75</v>
      </c>
      <c r="R513" s="2" t="str">
        <f t="shared" si="99"/>
        <v>Number</v>
      </c>
      <c r="S513" s="2">
        <v>7.99</v>
      </c>
      <c r="T513" s="19">
        <f t="shared" si="100"/>
        <v>7.99</v>
      </c>
      <c r="U513" s="2">
        <v>22.23</v>
      </c>
      <c r="V513" s="19">
        <f t="shared" si="101"/>
        <v>22.23</v>
      </c>
      <c r="W513" s="19">
        <f t="shared" si="102"/>
        <v>22.229999999999997</v>
      </c>
      <c r="X513" s="19" t="str">
        <f t="shared" si="103"/>
        <v>True</v>
      </c>
      <c r="Y513" s="19" t="str">
        <f>IF(OR(W513&lt;'Cleaning Tasks'!$G$18,W513&gt;'Cleaning Tasks'!$H$18),"Outlier","Normal")</f>
        <v>Normal</v>
      </c>
      <c r="Z513" s="2" t="s">
        <v>39</v>
      </c>
      <c r="AA513" s="2" t="s">
        <v>111</v>
      </c>
      <c r="AB513" s="2" t="s">
        <v>28</v>
      </c>
      <c r="AC513" s="2" t="s">
        <v>73</v>
      </c>
      <c r="AD513" s="2"/>
      <c r="AE513" s="2" t="str">
        <f t="shared" si="104"/>
        <v>Not Required</v>
      </c>
      <c r="AF513" s="2" t="s">
        <v>1773</v>
      </c>
    </row>
    <row r="514" spans="1:32" x14ac:dyDescent="0.3">
      <c r="A514" s="2" t="s">
        <v>1774</v>
      </c>
      <c r="B514" s="2">
        <f t="shared" ref="B514:B577" si="107">COUNTIF($A$2:$A$1993,A514)</f>
        <v>1</v>
      </c>
      <c r="C514" s="12">
        <f t="shared" si="106"/>
        <v>46238</v>
      </c>
      <c r="D514" s="13">
        <v>46238</v>
      </c>
      <c r="E514" s="2" t="s">
        <v>1475</v>
      </c>
      <c r="F514" s="2" t="str">
        <f t="shared" ref="F514:F577" si="108">IF(TRIM(G514)="","Missing Email","Email Available")</f>
        <v>Email Available</v>
      </c>
      <c r="G514" s="2" t="s">
        <v>1476</v>
      </c>
      <c r="H514" s="2" t="s">
        <v>221</v>
      </c>
      <c r="I514" s="2" t="s">
        <v>22</v>
      </c>
      <c r="J514" s="2" t="s">
        <v>222</v>
      </c>
      <c r="K514" s="2">
        <v>3</v>
      </c>
      <c r="L514" s="2">
        <v>17.989999999999998</v>
      </c>
      <c r="M514" s="19">
        <f t="shared" ref="M514:M577" si="109">IF(ISNUMBER(L514),L514,VALUE(SUBSTITUTE(L514,"$","")))</f>
        <v>17.989999999999998</v>
      </c>
      <c r="N514" s="2"/>
      <c r="O514" s="2" t="str">
        <f t="shared" ref="O514:O577" si="110">IF(TRIM(N514)="","",UPPER(TRIM(SUBSTITUTE(N514,CHAR(160)," "))))</f>
        <v/>
      </c>
      <c r="P514" s="2">
        <v>0</v>
      </c>
      <c r="Q514" s="19">
        <f t="shared" ref="Q514:Q577" si="111">IF(ISNUMBER(P514),P514,VALUE(TRIM(SUBSTITUTE(P514,"$",""))))</f>
        <v>0</v>
      </c>
      <c r="R514" s="2" t="str">
        <f t="shared" ref="R514:R577" si="112">IF(ISNUMBER(Q514),"Number","Text")</f>
        <v>Number</v>
      </c>
      <c r="S514" s="2">
        <v>4.99</v>
      </c>
      <c r="T514" s="19">
        <f t="shared" ref="T514:T577" si="113">IF(ISNUMBER(S514),S514,VALUE(TRIM(SUBSTITUTE(S514,"$",""))))</f>
        <v>4.99</v>
      </c>
      <c r="U514" s="2">
        <v>58.96</v>
      </c>
      <c r="V514" s="19">
        <f t="shared" ref="V514:V577" si="114">IF(ISNUMBER(U514),U514,VALUE(TRIM(SUBSTITUTE(U514,"$",""))))</f>
        <v>58.96</v>
      </c>
      <c r="W514" s="19">
        <f t="shared" ref="W514:W577" si="115">((M514*K514)-Q514)+T514</f>
        <v>58.96</v>
      </c>
      <c r="X514" s="19" t="str">
        <f t="shared" ref="X514:X577" si="116">IF(V514=W514,"True","False")</f>
        <v>True</v>
      </c>
      <c r="Y514" s="19" t="str">
        <f>IF(OR(W514&lt;'Cleaning Tasks'!$G$18,W514&gt;'Cleaning Tasks'!$H$18),"Outlier","Normal")</f>
        <v>Normal</v>
      </c>
      <c r="Z514" s="2" t="s">
        <v>49</v>
      </c>
      <c r="AA514" s="2" t="s">
        <v>40</v>
      </c>
      <c r="AB514" s="2" t="s">
        <v>50</v>
      </c>
      <c r="AC514" s="2" t="s">
        <v>42</v>
      </c>
      <c r="AD514" s="2"/>
      <c r="AE514" s="2" t="str">
        <f t="shared" ref="AE514:AE577" si="117">IF(AND(AC514="United States",AD514=""),"Missing state",IF(AD514="","Not Required","Valid"))</f>
        <v>Not Required</v>
      </c>
      <c r="AF514" s="2" t="s">
        <v>1775</v>
      </c>
    </row>
    <row r="515" spans="1:32" x14ac:dyDescent="0.3">
      <c r="A515" s="2" t="s">
        <v>1776</v>
      </c>
      <c r="B515" s="2">
        <f t="shared" si="107"/>
        <v>1</v>
      </c>
      <c r="C515" s="12">
        <f t="shared" si="106"/>
        <v>46238.582714328702</v>
      </c>
      <c r="D515" s="13">
        <v>46238.582714328702</v>
      </c>
      <c r="E515" s="2" t="s">
        <v>1777</v>
      </c>
      <c r="F515" s="2" t="str">
        <f t="shared" si="108"/>
        <v>Email Available</v>
      </c>
      <c r="G515" s="2" t="s">
        <v>1778</v>
      </c>
      <c r="H515" s="2" t="s">
        <v>267</v>
      </c>
      <c r="I515" s="2" t="s">
        <v>22</v>
      </c>
      <c r="J515" s="2" t="s">
        <v>268</v>
      </c>
      <c r="K515" s="2">
        <v>1</v>
      </c>
      <c r="L515" s="2">
        <v>18.989999999999998</v>
      </c>
      <c r="M515" s="19">
        <f t="shared" si="109"/>
        <v>18.989999999999998</v>
      </c>
      <c r="N515" s="2" t="s">
        <v>38</v>
      </c>
      <c r="O515" s="2" t="str">
        <f t="shared" si="110"/>
        <v>FREESHIP</v>
      </c>
      <c r="P515" s="2">
        <v>0</v>
      </c>
      <c r="Q515" s="19">
        <f t="shared" si="111"/>
        <v>0</v>
      </c>
      <c r="R515" s="2" t="str">
        <f t="shared" si="112"/>
        <v>Number</v>
      </c>
      <c r="S515" s="2">
        <v>0</v>
      </c>
      <c r="T515" s="19">
        <f t="shared" si="113"/>
        <v>0</v>
      </c>
      <c r="U515" s="2">
        <v>18.989999999999998</v>
      </c>
      <c r="V515" s="19">
        <f t="shared" si="114"/>
        <v>18.989999999999998</v>
      </c>
      <c r="W515" s="19">
        <f t="shared" si="115"/>
        <v>18.989999999999998</v>
      </c>
      <c r="X515" s="19" t="str">
        <f t="shared" si="116"/>
        <v>True</v>
      </c>
      <c r="Y515" s="19" t="str">
        <f>IF(OR(W515&lt;'Cleaning Tasks'!$G$18,W515&gt;'Cleaning Tasks'!$H$18),"Outlier","Normal")</f>
        <v>Normal</v>
      </c>
      <c r="Z515" s="2" t="s">
        <v>72</v>
      </c>
      <c r="AA515" s="2" t="s">
        <v>27</v>
      </c>
      <c r="AB515" s="2" t="s">
        <v>50</v>
      </c>
      <c r="AC515" s="2" t="s">
        <v>223</v>
      </c>
      <c r="AD515" s="2"/>
      <c r="AE515" s="2" t="str">
        <f t="shared" si="117"/>
        <v>Not Required</v>
      </c>
      <c r="AF515" s="2" t="s">
        <v>1779</v>
      </c>
    </row>
    <row r="516" spans="1:32" x14ac:dyDescent="0.3">
      <c r="A516" s="2" t="s">
        <v>1780</v>
      </c>
      <c r="B516" s="2">
        <f t="shared" si="107"/>
        <v>1</v>
      </c>
      <c r="C516" s="12">
        <f t="shared" si="106"/>
        <v>46238.587188101847</v>
      </c>
      <c r="D516" s="13">
        <v>46238.587188101847</v>
      </c>
      <c r="E516" s="2" t="s">
        <v>449</v>
      </c>
      <c r="F516" s="2" t="str">
        <f t="shared" si="108"/>
        <v>Email Available</v>
      </c>
      <c r="G516" s="2" t="s">
        <v>450</v>
      </c>
      <c r="H516" s="2" t="s">
        <v>109</v>
      </c>
      <c r="I516" s="2" t="s">
        <v>79</v>
      </c>
      <c r="J516" s="2" t="s">
        <v>110</v>
      </c>
      <c r="K516" s="2">
        <v>1</v>
      </c>
      <c r="L516" s="2">
        <v>22.99</v>
      </c>
      <c r="M516" s="19">
        <f t="shared" si="109"/>
        <v>22.99</v>
      </c>
      <c r="N516" s="2" t="s">
        <v>203</v>
      </c>
      <c r="O516" s="2" t="str">
        <f t="shared" si="110"/>
        <v>VIP15</v>
      </c>
      <c r="P516" s="2">
        <v>3.45</v>
      </c>
      <c r="Q516" s="19">
        <f t="shared" si="111"/>
        <v>3.45</v>
      </c>
      <c r="R516" s="2" t="str">
        <f t="shared" si="112"/>
        <v>Number</v>
      </c>
      <c r="S516" s="2">
        <v>5.99</v>
      </c>
      <c r="T516" s="19">
        <f t="shared" si="113"/>
        <v>5.99</v>
      </c>
      <c r="U516" s="2">
        <v>25.53</v>
      </c>
      <c r="V516" s="19">
        <f t="shared" si="114"/>
        <v>25.53</v>
      </c>
      <c r="W516" s="19">
        <f t="shared" si="115"/>
        <v>25.53</v>
      </c>
      <c r="X516" s="19" t="str">
        <f t="shared" si="116"/>
        <v>True</v>
      </c>
      <c r="Y516" s="19" t="str">
        <f>IF(OR(W516&lt;'Cleaning Tasks'!$G$18,W516&gt;'Cleaning Tasks'!$H$18),"Outlier","Normal")</f>
        <v>Normal</v>
      </c>
      <c r="Z516" s="2" t="s">
        <v>39</v>
      </c>
      <c r="AA516" s="2" t="s">
        <v>27</v>
      </c>
      <c r="AB516" s="2" t="s">
        <v>50</v>
      </c>
      <c r="AC516" s="2" t="s">
        <v>29</v>
      </c>
      <c r="AD516" s="2" t="s">
        <v>243</v>
      </c>
      <c r="AE516" s="2" t="str">
        <f t="shared" si="117"/>
        <v>Valid</v>
      </c>
      <c r="AF516" s="2" t="s">
        <v>379</v>
      </c>
    </row>
    <row r="517" spans="1:32" x14ac:dyDescent="0.3">
      <c r="A517" s="2" t="s">
        <v>1781</v>
      </c>
      <c r="B517" s="2">
        <f t="shared" si="107"/>
        <v>1</v>
      </c>
      <c r="C517" s="12">
        <f t="shared" si="106"/>
        <v>46238.579400277777</v>
      </c>
      <c r="D517" s="13">
        <v>46238.579400277777</v>
      </c>
      <c r="E517" s="2" t="s">
        <v>1782</v>
      </c>
      <c r="F517" s="2" t="str">
        <f t="shared" si="108"/>
        <v>Email Available</v>
      </c>
      <c r="G517" s="2" t="s">
        <v>1783</v>
      </c>
      <c r="H517" s="2" t="s">
        <v>236</v>
      </c>
      <c r="I517" s="2" t="s">
        <v>237</v>
      </c>
      <c r="J517" s="2" t="s">
        <v>238</v>
      </c>
      <c r="K517" s="2">
        <v>1</v>
      </c>
      <c r="L517" s="2">
        <v>27.99</v>
      </c>
      <c r="M517" s="19">
        <f t="shared" si="109"/>
        <v>27.99</v>
      </c>
      <c r="N517" s="2"/>
      <c r="O517" s="2" t="str">
        <f t="shared" si="110"/>
        <v/>
      </c>
      <c r="P517" s="2">
        <v>0</v>
      </c>
      <c r="Q517" s="19">
        <f t="shared" si="111"/>
        <v>0</v>
      </c>
      <c r="R517" s="2" t="str">
        <f t="shared" si="112"/>
        <v>Number</v>
      </c>
      <c r="S517" s="2">
        <v>4.99</v>
      </c>
      <c r="T517" s="19">
        <f t="shared" si="113"/>
        <v>4.99</v>
      </c>
      <c r="U517" s="2">
        <v>32.979999999999997</v>
      </c>
      <c r="V517" s="19">
        <f t="shared" si="114"/>
        <v>32.979999999999997</v>
      </c>
      <c r="W517" s="19">
        <f t="shared" si="115"/>
        <v>32.979999999999997</v>
      </c>
      <c r="X517" s="19" t="str">
        <f t="shared" si="116"/>
        <v>True</v>
      </c>
      <c r="Y517" s="19" t="str">
        <f>IF(OR(W517&lt;'Cleaning Tasks'!$G$18,W517&gt;'Cleaning Tasks'!$H$18),"Outlier","Normal")</f>
        <v>Normal</v>
      </c>
      <c r="Z517" s="2" t="s">
        <v>49</v>
      </c>
      <c r="AA517" s="2" t="s">
        <v>88</v>
      </c>
      <c r="AB517" s="2" t="s">
        <v>50</v>
      </c>
      <c r="AC517" s="2" t="s">
        <v>29</v>
      </c>
      <c r="AD517" s="2" t="s">
        <v>243</v>
      </c>
      <c r="AE517" s="2" t="str">
        <f t="shared" si="117"/>
        <v>Valid</v>
      </c>
      <c r="AF517" s="2" t="s">
        <v>1784</v>
      </c>
    </row>
    <row r="518" spans="1:32" x14ac:dyDescent="0.3">
      <c r="A518" s="2" t="s">
        <v>1785</v>
      </c>
      <c r="B518" s="2">
        <f t="shared" si="107"/>
        <v>1</v>
      </c>
      <c r="C518" s="12">
        <f t="shared" ref="C518:C530" si="118">IF(ISNUMBER(D518),D518,DATEVALUE(SUBSTITUTE(TRIM(D518),CHAR(160)," ")))</f>
        <v>46238</v>
      </c>
      <c r="D518" s="13" t="s">
        <v>714</v>
      </c>
      <c r="E518" s="2" t="s">
        <v>1786</v>
      </c>
      <c r="F518" s="2" t="str">
        <f t="shared" si="108"/>
        <v>Email Available</v>
      </c>
      <c r="G518" s="2" t="s">
        <v>1787</v>
      </c>
      <c r="H518" s="2" t="s">
        <v>124</v>
      </c>
      <c r="I518" s="2" t="s">
        <v>79</v>
      </c>
      <c r="J518" s="2" t="s">
        <v>125</v>
      </c>
      <c r="K518" s="2">
        <v>1</v>
      </c>
      <c r="L518" s="2" t="s">
        <v>1086</v>
      </c>
      <c r="M518" s="19">
        <f t="shared" si="109"/>
        <v>13.99</v>
      </c>
      <c r="N518" s="2"/>
      <c r="O518" s="2" t="str">
        <f t="shared" si="110"/>
        <v/>
      </c>
      <c r="P518" s="2">
        <v>0</v>
      </c>
      <c r="Q518" s="19">
        <f t="shared" si="111"/>
        <v>0</v>
      </c>
      <c r="R518" s="2" t="str">
        <f t="shared" si="112"/>
        <v>Number</v>
      </c>
      <c r="S518" s="2">
        <v>4.99</v>
      </c>
      <c r="T518" s="19">
        <f t="shared" si="113"/>
        <v>4.99</v>
      </c>
      <c r="U518" s="2">
        <v>18.98</v>
      </c>
      <c r="V518" s="19">
        <f t="shared" si="114"/>
        <v>18.98</v>
      </c>
      <c r="W518" s="19">
        <f t="shared" si="115"/>
        <v>18.98</v>
      </c>
      <c r="X518" s="19" t="str">
        <f t="shared" si="116"/>
        <v>True</v>
      </c>
      <c r="Y518" s="19" t="str">
        <f>IF(OR(W518&lt;'Cleaning Tasks'!$G$18,W518&gt;'Cleaning Tasks'!$H$18),"Outlier","Normal")</f>
        <v>Normal</v>
      </c>
      <c r="Z518" s="2" t="s">
        <v>26</v>
      </c>
      <c r="AA518" s="2" t="s">
        <v>27</v>
      </c>
      <c r="AB518" s="2" t="s">
        <v>28</v>
      </c>
      <c r="AC518" s="2" t="s">
        <v>29</v>
      </c>
      <c r="AD518" s="2" t="s">
        <v>30</v>
      </c>
      <c r="AE518" s="2" t="str">
        <f t="shared" si="117"/>
        <v>Valid</v>
      </c>
      <c r="AF518" s="2" t="s">
        <v>1788</v>
      </c>
    </row>
    <row r="519" spans="1:32" x14ac:dyDescent="0.3">
      <c r="A519" s="2" t="s">
        <v>1789</v>
      </c>
      <c r="B519" s="2">
        <f t="shared" si="107"/>
        <v>1</v>
      </c>
      <c r="C519" s="12">
        <f t="shared" si="118"/>
        <v>46238.583200474539</v>
      </c>
      <c r="D519" s="13">
        <v>46238.583200474539</v>
      </c>
      <c r="E519" s="2" t="s">
        <v>206</v>
      </c>
      <c r="F519" s="2" t="str">
        <f t="shared" si="108"/>
        <v>Email Available</v>
      </c>
      <c r="G519" s="2" t="s">
        <v>207</v>
      </c>
      <c r="H519" s="2" t="s">
        <v>85</v>
      </c>
      <c r="I519" s="2" t="s">
        <v>86</v>
      </c>
      <c r="J519" s="2" t="s">
        <v>87</v>
      </c>
      <c r="K519" s="2">
        <v>1</v>
      </c>
      <c r="L519" s="2">
        <v>54.99</v>
      </c>
      <c r="M519" s="19">
        <f t="shared" si="109"/>
        <v>54.99</v>
      </c>
      <c r="N519" s="2" t="s">
        <v>65</v>
      </c>
      <c r="O519" s="2" t="str">
        <f t="shared" si="110"/>
        <v>WELCOME10</v>
      </c>
      <c r="P519" s="2">
        <v>5.5</v>
      </c>
      <c r="Q519" s="19">
        <f t="shared" si="111"/>
        <v>5.5</v>
      </c>
      <c r="R519" s="2" t="str">
        <f t="shared" si="112"/>
        <v>Number</v>
      </c>
      <c r="S519" s="2">
        <v>4.99</v>
      </c>
      <c r="T519" s="19">
        <f t="shared" si="113"/>
        <v>4.99</v>
      </c>
      <c r="U519" s="2">
        <v>54.48</v>
      </c>
      <c r="V519" s="19">
        <f t="shared" si="114"/>
        <v>54.48</v>
      </c>
      <c r="W519" s="19">
        <f t="shared" si="115"/>
        <v>54.480000000000004</v>
      </c>
      <c r="X519" s="19" t="str">
        <f t="shared" si="116"/>
        <v>True</v>
      </c>
      <c r="Y519" s="19" t="str">
        <f>IF(OR(W519&lt;'Cleaning Tasks'!$G$18,W519&gt;'Cleaning Tasks'!$H$18),"Outlier","Normal")</f>
        <v>Normal</v>
      </c>
      <c r="Z519" s="2" t="s">
        <v>39</v>
      </c>
      <c r="AA519" s="2" t="s">
        <v>40</v>
      </c>
      <c r="AB519" s="2" t="s">
        <v>50</v>
      </c>
      <c r="AC519" s="2" t="s">
        <v>105</v>
      </c>
      <c r="AD519" s="2"/>
      <c r="AE519" s="2" t="str">
        <f t="shared" si="117"/>
        <v>Not Required</v>
      </c>
      <c r="AF519" s="2" t="s">
        <v>1790</v>
      </c>
    </row>
    <row r="520" spans="1:32" x14ac:dyDescent="0.3">
      <c r="A520" s="2" t="s">
        <v>1791</v>
      </c>
      <c r="B520" s="2">
        <f t="shared" si="107"/>
        <v>1</v>
      </c>
      <c r="C520" s="12">
        <f t="shared" si="118"/>
        <v>46238.582701203697</v>
      </c>
      <c r="D520" s="13">
        <v>46238.582701203697</v>
      </c>
      <c r="E520" s="2" t="s">
        <v>1792</v>
      </c>
      <c r="F520" s="2" t="str">
        <f t="shared" si="108"/>
        <v>Email Available</v>
      </c>
      <c r="G520" s="2" t="s">
        <v>1793</v>
      </c>
      <c r="H520" s="2" t="s">
        <v>46</v>
      </c>
      <c r="I520" s="2" t="s">
        <v>47</v>
      </c>
      <c r="J520" s="2" t="s">
        <v>48</v>
      </c>
      <c r="K520" s="2">
        <v>2</v>
      </c>
      <c r="L520" s="2" t="s">
        <v>1493</v>
      </c>
      <c r="M520" s="19">
        <f t="shared" si="109"/>
        <v>39.99</v>
      </c>
      <c r="N520" s="2" t="s">
        <v>118</v>
      </c>
      <c r="O520" s="2" t="str">
        <f t="shared" si="110"/>
        <v>BFCM25</v>
      </c>
      <c r="P520" s="2" t="s">
        <v>1794</v>
      </c>
      <c r="Q520" s="19">
        <f t="shared" si="111"/>
        <v>20</v>
      </c>
      <c r="R520" s="2" t="str">
        <f t="shared" si="112"/>
        <v>Number</v>
      </c>
      <c r="S520" s="2">
        <v>0</v>
      </c>
      <c r="T520" s="19">
        <f t="shared" si="113"/>
        <v>0</v>
      </c>
      <c r="U520" s="2">
        <v>59.98</v>
      </c>
      <c r="V520" s="19">
        <f t="shared" si="114"/>
        <v>59.98</v>
      </c>
      <c r="W520" s="19">
        <f t="shared" si="115"/>
        <v>59.980000000000004</v>
      </c>
      <c r="X520" s="19" t="str">
        <f t="shared" si="116"/>
        <v>True</v>
      </c>
      <c r="Y520" s="19" t="str">
        <f>IF(OR(W520&lt;'Cleaning Tasks'!$G$18,W520&gt;'Cleaning Tasks'!$H$18),"Outlier","Normal")</f>
        <v>Normal</v>
      </c>
      <c r="Z520" s="2" t="s">
        <v>39</v>
      </c>
      <c r="AA520" s="2" t="s">
        <v>27</v>
      </c>
      <c r="AB520" s="2" t="s">
        <v>50</v>
      </c>
      <c r="AC520" s="2" t="s">
        <v>331</v>
      </c>
      <c r="AD520" s="2"/>
      <c r="AE520" s="2" t="str">
        <f t="shared" si="117"/>
        <v>Not Required</v>
      </c>
      <c r="AF520" s="2" t="s">
        <v>1795</v>
      </c>
    </row>
    <row r="521" spans="1:32" x14ac:dyDescent="0.3">
      <c r="A521" s="2" t="s">
        <v>1796</v>
      </c>
      <c r="B521" s="2">
        <f t="shared" si="107"/>
        <v>1</v>
      </c>
      <c r="C521" s="12">
        <f t="shared" si="118"/>
        <v>46238.584827164363</v>
      </c>
      <c r="D521" s="13">
        <v>46238.584827164363</v>
      </c>
      <c r="E521" s="2" t="s">
        <v>752</v>
      </c>
      <c r="F521" s="2" t="str">
        <f t="shared" si="108"/>
        <v>Email Available</v>
      </c>
      <c r="G521" s="2" t="s">
        <v>753</v>
      </c>
      <c r="H521" s="2" t="s">
        <v>85</v>
      </c>
      <c r="I521" s="2" t="s">
        <v>86</v>
      </c>
      <c r="J521" s="2" t="s">
        <v>87</v>
      </c>
      <c r="K521" s="2">
        <v>3</v>
      </c>
      <c r="L521" s="2">
        <v>54.99</v>
      </c>
      <c r="M521" s="19">
        <f t="shared" si="109"/>
        <v>54.99</v>
      </c>
      <c r="N521" s="2" t="s">
        <v>118</v>
      </c>
      <c r="O521" s="2" t="str">
        <f t="shared" si="110"/>
        <v>BFCM25</v>
      </c>
      <c r="P521" s="2">
        <v>41.24</v>
      </c>
      <c r="Q521" s="19">
        <f t="shared" si="111"/>
        <v>41.24</v>
      </c>
      <c r="R521" s="2" t="str">
        <f t="shared" si="112"/>
        <v>Number</v>
      </c>
      <c r="S521" s="2">
        <v>0</v>
      </c>
      <c r="T521" s="19">
        <f t="shared" si="113"/>
        <v>0</v>
      </c>
      <c r="U521" s="2">
        <v>123.73</v>
      </c>
      <c r="V521" s="19">
        <f t="shared" si="114"/>
        <v>123.73</v>
      </c>
      <c r="W521" s="19">
        <f t="shared" si="115"/>
        <v>123.72999999999999</v>
      </c>
      <c r="X521" s="19" t="str">
        <f t="shared" si="116"/>
        <v>True</v>
      </c>
      <c r="Y521" s="19" t="str">
        <f>IF(OR(W521&lt;'Cleaning Tasks'!$G$18,W521&gt;'Cleaning Tasks'!$H$18),"Outlier","Normal")</f>
        <v>Outlier</v>
      </c>
      <c r="Z521" s="2" t="s">
        <v>72</v>
      </c>
      <c r="AA521" s="2" t="s">
        <v>88</v>
      </c>
      <c r="AB521" s="2" t="s">
        <v>28</v>
      </c>
      <c r="AC521" s="2" t="s">
        <v>29</v>
      </c>
      <c r="AD521" s="2" t="s">
        <v>112</v>
      </c>
      <c r="AE521" s="2" t="str">
        <f t="shared" si="117"/>
        <v>Valid</v>
      </c>
      <c r="AF521" s="2" t="s">
        <v>1797</v>
      </c>
    </row>
    <row r="522" spans="1:32" x14ac:dyDescent="0.3">
      <c r="A522" s="2" t="s">
        <v>1798</v>
      </c>
      <c r="B522" s="2">
        <f t="shared" si="107"/>
        <v>1</v>
      </c>
      <c r="C522" s="12">
        <f t="shared" si="118"/>
        <v>46238.587189861108</v>
      </c>
      <c r="D522" s="13">
        <v>46238.587189861108</v>
      </c>
      <c r="E522" s="2" t="s">
        <v>528</v>
      </c>
      <c r="F522" s="2" t="str">
        <f t="shared" si="108"/>
        <v>Email Available</v>
      </c>
      <c r="G522" s="2" t="s">
        <v>529</v>
      </c>
      <c r="H522" s="2" t="s">
        <v>309</v>
      </c>
      <c r="I522" s="2" t="s">
        <v>36</v>
      </c>
      <c r="J522" s="2" t="s">
        <v>310</v>
      </c>
      <c r="K522" s="2">
        <v>2</v>
      </c>
      <c r="L522" s="2">
        <v>8.99</v>
      </c>
      <c r="M522" s="19">
        <f t="shared" si="109"/>
        <v>8.99</v>
      </c>
      <c r="N522" s="2"/>
      <c r="O522" s="2" t="str">
        <f t="shared" si="110"/>
        <v/>
      </c>
      <c r="P522" s="2">
        <v>0</v>
      </c>
      <c r="Q522" s="19">
        <f t="shared" si="111"/>
        <v>0</v>
      </c>
      <c r="R522" s="2" t="str">
        <f t="shared" si="112"/>
        <v>Number</v>
      </c>
      <c r="S522" s="2">
        <v>5.99</v>
      </c>
      <c r="T522" s="19">
        <f t="shared" si="113"/>
        <v>5.99</v>
      </c>
      <c r="U522" s="2">
        <v>23.97</v>
      </c>
      <c r="V522" s="19">
        <f t="shared" si="114"/>
        <v>23.97</v>
      </c>
      <c r="W522" s="19">
        <f t="shared" si="115"/>
        <v>23.97</v>
      </c>
      <c r="X522" s="19" t="str">
        <f t="shared" si="116"/>
        <v>True</v>
      </c>
      <c r="Y522" s="19" t="str">
        <f>IF(OR(W522&lt;'Cleaning Tasks'!$G$18,W522&gt;'Cleaning Tasks'!$H$18),"Outlier","Normal")</f>
        <v>Normal</v>
      </c>
      <c r="Z522" s="2" t="s">
        <v>26</v>
      </c>
      <c r="AA522" s="2" t="s">
        <v>27</v>
      </c>
      <c r="AB522" s="2" t="s">
        <v>50</v>
      </c>
      <c r="AC522" s="2" t="s">
        <v>29</v>
      </c>
      <c r="AD522" s="2" t="s">
        <v>341</v>
      </c>
      <c r="AE522" s="2" t="str">
        <f t="shared" si="117"/>
        <v>Valid</v>
      </c>
      <c r="AF522" s="2" t="s">
        <v>1799</v>
      </c>
    </row>
    <row r="523" spans="1:32" x14ac:dyDescent="0.3">
      <c r="A523" s="2" t="s">
        <v>1800</v>
      </c>
      <c r="B523" s="2">
        <f t="shared" si="107"/>
        <v>1</v>
      </c>
      <c r="C523" s="12">
        <f t="shared" si="118"/>
        <v>46238.581033761577</v>
      </c>
      <c r="D523" s="13">
        <v>46238.581033761577</v>
      </c>
      <c r="E523" s="2" t="s">
        <v>283</v>
      </c>
      <c r="F523" s="2" t="str">
        <f t="shared" si="108"/>
        <v>Email Available</v>
      </c>
      <c r="G523" s="2" t="s">
        <v>284</v>
      </c>
      <c r="H523" s="2" t="s">
        <v>78</v>
      </c>
      <c r="I523" s="2" t="s">
        <v>79</v>
      </c>
      <c r="J523" s="2" t="s">
        <v>80</v>
      </c>
      <c r="K523" s="2">
        <v>1</v>
      </c>
      <c r="L523" s="2">
        <v>89.99</v>
      </c>
      <c r="M523" s="19">
        <f t="shared" si="109"/>
        <v>89.99</v>
      </c>
      <c r="N523" s="2" t="s">
        <v>24</v>
      </c>
      <c r="O523" s="2" t="str">
        <f t="shared" si="110"/>
        <v>SAVE20</v>
      </c>
      <c r="P523" s="2">
        <v>18</v>
      </c>
      <c r="Q523" s="19">
        <f t="shared" si="111"/>
        <v>18</v>
      </c>
      <c r="R523" s="2" t="str">
        <f t="shared" si="112"/>
        <v>Number</v>
      </c>
      <c r="S523" s="2">
        <v>0</v>
      </c>
      <c r="T523" s="19">
        <f t="shared" si="113"/>
        <v>0</v>
      </c>
      <c r="U523" s="2">
        <v>71.989999999999995</v>
      </c>
      <c r="V523" s="19">
        <f t="shared" si="114"/>
        <v>71.989999999999995</v>
      </c>
      <c r="W523" s="19">
        <f t="shared" si="115"/>
        <v>71.989999999999995</v>
      </c>
      <c r="X523" s="19" t="str">
        <f t="shared" si="116"/>
        <v>True</v>
      </c>
      <c r="Y523" s="19" t="str">
        <f>IF(OR(W523&lt;'Cleaning Tasks'!$G$18,W523&gt;'Cleaning Tasks'!$H$18),"Outlier","Normal")</f>
        <v>Normal</v>
      </c>
      <c r="Z523" s="2" t="s">
        <v>49</v>
      </c>
      <c r="AA523" s="2" t="s">
        <v>27</v>
      </c>
      <c r="AB523" s="2" t="s">
        <v>96</v>
      </c>
      <c r="AC523" s="2" t="s">
        <v>29</v>
      </c>
      <c r="AD523" s="2" t="s">
        <v>140</v>
      </c>
      <c r="AE523" s="2" t="str">
        <f t="shared" si="117"/>
        <v>Valid</v>
      </c>
      <c r="AF523" s="2" t="s">
        <v>1801</v>
      </c>
    </row>
    <row r="524" spans="1:32" x14ac:dyDescent="0.3">
      <c r="A524" s="2" t="s">
        <v>1802</v>
      </c>
      <c r="B524" s="2">
        <f t="shared" si="107"/>
        <v>1</v>
      </c>
      <c r="C524" s="12">
        <f t="shared" si="118"/>
        <v>46238.588151770833</v>
      </c>
      <c r="D524" s="13">
        <v>46238.588151770833</v>
      </c>
      <c r="E524" s="2" t="s">
        <v>231</v>
      </c>
      <c r="F524" s="2" t="str">
        <f t="shared" si="108"/>
        <v>Email Available</v>
      </c>
      <c r="G524" s="2" t="s">
        <v>1012</v>
      </c>
      <c r="H524" s="2" t="s">
        <v>46</v>
      </c>
      <c r="I524" s="2" t="s">
        <v>47</v>
      </c>
      <c r="J524" s="2" t="s">
        <v>48</v>
      </c>
      <c r="K524" s="2">
        <v>1</v>
      </c>
      <c r="L524" s="2">
        <v>39.99</v>
      </c>
      <c r="M524" s="19">
        <f t="shared" si="109"/>
        <v>39.99</v>
      </c>
      <c r="N524" s="2" t="s">
        <v>24</v>
      </c>
      <c r="O524" s="2" t="str">
        <f t="shared" si="110"/>
        <v>SAVE20</v>
      </c>
      <c r="P524" s="2">
        <v>8</v>
      </c>
      <c r="Q524" s="19">
        <f t="shared" si="111"/>
        <v>8</v>
      </c>
      <c r="R524" s="2" t="str">
        <f t="shared" si="112"/>
        <v>Number</v>
      </c>
      <c r="S524" s="2">
        <v>5.99</v>
      </c>
      <c r="T524" s="19">
        <f t="shared" si="113"/>
        <v>5.99</v>
      </c>
      <c r="U524" s="2">
        <v>37.979999999999997</v>
      </c>
      <c r="V524" s="19">
        <f t="shared" si="114"/>
        <v>37.979999999999997</v>
      </c>
      <c r="W524" s="19">
        <f t="shared" si="115"/>
        <v>37.980000000000004</v>
      </c>
      <c r="X524" s="19" t="str">
        <f t="shared" si="116"/>
        <v>True</v>
      </c>
      <c r="Y524" s="19" t="str">
        <f>IF(OR(W524&lt;'Cleaning Tasks'!$G$18,W524&gt;'Cleaning Tasks'!$H$18),"Outlier","Normal")</f>
        <v>Normal</v>
      </c>
      <c r="Z524" s="2" t="s">
        <v>26</v>
      </c>
      <c r="AA524" s="2" t="s">
        <v>27</v>
      </c>
      <c r="AB524" s="2" t="s">
        <v>28</v>
      </c>
      <c r="AC524" s="2" t="s">
        <v>42</v>
      </c>
      <c r="AD524" s="2"/>
      <c r="AE524" s="2" t="str">
        <f t="shared" si="117"/>
        <v>Not Required</v>
      </c>
      <c r="AF524" s="2" t="s">
        <v>1803</v>
      </c>
    </row>
    <row r="525" spans="1:32" x14ac:dyDescent="0.3">
      <c r="A525" s="2" t="s">
        <v>1804</v>
      </c>
      <c r="B525" s="2">
        <f t="shared" si="107"/>
        <v>1</v>
      </c>
      <c r="C525" s="12">
        <f t="shared" si="118"/>
        <v>46238.581025671287</v>
      </c>
      <c r="D525" s="13">
        <v>46238.581025671287</v>
      </c>
      <c r="E525" s="2" t="s">
        <v>441</v>
      </c>
      <c r="F525" s="2" t="str">
        <f t="shared" si="108"/>
        <v>Email Available</v>
      </c>
      <c r="G525" s="2" t="s">
        <v>442</v>
      </c>
      <c r="H525" s="2" t="s">
        <v>221</v>
      </c>
      <c r="I525" s="2" t="s">
        <v>22</v>
      </c>
      <c r="J525" s="2" t="s">
        <v>222</v>
      </c>
      <c r="K525" s="2">
        <v>1</v>
      </c>
      <c r="L525" s="2">
        <v>17.989999999999998</v>
      </c>
      <c r="M525" s="19">
        <f t="shared" si="109"/>
        <v>17.989999999999998</v>
      </c>
      <c r="N525" s="2"/>
      <c r="O525" s="2" t="str">
        <f t="shared" si="110"/>
        <v/>
      </c>
      <c r="P525" s="2">
        <v>0</v>
      </c>
      <c r="Q525" s="19">
        <f t="shared" si="111"/>
        <v>0</v>
      </c>
      <c r="R525" s="2" t="str">
        <f t="shared" si="112"/>
        <v>Number</v>
      </c>
      <c r="S525" s="2">
        <v>7.99</v>
      </c>
      <c r="T525" s="19">
        <f t="shared" si="113"/>
        <v>7.99</v>
      </c>
      <c r="U525" s="2">
        <v>25.98</v>
      </c>
      <c r="V525" s="19">
        <f t="shared" si="114"/>
        <v>25.98</v>
      </c>
      <c r="W525" s="19">
        <f t="shared" si="115"/>
        <v>25.979999999999997</v>
      </c>
      <c r="X525" s="19" t="str">
        <f t="shared" si="116"/>
        <v>True</v>
      </c>
      <c r="Y525" s="19" t="str">
        <f>IF(OR(W525&lt;'Cleaning Tasks'!$G$18,W525&gt;'Cleaning Tasks'!$H$18),"Outlier","Normal")</f>
        <v>Normal</v>
      </c>
      <c r="Z525" s="2" t="s">
        <v>72</v>
      </c>
      <c r="AA525" s="2" t="s">
        <v>40</v>
      </c>
      <c r="AB525" s="2" t="s">
        <v>50</v>
      </c>
      <c r="AC525" s="2" t="s">
        <v>29</v>
      </c>
      <c r="AD525" s="2" t="s">
        <v>341</v>
      </c>
      <c r="AE525" s="2" t="str">
        <f t="shared" si="117"/>
        <v>Valid</v>
      </c>
      <c r="AF525" s="2" t="s">
        <v>1805</v>
      </c>
    </row>
    <row r="526" spans="1:32" x14ac:dyDescent="0.3">
      <c r="A526" s="2" t="s">
        <v>1806</v>
      </c>
      <c r="B526" s="2">
        <f t="shared" si="107"/>
        <v>1</v>
      </c>
      <c r="C526" s="12">
        <f t="shared" si="118"/>
        <v>46238.587113229158</v>
      </c>
      <c r="D526" s="13">
        <v>46238.587113229158</v>
      </c>
      <c r="E526" s="2" t="s">
        <v>1084</v>
      </c>
      <c r="F526" s="2" t="str">
        <f t="shared" si="108"/>
        <v>Email Available</v>
      </c>
      <c r="G526" s="2" t="s">
        <v>1085</v>
      </c>
      <c r="H526" s="2" t="s">
        <v>56</v>
      </c>
      <c r="I526" s="2" t="s">
        <v>22</v>
      </c>
      <c r="J526" s="2" t="s">
        <v>57</v>
      </c>
      <c r="K526" s="2">
        <v>1</v>
      </c>
      <c r="L526" s="2">
        <v>9.99</v>
      </c>
      <c r="M526" s="19">
        <f t="shared" si="109"/>
        <v>9.99</v>
      </c>
      <c r="N526" s="2" t="s">
        <v>118</v>
      </c>
      <c r="O526" s="2" t="str">
        <f t="shared" si="110"/>
        <v>BFCM25</v>
      </c>
      <c r="P526" s="2">
        <v>2.5</v>
      </c>
      <c r="Q526" s="19">
        <f t="shared" si="111"/>
        <v>2.5</v>
      </c>
      <c r="R526" s="2" t="str">
        <f t="shared" si="112"/>
        <v>Number</v>
      </c>
      <c r="S526" s="2">
        <v>7.99</v>
      </c>
      <c r="T526" s="19">
        <f t="shared" si="113"/>
        <v>7.99</v>
      </c>
      <c r="U526" s="2">
        <v>15.48</v>
      </c>
      <c r="V526" s="19">
        <f t="shared" si="114"/>
        <v>15.48</v>
      </c>
      <c r="W526" s="19">
        <f t="shared" si="115"/>
        <v>15.48</v>
      </c>
      <c r="X526" s="19" t="str">
        <f t="shared" si="116"/>
        <v>True</v>
      </c>
      <c r="Y526" s="19" t="str">
        <f>IF(OR(W526&lt;'Cleaning Tasks'!$G$18,W526&gt;'Cleaning Tasks'!$H$18),"Outlier","Normal")</f>
        <v>Normal</v>
      </c>
      <c r="Z526" s="2" t="s">
        <v>26</v>
      </c>
      <c r="AA526" s="2" t="s">
        <v>27</v>
      </c>
      <c r="AB526" s="2" t="s">
        <v>50</v>
      </c>
      <c r="AC526" s="2" t="s">
        <v>29</v>
      </c>
      <c r="AD526" s="2" t="s">
        <v>58</v>
      </c>
      <c r="AE526" s="2" t="str">
        <f t="shared" si="117"/>
        <v>Valid</v>
      </c>
      <c r="AF526" s="2" t="s">
        <v>1807</v>
      </c>
    </row>
    <row r="527" spans="1:32" x14ac:dyDescent="0.3">
      <c r="A527" s="2" t="s">
        <v>1808</v>
      </c>
      <c r="B527" s="2">
        <f t="shared" si="107"/>
        <v>1</v>
      </c>
      <c r="C527" s="12">
        <f t="shared" si="118"/>
        <v>46238.58538365741</v>
      </c>
      <c r="D527" s="13">
        <v>46238.58538365741</v>
      </c>
      <c r="E527" s="2" t="s">
        <v>1777</v>
      </c>
      <c r="F527" s="2" t="str">
        <f t="shared" si="108"/>
        <v>Email Available</v>
      </c>
      <c r="G527" s="2" t="s">
        <v>1778</v>
      </c>
      <c r="H527" s="2" t="s">
        <v>236</v>
      </c>
      <c r="I527" s="2" t="s">
        <v>237</v>
      </c>
      <c r="J527" s="2" t="s">
        <v>238</v>
      </c>
      <c r="K527" s="2">
        <v>2</v>
      </c>
      <c r="L527" s="2">
        <v>27.99</v>
      </c>
      <c r="M527" s="19">
        <f t="shared" si="109"/>
        <v>27.99</v>
      </c>
      <c r="N527" s="2" t="s">
        <v>203</v>
      </c>
      <c r="O527" s="2" t="str">
        <f t="shared" si="110"/>
        <v>VIP15</v>
      </c>
      <c r="P527" s="2">
        <v>8.4</v>
      </c>
      <c r="Q527" s="19">
        <f t="shared" si="111"/>
        <v>8.4</v>
      </c>
      <c r="R527" s="2" t="str">
        <f t="shared" si="112"/>
        <v>Number</v>
      </c>
      <c r="S527" s="2">
        <v>7.99</v>
      </c>
      <c r="T527" s="19">
        <f t="shared" si="113"/>
        <v>7.99</v>
      </c>
      <c r="U527" s="2">
        <v>55.57</v>
      </c>
      <c r="V527" s="19">
        <f t="shared" si="114"/>
        <v>55.57</v>
      </c>
      <c r="W527" s="19">
        <f t="shared" si="115"/>
        <v>55.57</v>
      </c>
      <c r="X527" s="19" t="str">
        <f t="shared" si="116"/>
        <v>True</v>
      </c>
      <c r="Y527" s="19" t="str">
        <f>IF(OR(W527&lt;'Cleaning Tasks'!$G$18,W527&gt;'Cleaning Tasks'!$H$18),"Outlier","Normal")</f>
        <v>Normal</v>
      </c>
      <c r="Z527" s="2" t="s">
        <v>72</v>
      </c>
      <c r="AA527" s="2" t="s">
        <v>27</v>
      </c>
      <c r="AB527" s="2" t="s">
        <v>50</v>
      </c>
      <c r="AC527" s="2" t="s">
        <v>223</v>
      </c>
      <c r="AD527" s="2"/>
      <c r="AE527" s="2" t="str">
        <f t="shared" si="117"/>
        <v>Not Required</v>
      </c>
      <c r="AF527" s="2" t="s">
        <v>1809</v>
      </c>
    </row>
    <row r="528" spans="1:32" x14ac:dyDescent="0.3">
      <c r="A528" s="2" t="s">
        <v>1810</v>
      </c>
      <c r="B528" s="2">
        <f t="shared" si="107"/>
        <v>1</v>
      </c>
      <c r="C528" s="12">
        <f t="shared" si="118"/>
        <v>46238.580199826392</v>
      </c>
      <c r="D528" s="13">
        <v>46238.580199826392</v>
      </c>
      <c r="E528" s="2" t="s">
        <v>1475</v>
      </c>
      <c r="F528" s="2" t="str">
        <f t="shared" si="108"/>
        <v>Email Available</v>
      </c>
      <c r="G528" s="2" t="s">
        <v>1476</v>
      </c>
      <c r="H528" s="2" t="s">
        <v>130</v>
      </c>
      <c r="I528" s="2" t="s">
        <v>103</v>
      </c>
      <c r="J528" s="2" t="s">
        <v>131</v>
      </c>
      <c r="K528" s="2">
        <v>1</v>
      </c>
      <c r="L528" s="2">
        <v>16.989999999999998</v>
      </c>
      <c r="M528" s="19">
        <f t="shared" si="109"/>
        <v>16.989999999999998</v>
      </c>
      <c r="N528" s="2" t="s">
        <v>65</v>
      </c>
      <c r="O528" s="2" t="str">
        <f t="shared" si="110"/>
        <v>WELCOME10</v>
      </c>
      <c r="P528" s="2">
        <v>1.7</v>
      </c>
      <c r="Q528" s="19">
        <f t="shared" si="111"/>
        <v>1.7</v>
      </c>
      <c r="R528" s="2" t="str">
        <f t="shared" si="112"/>
        <v>Number</v>
      </c>
      <c r="S528" s="2">
        <v>7.99</v>
      </c>
      <c r="T528" s="19">
        <f t="shared" si="113"/>
        <v>7.99</v>
      </c>
      <c r="U528" s="2">
        <v>23.28</v>
      </c>
      <c r="V528" s="19">
        <f t="shared" si="114"/>
        <v>23.28</v>
      </c>
      <c r="W528" s="19">
        <f t="shared" si="115"/>
        <v>23.28</v>
      </c>
      <c r="X528" s="19" t="str">
        <f t="shared" si="116"/>
        <v>True</v>
      </c>
      <c r="Y528" s="19" t="str">
        <f>IF(OR(W528&lt;'Cleaning Tasks'!$G$18,W528&gt;'Cleaning Tasks'!$H$18),"Outlier","Normal")</f>
        <v>Normal</v>
      </c>
      <c r="Z528" s="2" t="s">
        <v>72</v>
      </c>
      <c r="AA528" s="2" t="s">
        <v>27</v>
      </c>
      <c r="AB528" s="2" t="s">
        <v>50</v>
      </c>
      <c r="AC528" s="2" t="s">
        <v>42</v>
      </c>
      <c r="AD528" s="2"/>
      <c r="AE528" s="2" t="str">
        <f t="shared" si="117"/>
        <v>Not Required</v>
      </c>
      <c r="AF528" s="2" t="s">
        <v>1811</v>
      </c>
    </row>
    <row r="529" spans="1:32" x14ac:dyDescent="0.3">
      <c r="A529" s="2" t="s">
        <v>1812</v>
      </c>
      <c r="B529" s="2">
        <f t="shared" si="107"/>
        <v>1</v>
      </c>
      <c r="C529" s="12">
        <f t="shared" si="118"/>
        <v>46238.585551539349</v>
      </c>
      <c r="D529" s="13">
        <v>46238.585551539349</v>
      </c>
      <c r="E529" s="2" t="s">
        <v>421</v>
      </c>
      <c r="F529" s="2" t="str">
        <f t="shared" si="108"/>
        <v>Email Available</v>
      </c>
      <c r="G529" s="2" t="s">
        <v>422</v>
      </c>
      <c r="H529" s="2" t="s">
        <v>124</v>
      </c>
      <c r="I529" s="2" t="s">
        <v>79</v>
      </c>
      <c r="J529" s="2" t="s">
        <v>125</v>
      </c>
      <c r="K529" s="2">
        <v>1</v>
      </c>
      <c r="L529" s="2">
        <v>13.99</v>
      </c>
      <c r="M529" s="19">
        <f t="shared" si="109"/>
        <v>13.99</v>
      </c>
      <c r="N529" s="2"/>
      <c r="O529" s="2" t="str">
        <f t="shared" si="110"/>
        <v/>
      </c>
      <c r="P529" s="2">
        <v>0</v>
      </c>
      <c r="Q529" s="19">
        <f t="shared" si="111"/>
        <v>0</v>
      </c>
      <c r="R529" s="2" t="str">
        <f t="shared" si="112"/>
        <v>Number</v>
      </c>
      <c r="S529" s="2">
        <v>5.99</v>
      </c>
      <c r="T529" s="19">
        <f t="shared" si="113"/>
        <v>5.99</v>
      </c>
      <c r="U529" s="2" t="s">
        <v>1813</v>
      </c>
      <c r="V529" s="19">
        <f t="shared" si="114"/>
        <v>19.98</v>
      </c>
      <c r="W529" s="19">
        <f t="shared" si="115"/>
        <v>19.98</v>
      </c>
      <c r="X529" s="19" t="str">
        <f t="shared" si="116"/>
        <v>True</v>
      </c>
      <c r="Y529" s="19" t="str">
        <f>IF(OR(W529&lt;'Cleaning Tasks'!$G$18,W529&gt;'Cleaning Tasks'!$H$18),"Outlier","Normal")</f>
        <v>Normal</v>
      </c>
      <c r="Z529" s="2" t="s">
        <v>26</v>
      </c>
      <c r="AA529" s="2" t="s">
        <v>88</v>
      </c>
      <c r="AB529" s="2" t="s">
        <v>41</v>
      </c>
      <c r="AC529" s="2" t="s">
        <v>29</v>
      </c>
      <c r="AD529" s="2" t="s">
        <v>89</v>
      </c>
      <c r="AE529" s="2" t="str">
        <f t="shared" si="117"/>
        <v>Valid</v>
      </c>
      <c r="AF529" s="2" t="s">
        <v>1814</v>
      </c>
    </row>
    <row r="530" spans="1:32" x14ac:dyDescent="0.3">
      <c r="A530" s="2" t="s">
        <v>1815</v>
      </c>
      <c r="B530" s="2">
        <f t="shared" si="107"/>
        <v>1</v>
      </c>
      <c r="C530" s="12">
        <f t="shared" si="118"/>
        <v>46238.579912731482</v>
      </c>
      <c r="D530" s="13">
        <v>46238.579912731482</v>
      </c>
      <c r="E530" s="2" t="s">
        <v>251</v>
      </c>
      <c r="F530" s="2" t="str">
        <f t="shared" si="108"/>
        <v>Email Available</v>
      </c>
      <c r="G530" s="2" t="s">
        <v>344</v>
      </c>
      <c r="H530" s="2" t="s">
        <v>63</v>
      </c>
      <c r="I530" s="2" t="s">
        <v>47</v>
      </c>
      <c r="J530" s="2" t="s">
        <v>446</v>
      </c>
      <c r="K530" s="2">
        <v>2</v>
      </c>
      <c r="L530" s="2">
        <v>14.99</v>
      </c>
      <c r="M530" s="19">
        <f t="shared" si="109"/>
        <v>14.99</v>
      </c>
      <c r="N530" s="2" t="s">
        <v>118</v>
      </c>
      <c r="O530" s="2" t="str">
        <f t="shared" si="110"/>
        <v>BFCM25</v>
      </c>
      <c r="P530" s="2">
        <v>7.5</v>
      </c>
      <c r="Q530" s="19">
        <f t="shared" si="111"/>
        <v>7.5</v>
      </c>
      <c r="R530" s="2" t="str">
        <f t="shared" si="112"/>
        <v>Number</v>
      </c>
      <c r="S530" s="2">
        <v>4.99</v>
      </c>
      <c r="T530" s="19">
        <f t="shared" si="113"/>
        <v>4.99</v>
      </c>
      <c r="U530" s="2">
        <v>27.47</v>
      </c>
      <c r="V530" s="19">
        <f t="shared" si="114"/>
        <v>27.47</v>
      </c>
      <c r="W530" s="19">
        <f t="shared" si="115"/>
        <v>27.47</v>
      </c>
      <c r="X530" s="19" t="str">
        <f t="shared" si="116"/>
        <v>True</v>
      </c>
      <c r="Y530" s="19" t="str">
        <f>IF(OR(W530&lt;'Cleaning Tasks'!$G$18,W530&gt;'Cleaning Tasks'!$H$18),"Outlier","Normal")</f>
        <v>Normal</v>
      </c>
      <c r="Z530" s="2" t="s">
        <v>49</v>
      </c>
      <c r="AA530" s="2" t="s">
        <v>88</v>
      </c>
      <c r="AB530" s="2" t="s">
        <v>50</v>
      </c>
      <c r="AC530" s="2" t="s">
        <v>29</v>
      </c>
      <c r="AD530" s="2" t="s">
        <v>341</v>
      </c>
      <c r="AE530" s="2" t="str">
        <f t="shared" si="117"/>
        <v>Valid</v>
      </c>
      <c r="AF530" s="2" t="s">
        <v>1816</v>
      </c>
    </row>
    <row r="531" spans="1:32" x14ac:dyDescent="0.3">
      <c r="A531" s="2" t="s">
        <v>1817</v>
      </c>
      <c r="B531" s="2">
        <f t="shared" si="107"/>
        <v>1</v>
      </c>
      <c r="C531" s="12">
        <f>DATE(VALUE(RIGHT(D531,4)),MATCH(LEFT(D531,3),{"Jan","Feb","Mar","Apr","May","Jun","Jul","Aug","Sep","Oct","Nov","Dec"},0),VALUE(MID(D531,5,2)))</f>
        <v>46238</v>
      </c>
      <c r="D531" s="13" t="s">
        <v>171</v>
      </c>
      <c r="E531" s="2" t="s">
        <v>1818</v>
      </c>
      <c r="F531" s="2" t="str">
        <f t="shared" si="108"/>
        <v>Email Available</v>
      </c>
      <c r="G531" s="2" t="s">
        <v>1819</v>
      </c>
      <c r="H531" s="2" t="s">
        <v>85</v>
      </c>
      <c r="I531" s="2" t="s">
        <v>86</v>
      </c>
      <c r="J531" s="2" t="s">
        <v>87</v>
      </c>
      <c r="K531" s="2">
        <v>1</v>
      </c>
      <c r="L531" s="2" t="s">
        <v>363</v>
      </c>
      <c r="M531" s="19">
        <f t="shared" si="109"/>
        <v>54.99</v>
      </c>
      <c r="N531" s="2"/>
      <c r="O531" s="2" t="str">
        <f t="shared" si="110"/>
        <v/>
      </c>
      <c r="P531" s="2">
        <v>0</v>
      </c>
      <c r="Q531" s="19">
        <f t="shared" si="111"/>
        <v>0</v>
      </c>
      <c r="R531" s="2" t="str">
        <f t="shared" si="112"/>
        <v>Number</v>
      </c>
      <c r="S531" s="2">
        <v>5.99</v>
      </c>
      <c r="T531" s="19">
        <f t="shared" si="113"/>
        <v>5.99</v>
      </c>
      <c r="U531" s="2">
        <v>60.98</v>
      </c>
      <c r="V531" s="19">
        <f t="shared" si="114"/>
        <v>60.98</v>
      </c>
      <c r="W531" s="19">
        <f t="shared" si="115"/>
        <v>60.980000000000004</v>
      </c>
      <c r="X531" s="19" t="str">
        <f t="shared" si="116"/>
        <v>True</v>
      </c>
      <c r="Y531" s="19" t="str">
        <f>IF(OR(W531&lt;'Cleaning Tasks'!$G$18,W531&gt;'Cleaning Tasks'!$H$18),"Outlier","Normal")</f>
        <v>Normal</v>
      </c>
      <c r="Z531" s="2" t="s">
        <v>26</v>
      </c>
      <c r="AA531" s="2" t="s">
        <v>111</v>
      </c>
      <c r="AB531" s="2" t="s">
        <v>50</v>
      </c>
      <c r="AC531" s="2" t="s">
        <v>105</v>
      </c>
      <c r="AD531" s="2"/>
      <c r="AE531" s="2" t="str">
        <f t="shared" si="117"/>
        <v>Not Required</v>
      </c>
      <c r="AF531" s="2" t="s">
        <v>1820</v>
      </c>
    </row>
    <row r="532" spans="1:32" x14ac:dyDescent="0.3">
      <c r="A532" s="2" t="s">
        <v>1821</v>
      </c>
      <c r="B532" s="2">
        <f t="shared" si="107"/>
        <v>1</v>
      </c>
      <c r="C532" s="12">
        <f t="shared" ref="C532:C546" si="119">IF(ISNUMBER(D532),D532,DATEVALUE(SUBSTITUTE(TRIM(D532),CHAR(160)," ")))</f>
        <v>46238.582017430563</v>
      </c>
      <c r="D532" s="13">
        <v>46238.582017430563</v>
      </c>
      <c r="E532" s="2" t="s">
        <v>1822</v>
      </c>
      <c r="F532" s="2" t="str">
        <f t="shared" si="108"/>
        <v>Email Available</v>
      </c>
      <c r="G532" s="2" t="s">
        <v>1823</v>
      </c>
      <c r="H532" s="2" t="s">
        <v>130</v>
      </c>
      <c r="I532" s="2" t="s">
        <v>103</v>
      </c>
      <c r="J532" s="2" t="s">
        <v>131</v>
      </c>
      <c r="K532" s="2">
        <v>2</v>
      </c>
      <c r="L532" s="2">
        <v>16.989999999999998</v>
      </c>
      <c r="M532" s="19">
        <f t="shared" si="109"/>
        <v>16.989999999999998</v>
      </c>
      <c r="N532" s="2" t="s">
        <v>38</v>
      </c>
      <c r="O532" s="2" t="str">
        <f t="shared" si="110"/>
        <v>FREESHIP</v>
      </c>
      <c r="P532" s="2" t="s">
        <v>184</v>
      </c>
      <c r="Q532" s="19">
        <f t="shared" si="111"/>
        <v>0</v>
      </c>
      <c r="R532" s="2" t="str">
        <f t="shared" si="112"/>
        <v>Number</v>
      </c>
      <c r="S532" s="2">
        <v>0</v>
      </c>
      <c r="T532" s="19">
        <f t="shared" si="113"/>
        <v>0</v>
      </c>
      <c r="U532" s="2">
        <v>33.979999999999997</v>
      </c>
      <c r="V532" s="19">
        <f t="shared" si="114"/>
        <v>33.979999999999997</v>
      </c>
      <c r="W532" s="19">
        <f t="shared" si="115"/>
        <v>33.979999999999997</v>
      </c>
      <c r="X532" s="19" t="str">
        <f t="shared" si="116"/>
        <v>True</v>
      </c>
      <c r="Y532" s="19" t="str">
        <f>IF(OR(W532&lt;'Cleaning Tasks'!$G$18,W532&gt;'Cleaning Tasks'!$H$18),"Outlier","Normal")</f>
        <v>Normal</v>
      </c>
      <c r="Z532" s="2" t="s">
        <v>49</v>
      </c>
      <c r="AA532" s="2" t="s">
        <v>88</v>
      </c>
      <c r="AB532" s="2" t="s">
        <v>50</v>
      </c>
      <c r="AC532" s="2" t="s">
        <v>29</v>
      </c>
      <c r="AD532" s="2" t="s">
        <v>243</v>
      </c>
      <c r="AE532" s="2" t="str">
        <f t="shared" si="117"/>
        <v>Valid</v>
      </c>
      <c r="AF532" s="2" t="s">
        <v>1824</v>
      </c>
    </row>
    <row r="533" spans="1:32" x14ac:dyDescent="0.3">
      <c r="A533" s="2" t="s">
        <v>1825</v>
      </c>
      <c r="B533" s="2">
        <f t="shared" si="107"/>
        <v>1</v>
      </c>
      <c r="C533" s="12">
        <f t="shared" si="119"/>
        <v>46238.579078414346</v>
      </c>
      <c r="D533" s="13">
        <v>46238.579078414346</v>
      </c>
      <c r="E533" s="2" t="s">
        <v>1826</v>
      </c>
      <c r="F533" s="2" t="str">
        <f t="shared" si="108"/>
        <v>Email Available</v>
      </c>
      <c r="G533" s="2" t="s">
        <v>1827</v>
      </c>
      <c r="H533" s="22" t="s">
        <v>361</v>
      </c>
      <c r="I533" s="2" t="s">
        <v>86</v>
      </c>
      <c r="J533" s="2" t="s">
        <v>362</v>
      </c>
      <c r="K533" s="2">
        <v>1</v>
      </c>
      <c r="L533" s="2">
        <v>54.99</v>
      </c>
      <c r="M533" s="19">
        <f t="shared" si="109"/>
        <v>54.99</v>
      </c>
      <c r="N533" s="2" t="s">
        <v>65</v>
      </c>
      <c r="O533" s="2" t="str">
        <f t="shared" si="110"/>
        <v>WELCOME10</v>
      </c>
      <c r="P533" s="2">
        <v>5.5</v>
      </c>
      <c r="Q533" s="19">
        <f t="shared" si="111"/>
        <v>5.5</v>
      </c>
      <c r="R533" s="2" t="str">
        <f t="shared" si="112"/>
        <v>Number</v>
      </c>
      <c r="S533" s="2">
        <v>5.99</v>
      </c>
      <c r="T533" s="19">
        <f t="shared" si="113"/>
        <v>5.99</v>
      </c>
      <c r="U533" s="2">
        <v>55.48</v>
      </c>
      <c r="V533" s="19">
        <f t="shared" si="114"/>
        <v>55.48</v>
      </c>
      <c r="W533" s="19">
        <f t="shared" si="115"/>
        <v>55.480000000000004</v>
      </c>
      <c r="X533" s="19" t="str">
        <f t="shared" si="116"/>
        <v>True</v>
      </c>
      <c r="Y533" s="19" t="str">
        <f>IF(OR(W533&lt;'Cleaning Tasks'!$G$18,W533&gt;'Cleaning Tasks'!$H$18),"Outlier","Normal")</f>
        <v>Normal</v>
      </c>
      <c r="Z533" s="2" t="s">
        <v>66</v>
      </c>
      <c r="AA533" s="2" t="s">
        <v>111</v>
      </c>
      <c r="AB533" s="2" t="s">
        <v>50</v>
      </c>
      <c r="AC533" s="2" t="s">
        <v>29</v>
      </c>
      <c r="AD533" s="2" t="s">
        <v>67</v>
      </c>
      <c r="AE533" s="2" t="str">
        <f t="shared" si="117"/>
        <v>Valid</v>
      </c>
      <c r="AF533" s="2" t="s">
        <v>1828</v>
      </c>
    </row>
    <row r="534" spans="1:32" x14ac:dyDescent="0.3">
      <c r="A534" s="2" t="s">
        <v>1829</v>
      </c>
      <c r="B534" s="2">
        <f t="shared" si="107"/>
        <v>1</v>
      </c>
      <c r="C534" s="12">
        <f t="shared" si="119"/>
        <v>46238</v>
      </c>
      <c r="D534" s="13" t="s">
        <v>1554</v>
      </c>
      <c r="E534" s="2" t="s">
        <v>164</v>
      </c>
      <c r="F534" s="2" t="str">
        <f t="shared" si="108"/>
        <v>Email Available</v>
      </c>
      <c r="G534" s="2" t="s">
        <v>165</v>
      </c>
      <c r="H534" s="2" t="s">
        <v>146</v>
      </c>
      <c r="I534" s="2" t="s">
        <v>47</v>
      </c>
      <c r="J534" s="2" t="s">
        <v>147</v>
      </c>
      <c r="K534" s="2">
        <v>3</v>
      </c>
      <c r="L534" s="2">
        <v>34.99</v>
      </c>
      <c r="M534" s="19">
        <f t="shared" si="109"/>
        <v>34.99</v>
      </c>
      <c r="N534" s="2" t="s">
        <v>203</v>
      </c>
      <c r="O534" s="2" t="str">
        <f t="shared" si="110"/>
        <v>VIP15</v>
      </c>
      <c r="P534" s="2">
        <v>15.75</v>
      </c>
      <c r="Q534" s="19">
        <f t="shared" si="111"/>
        <v>15.75</v>
      </c>
      <c r="R534" s="2" t="str">
        <f t="shared" si="112"/>
        <v>Number</v>
      </c>
      <c r="S534" s="2">
        <v>0</v>
      </c>
      <c r="T534" s="19">
        <f t="shared" si="113"/>
        <v>0</v>
      </c>
      <c r="U534" s="2">
        <v>89.22</v>
      </c>
      <c r="V534" s="19">
        <f t="shared" si="114"/>
        <v>89.22</v>
      </c>
      <c r="W534" s="19">
        <f t="shared" si="115"/>
        <v>89.22</v>
      </c>
      <c r="X534" s="19" t="str">
        <f t="shared" si="116"/>
        <v>True</v>
      </c>
      <c r="Y534" s="19" t="str">
        <f>IF(OR(W534&lt;'Cleaning Tasks'!$G$18,W534&gt;'Cleaning Tasks'!$H$18),"Outlier","Normal")</f>
        <v>Outlier</v>
      </c>
      <c r="Z534" s="2" t="s">
        <v>26</v>
      </c>
      <c r="AA534" s="2" t="s">
        <v>27</v>
      </c>
      <c r="AB534" s="2" t="s">
        <v>50</v>
      </c>
      <c r="AC534" s="2" t="s">
        <v>105</v>
      </c>
      <c r="AD534" s="2"/>
      <c r="AE534" s="2" t="str">
        <f t="shared" si="117"/>
        <v>Not Required</v>
      </c>
      <c r="AF534" s="2" t="s">
        <v>1830</v>
      </c>
    </row>
    <row r="535" spans="1:32" x14ac:dyDescent="0.3">
      <c r="A535" s="2" t="s">
        <v>1831</v>
      </c>
      <c r="B535" s="2">
        <f t="shared" si="107"/>
        <v>1</v>
      </c>
      <c r="C535" s="12">
        <f t="shared" si="119"/>
        <v>46238.588400185188</v>
      </c>
      <c r="D535" s="13">
        <v>46238.588400185188</v>
      </c>
      <c r="E535" s="2" t="s">
        <v>1832</v>
      </c>
      <c r="F535" s="2" t="str">
        <f t="shared" si="108"/>
        <v>Email Available</v>
      </c>
      <c r="G535" s="2" t="s">
        <v>1833</v>
      </c>
      <c r="H535" s="2" t="s">
        <v>261</v>
      </c>
      <c r="I535" s="2" t="s">
        <v>36</v>
      </c>
      <c r="J535" s="2" t="s">
        <v>262</v>
      </c>
      <c r="K535" s="2">
        <v>2</v>
      </c>
      <c r="L535" s="2">
        <v>15.49</v>
      </c>
      <c r="M535" s="19">
        <f t="shared" si="109"/>
        <v>15.49</v>
      </c>
      <c r="N535" s="2"/>
      <c r="O535" s="2" t="str">
        <f t="shared" si="110"/>
        <v/>
      </c>
      <c r="P535" s="2">
        <v>0</v>
      </c>
      <c r="Q535" s="19">
        <f t="shared" si="111"/>
        <v>0</v>
      </c>
      <c r="R535" s="2" t="str">
        <f t="shared" si="112"/>
        <v>Number</v>
      </c>
      <c r="S535" s="2">
        <v>4.99</v>
      </c>
      <c r="T535" s="19">
        <f t="shared" si="113"/>
        <v>4.99</v>
      </c>
      <c r="U535" s="2">
        <v>35.97</v>
      </c>
      <c r="V535" s="19">
        <f t="shared" si="114"/>
        <v>35.97</v>
      </c>
      <c r="W535" s="19">
        <f t="shared" si="115"/>
        <v>35.97</v>
      </c>
      <c r="X535" s="19" t="str">
        <f t="shared" si="116"/>
        <v>True</v>
      </c>
      <c r="Y535" s="19" t="str">
        <f>IF(OR(W535&lt;'Cleaning Tasks'!$G$18,W535&gt;'Cleaning Tasks'!$H$18),"Outlier","Normal")</f>
        <v>Normal</v>
      </c>
      <c r="Z535" s="2" t="s">
        <v>72</v>
      </c>
      <c r="AA535" s="2" t="s">
        <v>88</v>
      </c>
      <c r="AB535" s="2" t="s">
        <v>28</v>
      </c>
      <c r="AC535" s="2" t="s">
        <v>29</v>
      </c>
      <c r="AD535" s="22" t="s">
        <v>58</v>
      </c>
      <c r="AE535" s="2" t="str">
        <f t="shared" si="117"/>
        <v>Valid</v>
      </c>
      <c r="AF535" s="2" t="s">
        <v>1834</v>
      </c>
    </row>
    <row r="536" spans="1:32" x14ac:dyDescent="0.3">
      <c r="A536" s="2" t="s">
        <v>1835</v>
      </c>
      <c r="B536" s="2">
        <f t="shared" si="107"/>
        <v>1</v>
      </c>
      <c r="C536" s="12">
        <f t="shared" si="119"/>
        <v>46238.582869849539</v>
      </c>
      <c r="D536" s="13">
        <v>46238.582869849539</v>
      </c>
      <c r="E536" s="2" t="s">
        <v>1836</v>
      </c>
      <c r="F536" s="2" t="str">
        <f t="shared" si="108"/>
        <v>Email Available</v>
      </c>
      <c r="G536" s="2" t="s">
        <v>1837</v>
      </c>
      <c r="H536" s="2" t="s">
        <v>261</v>
      </c>
      <c r="I536" s="2" t="s">
        <v>36</v>
      </c>
      <c r="J536" s="2" t="s">
        <v>262</v>
      </c>
      <c r="K536" s="2">
        <v>1</v>
      </c>
      <c r="L536" s="2">
        <v>15.49</v>
      </c>
      <c r="M536" s="19">
        <f t="shared" si="109"/>
        <v>15.49</v>
      </c>
      <c r="N536" s="2"/>
      <c r="O536" s="2" t="str">
        <f t="shared" si="110"/>
        <v/>
      </c>
      <c r="P536" s="2">
        <v>0</v>
      </c>
      <c r="Q536" s="19">
        <f t="shared" si="111"/>
        <v>0</v>
      </c>
      <c r="R536" s="2" t="str">
        <f t="shared" si="112"/>
        <v>Number</v>
      </c>
      <c r="S536" s="2">
        <v>7.99</v>
      </c>
      <c r="T536" s="19">
        <f t="shared" si="113"/>
        <v>7.99</v>
      </c>
      <c r="U536" s="2">
        <v>23.48</v>
      </c>
      <c r="V536" s="19">
        <f t="shared" si="114"/>
        <v>23.48</v>
      </c>
      <c r="W536" s="19">
        <f t="shared" si="115"/>
        <v>23.48</v>
      </c>
      <c r="X536" s="19" t="str">
        <f t="shared" si="116"/>
        <v>True</v>
      </c>
      <c r="Y536" s="19" t="str">
        <f>IF(OR(W536&lt;'Cleaning Tasks'!$G$18,W536&gt;'Cleaning Tasks'!$H$18),"Outlier","Normal")</f>
        <v>Normal</v>
      </c>
      <c r="Z536" s="2" t="s">
        <v>39</v>
      </c>
      <c r="AA536" s="2" t="s">
        <v>27</v>
      </c>
      <c r="AB536" s="2" t="s">
        <v>50</v>
      </c>
      <c r="AC536" s="2" t="s">
        <v>42</v>
      </c>
      <c r="AD536" s="2"/>
      <c r="AE536" s="2" t="str">
        <f t="shared" si="117"/>
        <v>Not Required</v>
      </c>
      <c r="AF536" s="2" t="s">
        <v>1838</v>
      </c>
    </row>
    <row r="537" spans="1:32" x14ac:dyDescent="0.3">
      <c r="A537" s="2" t="s">
        <v>1839</v>
      </c>
      <c r="B537" s="2">
        <f t="shared" si="107"/>
        <v>1</v>
      </c>
      <c r="C537" s="12">
        <f t="shared" si="119"/>
        <v>46238.585318587961</v>
      </c>
      <c r="D537" s="13">
        <v>46238.585318587961</v>
      </c>
      <c r="E537" s="2" t="s">
        <v>485</v>
      </c>
      <c r="F537" s="2" t="str">
        <f t="shared" si="108"/>
        <v>Email Available</v>
      </c>
      <c r="G537" s="2" t="s">
        <v>486</v>
      </c>
      <c r="H537" s="2" t="s">
        <v>124</v>
      </c>
      <c r="I537" s="2" t="s">
        <v>79</v>
      </c>
      <c r="J537" s="2" t="s">
        <v>125</v>
      </c>
      <c r="K537" s="2">
        <v>1</v>
      </c>
      <c r="L537" s="2">
        <v>13.99</v>
      </c>
      <c r="M537" s="19">
        <f t="shared" si="109"/>
        <v>13.99</v>
      </c>
      <c r="N537" s="2" t="s">
        <v>24</v>
      </c>
      <c r="O537" s="2" t="str">
        <f t="shared" si="110"/>
        <v>SAVE20</v>
      </c>
      <c r="P537" s="2">
        <v>2.8</v>
      </c>
      <c r="Q537" s="19">
        <f t="shared" si="111"/>
        <v>2.8</v>
      </c>
      <c r="R537" s="2" t="str">
        <f t="shared" si="112"/>
        <v>Number</v>
      </c>
      <c r="S537" s="2">
        <v>7.99</v>
      </c>
      <c r="T537" s="19">
        <f t="shared" si="113"/>
        <v>7.99</v>
      </c>
      <c r="U537" s="2">
        <v>19.18</v>
      </c>
      <c r="V537" s="19">
        <f t="shared" si="114"/>
        <v>19.18</v>
      </c>
      <c r="W537" s="19">
        <f t="shared" si="115"/>
        <v>19.18</v>
      </c>
      <c r="X537" s="19" t="str">
        <f t="shared" si="116"/>
        <v>True</v>
      </c>
      <c r="Y537" s="19" t="str">
        <f>IF(OR(W537&lt;'Cleaning Tasks'!$G$18,W537&gt;'Cleaning Tasks'!$H$18),"Outlier","Normal")</f>
        <v>Normal</v>
      </c>
      <c r="Z537" s="2" t="s">
        <v>39</v>
      </c>
      <c r="AA537" s="2" t="s">
        <v>111</v>
      </c>
      <c r="AB537" s="2" t="s">
        <v>28</v>
      </c>
      <c r="AC537" s="2" t="s">
        <v>73</v>
      </c>
      <c r="AD537" s="2"/>
      <c r="AE537" s="2" t="str">
        <f t="shared" si="117"/>
        <v>Not Required</v>
      </c>
      <c r="AF537" s="2" t="s">
        <v>1840</v>
      </c>
    </row>
    <row r="538" spans="1:32" x14ac:dyDescent="0.3">
      <c r="A538" s="2" t="s">
        <v>1841</v>
      </c>
      <c r="B538" s="2">
        <f t="shared" si="107"/>
        <v>1</v>
      </c>
      <c r="C538" s="12">
        <f t="shared" si="119"/>
        <v>46238.585281319443</v>
      </c>
      <c r="D538" s="13">
        <v>46238.585281319443</v>
      </c>
      <c r="E538" s="2" t="s">
        <v>815</v>
      </c>
      <c r="F538" s="2" t="str">
        <f t="shared" si="108"/>
        <v>Email Available</v>
      </c>
      <c r="G538" s="2" t="s">
        <v>816</v>
      </c>
      <c r="H538" s="2" t="s">
        <v>109</v>
      </c>
      <c r="I538" s="2" t="s">
        <v>79</v>
      </c>
      <c r="J538" s="2" t="s">
        <v>110</v>
      </c>
      <c r="K538" s="2">
        <v>2</v>
      </c>
      <c r="L538" s="2">
        <v>22.99</v>
      </c>
      <c r="M538" s="19">
        <f t="shared" si="109"/>
        <v>22.99</v>
      </c>
      <c r="N538" s="2"/>
      <c r="O538" s="2" t="str">
        <f t="shared" si="110"/>
        <v/>
      </c>
      <c r="P538" s="2">
        <v>0</v>
      </c>
      <c r="Q538" s="19">
        <f t="shared" si="111"/>
        <v>0</v>
      </c>
      <c r="R538" s="2" t="str">
        <f t="shared" si="112"/>
        <v>Number</v>
      </c>
      <c r="S538" s="2">
        <v>5.99</v>
      </c>
      <c r="T538" s="19">
        <f t="shared" si="113"/>
        <v>5.99</v>
      </c>
      <c r="U538" s="2">
        <v>51.97</v>
      </c>
      <c r="V538" s="19">
        <f t="shared" si="114"/>
        <v>51.97</v>
      </c>
      <c r="W538" s="19">
        <f t="shared" si="115"/>
        <v>51.97</v>
      </c>
      <c r="X538" s="19" t="str">
        <f t="shared" si="116"/>
        <v>True</v>
      </c>
      <c r="Y538" s="19" t="str">
        <f>IF(OR(W538&lt;'Cleaning Tasks'!$G$18,W538&gt;'Cleaning Tasks'!$H$18),"Outlier","Normal")</f>
        <v>Normal</v>
      </c>
      <c r="Z538" s="2" t="s">
        <v>49</v>
      </c>
      <c r="AA538" s="2" t="s">
        <v>111</v>
      </c>
      <c r="AB538" s="2" t="s">
        <v>50</v>
      </c>
      <c r="AC538" s="2" t="s">
        <v>73</v>
      </c>
      <c r="AD538" s="2"/>
      <c r="AE538" s="2" t="str">
        <f t="shared" si="117"/>
        <v>Not Required</v>
      </c>
      <c r="AF538" s="2" t="s">
        <v>1842</v>
      </c>
    </row>
    <row r="539" spans="1:32" x14ac:dyDescent="0.3">
      <c r="A539" s="2" t="s">
        <v>1843</v>
      </c>
      <c r="B539" s="2">
        <f t="shared" si="107"/>
        <v>1</v>
      </c>
      <c r="C539" s="12">
        <f t="shared" si="119"/>
        <v>46238.585267025461</v>
      </c>
      <c r="D539" s="13">
        <v>46238.585267025461</v>
      </c>
      <c r="E539" s="2" t="s">
        <v>76</v>
      </c>
      <c r="F539" s="2" t="str">
        <f t="shared" si="108"/>
        <v>Email Available</v>
      </c>
      <c r="G539" s="2" t="s">
        <v>77</v>
      </c>
      <c r="H539" s="2" t="s">
        <v>146</v>
      </c>
      <c r="I539" s="2" t="s">
        <v>47</v>
      </c>
      <c r="J539" s="2" t="s">
        <v>147</v>
      </c>
      <c r="K539" s="2">
        <v>2</v>
      </c>
      <c r="L539" s="2">
        <v>34.99</v>
      </c>
      <c r="M539" s="19">
        <f t="shared" si="109"/>
        <v>34.99</v>
      </c>
      <c r="N539" s="2" t="s">
        <v>38</v>
      </c>
      <c r="O539" s="2" t="str">
        <f t="shared" si="110"/>
        <v>FREESHIP</v>
      </c>
      <c r="P539" s="2">
        <v>0</v>
      </c>
      <c r="Q539" s="19">
        <f t="shared" si="111"/>
        <v>0</v>
      </c>
      <c r="R539" s="2" t="str">
        <f t="shared" si="112"/>
        <v>Number</v>
      </c>
      <c r="S539" s="2">
        <v>0</v>
      </c>
      <c r="T539" s="19">
        <f t="shared" si="113"/>
        <v>0</v>
      </c>
      <c r="U539" s="2">
        <v>69.98</v>
      </c>
      <c r="V539" s="19">
        <f t="shared" si="114"/>
        <v>69.98</v>
      </c>
      <c r="W539" s="19">
        <f t="shared" si="115"/>
        <v>69.98</v>
      </c>
      <c r="X539" s="19" t="str">
        <f t="shared" si="116"/>
        <v>True</v>
      </c>
      <c r="Y539" s="19" t="str">
        <f>IF(OR(W539&lt;'Cleaning Tasks'!$G$18,W539&gt;'Cleaning Tasks'!$H$18),"Outlier","Normal")</f>
        <v>Normal</v>
      </c>
      <c r="Z539" s="2" t="s">
        <v>66</v>
      </c>
      <c r="AA539" s="2" t="s">
        <v>88</v>
      </c>
      <c r="AB539" s="2" t="s">
        <v>50</v>
      </c>
      <c r="AC539" s="2" t="s">
        <v>73</v>
      </c>
      <c r="AD539" s="2"/>
      <c r="AE539" s="2" t="str">
        <f t="shared" si="117"/>
        <v>Not Required</v>
      </c>
      <c r="AF539" s="2" t="s">
        <v>1844</v>
      </c>
    </row>
    <row r="540" spans="1:32" x14ac:dyDescent="0.3">
      <c r="A540" s="2" t="s">
        <v>1845</v>
      </c>
      <c r="B540" s="2">
        <f t="shared" si="107"/>
        <v>1</v>
      </c>
      <c r="C540" s="12">
        <f t="shared" si="119"/>
        <v>46238.582907766213</v>
      </c>
      <c r="D540" s="13">
        <v>46238.582907766213</v>
      </c>
      <c r="E540" s="2" t="s">
        <v>677</v>
      </c>
      <c r="F540" s="2" t="str">
        <f t="shared" si="108"/>
        <v>Email Available</v>
      </c>
      <c r="G540" s="2" t="s">
        <v>478</v>
      </c>
      <c r="H540" s="2" t="s">
        <v>261</v>
      </c>
      <c r="I540" s="2" t="s">
        <v>36</v>
      </c>
      <c r="J540" s="2" t="s">
        <v>262</v>
      </c>
      <c r="K540" s="2">
        <v>1</v>
      </c>
      <c r="L540" s="2">
        <v>15.49</v>
      </c>
      <c r="M540" s="19">
        <f t="shared" si="109"/>
        <v>15.49</v>
      </c>
      <c r="N540" s="2"/>
      <c r="O540" s="2" t="str">
        <f t="shared" si="110"/>
        <v/>
      </c>
      <c r="P540" s="2">
        <v>0</v>
      </c>
      <c r="Q540" s="19">
        <f t="shared" si="111"/>
        <v>0</v>
      </c>
      <c r="R540" s="2" t="str">
        <f t="shared" si="112"/>
        <v>Number</v>
      </c>
      <c r="S540" s="2">
        <v>4.99</v>
      </c>
      <c r="T540" s="19">
        <f t="shared" si="113"/>
        <v>4.99</v>
      </c>
      <c r="U540" s="2">
        <v>20.48</v>
      </c>
      <c r="V540" s="19">
        <f t="shared" si="114"/>
        <v>20.48</v>
      </c>
      <c r="W540" s="19">
        <f t="shared" si="115"/>
        <v>20.48</v>
      </c>
      <c r="X540" s="19" t="str">
        <f t="shared" si="116"/>
        <v>True</v>
      </c>
      <c r="Y540" s="19" t="str">
        <f>IF(OR(W540&lt;'Cleaning Tasks'!$G$18,W540&gt;'Cleaning Tasks'!$H$18),"Outlier","Normal")</f>
        <v>Normal</v>
      </c>
      <c r="Z540" s="2" t="s">
        <v>72</v>
      </c>
      <c r="AA540" s="2" t="s">
        <v>40</v>
      </c>
      <c r="AB540" s="2" t="s">
        <v>28</v>
      </c>
      <c r="AC540" s="2" t="s">
        <v>29</v>
      </c>
      <c r="AD540" s="2" t="s">
        <v>89</v>
      </c>
      <c r="AE540" s="2" t="str">
        <f t="shared" si="117"/>
        <v>Valid</v>
      </c>
      <c r="AF540" s="2" t="s">
        <v>1846</v>
      </c>
    </row>
    <row r="541" spans="1:32" x14ac:dyDescent="0.3">
      <c r="A541" s="2" t="s">
        <v>1847</v>
      </c>
      <c r="B541" s="2">
        <f t="shared" si="107"/>
        <v>1</v>
      </c>
      <c r="C541" s="12">
        <f t="shared" si="119"/>
        <v>46238.588209629626</v>
      </c>
      <c r="D541" s="13">
        <v>46238.588209629626</v>
      </c>
      <c r="E541" s="2" t="s">
        <v>489</v>
      </c>
      <c r="F541" s="2" t="str">
        <f t="shared" si="108"/>
        <v>Email Available</v>
      </c>
      <c r="G541" s="2" t="s">
        <v>490</v>
      </c>
      <c r="H541" s="2" t="s">
        <v>102</v>
      </c>
      <c r="I541" s="2" t="s">
        <v>103</v>
      </c>
      <c r="J541" s="2" t="s">
        <v>104</v>
      </c>
      <c r="K541" s="2">
        <v>1</v>
      </c>
      <c r="L541" s="2">
        <v>19.989999999999998</v>
      </c>
      <c r="M541" s="19">
        <f t="shared" si="109"/>
        <v>19.989999999999998</v>
      </c>
      <c r="N541" s="2" t="s">
        <v>203</v>
      </c>
      <c r="O541" s="2" t="str">
        <f t="shared" si="110"/>
        <v>VIP15</v>
      </c>
      <c r="P541" s="2">
        <v>3</v>
      </c>
      <c r="Q541" s="19">
        <f t="shared" si="111"/>
        <v>3</v>
      </c>
      <c r="R541" s="2" t="str">
        <f t="shared" si="112"/>
        <v>Number</v>
      </c>
      <c r="S541" s="2">
        <v>4.99</v>
      </c>
      <c r="T541" s="19">
        <f t="shared" si="113"/>
        <v>4.99</v>
      </c>
      <c r="U541" s="2">
        <v>21.98</v>
      </c>
      <c r="V541" s="19">
        <f t="shared" si="114"/>
        <v>21.98</v>
      </c>
      <c r="W541" s="19">
        <f t="shared" si="115"/>
        <v>21.979999999999997</v>
      </c>
      <c r="X541" s="19" t="str">
        <f t="shared" si="116"/>
        <v>True</v>
      </c>
      <c r="Y541" s="19" t="str">
        <f>IF(OR(W541&lt;'Cleaning Tasks'!$G$18,W541&gt;'Cleaning Tasks'!$H$18),"Outlier","Normal")</f>
        <v>Normal</v>
      </c>
      <c r="Z541" s="2" t="s">
        <v>26</v>
      </c>
      <c r="AA541" s="2" t="s">
        <v>27</v>
      </c>
      <c r="AB541" s="2" t="s">
        <v>41</v>
      </c>
      <c r="AC541" s="2" t="s">
        <v>29</v>
      </c>
      <c r="AD541" s="2" t="s">
        <v>73</v>
      </c>
      <c r="AE541" s="2" t="str">
        <f t="shared" si="117"/>
        <v>Valid</v>
      </c>
      <c r="AF541" s="2" t="s">
        <v>1848</v>
      </c>
    </row>
    <row r="542" spans="1:32" x14ac:dyDescent="0.3">
      <c r="A542" s="2" t="s">
        <v>1849</v>
      </c>
      <c r="B542" s="2">
        <f t="shared" si="107"/>
        <v>1</v>
      </c>
      <c r="C542" s="12">
        <f t="shared" si="119"/>
        <v>46238.585522337962</v>
      </c>
      <c r="D542" s="13">
        <v>46238.585522337962</v>
      </c>
      <c r="E542" s="2" t="s">
        <v>188</v>
      </c>
      <c r="F542" s="2" t="str">
        <f t="shared" si="108"/>
        <v>Email Available</v>
      </c>
      <c r="G542" s="2" t="s">
        <v>189</v>
      </c>
      <c r="H542" s="2" t="s">
        <v>236</v>
      </c>
      <c r="I542" s="2" t="s">
        <v>237</v>
      </c>
      <c r="J542" s="2" t="s">
        <v>238</v>
      </c>
      <c r="K542" s="2">
        <v>2</v>
      </c>
      <c r="L542" s="2" t="s">
        <v>1512</v>
      </c>
      <c r="M542" s="19">
        <f t="shared" si="109"/>
        <v>27.99</v>
      </c>
      <c r="N542" s="2"/>
      <c r="O542" s="2" t="str">
        <f t="shared" si="110"/>
        <v/>
      </c>
      <c r="P542" s="2">
        <v>0</v>
      </c>
      <c r="Q542" s="19">
        <f t="shared" si="111"/>
        <v>0</v>
      </c>
      <c r="R542" s="2" t="str">
        <f t="shared" si="112"/>
        <v>Number</v>
      </c>
      <c r="S542" s="2">
        <v>4.99</v>
      </c>
      <c r="T542" s="19">
        <f t="shared" si="113"/>
        <v>4.99</v>
      </c>
      <c r="U542" s="2">
        <v>60.97</v>
      </c>
      <c r="V542" s="19">
        <f t="shared" si="114"/>
        <v>60.97</v>
      </c>
      <c r="W542" s="19">
        <f t="shared" si="115"/>
        <v>60.97</v>
      </c>
      <c r="X542" s="19" t="str">
        <f t="shared" si="116"/>
        <v>True</v>
      </c>
      <c r="Y542" s="19" t="str">
        <f>IF(OR(W542&lt;'Cleaning Tasks'!$G$18,W542&gt;'Cleaning Tasks'!$H$18),"Outlier","Normal")</f>
        <v>Normal</v>
      </c>
      <c r="Z542" s="2" t="s">
        <v>49</v>
      </c>
      <c r="AA542" s="2" t="s">
        <v>27</v>
      </c>
      <c r="AB542" s="2" t="s">
        <v>50</v>
      </c>
      <c r="AC542" s="2" t="s">
        <v>29</v>
      </c>
      <c r="AD542" s="2" t="s">
        <v>89</v>
      </c>
      <c r="AE542" s="2" t="str">
        <f t="shared" si="117"/>
        <v>Valid</v>
      </c>
      <c r="AF542" s="2" t="s">
        <v>1850</v>
      </c>
    </row>
    <row r="543" spans="1:32" x14ac:dyDescent="0.3">
      <c r="A543" s="2" t="s">
        <v>1851</v>
      </c>
      <c r="B543" s="2">
        <f t="shared" si="107"/>
        <v>1</v>
      </c>
      <c r="C543" s="12">
        <f t="shared" si="119"/>
        <v>46238.57943755787</v>
      </c>
      <c r="D543" s="13">
        <v>46238.57943755787</v>
      </c>
      <c r="E543" s="2" t="s">
        <v>705</v>
      </c>
      <c r="F543" s="2" t="str">
        <f t="shared" si="108"/>
        <v>Email Available</v>
      </c>
      <c r="G543" s="2" t="s">
        <v>706</v>
      </c>
      <c r="H543" s="2" t="s">
        <v>130</v>
      </c>
      <c r="I543" s="2" t="s">
        <v>103</v>
      </c>
      <c r="J543" s="2" t="s">
        <v>131</v>
      </c>
      <c r="K543" s="2">
        <v>1</v>
      </c>
      <c r="L543" s="2">
        <v>16.989999999999998</v>
      </c>
      <c r="M543" s="19">
        <f t="shared" si="109"/>
        <v>16.989999999999998</v>
      </c>
      <c r="N543" s="2" t="s">
        <v>65</v>
      </c>
      <c r="O543" s="2" t="str">
        <f t="shared" si="110"/>
        <v>WELCOME10</v>
      </c>
      <c r="P543" s="2" t="s">
        <v>1761</v>
      </c>
      <c r="Q543" s="19">
        <f t="shared" si="111"/>
        <v>1.7</v>
      </c>
      <c r="R543" s="2" t="str">
        <f t="shared" si="112"/>
        <v>Number</v>
      </c>
      <c r="S543" s="2">
        <v>5.99</v>
      </c>
      <c r="T543" s="19">
        <f t="shared" si="113"/>
        <v>5.99</v>
      </c>
      <c r="U543" s="2" t="s">
        <v>1852</v>
      </c>
      <c r="V543" s="19">
        <f t="shared" si="114"/>
        <v>21.28</v>
      </c>
      <c r="W543" s="19">
        <f t="shared" si="115"/>
        <v>21.28</v>
      </c>
      <c r="X543" s="19" t="str">
        <f t="shared" si="116"/>
        <v>True</v>
      </c>
      <c r="Y543" s="19" t="str">
        <f>IF(OR(W543&lt;'Cleaning Tasks'!$G$18,W543&gt;'Cleaning Tasks'!$H$18),"Outlier","Normal")</f>
        <v>Normal</v>
      </c>
      <c r="Z543" s="2" t="s">
        <v>66</v>
      </c>
      <c r="AA543" s="2" t="s">
        <v>27</v>
      </c>
      <c r="AB543" s="2" t="s">
        <v>50</v>
      </c>
      <c r="AC543" s="2" t="s">
        <v>331</v>
      </c>
      <c r="AD543" s="2"/>
      <c r="AE543" s="2" t="str">
        <f t="shared" si="117"/>
        <v>Not Required</v>
      </c>
      <c r="AF543" s="2" t="s">
        <v>1853</v>
      </c>
    </row>
    <row r="544" spans="1:32" x14ac:dyDescent="0.3">
      <c r="A544" s="2" t="s">
        <v>1854</v>
      </c>
      <c r="B544" s="2">
        <f t="shared" si="107"/>
        <v>1</v>
      </c>
      <c r="C544" s="12">
        <f t="shared" si="119"/>
        <v>46238.585239120373</v>
      </c>
      <c r="D544" s="13">
        <v>46238.585239120373</v>
      </c>
      <c r="E544" s="2"/>
      <c r="F544" s="2" t="str">
        <f t="shared" si="108"/>
        <v>Email Available</v>
      </c>
      <c r="G544" s="2" t="s">
        <v>1855</v>
      </c>
      <c r="H544" s="2" t="s">
        <v>78</v>
      </c>
      <c r="I544" s="2" t="s">
        <v>79</v>
      </c>
      <c r="J544" s="2" t="s">
        <v>80</v>
      </c>
      <c r="K544" s="2">
        <v>3</v>
      </c>
      <c r="L544" s="2">
        <v>89.99</v>
      </c>
      <c r="M544" s="19">
        <f t="shared" si="109"/>
        <v>89.99</v>
      </c>
      <c r="N544" s="2"/>
      <c r="O544" s="2" t="str">
        <f t="shared" si="110"/>
        <v/>
      </c>
      <c r="P544" s="2">
        <v>0</v>
      </c>
      <c r="Q544" s="19">
        <f t="shared" si="111"/>
        <v>0</v>
      </c>
      <c r="R544" s="2" t="str">
        <f t="shared" si="112"/>
        <v>Number</v>
      </c>
      <c r="S544" s="2">
        <v>0</v>
      </c>
      <c r="T544" s="19">
        <f t="shared" si="113"/>
        <v>0</v>
      </c>
      <c r="U544" s="2">
        <v>269.97000000000003</v>
      </c>
      <c r="V544" s="19">
        <f t="shared" si="114"/>
        <v>269.97000000000003</v>
      </c>
      <c r="W544" s="19">
        <f t="shared" si="115"/>
        <v>269.96999999999997</v>
      </c>
      <c r="X544" s="19" t="str">
        <f t="shared" si="116"/>
        <v>True</v>
      </c>
      <c r="Y544" s="19" t="str">
        <f>IF(OR(W544&lt;'Cleaning Tasks'!$G$18,W544&gt;'Cleaning Tasks'!$H$18),"Outlier","Normal")</f>
        <v>Outlier</v>
      </c>
      <c r="Z544" s="2" t="s">
        <v>49</v>
      </c>
      <c r="AA544" s="2" t="s">
        <v>27</v>
      </c>
      <c r="AB544" s="2" t="s">
        <v>50</v>
      </c>
      <c r="AC544" s="2" t="s">
        <v>331</v>
      </c>
      <c r="AD544" s="2"/>
      <c r="AE544" s="2" t="str">
        <f t="shared" si="117"/>
        <v>Not Required</v>
      </c>
      <c r="AF544" s="2" t="s">
        <v>1856</v>
      </c>
    </row>
    <row r="545" spans="1:32" x14ac:dyDescent="0.3">
      <c r="A545" s="2" t="s">
        <v>1857</v>
      </c>
      <c r="B545" s="2">
        <f t="shared" si="107"/>
        <v>1</v>
      </c>
      <c r="C545" s="12">
        <f t="shared" si="119"/>
        <v>46238.58705829861</v>
      </c>
      <c r="D545" s="13">
        <v>46238.58705829861</v>
      </c>
      <c r="E545" s="2" t="s">
        <v>1858</v>
      </c>
      <c r="F545" s="2" t="str">
        <f t="shared" si="108"/>
        <v>Email Available</v>
      </c>
      <c r="G545" s="2" t="s">
        <v>1859</v>
      </c>
      <c r="H545" s="2" t="s">
        <v>221</v>
      </c>
      <c r="I545" s="2" t="s">
        <v>22</v>
      </c>
      <c r="J545" s="2" t="s">
        <v>222</v>
      </c>
      <c r="K545" s="2">
        <v>1</v>
      </c>
      <c r="L545" s="2">
        <v>17.989999999999998</v>
      </c>
      <c r="M545" s="19">
        <f t="shared" si="109"/>
        <v>17.989999999999998</v>
      </c>
      <c r="N545" s="2"/>
      <c r="O545" s="2" t="str">
        <f t="shared" si="110"/>
        <v/>
      </c>
      <c r="P545" s="2">
        <v>0</v>
      </c>
      <c r="Q545" s="19">
        <f t="shared" si="111"/>
        <v>0</v>
      </c>
      <c r="R545" s="2" t="str">
        <f t="shared" si="112"/>
        <v>Number</v>
      </c>
      <c r="S545" s="2">
        <v>4.99</v>
      </c>
      <c r="T545" s="19">
        <f t="shared" si="113"/>
        <v>4.99</v>
      </c>
      <c r="U545" s="2">
        <v>22.98</v>
      </c>
      <c r="V545" s="19">
        <f t="shared" si="114"/>
        <v>22.98</v>
      </c>
      <c r="W545" s="19">
        <f t="shared" si="115"/>
        <v>22.979999999999997</v>
      </c>
      <c r="X545" s="19" t="str">
        <f t="shared" si="116"/>
        <v>True</v>
      </c>
      <c r="Y545" s="19" t="str">
        <f>IF(OR(W545&lt;'Cleaning Tasks'!$G$18,W545&gt;'Cleaning Tasks'!$H$18),"Outlier","Normal")</f>
        <v>Normal</v>
      </c>
      <c r="Z545" s="2" t="s">
        <v>72</v>
      </c>
      <c r="AA545" s="2" t="s">
        <v>111</v>
      </c>
      <c r="AB545" s="2" t="s">
        <v>28</v>
      </c>
      <c r="AC545" s="2" t="s">
        <v>29</v>
      </c>
      <c r="AD545" s="2" t="s">
        <v>30</v>
      </c>
      <c r="AE545" s="2" t="str">
        <f t="shared" si="117"/>
        <v>Valid</v>
      </c>
      <c r="AF545" s="2" t="s">
        <v>1860</v>
      </c>
    </row>
    <row r="546" spans="1:32" x14ac:dyDescent="0.3">
      <c r="A546" s="2" t="s">
        <v>1861</v>
      </c>
      <c r="B546" s="2">
        <f t="shared" si="107"/>
        <v>1</v>
      </c>
      <c r="C546" s="12">
        <f t="shared" si="119"/>
        <v>46238.583128148151</v>
      </c>
      <c r="D546" s="13">
        <v>46238.583128148151</v>
      </c>
      <c r="E546" s="2" t="s">
        <v>1769</v>
      </c>
      <c r="F546" s="2" t="str">
        <f t="shared" si="108"/>
        <v>Email Available</v>
      </c>
      <c r="G546" s="2" t="s">
        <v>1770</v>
      </c>
      <c r="H546" s="2" t="s">
        <v>56</v>
      </c>
      <c r="I546" s="2" t="s">
        <v>22</v>
      </c>
      <c r="J546" s="2" t="s">
        <v>57</v>
      </c>
      <c r="K546" s="2">
        <v>1</v>
      </c>
      <c r="L546" s="2">
        <v>9.99</v>
      </c>
      <c r="M546" s="19">
        <f t="shared" si="109"/>
        <v>9.99</v>
      </c>
      <c r="N546" s="2" t="s">
        <v>24</v>
      </c>
      <c r="O546" s="2" t="str">
        <f t="shared" si="110"/>
        <v>SAVE20</v>
      </c>
      <c r="P546" s="2">
        <v>2</v>
      </c>
      <c r="Q546" s="19">
        <f t="shared" si="111"/>
        <v>2</v>
      </c>
      <c r="R546" s="2" t="str">
        <f t="shared" si="112"/>
        <v>Number</v>
      </c>
      <c r="S546" s="2">
        <v>7.99</v>
      </c>
      <c r="T546" s="19">
        <f t="shared" si="113"/>
        <v>7.99</v>
      </c>
      <c r="U546" s="2">
        <v>15.98</v>
      </c>
      <c r="V546" s="19">
        <f t="shared" si="114"/>
        <v>15.98</v>
      </c>
      <c r="W546" s="19">
        <f t="shared" si="115"/>
        <v>15.98</v>
      </c>
      <c r="X546" s="19" t="str">
        <f t="shared" si="116"/>
        <v>True</v>
      </c>
      <c r="Y546" s="19" t="str">
        <f>IF(OR(W546&lt;'Cleaning Tasks'!$G$18,W546&gt;'Cleaning Tasks'!$H$18),"Outlier","Normal")</f>
        <v>Normal</v>
      </c>
      <c r="Z546" s="2" t="s">
        <v>49</v>
      </c>
      <c r="AA546" s="2" t="s">
        <v>27</v>
      </c>
      <c r="AB546" s="2" t="s">
        <v>50</v>
      </c>
      <c r="AC546" s="2" t="s">
        <v>73</v>
      </c>
      <c r="AD546" s="2"/>
      <c r="AE546" s="2" t="str">
        <f t="shared" si="117"/>
        <v>Not Required</v>
      </c>
      <c r="AF546" s="2" t="s">
        <v>1862</v>
      </c>
    </row>
    <row r="547" spans="1:32" x14ac:dyDescent="0.3">
      <c r="A547" s="2" t="s">
        <v>1863</v>
      </c>
      <c r="B547" s="2">
        <f t="shared" si="107"/>
        <v>1</v>
      </c>
      <c r="C547" s="12">
        <f>DATE(VALUE(RIGHT(D547,4)),MATCH(LEFT(D547,3),{"Jan","Feb","Mar","Apr","May","Jun","Jul","Aug","Sep","Oct","Nov","Dec"},0),VALUE(MID(D547,5,2)))</f>
        <v>46238</v>
      </c>
      <c r="D547" s="13" t="s">
        <v>171</v>
      </c>
      <c r="E547" s="2" t="s">
        <v>1306</v>
      </c>
      <c r="F547" s="2" t="str">
        <f t="shared" si="108"/>
        <v>Email Available</v>
      </c>
      <c r="G547" s="2" t="s">
        <v>1307</v>
      </c>
      <c r="H547" s="2" t="s">
        <v>236</v>
      </c>
      <c r="I547" s="2" t="s">
        <v>237</v>
      </c>
      <c r="J547" s="2" t="s">
        <v>238</v>
      </c>
      <c r="K547" s="2">
        <v>1</v>
      </c>
      <c r="L547" s="2">
        <v>27.99</v>
      </c>
      <c r="M547" s="19">
        <f t="shared" si="109"/>
        <v>27.99</v>
      </c>
      <c r="N547" s="2" t="s">
        <v>38</v>
      </c>
      <c r="O547" s="2" t="str">
        <f t="shared" si="110"/>
        <v>FREESHIP</v>
      </c>
      <c r="P547" s="2">
        <v>0</v>
      </c>
      <c r="Q547" s="19">
        <f t="shared" si="111"/>
        <v>0</v>
      </c>
      <c r="R547" s="2" t="str">
        <f t="shared" si="112"/>
        <v>Number</v>
      </c>
      <c r="S547" s="2">
        <v>0</v>
      </c>
      <c r="T547" s="19">
        <f t="shared" si="113"/>
        <v>0</v>
      </c>
      <c r="U547" s="2">
        <v>27.99</v>
      </c>
      <c r="V547" s="19">
        <f t="shared" si="114"/>
        <v>27.99</v>
      </c>
      <c r="W547" s="19">
        <f t="shared" si="115"/>
        <v>27.99</v>
      </c>
      <c r="X547" s="19" t="str">
        <f t="shared" si="116"/>
        <v>True</v>
      </c>
      <c r="Y547" s="19" t="str">
        <f>IF(OR(W547&lt;'Cleaning Tasks'!$G$18,W547&gt;'Cleaning Tasks'!$H$18),"Outlier","Normal")</f>
        <v>Normal</v>
      </c>
      <c r="Z547" s="2" t="s">
        <v>26</v>
      </c>
      <c r="AA547" s="2" t="s">
        <v>111</v>
      </c>
      <c r="AB547" s="2" t="s">
        <v>50</v>
      </c>
      <c r="AC547" s="2" t="s">
        <v>29</v>
      </c>
      <c r="AD547" s="2" t="s">
        <v>447</v>
      </c>
      <c r="AE547" s="2" t="str">
        <f t="shared" si="117"/>
        <v>Valid</v>
      </c>
      <c r="AF547" s="2" t="s">
        <v>1864</v>
      </c>
    </row>
    <row r="548" spans="1:32" x14ac:dyDescent="0.3">
      <c r="A548" s="2" t="s">
        <v>1865</v>
      </c>
      <c r="B548" s="2">
        <f t="shared" si="107"/>
        <v>1</v>
      </c>
      <c r="C548" s="12">
        <f t="shared" ref="C548:C556" si="120">IF(ISNUMBER(D548),D548,DATEVALUE(SUBSTITUTE(TRIM(D548),CHAR(160)," ")))</f>
        <v>46238</v>
      </c>
      <c r="D548" s="13">
        <v>46238</v>
      </c>
      <c r="E548" s="2" t="s">
        <v>1151</v>
      </c>
      <c r="F548" s="2" t="str">
        <f t="shared" si="108"/>
        <v>Email Available</v>
      </c>
      <c r="G548" s="2" t="s">
        <v>1152</v>
      </c>
      <c r="H548" s="2" t="s">
        <v>63</v>
      </c>
      <c r="I548" s="2" t="s">
        <v>47</v>
      </c>
      <c r="J548" s="2" t="s">
        <v>64</v>
      </c>
      <c r="K548" s="2">
        <v>1</v>
      </c>
      <c r="L548" s="2">
        <v>14.99</v>
      </c>
      <c r="M548" s="19">
        <f t="shared" si="109"/>
        <v>14.99</v>
      </c>
      <c r="N548" s="2"/>
      <c r="O548" s="2" t="str">
        <f t="shared" si="110"/>
        <v/>
      </c>
      <c r="P548" s="2">
        <v>0</v>
      </c>
      <c r="Q548" s="19">
        <f t="shared" si="111"/>
        <v>0</v>
      </c>
      <c r="R548" s="2" t="str">
        <f t="shared" si="112"/>
        <v>Number</v>
      </c>
      <c r="S548" s="2">
        <v>5.99</v>
      </c>
      <c r="T548" s="19">
        <f t="shared" si="113"/>
        <v>5.99</v>
      </c>
      <c r="U548" s="2">
        <v>20.98</v>
      </c>
      <c r="V548" s="19">
        <f t="shared" si="114"/>
        <v>20.98</v>
      </c>
      <c r="W548" s="19">
        <f t="shared" si="115"/>
        <v>20.98</v>
      </c>
      <c r="X548" s="19" t="str">
        <f t="shared" si="116"/>
        <v>True</v>
      </c>
      <c r="Y548" s="19" t="str">
        <f>IF(OR(W548&lt;'Cleaning Tasks'!$G$18,W548&gt;'Cleaning Tasks'!$H$18),"Outlier","Normal")</f>
        <v>Normal</v>
      </c>
      <c r="Z548" s="2" t="s">
        <v>66</v>
      </c>
      <c r="AA548" s="2" t="s">
        <v>111</v>
      </c>
      <c r="AB548" s="2" t="s">
        <v>50</v>
      </c>
      <c r="AC548" s="2" t="s">
        <v>29</v>
      </c>
      <c r="AD548" s="2" t="s">
        <v>58</v>
      </c>
      <c r="AE548" s="2" t="str">
        <f t="shared" si="117"/>
        <v>Valid</v>
      </c>
      <c r="AF548" s="2" t="s">
        <v>1866</v>
      </c>
    </row>
    <row r="549" spans="1:32" x14ac:dyDescent="0.3">
      <c r="A549" s="2" t="s">
        <v>1867</v>
      </c>
      <c r="B549" s="2">
        <f t="shared" si="107"/>
        <v>1</v>
      </c>
      <c r="C549" s="12">
        <f t="shared" si="120"/>
        <v>46238</v>
      </c>
      <c r="D549" s="13" t="s">
        <v>1716</v>
      </c>
      <c r="E549" s="2" t="s">
        <v>1177</v>
      </c>
      <c r="F549" s="2" t="str">
        <f t="shared" si="108"/>
        <v>Email Available</v>
      </c>
      <c r="G549" s="2" t="s">
        <v>1178</v>
      </c>
      <c r="H549" s="2" t="s">
        <v>279</v>
      </c>
      <c r="I549" s="2" t="s">
        <v>22</v>
      </c>
      <c r="J549" s="2" t="s">
        <v>280</v>
      </c>
      <c r="K549" s="2">
        <v>2</v>
      </c>
      <c r="L549" s="2">
        <v>24.99</v>
      </c>
      <c r="M549" s="19">
        <f t="shared" si="109"/>
        <v>24.99</v>
      </c>
      <c r="N549" s="2" t="s">
        <v>24</v>
      </c>
      <c r="O549" s="2" t="str">
        <f t="shared" si="110"/>
        <v>SAVE20</v>
      </c>
      <c r="P549" s="2">
        <v>10</v>
      </c>
      <c r="Q549" s="19">
        <f t="shared" si="111"/>
        <v>10</v>
      </c>
      <c r="R549" s="2" t="str">
        <f t="shared" si="112"/>
        <v>Number</v>
      </c>
      <c r="S549" s="2">
        <v>5.99</v>
      </c>
      <c r="T549" s="19">
        <f t="shared" si="113"/>
        <v>5.99</v>
      </c>
      <c r="U549" s="2">
        <v>45.97</v>
      </c>
      <c r="V549" s="19">
        <f t="shared" si="114"/>
        <v>45.97</v>
      </c>
      <c r="W549" s="19">
        <f t="shared" si="115"/>
        <v>45.97</v>
      </c>
      <c r="X549" s="19" t="str">
        <f t="shared" si="116"/>
        <v>True</v>
      </c>
      <c r="Y549" s="19" t="str">
        <f>IF(OR(W549&lt;'Cleaning Tasks'!$G$18,W549&gt;'Cleaning Tasks'!$H$18),"Outlier","Normal")</f>
        <v>Normal</v>
      </c>
      <c r="Z549" s="2" t="s">
        <v>49</v>
      </c>
      <c r="AA549" s="2" t="s">
        <v>27</v>
      </c>
      <c r="AB549" s="2" t="s">
        <v>41</v>
      </c>
      <c r="AC549" s="2" t="s">
        <v>29</v>
      </c>
      <c r="AD549" s="2" t="s">
        <v>447</v>
      </c>
      <c r="AE549" s="2" t="str">
        <f t="shared" si="117"/>
        <v>Valid</v>
      </c>
      <c r="AF549" s="2" t="s">
        <v>1868</v>
      </c>
    </row>
    <row r="550" spans="1:32" x14ac:dyDescent="0.3">
      <c r="A550" s="2" t="s">
        <v>1869</v>
      </c>
      <c r="B550" s="2">
        <f t="shared" si="107"/>
        <v>1</v>
      </c>
      <c r="C550" s="12">
        <f t="shared" si="120"/>
        <v>46238.582825277779</v>
      </c>
      <c r="D550" s="13">
        <v>46238.582825277779</v>
      </c>
      <c r="E550" s="2" t="s">
        <v>1870</v>
      </c>
      <c r="F550" s="2" t="str">
        <f t="shared" si="108"/>
        <v>Email Available</v>
      </c>
      <c r="G550" s="2" t="s">
        <v>1871</v>
      </c>
      <c r="H550" s="2" t="s">
        <v>109</v>
      </c>
      <c r="I550" s="2" t="s">
        <v>79</v>
      </c>
      <c r="J550" s="2" t="s">
        <v>110</v>
      </c>
      <c r="K550" s="2">
        <v>1</v>
      </c>
      <c r="L550" s="2">
        <v>22.99</v>
      </c>
      <c r="M550" s="19">
        <f t="shared" si="109"/>
        <v>22.99</v>
      </c>
      <c r="N550" s="2" t="s">
        <v>38</v>
      </c>
      <c r="O550" s="2" t="str">
        <f t="shared" si="110"/>
        <v>FREESHIP</v>
      </c>
      <c r="P550" s="2">
        <v>0</v>
      </c>
      <c r="Q550" s="19">
        <f t="shared" si="111"/>
        <v>0</v>
      </c>
      <c r="R550" s="2" t="str">
        <f t="shared" si="112"/>
        <v>Number</v>
      </c>
      <c r="S550" s="2">
        <v>0</v>
      </c>
      <c r="T550" s="19">
        <f t="shared" si="113"/>
        <v>0</v>
      </c>
      <c r="U550" s="2">
        <v>22.99</v>
      </c>
      <c r="V550" s="19">
        <f t="shared" si="114"/>
        <v>22.99</v>
      </c>
      <c r="W550" s="19">
        <f t="shared" si="115"/>
        <v>22.99</v>
      </c>
      <c r="X550" s="19" t="str">
        <f t="shared" si="116"/>
        <v>True</v>
      </c>
      <c r="Y550" s="19" t="str">
        <f>IF(OR(W550&lt;'Cleaning Tasks'!$G$18,W550&gt;'Cleaning Tasks'!$H$18),"Outlier","Normal")</f>
        <v>Normal</v>
      </c>
      <c r="Z550" s="2" t="s">
        <v>72</v>
      </c>
      <c r="AA550" s="2" t="s">
        <v>27</v>
      </c>
      <c r="AB550" s="2" t="s">
        <v>28</v>
      </c>
      <c r="AC550" s="2" t="s">
        <v>73</v>
      </c>
      <c r="AD550" s="2"/>
      <c r="AE550" s="2" t="str">
        <f t="shared" si="117"/>
        <v>Not Required</v>
      </c>
      <c r="AF550" s="2" t="s">
        <v>1872</v>
      </c>
    </row>
    <row r="551" spans="1:32" x14ac:dyDescent="0.3">
      <c r="A551" s="2" t="s">
        <v>1873</v>
      </c>
      <c r="B551" s="2">
        <f t="shared" si="107"/>
        <v>1</v>
      </c>
      <c r="C551" s="12">
        <f t="shared" si="120"/>
        <v>46238.581254502307</v>
      </c>
      <c r="D551" s="13">
        <v>46238.581254502307</v>
      </c>
      <c r="E551" s="2" t="s">
        <v>1874</v>
      </c>
      <c r="F551" s="2" t="str">
        <f t="shared" si="108"/>
        <v>Email Available</v>
      </c>
      <c r="G551" s="2" t="s">
        <v>1875</v>
      </c>
      <c r="H551" s="2" t="s">
        <v>236</v>
      </c>
      <c r="I551" s="2" t="s">
        <v>237</v>
      </c>
      <c r="J551" s="2" t="s">
        <v>238</v>
      </c>
      <c r="K551" s="2">
        <v>1</v>
      </c>
      <c r="L551" s="2">
        <v>27.99</v>
      </c>
      <c r="M551" s="19">
        <f t="shared" si="109"/>
        <v>27.99</v>
      </c>
      <c r="N551" s="2" t="s">
        <v>118</v>
      </c>
      <c r="O551" s="2" t="str">
        <f t="shared" si="110"/>
        <v>BFCM25</v>
      </c>
      <c r="P551" s="2">
        <v>7</v>
      </c>
      <c r="Q551" s="19">
        <f t="shared" si="111"/>
        <v>7</v>
      </c>
      <c r="R551" s="2" t="str">
        <f t="shared" si="112"/>
        <v>Number</v>
      </c>
      <c r="S551" s="2">
        <v>5.99</v>
      </c>
      <c r="T551" s="19">
        <f t="shared" si="113"/>
        <v>5.99</v>
      </c>
      <c r="U551" s="2">
        <v>26.98</v>
      </c>
      <c r="V551" s="19">
        <f t="shared" si="114"/>
        <v>26.98</v>
      </c>
      <c r="W551" s="19">
        <f t="shared" si="115"/>
        <v>26.979999999999997</v>
      </c>
      <c r="X551" s="19" t="str">
        <f t="shared" si="116"/>
        <v>True</v>
      </c>
      <c r="Y551" s="19" t="str">
        <f>IF(OR(W551&lt;'Cleaning Tasks'!$G$18,W551&gt;'Cleaning Tasks'!$H$18),"Outlier","Normal")</f>
        <v>Normal</v>
      </c>
      <c r="Z551" s="2" t="s">
        <v>66</v>
      </c>
      <c r="AA551" s="2" t="s">
        <v>88</v>
      </c>
      <c r="AB551" s="2" t="s">
        <v>28</v>
      </c>
      <c r="AC551" s="2" t="s">
        <v>105</v>
      </c>
      <c r="AD551" s="2"/>
      <c r="AE551" s="2" t="str">
        <f t="shared" si="117"/>
        <v>Not Required</v>
      </c>
      <c r="AF551" s="2" t="s">
        <v>1876</v>
      </c>
    </row>
    <row r="552" spans="1:32" x14ac:dyDescent="0.3">
      <c r="A552" s="2" t="s">
        <v>1877</v>
      </c>
      <c r="B552" s="2">
        <f t="shared" si="107"/>
        <v>1</v>
      </c>
      <c r="C552" s="12">
        <f t="shared" si="120"/>
        <v>46238.582691990741</v>
      </c>
      <c r="D552" s="13">
        <v>46238.582691990741</v>
      </c>
      <c r="E552" s="2" t="s">
        <v>677</v>
      </c>
      <c r="F552" s="2" t="str">
        <f t="shared" si="108"/>
        <v>Email Available</v>
      </c>
      <c r="G552" s="2" t="s">
        <v>478</v>
      </c>
      <c r="H552" s="2" t="s">
        <v>109</v>
      </c>
      <c r="I552" s="2" t="s">
        <v>79</v>
      </c>
      <c r="J552" s="2" t="s">
        <v>110</v>
      </c>
      <c r="K552" s="2">
        <v>1</v>
      </c>
      <c r="L552" s="2">
        <v>22.99</v>
      </c>
      <c r="M552" s="19">
        <f t="shared" si="109"/>
        <v>22.99</v>
      </c>
      <c r="N552" s="2" t="s">
        <v>24</v>
      </c>
      <c r="O552" s="2" t="str">
        <f t="shared" si="110"/>
        <v>SAVE20</v>
      </c>
      <c r="P552" s="2">
        <v>4.5999999999999996</v>
      </c>
      <c r="Q552" s="19">
        <f t="shared" si="111"/>
        <v>4.5999999999999996</v>
      </c>
      <c r="R552" s="2" t="str">
        <f t="shared" si="112"/>
        <v>Number</v>
      </c>
      <c r="S552" s="2">
        <v>4.99</v>
      </c>
      <c r="T552" s="19">
        <f t="shared" si="113"/>
        <v>4.99</v>
      </c>
      <c r="U552" s="2" t="s">
        <v>1878</v>
      </c>
      <c r="V552" s="19">
        <f t="shared" si="114"/>
        <v>23.38</v>
      </c>
      <c r="W552" s="19">
        <f t="shared" si="115"/>
        <v>23.380000000000003</v>
      </c>
      <c r="X552" s="19" t="str">
        <f t="shared" si="116"/>
        <v>True</v>
      </c>
      <c r="Y552" s="19" t="str">
        <f>IF(OR(W552&lt;'Cleaning Tasks'!$G$18,W552&gt;'Cleaning Tasks'!$H$18),"Outlier","Normal")</f>
        <v>Normal</v>
      </c>
      <c r="Z552" s="2" t="s">
        <v>66</v>
      </c>
      <c r="AA552" s="2" t="s">
        <v>27</v>
      </c>
      <c r="AB552" s="2" t="s">
        <v>50</v>
      </c>
      <c r="AC552" s="2" t="s">
        <v>29</v>
      </c>
      <c r="AD552" s="2" t="s">
        <v>341</v>
      </c>
      <c r="AE552" s="2" t="str">
        <f t="shared" si="117"/>
        <v>Valid</v>
      </c>
      <c r="AF552" s="2" t="s">
        <v>1879</v>
      </c>
    </row>
    <row r="553" spans="1:32" x14ac:dyDescent="0.3">
      <c r="A553" s="2" t="s">
        <v>1880</v>
      </c>
      <c r="B553" s="2">
        <f t="shared" si="107"/>
        <v>1</v>
      </c>
      <c r="C553" s="12">
        <f t="shared" si="120"/>
        <v>46238.582437013887</v>
      </c>
      <c r="D553" s="13">
        <v>46238.582437013887</v>
      </c>
      <c r="E553" s="2" t="s">
        <v>339</v>
      </c>
      <c r="F553" s="2" t="str">
        <f t="shared" si="108"/>
        <v>Email Available</v>
      </c>
      <c r="G553" s="2" t="s">
        <v>445</v>
      </c>
      <c r="H553" s="2" t="s">
        <v>46</v>
      </c>
      <c r="I553" s="2" t="s">
        <v>47</v>
      </c>
      <c r="J553" s="2" t="s">
        <v>48</v>
      </c>
      <c r="K553" s="2">
        <v>1</v>
      </c>
      <c r="L553" s="2">
        <v>39.99</v>
      </c>
      <c r="M553" s="19">
        <f t="shared" si="109"/>
        <v>39.99</v>
      </c>
      <c r="N553" s="2" t="s">
        <v>118</v>
      </c>
      <c r="O553" s="2" t="str">
        <f t="shared" si="110"/>
        <v>BFCM25</v>
      </c>
      <c r="P553" s="2">
        <v>10</v>
      </c>
      <c r="Q553" s="19">
        <f t="shared" si="111"/>
        <v>10</v>
      </c>
      <c r="R553" s="2" t="str">
        <f t="shared" si="112"/>
        <v>Number</v>
      </c>
      <c r="S553" s="2">
        <v>4.99</v>
      </c>
      <c r="T553" s="19">
        <f t="shared" si="113"/>
        <v>4.99</v>
      </c>
      <c r="U553" s="2">
        <v>34.979999999999997</v>
      </c>
      <c r="V553" s="19">
        <f t="shared" si="114"/>
        <v>34.979999999999997</v>
      </c>
      <c r="W553" s="19">
        <f t="shared" si="115"/>
        <v>34.980000000000004</v>
      </c>
      <c r="X553" s="19" t="str">
        <f t="shared" si="116"/>
        <v>True</v>
      </c>
      <c r="Y553" s="19" t="str">
        <f>IF(OR(W553&lt;'Cleaning Tasks'!$G$18,W553&gt;'Cleaning Tasks'!$H$18),"Outlier","Normal")</f>
        <v>Normal</v>
      </c>
      <c r="Z553" s="2" t="s">
        <v>49</v>
      </c>
      <c r="AA553" s="2" t="s">
        <v>40</v>
      </c>
      <c r="AB553" s="2" t="s">
        <v>28</v>
      </c>
      <c r="AC553" s="2" t="s">
        <v>29</v>
      </c>
      <c r="AD553" s="2" t="s">
        <v>447</v>
      </c>
      <c r="AE553" s="2" t="str">
        <f t="shared" si="117"/>
        <v>Valid</v>
      </c>
      <c r="AF553" s="2" t="s">
        <v>1881</v>
      </c>
    </row>
    <row r="554" spans="1:32" x14ac:dyDescent="0.3">
      <c r="A554" s="2" t="s">
        <v>1882</v>
      </c>
      <c r="B554" s="2">
        <f t="shared" si="107"/>
        <v>1</v>
      </c>
      <c r="C554" s="12">
        <f t="shared" si="120"/>
        <v>46238.582578043977</v>
      </c>
      <c r="D554" s="13">
        <v>46238.582578043977</v>
      </c>
      <c r="E554" s="2" t="s">
        <v>1883</v>
      </c>
      <c r="F554" s="2" t="str">
        <f t="shared" si="108"/>
        <v>Email Available</v>
      </c>
      <c r="G554" s="2" t="s">
        <v>614</v>
      </c>
      <c r="H554" s="2" t="s">
        <v>56</v>
      </c>
      <c r="I554" s="2" t="s">
        <v>22</v>
      </c>
      <c r="J554" s="2" t="s">
        <v>57</v>
      </c>
      <c r="K554" s="2">
        <v>1</v>
      </c>
      <c r="L554" s="2">
        <v>9.99</v>
      </c>
      <c r="M554" s="19">
        <f t="shared" si="109"/>
        <v>9.99</v>
      </c>
      <c r="N554" s="2"/>
      <c r="O554" s="2" t="str">
        <f t="shared" si="110"/>
        <v/>
      </c>
      <c r="P554" s="2">
        <v>0</v>
      </c>
      <c r="Q554" s="19">
        <f t="shared" si="111"/>
        <v>0</v>
      </c>
      <c r="R554" s="2" t="str">
        <f t="shared" si="112"/>
        <v>Number</v>
      </c>
      <c r="S554" s="2">
        <v>7.99</v>
      </c>
      <c r="T554" s="19">
        <f t="shared" si="113"/>
        <v>7.99</v>
      </c>
      <c r="U554" s="2">
        <v>17.98</v>
      </c>
      <c r="V554" s="19">
        <f t="shared" si="114"/>
        <v>17.98</v>
      </c>
      <c r="W554" s="19">
        <f t="shared" si="115"/>
        <v>17.98</v>
      </c>
      <c r="X554" s="19" t="str">
        <f t="shared" si="116"/>
        <v>True</v>
      </c>
      <c r="Y554" s="19" t="str">
        <f>IF(OR(W554&lt;'Cleaning Tasks'!$G$18,W554&gt;'Cleaning Tasks'!$H$18),"Outlier","Normal")</f>
        <v>Normal</v>
      </c>
      <c r="Z554" s="2" t="s">
        <v>72</v>
      </c>
      <c r="AA554" s="2" t="s">
        <v>27</v>
      </c>
      <c r="AB554" s="2" t="s">
        <v>50</v>
      </c>
      <c r="AC554" s="2" t="s">
        <v>29</v>
      </c>
      <c r="AD554" s="2" t="s">
        <v>140</v>
      </c>
      <c r="AE554" s="2" t="str">
        <f t="shared" si="117"/>
        <v>Valid</v>
      </c>
      <c r="AF554" s="2" t="s">
        <v>1884</v>
      </c>
    </row>
    <row r="555" spans="1:32" x14ac:dyDescent="0.3">
      <c r="A555" s="2" t="s">
        <v>1885</v>
      </c>
      <c r="B555" s="2">
        <f t="shared" si="107"/>
        <v>1</v>
      </c>
      <c r="C555" s="12">
        <f t="shared" si="120"/>
        <v>46238.587042569437</v>
      </c>
      <c r="D555" s="13">
        <v>46238.587042569437</v>
      </c>
      <c r="E555" s="2" t="s">
        <v>1886</v>
      </c>
      <c r="F555" s="2" t="str">
        <f t="shared" si="108"/>
        <v>Email Available</v>
      </c>
      <c r="G555" s="2" t="s">
        <v>1887</v>
      </c>
      <c r="H555" s="2" t="s">
        <v>221</v>
      </c>
      <c r="I555" s="2" t="s">
        <v>22</v>
      </c>
      <c r="J555" s="2" t="s">
        <v>222</v>
      </c>
      <c r="K555" s="2">
        <v>2</v>
      </c>
      <c r="L555" s="2">
        <v>17.989999999999998</v>
      </c>
      <c r="M555" s="19">
        <f t="shared" si="109"/>
        <v>17.989999999999998</v>
      </c>
      <c r="N555" s="2" t="s">
        <v>24</v>
      </c>
      <c r="O555" s="2" t="str">
        <f t="shared" si="110"/>
        <v>SAVE20</v>
      </c>
      <c r="P555" s="2">
        <v>7.2</v>
      </c>
      <c r="Q555" s="19">
        <f t="shared" si="111"/>
        <v>7.2</v>
      </c>
      <c r="R555" s="2" t="str">
        <f t="shared" si="112"/>
        <v>Number</v>
      </c>
      <c r="S555" s="2">
        <v>5.99</v>
      </c>
      <c r="T555" s="19">
        <f t="shared" si="113"/>
        <v>5.99</v>
      </c>
      <c r="U555" s="2">
        <v>34.770000000000003</v>
      </c>
      <c r="V555" s="19">
        <f t="shared" si="114"/>
        <v>34.770000000000003</v>
      </c>
      <c r="W555" s="19">
        <f t="shared" si="115"/>
        <v>34.769999999999996</v>
      </c>
      <c r="X555" s="19" t="str">
        <f t="shared" si="116"/>
        <v>True</v>
      </c>
      <c r="Y555" s="19" t="str">
        <f>IF(OR(W555&lt;'Cleaning Tasks'!$G$18,W555&gt;'Cleaning Tasks'!$H$18),"Outlier","Normal")</f>
        <v>Normal</v>
      </c>
      <c r="Z555" s="2" t="s">
        <v>39</v>
      </c>
      <c r="AA555" s="2" t="s">
        <v>88</v>
      </c>
      <c r="AB555" s="2" t="s">
        <v>50</v>
      </c>
      <c r="AC555" s="2" t="s">
        <v>223</v>
      </c>
      <c r="AD555" s="2"/>
      <c r="AE555" s="2" t="str">
        <f t="shared" si="117"/>
        <v>Not Required</v>
      </c>
      <c r="AF555" s="2" t="s">
        <v>1737</v>
      </c>
    </row>
    <row r="556" spans="1:32" x14ac:dyDescent="0.3">
      <c r="A556" s="2" t="s">
        <v>1888</v>
      </c>
      <c r="B556" s="2">
        <f t="shared" si="107"/>
        <v>1</v>
      </c>
      <c r="C556" s="12">
        <f t="shared" si="120"/>
        <v>46238.589004791669</v>
      </c>
      <c r="D556" s="13">
        <v>46238.589004791669</v>
      </c>
      <c r="E556" s="2" t="s">
        <v>1874</v>
      </c>
      <c r="F556" s="2" t="str">
        <f t="shared" si="108"/>
        <v>Email Available</v>
      </c>
      <c r="G556" s="2" t="s">
        <v>1875</v>
      </c>
      <c r="H556" s="2" t="s">
        <v>124</v>
      </c>
      <c r="I556" s="2" t="s">
        <v>79</v>
      </c>
      <c r="J556" s="2" t="s">
        <v>125</v>
      </c>
      <c r="K556" s="2">
        <v>2</v>
      </c>
      <c r="L556" s="2">
        <v>13.99</v>
      </c>
      <c r="M556" s="19">
        <f t="shared" si="109"/>
        <v>13.99</v>
      </c>
      <c r="N556" s="2"/>
      <c r="O556" s="2" t="str">
        <f t="shared" si="110"/>
        <v/>
      </c>
      <c r="P556" s="2">
        <v>0</v>
      </c>
      <c r="Q556" s="19">
        <f t="shared" si="111"/>
        <v>0</v>
      </c>
      <c r="R556" s="2" t="str">
        <f t="shared" si="112"/>
        <v>Number</v>
      </c>
      <c r="S556" s="2">
        <v>5.99</v>
      </c>
      <c r="T556" s="19">
        <f t="shared" si="113"/>
        <v>5.99</v>
      </c>
      <c r="U556" s="2" t="s">
        <v>1889</v>
      </c>
      <c r="V556" s="19">
        <f t="shared" si="114"/>
        <v>33.97</v>
      </c>
      <c r="W556" s="19">
        <f t="shared" si="115"/>
        <v>33.97</v>
      </c>
      <c r="X556" s="19" t="str">
        <f t="shared" si="116"/>
        <v>True</v>
      </c>
      <c r="Y556" s="19" t="str">
        <f>IF(OR(W556&lt;'Cleaning Tasks'!$G$18,W556&gt;'Cleaning Tasks'!$H$18),"Outlier","Normal")</f>
        <v>Normal</v>
      </c>
      <c r="Z556" s="2" t="s">
        <v>66</v>
      </c>
      <c r="AA556" s="2" t="s">
        <v>27</v>
      </c>
      <c r="AB556" s="2" t="s">
        <v>28</v>
      </c>
      <c r="AC556" s="2" t="s">
        <v>105</v>
      </c>
      <c r="AD556" s="2"/>
      <c r="AE556" s="2" t="str">
        <f t="shared" si="117"/>
        <v>Not Required</v>
      </c>
      <c r="AF556" s="2" t="s">
        <v>1890</v>
      </c>
    </row>
    <row r="557" spans="1:32" x14ac:dyDescent="0.3">
      <c r="A557" s="2" t="s">
        <v>1891</v>
      </c>
      <c r="B557" s="2">
        <f t="shared" si="107"/>
        <v>1</v>
      </c>
      <c r="C557" s="12">
        <f>DATE(VALUE(RIGHT(D557,4)),MATCH(LEFT(D557,3),{"Jan","Feb","Mar","Apr","May","Jun","Jul","Aug","Sep","Oct","Nov","Dec"},0),VALUE(MID(D557,5,2)))</f>
        <v>46238</v>
      </c>
      <c r="D557" s="13" t="s">
        <v>171</v>
      </c>
      <c r="E557" s="2" t="s">
        <v>325</v>
      </c>
      <c r="F557" s="2" t="str">
        <f t="shared" si="108"/>
        <v>Email Available</v>
      </c>
      <c r="G557" s="2" t="s">
        <v>326</v>
      </c>
      <c r="H557" s="2" t="s">
        <v>117</v>
      </c>
      <c r="I557" s="2" t="s">
        <v>22</v>
      </c>
      <c r="J557" s="2" t="s">
        <v>23</v>
      </c>
      <c r="K557" s="2">
        <v>1</v>
      </c>
      <c r="L557" s="2">
        <v>12.99</v>
      </c>
      <c r="M557" s="19">
        <f t="shared" si="109"/>
        <v>12.99</v>
      </c>
      <c r="N557" s="2"/>
      <c r="O557" s="2" t="str">
        <f t="shared" si="110"/>
        <v/>
      </c>
      <c r="P557" s="2">
        <v>0</v>
      </c>
      <c r="Q557" s="19">
        <f t="shared" si="111"/>
        <v>0</v>
      </c>
      <c r="R557" s="2" t="str">
        <f t="shared" si="112"/>
        <v>Number</v>
      </c>
      <c r="S557" s="2">
        <v>7.99</v>
      </c>
      <c r="T557" s="19">
        <f t="shared" si="113"/>
        <v>7.99</v>
      </c>
      <c r="U557" s="2">
        <v>20.98</v>
      </c>
      <c r="V557" s="19">
        <f t="shared" si="114"/>
        <v>20.98</v>
      </c>
      <c r="W557" s="19">
        <f t="shared" si="115"/>
        <v>20.98</v>
      </c>
      <c r="X557" s="19" t="str">
        <f t="shared" si="116"/>
        <v>True</v>
      </c>
      <c r="Y557" s="19" t="str">
        <f>IF(OR(W557&lt;'Cleaning Tasks'!$G$18,W557&gt;'Cleaning Tasks'!$H$18),"Outlier","Normal")</f>
        <v>Normal</v>
      </c>
      <c r="Z557" s="2" t="s">
        <v>66</v>
      </c>
      <c r="AA557" s="2" t="s">
        <v>111</v>
      </c>
      <c r="AB557" s="2" t="s">
        <v>50</v>
      </c>
      <c r="AC557" s="2" t="s">
        <v>29</v>
      </c>
      <c r="AD557" s="2" t="s">
        <v>341</v>
      </c>
      <c r="AE557" s="2" t="str">
        <f t="shared" si="117"/>
        <v>Valid</v>
      </c>
      <c r="AF557" s="2" t="s">
        <v>1892</v>
      </c>
    </row>
    <row r="558" spans="1:32" x14ac:dyDescent="0.3">
      <c r="A558" s="2" t="s">
        <v>1893</v>
      </c>
      <c r="B558" s="2">
        <f t="shared" si="107"/>
        <v>1</v>
      </c>
      <c r="C558" s="12">
        <f t="shared" ref="C558:C578" si="121">IF(ISNUMBER(D558),D558,DATEVALUE(SUBSTITUTE(TRIM(D558),CHAR(160)," ")))</f>
        <v>46238.589167893508</v>
      </c>
      <c r="D558" s="13">
        <v>46238.589167893508</v>
      </c>
      <c r="E558" s="2" t="s">
        <v>939</v>
      </c>
      <c r="F558" s="2" t="str">
        <f t="shared" si="108"/>
        <v>Email Available</v>
      </c>
      <c r="G558" s="2" t="s">
        <v>940</v>
      </c>
      <c r="H558" s="2" t="s">
        <v>152</v>
      </c>
      <c r="I558" s="2" t="s">
        <v>36</v>
      </c>
      <c r="J558" s="2" t="s">
        <v>153</v>
      </c>
      <c r="K558" s="2">
        <v>1</v>
      </c>
      <c r="L558" s="2">
        <v>29.99</v>
      </c>
      <c r="M558" s="19">
        <f t="shared" si="109"/>
        <v>29.99</v>
      </c>
      <c r="N558" s="2" t="s">
        <v>24</v>
      </c>
      <c r="O558" s="2" t="str">
        <f t="shared" si="110"/>
        <v>SAVE20</v>
      </c>
      <c r="P558" s="2">
        <v>6</v>
      </c>
      <c r="Q558" s="19">
        <f t="shared" si="111"/>
        <v>6</v>
      </c>
      <c r="R558" s="2" t="str">
        <f t="shared" si="112"/>
        <v>Number</v>
      </c>
      <c r="S558" s="2">
        <v>5.99</v>
      </c>
      <c r="T558" s="19">
        <f t="shared" si="113"/>
        <v>5.99</v>
      </c>
      <c r="U558" s="2">
        <v>29.98</v>
      </c>
      <c r="V558" s="19">
        <f t="shared" si="114"/>
        <v>29.98</v>
      </c>
      <c r="W558" s="19">
        <f t="shared" si="115"/>
        <v>29.979999999999997</v>
      </c>
      <c r="X558" s="19" t="str">
        <f t="shared" si="116"/>
        <v>True</v>
      </c>
      <c r="Y558" s="19" t="str">
        <f>IF(OR(W558&lt;'Cleaning Tasks'!$G$18,W558&gt;'Cleaning Tasks'!$H$18),"Outlier","Normal")</f>
        <v>Normal</v>
      </c>
      <c r="Z558" s="2" t="s">
        <v>49</v>
      </c>
      <c r="AA558" s="2" t="s">
        <v>27</v>
      </c>
      <c r="AB558" s="2" t="s">
        <v>50</v>
      </c>
      <c r="AC558" s="2" t="s">
        <v>29</v>
      </c>
      <c r="AD558" s="2" t="s">
        <v>51</v>
      </c>
      <c r="AE558" s="2" t="str">
        <f t="shared" si="117"/>
        <v>Valid</v>
      </c>
      <c r="AF558" s="2" t="s">
        <v>1894</v>
      </c>
    </row>
    <row r="559" spans="1:32" x14ac:dyDescent="0.3">
      <c r="A559" s="2" t="s">
        <v>1895</v>
      </c>
      <c r="B559" s="2">
        <f t="shared" si="107"/>
        <v>1</v>
      </c>
      <c r="C559" s="12">
        <f t="shared" si="121"/>
        <v>46238.580700162027</v>
      </c>
      <c r="D559" s="13">
        <v>46238.580700162027</v>
      </c>
      <c r="E559" s="2" t="s">
        <v>1744</v>
      </c>
      <c r="F559" s="2" t="str">
        <f t="shared" si="108"/>
        <v>Email Available</v>
      </c>
      <c r="G559" s="2" t="s">
        <v>1745</v>
      </c>
      <c r="H559" s="2" t="s">
        <v>361</v>
      </c>
      <c r="I559" s="2" t="s">
        <v>86</v>
      </c>
      <c r="J559" s="2" t="s">
        <v>362</v>
      </c>
      <c r="K559" s="2">
        <v>1</v>
      </c>
      <c r="L559" s="2">
        <v>54.99</v>
      </c>
      <c r="M559" s="19">
        <f t="shared" si="109"/>
        <v>54.99</v>
      </c>
      <c r="N559" s="2" t="s">
        <v>203</v>
      </c>
      <c r="O559" s="2" t="str">
        <f t="shared" si="110"/>
        <v>VIP15</v>
      </c>
      <c r="P559" s="2">
        <v>8.25</v>
      </c>
      <c r="Q559" s="19">
        <f t="shared" si="111"/>
        <v>8.25</v>
      </c>
      <c r="R559" s="2" t="str">
        <f t="shared" si="112"/>
        <v>Number</v>
      </c>
      <c r="S559" s="2">
        <v>5.99</v>
      </c>
      <c r="T559" s="19">
        <f t="shared" si="113"/>
        <v>5.99</v>
      </c>
      <c r="U559" s="2">
        <v>52.73</v>
      </c>
      <c r="V559" s="19">
        <f t="shared" si="114"/>
        <v>52.73</v>
      </c>
      <c r="W559" s="19">
        <f t="shared" si="115"/>
        <v>52.730000000000004</v>
      </c>
      <c r="X559" s="19" t="str">
        <f t="shared" si="116"/>
        <v>True</v>
      </c>
      <c r="Y559" s="19" t="str">
        <f>IF(OR(W559&lt;'Cleaning Tasks'!$G$18,W559&gt;'Cleaning Tasks'!$H$18),"Outlier","Normal")</f>
        <v>Normal</v>
      </c>
      <c r="Z559" s="2" t="s">
        <v>49</v>
      </c>
      <c r="AA559" s="2" t="s">
        <v>27</v>
      </c>
      <c r="AB559" s="2" t="s">
        <v>50</v>
      </c>
      <c r="AC559" s="2" t="s">
        <v>29</v>
      </c>
      <c r="AD559" s="2" t="s">
        <v>30</v>
      </c>
      <c r="AE559" s="2" t="str">
        <f t="shared" si="117"/>
        <v>Valid</v>
      </c>
      <c r="AF559" s="2" t="s">
        <v>1896</v>
      </c>
    </row>
    <row r="560" spans="1:32" x14ac:dyDescent="0.3">
      <c r="A560" s="2" t="s">
        <v>1897</v>
      </c>
      <c r="B560" s="2">
        <f t="shared" si="107"/>
        <v>1</v>
      </c>
      <c r="C560" s="12">
        <f t="shared" si="121"/>
        <v>46238.588685856477</v>
      </c>
      <c r="D560" s="13">
        <v>46238.588685856477</v>
      </c>
      <c r="E560" s="2" t="s">
        <v>654</v>
      </c>
      <c r="F560" s="2" t="str">
        <f t="shared" si="108"/>
        <v>Email Available</v>
      </c>
      <c r="G560" s="2" t="s">
        <v>655</v>
      </c>
      <c r="H560" s="2" t="s">
        <v>63</v>
      </c>
      <c r="I560" s="2" t="s">
        <v>47</v>
      </c>
      <c r="J560" s="2" t="s">
        <v>64</v>
      </c>
      <c r="K560" s="2">
        <v>1</v>
      </c>
      <c r="L560" s="2">
        <v>14.99</v>
      </c>
      <c r="M560" s="19">
        <f t="shared" si="109"/>
        <v>14.99</v>
      </c>
      <c r="N560" s="2" t="s">
        <v>24</v>
      </c>
      <c r="O560" s="2" t="str">
        <f t="shared" si="110"/>
        <v>SAVE20</v>
      </c>
      <c r="P560" s="2">
        <v>3</v>
      </c>
      <c r="Q560" s="19">
        <f t="shared" si="111"/>
        <v>3</v>
      </c>
      <c r="R560" s="2" t="str">
        <f t="shared" si="112"/>
        <v>Number</v>
      </c>
      <c r="S560" s="2">
        <v>7.99</v>
      </c>
      <c r="T560" s="19">
        <f t="shared" si="113"/>
        <v>7.99</v>
      </c>
      <c r="U560" s="2">
        <v>19.98</v>
      </c>
      <c r="V560" s="19">
        <f t="shared" si="114"/>
        <v>19.98</v>
      </c>
      <c r="W560" s="19">
        <f t="shared" si="115"/>
        <v>19.98</v>
      </c>
      <c r="X560" s="19" t="str">
        <f t="shared" si="116"/>
        <v>True</v>
      </c>
      <c r="Y560" s="19" t="str">
        <f>IF(OR(W560&lt;'Cleaning Tasks'!$G$18,W560&gt;'Cleaning Tasks'!$H$18),"Outlier","Normal")</f>
        <v>Normal</v>
      </c>
      <c r="Z560" s="2" t="s">
        <v>49</v>
      </c>
      <c r="AA560" s="2" t="s">
        <v>27</v>
      </c>
      <c r="AB560" s="2" t="s">
        <v>50</v>
      </c>
      <c r="AC560" s="2" t="s">
        <v>29</v>
      </c>
      <c r="AD560" s="2" t="s">
        <v>243</v>
      </c>
      <c r="AE560" s="2" t="str">
        <f t="shared" si="117"/>
        <v>Valid</v>
      </c>
      <c r="AF560" s="2" t="s">
        <v>1898</v>
      </c>
    </row>
    <row r="561" spans="1:32" x14ac:dyDescent="0.3">
      <c r="A561" s="2" t="s">
        <v>1899</v>
      </c>
      <c r="B561" s="2">
        <f t="shared" si="107"/>
        <v>1</v>
      </c>
      <c r="C561" s="12">
        <f t="shared" si="121"/>
        <v>46238</v>
      </c>
      <c r="D561" s="13" t="s">
        <v>1023</v>
      </c>
      <c r="E561" s="2" t="s">
        <v>377</v>
      </c>
      <c r="F561" s="2" t="str">
        <f t="shared" si="108"/>
        <v>Email Available</v>
      </c>
      <c r="G561" s="2" t="s">
        <v>378</v>
      </c>
      <c r="H561" s="2" t="s">
        <v>63</v>
      </c>
      <c r="I561" s="2" t="s">
        <v>47</v>
      </c>
      <c r="J561" s="2" t="s">
        <v>446</v>
      </c>
      <c r="K561" s="2">
        <v>1</v>
      </c>
      <c r="L561" s="2">
        <v>14.99</v>
      </c>
      <c r="M561" s="19">
        <f t="shared" si="109"/>
        <v>14.99</v>
      </c>
      <c r="N561" s="2" t="s">
        <v>24</v>
      </c>
      <c r="O561" s="2" t="str">
        <f t="shared" si="110"/>
        <v>SAVE20</v>
      </c>
      <c r="P561" s="2">
        <v>3</v>
      </c>
      <c r="Q561" s="19">
        <f t="shared" si="111"/>
        <v>3</v>
      </c>
      <c r="R561" s="2" t="str">
        <f t="shared" si="112"/>
        <v>Number</v>
      </c>
      <c r="S561" s="2">
        <v>7.99</v>
      </c>
      <c r="T561" s="19">
        <f t="shared" si="113"/>
        <v>7.99</v>
      </c>
      <c r="U561" s="2">
        <v>19.98</v>
      </c>
      <c r="V561" s="19">
        <f t="shared" si="114"/>
        <v>19.98</v>
      </c>
      <c r="W561" s="19">
        <f t="shared" si="115"/>
        <v>19.98</v>
      </c>
      <c r="X561" s="19" t="str">
        <f t="shared" si="116"/>
        <v>True</v>
      </c>
      <c r="Y561" s="19" t="str">
        <f>IF(OR(W561&lt;'Cleaning Tasks'!$G$18,W561&gt;'Cleaning Tasks'!$H$18),"Outlier","Normal")</f>
        <v>Normal</v>
      </c>
      <c r="Z561" s="2" t="s">
        <v>72</v>
      </c>
      <c r="AA561" s="2" t="s">
        <v>27</v>
      </c>
      <c r="AB561" s="2" t="s">
        <v>50</v>
      </c>
      <c r="AC561" s="2" t="s">
        <v>73</v>
      </c>
      <c r="AD561" s="2"/>
      <c r="AE561" s="2" t="str">
        <f t="shared" si="117"/>
        <v>Not Required</v>
      </c>
      <c r="AF561" s="2" t="s">
        <v>1900</v>
      </c>
    </row>
    <row r="562" spans="1:32" x14ac:dyDescent="0.3">
      <c r="A562" s="2" t="s">
        <v>1901</v>
      </c>
      <c r="B562" s="2">
        <f t="shared" si="107"/>
        <v>1</v>
      </c>
      <c r="C562" s="12">
        <f t="shared" si="121"/>
        <v>46238.587486215278</v>
      </c>
      <c r="D562" s="13">
        <v>46238.587486215278</v>
      </c>
      <c r="E562" s="2" t="s">
        <v>199</v>
      </c>
      <c r="F562" s="2" t="str">
        <f t="shared" si="108"/>
        <v>Email Available</v>
      </c>
      <c r="G562" s="2" t="s">
        <v>200</v>
      </c>
      <c r="H562" s="2" t="s">
        <v>279</v>
      </c>
      <c r="I562" s="2" t="s">
        <v>22</v>
      </c>
      <c r="J562" s="2" t="s">
        <v>280</v>
      </c>
      <c r="K562" s="2">
        <v>1</v>
      </c>
      <c r="L562" s="2">
        <v>24.99</v>
      </c>
      <c r="M562" s="19">
        <f t="shared" si="109"/>
        <v>24.99</v>
      </c>
      <c r="N562" s="2" t="s">
        <v>38</v>
      </c>
      <c r="O562" s="2" t="str">
        <f t="shared" si="110"/>
        <v>FREESHIP</v>
      </c>
      <c r="P562" s="2">
        <v>0</v>
      </c>
      <c r="Q562" s="19">
        <f t="shared" si="111"/>
        <v>0</v>
      </c>
      <c r="R562" s="2" t="str">
        <f t="shared" si="112"/>
        <v>Number</v>
      </c>
      <c r="S562" s="2">
        <v>0</v>
      </c>
      <c r="T562" s="19">
        <f t="shared" si="113"/>
        <v>0</v>
      </c>
      <c r="U562" s="2">
        <v>24.99</v>
      </c>
      <c r="V562" s="19">
        <f t="shared" si="114"/>
        <v>24.99</v>
      </c>
      <c r="W562" s="19">
        <f t="shared" si="115"/>
        <v>24.99</v>
      </c>
      <c r="X562" s="19" t="str">
        <f t="shared" si="116"/>
        <v>True</v>
      </c>
      <c r="Y562" s="19" t="str">
        <f>IF(OR(W562&lt;'Cleaning Tasks'!$G$18,W562&gt;'Cleaning Tasks'!$H$18),"Outlier","Normal")</f>
        <v>Normal</v>
      </c>
      <c r="Z562" s="2" t="s">
        <v>72</v>
      </c>
      <c r="AA562" s="2" t="s">
        <v>111</v>
      </c>
      <c r="AB562" s="2" t="s">
        <v>96</v>
      </c>
      <c r="AC562" s="2" t="s">
        <v>73</v>
      </c>
      <c r="AD562" s="2"/>
      <c r="AE562" s="2" t="str">
        <f t="shared" si="117"/>
        <v>Not Required</v>
      </c>
      <c r="AF562" s="2" t="s">
        <v>1902</v>
      </c>
    </row>
    <row r="563" spans="1:32" x14ac:dyDescent="0.3">
      <c r="A563" s="2" t="s">
        <v>1903</v>
      </c>
      <c r="B563" s="2">
        <f t="shared" si="107"/>
        <v>1</v>
      </c>
      <c r="C563" s="12">
        <f t="shared" si="121"/>
        <v>46238.580025069437</v>
      </c>
      <c r="D563" s="13">
        <v>46238.580025069437</v>
      </c>
      <c r="E563" s="2" t="s">
        <v>843</v>
      </c>
      <c r="F563" s="2" t="str">
        <f t="shared" si="108"/>
        <v>Email Available</v>
      </c>
      <c r="G563" s="2" t="s">
        <v>844</v>
      </c>
      <c r="H563" s="2" t="s">
        <v>166</v>
      </c>
      <c r="I563" s="2" t="s">
        <v>103</v>
      </c>
      <c r="J563" s="2" t="s">
        <v>167</v>
      </c>
      <c r="K563" s="2">
        <v>1</v>
      </c>
      <c r="L563" s="2">
        <v>32.99</v>
      </c>
      <c r="M563" s="19">
        <f t="shared" si="109"/>
        <v>32.99</v>
      </c>
      <c r="N563" s="2"/>
      <c r="O563" s="2" t="str">
        <f t="shared" si="110"/>
        <v/>
      </c>
      <c r="P563" s="2">
        <v>0</v>
      </c>
      <c r="Q563" s="19">
        <f t="shared" si="111"/>
        <v>0</v>
      </c>
      <c r="R563" s="2" t="str">
        <f t="shared" si="112"/>
        <v>Number</v>
      </c>
      <c r="S563" s="2">
        <v>5.99</v>
      </c>
      <c r="T563" s="19">
        <f t="shared" si="113"/>
        <v>5.99</v>
      </c>
      <c r="U563" s="2">
        <v>38.979999999999997</v>
      </c>
      <c r="V563" s="19">
        <f t="shared" si="114"/>
        <v>38.979999999999997</v>
      </c>
      <c r="W563" s="19">
        <f t="shared" si="115"/>
        <v>38.980000000000004</v>
      </c>
      <c r="X563" s="19" t="str">
        <f t="shared" si="116"/>
        <v>True</v>
      </c>
      <c r="Y563" s="19" t="str">
        <f>IF(OR(W563&lt;'Cleaning Tasks'!$G$18,W563&gt;'Cleaning Tasks'!$H$18),"Outlier","Normal")</f>
        <v>Normal</v>
      </c>
      <c r="Z563" s="2" t="s">
        <v>39</v>
      </c>
      <c r="AA563" s="2" t="s">
        <v>27</v>
      </c>
      <c r="AB563" s="2" t="s">
        <v>50</v>
      </c>
      <c r="AC563" s="2" t="s">
        <v>29</v>
      </c>
      <c r="AD563" s="2" t="s">
        <v>112</v>
      </c>
      <c r="AE563" s="2" t="str">
        <f t="shared" si="117"/>
        <v>Valid</v>
      </c>
      <c r="AF563" s="2" t="s">
        <v>1904</v>
      </c>
    </row>
    <row r="564" spans="1:32" x14ac:dyDescent="0.3">
      <c r="A564" s="2" t="s">
        <v>1905</v>
      </c>
      <c r="B564" s="2">
        <f t="shared" si="107"/>
        <v>1</v>
      </c>
      <c r="C564" s="12">
        <f t="shared" si="121"/>
        <v>46238.588811909722</v>
      </c>
      <c r="D564" s="13">
        <v>46238.588811909722</v>
      </c>
      <c r="E564" s="2" t="s">
        <v>108</v>
      </c>
      <c r="F564" s="2" t="str">
        <f t="shared" si="108"/>
        <v>Email Available</v>
      </c>
      <c r="G564" s="2" t="s">
        <v>1527</v>
      </c>
      <c r="H564" s="2" t="s">
        <v>63</v>
      </c>
      <c r="I564" s="2" t="s">
        <v>47</v>
      </c>
      <c r="J564" s="2" t="s">
        <v>64</v>
      </c>
      <c r="K564" s="2">
        <v>2</v>
      </c>
      <c r="L564" s="2">
        <v>14.99</v>
      </c>
      <c r="M564" s="19">
        <f t="shared" si="109"/>
        <v>14.99</v>
      </c>
      <c r="N564" s="2" t="s">
        <v>38</v>
      </c>
      <c r="O564" s="2" t="str">
        <f t="shared" si="110"/>
        <v>FREESHIP</v>
      </c>
      <c r="P564" s="2">
        <v>0</v>
      </c>
      <c r="Q564" s="19">
        <f t="shared" si="111"/>
        <v>0</v>
      </c>
      <c r="R564" s="2" t="str">
        <f t="shared" si="112"/>
        <v>Number</v>
      </c>
      <c r="S564" s="2">
        <v>0</v>
      </c>
      <c r="T564" s="19">
        <f t="shared" si="113"/>
        <v>0</v>
      </c>
      <c r="U564" s="2">
        <v>29.98</v>
      </c>
      <c r="V564" s="19">
        <f t="shared" si="114"/>
        <v>29.98</v>
      </c>
      <c r="W564" s="19">
        <f t="shared" si="115"/>
        <v>29.98</v>
      </c>
      <c r="X564" s="19" t="str">
        <f t="shared" si="116"/>
        <v>True</v>
      </c>
      <c r="Y564" s="19" t="str">
        <f>IF(OR(W564&lt;'Cleaning Tasks'!$G$18,W564&gt;'Cleaning Tasks'!$H$18),"Outlier","Normal")</f>
        <v>Normal</v>
      </c>
      <c r="Z564" s="2" t="s">
        <v>26</v>
      </c>
      <c r="AA564" s="2" t="s">
        <v>40</v>
      </c>
      <c r="AB564" s="2" t="s">
        <v>28</v>
      </c>
      <c r="AC564" s="2" t="s">
        <v>29</v>
      </c>
      <c r="AD564" s="2" t="s">
        <v>89</v>
      </c>
      <c r="AE564" s="2" t="str">
        <f t="shared" si="117"/>
        <v>Valid</v>
      </c>
      <c r="AF564" s="2" t="s">
        <v>1906</v>
      </c>
    </row>
    <row r="565" spans="1:32" x14ac:dyDescent="0.3">
      <c r="A565" s="2" t="s">
        <v>1907</v>
      </c>
      <c r="B565" s="2">
        <f t="shared" si="107"/>
        <v>1</v>
      </c>
      <c r="C565" s="12">
        <f t="shared" si="121"/>
        <v>46238.585902071762</v>
      </c>
      <c r="D565" s="13">
        <v>46238.585902071762</v>
      </c>
      <c r="E565" s="2" t="s">
        <v>485</v>
      </c>
      <c r="F565" s="2" t="str">
        <f t="shared" si="108"/>
        <v>Email Available</v>
      </c>
      <c r="G565" s="2" t="s">
        <v>486</v>
      </c>
      <c r="H565" s="2" t="s">
        <v>309</v>
      </c>
      <c r="I565" s="2" t="s">
        <v>36</v>
      </c>
      <c r="J565" s="2" t="s">
        <v>310</v>
      </c>
      <c r="K565" s="2">
        <v>1</v>
      </c>
      <c r="L565" s="2">
        <v>8.99</v>
      </c>
      <c r="M565" s="19">
        <f t="shared" si="109"/>
        <v>8.99</v>
      </c>
      <c r="N565" s="2"/>
      <c r="O565" s="2" t="str">
        <f t="shared" si="110"/>
        <v/>
      </c>
      <c r="P565" s="2">
        <v>0</v>
      </c>
      <c r="Q565" s="19">
        <f t="shared" si="111"/>
        <v>0</v>
      </c>
      <c r="R565" s="2" t="str">
        <f t="shared" si="112"/>
        <v>Number</v>
      </c>
      <c r="S565" s="2">
        <v>5.99</v>
      </c>
      <c r="T565" s="19">
        <f t="shared" si="113"/>
        <v>5.99</v>
      </c>
      <c r="U565" s="2">
        <v>14.98</v>
      </c>
      <c r="V565" s="19">
        <f t="shared" si="114"/>
        <v>14.98</v>
      </c>
      <c r="W565" s="19">
        <f t="shared" si="115"/>
        <v>14.98</v>
      </c>
      <c r="X565" s="19" t="str">
        <f t="shared" si="116"/>
        <v>True</v>
      </c>
      <c r="Y565" s="19" t="str">
        <f>IF(OR(W565&lt;'Cleaning Tasks'!$G$18,W565&gt;'Cleaning Tasks'!$H$18),"Outlier","Normal")</f>
        <v>Normal</v>
      </c>
      <c r="Z565" s="2" t="s">
        <v>26</v>
      </c>
      <c r="AA565" s="2" t="s">
        <v>27</v>
      </c>
      <c r="AB565" s="2" t="s">
        <v>50</v>
      </c>
      <c r="AC565" s="2" t="s">
        <v>73</v>
      </c>
      <c r="AD565" s="2"/>
      <c r="AE565" s="2" t="str">
        <f t="shared" si="117"/>
        <v>Not Required</v>
      </c>
      <c r="AF565" s="2" t="s">
        <v>1908</v>
      </c>
    </row>
    <row r="566" spans="1:32" x14ac:dyDescent="0.3">
      <c r="A566" s="2" t="s">
        <v>1909</v>
      </c>
      <c r="B566" s="2">
        <f t="shared" si="107"/>
        <v>1</v>
      </c>
      <c r="C566" s="12">
        <f t="shared" si="121"/>
        <v>46238.579044131948</v>
      </c>
      <c r="D566" s="13">
        <v>46238.579044131948</v>
      </c>
      <c r="E566" s="2" t="s">
        <v>1424</v>
      </c>
      <c r="F566" s="2" t="str">
        <f t="shared" si="108"/>
        <v>Email Available</v>
      </c>
      <c r="G566" s="2" t="s">
        <v>1425</v>
      </c>
      <c r="H566" s="2" t="s">
        <v>166</v>
      </c>
      <c r="I566" s="2" t="s">
        <v>103</v>
      </c>
      <c r="J566" s="2" t="s">
        <v>167</v>
      </c>
      <c r="K566" s="2">
        <v>3</v>
      </c>
      <c r="L566" s="2">
        <v>32.99</v>
      </c>
      <c r="M566" s="19">
        <f t="shared" si="109"/>
        <v>32.99</v>
      </c>
      <c r="N566" s="2" t="s">
        <v>24</v>
      </c>
      <c r="O566" s="2" t="str">
        <f t="shared" si="110"/>
        <v>SAVE20</v>
      </c>
      <c r="P566" s="2">
        <v>19.79</v>
      </c>
      <c r="Q566" s="19">
        <f t="shared" si="111"/>
        <v>19.79</v>
      </c>
      <c r="R566" s="2" t="str">
        <f t="shared" si="112"/>
        <v>Number</v>
      </c>
      <c r="S566" s="2">
        <v>0</v>
      </c>
      <c r="T566" s="19">
        <f t="shared" si="113"/>
        <v>0</v>
      </c>
      <c r="U566" s="2" t="s">
        <v>1910</v>
      </c>
      <c r="V566" s="19">
        <f t="shared" si="114"/>
        <v>79.180000000000007</v>
      </c>
      <c r="W566" s="19">
        <f t="shared" si="115"/>
        <v>79.180000000000007</v>
      </c>
      <c r="X566" s="19" t="str">
        <f t="shared" si="116"/>
        <v>True</v>
      </c>
      <c r="Y566" s="19" t="str">
        <f>IF(OR(W566&lt;'Cleaning Tasks'!$G$18,W566&gt;'Cleaning Tasks'!$H$18),"Outlier","Normal")</f>
        <v>Normal</v>
      </c>
      <c r="Z566" s="2" t="s">
        <v>72</v>
      </c>
      <c r="AA566" s="2" t="s">
        <v>27</v>
      </c>
      <c r="AB566" s="2" t="s">
        <v>41</v>
      </c>
      <c r="AC566" s="2" t="s">
        <v>29</v>
      </c>
      <c r="AD566" s="2" t="s">
        <v>67</v>
      </c>
      <c r="AE566" s="2" t="str">
        <f t="shared" si="117"/>
        <v>Valid</v>
      </c>
      <c r="AF566" s="2" t="s">
        <v>1911</v>
      </c>
    </row>
    <row r="567" spans="1:32" x14ac:dyDescent="0.3">
      <c r="A567" s="2" t="s">
        <v>1912</v>
      </c>
      <c r="B567" s="2">
        <f t="shared" si="107"/>
        <v>1</v>
      </c>
      <c r="C567" s="12">
        <f t="shared" si="121"/>
        <v>46238.588709976852</v>
      </c>
      <c r="D567" s="13">
        <v>46238.588709976852</v>
      </c>
      <c r="E567" s="2" t="s">
        <v>1913</v>
      </c>
      <c r="F567" s="2" t="str">
        <f t="shared" si="108"/>
        <v>Email Available</v>
      </c>
      <c r="G567" s="2" t="s">
        <v>1914</v>
      </c>
      <c r="H567" s="2" t="s">
        <v>109</v>
      </c>
      <c r="I567" s="2" t="s">
        <v>79</v>
      </c>
      <c r="J567" s="2" t="s">
        <v>110</v>
      </c>
      <c r="K567" s="2">
        <v>1</v>
      </c>
      <c r="L567" s="2">
        <v>22.99</v>
      </c>
      <c r="M567" s="19">
        <f t="shared" si="109"/>
        <v>22.99</v>
      </c>
      <c r="N567" s="2" t="s">
        <v>203</v>
      </c>
      <c r="O567" s="2" t="str">
        <f t="shared" si="110"/>
        <v>VIP15</v>
      </c>
      <c r="P567" s="2">
        <v>3.45</v>
      </c>
      <c r="Q567" s="19">
        <f t="shared" si="111"/>
        <v>3.45</v>
      </c>
      <c r="R567" s="2" t="str">
        <f t="shared" si="112"/>
        <v>Number</v>
      </c>
      <c r="S567" s="2">
        <v>4.99</v>
      </c>
      <c r="T567" s="19">
        <f t="shared" si="113"/>
        <v>4.99</v>
      </c>
      <c r="U567" s="2">
        <v>24.53</v>
      </c>
      <c r="V567" s="19">
        <f t="shared" si="114"/>
        <v>24.53</v>
      </c>
      <c r="W567" s="19">
        <f t="shared" si="115"/>
        <v>24.53</v>
      </c>
      <c r="X567" s="19" t="str">
        <f t="shared" si="116"/>
        <v>True</v>
      </c>
      <c r="Y567" s="19" t="str">
        <f>IF(OR(W567&lt;'Cleaning Tasks'!$G$18,W567&gt;'Cleaning Tasks'!$H$18),"Outlier","Normal")</f>
        <v>Normal</v>
      </c>
      <c r="Z567" s="2" t="s">
        <v>72</v>
      </c>
      <c r="AA567" s="2" t="s">
        <v>27</v>
      </c>
      <c r="AB567" s="2" t="s">
        <v>50</v>
      </c>
      <c r="AC567" s="2" t="s">
        <v>105</v>
      </c>
      <c r="AD567" s="2"/>
      <c r="AE567" s="2" t="str">
        <f t="shared" si="117"/>
        <v>Not Required</v>
      </c>
      <c r="AF567" s="2" t="s">
        <v>1915</v>
      </c>
    </row>
    <row r="568" spans="1:32" x14ac:dyDescent="0.3">
      <c r="A568" s="2" t="s">
        <v>1916</v>
      </c>
      <c r="B568" s="2">
        <f t="shared" si="107"/>
        <v>1</v>
      </c>
      <c r="C568" s="12">
        <f t="shared" si="121"/>
        <v>46238.581795127313</v>
      </c>
      <c r="D568" s="13">
        <v>46238.581795127313</v>
      </c>
      <c r="E568" s="2" t="s">
        <v>740</v>
      </c>
      <c r="F568" s="2" t="str">
        <f t="shared" si="108"/>
        <v>Email Available</v>
      </c>
      <c r="G568" s="2" t="s">
        <v>741</v>
      </c>
      <c r="H568" s="2" t="s">
        <v>85</v>
      </c>
      <c r="I568" s="2" t="s">
        <v>86</v>
      </c>
      <c r="J568" s="2" t="s">
        <v>87</v>
      </c>
      <c r="K568" s="2">
        <v>1</v>
      </c>
      <c r="L568" s="2" t="s">
        <v>363</v>
      </c>
      <c r="M568" s="19">
        <f t="shared" si="109"/>
        <v>54.99</v>
      </c>
      <c r="N568" s="2" t="s">
        <v>203</v>
      </c>
      <c r="O568" s="2" t="str">
        <f t="shared" si="110"/>
        <v>VIP15</v>
      </c>
      <c r="P568" s="2">
        <v>8.25</v>
      </c>
      <c r="Q568" s="19">
        <f t="shared" si="111"/>
        <v>8.25</v>
      </c>
      <c r="R568" s="2" t="str">
        <f t="shared" si="112"/>
        <v>Number</v>
      </c>
      <c r="S568" s="2">
        <v>7.99</v>
      </c>
      <c r="T568" s="19">
        <f t="shared" si="113"/>
        <v>7.99</v>
      </c>
      <c r="U568" s="2">
        <v>54.73</v>
      </c>
      <c r="V568" s="19">
        <f t="shared" si="114"/>
        <v>54.73</v>
      </c>
      <c r="W568" s="19">
        <f t="shared" si="115"/>
        <v>54.730000000000004</v>
      </c>
      <c r="X568" s="19" t="str">
        <f t="shared" si="116"/>
        <v>True</v>
      </c>
      <c r="Y568" s="19" t="str">
        <f>IF(OR(W568&lt;'Cleaning Tasks'!$G$18,W568&gt;'Cleaning Tasks'!$H$18),"Outlier","Normal")</f>
        <v>Normal</v>
      </c>
      <c r="Z568" s="2" t="s">
        <v>66</v>
      </c>
      <c r="AA568" s="2" t="s">
        <v>88</v>
      </c>
      <c r="AB568" s="2" t="s">
        <v>50</v>
      </c>
      <c r="AC568" s="2" t="s">
        <v>105</v>
      </c>
      <c r="AD568" s="2"/>
      <c r="AE568" s="2" t="str">
        <f t="shared" si="117"/>
        <v>Not Required</v>
      </c>
      <c r="AF568" s="2" t="s">
        <v>1917</v>
      </c>
    </row>
    <row r="569" spans="1:32" x14ac:dyDescent="0.3">
      <c r="A569" s="2" t="s">
        <v>1918</v>
      </c>
      <c r="B569" s="2">
        <f t="shared" si="107"/>
        <v>1</v>
      </c>
      <c r="C569" s="12">
        <f t="shared" si="121"/>
        <v>46238.58272658565</v>
      </c>
      <c r="D569" s="13">
        <v>46238.58272658565</v>
      </c>
      <c r="E569" s="2" t="s">
        <v>347</v>
      </c>
      <c r="F569" s="2" t="str">
        <f t="shared" si="108"/>
        <v>Email Available</v>
      </c>
      <c r="G569" s="2" t="s">
        <v>348</v>
      </c>
      <c r="H569" s="2" t="s">
        <v>236</v>
      </c>
      <c r="I569" s="2" t="s">
        <v>237</v>
      </c>
      <c r="J569" s="2" t="s">
        <v>238</v>
      </c>
      <c r="K569" s="2">
        <v>1</v>
      </c>
      <c r="L569" s="2">
        <v>27.99</v>
      </c>
      <c r="M569" s="19">
        <f t="shared" si="109"/>
        <v>27.99</v>
      </c>
      <c r="N569" s="2" t="s">
        <v>24</v>
      </c>
      <c r="O569" s="2" t="str">
        <f t="shared" si="110"/>
        <v>SAVE20</v>
      </c>
      <c r="P569" s="2">
        <v>5.6</v>
      </c>
      <c r="Q569" s="19">
        <f t="shared" si="111"/>
        <v>5.6</v>
      </c>
      <c r="R569" s="2" t="str">
        <f t="shared" si="112"/>
        <v>Number</v>
      </c>
      <c r="S569" s="2">
        <v>7.99</v>
      </c>
      <c r="T569" s="19">
        <f t="shared" si="113"/>
        <v>7.99</v>
      </c>
      <c r="U569" s="2">
        <v>30.38</v>
      </c>
      <c r="V569" s="19">
        <f t="shared" si="114"/>
        <v>30.38</v>
      </c>
      <c r="W569" s="19">
        <f t="shared" si="115"/>
        <v>30.380000000000003</v>
      </c>
      <c r="X569" s="19" t="str">
        <f t="shared" si="116"/>
        <v>True</v>
      </c>
      <c r="Y569" s="19" t="str">
        <f>IF(OR(W569&lt;'Cleaning Tasks'!$G$18,W569&gt;'Cleaning Tasks'!$H$18),"Outlier","Normal")</f>
        <v>Normal</v>
      </c>
      <c r="Z569" s="2" t="s">
        <v>66</v>
      </c>
      <c r="AA569" s="2" t="s">
        <v>111</v>
      </c>
      <c r="AB569" s="2" t="s">
        <v>96</v>
      </c>
      <c r="AC569" s="2" t="s">
        <v>223</v>
      </c>
      <c r="AD569" s="2"/>
      <c r="AE569" s="2" t="str">
        <f t="shared" si="117"/>
        <v>Not Required</v>
      </c>
      <c r="AF569" s="2" t="s">
        <v>1919</v>
      </c>
    </row>
    <row r="570" spans="1:32" x14ac:dyDescent="0.3">
      <c r="A570" s="2" t="s">
        <v>1920</v>
      </c>
      <c r="B570" s="2">
        <f t="shared" si="107"/>
        <v>1</v>
      </c>
      <c r="C570" s="12">
        <f t="shared" si="121"/>
        <v>46238.579360312498</v>
      </c>
      <c r="D570" s="13">
        <v>46238.579360312498</v>
      </c>
      <c r="E570" s="2" t="s">
        <v>357</v>
      </c>
      <c r="F570" s="2" t="str">
        <f t="shared" si="108"/>
        <v>Email Available</v>
      </c>
      <c r="G570" s="2" t="s">
        <v>358</v>
      </c>
      <c r="H570" s="2" t="s">
        <v>35</v>
      </c>
      <c r="I570" s="2" t="s">
        <v>36</v>
      </c>
      <c r="J570" s="2" t="s">
        <v>37</v>
      </c>
      <c r="K570" s="2">
        <v>1</v>
      </c>
      <c r="L570" s="2">
        <v>21.99</v>
      </c>
      <c r="M570" s="19">
        <f t="shared" si="109"/>
        <v>21.99</v>
      </c>
      <c r="N570" s="2" t="s">
        <v>65</v>
      </c>
      <c r="O570" s="2" t="str">
        <f t="shared" si="110"/>
        <v>WELCOME10</v>
      </c>
      <c r="P570" s="2">
        <v>2.2000000000000002</v>
      </c>
      <c r="Q570" s="19">
        <f t="shared" si="111"/>
        <v>2.2000000000000002</v>
      </c>
      <c r="R570" s="2" t="str">
        <f t="shared" si="112"/>
        <v>Number</v>
      </c>
      <c r="S570" s="2">
        <v>5.99</v>
      </c>
      <c r="T570" s="19">
        <f t="shared" si="113"/>
        <v>5.99</v>
      </c>
      <c r="U570" s="2">
        <v>25.78</v>
      </c>
      <c r="V570" s="19">
        <f t="shared" si="114"/>
        <v>25.78</v>
      </c>
      <c r="W570" s="19">
        <f t="shared" si="115"/>
        <v>25.78</v>
      </c>
      <c r="X570" s="19" t="str">
        <f t="shared" si="116"/>
        <v>True</v>
      </c>
      <c r="Y570" s="19" t="str">
        <f>IF(OR(W570&lt;'Cleaning Tasks'!$G$18,W570&gt;'Cleaning Tasks'!$H$18),"Outlier","Normal")</f>
        <v>Normal</v>
      </c>
      <c r="Z570" s="2" t="s">
        <v>26</v>
      </c>
      <c r="AA570" s="2" t="s">
        <v>27</v>
      </c>
      <c r="AB570" s="2" t="s">
        <v>28</v>
      </c>
      <c r="AC570" s="2" t="s">
        <v>73</v>
      </c>
      <c r="AD570" s="2"/>
      <c r="AE570" s="2" t="str">
        <f t="shared" si="117"/>
        <v>Not Required</v>
      </c>
      <c r="AF570" s="2" t="s">
        <v>1921</v>
      </c>
    </row>
    <row r="571" spans="1:32" x14ac:dyDescent="0.3">
      <c r="A571" s="2" t="s">
        <v>1922</v>
      </c>
      <c r="B571" s="2">
        <f t="shared" si="107"/>
        <v>1</v>
      </c>
      <c r="C571" s="12">
        <f t="shared" si="121"/>
        <v>46238.583251481483</v>
      </c>
      <c r="D571" s="13">
        <v>46238.583251481483</v>
      </c>
      <c r="E571" s="2" t="s">
        <v>1923</v>
      </c>
      <c r="F571" s="2" t="str">
        <f t="shared" si="108"/>
        <v>Email Available</v>
      </c>
      <c r="G571" s="2" t="s">
        <v>1924</v>
      </c>
      <c r="H571" s="2" t="s">
        <v>201</v>
      </c>
      <c r="I571" s="2" t="s">
        <v>191</v>
      </c>
      <c r="J571" s="2" t="s">
        <v>202</v>
      </c>
      <c r="K571" s="2">
        <v>1</v>
      </c>
      <c r="L571" s="2">
        <v>24.99</v>
      </c>
      <c r="M571" s="19">
        <f t="shared" si="109"/>
        <v>24.99</v>
      </c>
      <c r="N571" s="2"/>
      <c r="O571" s="2" t="str">
        <f t="shared" si="110"/>
        <v/>
      </c>
      <c r="P571" s="2">
        <v>0</v>
      </c>
      <c r="Q571" s="19">
        <f t="shared" si="111"/>
        <v>0</v>
      </c>
      <c r="R571" s="2" t="str">
        <f t="shared" si="112"/>
        <v>Number</v>
      </c>
      <c r="S571" s="2">
        <v>7.99</v>
      </c>
      <c r="T571" s="19">
        <f t="shared" si="113"/>
        <v>7.99</v>
      </c>
      <c r="U571" s="2">
        <v>32.979999999999997</v>
      </c>
      <c r="V571" s="19">
        <f t="shared" si="114"/>
        <v>32.979999999999997</v>
      </c>
      <c r="W571" s="19">
        <f t="shared" si="115"/>
        <v>32.979999999999997</v>
      </c>
      <c r="X571" s="19" t="str">
        <f t="shared" si="116"/>
        <v>True</v>
      </c>
      <c r="Y571" s="19" t="str">
        <f>IF(OR(W571&lt;'Cleaning Tasks'!$G$18,W571&gt;'Cleaning Tasks'!$H$18),"Outlier","Normal")</f>
        <v>Normal</v>
      </c>
      <c r="Z571" s="2" t="s">
        <v>66</v>
      </c>
      <c r="AA571" s="2" t="s">
        <v>27</v>
      </c>
      <c r="AB571" s="2" t="s">
        <v>50</v>
      </c>
      <c r="AC571" s="2" t="s">
        <v>29</v>
      </c>
      <c r="AD571" s="2" t="s">
        <v>51</v>
      </c>
      <c r="AE571" s="2" t="str">
        <f t="shared" si="117"/>
        <v>Valid</v>
      </c>
      <c r="AF571" s="2" t="s">
        <v>1925</v>
      </c>
    </row>
    <row r="572" spans="1:32" x14ac:dyDescent="0.3">
      <c r="A572" s="2" t="s">
        <v>1926</v>
      </c>
      <c r="B572" s="2">
        <f t="shared" si="107"/>
        <v>1</v>
      </c>
      <c r="C572" s="12">
        <f t="shared" si="121"/>
        <v>46238.586668796299</v>
      </c>
      <c r="D572" s="13">
        <v>46238.586668796299</v>
      </c>
      <c r="E572" s="2" t="s">
        <v>385</v>
      </c>
      <c r="F572" s="2" t="str">
        <f t="shared" si="108"/>
        <v>Email Available</v>
      </c>
      <c r="G572" s="2" t="s">
        <v>386</v>
      </c>
      <c r="H572" s="2" t="s">
        <v>63</v>
      </c>
      <c r="I572" s="2" t="s">
        <v>47</v>
      </c>
      <c r="J572" s="2" t="s">
        <v>64</v>
      </c>
      <c r="K572" s="2">
        <v>1</v>
      </c>
      <c r="L572" s="2" t="s">
        <v>1465</v>
      </c>
      <c r="M572" s="19">
        <f t="shared" si="109"/>
        <v>14.99</v>
      </c>
      <c r="N572" s="2" t="s">
        <v>1927</v>
      </c>
      <c r="O572" s="2" t="str">
        <f t="shared" si="110"/>
        <v>WELCOME10</v>
      </c>
      <c r="P572" s="2">
        <v>1.5</v>
      </c>
      <c r="Q572" s="19">
        <f t="shared" si="111"/>
        <v>1.5</v>
      </c>
      <c r="R572" s="2" t="str">
        <f t="shared" si="112"/>
        <v>Number</v>
      </c>
      <c r="S572" s="2">
        <v>7.99</v>
      </c>
      <c r="T572" s="19">
        <f t="shared" si="113"/>
        <v>7.99</v>
      </c>
      <c r="U572" s="2">
        <v>21.48</v>
      </c>
      <c r="V572" s="19">
        <f t="shared" si="114"/>
        <v>21.48</v>
      </c>
      <c r="W572" s="19">
        <f t="shared" si="115"/>
        <v>21.48</v>
      </c>
      <c r="X572" s="19" t="str">
        <f t="shared" si="116"/>
        <v>True</v>
      </c>
      <c r="Y572" s="19" t="str">
        <f>IF(OR(W572&lt;'Cleaning Tasks'!$G$18,W572&gt;'Cleaning Tasks'!$H$18),"Outlier","Normal")</f>
        <v>Normal</v>
      </c>
      <c r="Z572" s="2" t="s">
        <v>39</v>
      </c>
      <c r="AA572" s="2" t="s">
        <v>88</v>
      </c>
      <c r="AB572" s="2" t="s">
        <v>96</v>
      </c>
      <c r="AC572" s="2" t="s">
        <v>105</v>
      </c>
      <c r="AD572" s="2"/>
      <c r="AE572" s="2" t="str">
        <f t="shared" si="117"/>
        <v>Not Required</v>
      </c>
      <c r="AF572" s="2" t="s">
        <v>1928</v>
      </c>
    </row>
    <row r="573" spans="1:32" x14ac:dyDescent="0.3">
      <c r="A573" s="2" t="s">
        <v>1929</v>
      </c>
      <c r="B573" s="2">
        <f t="shared" si="107"/>
        <v>1</v>
      </c>
      <c r="C573" s="12">
        <f t="shared" si="121"/>
        <v>46238.583490810182</v>
      </c>
      <c r="D573" s="13">
        <v>46238.583490810182</v>
      </c>
      <c r="E573" s="2" t="s">
        <v>1930</v>
      </c>
      <c r="F573" s="2" t="str">
        <f t="shared" si="108"/>
        <v>Missing Email</v>
      </c>
      <c r="G573" s="2"/>
      <c r="H573" s="2" t="s">
        <v>361</v>
      </c>
      <c r="I573" s="2" t="s">
        <v>86</v>
      </c>
      <c r="J573" s="2" t="s">
        <v>362</v>
      </c>
      <c r="K573" s="2">
        <v>1</v>
      </c>
      <c r="L573" s="2">
        <v>54.99</v>
      </c>
      <c r="M573" s="19">
        <f t="shared" si="109"/>
        <v>54.99</v>
      </c>
      <c r="N573" s="2" t="s">
        <v>38</v>
      </c>
      <c r="O573" s="2" t="str">
        <f t="shared" si="110"/>
        <v>FREESHIP</v>
      </c>
      <c r="P573" s="2" t="s">
        <v>184</v>
      </c>
      <c r="Q573" s="19">
        <f t="shared" si="111"/>
        <v>0</v>
      </c>
      <c r="R573" s="2" t="str">
        <f t="shared" si="112"/>
        <v>Number</v>
      </c>
      <c r="S573" s="2">
        <v>0</v>
      </c>
      <c r="T573" s="19">
        <f t="shared" si="113"/>
        <v>0</v>
      </c>
      <c r="U573" s="2">
        <v>54.99</v>
      </c>
      <c r="V573" s="19">
        <f t="shared" si="114"/>
        <v>54.99</v>
      </c>
      <c r="W573" s="19">
        <f t="shared" si="115"/>
        <v>54.99</v>
      </c>
      <c r="X573" s="19" t="str">
        <f t="shared" si="116"/>
        <v>True</v>
      </c>
      <c r="Y573" s="19" t="str">
        <f>IF(OR(W573&lt;'Cleaning Tasks'!$G$18,W573&gt;'Cleaning Tasks'!$H$18),"Outlier","Normal")</f>
        <v>Normal</v>
      </c>
      <c r="Z573" s="2" t="s">
        <v>72</v>
      </c>
      <c r="AA573" s="2" t="s">
        <v>27</v>
      </c>
      <c r="AB573" s="2" t="s">
        <v>28</v>
      </c>
      <c r="AC573" s="2" t="s">
        <v>223</v>
      </c>
      <c r="AD573" s="2"/>
      <c r="AE573" s="2" t="str">
        <f t="shared" si="117"/>
        <v>Not Required</v>
      </c>
      <c r="AF573" s="2" t="s">
        <v>1931</v>
      </c>
    </row>
    <row r="574" spans="1:32" x14ac:dyDescent="0.3">
      <c r="A574" s="2" t="s">
        <v>1932</v>
      </c>
      <c r="B574" s="2">
        <f t="shared" si="107"/>
        <v>1</v>
      </c>
      <c r="C574" s="12">
        <f t="shared" si="121"/>
        <v>46238</v>
      </c>
      <c r="D574" s="13" t="s">
        <v>714</v>
      </c>
      <c r="E574" s="2" t="s">
        <v>654</v>
      </c>
      <c r="F574" s="2" t="str">
        <f t="shared" si="108"/>
        <v>Email Available</v>
      </c>
      <c r="G574" s="2" t="s">
        <v>655</v>
      </c>
      <c r="H574" s="2" t="s">
        <v>201</v>
      </c>
      <c r="I574" s="2" t="s">
        <v>191</v>
      </c>
      <c r="J574" s="2" t="s">
        <v>202</v>
      </c>
      <c r="K574" s="2">
        <v>1</v>
      </c>
      <c r="L574" s="2">
        <v>24.99</v>
      </c>
      <c r="M574" s="19">
        <f t="shared" si="109"/>
        <v>24.99</v>
      </c>
      <c r="N574" s="2"/>
      <c r="O574" s="2" t="str">
        <f t="shared" si="110"/>
        <v/>
      </c>
      <c r="P574" s="2">
        <v>0</v>
      </c>
      <c r="Q574" s="19">
        <f t="shared" si="111"/>
        <v>0</v>
      </c>
      <c r="R574" s="2" t="str">
        <f t="shared" si="112"/>
        <v>Number</v>
      </c>
      <c r="S574" s="2">
        <v>7.99</v>
      </c>
      <c r="T574" s="19">
        <f t="shared" si="113"/>
        <v>7.99</v>
      </c>
      <c r="U574" s="2">
        <v>32.979999999999997</v>
      </c>
      <c r="V574" s="19">
        <f t="shared" si="114"/>
        <v>32.979999999999997</v>
      </c>
      <c r="W574" s="19">
        <f t="shared" si="115"/>
        <v>32.979999999999997</v>
      </c>
      <c r="X574" s="19" t="str">
        <f t="shared" si="116"/>
        <v>True</v>
      </c>
      <c r="Y574" s="19" t="str">
        <f>IF(OR(W574&lt;'Cleaning Tasks'!$G$18,W574&gt;'Cleaning Tasks'!$H$18),"Outlier","Normal")</f>
        <v>Normal</v>
      </c>
      <c r="Z574" s="2" t="s">
        <v>66</v>
      </c>
      <c r="AA574" s="2" t="s">
        <v>27</v>
      </c>
      <c r="AB574" s="2" t="s">
        <v>96</v>
      </c>
      <c r="AC574" s="2" t="s">
        <v>29</v>
      </c>
      <c r="AD574" s="22" t="s">
        <v>51</v>
      </c>
      <c r="AE574" s="2" t="str">
        <f t="shared" si="117"/>
        <v>Valid</v>
      </c>
      <c r="AF574" s="2" t="s">
        <v>1933</v>
      </c>
    </row>
    <row r="575" spans="1:32" x14ac:dyDescent="0.3">
      <c r="A575" s="2" t="s">
        <v>1934</v>
      </c>
      <c r="B575" s="2">
        <f t="shared" si="107"/>
        <v>1</v>
      </c>
      <c r="C575" s="12">
        <f t="shared" si="121"/>
        <v>46238.587168252307</v>
      </c>
      <c r="D575" s="13">
        <v>46238.587168252307</v>
      </c>
      <c r="E575" s="2" t="s">
        <v>459</v>
      </c>
      <c r="F575" s="2" t="str">
        <f t="shared" si="108"/>
        <v>Email Available</v>
      </c>
      <c r="G575" s="2" t="s">
        <v>460</v>
      </c>
      <c r="H575" s="2" t="s">
        <v>201</v>
      </c>
      <c r="I575" s="2" t="s">
        <v>191</v>
      </c>
      <c r="J575" s="2" t="s">
        <v>202</v>
      </c>
      <c r="K575" s="2">
        <v>1</v>
      </c>
      <c r="L575" s="2">
        <v>24.99</v>
      </c>
      <c r="M575" s="19">
        <f t="shared" si="109"/>
        <v>24.99</v>
      </c>
      <c r="N575" s="2"/>
      <c r="O575" s="2" t="str">
        <f t="shared" si="110"/>
        <v/>
      </c>
      <c r="P575" s="2">
        <v>0</v>
      </c>
      <c r="Q575" s="19">
        <f t="shared" si="111"/>
        <v>0</v>
      </c>
      <c r="R575" s="2" t="str">
        <f t="shared" si="112"/>
        <v>Number</v>
      </c>
      <c r="S575" s="2">
        <v>7.99</v>
      </c>
      <c r="T575" s="19">
        <f t="shared" si="113"/>
        <v>7.99</v>
      </c>
      <c r="U575" s="2">
        <v>32.979999999999997</v>
      </c>
      <c r="V575" s="19">
        <f t="shared" si="114"/>
        <v>32.979999999999997</v>
      </c>
      <c r="W575" s="19">
        <f t="shared" si="115"/>
        <v>32.979999999999997</v>
      </c>
      <c r="X575" s="19" t="str">
        <f t="shared" si="116"/>
        <v>True</v>
      </c>
      <c r="Y575" s="19" t="str">
        <f>IF(OR(W575&lt;'Cleaning Tasks'!$G$18,W575&gt;'Cleaning Tasks'!$H$18),"Outlier","Normal")</f>
        <v>Normal</v>
      </c>
      <c r="Z575" s="2" t="s">
        <v>26</v>
      </c>
      <c r="AA575" s="2" t="s">
        <v>27</v>
      </c>
      <c r="AB575" s="2" t="s">
        <v>41</v>
      </c>
      <c r="AC575" s="2" t="s">
        <v>223</v>
      </c>
      <c r="AD575" s="2"/>
      <c r="AE575" s="2" t="str">
        <f t="shared" si="117"/>
        <v>Not Required</v>
      </c>
      <c r="AF575" s="2" t="s">
        <v>1935</v>
      </c>
    </row>
    <row r="576" spans="1:32" x14ac:dyDescent="0.3">
      <c r="A576" s="2" t="s">
        <v>1936</v>
      </c>
      <c r="B576" s="2">
        <f t="shared" si="107"/>
        <v>1</v>
      </c>
      <c r="C576" s="12">
        <f t="shared" si="121"/>
        <v>46238.581048692133</v>
      </c>
      <c r="D576" s="13">
        <v>46238.581048692133</v>
      </c>
      <c r="E576" s="2" t="s">
        <v>1937</v>
      </c>
      <c r="F576" s="2" t="str">
        <f t="shared" si="108"/>
        <v>Email Available</v>
      </c>
      <c r="G576" s="2" t="s">
        <v>1938</v>
      </c>
      <c r="H576" s="2" t="s">
        <v>56</v>
      </c>
      <c r="I576" s="2" t="s">
        <v>22</v>
      </c>
      <c r="J576" s="2" t="s">
        <v>57</v>
      </c>
      <c r="K576" s="2">
        <v>1</v>
      </c>
      <c r="L576" s="2" t="s">
        <v>208</v>
      </c>
      <c r="M576" s="19">
        <f t="shared" si="109"/>
        <v>9.99</v>
      </c>
      <c r="N576" s="2" t="s">
        <v>118</v>
      </c>
      <c r="O576" s="2" t="str">
        <f t="shared" si="110"/>
        <v>BFCM25</v>
      </c>
      <c r="P576" s="2">
        <v>2.5</v>
      </c>
      <c r="Q576" s="19">
        <f t="shared" si="111"/>
        <v>2.5</v>
      </c>
      <c r="R576" s="2" t="str">
        <f t="shared" si="112"/>
        <v>Number</v>
      </c>
      <c r="S576" s="2">
        <v>4.99</v>
      </c>
      <c r="T576" s="19">
        <f t="shared" si="113"/>
        <v>4.99</v>
      </c>
      <c r="U576" s="2">
        <v>12.48</v>
      </c>
      <c r="V576" s="19">
        <f t="shared" si="114"/>
        <v>12.48</v>
      </c>
      <c r="W576" s="19">
        <f t="shared" si="115"/>
        <v>12.48</v>
      </c>
      <c r="X576" s="19" t="str">
        <f t="shared" si="116"/>
        <v>True</v>
      </c>
      <c r="Y576" s="19" t="str">
        <f>IF(OR(W576&lt;'Cleaning Tasks'!$G$18,W576&gt;'Cleaning Tasks'!$H$18),"Outlier","Normal")</f>
        <v>Normal</v>
      </c>
      <c r="Z576" s="2" t="s">
        <v>66</v>
      </c>
      <c r="AA576" s="2" t="s">
        <v>88</v>
      </c>
      <c r="AB576" s="2" t="s">
        <v>41</v>
      </c>
      <c r="AC576" s="2" t="s">
        <v>29</v>
      </c>
      <c r="AD576" s="2" t="s">
        <v>112</v>
      </c>
      <c r="AE576" s="2" t="str">
        <f t="shared" si="117"/>
        <v>Valid</v>
      </c>
      <c r="AF576" s="2" t="s">
        <v>1939</v>
      </c>
    </row>
    <row r="577" spans="1:32" x14ac:dyDescent="0.3">
      <c r="A577" s="2" t="s">
        <v>1940</v>
      </c>
      <c r="B577" s="2">
        <f t="shared" si="107"/>
        <v>1</v>
      </c>
      <c r="C577" s="12">
        <f t="shared" si="121"/>
        <v>46238.581538599537</v>
      </c>
      <c r="D577" s="13">
        <v>46238.581538599537</v>
      </c>
      <c r="E577" s="2" t="s">
        <v>1941</v>
      </c>
      <c r="F577" s="2" t="str">
        <f t="shared" si="108"/>
        <v>Email Available</v>
      </c>
      <c r="G577" s="2" t="s">
        <v>1942</v>
      </c>
      <c r="H577" s="2" t="s">
        <v>201</v>
      </c>
      <c r="I577" s="2" t="s">
        <v>191</v>
      </c>
      <c r="J577" s="2" t="s">
        <v>202</v>
      </c>
      <c r="K577" s="2">
        <v>2</v>
      </c>
      <c r="L577" s="2">
        <v>24.99</v>
      </c>
      <c r="M577" s="19">
        <f t="shared" si="109"/>
        <v>24.99</v>
      </c>
      <c r="N577" s="2" t="s">
        <v>65</v>
      </c>
      <c r="O577" s="2" t="str">
        <f t="shared" si="110"/>
        <v>WELCOME10</v>
      </c>
      <c r="P577" s="2">
        <v>5</v>
      </c>
      <c r="Q577" s="19">
        <f t="shared" si="111"/>
        <v>5</v>
      </c>
      <c r="R577" s="2" t="str">
        <f t="shared" si="112"/>
        <v>Number</v>
      </c>
      <c r="S577" s="2">
        <v>5.99</v>
      </c>
      <c r="T577" s="19">
        <f t="shared" si="113"/>
        <v>5.99</v>
      </c>
      <c r="U577" s="2">
        <v>50.97</v>
      </c>
      <c r="V577" s="19">
        <f t="shared" si="114"/>
        <v>50.97</v>
      </c>
      <c r="W577" s="19">
        <f t="shared" si="115"/>
        <v>50.97</v>
      </c>
      <c r="X577" s="19" t="str">
        <f t="shared" si="116"/>
        <v>True</v>
      </c>
      <c r="Y577" s="19" t="str">
        <f>IF(OR(W577&lt;'Cleaning Tasks'!$G$18,W577&gt;'Cleaning Tasks'!$H$18),"Outlier","Normal")</f>
        <v>Normal</v>
      </c>
      <c r="Z577" s="2" t="s">
        <v>39</v>
      </c>
      <c r="AA577" s="2" t="s">
        <v>27</v>
      </c>
      <c r="AB577" s="2" t="s">
        <v>50</v>
      </c>
      <c r="AC577" s="2" t="s">
        <v>331</v>
      </c>
      <c r="AD577" s="2"/>
      <c r="AE577" s="2" t="str">
        <f t="shared" si="117"/>
        <v>Not Required</v>
      </c>
      <c r="AF577" s="2" t="s">
        <v>1943</v>
      </c>
    </row>
    <row r="578" spans="1:32" x14ac:dyDescent="0.3">
      <c r="A578" s="2" t="s">
        <v>1944</v>
      </c>
      <c r="B578" s="2">
        <f t="shared" ref="B578:B641" si="122">COUNTIF($A$2:$A$1993,A578)</f>
        <v>1</v>
      </c>
      <c r="C578" s="12">
        <f t="shared" si="121"/>
        <v>46238.580953368059</v>
      </c>
      <c r="D578" s="13">
        <v>46238.580953368059</v>
      </c>
      <c r="E578" s="2" t="s">
        <v>705</v>
      </c>
      <c r="F578" s="2" t="str">
        <f t="shared" ref="F578:F641" si="123">IF(TRIM(G578)="","Missing Email","Email Available")</f>
        <v>Email Available</v>
      </c>
      <c r="G578" s="2" t="s">
        <v>706</v>
      </c>
      <c r="H578" s="2" t="s">
        <v>166</v>
      </c>
      <c r="I578" s="2" t="s">
        <v>103</v>
      </c>
      <c r="J578" s="2" t="s">
        <v>167</v>
      </c>
      <c r="K578" s="2">
        <v>1</v>
      </c>
      <c r="L578" s="2" t="s">
        <v>168</v>
      </c>
      <c r="M578" s="19">
        <f t="shared" ref="M578:M641" si="124">IF(ISNUMBER(L578),L578,VALUE(SUBSTITUTE(L578,"$","")))</f>
        <v>32.99</v>
      </c>
      <c r="N578" s="2"/>
      <c r="O578" s="2" t="str">
        <f t="shared" ref="O578:O641" si="125">IF(TRIM(N578)="","",UPPER(TRIM(SUBSTITUTE(N578,CHAR(160)," "))))</f>
        <v/>
      </c>
      <c r="P578" s="2">
        <v>0</v>
      </c>
      <c r="Q578" s="19">
        <f t="shared" ref="Q578:Q641" si="126">IF(ISNUMBER(P578),P578,VALUE(TRIM(SUBSTITUTE(P578,"$",""))))</f>
        <v>0</v>
      </c>
      <c r="R578" s="2" t="str">
        <f t="shared" ref="R578:R641" si="127">IF(ISNUMBER(Q578),"Number","Text")</f>
        <v>Number</v>
      </c>
      <c r="S578" s="2">
        <v>4.99</v>
      </c>
      <c r="T578" s="19">
        <f t="shared" ref="T578:T641" si="128">IF(ISNUMBER(S578),S578,VALUE(TRIM(SUBSTITUTE(S578,"$",""))))</f>
        <v>4.99</v>
      </c>
      <c r="U578" s="2">
        <v>37.979999999999997</v>
      </c>
      <c r="V578" s="19">
        <f t="shared" ref="V578:V641" si="129">IF(ISNUMBER(U578),U578,VALUE(TRIM(SUBSTITUTE(U578,"$",""))))</f>
        <v>37.979999999999997</v>
      </c>
      <c r="W578" s="19">
        <f t="shared" ref="W578:W641" si="130">((M578*K578)-Q578)+T578</f>
        <v>37.980000000000004</v>
      </c>
      <c r="X578" s="19" t="str">
        <f t="shared" ref="X578:X641" si="131">IF(V578=W578,"True","False")</f>
        <v>True</v>
      </c>
      <c r="Y578" s="19" t="str">
        <f>IF(OR(W578&lt;'Cleaning Tasks'!$G$18,W578&gt;'Cleaning Tasks'!$H$18),"Outlier","Normal")</f>
        <v>Normal</v>
      </c>
      <c r="Z578" s="2" t="s">
        <v>26</v>
      </c>
      <c r="AA578" s="2" t="s">
        <v>27</v>
      </c>
      <c r="AB578" s="2" t="s">
        <v>28</v>
      </c>
      <c r="AC578" s="2" t="s">
        <v>331</v>
      </c>
      <c r="AD578" s="2"/>
      <c r="AE578" s="2" t="str">
        <f t="shared" ref="AE578:AE641" si="132">IF(AND(AC578="United States",AD578=""),"Missing state",IF(AD578="","Not Required","Valid"))</f>
        <v>Not Required</v>
      </c>
      <c r="AF578" s="2" t="s">
        <v>1945</v>
      </c>
    </row>
    <row r="579" spans="1:32" x14ac:dyDescent="0.3">
      <c r="A579" s="2" t="s">
        <v>1946</v>
      </c>
      <c r="B579" s="2">
        <f t="shared" si="122"/>
        <v>1</v>
      </c>
      <c r="C579" s="12">
        <f>DATE(VALUE(RIGHT(D579,4)),MATCH(LEFT(D579,3),{"Jan","Feb","Mar","Apr","May","Jun","Jul","Aug","Sep","Oct","Nov","Dec"},0),VALUE(MID(D579,5,2)))</f>
        <v>46238</v>
      </c>
      <c r="D579" s="13" t="s">
        <v>171</v>
      </c>
      <c r="E579" s="2" t="s">
        <v>1947</v>
      </c>
      <c r="F579" s="2" t="str">
        <f t="shared" si="123"/>
        <v>Email Available</v>
      </c>
      <c r="G579" s="2" t="s">
        <v>1948</v>
      </c>
      <c r="H579" s="2" t="s">
        <v>261</v>
      </c>
      <c r="I579" s="2" t="s">
        <v>36</v>
      </c>
      <c r="J579" s="2" t="s">
        <v>262</v>
      </c>
      <c r="K579" s="2">
        <v>1</v>
      </c>
      <c r="L579" s="2">
        <v>15.49</v>
      </c>
      <c r="M579" s="19">
        <f t="shared" si="124"/>
        <v>15.49</v>
      </c>
      <c r="N579" s="2"/>
      <c r="O579" s="2" t="str">
        <f t="shared" si="125"/>
        <v/>
      </c>
      <c r="P579" s="2">
        <v>0</v>
      </c>
      <c r="Q579" s="19">
        <f t="shared" si="126"/>
        <v>0</v>
      </c>
      <c r="R579" s="2" t="str">
        <f t="shared" si="127"/>
        <v>Number</v>
      </c>
      <c r="S579" s="2">
        <v>5.99</v>
      </c>
      <c r="T579" s="19">
        <f t="shared" si="128"/>
        <v>5.99</v>
      </c>
      <c r="U579" s="2">
        <v>21.48</v>
      </c>
      <c r="V579" s="19">
        <f t="shared" si="129"/>
        <v>21.48</v>
      </c>
      <c r="W579" s="19">
        <f t="shared" si="130"/>
        <v>21.48</v>
      </c>
      <c r="X579" s="19" t="str">
        <f t="shared" si="131"/>
        <v>True</v>
      </c>
      <c r="Y579" s="19" t="str">
        <f>IF(OR(W579&lt;'Cleaning Tasks'!$G$18,W579&gt;'Cleaning Tasks'!$H$18),"Outlier","Normal")</f>
        <v>Normal</v>
      </c>
      <c r="Z579" s="2" t="s">
        <v>26</v>
      </c>
      <c r="AA579" s="2" t="s">
        <v>40</v>
      </c>
      <c r="AB579" s="2" t="s">
        <v>50</v>
      </c>
      <c r="AC579" s="2" t="s">
        <v>105</v>
      </c>
      <c r="AD579" s="2"/>
      <c r="AE579" s="2" t="str">
        <f t="shared" si="132"/>
        <v>Not Required</v>
      </c>
      <c r="AF579" s="2" t="s">
        <v>1949</v>
      </c>
    </row>
    <row r="580" spans="1:32" x14ac:dyDescent="0.3">
      <c r="A580" s="2" t="s">
        <v>1950</v>
      </c>
      <c r="B580" s="2">
        <f t="shared" si="122"/>
        <v>1</v>
      </c>
      <c r="C580" s="12">
        <f>IF(ISNUMBER(D580),D580,DATEVALUE(SUBSTITUTE(TRIM(D580),CHAR(160)," ")))</f>
        <v>46238.57963659722</v>
      </c>
      <c r="D580" s="13">
        <v>46238.57963659722</v>
      </c>
      <c r="E580" s="2" t="s">
        <v>421</v>
      </c>
      <c r="F580" s="2" t="str">
        <f t="shared" si="123"/>
        <v>Missing Email</v>
      </c>
      <c r="G580" s="2"/>
      <c r="H580" s="2" t="s">
        <v>152</v>
      </c>
      <c r="I580" s="2" t="s">
        <v>36</v>
      </c>
      <c r="J580" s="2" t="s">
        <v>153</v>
      </c>
      <c r="K580" s="2">
        <v>1</v>
      </c>
      <c r="L580" s="2">
        <v>29.99</v>
      </c>
      <c r="M580" s="19">
        <f t="shared" si="124"/>
        <v>29.99</v>
      </c>
      <c r="N580" s="2"/>
      <c r="O580" s="2" t="str">
        <f t="shared" si="125"/>
        <v/>
      </c>
      <c r="P580" s="2">
        <v>0</v>
      </c>
      <c r="Q580" s="19">
        <f t="shared" si="126"/>
        <v>0</v>
      </c>
      <c r="R580" s="2" t="str">
        <f t="shared" si="127"/>
        <v>Number</v>
      </c>
      <c r="S580" s="2">
        <v>7.99</v>
      </c>
      <c r="T580" s="19">
        <f t="shared" si="128"/>
        <v>7.99</v>
      </c>
      <c r="U580" s="2">
        <v>37.979999999999997</v>
      </c>
      <c r="V580" s="19">
        <f t="shared" si="129"/>
        <v>37.979999999999997</v>
      </c>
      <c r="W580" s="19">
        <f t="shared" si="130"/>
        <v>37.979999999999997</v>
      </c>
      <c r="X580" s="19" t="str">
        <f t="shared" si="131"/>
        <v>True</v>
      </c>
      <c r="Y580" s="19" t="str">
        <f>IF(OR(W580&lt;'Cleaning Tasks'!$G$18,W580&gt;'Cleaning Tasks'!$H$18),"Outlier","Normal")</f>
        <v>Normal</v>
      </c>
      <c r="Z580" s="2" t="s">
        <v>66</v>
      </c>
      <c r="AA580" s="2" t="s">
        <v>40</v>
      </c>
      <c r="AB580" s="2" t="s">
        <v>50</v>
      </c>
      <c r="AC580" s="2" t="s">
        <v>29</v>
      </c>
      <c r="AD580" s="2" t="s">
        <v>51</v>
      </c>
      <c r="AE580" s="2" t="str">
        <f t="shared" si="132"/>
        <v>Valid</v>
      </c>
      <c r="AF580" s="2" t="s">
        <v>848</v>
      </c>
    </row>
    <row r="581" spans="1:32" x14ac:dyDescent="0.3">
      <c r="A581" s="2" t="s">
        <v>1951</v>
      </c>
      <c r="B581" s="2">
        <f t="shared" si="122"/>
        <v>1</v>
      </c>
      <c r="C581" s="12">
        <f>DATE(VALUE(RIGHT(D581,4)),MATCH(LEFT(D581,3),{"Jan","Feb","Mar","Apr","May","Jun","Jul","Aug","Sep","Oct","Nov","Dec"},0),VALUE(MID(D581,5,2)))</f>
        <v>46238</v>
      </c>
      <c r="D581" s="13" t="s">
        <v>171</v>
      </c>
      <c r="E581" s="2" t="s">
        <v>459</v>
      </c>
      <c r="F581" s="2" t="str">
        <f t="shared" si="123"/>
        <v>Email Available</v>
      </c>
      <c r="G581" s="2" t="s">
        <v>460</v>
      </c>
      <c r="H581" s="2" t="s">
        <v>279</v>
      </c>
      <c r="I581" s="2" t="s">
        <v>22</v>
      </c>
      <c r="J581" s="2" t="s">
        <v>280</v>
      </c>
      <c r="K581" s="2">
        <v>1</v>
      </c>
      <c r="L581" s="2">
        <v>24.99</v>
      </c>
      <c r="M581" s="19">
        <f t="shared" si="124"/>
        <v>24.99</v>
      </c>
      <c r="N581" s="2" t="s">
        <v>65</v>
      </c>
      <c r="O581" s="2" t="str">
        <f t="shared" si="125"/>
        <v>WELCOME10</v>
      </c>
      <c r="P581" s="2">
        <v>2.5</v>
      </c>
      <c r="Q581" s="19">
        <f t="shared" si="126"/>
        <v>2.5</v>
      </c>
      <c r="R581" s="2" t="str">
        <f t="shared" si="127"/>
        <v>Number</v>
      </c>
      <c r="S581" s="2">
        <v>5.99</v>
      </c>
      <c r="T581" s="19">
        <f t="shared" si="128"/>
        <v>5.99</v>
      </c>
      <c r="U581" s="2" t="s">
        <v>1952</v>
      </c>
      <c r="V581" s="19">
        <f t="shared" si="129"/>
        <v>28.48</v>
      </c>
      <c r="W581" s="19">
        <f t="shared" si="130"/>
        <v>28.479999999999997</v>
      </c>
      <c r="X581" s="19" t="str">
        <f t="shared" si="131"/>
        <v>True</v>
      </c>
      <c r="Y581" s="19" t="str">
        <f>IF(OR(W581&lt;'Cleaning Tasks'!$G$18,W581&gt;'Cleaning Tasks'!$H$18),"Outlier","Normal")</f>
        <v>Normal</v>
      </c>
      <c r="Z581" s="2" t="s">
        <v>72</v>
      </c>
      <c r="AA581" s="2" t="s">
        <v>40</v>
      </c>
      <c r="AB581" s="2" t="s">
        <v>50</v>
      </c>
      <c r="AC581" s="2" t="s">
        <v>223</v>
      </c>
      <c r="AD581" s="2"/>
      <c r="AE581" s="2" t="str">
        <f t="shared" si="132"/>
        <v>Not Required</v>
      </c>
      <c r="AF581" s="2" t="s">
        <v>1953</v>
      </c>
    </row>
    <row r="582" spans="1:32" x14ac:dyDescent="0.3">
      <c r="A582" s="2" t="s">
        <v>1954</v>
      </c>
      <c r="B582" s="2">
        <f t="shared" si="122"/>
        <v>1</v>
      </c>
      <c r="C582" s="12">
        <f t="shared" ref="C582:C591" si="133">IF(ISNUMBER(D582),D582,DATEVALUE(SUBSTITUTE(TRIM(D582),CHAR(160)," ")))</f>
        <v>46238.582561111107</v>
      </c>
      <c r="D582" s="13">
        <v>46238.582561111107</v>
      </c>
      <c r="E582" s="2" t="s">
        <v>1203</v>
      </c>
      <c r="F582" s="2" t="str">
        <f t="shared" si="123"/>
        <v>Email Available</v>
      </c>
      <c r="G582" s="2" t="s">
        <v>1204</v>
      </c>
      <c r="H582" s="2" t="s">
        <v>130</v>
      </c>
      <c r="I582" s="2" t="s">
        <v>103</v>
      </c>
      <c r="J582" s="2" t="s">
        <v>131</v>
      </c>
      <c r="K582" s="2">
        <v>1</v>
      </c>
      <c r="L582" s="2">
        <v>16.989999999999998</v>
      </c>
      <c r="M582" s="19">
        <f t="shared" si="124"/>
        <v>16.989999999999998</v>
      </c>
      <c r="N582" s="2" t="s">
        <v>118</v>
      </c>
      <c r="O582" s="2" t="str">
        <f t="shared" si="125"/>
        <v>BFCM25</v>
      </c>
      <c r="P582" s="2">
        <v>4.25</v>
      </c>
      <c r="Q582" s="19">
        <f t="shared" si="126"/>
        <v>4.25</v>
      </c>
      <c r="R582" s="2" t="str">
        <f t="shared" si="127"/>
        <v>Number</v>
      </c>
      <c r="S582" s="2">
        <v>7.99</v>
      </c>
      <c r="T582" s="19">
        <f t="shared" si="128"/>
        <v>7.99</v>
      </c>
      <c r="U582" s="2">
        <v>20.73</v>
      </c>
      <c r="V582" s="19">
        <f t="shared" si="129"/>
        <v>20.73</v>
      </c>
      <c r="W582" s="19">
        <f t="shared" si="130"/>
        <v>20.729999999999997</v>
      </c>
      <c r="X582" s="19" t="str">
        <f t="shared" si="131"/>
        <v>True</v>
      </c>
      <c r="Y582" s="19" t="str">
        <f>IF(OR(W582&lt;'Cleaning Tasks'!$G$18,W582&gt;'Cleaning Tasks'!$H$18),"Outlier","Normal")</f>
        <v>Normal</v>
      </c>
      <c r="Z582" s="2" t="s">
        <v>39</v>
      </c>
      <c r="AA582" s="2" t="s">
        <v>27</v>
      </c>
      <c r="AB582" s="2" t="s">
        <v>41</v>
      </c>
      <c r="AC582" s="2" t="s">
        <v>73</v>
      </c>
      <c r="AD582" s="2"/>
      <c r="AE582" s="2" t="str">
        <f t="shared" si="132"/>
        <v>Not Required</v>
      </c>
      <c r="AF582" s="2" t="s">
        <v>1955</v>
      </c>
    </row>
    <row r="583" spans="1:32" x14ac:dyDescent="0.3">
      <c r="A583" s="2" t="s">
        <v>1956</v>
      </c>
      <c r="B583" s="2">
        <f t="shared" si="122"/>
        <v>1</v>
      </c>
      <c r="C583" s="12">
        <f t="shared" si="133"/>
        <v>46238.583211631943</v>
      </c>
      <c r="D583" s="13">
        <v>46238.583211631943</v>
      </c>
      <c r="E583" s="2" t="s">
        <v>1957</v>
      </c>
      <c r="F583" s="2" t="str">
        <f t="shared" si="123"/>
        <v>Missing Email</v>
      </c>
      <c r="G583" s="2"/>
      <c r="H583" s="2" t="s">
        <v>130</v>
      </c>
      <c r="I583" s="2" t="s">
        <v>103</v>
      </c>
      <c r="J583" s="2" t="s">
        <v>131</v>
      </c>
      <c r="K583" s="2">
        <v>2</v>
      </c>
      <c r="L583" s="2">
        <v>16.989999999999998</v>
      </c>
      <c r="M583" s="19">
        <f t="shared" si="124"/>
        <v>16.989999999999998</v>
      </c>
      <c r="N583" s="2" t="s">
        <v>24</v>
      </c>
      <c r="O583" s="2" t="str">
        <f t="shared" si="125"/>
        <v>SAVE20</v>
      </c>
      <c r="P583" s="2">
        <v>6.8</v>
      </c>
      <c r="Q583" s="19">
        <f t="shared" si="126"/>
        <v>6.8</v>
      </c>
      <c r="R583" s="2" t="str">
        <f t="shared" si="127"/>
        <v>Number</v>
      </c>
      <c r="S583" s="2">
        <v>4.99</v>
      </c>
      <c r="T583" s="19">
        <f t="shared" si="128"/>
        <v>4.99</v>
      </c>
      <c r="U583" s="2">
        <v>32.17</v>
      </c>
      <c r="V583" s="19">
        <f t="shared" si="129"/>
        <v>32.17</v>
      </c>
      <c r="W583" s="19">
        <f t="shared" si="130"/>
        <v>32.169999999999995</v>
      </c>
      <c r="X583" s="19" t="str">
        <f t="shared" si="131"/>
        <v>True</v>
      </c>
      <c r="Y583" s="19" t="str">
        <f>IF(OR(W583&lt;'Cleaning Tasks'!$G$18,W583&gt;'Cleaning Tasks'!$H$18),"Outlier","Normal")</f>
        <v>Normal</v>
      </c>
      <c r="Z583" s="2" t="s">
        <v>39</v>
      </c>
      <c r="AA583" s="2" t="s">
        <v>111</v>
      </c>
      <c r="AB583" s="2" t="s">
        <v>50</v>
      </c>
      <c r="AC583" s="2" t="s">
        <v>29</v>
      </c>
      <c r="AD583" s="2" t="s">
        <v>58</v>
      </c>
      <c r="AE583" s="2" t="str">
        <f t="shared" si="132"/>
        <v>Valid</v>
      </c>
      <c r="AF583" s="2" t="s">
        <v>1958</v>
      </c>
    </row>
    <row r="584" spans="1:32" x14ac:dyDescent="0.3">
      <c r="A584" s="2" t="s">
        <v>1959</v>
      </c>
      <c r="B584" s="2">
        <f t="shared" si="122"/>
        <v>1</v>
      </c>
      <c r="C584" s="12">
        <f t="shared" si="133"/>
        <v>46238.585117916657</v>
      </c>
      <c r="D584" s="13">
        <v>46238.585117916657</v>
      </c>
      <c r="E584" s="2" t="s">
        <v>1960</v>
      </c>
      <c r="F584" s="2" t="str">
        <f t="shared" si="123"/>
        <v>Email Available</v>
      </c>
      <c r="G584" s="2" t="s">
        <v>1961</v>
      </c>
      <c r="H584" s="2" t="s">
        <v>152</v>
      </c>
      <c r="I584" s="2" t="s">
        <v>36</v>
      </c>
      <c r="J584" s="2" t="s">
        <v>153</v>
      </c>
      <c r="K584" s="2">
        <v>1</v>
      </c>
      <c r="L584" s="2" t="s">
        <v>610</v>
      </c>
      <c r="M584" s="19">
        <f t="shared" si="124"/>
        <v>29.99</v>
      </c>
      <c r="N584" s="2"/>
      <c r="O584" s="2" t="str">
        <f t="shared" si="125"/>
        <v/>
      </c>
      <c r="P584" s="2">
        <v>0</v>
      </c>
      <c r="Q584" s="19">
        <f t="shared" si="126"/>
        <v>0</v>
      </c>
      <c r="R584" s="2" t="str">
        <f t="shared" si="127"/>
        <v>Number</v>
      </c>
      <c r="S584" s="2">
        <v>4.99</v>
      </c>
      <c r="T584" s="19">
        <f t="shared" si="128"/>
        <v>4.99</v>
      </c>
      <c r="U584" s="2">
        <v>34.979999999999997</v>
      </c>
      <c r="V584" s="19">
        <f t="shared" si="129"/>
        <v>34.979999999999997</v>
      </c>
      <c r="W584" s="19">
        <f t="shared" si="130"/>
        <v>34.979999999999997</v>
      </c>
      <c r="X584" s="19" t="str">
        <f t="shared" si="131"/>
        <v>True</v>
      </c>
      <c r="Y584" s="19" t="str">
        <f>IF(OR(W584&lt;'Cleaning Tasks'!$G$18,W584&gt;'Cleaning Tasks'!$H$18),"Outlier","Normal")</f>
        <v>Normal</v>
      </c>
      <c r="Z584" s="2" t="s">
        <v>39</v>
      </c>
      <c r="AA584" s="2" t="s">
        <v>27</v>
      </c>
      <c r="AB584" s="2" t="s">
        <v>50</v>
      </c>
      <c r="AC584" s="2" t="s">
        <v>29</v>
      </c>
      <c r="AD584" s="2" t="s">
        <v>89</v>
      </c>
      <c r="AE584" s="2" t="str">
        <f t="shared" si="132"/>
        <v>Valid</v>
      </c>
      <c r="AF584" s="2" t="s">
        <v>1962</v>
      </c>
    </row>
    <row r="585" spans="1:32" x14ac:dyDescent="0.3">
      <c r="A585" s="2" t="s">
        <v>1963</v>
      </c>
      <c r="B585" s="2">
        <f t="shared" si="122"/>
        <v>1</v>
      </c>
      <c r="C585" s="12">
        <f t="shared" si="133"/>
        <v>46238.586242395832</v>
      </c>
      <c r="D585" s="13">
        <v>46238.586242395832</v>
      </c>
      <c r="E585" s="2" t="s">
        <v>459</v>
      </c>
      <c r="F585" s="2" t="str">
        <f t="shared" si="123"/>
        <v>Email Available</v>
      </c>
      <c r="G585" s="2" t="s">
        <v>460</v>
      </c>
      <c r="H585" s="2" t="s">
        <v>124</v>
      </c>
      <c r="I585" s="2" t="s">
        <v>79</v>
      </c>
      <c r="J585" s="2" t="s">
        <v>125</v>
      </c>
      <c r="K585" s="2">
        <v>2</v>
      </c>
      <c r="L585" s="2">
        <v>13.99</v>
      </c>
      <c r="M585" s="19">
        <f t="shared" si="124"/>
        <v>13.99</v>
      </c>
      <c r="N585" s="2"/>
      <c r="O585" s="2" t="str">
        <f t="shared" si="125"/>
        <v/>
      </c>
      <c r="P585" s="2">
        <v>0</v>
      </c>
      <c r="Q585" s="19">
        <f t="shared" si="126"/>
        <v>0</v>
      </c>
      <c r="R585" s="2" t="str">
        <f t="shared" si="127"/>
        <v>Number</v>
      </c>
      <c r="S585" s="2">
        <v>4.99</v>
      </c>
      <c r="T585" s="19">
        <f t="shared" si="128"/>
        <v>4.99</v>
      </c>
      <c r="U585" s="2">
        <v>32.97</v>
      </c>
      <c r="V585" s="19">
        <f t="shared" si="129"/>
        <v>32.97</v>
      </c>
      <c r="W585" s="19">
        <f t="shared" si="130"/>
        <v>32.97</v>
      </c>
      <c r="X585" s="19" t="str">
        <f t="shared" si="131"/>
        <v>True</v>
      </c>
      <c r="Y585" s="19" t="str">
        <f>IF(OR(W585&lt;'Cleaning Tasks'!$G$18,W585&gt;'Cleaning Tasks'!$H$18),"Outlier","Normal")</f>
        <v>Normal</v>
      </c>
      <c r="Z585" s="2" t="s">
        <v>49</v>
      </c>
      <c r="AA585" s="2" t="s">
        <v>40</v>
      </c>
      <c r="AB585" s="2" t="s">
        <v>50</v>
      </c>
      <c r="AC585" s="2" t="s">
        <v>223</v>
      </c>
      <c r="AD585" s="2"/>
      <c r="AE585" s="2" t="str">
        <f t="shared" si="132"/>
        <v>Not Required</v>
      </c>
      <c r="AF585" s="2" t="s">
        <v>1964</v>
      </c>
    </row>
    <row r="586" spans="1:32" x14ac:dyDescent="0.3">
      <c r="A586" s="2" t="s">
        <v>1965</v>
      </c>
      <c r="B586" s="2">
        <f t="shared" si="122"/>
        <v>1</v>
      </c>
      <c r="C586" s="12">
        <f t="shared" si="133"/>
        <v>46238.585715636567</v>
      </c>
      <c r="D586" s="13">
        <v>46238.585715636567</v>
      </c>
      <c r="E586" s="2" t="s">
        <v>1966</v>
      </c>
      <c r="F586" s="2" t="str">
        <f t="shared" si="123"/>
        <v>Email Available</v>
      </c>
      <c r="G586" s="2" t="s">
        <v>1967</v>
      </c>
      <c r="H586" s="2" t="s">
        <v>124</v>
      </c>
      <c r="I586" s="2" t="s">
        <v>79</v>
      </c>
      <c r="J586" s="2" t="s">
        <v>125</v>
      </c>
      <c r="K586" s="2">
        <v>1</v>
      </c>
      <c r="L586" s="2">
        <v>13.99</v>
      </c>
      <c r="M586" s="19">
        <f t="shared" si="124"/>
        <v>13.99</v>
      </c>
      <c r="N586" s="2" t="s">
        <v>24</v>
      </c>
      <c r="O586" s="2" t="str">
        <f t="shared" si="125"/>
        <v>SAVE20</v>
      </c>
      <c r="P586" s="2">
        <v>2.8</v>
      </c>
      <c r="Q586" s="19">
        <f t="shared" si="126"/>
        <v>2.8</v>
      </c>
      <c r="R586" s="2" t="str">
        <f t="shared" si="127"/>
        <v>Number</v>
      </c>
      <c r="S586" s="2">
        <v>4.99</v>
      </c>
      <c r="T586" s="19">
        <f t="shared" si="128"/>
        <v>4.99</v>
      </c>
      <c r="U586" s="2">
        <v>16.18</v>
      </c>
      <c r="V586" s="19">
        <f t="shared" si="129"/>
        <v>16.18</v>
      </c>
      <c r="W586" s="19">
        <f t="shared" si="130"/>
        <v>16.18</v>
      </c>
      <c r="X586" s="19" t="str">
        <f t="shared" si="131"/>
        <v>True</v>
      </c>
      <c r="Y586" s="19" t="str">
        <f>IF(OR(W586&lt;'Cleaning Tasks'!$G$18,W586&gt;'Cleaning Tasks'!$H$18),"Outlier","Normal")</f>
        <v>Normal</v>
      </c>
      <c r="Z586" s="2" t="s">
        <v>49</v>
      </c>
      <c r="AA586" s="2" t="s">
        <v>27</v>
      </c>
      <c r="AB586" s="2" t="s">
        <v>50</v>
      </c>
      <c r="AC586" s="2" t="s">
        <v>223</v>
      </c>
      <c r="AD586" s="2"/>
      <c r="AE586" s="2" t="str">
        <f t="shared" si="132"/>
        <v>Not Required</v>
      </c>
      <c r="AF586" s="2" t="s">
        <v>1968</v>
      </c>
    </row>
    <row r="587" spans="1:32" x14ac:dyDescent="0.3">
      <c r="A587" s="2" t="s">
        <v>1969</v>
      </c>
      <c r="B587" s="2">
        <f t="shared" si="122"/>
        <v>1</v>
      </c>
      <c r="C587" s="12">
        <f t="shared" si="133"/>
        <v>46238.579031504632</v>
      </c>
      <c r="D587" s="13">
        <v>46238.579031504632</v>
      </c>
      <c r="E587" s="2" t="s">
        <v>213</v>
      </c>
      <c r="F587" s="2" t="str">
        <f t="shared" si="123"/>
        <v>Missing Email</v>
      </c>
      <c r="G587" s="2"/>
      <c r="H587" s="22" t="s">
        <v>361</v>
      </c>
      <c r="I587" s="2" t="s">
        <v>86</v>
      </c>
      <c r="J587" s="2" t="s">
        <v>362</v>
      </c>
      <c r="K587" s="2">
        <v>2</v>
      </c>
      <c r="L587" s="2">
        <v>54.99</v>
      </c>
      <c r="M587" s="19">
        <f t="shared" si="124"/>
        <v>54.99</v>
      </c>
      <c r="N587" s="2" t="s">
        <v>24</v>
      </c>
      <c r="O587" s="2" t="str">
        <f t="shared" si="125"/>
        <v>SAVE20</v>
      </c>
      <c r="P587" s="2" t="s">
        <v>1970</v>
      </c>
      <c r="Q587" s="19">
        <f t="shared" si="126"/>
        <v>22</v>
      </c>
      <c r="R587" s="2" t="str">
        <f t="shared" si="127"/>
        <v>Number</v>
      </c>
      <c r="S587" s="2">
        <v>0</v>
      </c>
      <c r="T587" s="19">
        <f t="shared" si="128"/>
        <v>0</v>
      </c>
      <c r="U587" s="2">
        <v>87.98</v>
      </c>
      <c r="V587" s="19">
        <f t="shared" si="129"/>
        <v>87.98</v>
      </c>
      <c r="W587" s="19">
        <f t="shared" si="130"/>
        <v>87.98</v>
      </c>
      <c r="X587" s="19" t="str">
        <f t="shared" si="131"/>
        <v>True</v>
      </c>
      <c r="Y587" s="19" t="str">
        <f>IF(OR(W587&lt;'Cleaning Tasks'!$G$18,W587&gt;'Cleaning Tasks'!$H$18),"Outlier","Normal")</f>
        <v>Outlier</v>
      </c>
      <c r="Z587" s="2" t="s">
        <v>26</v>
      </c>
      <c r="AA587" s="2" t="s">
        <v>111</v>
      </c>
      <c r="AB587" s="2" t="s">
        <v>50</v>
      </c>
      <c r="AC587" s="2" t="s">
        <v>29</v>
      </c>
      <c r="AD587" s="22" t="s">
        <v>58</v>
      </c>
      <c r="AE587" s="2" t="str">
        <f t="shared" si="132"/>
        <v>Valid</v>
      </c>
      <c r="AF587" s="2" t="s">
        <v>1971</v>
      </c>
    </row>
    <row r="588" spans="1:32" x14ac:dyDescent="0.3">
      <c r="A588" s="2" t="s">
        <v>1972</v>
      </c>
      <c r="B588" s="2">
        <f t="shared" si="122"/>
        <v>1</v>
      </c>
      <c r="C588" s="12">
        <f t="shared" si="133"/>
        <v>46238</v>
      </c>
      <c r="D588" s="13">
        <v>46238</v>
      </c>
      <c r="E588" s="2" t="s">
        <v>329</v>
      </c>
      <c r="F588" s="2" t="str">
        <f t="shared" si="123"/>
        <v>Email Available</v>
      </c>
      <c r="G588" s="2" t="s">
        <v>330</v>
      </c>
      <c r="H588" s="2" t="s">
        <v>124</v>
      </c>
      <c r="I588" s="2" t="s">
        <v>79</v>
      </c>
      <c r="J588" s="2" t="s">
        <v>125</v>
      </c>
      <c r="K588" s="2">
        <v>1</v>
      </c>
      <c r="L588" s="2">
        <v>13.99</v>
      </c>
      <c r="M588" s="19">
        <f t="shared" si="124"/>
        <v>13.99</v>
      </c>
      <c r="N588" s="2"/>
      <c r="O588" s="2" t="str">
        <f t="shared" si="125"/>
        <v/>
      </c>
      <c r="P588" s="2">
        <v>0</v>
      </c>
      <c r="Q588" s="19">
        <f t="shared" si="126"/>
        <v>0</v>
      </c>
      <c r="R588" s="2" t="str">
        <f t="shared" si="127"/>
        <v>Number</v>
      </c>
      <c r="S588" s="2">
        <v>4.99</v>
      </c>
      <c r="T588" s="19">
        <f t="shared" si="128"/>
        <v>4.99</v>
      </c>
      <c r="U588" s="2">
        <v>18.98</v>
      </c>
      <c r="V588" s="19">
        <f t="shared" si="129"/>
        <v>18.98</v>
      </c>
      <c r="W588" s="19">
        <f t="shared" si="130"/>
        <v>18.98</v>
      </c>
      <c r="X588" s="19" t="str">
        <f t="shared" si="131"/>
        <v>True</v>
      </c>
      <c r="Y588" s="19" t="str">
        <f>IF(OR(W588&lt;'Cleaning Tasks'!$G$18,W588&gt;'Cleaning Tasks'!$H$18),"Outlier","Normal")</f>
        <v>Normal</v>
      </c>
      <c r="Z588" s="2" t="s">
        <v>26</v>
      </c>
      <c r="AA588" s="2" t="s">
        <v>88</v>
      </c>
      <c r="AB588" s="2" t="s">
        <v>41</v>
      </c>
      <c r="AC588" s="2" t="s">
        <v>331</v>
      </c>
      <c r="AD588" s="2"/>
      <c r="AE588" s="2" t="str">
        <f t="shared" si="132"/>
        <v>Not Required</v>
      </c>
      <c r="AF588" s="2" t="s">
        <v>1973</v>
      </c>
    </row>
    <row r="589" spans="1:32" x14ac:dyDescent="0.3">
      <c r="A589" s="2" t="s">
        <v>1974</v>
      </c>
      <c r="B589" s="2">
        <f t="shared" si="122"/>
        <v>1</v>
      </c>
      <c r="C589" s="12">
        <f t="shared" si="133"/>
        <v>46238</v>
      </c>
      <c r="D589" s="13" t="s">
        <v>143</v>
      </c>
      <c r="E589" s="2" t="s">
        <v>1975</v>
      </c>
      <c r="F589" s="2" t="str">
        <f t="shared" si="123"/>
        <v>Email Available</v>
      </c>
      <c r="G589" s="2" t="s">
        <v>255</v>
      </c>
      <c r="H589" s="2" t="s">
        <v>190</v>
      </c>
      <c r="I589" s="2" t="s">
        <v>191</v>
      </c>
      <c r="J589" s="2" t="s">
        <v>192</v>
      </c>
      <c r="K589" s="2">
        <v>1</v>
      </c>
      <c r="L589" s="2">
        <v>13.49</v>
      </c>
      <c r="M589" s="19">
        <f t="shared" si="124"/>
        <v>13.49</v>
      </c>
      <c r="N589" s="2"/>
      <c r="O589" s="2" t="str">
        <f t="shared" si="125"/>
        <v/>
      </c>
      <c r="P589" s="2">
        <v>0</v>
      </c>
      <c r="Q589" s="19">
        <f t="shared" si="126"/>
        <v>0</v>
      </c>
      <c r="R589" s="2" t="str">
        <f t="shared" si="127"/>
        <v>Number</v>
      </c>
      <c r="S589" s="2">
        <v>7.99</v>
      </c>
      <c r="T589" s="19">
        <f t="shared" si="128"/>
        <v>7.99</v>
      </c>
      <c r="U589" s="2">
        <v>21.48</v>
      </c>
      <c r="V589" s="19">
        <f t="shared" si="129"/>
        <v>21.48</v>
      </c>
      <c r="W589" s="19">
        <f t="shared" si="130"/>
        <v>21.48</v>
      </c>
      <c r="X589" s="19" t="str">
        <f t="shared" si="131"/>
        <v>True</v>
      </c>
      <c r="Y589" s="19" t="str">
        <f>IF(OR(W589&lt;'Cleaning Tasks'!$G$18,W589&gt;'Cleaning Tasks'!$H$18),"Outlier","Normal")</f>
        <v>Normal</v>
      </c>
      <c r="Z589" s="2" t="s">
        <v>49</v>
      </c>
      <c r="AA589" s="2" t="s">
        <v>27</v>
      </c>
      <c r="AB589" s="2" t="s">
        <v>50</v>
      </c>
      <c r="AC589" s="2" t="s">
        <v>29</v>
      </c>
      <c r="AD589" s="2" t="s">
        <v>447</v>
      </c>
      <c r="AE589" s="2" t="str">
        <f t="shared" si="132"/>
        <v>Valid</v>
      </c>
      <c r="AF589" s="2" t="s">
        <v>1976</v>
      </c>
    </row>
    <row r="590" spans="1:32" x14ac:dyDescent="0.3">
      <c r="A590" s="2" t="s">
        <v>1977</v>
      </c>
      <c r="B590" s="2">
        <f t="shared" si="122"/>
        <v>1</v>
      </c>
      <c r="C590" s="12">
        <f t="shared" si="133"/>
        <v>46238.579376712973</v>
      </c>
      <c r="D590" s="13">
        <v>46238.579376712973</v>
      </c>
      <c r="E590" s="2" t="s">
        <v>1515</v>
      </c>
      <c r="F590" s="2" t="str">
        <f t="shared" si="123"/>
        <v>Email Available</v>
      </c>
      <c r="G590" s="2" t="s">
        <v>1516</v>
      </c>
      <c r="H590" s="2" t="s">
        <v>166</v>
      </c>
      <c r="I590" s="2" t="s">
        <v>103</v>
      </c>
      <c r="J590" s="2" t="s">
        <v>167</v>
      </c>
      <c r="K590" s="2">
        <v>1</v>
      </c>
      <c r="L590" s="2">
        <v>32.99</v>
      </c>
      <c r="M590" s="19">
        <f t="shared" si="124"/>
        <v>32.99</v>
      </c>
      <c r="N590" s="2"/>
      <c r="O590" s="2" t="str">
        <f t="shared" si="125"/>
        <v/>
      </c>
      <c r="P590" s="2">
        <v>0</v>
      </c>
      <c r="Q590" s="19">
        <f t="shared" si="126"/>
        <v>0</v>
      </c>
      <c r="R590" s="2" t="str">
        <f t="shared" si="127"/>
        <v>Number</v>
      </c>
      <c r="S590" s="2">
        <v>7.99</v>
      </c>
      <c r="T590" s="19">
        <f t="shared" si="128"/>
        <v>7.99</v>
      </c>
      <c r="U590" s="2">
        <v>40.98</v>
      </c>
      <c r="V590" s="19">
        <f t="shared" si="129"/>
        <v>40.98</v>
      </c>
      <c r="W590" s="19">
        <f t="shared" si="130"/>
        <v>40.980000000000004</v>
      </c>
      <c r="X590" s="19" t="str">
        <f t="shared" si="131"/>
        <v>True</v>
      </c>
      <c r="Y590" s="19" t="str">
        <f>IF(OR(W590&lt;'Cleaning Tasks'!$G$18,W590&gt;'Cleaning Tasks'!$H$18),"Outlier","Normal")</f>
        <v>Normal</v>
      </c>
      <c r="Z590" s="2" t="s">
        <v>66</v>
      </c>
      <c r="AA590" s="2" t="s">
        <v>27</v>
      </c>
      <c r="AB590" s="2" t="s">
        <v>41</v>
      </c>
      <c r="AC590" s="2" t="s">
        <v>73</v>
      </c>
      <c r="AD590" s="2"/>
      <c r="AE590" s="2" t="str">
        <f t="shared" si="132"/>
        <v>Not Required</v>
      </c>
      <c r="AF590" s="2" t="s">
        <v>1978</v>
      </c>
    </row>
    <row r="591" spans="1:32" x14ac:dyDescent="0.3">
      <c r="A591" s="2" t="s">
        <v>1979</v>
      </c>
      <c r="B591" s="2">
        <f t="shared" si="122"/>
        <v>1</v>
      </c>
      <c r="C591" s="12">
        <f t="shared" si="133"/>
        <v>46238</v>
      </c>
      <c r="D591" s="13" t="s">
        <v>338</v>
      </c>
      <c r="E591" s="2" t="s">
        <v>1980</v>
      </c>
      <c r="F591" s="2" t="str">
        <f t="shared" si="123"/>
        <v>Email Available</v>
      </c>
      <c r="G591" s="2" t="s">
        <v>1981</v>
      </c>
      <c r="H591" s="2" t="s">
        <v>152</v>
      </c>
      <c r="I591" s="2" t="s">
        <v>36</v>
      </c>
      <c r="J591" s="2" t="s">
        <v>153</v>
      </c>
      <c r="K591" s="2">
        <v>1</v>
      </c>
      <c r="L591" s="2">
        <v>29.99</v>
      </c>
      <c r="M591" s="19">
        <f t="shared" si="124"/>
        <v>29.99</v>
      </c>
      <c r="N591" s="2" t="s">
        <v>65</v>
      </c>
      <c r="O591" s="2" t="str">
        <f t="shared" si="125"/>
        <v>WELCOME10</v>
      </c>
      <c r="P591" s="2">
        <v>3</v>
      </c>
      <c r="Q591" s="19">
        <f t="shared" si="126"/>
        <v>3</v>
      </c>
      <c r="R591" s="2" t="str">
        <f t="shared" si="127"/>
        <v>Number</v>
      </c>
      <c r="S591" s="2">
        <v>5.99</v>
      </c>
      <c r="T591" s="19">
        <f t="shared" si="128"/>
        <v>5.99</v>
      </c>
      <c r="U591" s="2">
        <v>32.979999999999997</v>
      </c>
      <c r="V591" s="19">
        <f t="shared" si="129"/>
        <v>32.979999999999997</v>
      </c>
      <c r="W591" s="19">
        <f t="shared" si="130"/>
        <v>32.979999999999997</v>
      </c>
      <c r="X591" s="19" t="str">
        <f t="shared" si="131"/>
        <v>True</v>
      </c>
      <c r="Y591" s="19" t="str">
        <f>IF(OR(W591&lt;'Cleaning Tasks'!$G$18,W591&gt;'Cleaning Tasks'!$H$18),"Outlier","Normal")</f>
        <v>Normal</v>
      </c>
      <c r="Z591" s="2" t="s">
        <v>49</v>
      </c>
      <c r="AA591" s="2" t="s">
        <v>27</v>
      </c>
      <c r="AB591" s="2" t="s">
        <v>28</v>
      </c>
      <c r="AC591" s="2" t="s">
        <v>42</v>
      </c>
      <c r="AD591" s="2"/>
      <c r="AE591" s="2" t="str">
        <f t="shared" si="132"/>
        <v>Not Required</v>
      </c>
      <c r="AF591" s="2" t="s">
        <v>1982</v>
      </c>
    </row>
    <row r="592" spans="1:32" x14ac:dyDescent="0.3">
      <c r="A592" s="2" t="s">
        <v>1983</v>
      </c>
      <c r="B592" s="2">
        <f t="shared" si="122"/>
        <v>1</v>
      </c>
      <c r="C592" s="12">
        <f>DATE(VALUE(RIGHT(D592,4)),MATCH(LEFT(D592,3),{"Jan","Feb","Mar","Apr","May","Jun","Jul","Aug","Sep","Oct","Nov","Dec"},0),VALUE(MID(D592,5,2)))</f>
        <v>46238</v>
      </c>
      <c r="D592" s="13" t="s">
        <v>171</v>
      </c>
      <c r="E592" s="2" t="s">
        <v>756</v>
      </c>
      <c r="F592" s="2" t="str">
        <f t="shared" si="123"/>
        <v>Email Available</v>
      </c>
      <c r="G592" s="2" t="s">
        <v>757</v>
      </c>
      <c r="H592" s="2" t="s">
        <v>267</v>
      </c>
      <c r="I592" s="2" t="s">
        <v>22</v>
      </c>
      <c r="J592" s="2" t="s">
        <v>268</v>
      </c>
      <c r="K592" s="2">
        <v>1</v>
      </c>
      <c r="L592" s="2">
        <v>18.989999999999998</v>
      </c>
      <c r="M592" s="19">
        <f t="shared" si="124"/>
        <v>18.989999999999998</v>
      </c>
      <c r="N592" s="2" t="s">
        <v>203</v>
      </c>
      <c r="O592" s="2" t="str">
        <f t="shared" si="125"/>
        <v>VIP15</v>
      </c>
      <c r="P592" s="2">
        <v>2.85</v>
      </c>
      <c r="Q592" s="19">
        <f t="shared" si="126"/>
        <v>2.85</v>
      </c>
      <c r="R592" s="2" t="str">
        <f t="shared" si="127"/>
        <v>Number</v>
      </c>
      <c r="S592" s="2">
        <v>4.99</v>
      </c>
      <c r="T592" s="19">
        <f t="shared" si="128"/>
        <v>4.99</v>
      </c>
      <c r="U592" s="2" t="s">
        <v>1984</v>
      </c>
      <c r="V592" s="19">
        <f t="shared" si="129"/>
        <v>21.13</v>
      </c>
      <c r="W592" s="19">
        <f t="shared" si="130"/>
        <v>21.129999999999995</v>
      </c>
      <c r="X592" s="19" t="str">
        <f t="shared" si="131"/>
        <v>True</v>
      </c>
      <c r="Y592" s="19" t="str">
        <f>IF(OR(W592&lt;'Cleaning Tasks'!$G$18,W592&gt;'Cleaning Tasks'!$H$18),"Outlier","Normal")</f>
        <v>Normal</v>
      </c>
      <c r="Z592" s="2" t="s">
        <v>49</v>
      </c>
      <c r="AA592" s="2" t="s">
        <v>40</v>
      </c>
      <c r="AB592" s="2" t="s">
        <v>50</v>
      </c>
      <c r="AC592" s="2" t="s">
        <v>29</v>
      </c>
      <c r="AD592" s="2" t="s">
        <v>30</v>
      </c>
      <c r="AE592" s="2" t="str">
        <f t="shared" si="132"/>
        <v>Valid</v>
      </c>
      <c r="AF592" s="2" t="s">
        <v>1985</v>
      </c>
    </row>
    <row r="593" spans="1:32" x14ac:dyDescent="0.3">
      <c r="A593" s="2" t="s">
        <v>1986</v>
      </c>
      <c r="B593" s="2">
        <f t="shared" si="122"/>
        <v>1</v>
      </c>
      <c r="C593" s="12">
        <f t="shared" ref="C593:C624" si="134">IF(ISNUMBER(D593),D593,DATEVALUE(SUBSTITUTE(TRIM(D593),CHAR(160)," ")))</f>
        <v>46238.580970289353</v>
      </c>
      <c r="D593" s="13">
        <v>46238.580970289353</v>
      </c>
      <c r="E593" s="2" t="s">
        <v>780</v>
      </c>
      <c r="F593" s="2" t="str">
        <f t="shared" si="123"/>
        <v>Email Available</v>
      </c>
      <c r="G593" s="2" t="s">
        <v>781</v>
      </c>
      <c r="H593" s="2" t="s">
        <v>63</v>
      </c>
      <c r="I593" s="2" t="s">
        <v>47</v>
      </c>
      <c r="J593" s="2" t="s">
        <v>64</v>
      </c>
      <c r="K593" s="2">
        <v>2</v>
      </c>
      <c r="L593" s="2">
        <v>14.99</v>
      </c>
      <c r="M593" s="19">
        <f t="shared" si="124"/>
        <v>14.99</v>
      </c>
      <c r="N593" s="2"/>
      <c r="O593" s="2" t="str">
        <f t="shared" si="125"/>
        <v/>
      </c>
      <c r="P593" s="2">
        <v>0</v>
      </c>
      <c r="Q593" s="19">
        <f t="shared" si="126"/>
        <v>0</v>
      </c>
      <c r="R593" s="2" t="str">
        <f t="shared" si="127"/>
        <v>Number</v>
      </c>
      <c r="S593" s="2">
        <v>7.99</v>
      </c>
      <c r="T593" s="19">
        <f t="shared" si="128"/>
        <v>7.99</v>
      </c>
      <c r="U593" s="2">
        <v>37.97</v>
      </c>
      <c r="V593" s="19">
        <f t="shared" si="129"/>
        <v>37.97</v>
      </c>
      <c r="W593" s="19">
        <f t="shared" si="130"/>
        <v>37.97</v>
      </c>
      <c r="X593" s="19" t="str">
        <f t="shared" si="131"/>
        <v>True</v>
      </c>
      <c r="Y593" s="19" t="str">
        <f>IF(OR(W593&lt;'Cleaning Tasks'!$G$18,W593&gt;'Cleaning Tasks'!$H$18),"Outlier","Normal")</f>
        <v>Normal</v>
      </c>
      <c r="Z593" s="2" t="s">
        <v>39</v>
      </c>
      <c r="AA593" s="2" t="s">
        <v>27</v>
      </c>
      <c r="AB593" s="2" t="s">
        <v>41</v>
      </c>
      <c r="AC593" s="2" t="s">
        <v>223</v>
      </c>
      <c r="AD593" s="2"/>
      <c r="AE593" s="2" t="str">
        <f t="shared" si="132"/>
        <v>Not Required</v>
      </c>
      <c r="AF593" s="2" t="s">
        <v>1987</v>
      </c>
    </row>
    <row r="594" spans="1:32" x14ac:dyDescent="0.3">
      <c r="A594" s="2" t="s">
        <v>1988</v>
      </c>
      <c r="B594" s="2">
        <f t="shared" si="122"/>
        <v>1</v>
      </c>
      <c r="C594" s="12">
        <f t="shared" si="134"/>
        <v>46238.581004143518</v>
      </c>
      <c r="D594" s="13">
        <v>46238.581004143518</v>
      </c>
      <c r="E594" s="2" t="s">
        <v>1989</v>
      </c>
      <c r="F594" s="2" t="str">
        <f t="shared" si="123"/>
        <v>Email Available</v>
      </c>
      <c r="G594" s="2" t="s">
        <v>1990</v>
      </c>
      <c r="H594" s="2" t="s">
        <v>267</v>
      </c>
      <c r="I594" s="2" t="s">
        <v>22</v>
      </c>
      <c r="J594" s="2" t="s">
        <v>268</v>
      </c>
      <c r="K594" s="2">
        <v>2</v>
      </c>
      <c r="L594" s="2">
        <v>18.989999999999998</v>
      </c>
      <c r="M594" s="19">
        <f t="shared" si="124"/>
        <v>18.989999999999998</v>
      </c>
      <c r="N594" s="2" t="s">
        <v>118</v>
      </c>
      <c r="O594" s="2" t="str">
        <f t="shared" si="125"/>
        <v>BFCM25</v>
      </c>
      <c r="P594" s="2">
        <v>9.49</v>
      </c>
      <c r="Q594" s="19">
        <f t="shared" si="126"/>
        <v>9.49</v>
      </c>
      <c r="R594" s="2" t="str">
        <f t="shared" si="127"/>
        <v>Number</v>
      </c>
      <c r="S594" s="2">
        <v>4.99</v>
      </c>
      <c r="T594" s="19">
        <f t="shared" si="128"/>
        <v>4.99</v>
      </c>
      <c r="U594" s="2">
        <v>33.479999999999997</v>
      </c>
      <c r="V594" s="19">
        <f t="shared" si="129"/>
        <v>33.479999999999997</v>
      </c>
      <c r="W594" s="19">
        <f t="shared" si="130"/>
        <v>33.479999999999997</v>
      </c>
      <c r="X594" s="19" t="str">
        <f t="shared" si="131"/>
        <v>True</v>
      </c>
      <c r="Y594" s="19" t="str">
        <f>IF(OR(W594&lt;'Cleaning Tasks'!$G$18,W594&gt;'Cleaning Tasks'!$H$18),"Outlier","Normal")</f>
        <v>Normal</v>
      </c>
      <c r="Z594" s="2" t="s">
        <v>66</v>
      </c>
      <c r="AA594" s="2" t="s">
        <v>111</v>
      </c>
      <c r="AB594" s="2" t="s">
        <v>50</v>
      </c>
      <c r="AC594" s="2" t="s">
        <v>223</v>
      </c>
      <c r="AD594" s="2"/>
      <c r="AE594" s="2" t="str">
        <f t="shared" si="132"/>
        <v>Not Required</v>
      </c>
      <c r="AF594" s="2" t="s">
        <v>1991</v>
      </c>
    </row>
    <row r="595" spans="1:32" x14ac:dyDescent="0.3">
      <c r="A595" s="2" t="s">
        <v>1992</v>
      </c>
      <c r="B595" s="2">
        <f t="shared" si="122"/>
        <v>1</v>
      </c>
      <c r="C595" s="12">
        <f t="shared" si="134"/>
        <v>46238.587732337961</v>
      </c>
      <c r="D595" s="13">
        <v>46238.587732337961</v>
      </c>
      <c r="E595" s="2" t="s">
        <v>974</v>
      </c>
      <c r="F595" s="2" t="str">
        <f t="shared" si="123"/>
        <v>Email Available</v>
      </c>
      <c r="G595" s="2" t="s">
        <v>975</v>
      </c>
      <c r="H595" s="2" t="s">
        <v>166</v>
      </c>
      <c r="I595" s="2" t="s">
        <v>103</v>
      </c>
      <c r="J595" s="2" t="s">
        <v>167</v>
      </c>
      <c r="K595" s="2">
        <v>2</v>
      </c>
      <c r="L595" s="2">
        <v>32.99</v>
      </c>
      <c r="M595" s="19">
        <f t="shared" si="124"/>
        <v>32.99</v>
      </c>
      <c r="N595" s="2" t="s">
        <v>38</v>
      </c>
      <c r="O595" s="2" t="str">
        <f t="shared" si="125"/>
        <v>FREESHIP</v>
      </c>
      <c r="P595" s="2">
        <v>0</v>
      </c>
      <c r="Q595" s="19">
        <f t="shared" si="126"/>
        <v>0</v>
      </c>
      <c r="R595" s="2" t="str">
        <f t="shared" si="127"/>
        <v>Number</v>
      </c>
      <c r="S595" s="2">
        <v>0</v>
      </c>
      <c r="T595" s="19">
        <f t="shared" si="128"/>
        <v>0</v>
      </c>
      <c r="U595" s="2">
        <v>65.98</v>
      </c>
      <c r="V595" s="19">
        <f t="shared" si="129"/>
        <v>65.98</v>
      </c>
      <c r="W595" s="19">
        <f t="shared" si="130"/>
        <v>65.98</v>
      </c>
      <c r="X595" s="19" t="str">
        <f t="shared" si="131"/>
        <v>True</v>
      </c>
      <c r="Y595" s="19" t="str">
        <f>IF(OR(W595&lt;'Cleaning Tasks'!$G$18,W595&gt;'Cleaning Tasks'!$H$18),"Outlier","Normal")</f>
        <v>Normal</v>
      </c>
      <c r="Z595" s="2" t="s">
        <v>26</v>
      </c>
      <c r="AA595" s="2" t="s">
        <v>27</v>
      </c>
      <c r="AB595" s="2" t="s">
        <v>28</v>
      </c>
      <c r="AC595" s="2" t="s">
        <v>331</v>
      </c>
      <c r="AD595" s="2"/>
      <c r="AE595" s="2" t="str">
        <f t="shared" si="132"/>
        <v>Not Required</v>
      </c>
      <c r="AF595" s="2" t="s">
        <v>1993</v>
      </c>
    </row>
    <row r="596" spans="1:32" x14ac:dyDescent="0.3">
      <c r="A596" s="2" t="s">
        <v>1994</v>
      </c>
      <c r="B596" s="2">
        <f t="shared" si="122"/>
        <v>1</v>
      </c>
      <c r="C596" s="12">
        <f t="shared" si="134"/>
        <v>46238</v>
      </c>
      <c r="D596" s="13">
        <v>46238</v>
      </c>
      <c r="E596" s="2" t="s">
        <v>176</v>
      </c>
      <c r="F596" s="2" t="str">
        <f t="shared" si="123"/>
        <v>Email Available</v>
      </c>
      <c r="G596" s="2" t="s">
        <v>177</v>
      </c>
      <c r="H596" s="2" t="s">
        <v>261</v>
      </c>
      <c r="I596" s="2" t="s">
        <v>36</v>
      </c>
      <c r="J596" s="2" t="s">
        <v>262</v>
      </c>
      <c r="K596" s="2">
        <v>1</v>
      </c>
      <c r="L596" s="2">
        <v>15.49</v>
      </c>
      <c r="M596" s="19">
        <f t="shared" si="124"/>
        <v>15.49</v>
      </c>
      <c r="N596" s="2"/>
      <c r="O596" s="2" t="str">
        <f t="shared" si="125"/>
        <v/>
      </c>
      <c r="P596" s="2">
        <v>0</v>
      </c>
      <c r="Q596" s="19">
        <f t="shared" si="126"/>
        <v>0</v>
      </c>
      <c r="R596" s="2" t="str">
        <f t="shared" si="127"/>
        <v>Number</v>
      </c>
      <c r="S596" s="2">
        <v>4.99</v>
      </c>
      <c r="T596" s="19">
        <f t="shared" si="128"/>
        <v>4.99</v>
      </c>
      <c r="U596" s="2">
        <v>20.48</v>
      </c>
      <c r="V596" s="19">
        <f t="shared" si="129"/>
        <v>20.48</v>
      </c>
      <c r="W596" s="19">
        <f t="shared" si="130"/>
        <v>20.48</v>
      </c>
      <c r="X596" s="19" t="str">
        <f t="shared" si="131"/>
        <v>True</v>
      </c>
      <c r="Y596" s="19" t="str">
        <f>IF(OR(W596&lt;'Cleaning Tasks'!$G$18,W596&gt;'Cleaning Tasks'!$H$18),"Outlier","Normal")</f>
        <v>Normal</v>
      </c>
      <c r="Z596" s="2" t="s">
        <v>26</v>
      </c>
      <c r="AA596" s="2" t="s">
        <v>27</v>
      </c>
      <c r="AB596" s="2" t="s">
        <v>50</v>
      </c>
      <c r="AC596" s="2" t="s">
        <v>29</v>
      </c>
      <c r="AD596" s="22" t="s">
        <v>243</v>
      </c>
      <c r="AE596" s="2" t="str">
        <f t="shared" si="132"/>
        <v>Valid</v>
      </c>
      <c r="AF596" s="2" t="s">
        <v>1995</v>
      </c>
    </row>
    <row r="597" spans="1:32" x14ac:dyDescent="0.3">
      <c r="A597" s="2" t="s">
        <v>1996</v>
      </c>
      <c r="B597" s="2">
        <f t="shared" si="122"/>
        <v>1</v>
      </c>
      <c r="C597" s="12">
        <f t="shared" si="134"/>
        <v>46238.582437118057</v>
      </c>
      <c r="D597" s="13">
        <v>46238.582437118057</v>
      </c>
      <c r="E597" s="2" t="s">
        <v>1997</v>
      </c>
      <c r="F597" s="2" t="str">
        <f t="shared" si="123"/>
        <v>Email Available</v>
      </c>
      <c r="G597" s="2" t="s">
        <v>1998</v>
      </c>
      <c r="H597" s="2" t="s">
        <v>267</v>
      </c>
      <c r="I597" s="2" t="s">
        <v>22</v>
      </c>
      <c r="J597" s="2" t="s">
        <v>268</v>
      </c>
      <c r="K597" s="2">
        <v>1</v>
      </c>
      <c r="L597" s="2">
        <v>18.989999999999998</v>
      </c>
      <c r="M597" s="19">
        <f t="shared" si="124"/>
        <v>18.989999999999998</v>
      </c>
      <c r="N597" s="2" t="s">
        <v>38</v>
      </c>
      <c r="O597" s="2" t="str">
        <f t="shared" si="125"/>
        <v>FREESHIP</v>
      </c>
      <c r="P597" s="2">
        <v>0</v>
      </c>
      <c r="Q597" s="19">
        <f t="shared" si="126"/>
        <v>0</v>
      </c>
      <c r="R597" s="2" t="str">
        <f t="shared" si="127"/>
        <v>Number</v>
      </c>
      <c r="S597" s="2">
        <v>0</v>
      </c>
      <c r="T597" s="19">
        <f t="shared" si="128"/>
        <v>0</v>
      </c>
      <c r="U597" s="2">
        <v>18.989999999999998</v>
      </c>
      <c r="V597" s="19">
        <f t="shared" si="129"/>
        <v>18.989999999999998</v>
      </c>
      <c r="W597" s="19">
        <f t="shared" si="130"/>
        <v>18.989999999999998</v>
      </c>
      <c r="X597" s="19" t="str">
        <f t="shared" si="131"/>
        <v>True</v>
      </c>
      <c r="Y597" s="19" t="str">
        <f>IF(OR(W597&lt;'Cleaning Tasks'!$G$18,W597&gt;'Cleaning Tasks'!$H$18),"Outlier","Normal")</f>
        <v>Normal</v>
      </c>
      <c r="Z597" s="2" t="s">
        <v>26</v>
      </c>
      <c r="AA597" s="2" t="s">
        <v>111</v>
      </c>
      <c r="AB597" s="2" t="s">
        <v>50</v>
      </c>
      <c r="AC597" s="2" t="s">
        <v>105</v>
      </c>
      <c r="AD597" s="2"/>
      <c r="AE597" s="2" t="str">
        <f t="shared" si="132"/>
        <v>Not Required</v>
      </c>
      <c r="AF597" s="2" t="s">
        <v>1999</v>
      </c>
    </row>
    <row r="598" spans="1:32" x14ac:dyDescent="0.3">
      <c r="A598" s="2" t="s">
        <v>2000</v>
      </c>
      <c r="B598" s="2">
        <f t="shared" si="122"/>
        <v>1</v>
      </c>
      <c r="C598" s="12">
        <f t="shared" si="134"/>
        <v>46238</v>
      </c>
      <c r="D598" s="13" t="s">
        <v>1186</v>
      </c>
      <c r="E598" s="2" t="s">
        <v>729</v>
      </c>
      <c r="F598" s="2" t="str">
        <f t="shared" si="123"/>
        <v>Email Available</v>
      </c>
      <c r="G598" s="2" t="s">
        <v>508</v>
      </c>
      <c r="H598" s="2" t="s">
        <v>117</v>
      </c>
      <c r="I598" s="2" t="s">
        <v>22</v>
      </c>
      <c r="J598" s="2" t="s">
        <v>23</v>
      </c>
      <c r="K598" s="2">
        <v>1</v>
      </c>
      <c r="L598" s="2">
        <v>12.99</v>
      </c>
      <c r="M598" s="19">
        <f t="shared" si="124"/>
        <v>12.99</v>
      </c>
      <c r="N598" s="2" t="s">
        <v>38</v>
      </c>
      <c r="O598" s="2" t="str">
        <f t="shared" si="125"/>
        <v>FREESHIP</v>
      </c>
      <c r="P598" s="2">
        <v>0</v>
      </c>
      <c r="Q598" s="19">
        <f t="shared" si="126"/>
        <v>0</v>
      </c>
      <c r="R598" s="2" t="str">
        <f t="shared" si="127"/>
        <v>Number</v>
      </c>
      <c r="S598" s="2">
        <v>0</v>
      </c>
      <c r="T598" s="19">
        <f t="shared" si="128"/>
        <v>0</v>
      </c>
      <c r="U598" s="2">
        <v>12.99</v>
      </c>
      <c r="V598" s="19">
        <f t="shared" si="129"/>
        <v>12.99</v>
      </c>
      <c r="W598" s="19">
        <f t="shared" si="130"/>
        <v>12.99</v>
      </c>
      <c r="X598" s="19" t="str">
        <f t="shared" si="131"/>
        <v>True</v>
      </c>
      <c r="Y598" s="19" t="str">
        <f>IF(OR(W598&lt;'Cleaning Tasks'!$G$18,W598&gt;'Cleaning Tasks'!$H$18),"Outlier","Normal")</f>
        <v>Normal</v>
      </c>
      <c r="Z598" s="2" t="s">
        <v>39</v>
      </c>
      <c r="AA598" s="2" t="s">
        <v>40</v>
      </c>
      <c r="AB598" s="2" t="s">
        <v>50</v>
      </c>
      <c r="AC598" s="2" t="s">
        <v>331</v>
      </c>
      <c r="AD598" s="2"/>
      <c r="AE598" s="2" t="str">
        <f t="shared" si="132"/>
        <v>Not Required</v>
      </c>
      <c r="AF598" s="2" t="s">
        <v>2001</v>
      </c>
    </row>
    <row r="599" spans="1:32" x14ac:dyDescent="0.3">
      <c r="A599" s="2" t="s">
        <v>2002</v>
      </c>
      <c r="B599" s="2">
        <f t="shared" si="122"/>
        <v>1</v>
      </c>
      <c r="C599" s="12">
        <f t="shared" si="134"/>
        <v>46238</v>
      </c>
      <c r="D599" s="13" t="s">
        <v>143</v>
      </c>
      <c r="E599" s="2" t="s">
        <v>92</v>
      </c>
      <c r="F599" s="2" t="str">
        <f t="shared" si="123"/>
        <v>Email Available</v>
      </c>
      <c r="G599" s="2" t="s">
        <v>93</v>
      </c>
      <c r="H599" s="2" t="s">
        <v>117</v>
      </c>
      <c r="I599" s="2" t="s">
        <v>22</v>
      </c>
      <c r="J599" s="2" t="s">
        <v>23</v>
      </c>
      <c r="K599" s="2">
        <v>1</v>
      </c>
      <c r="L599" s="2">
        <v>12.99</v>
      </c>
      <c r="M599" s="19">
        <f t="shared" si="124"/>
        <v>12.99</v>
      </c>
      <c r="N599" s="2" t="s">
        <v>1124</v>
      </c>
      <c r="O599" s="2" t="str">
        <f t="shared" si="125"/>
        <v>WELCOME10</v>
      </c>
      <c r="P599" s="2">
        <v>1.3</v>
      </c>
      <c r="Q599" s="19">
        <f t="shared" si="126"/>
        <v>1.3</v>
      </c>
      <c r="R599" s="2" t="str">
        <f t="shared" si="127"/>
        <v>Number</v>
      </c>
      <c r="S599" s="2">
        <v>5.99</v>
      </c>
      <c r="T599" s="19">
        <f t="shared" si="128"/>
        <v>5.99</v>
      </c>
      <c r="U599" s="2">
        <v>17.68</v>
      </c>
      <c r="V599" s="19">
        <f t="shared" si="129"/>
        <v>17.68</v>
      </c>
      <c r="W599" s="19">
        <f t="shared" si="130"/>
        <v>17.68</v>
      </c>
      <c r="X599" s="19" t="str">
        <f t="shared" si="131"/>
        <v>True</v>
      </c>
      <c r="Y599" s="19" t="str">
        <f>IF(OR(W599&lt;'Cleaning Tasks'!$G$18,W599&gt;'Cleaning Tasks'!$H$18),"Outlier","Normal")</f>
        <v>Normal</v>
      </c>
      <c r="Z599" s="2" t="s">
        <v>39</v>
      </c>
      <c r="AA599" s="2" t="s">
        <v>88</v>
      </c>
      <c r="AB599" s="2" t="s">
        <v>50</v>
      </c>
      <c r="AC599" s="2" t="s">
        <v>42</v>
      </c>
      <c r="AD599" s="2"/>
      <c r="AE599" s="2" t="str">
        <f t="shared" si="132"/>
        <v>Not Required</v>
      </c>
      <c r="AF599" s="2" t="s">
        <v>2003</v>
      </c>
    </row>
    <row r="600" spans="1:32" x14ac:dyDescent="0.3">
      <c r="A600" s="2" t="s">
        <v>2004</v>
      </c>
      <c r="B600" s="2">
        <f t="shared" si="122"/>
        <v>1</v>
      </c>
      <c r="C600" s="12">
        <f t="shared" si="134"/>
        <v>46238.584291319443</v>
      </c>
      <c r="D600" s="13">
        <v>46238.584291319443</v>
      </c>
      <c r="E600" s="2" t="s">
        <v>329</v>
      </c>
      <c r="F600" s="2" t="str">
        <f t="shared" si="123"/>
        <v>Email Available</v>
      </c>
      <c r="G600" s="2" t="s">
        <v>330</v>
      </c>
      <c r="H600" s="2" t="s">
        <v>182</v>
      </c>
      <c r="I600" s="2" t="s">
        <v>36</v>
      </c>
      <c r="J600" s="2" t="s">
        <v>183</v>
      </c>
      <c r="K600" s="2">
        <v>2</v>
      </c>
      <c r="L600" s="2">
        <v>11.99</v>
      </c>
      <c r="M600" s="19">
        <f t="shared" si="124"/>
        <v>11.99</v>
      </c>
      <c r="N600" s="2" t="s">
        <v>38</v>
      </c>
      <c r="O600" s="2" t="str">
        <f t="shared" si="125"/>
        <v>FREESHIP</v>
      </c>
      <c r="P600" s="2">
        <v>0</v>
      </c>
      <c r="Q600" s="19">
        <f t="shared" si="126"/>
        <v>0</v>
      </c>
      <c r="R600" s="2" t="str">
        <f t="shared" si="127"/>
        <v>Number</v>
      </c>
      <c r="S600" s="2">
        <v>0</v>
      </c>
      <c r="T600" s="19">
        <f t="shared" si="128"/>
        <v>0</v>
      </c>
      <c r="U600" s="2">
        <v>23.98</v>
      </c>
      <c r="V600" s="19">
        <f t="shared" si="129"/>
        <v>23.98</v>
      </c>
      <c r="W600" s="19">
        <f t="shared" si="130"/>
        <v>23.98</v>
      </c>
      <c r="X600" s="19" t="str">
        <f t="shared" si="131"/>
        <v>True</v>
      </c>
      <c r="Y600" s="19" t="str">
        <f>IF(OR(W600&lt;'Cleaning Tasks'!$G$18,W600&gt;'Cleaning Tasks'!$H$18),"Outlier","Normal")</f>
        <v>Normal</v>
      </c>
      <c r="Z600" s="2" t="s">
        <v>72</v>
      </c>
      <c r="AA600" s="2" t="s">
        <v>27</v>
      </c>
      <c r="AB600" s="2" t="s">
        <v>41</v>
      </c>
      <c r="AC600" s="2" t="s">
        <v>331</v>
      </c>
      <c r="AD600" s="2"/>
      <c r="AE600" s="2" t="str">
        <f t="shared" si="132"/>
        <v>Not Required</v>
      </c>
      <c r="AF600" s="2" t="s">
        <v>2005</v>
      </c>
    </row>
    <row r="601" spans="1:32" x14ac:dyDescent="0.3">
      <c r="A601" s="2" t="s">
        <v>2006</v>
      </c>
      <c r="B601" s="2">
        <f t="shared" si="122"/>
        <v>1</v>
      </c>
      <c r="C601" s="12">
        <f t="shared" si="134"/>
        <v>46238.579755567131</v>
      </c>
      <c r="D601" s="13">
        <v>46238.579755567131</v>
      </c>
      <c r="E601" s="2" t="s">
        <v>756</v>
      </c>
      <c r="F601" s="2" t="str">
        <f t="shared" si="123"/>
        <v>Email Available</v>
      </c>
      <c r="G601" s="2" t="s">
        <v>757</v>
      </c>
      <c r="H601" s="2" t="s">
        <v>63</v>
      </c>
      <c r="I601" s="2" t="s">
        <v>47</v>
      </c>
      <c r="J601" s="2" t="s">
        <v>64</v>
      </c>
      <c r="K601" s="2">
        <v>4</v>
      </c>
      <c r="L601" s="2">
        <v>14.99</v>
      </c>
      <c r="M601" s="19">
        <f t="shared" si="124"/>
        <v>14.99</v>
      </c>
      <c r="N601" s="2"/>
      <c r="O601" s="2" t="str">
        <f t="shared" si="125"/>
        <v/>
      </c>
      <c r="P601" s="2">
        <v>0</v>
      </c>
      <c r="Q601" s="19">
        <f t="shared" si="126"/>
        <v>0</v>
      </c>
      <c r="R601" s="2" t="str">
        <f t="shared" si="127"/>
        <v>Number</v>
      </c>
      <c r="S601" s="2">
        <v>7.99</v>
      </c>
      <c r="T601" s="19">
        <f t="shared" si="128"/>
        <v>7.99</v>
      </c>
      <c r="U601" s="2">
        <v>67.95</v>
      </c>
      <c r="V601" s="19">
        <f t="shared" si="129"/>
        <v>67.95</v>
      </c>
      <c r="W601" s="19">
        <f t="shared" si="130"/>
        <v>67.95</v>
      </c>
      <c r="X601" s="19" t="str">
        <f t="shared" si="131"/>
        <v>True</v>
      </c>
      <c r="Y601" s="19" t="str">
        <f>IF(OR(W601&lt;'Cleaning Tasks'!$G$18,W601&gt;'Cleaning Tasks'!$H$18),"Outlier","Normal")</f>
        <v>Normal</v>
      </c>
      <c r="Z601" s="2" t="s">
        <v>39</v>
      </c>
      <c r="AA601" s="2" t="s">
        <v>111</v>
      </c>
      <c r="AB601" s="2" t="s">
        <v>41</v>
      </c>
      <c r="AC601" s="2" t="s">
        <v>29</v>
      </c>
      <c r="AD601" s="2" t="s">
        <v>447</v>
      </c>
      <c r="AE601" s="2" t="str">
        <f t="shared" si="132"/>
        <v>Valid</v>
      </c>
      <c r="AF601" s="2" t="s">
        <v>2007</v>
      </c>
    </row>
    <row r="602" spans="1:32" x14ac:dyDescent="0.3">
      <c r="A602" s="2" t="s">
        <v>2008</v>
      </c>
      <c r="B602" s="2">
        <f t="shared" si="122"/>
        <v>1</v>
      </c>
      <c r="C602" s="12">
        <f t="shared" si="134"/>
        <v>46238.588441574073</v>
      </c>
      <c r="D602" s="13">
        <v>46238.588441574073</v>
      </c>
      <c r="E602" s="2" t="s">
        <v>2009</v>
      </c>
      <c r="F602" s="2" t="str">
        <f t="shared" si="123"/>
        <v>Email Available</v>
      </c>
      <c r="G602" s="2" t="s">
        <v>2010</v>
      </c>
      <c r="H602" s="2" t="s">
        <v>124</v>
      </c>
      <c r="I602" s="2" t="s">
        <v>79</v>
      </c>
      <c r="J602" s="2" t="s">
        <v>125</v>
      </c>
      <c r="K602" s="2">
        <v>1</v>
      </c>
      <c r="L602" s="2">
        <v>13.99</v>
      </c>
      <c r="M602" s="19">
        <f t="shared" si="124"/>
        <v>13.99</v>
      </c>
      <c r="N602" s="2" t="s">
        <v>65</v>
      </c>
      <c r="O602" s="2" t="str">
        <f t="shared" si="125"/>
        <v>WELCOME10</v>
      </c>
      <c r="P602" s="2">
        <v>1.4</v>
      </c>
      <c r="Q602" s="19">
        <f t="shared" si="126"/>
        <v>1.4</v>
      </c>
      <c r="R602" s="2" t="str">
        <f t="shared" si="127"/>
        <v>Number</v>
      </c>
      <c r="S602" s="2">
        <v>5.99</v>
      </c>
      <c r="T602" s="19">
        <f t="shared" si="128"/>
        <v>5.99</v>
      </c>
      <c r="U602" s="2">
        <v>18.579999999999998</v>
      </c>
      <c r="V602" s="19">
        <f t="shared" si="129"/>
        <v>18.579999999999998</v>
      </c>
      <c r="W602" s="19">
        <f t="shared" si="130"/>
        <v>18.579999999999998</v>
      </c>
      <c r="X602" s="19" t="str">
        <f t="shared" si="131"/>
        <v>True</v>
      </c>
      <c r="Y602" s="19" t="str">
        <f>IF(OR(W602&lt;'Cleaning Tasks'!$G$18,W602&gt;'Cleaning Tasks'!$H$18),"Outlier","Normal")</f>
        <v>Normal</v>
      </c>
      <c r="Z602" s="2" t="s">
        <v>72</v>
      </c>
      <c r="AA602" s="2" t="s">
        <v>27</v>
      </c>
      <c r="AB602" s="2" t="s">
        <v>96</v>
      </c>
      <c r="AC602" s="2" t="s">
        <v>29</v>
      </c>
      <c r="AD602" s="2" t="s">
        <v>341</v>
      </c>
      <c r="AE602" s="2" t="str">
        <f t="shared" si="132"/>
        <v>Valid</v>
      </c>
      <c r="AF602" s="2" t="s">
        <v>2011</v>
      </c>
    </row>
    <row r="603" spans="1:32" x14ac:dyDescent="0.3">
      <c r="A603" s="2" t="s">
        <v>2012</v>
      </c>
      <c r="B603" s="2">
        <f t="shared" si="122"/>
        <v>1</v>
      </c>
      <c r="C603" s="12">
        <f t="shared" si="134"/>
        <v>46238.586174618053</v>
      </c>
      <c r="D603" s="13">
        <v>46238.586174618053</v>
      </c>
      <c r="E603" s="2" t="s">
        <v>2013</v>
      </c>
      <c r="F603" s="2" t="str">
        <f t="shared" si="123"/>
        <v>Email Available</v>
      </c>
      <c r="G603" s="2" t="s">
        <v>2014</v>
      </c>
      <c r="H603" s="2" t="s">
        <v>35</v>
      </c>
      <c r="I603" s="2" t="s">
        <v>36</v>
      </c>
      <c r="J603" s="2" t="s">
        <v>37</v>
      </c>
      <c r="K603" s="2">
        <v>1</v>
      </c>
      <c r="L603" s="2" t="s">
        <v>563</v>
      </c>
      <c r="M603" s="19">
        <f t="shared" si="124"/>
        <v>21.99</v>
      </c>
      <c r="N603" s="2" t="s">
        <v>94</v>
      </c>
      <c r="O603" s="2" t="str">
        <f t="shared" si="125"/>
        <v>SAVE20</v>
      </c>
      <c r="P603" s="2">
        <v>4.4000000000000004</v>
      </c>
      <c r="Q603" s="19">
        <f t="shared" si="126"/>
        <v>4.4000000000000004</v>
      </c>
      <c r="R603" s="2" t="str">
        <f t="shared" si="127"/>
        <v>Number</v>
      </c>
      <c r="S603" s="2">
        <v>4.99</v>
      </c>
      <c r="T603" s="19">
        <f t="shared" si="128"/>
        <v>4.99</v>
      </c>
      <c r="U603" s="2">
        <v>22.58</v>
      </c>
      <c r="V603" s="19">
        <f t="shared" si="129"/>
        <v>22.58</v>
      </c>
      <c r="W603" s="19">
        <f t="shared" si="130"/>
        <v>22.58</v>
      </c>
      <c r="X603" s="19" t="str">
        <f t="shared" si="131"/>
        <v>True</v>
      </c>
      <c r="Y603" s="19" t="str">
        <f>IF(OR(W603&lt;'Cleaning Tasks'!$G$18,W603&gt;'Cleaning Tasks'!$H$18),"Outlier","Normal")</f>
        <v>Normal</v>
      </c>
      <c r="Z603" s="2" t="s">
        <v>39</v>
      </c>
      <c r="AA603" s="2" t="s">
        <v>27</v>
      </c>
      <c r="AB603" s="2" t="s">
        <v>50</v>
      </c>
      <c r="AC603" s="2" t="s">
        <v>331</v>
      </c>
      <c r="AD603" s="2"/>
      <c r="AE603" s="2" t="str">
        <f t="shared" si="132"/>
        <v>Not Required</v>
      </c>
      <c r="AF603" s="2" t="s">
        <v>2015</v>
      </c>
    </row>
    <row r="604" spans="1:32" x14ac:dyDescent="0.3">
      <c r="A604" s="2" t="s">
        <v>2016</v>
      </c>
      <c r="B604" s="2">
        <f t="shared" si="122"/>
        <v>1</v>
      </c>
      <c r="C604" s="12">
        <f t="shared" si="134"/>
        <v>46238.584567650461</v>
      </c>
      <c r="D604" s="13">
        <v>46238.584567650461</v>
      </c>
      <c r="E604" s="2" t="s">
        <v>740</v>
      </c>
      <c r="F604" s="2" t="str">
        <f t="shared" si="123"/>
        <v>Email Available</v>
      </c>
      <c r="G604" s="2" t="s">
        <v>741</v>
      </c>
      <c r="H604" s="2" t="s">
        <v>221</v>
      </c>
      <c r="I604" s="2" t="s">
        <v>22</v>
      </c>
      <c r="J604" s="2" t="s">
        <v>222</v>
      </c>
      <c r="K604" s="2">
        <v>2</v>
      </c>
      <c r="L604" s="2">
        <v>17.989999999999998</v>
      </c>
      <c r="M604" s="19">
        <f t="shared" si="124"/>
        <v>17.989999999999998</v>
      </c>
      <c r="N604" s="2"/>
      <c r="O604" s="2" t="str">
        <f t="shared" si="125"/>
        <v/>
      </c>
      <c r="P604" s="2">
        <v>0</v>
      </c>
      <c r="Q604" s="19">
        <f t="shared" si="126"/>
        <v>0</v>
      </c>
      <c r="R604" s="2" t="str">
        <f t="shared" si="127"/>
        <v>Number</v>
      </c>
      <c r="S604" s="2">
        <v>7.99</v>
      </c>
      <c r="T604" s="19">
        <f t="shared" si="128"/>
        <v>7.99</v>
      </c>
      <c r="U604" s="2">
        <v>43.97</v>
      </c>
      <c r="V604" s="19">
        <f t="shared" si="129"/>
        <v>43.97</v>
      </c>
      <c r="W604" s="19">
        <f t="shared" si="130"/>
        <v>43.97</v>
      </c>
      <c r="X604" s="19" t="str">
        <f t="shared" si="131"/>
        <v>True</v>
      </c>
      <c r="Y604" s="19" t="str">
        <f>IF(OR(W604&lt;'Cleaning Tasks'!$G$18,W604&gt;'Cleaning Tasks'!$H$18),"Outlier","Normal")</f>
        <v>Normal</v>
      </c>
      <c r="Z604" s="2" t="s">
        <v>72</v>
      </c>
      <c r="AA604" s="2" t="s">
        <v>40</v>
      </c>
      <c r="AB604" s="2" t="s">
        <v>50</v>
      </c>
      <c r="AC604" s="2" t="s">
        <v>105</v>
      </c>
      <c r="AD604" s="2"/>
      <c r="AE604" s="2" t="str">
        <f t="shared" si="132"/>
        <v>Not Required</v>
      </c>
      <c r="AF604" s="2" t="s">
        <v>2017</v>
      </c>
    </row>
    <row r="605" spans="1:32" x14ac:dyDescent="0.3">
      <c r="A605" s="2" t="s">
        <v>2018</v>
      </c>
      <c r="B605" s="2">
        <f t="shared" si="122"/>
        <v>1</v>
      </c>
      <c r="C605" s="12">
        <f t="shared" si="134"/>
        <v>46238.587724618053</v>
      </c>
      <c r="D605" s="13">
        <v>46238.587724618053</v>
      </c>
      <c r="E605" s="2"/>
      <c r="F605" s="2" t="str">
        <f t="shared" si="123"/>
        <v>Email Available</v>
      </c>
      <c r="G605" s="2" t="s">
        <v>655</v>
      </c>
      <c r="H605" s="2" t="s">
        <v>78</v>
      </c>
      <c r="I605" s="2" t="s">
        <v>79</v>
      </c>
      <c r="J605" s="2" t="s">
        <v>80</v>
      </c>
      <c r="K605" s="2">
        <v>1</v>
      </c>
      <c r="L605" s="2">
        <v>89.99</v>
      </c>
      <c r="M605" s="19">
        <f t="shared" si="124"/>
        <v>89.99</v>
      </c>
      <c r="N605" s="2"/>
      <c r="O605" s="2" t="str">
        <f t="shared" si="125"/>
        <v/>
      </c>
      <c r="P605" s="2">
        <v>0</v>
      </c>
      <c r="Q605" s="19">
        <f t="shared" si="126"/>
        <v>0</v>
      </c>
      <c r="R605" s="2" t="str">
        <f t="shared" si="127"/>
        <v>Number</v>
      </c>
      <c r="S605" s="2">
        <v>0</v>
      </c>
      <c r="T605" s="19">
        <f t="shared" si="128"/>
        <v>0</v>
      </c>
      <c r="U605" s="2">
        <v>89.99</v>
      </c>
      <c r="V605" s="19">
        <f t="shared" si="129"/>
        <v>89.99</v>
      </c>
      <c r="W605" s="19">
        <f t="shared" si="130"/>
        <v>89.99</v>
      </c>
      <c r="X605" s="19" t="str">
        <f t="shared" si="131"/>
        <v>True</v>
      </c>
      <c r="Y605" s="19" t="str">
        <f>IF(OR(W605&lt;'Cleaning Tasks'!$G$18,W605&gt;'Cleaning Tasks'!$H$18),"Outlier","Normal")</f>
        <v>Outlier</v>
      </c>
      <c r="Z605" s="2" t="s">
        <v>66</v>
      </c>
      <c r="AA605" s="2" t="s">
        <v>27</v>
      </c>
      <c r="AB605" s="2" t="s">
        <v>50</v>
      </c>
      <c r="AC605" s="2" t="s">
        <v>29</v>
      </c>
      <c r="AD605" s="2" t="s">
        <v>243</v>
      </c>
      <c r="AE605" s="2" t="str">
        <f t="shared" si="132"/>
        <v>Valid</v>
      </c>
      <c r="AF605" s="2" t="s">
        <v>2019</v>
      </c>
    </row>
    <row r="606" spans="1:32" x14ac:dyDescent="0.3">
      <c r="A606" s="2" t="s">
        <v>2020</v>
      </c>
      <c r="B606" s="2">
        <f t="shared" si="122"/>
        <v>1</v>
      </c>
      <c r="C606" s="12">
        <f t="shared" si="134"/>
        <v>46238.582620104156</v>
      </c>
      <c r="D606" s="13">
        <v>46238.582620104156</v>
      </c>
      <c r="E606" s="2" t="s">
        <v>2021</v>
      </c>
      <c r="F606" s="2" t="str">
        <f t="shared" si="123"/>
        <v>Email Available</v>
      </c>
      <c r="G606" s="2" t="s">
        <v>2022</v>
      </c>
      <c r="H606" s="2" t="s">
        <v>201</v>
      </c>
      <c r="I606" s="2" t="s">
        <v>191</v>
      </c>
      <c r="J606" s="2" t="s">
        <v>202</v>
      </c>
      <c r="K606" s="2">
        <v>1</v>
      </c>
      <c r="L606" s="2">
        <v>24.99</v>
      </c>
      <c r="M606" s="19">
        <f t="shared" si="124"/>
        <v>24.99</v>
      </c>
      <c r="N606" s="2" t="s">
        <v>65</v>
      </c>
      <c r="O606" s="2" t="str">
        <f t="shared" si="125"/>
        <v>WELCOME10</v>
      </c>
      <c r="P606" s="2">
        <v>2.5</v>
      </c>
      <c r="Q606" s="19">
        <f t="shared" si="126"/>
        <v>2.5</v>
      </c>
      <c r="R606" s="2" t="str">
        <f t="shared" si="127"/>
        <v>Number</v>
      </c>
      <c r="S606" s="2">
        <v>7.99</v>
      </c>
      <c r="T606" s="19">
        <f t="shared" si="128"/>
        <v>7.99</v>
      </c>
      <c r="U606" s="2">
        <v>30.48</v>
      </c>
      <c r="V606" s="19">
        <f t="shared" si="129"/>
        <v>30.48</v>
      </c>
      <c r="W606" s="19">
        <f t="shared" si="130"/>
        <v>30.479999999999997</v>
      </c>
      <c r="X606" s="19" t="str">
        <f t="shared" si="131"/>
        <v>True</v>
      </c>
      <c r="Y606" s="19" t="str">
        <f>IF(OR(W606&lt;'Cleaning Tasks'!$G$18,W606&gt;'Cleaning Tasks'!$H$18),"Outlier","Normal")</f>
        <v>Normal</v>
      </c>
      <c r="Z606" s="2" t="s">
        <v>49</v>
      </c>
      <c r="AA606" s="2" t="s">
        <v>111</v>
      </c>
      <c r="AB606" s="2" t="s">
        <v>28</v>
      </c>
      <c r="AC606" s="2" t="s">
        <v>105</v>
      </c>
      <c r="AD606" s="2"/>
      <c r="AE606" s="2" t="str">
        <f t="shared" si="132"/>
        <v>Not Required</v>
      </c>
      <c r="AF606" s="2" t="s">
        <v>2023</v>
      </c>
    </row>
    <row r="607" spans="1:32" x14ac:dyDescent="0.3">
      <c r="A607" s="2" t="s">
        <v>2024</v>
      </c>
      <c r="B607" s="2">
        <f t="shared" si="122"/>
        <v>1</v>
      </c>
      <c r="C607" s="12">
        <f t="shared" si="134"/>
        <v>46238.582092951387</v>
      </c>
      <c r="D607" s="13">
        <v>46238.582092951387</v>
      </c>
      <c r="E607" s="2" t="s">
        <v>494</v>
      </c>
      <c r="F607" s="2" t="str">
        <f t="shared" si="123"/>
        <v>Email Available</v>
      </c>
      <c r="G607" s="2" t="s">
        <v>495</v>
      </c>
      <c r="H607" s="2" t="s">
        <v>130</v>
      </c>
      <c r="I607" s="2" t="s">
        <v>103</v>
      </c>
      <c r="J607" s="2" t="s">
        <v>131</v>
      </c>
      <c r="K607" s="2">
        <v>2</v>
      </c>
      <c r="L607" s="2">
        <v>16.989999999999998</v>
      </c>
      <c r="M607" s="19">
        <f t="shared" si="124"/>
        <v>16.989999999999998</v>
      </c>
      <c r="N607" s="2" t="s">
        <v>38</v>
      </c>
      <c r="O607" s="2" t="str">
        <f t="shared" si="125"/>
        <v>FREESHIP</v>
      </c>
      <c r="P607" s="2" t="s">
        <v>184</v>
      </c>
      <c r="Q607" s="19">
        <f t="shared" si="126"/>
        <v>0</v>
      </c>
      <c r="R607" s="2" t="str">
        <f t="shared" si="127"/>
        <v>Number</v>
      </c>
      <c r="S607" s="2">
        <v>0</v>
      </c>
      <c r="T607" s="19">
        <f t="shared" si="128"/>
        <v>0</v>
      </c>
      <c r="U607" s="2">
        <v>33.979999999999997</v>
      </c>
      <c r="V607" s="19">
        <f t="shared" si="129"/>
        <v>33.979999999999997</v>
      </c>
      <c r="W607" s="19">
        <f t="shared" si="130"/>
        <v>33.979999999999997</v>
      </c>
      <c r="X607" s="19" t="str">
        <f t="shared" si="131"/>
        <v>True</v>
      </c>
      <c r="Y607" s="19" t="str">
        <f>IF(OR(W607&lt;'Cleaning Tasks'!$G$18,W607&gt;'Cleaning Tasks'!$H$18),"Outlier","Normal")</f>
        <v>Normal</v>
      </c>
      <c r="Z607" s="2" t="s">
        <v>39</v>
      </c>
      <c r="AA607" s="2" t="s">
        <v>27</v>
      </c>
      <c r="AB607" s="2" t="s">
        <v>28</v>
      </c>
      <c r="AC607" s="2" t="s">
        <v>105</v>
      </c>
      <c r="AD607" s="2"/>
      <c r="AE607" s="2" t="str">
        <f t="shared" si="132"/>
        <v>Not Required</v>
      </c>
      <c r="AF607" s="2" t="s">
        <v>2025</v>
      </c>
    </row>
    <row r="608" spans="1:32" x14ac:dyDescent="0.3">
      <c r="A608" s="2" t="s">
        <v>2026</v>
      </c>
      <c r="B608" s="2">
        <f t="shared" si="122"/>
        <v>1</v>
      </c>
      <c r="C608" s="12">
        <f t="shared" si="134"/>
        <v>46238.584846747683</v>
      </c>
      <c r="D608" s="13">
        <v>46238.584846747683</v>
      </c>
      <c r="E608" s="2" t="s">
        <v>2027</v>
      </c>
      <c r="F608" s="2" t="str">
        <f t="shared" si="123"/>
        <v>Email Available</v>
      </c>
      <c r="G608" s="2" t="s">
        <v>2028</v>
      </c>
      <c r="H608" s="2" t="s">
        <v>102</v>
      </c>
      <c r="I608" s="2" t="s">
        <v>103</v>
      </c>
      <c r="J608" s="2" t="s">
        <v>104</v>
      </c>
      <c r="K608" s="2">
        <v>1</v>
      </c>
      <c r="L608" s="2">
        <v>19.989999999999998</v>
      </c>
      <c r="M608" s="19">
        <f t="shared" si="124"/>
        <v>19.989999999999998</v>
      </c>
      <c r="N608" s="2"/>
      <c r="O608" s="2" t="str">
        <f t="shared" si="125"/>
        <v/>
      </c>
      <c r="P608" s="2">
        <v>0</v>
      </c>
      <c r="Q608" s="19">
        <f t="shared" si="126"/>
        <v>0</v>
      </c>
      <c r="R608" s="2" t="str">
        <f t="shared" si="127"/>
        <v>Number</v>
      </c>
      <c r="S608" s="2">
        <v>4.99</v>
      </c>
      <c r="T608" s="19">
        <f t="shared" si="128"/>
        <v>4.99</v>
      </c>
      <c r="U608" s="2">
        <v>24.98</v>
      </c>
      <c r="V608" s="19">
        <f t="shared" si="129"/>
        <v>24.98</v>
      </c>
      <c r="W608" s="19">
        <f t="shared" si="130"/>
        <v>24.979999999999997</v>
      </c>
      <c r="X608" s="19" t="str">
        <f t="shared" si="131"/>
        <v>True</v>
      </c>
      <c r="Y608" s="19" t="str">
        <f>IF(OR(W608&lt;'Cleaning Tasks'!$G$18,W608&gt;'Cleaning Tasks'!$H$18),"Outlier","Normal")</f>
        <v>Normal</v>
      </c>
      <c r="Z608" s="2" t="s">
        <v>39</v>
      </c>
      <c r="AA608" s="2" t="s">
        <v>40</v>
      </c>
      <c r="AB608" s="2" t="s">
        <v>96</v>
      </c>
      <c r="AC608" s="2" t="s">
        <v>42</v>
      </c>
      <c r="AD608" s="2"/>
      <c r="AE608" s="2" t="str">
        <f t="shared" si="132"/>
        <v>Not Required</v>
      </c>
      <c r="AF608" s="2" t="s">
        <v>2029</v>
      </c>
    </row>
    <row r="609" spans="1:32" x14ac:dyDescent="0.3">
      <c r="A609" s="2" t="s">
        <v>2030</v>
      </c>
      <c r="B609" s="2">
        <f t="shared" si="122"/>
        <v>1</v>
      </c>
      <c r="C609" s="12">
        <f t="shared" si="134"/>
        <v>46238.586269270832</v>
      </c>
      <c r="D609" s="13">
        <v>46238.586269270832</v>
      </c>
      <c r="E609" s="2" t="s">
        <v>2031</v>
      </c>
      <c r="F609" s="2" t="str">
        <f t="shared" si="123"/>
        <v>Email Available</v>
      </c>
      <c r="G609" s="2" t="s">
        <v>2032</v>
      </c>
      <c r="H609" s="2" t="s">
        <v>63</v>
      </c>
      <c r="I609" s="2" t="s">
        <v>47</v>
      </c>
      <c r="J609" s="2" t="s">
        <v>64</v>
      </c>
      <c r="K609" s="2">
        <v>1</v>
      </c>
      <c r="L609" s="2">
        <v>14.99</v>
      </c>
      <c r="M609" s="19">
        <f t="shared" si="124"/>
        <v>14.99</v>
      </c>
      <c r="N609" s="2" t="s">
        <v>38</v>
      </c>
      <c r="O609" s="2" t="str">
        <f t="shared" si="125"/>
        <v>FREESHIP</v>
      </c>
      <c r="P609" s="2">
        <v>0</v>
      </c>
      <c r="Q609" s="19">
        <f t="shared" si="126"/>
        <v>0</v>
      </c>
      <c r="R609" s="2" t="str">
        <f t="shared" si="127"/>
        <v>Number</v>
      </c>
      <c r="S609" s="2">
        <v>0</v>
      </c>
      <c r="T609" s="19">
        <f t="shared" si="128"/>
        <v>0</v>
      </c>
      <c r="U609" s="2">
        <v>14.99</v>
      </c>
      <c r="V609" s="19">
        <f t="shared" si="129"/>
        <v>14.99</v>
      </c>
      <c r="W609" s="19">
        <f t="shared" si="130"/>
        <v>14.99</v>
      </c>
      <c r="X609" s="19" t="str">
        <f t="shared" si="131"/>
        <v>True</v>
      </c>
      <c r="Y609" s="19" t="str">
        <f>IF(OR(W609&lt;'Cleaning Tasks'!$G$18,W609&gt;'Cleaning Tasks'!$H$18),"Outlier","Normal")</f>
        <v>Normal</v>
      </c>
      <c r="Z609" s="2" t="s">
        <v>39</v>
      </c>
      <c r="AA609" s="2" t="s">
        <v>27</v>
      </c>
      <c r="AB609" s="2" t="s">
        <v>96</v>
      </c>
      <c r="AC609" s="2" t="s">
        <v>29</v>
      </c>
      <c r="AD609" s="2" t="s">
        <v>58</v>
      </c>
      <c r="AE609" s="2" t="str">
        <f t="shared" si="132"/>
        <v>Valid</v>
      </c>
      <c r="AF609" s="2" t="s">
        <v>2033</v>
      </c>
    </row>
    <row r="610" spans="1:32" x14ac:dyDescent="0.3">
      <c r="A610" s="2" t="s">
        <v>2034</v>
      </c>
      <c r="B610" s="2">
        <f t="shared" si="122"/>
        <v>1</v>
      </c>
      <c r="C610" s="12">
        <f t="shared" si="134"/>
        <v>46238.58708568287</v>
      </c>
      <c r="D610" s="13">
        <v>46238.58708568287</v>
      </c>
      <c r="E610" s="2" t="s">
        <v>2035</v>
      </c>
      <c r="F610" s="2" t="str">
        <f t="shared" si="123"/>
        <v>Missing Email</v>
      </c>
      <c r="G610" s="2"/>
      <c r="H610" s="2" t="s">
        <v>182</v>
      </c>
      <c r="I610" s="2" t="s">
        <v>36</v>
      </c>
      <c r="J610" s="2" t="s">
        <v>183</v>
      </c>
      <c r="K610" s="2">
        <v>1</v>
      </c>
      <c r="L610" s="2">
        <v>11.99</v>
      </c>
      <c r="M610" s="19">
        <f t="shared" si="124"/>
        <v>11.99</v>
      </c>
      <c r="N610" s="2"/>
      <c r="O610" s="2" t="str">
        <f t="shared" si="125"/>
        <v/>
      </c>
      <c r="P610" s="2">
        <v>0</v>
      </c>
      <c r="Q610" s="19">
        <f t="shared" si="126"/>
        <v>0</v>
      </c>
      <c r="R610" s="2" t="str">
        <f t="shared" si="127"/>
        <v>Number</v>
      </c>
      <c r="S610" s="2">
        <v>5.99</v>
      </c>
      <c r="T610" s="19">
        <f t="shared" si="128"/>
        <v>5.99</v>
      </c>
      <c r="U610" s="2">
        <v>17.98</v>
      </c>
      <c r="V610" s="19">
        <f t="shared" si="129"/>
        <v>17.98</v>
      </c>
      <c r="W610" s="19">
        <f t="shared" si="130"/>
        <v>17.98</v>
      </c>
      <c r="X610" s="19" t="str">
        <f t="shared" si="131"/>
        <v>True</v>
      </c>
      <c r="Y610" s="19" t="str">
        <f>IF(OR(W610&lt;'Cleaning Tasks'!$G$18,W610&gt;'Cleaning Tasks'!$H$18),"Outlier","Normal")</f>
        <v>Normal</v>
      </c>
      <c r="Z610" s="2" t="s">
        <v>72</v>
      </c>
      <c r="AA610" s="2" t="s">
        <v>88</v>
      </c>
      <c r="AB610" s="2" t="s">
        <v>41</v>
      </c>
      <c r="AC610" s="2" t="s">
        <v>29</v>
      </c>
      <c r="AD610" s="22" t="s">
        <v>89</v>
      </c>
      <c r="AE610" s="2" t="str">
        <f t="shared" si="132"/>
        <v>Valid</v>
      </c>
      <c r="AF610" s="2" t="s">
        <v>2036</v>
      </c>
    </row>
    <row r="611" spans="1:32" x14ac:dyDescent="0.3">
      <c r="A611" s="2" t="s">
        <v>2037</v>
      </c>
      <c r="B611" s="2">
        <f t="shared" si="122"/>
        <v>1</v>
      </c>
      <c r="C611" s="12">
        <f t="shared" si="134"/>
        <v>46238.583006203713</v>
      </c>
      <c r="D611" s="13">
        <v>46238.583006203713</v>
      </c>
      <c r="E611" s="2" t="s">
        <v>690</v>
      </c>
      <c r="F611" s="2" t="str">
        <f t="shared" si="123"/>
        <v>Email Available</v>
      </c>
      <c r="G611" s="2" t="s">
        <v>691</v>
      </c>
      <c r="H611" s="2" t="s">
        <v>56</v>
      </c>
      <c r="I611" s="2" t="s">
        <v>22</v>
      </c>
      <c r="J611" s="2" t="s">
        <v>57</v>
      </c>
      <c r="K611" s="2">
        <v>1</v>
      </c>
      <c r="L611" s="2">
        <v>9.99</v>
      </c>
      <c r="M611" s="19">
        <f t="shared" si="124"/>
        <v>9.99</v>
      </c>
      <c r="N611" s="2"/>
      <c r="O611" s="2" t="str">
        <f t="shared" si="125"/>
        <v/>
      </c>
      <c r="P611" s="2">
        <v>0</v>
      </c>
      <c r="Q611" s="19">
        <f t="shared" si="126"/>
        <v>0</v>
      </c>
      <c r="R611" s="2" t="str">
        <f t="shared" si="127"/>
        <v>Number</v>
      </c>
      <c r="S611" s="2">
        <v>7.99</v>
      </c>
      <c r="T611" s="19">
        <f t="shared" si="128"/>
        <v>7.99</v>
      </c>
      <c r="U611" s="2">
        <v>17.98</v>
      </c>
      <c r="V611" s="19">
        <f t="shared" si="129"/>
        <v>17.98</v>
      </c>
      <c r="W611" s="19">
        <f t="shared" si="130"/>
        <v>17.98</v>
      </c>
      <c r="X611" s="19" t="str">
        <f t="shared" si="131"/>
        <v>True</v>
      </c>
      <c r="Y611" s="19" t="str">
        <f>IF(OR(W611&lt;'Cleaning Tasks'!$G$18,W611&gt;'Cleaning Tasks'!$H$18),"Outlier","Normal")</f>
        <v>Normal</v>
      </c>
      <c r="Z611" s="2" t="s">
        <v>72</v>
      </c>
      <c r="AA611" s="2" t="s">
        <v>27</v>
      </c>
      <c r="AB611" s="2" t="s">
        <v>41</v>
      </c>
      <c r="AC611" s="2" t="s">
        <v>29</v>
      </c>
      <c r="AD611" s="2" t="s">
        <v>89</v>
      </c>
      <c r="AE611" s="2" t="str">
        <f t="shared" si="132"/>
        <v>Valid</v>
      </c>
      <c r="AF611" s="2" t="s">
        <v>2038</v>
      </c>
    </row>
    <row r="612" spans="1:32" x14ac:dyDescent="0.3">
      <c r="A612" s="2" t="s">
        <v>2039</v>
      </c>
      <c r="B612" s="2">
        <f t="shared" si="122"/>
        <v>1</v>
      </c>
      <c r="C612" s="12">
        <f t="shared" si="134"/>
        <v>46238.582179803241</v>
      </c>
      <c r="D612" s="13">
        <v>46238.582179803241</v>
      </c>
      <c r="E612" s="2" t="s">
        <v>843</v>
      </c>
      <c r="F612" s="2" t="str">
        <f t="shared" si="123"/>
        <v>Email Available</v>
      </c>
      <c r="G612" s="2" t="s">
        <v>844</v>
      </c>
      <c r="H612" s="22" t="s">
        <v>63</v>
      </c>
      <c r="I612" s="2" t="s">
        <v>47</v>
      </c>
      <c r="J612" s="2" t="s">
        <v>64</v>
      </c>
      <c r="K612" s="2">
        <v>1</v>
      </c>
      <c r="L612" s="2">
        <v>14.99</v>
      </c>
      <c r="M612" s="19">
        <f t="shared" si="124"/>
        <v>14.99</v>
      </c>
      <c r="N612" s="2" t="s">
        <v>203</v>
      </c>
      <c r="O612" s="2" t="str">
        <f t="shared" si="125"/>
        <v>VIP15</v>
      </c>
      <c r="P612" s="2">
        <v>2.25</v>
      </c>
      <c r="Q612" s="19">
        <f t="shared" si="126"/>
        <v>2.25</v>
      </c>
      <c r="R612" s="2" t="str">
        <f t="shared" si="127"/>
        <v>Number</v>
      </c>
      <c r="S612" s="2">
        <v>4.99</v>
      </c>
      <c r="T612" s="19">
        <f t="shared" si="128"/>
        <v>4.99</v>
      </c>
      <c r="U612" s="2">
        <v>17.73</v>
      </c>
      <c r="V612" s="19">
        <f t="shared" si="129"/>
        <v>17.73</v>
      </c>
      <c r="W612" s="19">
        <f t="shared" si="130"/>
        <v>17.73</v>
      </c>
      <c r="X612" s="19" t="str">
        <f t="shared" si="131"/>
        <v>True</v>
      </c>
      <c r="Y612" s="19" t="str">
        <f>IF(OR(W612&lt;'Cleaning Tasks'!$G$18,W612&gt;'Cleaning Tasks'!$H$18),"Outlier","Normal")</f>
        <v>Normal</v>
      </c>
      <c r="Z612" s="2" t="s">
        <v>49</v>
      </c>
      <c r="AA612" s="2" t="s">
        <v>27</v>
      </c>
      <c r="AB612" s="2" t="s">
        <v>28</v>
      </c>
      <c r="AC612" s="2" t="s">
        <v>29</v>
      </c>
      <c r="AD612" s="2" t="s">
        <v>140</v>
      </c>
      <c r="AE612" s="2" t="str">
        <f t="shared" si="132"/>
        <v>Valid</v>
      </c>
      <c r="AF612" s="2" t="s">
        <v>2040</v>
      </c>
    </row>
    <row r="613" spans="1:32" x14ac:dyDescent="0.3">
      <c r="A613" s="2" t="s">
        <v>2041</v>
      </c>
      <c r="B613" s="2">
        <f t="shared" si="122"/>
        <v>1</v>
      </c>
      <c r="C613" s="12">
        <f t="shared" si="134"/>
        <v>46238.587013969911</v>
      </c>
      <c r="D613" s="13">
        <v>46238.587013969911</v>
      </c>
      <c r="E613" s="2" t="s">
        <v>1555</v>
      </c>
      <c r="F613" s="2" t="str">
        <f t="shared" si="123"/>
        <v>Email Available</v>
      </c>
      <c r="G613" s="2" t="s">
        <v>1556</v>
      </c>
      <c r="H613" s="2" t="s">
        <v>102</v>
      </c>
      <c r="I613" s="2" t="s">
        <v>103</v>
      </c>
      <c r="J613" s="2" t="s">
        <v>104</v>
      </c>
      <c r="K613" s="2">
        <v>2</v>
      </c>
      <c r="L613" s="2">
        <v>19.989999999999998</v>
      </c>
      <c r="M613" s="19">
        <f t="shared" si="124"/>
        <v>19.989999999999998</v>
      </c>
      <c r="N613" s="2"/>
      <c r="O613" s="2" t="str">
        <f t="shared" si="125"/>
        <v/>
      </c>
      <c r="P613" s="2">
        <v>0</v>
      </c>
      <c r="Q613" s="19">
        <f t="shared" si="126"/>
        <v>0</v>
      </c>
      <c r="R613" s="2" t="str">
        <f t="shared" si="127"/>
        <v>Number</v>
      </c>
      <c r="S613" s="2">
        <v>7.99</v>
      </c>
      <c r="T613" s="19">
        <f t="shared" si="128"/>
        <v>7.99</v>
      </c>
      <c r="U613" s="2">
        <v>47.97</v>
      </c>
      <c r="V613" s="19">
        <f t="shared" si="129"/>
        <v>47.97</v>
      </c>
      <c r="W613" s="19">
        <f t="shared" si="130"/>
        <v>47.97</v>
      </c>
      <c r="X613" s="19" t="str">
        <f t="shared" si="131"/>
        <v>True</v>
      </c>
      <c r="Y613" s="19" t="str">
        <f>IF(OR(W613&lt;'Cleaning Tasks'!$G$18,W613&gt;'Cleaning Tasks'!$H$18),"Outlier","Normal")</f>
        <v>Normal</v>
      </c>
      <c r="Z613" s="2" t="s">
        <v>66</v>
      </c>
      <c r="AA613" s="2" t="s">
        <v>111</v>
      </c>
      <c r="AB613" s="2" t="s">
        <v>41</v>
      </c>
      <c r="AC613" s="2" t="s">
        <v>105</v>
      </c>
      <c r="AD613" s="2"/>
      <c r="AE613" s="2" t="str">
        <f t="shared" si="132"/>
        <v>Not Required</v>
      </c>
      <c r="AF613" s="2" t="s">
        <v>2042</v>
      </c>
    </row>
    <row r="614" spans="1:32" x14ac:dyDescent="0.3">
      <c r="A614" s="2" t="s">
        <v>2043</v>
      </c>
      <c r="B614" s="2">
        <f t="shared" si="122"/>
        <v>1</v>
      </c>
      <c r="C614" s="12">
        <f t="shared" si="134"/>
        <v>46238.580350879631</v>
      </c>
      <c r="D614" s="13">
        <v>46238.580350879631</v>
      </c>
      <c r="E614" s="2" t="s">
        <v>195</v>
      </c>
      <c r="F614" s="2" t="str">
        <f t="shared" si="123"/>
        <v>Email Available</v>
      </c>
      <c r="G614" s="2" t="s">
        <v>196</v>
      </c>
      <c r="H614" s="2" t="s">
        <v>146</v>
      </c>
      <c r="I614" s="2" t="s">
        <v>47</v>
      </c>
      <c r="J614" s="2" t="s">
        <v>147</v>
      </c>
      <c r="K614" s="2">
        <v>1</v>
      </c>
      <c r="L614" s="2">
        <v>34.99</v>
      </c>
      <c r="M614" s="19">
        <f t="shared" si="124"/>
        <v>34.99</v>
      </c>
      <c r="N614" s="2"/>
      <c r="O614" s="2" t="str">
        <f t="shared" si="125"/>
        <v/>
      </c>
      <c r="P614" s="2">
        <v>0</v>
      </c>
      <c r="Q614" s="19">
        <f t="shared" si="126"/>
        <v>0</v>
      </c>
      <c r="R614" s="2" t="str">
        <f t="shared" si="127"/>
        <v>Number</v>
      </c>
      <c r="S614" s="2">
        <v>4.99</v>
      </c>
      <c r="T614" s="19">
        <f t="shared" si="128"/>
        <v>4.99</v>
      </c>
      <c r="U614" s="2">
        <v>39.979999999999997</v>
      </c>
      <c r="V614" s="19">
        <f t="shared" si="129"/>
        <v>39.979999999999997</v>
      </c>
      <c r="W614" s="19">
        <f t="shared" si="130"/>
        <v>39.980000000000004</v>
      </c>
      <c r="X614" s="19" t="str">
        <f t="shared" si="131"/>
        <v>True</v>
      </c>
      <c r="Y614" s="19" t="str">
        <f>IF(OR(W614&lt;'Cleaning Tasks'!$G$18,W614&gt;'Cleaning Tasks'!$H$18),"Outlier","Normal")</f>
        <v>Normal</v>
      </c>
      <c r="Z614" s="2" t="s">
        <v>72</v>
      </c>
      <c r="AA614" s="2" t="s">
        <v>111</v>
      </c>
      <c r="AB614" s="2" t="s">
        <v>28</v>
      </c>
      <c r="AC614" s="2" t="s">
        <v>29</v>
      </c>
      <c r="AD614" s="22" t="s">
        <v>30</v>
      </c>
      <c r="AE614" s="2" t="str">
        <f t="shared" si="132"/>
        <v>Valid</v>
      </c>
      <c r="AF614" s="2" t="s">
        <v>708</v>
      </c>
    </row>
    <row r="615" spans="1:32" x14ac:dyDescent="0.3">
      <c r="A615" s="2" t="s">
        <v>2044</v>
      </c>
      <c r="B615" s="2">
        <f t="shared" si="122"/>
        <v>1</v>
      </c>
      <c r="C615" s="12">
        <f t="shared" si="134"/>
        <v>46238.579310659719</v>
      </c>
      <c r="D615" s="13">
        <v>46238.579310659719</v>
      </c>
      <c r="E615" s="2" t="s">
        <v>2045</v>
      </c>
      <c r="F615" s="2" t="str">
        <f t="shared" si="123"/>
        <v>Missing Email</v>
      </c>
      <c r="G615" s="2"/>
      <c r="H615" s="2" t="s">
        <v>63</v>
      </c>
      <c r="I615" s="2" t="s">
        <v>47</v>
      </c>
      <c r="J615" s="2" t="s">
        <v>64</v>
      </c>
      <c r="K615" s="2">
        <v>1</v>
      </c>
      <c r="L615" s="2">
        <v>14.99</v>
      </c>
      <c r="M615" s="19">
        <f t="shared" si="124"/>
        <v>14.99</v>
      </c>
      <c r="N615" s="2" t="s">
        <v>65</v>
      </c>
      <c r="O615" s="2" t="str">
        <f t="shared" si="125"/>
        <v>WELCOME10</v>
      </c>
      <c r="P615" s="2">
        <v>1.5</v>
      </c>
      <c r="Q615" s="19">
        <f t="shared" si="126"/>
        <v>1.5</v>
      </c>
      <c r="R615" s="2" t="str">
        <f t="shared" si="127"/>
        <v>Number</v>
      </c>
      <c r="S615" s="2">
        <v>4.99</v>
      </c>
      <c r="T615" s="19">
        <f t="shared" si="128"/>
        <v>4.99</v>
      </c>
      <c r="U615" s="2" t="s">
        <v>1755</v>
      </c>
      <c r="V615" s="19">
        <f t="shared" si="129"/>
        <v>18.48</v>
      </c>
      <c r="W615" s="19">
        <f t="shared" si="130"/>
        <v>18.48</v>
      </c>
      <c r="X615" s="19" t="str">
        <f t="shared" si="131"/>
        <v>True</v>
      </c>
      <c r="Y615" s="19" t="str">
        <f>IF(OR(W615&lt;'Cleaning Tasks'!$G$18,W615&gt;'Cleaning Tasks'!$H$18),"Outlier","Normal")</f>
        <v>Normal</v>
      </c>
      <c r="Z615" s="2" t="s">
        <v>66</v>
      </c>
      <c r="AA615" s="2" t="s">
        <v>27</v>
      </c>
      <c r="AB615" s="2" t="s">
        <v>28</v>
      </c>
      <c r="AC615" s="2" t="s">
        <v>105</v>
      </c>
      <c r="AD615" s="2"/>
      <c r="AE615" s="2" t="str">
        <f t="shared" si="132"/>
        <v>Not Required</v>
      </c>
      <c r="AF615" s="2" t="s">
        <v>2046</v>
      </c>
    </row>
    <row r="616" spans="1:32" x14ac:dyDescent="0.3">
      <c r="A616" s="2" t="s">
        <v>2047</v>
      </c>
      <c r="B616" s="2">
        <f t="shared" si="122"/>
        <v>1</v>
      </c>
      <c r="C616" s="12">
        <f t="shared" si="134"/>
        <v>46238.58584615741</v>
      </c>
      <c r="D616" s="13">
        <v>46238.58584615741</v>
      </c>
      <c r="E616" s="2" t="s">
        <v>1515</v>
      </c>
      <c r="F616" s="2" t="str">
        <f t="shared" si="123"/>
        <v>Email Available</v>
      </c>
      <c r="G616" s="2" t="s">
        <v>1516</v>
      </c>
      <c r="H616" s="2" t="s">
        <v>361</v>
      </c>
      <c r="I616" s="2" t="s">
        <v>86</v>
      </c>
      <c r="J616" s="2" t="s">
        <v>362</v>
      </c>
      <c r="K616" s="2">
        <v>1</v>
      </c>
      <c r="L616" s="2">
        <v>54.99</v>
      </c>
      <c r="M616" s="19">
        <f t="shared" si="124"/>
        <v>54.99</v>
      </c>
      <c r="N616" s="2"/>
      <c r="O616" s="2" t="str">
        <f t="shared" si="125"/>
        <v/>
      </c>
      <c r="P616" s="2">
        <v>0</v>
      </c>
      <c r="Q616" s="19">
        <f t="shared" si="126"/>
        <v>0</v>
      </c>
      <c r="R616" s="2" t="str">
        <f t="shared" si="127"/>
        <v>Number</v>
      </c>
      <c r="S616" s="2">
        <v>4.99</v>
      </c>
      <c r="T616" s="19">
        <f t="shared" si="128"/>
        <v>4.99</v>
      </c>
      <c r="U616" s="2">
        <v>59.98</v>
      </c>
      <c r="V616" s="19">
        <f t="shared" si="129"/>
        <v>59.98</v>
      </c>
      <c r="W616" s="19">
        <f t="shared" si="130"/>
        <v>59.980000000000004</v>
      </c>
      <c r="X616" s="19" t="str">
        <f t="shared" si="131"/>
        <v>True</v>
      </c>
      <c r="Y616" s="19" t="str">
        <f>IF(OR(W616&lt;'Cleaning Tasks'!$G$18,W616&gt;'Cleaning Tasks'!$H$18),"Outlier","Normal")</f>
        <v>Normal</v>
      </c>
      <c r="Z616" s="2" t="s">
        <v>39</v>
      </c>
      <c r="AA616" s="2" t="s">
        <v>88</v>
      </c>
      <c r="AB616" s="2" t="s">
        <v>28</v>
      </c>
      <c r="AC616" s="2" t="s">
        <v>73</v>
      </c>
      <c r="AD616" s="2"/>
      <c r="AE616" s="2" t="str">
        <f t="shared" si="132"/>
        <v>Not Required</v>
      </c>
      <c r="AF616" s="2" t="s">
        <v>2048</v>
      </c>
    </row>
    <row r="617" spans="1:32" x14ac:dyDescent="0.3">
      <c r="A617" s="2" t="s">
        <v>2049</v>
      </c>
      <c r="B617" s="2">
        <f t="shared" si="122"/>
        <v>1</v>
      </c>
      <c r="C617" s="12">
        <f t="shared" si="134"/>
        <v>46238</v>
      </c>
      <c r="D617" s="13" t="s">
        <v>2050</v>
      </c>
      <c r="E617" s="2" t="s">
        <v>347</v>
      </c>
      <c r="F617" s="2" t="str">
        <f t="shared" si="123"/>
        <v>Email Available</v>
      </c>
      <c r="G617" s="2" t="s">
        <v>348</v>
      </c>
      <c r="H617" s="2" t="s">
        <v>166</v>
      </c>
      <c r="I617" s="2" t="s">
        <v>103</v>
      </c>
      <c r="J617" s="2" t="s">
        <v>167</v>
      </c>
      <c r="K617" s="2">
        <v>2</v>
      </c>
      <c r="L617" s="2">
        <v>32.99</v>
      </c>
      <c r="M617" s="19">
        <f t="shared" si="124"/>
        <v>32.99</v>
      </c>
      <c r="N617" s="2"/>
      <c r="O617" s="2" t="str">
        <f t="shared" si="125"/>
        <v/>
      </c>
      <c r="P617" s="2">
        <v>0</v>
      </c>
      <c r="Q617" s="19">
        <f t="shared" si="126"/>
        <v>0</v>
      </c>
      <c r="R617" s="2" t="str">
        <f t="shared" si="127"/>
        <v>Number</v>
      </c>
      <c r="S617" s="2">
        <v>5.99</v>
      </c>
      <c r="T617" s="19">
        <f t="shared" si="128"/>
        <v>5.99</v>
      </c>
      <c r="U617" s="2" t="s">
        <v>2051</v>
      </c>
      <c r="V617" s="19">
        <f t="shared" si="129"/>
        <v>71.97</v>
      </c>
      <c r="W617" s="19">
        <f t="shared" si="130"/>
        <v>71.97</v>
      </c>
      <c r="X617" s="19" t="str">
        <f t="shared" si="131"/>
        <v>True</v>
      </c>
      <c r="Y617" s="19" t="str">
        <f>IF(OR(W617&lt;'Cleaning Tasks'!$G$18,W617&gt;'Cleaning Tasks'!$H$18),"Outlier","Normal")</f>
        <v>Normal</v>
      </c>
      <c r="Z617" s="2" t="s">
        <v>72</v>
      </c>
      <c r="AA617" s="2" t="s">
        <v>40</v>
      </c>
      <c r="AB617" s="2" t="s">
        <v>41</v>
      </c>
      <c r="AC617" s="2" t="s">
        <v>223</v>
      </c>
      <c r="AD617" s="2"/>
      <c r="AE617" s="2" t="str">
        <f t="shared" si="132"/>
        <v>Not Required</v>
      </c>
      <c r="AF617" s="2" t="s">
        <v>2052</v>
      </c>
    </row>
    <row r="618" spans="1:32" x14ac:dyDescent="0.3">
      <c r="A618" s="2" t="s">
        <v>2053</v>
      </c>
      <c r="B618" s="2">
        <f t="shared" si="122"/>
        <v>1</v>
      </c>
      <c r="C618" s="12">
        <f t="shared" si="134"/>
        <v>46238</v>
      </c>
      <c r="D618" s="13">
        <v>46238</v>
      </c>
      <c r="E618" s="2" t="s">
        <v>2054</v>
      </c>
      <c r="F618" s="2" t="str">
        <f t="shared" si="123"/>
        <v>Email Available</v>
      </c>
      <c r="G618" s="2" t="s">
        <v>2055</v>
      </c>
      <c r="H618" s="2" t="s">
        <v>56</v>
      </c>
      <c r="I618" s="2" t="s">
        <v>22</v>
      </c>
      <c r="J618" s="2" t="s">
        <v>57</v>
      </c>
      <c r="K618" s="2">
        <v>2</v>
      </c>
      <c r="L618" s="2">
        <v>9.99</v>
      </c>
      <c r="M618" s="19">
        <f t="shared" si="124"/>
        <v>9.99</v>
      </c>
      <c r="N618" s="2"/>
      <c r="O618" s="2" t="str">
        <f t="shared" si="125"/>
        <v/>
      </c>
      <c r="P618" s="2">
        <v>0</v>
      </c>
      <c r="Q618" s="19">
        <f t="shared" si="126"/>
        <v>0</v>
      </c>
      <c r="R618" s="2" t="str">
        <f t="shared" si="127"/>
        <v>Number</v>
      </c>
      <c r="S618" s="2">
        <v>4.99</v>
      </c>
      <c r="T618" s="19">
        <f t="shared" si="128"/>
        <v>4.99</v>
      </c>
      <c r="U618" s="2">
        <v>24.97</v>
      </c>
      <c r="V618" s="19">
        <f t="shared" si="129"/>
        <v>24.97</v>
      </c>
      <c r="W618" s="19">
        <f t="shared" si="130"/>
        <v>24.97</v>
      </c>
      <c r="X618" s="19" t="str">
        <f t="shared" si="131"/>
        <v>True</v>
      </c>
      <c r="Y618" s="19" t="str">
        <f>IF(OR(W618&lt;'Cleaning Tasks'!$G$18,W618&gt;'Cleaning Tasks'!$H$18),"Outlier","Normal")</f>
        <v>Normal</v>
      </c>
      <c r="Z618" s="2" t="s">
        <v>66</v>
      </c>
      <c r="AA618" s="2" t="s">
        <v>111</v>
      </c>
      <c r="AB618" s="2" t="s">
        <v>50</v>
      </c>
      <c r="AC618" s="2" t="s">
        <v>42</v>
      </c>
      <c r="AD618" s="2"/>
      <c r="AE618" s="2" t="str">
        <f t="shared" si="132"/>
        <v>Not Required</v>
      </c>
      <c r="AF618" s="2" t="s">
        <v>2056</v>
      </c>
    </row>
    <row r="619" spans="1:32" x14ac:dyDescent="0.3">
      <c r="A619" s="2" t="s">
        <v>2057</v>
      </c>
      <c r="B619" s="2">
        <f t="shared" si="122"/>
        <v>1</v>
      </c>
      <c r="C619" s="12">
        <f t="shared" si="134"/>
        <v>46238.580552731481</v>
      </c>
      <c r="D619" s="13">
        <v>46238.580552731481</v>
      </c>
      <c r="E619" s="2" t="s">
        <v>643</v>
      </c>
      <c r="F619" s="2" t="str">
        <f t="shared" si="123"/>
        <v>Email Available</v>
      </c>
      <c r="G619" s="2" t="s">
        <v>644</v>
      </c>
      <c r="H619" s="2" t="s">
        <v>46</v>
      </c>
      <c r="I619" s="2" t="s">
        <v>47</v>
      </c>
      <c r="J619" s="2" t="s">
        <v>48</v>
      </c>
      <c r="K619" s="2">
        <v>1</v>
      </c>
      <c r="L619" s="2">
        <v>39.99</v>
      </c>
      <c r="M619" s="19">
        <f t="shared" si="124"/>
        <v>39.99</v>
      </c>
      <c r="N619" s="2" t="s">
        <v>38</v>
      </c>
      <c r="O619" s="2" t="str">
        <f t="shared" si="125"/>
        <v>FREESHIP</v>
      </c>
      <c r="P619" s="2" t="s">
        <v>184</v>
      </c>
      <c r="Q619" s="19">
        <f t="shared" si="126"/>
        <v>0</v>
      </c>
      <c r="R619" s="2" t="str">
        <f t="shared" si="127"/>
        <v>Number</v>
      </c>
      <c r="S619" s="2">
        <v>0</v>
      </c>
      <c r="T619" s="19">
        <f t="shared" si="128"/>
        <v>0</v>
      </c>
      <c r="U619" s="2">
        <v>39.99</v>
      </c>
      <c r="V619" s="19">
        <f t="shared" si="129"/>
        <v>39.99</v>
      </c>
      <c r="W619" s="19">
        <f t="shared" si="130"/>
        <v>39.99</v>
      </c>
      <c r="X619" s="19" t="str">
        <f t="shared" si="131"/>
        <v>True</v>
      </c>
      <c r="Y619" s="19" t="str">
        <f>IF(OR(W619&lt;'Cleaning Tasks'!$G$18,W619&gt;'Cleaning Tasks'!$H$18),"Outlier","Normal")</f>
        <v>Normal</v>
      </c>
      <c r="Z619" s="2" t="s">
        <v>66</v>
      </c>
      <c r="AA619" s="2" t="s">
        <v>27</v>
      </c>
      <c r="AB619" s="2" t="s">
        <v>50</v>
      </c>
      <c r="AC619" s="2" t="s">
        <v>29</v>
      </c>
      <c r="AD619" s="2" t="s">
        <v>89</v>
      </c>
      <c r="AE619" s="2" t="str">
        <f t="shared" si="132"/>
        <v>Valid</v>
      </c>
      <c r="AF619" s="2" t="s">
        <v>2058</v>
      </c>
    </row>
    <row r="620" spans="1:32" x14ac:dyDescent="0.3">
      <c r="A620" s="2" t="s">
        <v>2059</v>
      </c>
      <c r="B620" s="2">
        <f t="shared" si="122"/>
        <v>1</v>
      </c>
      <c r="C620" s="12">
        <f t="shared" si="134"/>
        <v>46238</v>
      </c>
      <c r="D620" s="13">
        <v>46238</v>
      </c>
      <c r="E620" s="2" t="s">
        <v>528</v>
      </c>
      <c r="F620" s="2" t="str">
        <f t="shared" si="123"/>
        <v>Email Available</v>
      </c>
      <c r="G620" s="2" t="s">
        <v>529</v>
      </c>
      <c r="H620" s="2" t="s">
        <v>309</v>
      </c>
      <c r="I620" s="2" t="s">
        <v>36</v>
      </c>
      <c r="J620" s="2" t="s">
        <v>310</v>
      </c>
      <c r="K620" s="2">
        <v>1</v>
      </c>
      <c r="L620" s="2">
        <v>8.99</v>
      </c>
      <c r="M620" s="19">
        <f t="shared" si="124"/>
        <v>8.99</v>
      </c>
      <c r="N620" s="2" t="s">
        <v>118</v>
      </c>
      <c r="O620" s="2" t="str">
        <f t="shared" si="125"/>
        <v>BFCM25</v>
      </c>
      <c r="P620" s="2">
        <v>2.25</v>
      </c>
      <c r="Q620" s="19">
        <f t="shared" si="126"/>
        <v>2.25</v>
      </c>
      <c r="R620" s="2" t="str">
        <f t="shared" si="127"/>
        <v>Number</v>
      </c>
      <c r="S620" s="2">
        <v>5.99</v>
      </c>
      <c r="T620" s="19">
        <f t="shared" si="128"/>
        <v>5.99</v>
      </c>
      <c r="U620" s="2">
        <v>12.73</v>
      </c>
      <c r="V620" s="19">
        <f t="shared" si="129"/>
        <v>12.73</v>
      </c>
      <c r="W620" s="19">
        <f t="shared" si="130"/>
        <v>12.73</v>
      </c>
      <c r="X620" s="19" t="str">
        <f t="shared" si="131"/>
        <v>True</v>
      </c>
      <c r="Y620" s="19" t="str">
        <f>IF(OR(W620&lt;'Cleaning Tasks'!$G$18,W620&gt;'Cleaning Tasks'!$H$18),"Outlier","Normal")</f>
        <v>Normal</v>
      </c>
      <c r="Z620" s="2" t="s">
        <v>49</v>
      </c>
      <c r="AA620" s="2" t="s">
        <v>88</v>
      </c>
      <c r="AB620" s="2" t="s">
        <v>50</v>
      </c>
      <c r="AC620" s="2" t="s">
        <v>29</v>
      </c>
      <c r="AD620" s="2" t="s">
        <v>67</v>
      </c>
      <c r="AE620" s="2" t="str">
        <f t="shared" si="132"/>
        <v>Valid</v>
      </c>
      <c r="AF620" s="2" t="s">
        <v>2060</v>
      </c>
    </row>
    <row r="621" spans="1:32" x14ac:dyDescent="0.3">
      <c r="A621" s="2" t="s">
        <v>2061</v>
      </c>
      <c r="B621" s="2">
        <f t="shared" si="122"/>
        <v>1</v>
      </c>
      <c r="C621" s="12">
        <f t="shared" si="134"/>
        <v>46238.580141990737</v>
      </c>
      <c r="D621" s="13">
        <v>46238.580141990737</v>
      </c>
      <c r="E621" s="2" t="s">
        <v>1203</v>
      </c>
      <c r="F621" s="2" t="str">
        <f t="shared" si="123"/>
        <v>Email Available</v>
      </c>
      <c r="G621" s="2" t="s">
        <v>1204</v>
      </c>
      <c r="H621" s="2" t="s">
        <v>261</v>
      </c>
      <c r="I621" s="2" t="s">
        <v>36</v>
      </c>
      <c r="J621" s="2" t="s">
        <v>262</v>
      </c>
      <c r="K621" s="2">
        <v>2</v>
      </c>
      <c r="L621" s="2">
        <v>15.49</v>
      </c>
      <c r="M621" s="19">
        <f t="shared" si="124"/>
        <v>15.49</v>
      </c>
      <c r="N621" s="2" t="s">
        <v>65</v>
      </c>
      <c r="O621" s="2" t="str">
        <f t="shared" si="125"/>
        <v>WELCOME10</v>
      </c>
      <c r="P621" s="2">
        <v>3.1</v>
      </c>
      <c r="Q621" s="19">
        <f t="shared" si="126"/>
        <v>3.1</v>
      </c>
      <c r="R621" s="2" t="str">
        <f t="shared" si="127"/>
        <v>Number</v>
      </c>
      <c r="S621" s="2">
        <v>7.99</v>
      </c>
      <c r="T621" s="19">
        <f t="shared" si="128"/>
        <v>7.99</v>
      </c>
      <c r="U621" s="2">
        <v>35.869999999999997</v>
      </c>
      <c r="V621" s="19">
        <f t="shared" si="129"/>
        <v>35.869999999999997</v>
      </c>
      <c r="W621" s="19">
        <f t="shared" si="130"/>
        <v>35.869999999999997</v>
      </c>
      <c r="X621" s="19" t="str">
        <f t="shared" si="131"/>
        <v>True</v>
      </c>
      <c r="Y621" s="19" t="str">
        <f>IF(OR(W621&lt;'Cleaning Tasks'!$G$18,W621&gt;'Cleaning Tasks'!$H$18),"Outlier","Normal")</f>
        <v>Normal</v>
      </c>
      <c r="Z621" s="2" t="s">
        <v>49</v>
      </c>
      <c r="AA621" s="2" t="s">
        <v>40</v>
      </c>
      <c r="AB621" s="2" t="s">
        <v>50</v>
      </c>
      <c r="AC621" s="2" t="s">
        <v>73</v>
      </c>
      <c r="AD621" s="2"/>
      <c r="AE621" s="2" t="str">
        <f t="shared" si="132"/>
        <v>Not Required</v>
      </c>
      <c r="AF621" s="2" t="s">
        <v>2062</v>
      </c>
    </row>
    <row r="622" spans="1:32" x14ac:dyDescent="0.3">
      <c r="A622" s="2" t="s">
        <v>2063</v>
      </c>
      <c r="B622" s="2">
        <f t="shared" si="122"/>
        <v>1</v>
      </c>
      <c r="C622" s="12">
        <f t="shared" si="134"/>
        <v>46238.587601319443</v>
      </c>
      <c r="D622" s="13">
        <v>46238.587601319443</v>
      </c>
      <c r="E622" s="2" t="s">
        <v>541</v>
      </c>
      <c r="F622" s="2" t="str">
        <f t="shared" si="123"/>
        <v>Email Available</v>
      </c>
      <c r="G622" s="2" t="s">
        <v>542</v>
      </c>
      <c r="H622" s="2" t="s">
        <v>85</v>
      </c>
      <c r="I622" s="2" t="s">
        <v>86</v>
      </c>
      <c r="J622" s="2" t="s">
        <v>87</v>
      </c>
      <c r="K622" s="2">
        <v>3</v>
      </c>
      <c r="L622" s="2" t="s">
        <v>363</v>
      </c>
      <c r="M622" s="19">
        <f t="shared" si="124"/>
        <v>54.99</v>
      </c>
      <c r="N622" s="2"/>
      <c r="O622" s="2" t="str">
        <f t="shared" si="125"/>
        <v/>
      </c>
      <c r="P622" s="2">
        <v>0</v>
      </c>
      <c r="Q622" s="19">
        <f t="shared" si="126"/>
        <v>0</v>
      </c>
      <c r="R622" s="2" t="str">
        <f t="shared" si="127"/>
        <v>Number</v>
      </c>
      <c r="S622" s="2">
        <v>0</v>
      </c>
      <c r="T622" s="19">
        <f t="shared" si="128"/>
        <v>0</v>
      </c>
      <c r="U622" s="2">
        <v>164.97</v>
      </c>
      <c r="V622" s="19">
        <f t="shared" si="129"/>
        <v>164.97</v>
      </c>
      <c r="W622" s="19">
        <f t="shared" si="130"/>
        <v>164.97</v>
      </c>
      <c r="X622" s="19" t="str">
        <f t="shared" si="131"/>
        <v>True</v>
      </c>
      <c r="Y622" s="19" t="str">
        <f>IF(OR(W622&lt;'Cleaning Tasks'!$G$18,W622&gt;'Cleaning Tasks'!$H$18),"Outlier","Normal")</f>
        <v>Outlier</v>
      </c>
      <c r="Z622" s="2" t="s">
        <v>49</v>
      </c>
      <c r="AA622" s="2" t="s">
        <v>27</v>
      </c>
      <c r="AB622" s="2" t="s">
        <v>50</v>
      </c>
      <c r="AC622" s="2" t="s">
        <v>105</v>
      </c>
      <c r="AD622" s="2"/>
      <c r="AE622" s="2" t="str">
        <f t="shared" si="132"/>
        <v>Not Required</v>
      </c>
      <c r="AF622" s="2" t="s">
        <v>2064</v>
      </c>
    </row>
    <row r="623" spans="1:32" x14ac:dyDescent="0.3">
      <c r="A623" s="2" t="s">
        <v>2065</v>
      </c>
      <c r="B623" s="2">
        <f t="shared" si="122"/>
        <v>1</v>
      </c>
      <c r="C623" s="12">
        <f t="shared" si="134"/>
        <v>46238.58440417824</v>
      </c>
      <c r="D623" s="13">
        <v>46238.58440417824</v>
      </c>
      <c r="E623" s="2" t="s">
        <v>1235</v>
      </c>
      <c r="F623" s="2" t="str">
        <f t="shared" si="123"/>
        <v>Email Available</v>
      </c>
      <c r="G623" s="2" t="s">
        <v>1236</v>
      </c>
      <c r="H623" s="2" t="s">
        <v>146</v>
      </c>
      <c r="I623" s="2" t="s">
        <v>47</v>
      </c>
      <c r="J623" s="2" t="s">
        <v>147</v>
      </c>
      <c r="K623" s="2">
        <v>1</v>
      </c>
      <c r="L623" s="2">
        <v>34.99</v>
      </c>
      <c r="M623" s="19">
        <f t="shared" si="124"/>
        <v>34.99</v>
      </c>
      <c r="N623" s="2"/>
      <c r="O623" s="2" t="str">
        <f t="shared" si="125"/>
        <v/>
      </c>
      <c r="P623" s="2">
        <v>0</v>
      </c>
      <c r="Q623" s="19">
        <f t="shared" si="126"/>
        <v>0</v>
      </c>
      <c r="R623" s="2" t="str">
        <f t="shared" si="127"/>
        <v>Number</v>
      </c>
      <c r="S623" s="2">
        <v>5.99</v>
      </c>
      <c r="T623" s="19">
        <f t="shared" si="128"/>
        <v>5.99</v>
      </c>
      <c r="U623" s="2">
        <v>40.98</v>
      </c>
      <c r="V623" s="19">
        <f t="shared" si="129"/>
        <v>40.98</v>
      </c>
      <c r="W623" s="19">
        <f t="shared" si="130"/>
        <v>40.980000000000004</v>
      </c>
      <c r="X623" s="19" t="str">
        <f t="shared" si="131"/>
        <v>True</v>
      </c>
      <c r="Y623" s="19" t="str">
        <f>IF(OR(W623&lt;'Cleaning Tasks'!$G$18,W623&gt;'Cleaning Tasks'!$H$18),"Outlier","Normal")</f>
        <v>Normal</v>
      </c>
      <c r="Z623" s="2" t="s">
        <v>72</v>
      </c>
      <c r="AA623" s="2" t="s">
        <v>111</v>
      </c>
      <c r="AB623" s="2" t="s">
        <v>50</v>
      </c>
      <c r="AC623" s="2" t="s">
        <v>105</v>
      </c>
      <c r="AD623" s="2"/>
      <c r="AE623" s="2" t="str">
        <f t="shared" si="132"/>
        <v>Not Required</v>
      </c>
      <c r="AF623" s="2" t="s">
        <v>2066</v>
      </c>
    </row>
    <row r="624" spans="1:32" x14ac:dyDescent="0.3">
      <c r="A624" s="2" t="s">
        <v>2067</v>
      </c>
      <c r="B624" s="2">
        <f t="shared" si="122"/>
        <v>1</v>
      </c>
      <c r="C624" s="12">
        <f t="shared" si="134"/>
        <v>46238.582175081021</v>
      </c>
      <c r="D624" s="13">
        <v>46238.582175081021</v>
      </c>
      <c r="E624" s="2" t="s">
        <v>2068</v>
      </c>
      <c r="F624" s="2" t="str">
        <f t="shared" si="123"/>
        <v>Email Available</v>
      </c>
      <c r="G624" s="2" t="s">
        <v>2069</v>
      </c>
      <c r="H624" s="2" t="s">
        <v>267</v>
      </c>
      <c r="I624" s="2" t="s">
        <v>22</v>
      </c>
      <c r="J624" s="2" t="s">
        <v>268</v>
      </c>
      <c r="K624" s="2">
        <v>2</v>
      </c>
      <c r="L624" s="2">
        <v>18.989999999999998</v>
      </c>
      <c r="M624" s="19">
        <f t="shared" si="124"/>
        <v>18.989999999999998</v>
      </c>
      <c r="N624" s="2" t="s">
        <v>118</v>
      </c>
      <c r="O624" s="2" t="str">
        <f t="shared" si="125"/>
        <v>BFCM25</v>
      </c>
      <c r="P624" s="2">
        <v>9.49</v>
      </c>
      <c r="Q624" s="19">
        <f t="shared" si="126"/>
        <v>9.49</v>
      </c>
      <c r="R624" s="2" t="str">
        <f t="shared" si="127"/>
        <v>Number</v>
      </c>
      <c r="S624" s="2">
        <v>5.99</v>
      </c>
      <c r="T624" s="19">
        <f t="shared" si="128"/>
        <v>5.99</v>
      </c>
      <c r="U624" s="2">
        <v>34.479999999999997</v>
      </c>
      <c r="V624" s="19">
        <f t="shared" si="129"/>
        <v>34.479999999999997</v>
      </c>
      <c r="W624" s="19">
        <f t="shared" si="130"/>
        <v>34.479999999999997</v>
      </c>
      <c r="X624" s="19" t="str">
        <f t="shared" si="131"/>
        <v>True</v>
      </c>
      <c r="Y624" s="19" t="str">
        <f>IF(OR(W624&lt;'Cleaning Tasks'!$G$18,W624&gt;'Cleaning Tasks'!$H$18),"Outlier","Normal")</f>
        <v>Normal</v>
      </c>
      <c r="Z624" s="2" t="s">
        <v>49</v>
      </c>
      <c r="AA624" s="2" t="s">
        <v>40</v>
      </c>
      <c r="AB624" s="2" t="s">
        <v>28</v>
      </c>
      <c r="AC624" s="2" t="s">
        <v>29</v>
      </c>
      <c r="AD624" s="22" t="s">
        <v>30</v>
      </c>
      <c r="AE624" s="2" t="str">
        <f t="shared" si="132"/>
        <v>Valid</v>
      </c>
      <c r="AF624" s="2" t="s">
        <v>2070</v>
      </c>
    </row>
    <row r="625" spans="1:32" x14ac:dyDescent="0.3">
      <c r="A625" s="2" t="s">
        <v>2071</v>
      </c>
      <c r="B625" s="2">
        <f t="shared" si="122"/>
        <v>1</v>
      </c>
      <c r="C625" s="12">
        <f t="shared" ref="C625:C656" si="135">IF(ISNUMBER(D625),D625,DATEVALUE(SUBSTITUTE(TRIM(D625),CHAR(160)," ")))</f>
        <v>46238.580527511571</v>
      </c>
      <c r="D625" s="13">
        <v>46238.580527511571</v>
      </c>
      <c r="E625" s="2" t="s">
        <v>2072</v>
      </c>
      <c r="F625" s="2" t="str">
        <f t="shared" si="123"/>
        <v>Missing Email</v>
      </c>
      <c r="G625" s="2"/>
      <c r="H625" s="2" t="s">
        <v>166</v>
      </c>
      <c r="I625" s="2" t="s">
        <v>103</v>
      </c>
      <c r="J625" s="2" t="s">
        <v>167</v>
      </c>
      <c r="K625" s="2">
        <v>3</v>
      </c>
      <c r="L625" s="2">
        <v>32.99</v>
      </c>
      <c r="M625" s="19">
        <f t="shared" si="124"/>
        <v>32.99</v>
      </c>
      <c r="N625" s="2"/>
      <c r="O625" s="2" t="str">
        <f t="shared" si="125"/>
        <v/>
      </c>
      <c r="P625" s="2">
        <v>0</v>
      </c>
      <c r="Q625" s="19">
        <f t="shared" si="126"/>
        <v>0</v>
      </c>
      <c r="R625" s="2" t="str">
        <f t="shared" si="127"/>
        <v>Number</v>
      </c>
      <c r="S625" s="2">
        <v>0</v>
      </c>
      <c r="T625" s="19">
        <f t="shared" si="128"/>
        <v>0</v>
      </c>
      <c r="U625" s="2">
        <v>98.97</v>
      </c>
      <c r="V625" s="19">
        <f t="shared" si="129"/>
        <v>98.97</v>
      </c>
      <c r="W625" s="19">
        <f t="shared" si="130"/>
        <v>98.97</v>
      </c>
      <c r="X625" s="19" t="str">
        <f t="shared" si="131"/>
        <v>True</v>
      </c>
      <c r="Y625" s="19" t="str">
        <f>IF(OR(W625&lt;'Cleaning Tasks'!$G$18,W625&gt;'Cleaning Tasks'!$H$18),"Outlier","Normal")</f>
        <v>Outlier</v>
      </c>
      <c r="Z625" s="2" t="s">
        <v>39</v>
      </c>
      <c r="AA625" s="2" t="s">
        <v>40</v>
      </c>
      <c r="AB625" s="2" t="s">
        <v>50</v>
      </c>
      <c r="AC625" s="2" t="s">
        <v>73</v>
      </c>
      <c r="AD625" s="2"/>
      <c r="AE625" s="2" t="str">
        <f t="shared" si="132"/>
        <v>Not Required</v>
      </c>
      <c r="AF625" s="2" t="s">
        <v>2073</v>
      </c>
    </row>
    <row r="626" spans="1:32" x14ac:dyDescent="0.3">
      <c r="A626" s="2" t="s">
        <v>2074</v>
      </c>
      <c r="B626" s="2">
        <f t="shared" si="122"/>
        <v>1</v>
      </c>
      <c r="C626" s="12">
        <f t="shared" si="135"/>
        <v>46238.585120810189</v>
      </c>
      <c r="D626" s="13">
        <v>46238.585120810189</v>
      </c>
      <c r="E626" s="2" t="s">
        <v>2075</v>
      </c>
      <c r="F626" s="2" t="str">
        <f t="shared" si="123"/>
        <v>Email Available</v>
      </c>
      <c r="G626" s="2" t="s">
        <v>2076</v>
      </c>
      <c r="H626" s="2" t="s">
        <v>182</v>
      </c>
      <c r="I626" s="2" t="s">
        <v>36</v>
      </c>
      <c r="J626" s="2" t="s">
        <v>183</v>
      </c>
      <c r="K626" s="2">
        <v>1</v>
      </c>
      <c r="L626" s="2">
        <v>11.99</v>
      </c>
      <c r="M626" s="19">
        <f t="shared" si="124"/>
        <v>11.99</v>
      </c>
      <c r="N626" s="2"/>
      <c r="O626" s="2" t="str">
        <f t="shared" si="125"/>
        <v/>
      </c>
      <c r="P626" s="2">
        <v>0</v>
      </c>
      <c r="Q626" s="19">
        <f t="shared" si="126"/>
        <v>0</v>
      </c>
      <c r="R626" s="2" t="str">
        <f t="shared" si="127"/>
        <v>Number</v>
      </c>
      <c r="S626" s="2">
        <v>4.99</v>
      </c>
      <c r="T626" s="19">
        <f t="shared" si="128"/>
        <v>4.99</v>
      </c>
      <c r="U626" s="2">
        <v>16.98</v>
      </c>
      <c r="V626" s="19">
        <f t="shared" si="129"/>
        <v>16.98</v>
      </c>
      <c r="W626" s="19">
        <f t="shared" si="130"/>
        <v>16.98</v>
      </c>
      <c r="X626" s="19" t="str">
        <f t="shared" si="131"/>
        <v>True</v>
      </c>
      <c r="Y626" s="19" t="str">
        <f>IF(OR(W626&lt;'Cleaning Tasks'!$G$18,W626&gt;'Cleaning Tasks'!$H$18),"Outlier","Normal")</f>
        <v>Normal</v>
      </c>
      <c r="Z626" s="2" t="s">
        <v>72</v>
      </c>
      <c r="AA626" s="2" t="s">
        <v>27</v>
      </c>
      <c r="AB626" s="2" t="s">
        <v>50</v>
      </c>
      <c r="AC626" s="2" t="s">
        <v>223</v>
      </c>
      <c r="AD626" s="2"/>
      <c r="AE626" s="2" t="str">
        <f t="shared" si="132"/>
        <v>Not Required</v>
      </c>
      <c r="AF626" s="2" t="s">
        <v>2077</v>
      </c>
    </row>
    <row r="627" spans="1:32" x14ac:dyDescent="0.3">
      <c r="A627" s="2" t="s">
        <v>2078</v>
      </c>
      <c r="B627" s="2">
        <f t="shared" si="122"/>
        <v>1</v>
      </c>
      <c r="C627" s="12">
        <f t="shared" si="135"/>
        <v>46238</v>
      </c>
      <c r="D627" s="13">
        <v>46238</v>
      </c>
      <c r="E627" s="2" t="s">
        <v>2079</v>
      </c>
      <c r="F627" s="2" t="str">
        <f t="shared" si="123"/>
        <v>Email Available</v>
      </c>
      <c r="G627" s="2" t="s">
        <v>445</v>
      </c>
      <c r="H627" s="2" t="s">
        <v>35</v>
      </c>
      <c r="I627" s="2" t="s">
        <v>36</v>
      </c>
      <c r="J627" s="2" t="s">
        <v>37</v>
      </c>
      <c r="K627" s="2">
        <v>2</v>
      </c>
      <c r="L627" s="2">
        <v>21.99</v>
      </c>
      <c r="M627" s="19">
        <f t="shared" si="124"/>
        <v>21.99</v>
      </c>
      <c r="N627" s="2"/>
      <c r="O627" s="2" t="str">
        <f t="shared" si="125"/>
        <v/>
      </c>
      <c r="P627" s="2">
        <v>0</v>
      </c>
      <c r="Q627" s="19">
        <f t="shared" si="126"/>
        <v>0</v>
      </c>
      <c r="R627" s="2" t="str">
        <f t="shared" si="127"/>
        <v>Number</v>
      </c>
      <c r="S627" s="2">
        <v>4.99</v>
      </c>
      <c r="T627" s="19">
        <f t="shared" si="128"/>
        <v>4.99</v>
      </c>
      <c r="U627" s="2">
        <v>48.97</v>
      </c>
      <c r="V627" s="19">
        <f t="shared" si="129"/>
        <v>48.97</v>
      </c>
      <c r="W627" s="19">
        <f t="shared" si="130"/>
        <v>48.97</v>
      </c>
      <c r="X627" s="19" t="str">
        <f t="shared" si="131"/>
        <v>True</v>
      </c>
      <c r="Y627" s="19" t="str">
        <f>IF(OR(W627&lt;'Cleaning Tasks'!$G$18,W627&gt;'Cleaning Tasks'!$H$18),"Outlier","Normal")</f>
        <v>Normal</v>
      </c>
      <c r="Z627" s="2" t="s">
        <v>66</v>
      </c>
      <c r="AA627" s="2" t="s">
        <v>88</v>
      </c>
      <c r="AB627" s="2" t="s">
        <v>50</v>
      </c>
      <c r="AC627" s="2" t="s">
        <v>29</v>
      </c>
      <c r="AD627" s="2" t="s">
        <v>67</v>
      </c>
      <c r="AE627" s="2" t="str">
        <f t="shared" si="132"/>
        <v>Valid</v>
      </c>
      <c r="AF627" s="2" t="s">
        <v>2080</v>
      </c>
    </row>
    <row r="628" spans="1:32" x14ac:dyDescent="0.3">
      <c r="A628" s="2" t="s">
        <v>2081</v>
      </c>
      <c r="B628" s="2">
        <f t="shared" si="122"/>
        <v>1</v>
      </c>
      <c r="C628" s="12">
        <f t="shared" si="135"/>
        <v>46238.584532291658</v>
      </c>
      <c r="D628" s="13">
        <v>46238.584532291658</v>
      </c>
      <c r="E628" s="2" t="s">
        <v>413</v>
      </c>
      <c r="F628" s="2" t="str">
        <f t="shared" si="123"/>
        <v>Email Available</v>
      </c>
      <c r="G628" s="2" t="s">
        <v>414</v>
      </c>
      <c r="H628" s="2" t="s">
        <v>236</v>
      </c>
      <c r="I628" s="2" t="s">
        <v>237</v>
      </c>
      <c r="J628" s="2" t="s">
        <v>238</v>
      </c>
      <c r="K628" s="2">
        <v>4</v>
      </c>
      <c r="L628" s="2">
        <v>27.99</v>
      </c>
      <c r="M628" s="19">
        <f t="shared" si="124"/>
        <v>27.99</v>
      </c>
      <c r="N628" s="2"/>
      <c r="O628" s="2" t="str">
        <f t="shared" si="125"/>
        <v/>
      </c>
      <c r="P628" s="2">
        <v>0</v>
      </c>
      <c r="Q628" s="19">
        <f t="shared" si="126"/>
        <v>0</v>
      </c>
      <c r="R628" s="2" t="str">
        <f t="shared" si="127"/>
        <v>Number</v>
      </c>
      <c r="S628" s="2">
        <v>0</v>
      </c>
      <c r="T628" s="19">
        <f t="shared" si="128"/>
        <v>0</v>
      </c>
      <c r="U628" s="2">
        <v>111.96</v>
      </c>
      <c r="V628" s="19">
        <f t="shared" si="129"/>
        <v>111.96</v>
      </c>
      <c r="W628" s="19">
        <f t="shared" si="130"/>
        <v>111.96</v>
      </c>
      <c r="X628" s="19" t="str">
        <f t="shared" si="131"/>
        <v>True</v>
      </c>
      <c r="Y628" s="19" t="str">
        <f>IF(OR(W628&lt;'Cleaning Tasks'!$G$18,W628&gt;'Cleaning Tasks'!$H$18),"Outlier","Normal")</f>
        <v>Outlier</v>
      </c>
      <c r="Z628" s="2" t="s">
        <v>72</v>
      </c>
      <c r="AA628" s="2" t="s">
        <v>27</v>
      </c>
      <c r="AB628" s="2" t="s">
        <v>28</v>
      </c>
      <c r="AC628" s="2" t="s">
        <v>331</v>
      </c>
      <c r="AD628" s="2"/>
      <c r="AE628" s="2" t="str">
        <f t="shared" si="132"/>
        <v>Not Required</v>
      </c>
      <c r="AF628" s="2" t="s">
        <v>2082</v>
      </c>
    </row>
    <row r="629" spans="1:32" x14ac:dyDescent="0.3">
      <c r="A629" s="2" t="s">
        <v>2083</v>
      </c>
      <c r="B629" s="2">
        <f t="shared" si="122"/>
        <v>1</v>
      </c>
      <c r="C629" s="12">
        <f t="shared" si="135"/>
        <v>46238.578787199083</v>
      </c>
      <c r="D629" s="13">
        <v>46238.578787199083</v>
      </c>
      <c r="E629" s="2" t="s">
        <v>988</v>
      </c>
      <c r="F629" s="2" t="str">
        <f t="shared" si="123"/>
        <v>Email Available</v>
      </c>
      <c r="G629" s="2" t="s">
        <v>989</v>
      </c>
      <c r="H629" s="2" t="s">
        <v>190</v>
      </c>
      <c r="I629" s="2" t="s">
        <v>191</v>
      </c>
      <c r="J629" s="2" t="s">
        <v>192</v>
      </c>
      <c r="K629" s="2">
        <v>1</v>
      </c>
      <c r="L629" s="2">
        <v>13.49</v>
      </c>
      <c r="M629" s="19">
        <f t="shared" si="124"/>
        <v>13.49</v>
      </c>
      <c r="N629" s="2"/>
      <c r="O629" s="2" t="str">
        <f t="shared" si="125"/>
        <v/>
      </c>
      <c r="P629" s="2">
        <v>0</v>
      </c>
      <c r="Q629" s="19">
        <f t="shared" si="126"/>
        <v>0</v>
      </c>
      <c r="R629" s="2" t="str">
        <f t="shared" si="127"/>
        <v>Number</v>
      </c>
      <c r="S629" s="2">
        <v>4.99</v>
      </c>
      <c r="T629" s="19">
        <f t="shared" si="128"/>
        <v>4.99</v>
      </c>
      <c r="U629" s="2">
        <v>18.48</v>
      </c>
      <c r="V629" s="19">
        <f t="shared" si="129"/>
        <v>18.48</v>
      </c>
      <c r="W629" s="19">
        <f t="shared" si="130"/>
        <v>18.48</v>
      </c>
      <c r="X629" s="19" t="str">
        <f t="shared" si="131"/>
        <v>True</v>
      </c>
      <c r="Y629" s="19" t="str">
        <f>IF(OR(W629&lt;'Cleaning Tasks'!$G$18,W629&gt;'Cleaning Tasks'!$H$18),"Outlier","Normal")</f>
        <v>Normal</v>
      </c>
      <c r="Z629" s="2" t="s">
        <v>72</v>
      </c>
      <c r="AA629" s="2" t="s">
        <v>27</v>
      </c>
      <c r="AB629" s="2" t="s">
        <v>50</v>
      </c>
      <c r="AC629" s="2" t="s">
        <v>223</v>
      </c>
      <c r="AD629" s="2"/>
      <c r="AE629" s="2" t="str">
        <f t="shared" si="132"/>
        <v>Not Required</v>
      </c>
      <c r="AF629" s="2" t="s">
        <v>2084</v>
      </c>
    </row>
    <row r="630" spans="1:32" x14ac:dyDescent="0.3">
      <c r="A630" s="2" t="s">
        <v>2085</v>
      </c>
      <c r="B630" s="2">
        <f t="shared" si="122"/>
        <v>1</v>
      </c>
      <c r="C630" s="12">
        <f t="shared" si="135"/>
        <v>46238</v>
      </c>
      <c r="D630" s="13">
        <v>46238</v>
      </c>
      <c r="E630" s="2" t="s">
        <v>658</v>
      </c>
      <c r="F630" s="2" t="str">
        <f t="shared" si="123"/>
        <v>Email Available</v>
      </c>
      <c r="G630" s="2" t="s">
        <v>659</v>
      </c>
      <c r="H630" s="2" t="s">
        <v>221</v>
      </c>
      <c r="I630" s="2" t="s">
        <v>22</v>
      </c>
      <c r="J630" s="2" t="s">
        <v>222</v>
      </c>
      <c r="K630" s="2">
        <v>2</v>
      </c>
      <c r="L630" s="2">
        <v>17.989999999999998</v>
      </c>
      <c r="M630" s="19">
        <f t="shared" si="124"/>
        <v>17.989999999999998</v>
      </c>
      <c r="N630" s="2"/>
      <c r="O630" s="2" t="str">
        <f t="shared" si="125"/>
        <v/>
      </c>
      <c r="P630" s="2">
        <v>0</v>
      </c>
      <c r="Q630" s="19">
        <f t="shared" si="126"/>
        <v>0</v>
      </c>
      <c r="R630" s="2" t="str">
        <f t="shared" si="127"/>
        <v>Number</v>
      </c>
      <c r="S630" s="2">
        <v>5.99</v>
      </c>
      <c r="T630" s="19">
        <f t="shared" si="128"/>
        <v>5.99</v>
      </c>
      <c r="U630" s="2">
        <v>41.97</v>
      </c>
      <c r="V630" s="19">
        <f t="shared" si="129"/>
        <v>41.97</v>
      </c>
      <c r="W630" s="19">
        <f t="shared" si="130"/>
        <v>41.97</v>
      </c>
      <c r="X630" s="19" t="str">
        <f t="shared" si="131"/>
        <v>True</v>
      </c>
      <c r="Y630" s="19" t="str">
        <f>IF(OR(W630&lt;'Cleaning Tasks'!$G$18,W630&gt;'Cleaning Tasks'!$H$18),"Outlier","Normal")</f>
        <v>Normal</v>
      </c>
      <c r="Z630" s="2" t="s">
        <v>49</v>
      </c>
      <c r="AA630" s="2" t="s">
        <v>27</v>
      </c>
      <c r="AB630" s="2" t="s">
        <v>50</v>
      </c>
      <c r="AC630" s="2" t="s">
        <v>73</v>
      </c>
      <c r="AD630" s="2"/>
      <c r="AE630" s="2" t="str">
        <f t="shared" si="132"/>
        <v>Not Required</v>
      </c>
      <c r="AF630" s="2" t="s">
        <v>2086</v>
      </c>
    </row>
    <row r="631" spans="1:32" x14ac:dyDescent="0.3">
      <c r="A631" s="2" t="s">
        <v>2087</v>
      </c>
      <c r="B631" s="2">
        <f t="shared" si="122"/>
        <v>1</v>
      </c>
      <c r="C631" s="12">
        <f t="shared" si="135"/>
        <v>46238</v>
      </c>
      <c r="D631" s="13">
        <v>46238</v>
      </c>
      <c r="E631" s="2" t="s">
        <v>2088</v>
      </c>
      <c r="F631" s="2" t="str">
        <f t="shared" si="123"/>
        <v>Email Available</v>
      </c>
      <c r="G631" s="2" t="s">
        <v>857</v>
      </c>
      <c r="H631" s="2" t="s">
        <v>78</v>
      </c>
      <c r="I631" s="2" t="s">
        <v>79</v>
      </c>
      <c r="J631" s="2" t="s">
        <v>80</v>
      </c>
      <c r="K631" s="2">
        <v>1</v>
      </c>
      <c r="L631" s="2">
        <v>89.99</v>
      </c>
      <c r="M631" s="19">
        <f t="shared" si="124"/>
        <v>89.99</v>
      </c>
      <c r="N631" s="2" t="s">
        <v>203</v>
      </c>
      <c r="O631" s="2" t="str">
        <f t="shared" si="125"/>
        <v>VIP15</v>
      </c>
      <c r="P631" s="2">
        <v>13.5</v>
      </c>
      <c r="Q631" s="19">
        <f t="shared" si="126"/>
        <v>13.5</v>
      </c>
      <c r="R631" s="2" t="str">
        <f t="shared" si="127"/>
        <v>Number</v>
      </c>
      <c r="S631" s="2">
        <v>0</v>
      </c>
      <c r="T631" s="19">
        <f t="shared" si="128"/>
        <v>0</v>
      </c>
      <c r="U631" s="2">
        <v>76.489999999999995</v>
      </c>
      <c r="V631" s="19">
        <f t="shared" si="129"/>
        <v>76.489999999999995</v>
      </c>
      <c r="W631" s="19">
        <f t="shared" si="130"/>
        <v>76.489999999999995</v>
      </c>
      <c r="X631" s="19" t="str">
        <f t="shared" si="131"/>
        <v>True</v>
      </c>
      <c r="Y631" s="19" t="str">
        <f>IF(OR(W631&lt;'Cleaning Tasks'!$G$18,W631&gt;'Cleaning Tasks'!$H$18),"Outlier","Normal")</f>
        <v>Normal</v>
      </c>
      <c r="Z631" s="2" t="s">
        <v>26</v>
      </c>
      <c r="AA631" s="2" t="s">
        <v>27</v>
      </c>
      <c r="AB631" s="2" t="s">
        <v>50</v>
      </c>
      <c r="AC631" s="2" t="s">
        <v>105</v>
      </c>
      <c r="AD631" s="2"/>
      <c r="AE631" s="2" t="str">
        <f t="shared" si="132"/>
        <v>Not Required</v>
      </c>
      <c r="AF631" s="2" t="s">
        <v>2089</v>
      </c>
    </row>
    <row r="632" spans="1:32" x14ac:dyDescent="0.3">
      <c r="A632" s="2" t="s">
        <v>2090</v>
      </c>
      <c r="B632" s="2">
        <f t="shared" si="122"/>
        <v>1</v>
      </c>
      <c r="C632" s="12">
        <f t="shared" si="135"/>
        <v>46238.582941516201</v>
      </c>
      <c r="D632" s="13">
        <v>46238.582941516201</v>
      </c>
      <c r="E632" s="2" t="s">
        <v>557</v>
      </c>
      <c r="F632" s="2" t="str">
        <f t="shared" si="123"/>
        <v>Email Available</v>
      </c>
      <c r="G632" s="2" t="s">
        <v>558</v>
      </c>
      <c r="H632" s="2" t="s">
        <v>236</v>
      </c>
      <c r="I632" s="2" t="s">
        <v>237</v>
      </c>
      <c r="J632" s="2" t="s">
        <v>238</v>
      </c>
      <c r="K632" s="2">
        <v>1</v>
      </c>
      <c r="L632" s="2">
        <v>27.99</v>
      </c>
      <c r="M632" s="19">
        <f t="shared" si="124"/>
        <v>27.99</v>
      </c>
      <c r="N632" s="2"/>
      <c r="O632" s="2" t="str">
        <f t="shared" si="125"/>
        <v/>
      </c>
      <c r="P632" s="2">
        <v>0</v>
      </c>
      <c r="Q632" s="19">
        <f t="shared" si="126"/>
        <v>0</v>
      </c>
      <c r="R632" s="2" t="str">
        <f t="shared" si="127"/>
        <v>Number</v>
      </c>
      <c r="S632" s="2">
        <v>7.99</v>
      </c>
      <c r="T632" s="19">
        <f t="shared" si="128"/>
        <v>7.99</v>
      </c>
      <c r="U632" s="2">
        <v>35.979999999999997</v>
      </c>
      <c r="V632" s="19">
        <f t="shared" si="129"/>
        <v>35.979999999999997</v>
      </c>
      <c r="W632" s="19">
        <f t="shared" si="130"/>
        <v>35.979999999999997</v>
      </c>
      <c r="X632" s="19" t="str">
        <f t="shared" si="131"/>
        <v>True</v>
      </c>
      <c r="Y632" s="19" t="str">
        <f>IF(OR(W632&lt;'Cleaning Tasks'!$G$18,W632&gt;'Cleaning Tasks'!$H$18),"Outlier","Normal")</f>
        <v>Normal</v>
      </c>
      <c r="Z632" s="2" t="s">
        <v>49</v>
      </c>
      <c r="AA632" s="2" t="s">
        <v>111</v>
      </c>
      <c r="AB632" s="2" t="s">
        <v>50</v>
      </c>
      <c r="AC632" s="2" t="s">
        <v>42</v>
      </c>
      <c r="AD632" s="2"/>
      <c r="AE632" s="2" t="str">
        <f t="shared" si="132"/>
        <v>Not Required</v>
      </c>
      <c r="AF632" s="2" t="s">
        <v>2091</v>
      </c>
    </row>
    <row r="633" spans="1:32" x14ac:dyDescent="0.3">
      <c r="A633" s="2" t="s">
        <v>2092</v>
      </c>
      <c r="B633" s="2">
        <f t="shared" si="122"/>
        <v>1</v>
      </c>
      <c r="C633" s="12">
        <f t="shared" si="135"/>
        <v>46238</v>
      </c>
      <c r="D633" s="13">
        <v>46238</v>
      </c>
      <c r="E633" s="2" t="s">
        <v>2093</v>
      </c>
      <c r="F633" s="2" t="str">
        <f t="shared" si="123"/>
        <v>Email Available</v>
      </c>
      <c r="G633" s="2" t="s">
        <v>2094</v>
      </c>
      <c r="H633" s="2" t="s">
        <v>166</v>
      </c>
      <c r="I633" s="2" t="s">
        <v>103</v>
      </c>
      <c r="J633" s="2" t="s">
        <v>167</v>
      </c>
      <c r="K633" s="2">
        <v>3</v>
      </c>
      <c r="L633" s="2">
        <v>32.99</v>
      </c>
      <c r="M633" s="19">
        <f t="shared" si="124"/>
        <v>32.99</v>
      </c>
      <c r="N633" s="2" t="s">
        <v>65</v>
      </c>
      <c r="O633" s="2" t="str">
        <f t="shared" si="125"/>
        <v>WELCOME10</v>
      </c>
      <c r="P633" s="2">
        <v>9.9</v>
      </c>
      <c r="Q633" s="19">
        <f t="shared" si="126"/>
        <v>9.9</v>
      </c>
      <c r="R633" s="2" t="str">
        <f t="shared" si="127"/>
        <v>Number</v>
      </c>
      <c r="S633" s="2">
        <v>0</v>
      </c>
      <c r="T633" s="19">
        <f t="shared" si="128"/>
        <v>0</v>
      </c>
      <c r="U633" s="2">
        <v>89.07</v>
      </c>
      <c r="V633" s="19">
        <f t="shared" si="129"/>
        <v>89.07</v>
      </c>
      <c r="W633" s="19">
        <f t="shared" si="130"/>
        <v>89.07</v>
      </c>
      <c r="X633" s="19" t="str">
        <f t="shared" si="131"/>
        <v>True</v>
      </c>
      <c r="Y633" s="19" t="str">
        <f>IF(OR(W633&lt;'Cleaning Tasks'!$G$18,W633&gt;'Cleaning Tasks'!$H$18),"Outlier","Normal")</f>
        <v>Outlier</v>
      </c>
      <c r="Z633" s="2" t="s">
        <v>66</v>
      </c>
      <c r="AA633" s="2" t="s">
        <v>27</v>
      </c>
      <c r="AB633" s="2" t="s">
        <v>50</v>
      </c>
      <c r="AC633" s="2" t="s">
        <v>29</v>
      </c>
      <c r="AD633" s="2" t="s">
        <v>341</v>
      </c>
      <c r="AE633" s="2" t="str">
        <f t="shared" si="132"/>
        <v>Valid</v>
      </c>
      <c r="AF633" s="2" t="s">
        <v>2095</v>
      </c>
    </row>
    <row r="634" spans="1:32" x14ac:dyDescent="0.3">
      <c r="A634" s="2" t="s">
        <v>2096</v>
      </c>
      <c r="B634" s="2">
        <f t="shared" si="122"/>
        <v>1</v>
      </c>
      <c r="C634" s="12">
        <f t="shared" si="135"/>
        <v>46238.582596307868</v>
      </c>
      <c r="D634" s="13">
        <v>46238.582596307868</v>
      </c>
      <c r="E634" s="2" t="s">
        <v>2097</v>
      </c>
      <c r="F634" s="2" t="str">
        <f t="shared" si="123"/>
        <v>Email Available</v>
      </c>
      <c r="G634" s="2" t="s">
        <v>2098</v>
      </c>
      <c r="H634" s="2" t="s">
        <v>102</v>
      </c>
      <c r="I634" s="2" t="s">
        <v>103</v>
      </c>
      <c r="J634" s="2" t="s">
        <v>104</v>
      </c>
      <c r="K634" s="2">
        <v>1</v>
      </c>
      <c r="L634" s="2">
        <v>19.989999999999998</v>
      </c>
      <c r="M634" s="19">
        <f t="shared" si="124"/>
        <v>19.989999999999998</v>
      </c>
      <c r="N634" s="2" t="s">
        <v>203</v>
      </c>
      <c r="O634" s="2" t="str">
        <f t="shared" si="125"/>
        <v>VIP15</v>
      </c>
      <c r="P634" s="2">
        <v>3</v>
      </c>
      <c r="Q634" s="19">
        <f t="shared" si="126"/>
        <v>3</v>
      </c>
      <c r="R634" s="2" t="str">
        <f t="shared" si="127"/>
        <v>Number</v>
      </c>
      <c r="S634" s="2">
        <v>5.99</v>
      </c>
      <c r="T634" s="19">
        <f t="shared" si="128"/>
        <v>5.99</v>
      </c>
      <c r="U634" s="2">
        <v>22.98</v>
      </c>
      <c r="V634" s="19">
        <f t="shared" si="129"/>
        <v>22.98</v>
      </c>
      <c r="W634" s="19">
        <f t="shared" si="130"/>
        <v>22.979999999999997</v>
      </c>
      <c r="X634" s="19" t="str">
        <f t="shared" si="131"/>
        <v>True</v>
      </c>
      <c r="Y634" s="19" t="str">
        <f>IF(OR(W634&lt;'Cleaning Tasks'!$G$18,W634&gt;'Cleaning Tasks'!$H$18),"Outlier","Normal")</f>
        <v>Normal</v>
      </c>
      <c r="Z634" s="2" t="s">
        <v>49</v>
      </c>
      <c r="AA634" s="2" t="s">
        <v>88</v>
      </c>
      <c r="AB634" s="2" t="s">
        <v>41</v>
      </c>
      <c r="AC634" s="2" t="s">
        <v>223</v>
      </c>
      <c r="AD634" s="2"/>
      <c r="AE634" s="2" t="str">
        <f t="shared" si="132"/>
        <v>Not Required</v>
      </c>
      <c r="AF634" s="2" t="s">
        <v>2099</v>
      </c>
    </row>
    <row r="635" spans="1:32" x14ac:dyDescent="0.3">
      <c r="A635" s="2" t="s">
        <v>2100</v>
      </c>
      <c r="B635" s="2">
        <f t="shared" si="122"/>
        <v>1</v>
      </c>
      <c r="C635" s="12">
        <f t="shared" si="135"/>
        <v>46238.583810937504</v>
      </c>
      <c r="D635" s="13">
        <v>46238.583810937504</v>
      </c>
      <c r="E635" s="2" t="s">
        <v>554</v>
      </c>
      <c r="F635" s="2" t="str">
        <f t="shared" si="123"/>
        <v>Email Available</v>
      </c>
      <c r="G635" s="2" t="s">
        <v>45</v>
      </c>
      <c r="H635" s="2" t="s">
        <v>201</v>
      </c>
      <c r="I635" s="2" t="s">
        <v>191</v>
      </c>
      <c r="J635" s="2" t="s">
        <v>202</v>
      </c>
      <c r="K635" s="2">
        <v>1</v>
      </c>
      <c r="L635" s="2">
        <v>24.99</v>
      </c>
      <c r="M635" s="19">
        <f t="shared" si="124"/>
        <v>24.99</v>
      </c>
      <c r="N635" s="2"/>
      <c r="O635" s="2" t="str">
        <f t="shared" si="125"/>
        <v/>
      </c>
      <c r="P635" s="2">
        <v>0</v>
      </c>
      <c r="Q635" s="19">
        <f t="shared" si="126"/>
        <v>0</v>
      </c>
      <c r="R635" s="2" t="str">
        <f t="shared" si="127"/>
        <v>Number</v>
      </c>
      <c r="S635" s="2">
        <v>5.99</v>
      </c>
      <c r="T635" s="19">
        <f t="shared" si="128"/>
        <v>5.99</v>
      </c>
      <c r="U635" s="2">
        <v>30.98</v>
      </c>
      <c r="V635" s="19">
        <f t="shared" si="129"/>
        <v>30.98</v>
      </c>
      <c r="W635" s="19">
        <f t="shared" si="130"/>
        <v>30.979999999999997</v>
      </c>
      <c r="X635" s="19" t="str">
        <f t="shared" si="131"/>
        <v>True</v>
      </c>
      <c r="Y635" s="19" t="str">
        <f>IF(OR(W635&lt;'Cleaning Tasks'!$G$18,W635&gt;'Cleaning Tasks'!$H$18),"Outlier","Normal")</f>
        <v>Normal</v>
      </c>
      <c r="Z635" s="2" t="s">
        <v>39</v>
      </c>
      <c r="AA635" s="2" t="s">
        <v>111</v>
      </c>
      <c r="AB635" s="2" t="s">
        <v>50</v>
      </c>
      <c r="AC635" s="2" t="s">
        <v>29</v>
      </c>
      <c r="AD635" s="2" t="s">
        <v>447</v>
      </c>
      <c r="AE635" s="2" t="str">
        <f t="shared" si="132"/>
        <v>Valid</v>
      </c>
      <c r="AF635" s="2" t="s">
        <v>2101</v>
      </c>
    </row>
    <row r="636" spans="1:32" x14ac:dyDescent="0.3">
      <c r="A636" s="2" t="s">
        <v>2102</v>
      </c>
      <c r="B636" s="2">
        <f t="shared" si="122"/>
        <v>1</v>
      </c>
      <c r="C636" s="12">
        <f t="shared" si="135"/>
        <v>46238.581809606483</v>
      </c>
      <c r="D636" s="13">
        <v>46238.581809606483</v>
      </c>
      <c r="E636" s="2" t="s">
        <v>1592</v>
      </c>
      <c r="F636" s="2" t="str">
        <f t="shared" si="123"/>
        <v>Email Available</v>
      </c>
      <c r="G636" s="2" t="s">
        <v>1593</v>
      </c>
      <c r="H636" s="2" t="s">
        <v>236</v>
      </c>
      <c r="I636" s="2" t="s">
        <v>237</v>
      </c>
      <c r="J636" s="2" t="s">
        <v>238</v>
      </c>
      <c r="K636" s="2">
        <v>1</v>
      </c>
      <c r="L636" s="2">
        <v>27.99</v>
      </c>
      <c r="M636" s="19">
        <f t="shared" si="124"/>
        <v>27.99</v>
      </c>
      <c r="N636" s="2" t="s">
        <v>65</v>
      </c>
      <c r="O636" s="2" t="str">
        <f t="shared" si="125"/>
        <v>WELCOME10</v>
      </c>
      <c r="P636" s="2">
        <v>2.8</v>
      </c>
      <c r="Q636" s="19">
        <f t="shared" si="126"/>
        <v>2.8</v>
      </c>
      <c r="R636" s="2" t="str">
        <f t="shared" si="127"/>
        <v>Number</v>
      </c>
      <c r="S636" s="2">
        <v>4.99</v>
      </c>
      <c r="T636" s="19">
        <f t="shared" si="128"/>
        <v>4.99</v>
      </c>
      <c r="U636" s="2" t="s">
        <v>2103</v>
      </c>
      <c r="V636" s="19">
        <f t="shared" si="129"/>
        <v>30.18</v>
      </c>
      <c r="W636" s="19">
        <f t="shared" si="130"/>
        <v>30.18</v>
      </c>
      <c r="X636" s="19" t="str">
        <f t="shared" si="131"/>
        <v>True</v>
      </c>
      <c r="Y636" s="19" t="str">
        <f>IF(OR(W636&lt;'Cleaning Tasks'!$G$18,W636&gt;'Cleaning Tasks'!$H$18),"Outlier","Normal")</f>
        <v>Normal</v>
      </c>
      <c r="Z636" s="2" t="s">
        <v>26</v>
      </c>
      <c r="AA636" s="2" t="s">
        <v>111</v>
      </c>
      <c r="AB636" s="2" t="s">
        <v>41</v>
      </c>
      <c r="AC636" s="2" t="s">
        <v>331</v>
      </c>
      <c r="AD636" s="2"/>
      <c r="AE636" s="2" t="str">
        <f t="shared" si="132"/>
        <v>Not Required</v>
      </c>
      <c r="AF636" s="2" t="s">
        <v>937</v>
      </c>
    </row>
    <row r="637" spans="1:32" x14ac:dyDescent="0.3">
      <c r="A637" s="2" t="s">
        <v>2104</v>
      </c>
      <c r="B637" s="2">
        <f t="shared" si="122"/>
        <v>1</v>
      </c>
      <c r="C637" s="12">
        <f t="shared" si="135"/>
        <v>46238.584657384257</v>
      </c>
      <c r="D637" s="13">
        <v>46238.584657384257</v>
      </c>
      <c r="E637" s="2" t="s">
        <v>2105</v>
      </c>
      <c r="F637" s="2" t="str">
        <f t="shared" si="123"/>
        <v>Email Available</v>
      </c>
      <c r="G637" s="2" t="s">
        <v>1100</v>
      </c>
      <c r="H637" s="2" t="s">
        <v>46</v>
      </c>
      <c r="I637" s="2" t="s">
        <v>47</v>
      </c>
      <c r="J637" s="2" t="s">
        <v>48</v>
      </c>
      <c r="K637" s="2">
        <v>3</v>
      </c>
      <c r="L637" s="2">
        <v>39.99</v>
      </c>
      <c r="M637" s="19">
        <f t="shared" si="124"/>
        <v>39.99</v>
      </c>
      <c r="N637" s="2"/>
      <c r="O637" s="2" t="str">
        <f t="shared" si="125"/>
        <v/>
      </c>
      <c r="P637" s="2" t="s">
        <v>184</v>
      </c>
      <c r="Q637" s="19">
        <f t="shared" si="126"/>
        <v>0</v>
      </c>
      <c r="R637" s="2" t="str">
        <f t="shared" si="127"/>
        <v>Number</v>
      </c>
      <c r="S637" s="2">
        <v>0</v>
      </c>
      <c r="T637" s="19">
        <f t="shared" si="128"/>
        <v>0</v>
      </c>
      <c r="U637" s="2">
        <v>119.97</v>
      </c>
      <c r="V637" s="19">
        <f t="shared" si="129"/>
        <v>119.97</v>
      </c>
      <c r="W637" s="19">
        <f t="shared" si="130"/>
        <v>119.97</v>
      </c>
      <c r="X637" s="19" t="str">
        <f t="shared" si="131"/>
        <v>True</v>
      </c>
      <c r="Y637" s="19" t="str">
        <f>IF(OR(W637&lt;'Cleaning Tasks'!$G$18,W637&gt;'Cleaning Tasks'!$H$18),"Outlier","Normal")</f>
        <v>Outlier</v>
      </c>
      <c r="Z637" s="2" t="s">
        <v>39</v>
      </c>
      <c r="AA637" s="2" t="s">
        <v>27</v>
      </c>
      <c r="AB637" s="2" t="s">
        <v>50</v>
      </c>
      <c r="AC637" s="2" t="s">
        <v>29</v>
      </c>
      <c r="AD637" s="2" t="s">
        <v>89</v>
      </c>
      <c r="AE637" s="2" t="str">
        <f t="shared" si="132"/>
        <v>Valid</v>
      </c>
      <c r="AF637" s="2" t="s">
        <v>2106</v>
      </c>
    </row>
    <row r="638" spans="1:32" x14ac:dyDescent="0.3">
      <c r="A638" s="2" t="s">
        <v>2107</v>
      </c>
      <c r="B638" s="2">
        <f t="shared" si="122"/>
        <v>1</v>
      </c>
      <c r="C638" s="12">
        <f t="shared" si="135"/>
        <v>46238.582731770832</v>
      </c>
      <c r="D638" s="13">
        <v>46238.582731770832</v>
      </c>
      <c r="E638" s="2" t="s">
        <v>1490</v>
      </c>
      <c r="F638" s="2" t="str">
        <f t="shared" si="123"/>
        <v>Email Available</v>
      </c>
      <c r="G638" s="2" t="s">
        <v>1981</v>
      </c>
      <c r="H638" s="2" t="s">
        <v>361</v>
      </c>
      <c r="I638" s="2" t="s">
        <v>86</v>
      </c>
      <c r="J638" s="2" t="s">
        <v>362</v>
      </c>
      <c r="K638" s="2">
        <v>1</v>
      </c>
      <c r="L638" s="2">
        <v>54.99</v>
      </c>
      <c r="M638" s="19">
        <f t="shared" si="124"/>
        <v>54.99</v>
      </c>
      <c r="N638" s="2"/>
      <c r="O638" s="2" t="str">
        <f t="shared" si="125"/>
        <v/>
      </c>
      <c r="P638" s="2">
        <v>0</v>
      </c>
      <c r="Q638" s="19">
        <f t="shared" si="126"/>
        <v>0</v>
      </c>
      <c r="R638" s="2" t="str">
        <f t="shared" si="127"/>
        <v>Number</v>
      </c>
      <c r="S638" s="2">
        <v>7.99</v>
      </c>
      <c r="T638" s="19">
        <f t="shared" si="128"/>
        <v>7.99</v>
      </c>
      <c r="U638" s="2">
        <v>62.98</v>
      </c>
      <c r="V638" s="19">
        <f t="shared" si="129"/>
        <v>62.98</v>
      </c>
      <c r="W638" s="19">
        <f t="shared" si="130"/>
        <v>62.980000000000004</v>
      </c>
      <c r="X638" s="19" t="str">
        <f t="shared" si="131"/>
        <v>True</v>
      </c>
      <c r="Y638" s="19" t="str">
        <f>IF(OR(W638&lt;'Cleaning Tasks'!$G$18,W638&gt;'Cleaning Tasks'!$H$18),"Outlier","Normal")</f>
        <v>Normal</v>
      </c>
      <c r="Z638" s="2" t="s">
        <v>72</v>
      </c>
      <c r="AA638" s="2" t="s">
        <v>27</v>
      </c>
      <c r="AB638" s="2" t="s">
        <v>28</v>
      </c>
      <c r="AC638" s="2" t="s">
        <v>42</v>
      </c>
      <c r="AD638" s="2"/>
      <c r="AE638" s="2" t="str">
        <f t="shared" si="132"/>
        <v>Not Required</v>
      </c>
      <c r="AF638" s="2" t="s">
        <v>2108</v>
      </c>
    </row>
    <row r="639" spans="1:32" x14ac:dyDescent="0.3">
      <c r="A639" s="2" t="s">
        <v>2109</v>
      </c>
      <c r="B639" s="2">
        <f t="shared" si="122"/>
        <v>1</v>
      </c>
      <c r="C639" s="12">
        <f t="shared" si="135"/>
        <v>46238</v>
      </c>
      <c r="D639" s="13">
        <v>46238</v>
      </c>
      <c r="E639" s="2" t="s">
        <v>1210</v>
      </c>
      <c r="F639" s="2" t="str">
        <f t="shared" si="123"/>
        <v>Email Available</v>
      </c>
      <c r="G639" s="2" t="s">
        <v>1211</v>
      </c>
      <c r="H639" s="2" t="s">
        <v>117</v>
      </c>
      <c r="I639" s="2" t="s">
        <v>22</v>
      </c>
      <c r="J639" s="2" t="s">
        <v>23</v>
      </c>
      <c r="K639" s="2">
        <v>1</v>
      </c>
      <c r="L639" s="2">
        <v>12.99</v>
      </c>
      <c r="M639" s="19">
        <f t="shared" si="124"/>
        <v>12.99</v>
      </c>
      <c r="N639" s="2"/>
      <c r="O639" s="2" t="str">
        <f t="shared" si="125"/>
        <v/>
      </c>
      <c r="P639" s="2" t="s">
        <v>184</v>
      </c>
      <c r="Q639" s="19">
        <f t="shared" si="126"/>
        <v>0</v>
      </c>
      <c r="R639" s="2" t="str">
        <f t="shared" si="127"/>
        <v>Number</v>
      </c>
      <c r="S639" s="2">
        <v>7.99</v>
      </c>
      <c r="T639" s="19">
        <f t="shared" si="128"/>
        <v>7.99</v>
      </c>
      <c r="U639" s="2">
        <v>20.98</v>
      </c>
      <c r="V639" s="19">
        <f t="shared" si="129"/>
        <v>20.98</v>
      </c>
      <c r="W639" s="19">
        <f t="shared" si="130"/>
        <v>20.98</v>
      </c>
      <c r="X639" s="19" t="str">
        <f t="shared" si="131"/>
        <v>True</v>
      </c>
      <c r="Y639" s="19" t="str">
        <f>IF(OR(W639&lt;'Cleaning Tasks'!$G$18,W639&gt;'Cleaning Tasks'!$H$18),"Outlier","Normal")</f>
        <v>Normal</v>
      </c>
      <c r="Z639" s="2" t="s">
        <v>39</v>
      </c>
      <c r="AA639" s="2" t="s">
        <v>40</v>
      </c>
      <c r="AB639" s="2" t="s">
        <v>50</v>
      </c>
      <c r="AC639" s="2" t="s">
        <v>29</v>
      </c>
      <c r="AD639" s="2" t="s">
        <v>51</v>
      </c>
      <c r="AE639" s="2" t="str">
        <f t="shared" si="132"/>
        <v>Valid</v>
      </c>
      <c r="AF639" s="2" t="s">
        <v>2110</v>
      </c>
    </row>
    <row r="640" spans="1:32" x14ac:dyDescent="0.3">
      <c r="A640" s="2" t="s">
        <v>2111</v>
      </c>
      <c r="B640" s="2">
        <f t="shared" si="122"/>
        <v>1</v>
      </c>
      <c r="C640" s="12">
        <f t="shared" si="135"/>
        <v>46238</v>
      </c>
      <c r="D640" s="13" t="s">
        <v>143</v>
      </c>
      <c r="E640" s="2" t="s">
        <v>463</v>
      </c>
      <c r="F640" s="2" t="str">
        <f t="shared" si="123"/>
        <v>Email Available</v>
      </c>
      <c r="G640" s="2" t="s">
        <v>464</v>
      </c>
      <c r="H640" s="2" t="s">
        <v>267</v>
      </c>
      <c r="I640" s="2" t="s">
        <v>22</v>
      </c>
      <c r="J640" s="2" t="s">
        <v>268</v>
      </c>
      <c r="K640" s="2">
        <v>2</v>
      </c>
      <c r="L640" s="2">
        <v>18.989999999999998</v>
      </c>
      <c r="M640" s="19">
        <f t="shared" si="124"/>
        <v>18.989999999999998</v>
      </c>
      <c r="N640" s="2"/>
      <c r="O640" s="2" t="str">
        <f t="shared" si="125"/>
        <v/>
      </c>
      <c r="P640" s="2">
        <v>0</v>
      </c>
      <c r="Q640" s="19">
        <f t="shared" si="126"/>
        <v>0</v>
      </c>
      <c r="R640" s="2" t="str">
        <f t="shared" si="127"/>
        <v>Number</v>
      </c>
      <c r="S640" s="2">
        <v>7.99</v>
      </c>
      <c r="T640" s="19">
        <f t="shared" si="128"/>
        <v>7.99</v>
      </c>
      <c r="U640" s="2">
        <v>45.97</v>
      </c>
      <c r="V640" s="19">
        <f t="shared" si="129"/>
        <v>45.97</v>
      </c>
      <c r="W640" s="19">
        <f t="shared" si="130"/>
        <v>45.97</v>
      </c>
      <c r="X640" s="19" t="str">
        <f t="shared" si="131"/>
        <v>True</v>
      </c>
      <c r="Y640" s="19" t="str">
        <f>IF(OR(W640&lt;'Cleaning Tasks'!$G$18,W640&gt;'Cleaning Tasks'!$H$18),"Outlier","Normal")</f>
        <v>Normal</v>
      </c>
      <c r="Z640" s="2" t="s">
        <v>26</v>
      </c>
      <c r="AA640" s="2" t="s">
        <v>111</v>
      </c>
      <c r="AB640" s="2" t="s">
        <v>96</v>
      </c>
      <c r="AC640" s="2" t="s">
        <v>42</v>
      </c>
      <c r="AD640" s="2"/>
      <c r="AE640" s="2" t="str">
        <f t="shared" si="132"/>
        <v>Not Required</v>
      </c>
      <c r="AF640" s="2" t="s">
        <v>2112</v>
      </c>
    </row>
    <row r="641" spans="1:32" x14ac:dyDescent="0.3">
      <c r="A641" s="2" t="s">
        <v>2113</v>
      </c>
      <c r="B641" s="2">
        <f t="shared" si="122"/>
        <v>1</v>
      </c>
      <c r="C641" s="12">
        <f t="shared" si="135"/>
        <v>46238.584974560188</v>
      </c>
      <c r="D641" s="13">
        <v>46238.584974560188</v>
      </c>
      <c r="E641" s="2" t="s">
        <v>219</v>
      </c>
      <c r="F641" s="2" t="str">
        <f t="shared" si="123"/>
        <v>Email Available</v>
      </c>
      <c r="G641" s="2" t="s">
        <v>220</v>
      </c>
      <c r="H641" s="2" t="s">
        <v>63</v>
      </c>
      <c r="I641" s="2" t="s">
        <v>47</v>
      </c>
      <c r="J641" s="2" t="s">
        <v>64</v>
      </c>
      <c r="K641" s="2">
        <v>2</v>
      </c>
      <c r="L641" s="2">
        <v>14.99</v>
      </c>
      <c r="M641" s="19">
        <f t="shared" si="124"/>
        <v>14.99</v>
      </c>
      <c r="N641" s="2" t="s">
        <v>38</v>
      </c>
      <c r="O641" s="2" t="str">
        <f t="shared" si="125"/>
        <v>FREESHIP</v>
      </c>
      <c r="P641" s="2">
        <v>0</v>
      </c>
      <c r="Q641" s="19">
        <f t="shared" si="126"/>
        <v>0</v>
      </c>
      <c r="R641" s="2" t="str">
        <f t="shared" si="127"/>
        <v>Number</v>
      </c>
      <c r="S641" s="2">
        <v>0</v>
      </c>
      <c r="T641" s="19">
        <f t="shared" si="128"/>
        <v>0</v>
      </c>
      <c r="U641" s="2">
        <v>29.98</v>
      </c>
      <c r="V641" s="19">
        <f t="shared" si="129"/>
        <v>29.98</v>
      </c>
      <c r="W641" s="19">
        <f t="shared" si="130"/>
        <v>29.98</v>
      </c>
      <c r="X641" s="19" t="str">
        <f t="shared" si="131"/>
        <v>True</v>
      </c>
      <c r="Y641" s="19" t="str">
        <f>IF(OR(W641&lt;'Cleaning Tasks'!$G$18,W641&gt;'Cleaning Tasks'!$H$18),"Outlier","Normal")</f>
        <v>Normal</v>
      </c>
      <c r="Z641" s="2" t="s">
        <v>26</v>
      </c>
      <c r="AA641" s="2" t="s">
        <v>27</v>
      </c>
      <c r="AB641" s="2" t="s">
        <v>50</v>
      </c>
      <c r="AC641" s="2" t="s">
        <v>223</v>
      </c>
      <c r="AD641" s="2"/>
      <c r="AE641" s="2" t="str">
        <f t="shared" si="132"/>
        <v>Not Required</v>
      </c>
      <c r="AF641" s="2" t="s">
        <v>2114</v>
      </c>
    </row>
    <row r="642" spans="1:32" x14ac:dyDescent="0.3">
      <c r="A642" s="2" t="s">
        <v>2115</v>
      </c>
      <c r="B642" s="2">
        <f t="shared" ref="B642:B705" si="136">COUNTIF($A$2:$A$1993,A642)</f>
        <v>1</v>
      </c>
      <c r="C642" s="12">
        <f t="shared" si="135"/>
        <v>46238</v>
      </c>
      <c r="D642" s="13" t="s">
        <v>1147</v>
      </c>
      <c r="E642" s="2" t="s">
        <v>459</v>
      </c>
      <c r="F642" s="2" t="str">
        <f t="shared" ref="F642:F705" si="137">IF(TRIM(G642)="","Missing Email","Email Available")</f>
        <v>Email Available</v>
      </c>
      <c r="G642" s="2" t="s">
        <v>460</v>
      </c>
      <c r="H642" s="2" t="s">
        <v>236</v>
      </c>
      <c r="I642" s="2" t="s">
        <v>237</v>
      </c>
      <c r="J642" s="2" t="s">
        <v>238</v>
      </c>
      <c r="K642" s="2">
        <v>1</v>
      </c>
      <c r="L642" s="2" t="s">
        <v>1512</v>
      </c>
      <c r="M642" s="19">
        <f t="shared" ref="M642:M705" si="138">IF(ISNUMBER(L642),L642,VALUE(SUBSTITUTE(L642,"$","")))</f>
        <v>27.99</v>
      </c>
      <c r="N642" s="2" t="s">
        <v>65</v>
      </c>
      <c r="O642" s="2" t="str">
        <f t="shared" ref="O642:O705" si="139">IF(TRIM(N642)="","",UPPER(TRIM(SUBSTITUTE(N642,CHAR(160)," "))))</f>
        <v>WELCOME10</v>
      </c>
      <c r="P642" s="2">
        <v>2.8</v>
      </c>
      <c r="Q642" s="19">
        <f t="shared" ref="Q642:Q705" si="140">IF(ISNUMBER(P642),P642,VALUE(TRIM(SUBSTITUTE(P642,"$",""))))</f>
        <v>2.8</v>
      </c>
      <c r="R642" s="2" t="str">
        <f t="shared" ref="R642:R705" si="141">IF(ISNUMBER(Q642),"Number","Text")</f>
        <v>Number</v>
      </c>
      <c r="S642" s="2">
        <v>7.99</v>
      </c>
      <c r="T642" s="19">
        <f t="shared" ref="T642:T705" si="142">IF(ISNUMBER(S642),S642,VALUE(TRIM(SUBSTITUTE(S642,"$",""))))</f>
        <v>7.99</v>
      </c>
      <c r="U642" s="2">
        <v>33.18</v>
      </c>
      <c r="V642" s="19">
        <f t="shared" ref="V642:V705" si="143">IF(ISNUMBER(U642),U642,VALUE(TRIM(SUBSTITUTE(U642,"$",""))))</f>
        <v>33.18</v>
      </c>
      <c r="W642" s="19">
        <f t="shared" ref="W642:W705" si="144">((M642*K642)-Q642)+T642</f>
        <v>33.18</v>
      </c>
      <c r="X642" s="19" t="str">
        <f t="shared" ref="X642:X705" si="145">IF(V642=W642,"True","False")</f>
        <v>True</v>
      </c>
      <c r="Y642" s="19" t="str">
        <f>IF(OR(W642&lt;'Cleaning Tasks'!$G$18,W642&gt;'Cleaning Tasks'!$H$18),"Outlier","Normal")</f>
        <v>Normal</v>
      </c>
      <c r="Z642" s="2" t="s">
        <v>66</v>
      </c>
      <c r="AA642" s="2" t="s">
        <v>88</v>
      </c>
      <c r="AB642" s="2" t="s">
        <v>50</v>
      </c>
      <c r="AC642" s="2" t="s">
        <v>223</v>
      </c>
      <c r="AD642" s="2"/>
      <c r="AE642" s="2" t="str">
        <f t="shared" ref="AE642:AE705" si="146">IF(AND(AC642="United States",AD642=""),"Missing state",IF(AD642="","Not Required","Valid"))</f>
        <v>Not Required</v>
      </c>
      <c r="AF642" s="2" t="s">
        <v>2116</v>
      </c>
    </row>
    <row r="643" spans="1:32" x14ac:dyDescent="0.3">
      <c r="A643" s="2" t="s">
        <v>2117</v>
      </c>
      <c r="B643" s="2">
        <f t="shared" si="136"/>
        <v>1</v>
      </c>
      <c r="C643" s="12">
        <f t="shared" si="135"/>
        <v>46238</v>
      </c>
      <c r="D643" s="13">
        <v>46238</v>
      </c>
      <c r="E643" s="2" t="s">
        <v>516</v>
      </c>
      <c r="F643" s="2" t="str">
        <f t="shared" si="137"/>
        <v>Email Available</v>
      </c>
      <c r="G643" s="2" t="s">
        <v>517</v>
      </c>
      <c r="H643" s="2" t="s">
        <v>166</v>
      </c>
      <c r="I643" s="2" t="s">
        <v>103</v>
      </c>
      <c r="J643" s="2" t="s">
        <v>167</v>
      </c>
      <c r="K643" s="2">
        <v>3</v>
      </c>
      <c r="L643" s="2">
        <v>32.99</v>
      </c>
      <c r="M643" s="19">
        <f t="shared" si="138"/>
        <v>32.99</v>
      </c>
      <c r="N643" s="2"/>
      <c r="O643" s="2" t="str">
        <f t="shared" si="139"/>
        <v/>
      </c>
      <c r="P643" s="2">
        <v>0</v>
      </c>
      <c r="Q643" s="19">
        <f t="shared" si="140"/>
        <v>0</v>
      </c>
      <c r="R643" s="2" t="str">
        <f t="shared" si="141"/>
        <v>Number</v>
      </c>
      <c r="S643" s="2">
        <v>0</v>
      </c>
      <c r="T643" s="19">
        <f t="shared" si="142"/>
        <v>0</v>
      </c>
      <c r="U643" s="2">
        <v>98.97</v>
      </c>
      <c r="V643" s="19">
        <f t="shared" si="143"/>
        <v>98.97</v>
      </c>
      <c r="W643" s="19">
        <f t="shared" si="144"/>
        <v>98.97</v>
      </c>
      <c r="X643" s="19" t="str">
        <f t="shared" si="145"/>
        <v>True</v>
      </c>
      <c r="Y643" s="19" t="str">
        <f>IF(OR(W643&lt;'Cleaning Tasks'!$G$18,W643&gt;'Cleaning Tasks'!$H$18),"Outlier","Normal")</f>
        <v>Outlier</v>
      </c>
      <c r="Z643" s="2" t="s">
        <v>39</v>
      </c>
      <c r="AA643" s="2" t="s">
        <v>27</v>
      </c>
      <c r="AB643" s="2" t="s">
        <v>50</v>
      </c>
      <c r="AC643" s="2" t="s">
        <v>29</v>
      </c>
      <c r="AD643" s="2" t="s">
        <v>89</v>
      </c>
      <c r="AE643" s="2" t="str">
        <f t="shared" si="146"/>
        <v>Valid</v>
      </c>
      <c r="AF643" s="2" t="s">
        <v>2118</v>
      </c>
    </row>
    <row r="644" spans="1:32" x14ac:dyDescent="0.3">
      <c r="A644" s="2" t="s">
        <v>2119</v>
      </c>
      <c r="B644" s="2">
        <f t="shared" si="136"/>
        <v>1</v>
      </c>
      <c r="C644" s="12">
        <f t="shared" si="135"/>
        <v>46238.578986550929</v>
      </c>
      <c r="D644" s="13">
        <v>46238.578986550929</v>
      </c>
      <c r="E644" s="2" t="s">
        <v>1210</v>
      </c>
      <c r="F644" s="2" t="str">
        <f t="shared" si="137"/>
        <v>Email Available</v>
      </c>
      <c r="G644" s="2" t="s">
        <v>1211</v>
      </c>
      <c r="H644" s="2" t="s">
        <v>279</v>
      </c>
      <c r="I644" s="2" t="s">
        <v>22</v>
      </c>
      <c r="J644" s="2" t="s">
        <v>280</v>
      </c>
      <c r="K644" s="2">
        <v>2</v>
      </c>
      <c r="L644" s="2">
        <v>24.99</v>
      </c>
      <c r="M644" s="19">
        <f t="shared" si="138"/>
        <v>24.99</v>
      </c>
      <c r="N644" s="2" t="s">
        <v>65</v>
      </c>
      <c r="O644" s="2" t="str">
        <f t="shared" si="139"/>
        <v>WELCOME10</v>
      </c>
      <c r="P644" s="2">
        <v>5</v>
      </c>
      <c r="Q644" s="19">
        <f t="shared" si="140"/>
        <v>5</v>
      </c>
      <c r="R644" s="2" t="str">
        <f t="shared" si="141"/>
        <v>Number</v>
      </c>
      <c r="S644" s="2">
        <v>4.99</v>
      </c>
      <c r="T644" s="19">
        <f t="shared" si="142"/>
        <v>4.99</v>
      </c>
      <c r="U644" s="2">
        <v>49.97</v>
      </c>
      <c r="V644" s="19">
        <f t="shared" si="143"/>
        <v>49.97</v>
      </c>
      <c r="W644" s="19">
        <f t="shared" si="144"/>
        <v>49.97</v>
      </c>
      <c r="X644" s="19" t="str">
        <f t="shared" si="145"/>
        <v>True</v>
      </c>
      <c r="Y644" s="19" t="str">
        <f>IF(OR(W644&lt;'Cleaning Tasks'!$G$18,W644&gt;'Cleaning Tasks'!$H$18),"Outlier","Normal")</f>
        <v>Normal</v>
      </c>
      <c r="Z644" s="2" t="s">
        <v>26</v>
      </c>
      <c r="AA644" s="2" t="s">
        <v>27</v>
      </c>
      <c r="AB644" s="2" t="s">
        <v>50</v>
      </c>
      <c r="AC644" s="2" t="s">
        <v>29</v>
      </c>
      <c r="AD644" s="22" t="s">
        <v>58</v>
      </c>
      <c r="AE644" s="2" t="str">
        <f t="shared" si="146"/>
        <v>Valid</v>
      </c>
      <c r="AF644" s="2" t="s">
        <v>2120</v>
      </c>
    </row>
    <row r="645" spans="1:32" x14ac:dyDescent="0.3">
      <c r="A645" s="2" t="s">
        <v>2121</v>
      </c>
      <c r="B645" s="2">
        <f t="shared" si="136"/>
        <v>1</v>
      </c>
      <c r="C645" s="12">
        <f t="shared" si="135"/>
        <v>46238.580989756942</v>
      </c>
      <c r="D645" s="13">
        <v>46238.580989756942</v>
      </c>
      <c r="E645" s="2" t="s">
        <v>2122</v>
      </c>
      <c r="F645" s="2" t="str">
        <f t="shared" si="137"/>
        <v>Email Available</v>
      </c>
      <c r="G645" s="2" t="s">
        <v>2123</v>
      </c>
      <c r="H645" s="2" t="s">
        <v>152</v>
      </c>
      <c r="I645" s="2" t="s">
        <v>36</v>
      </c>
      <c r="J645" s="2" t="s">
        <v>153</v>
      </c>
      <c r="K645" s="2">
        <v>2</v>
      </c>
      <c r="L645" s="2">
        <v>29.99</v>
      </c>
      <c r="M645" s="19">
        <f t="shared" si="138"/>
        <v>29.99</v>
      </c>
      <c r="N645" s="2" t="s">
        <v>65</v>
      </c>
      <c r="O645" s="2" t="str">
        <f t="shared" si="139"/>
        <v>WELCOME10</v>
      </c>
      <c r="P645" s="2" t="s">
        <v>2124</v>
      </c>
      <c r="Q645" s="19">
        <f t="shared" si="140"/>
        <v>6</v>
      </c>
      <c r="R645" s="2" t="str">
        <f t="shared" si="141"/>
        <v>Number</v>
      </c>
      <c r="S645" s="2">
        <v>7.99</v>
      </c>
      <c r="T645" s="19">
        <f t="shared" si="142"/>
        <v>7.99</v>
      </c>
      <c r="U645" s="2" t="s">
        <v>2125</v>
      </c>
      <c r="V645" s="19">
        <f t="shared" si="143"/>
        <v>61.97</v>
      </c>
      <c r="W645" s="19">
        <f t="shared" si="144"/>
        <v>61.97</v>
      </c>
      <c r="X645" s="19" t="str">
        <f t="shared" si="145"/>
        <v>True</v>
      </c>
      <c r="Y645" s="19" t="str">
        <f>IF(OR(W645&lt;'Cleaning Tasks'!$G$18,W645&gt;'Cleaning Tasks'!$H$18),"Outlier","Normal")</f>
        <v>Normal</v>
      </c>
      <c r="Z645" s="2" t="s">
        <v>66</v>
      </c>
      <c r="AA645" s="2" t="s">
        <v>27</v>
      </c>
      <c r="AB645" s="2" t="s">
        <v>50</v>
      </c>
      <c r="AC645" s="2" t="s">
        <v>29</v>
      </c>
      <c r="AD645" s="2" t="s">
        <v>112</v>
      </c>
      <c r="AE645" s="2" t="str">
        <f t="shared" si="146"/>
        <v>Valid</v>
      </c>
      <c r="AF645" s="2" t="s">
        <v>2126</v>
      </c>
    </row>
    <row r="646" spans="1:32" x14ac:dyDescent="0.3">
      <c r="A646" s="2" t="s">
        <v>2127</v>
      </c>
      <c r="B646" s="2">
        <f t="shared" si="136"/>
        <v>1</v>
      </c>
      <c r="C646" s="12">
        <f t="shared" si="135"/>
        <v>46238.579070590276</v>
      </c>
      <c r="D646" s="13">
        <v>46238.579070590276</v>
      </c>
      <c r="E646" s="2" t="s">
        <v>366</v>
      </c>
      <c r="F646" s="2" t="str">
        <f t="shared" si="137"/>
        <v>Email Available</v>
      </c>
      <c r="G646" s="2" t="s">
        <v>367</v>
      </c>
      <c r="H646" s="2" t="s">
        <v>78</v>
      </c>
      <c r="I646" s="2" t="s">
        <v>79</v>
      </c>
      <c r="J646" s="2" t="s">
        <v>80</v>
      </c>
      <c r="K646" s="2">
        <v>2</v>
      </c>
      <c r="L646" s="2">
        <v>89.99</v>
      </c>
      <c r="M646" s="19">
        <f t="shared" si="138"/>
        <v>89.99</v>
      </c>
      <c r="N646" s="2"/>
      <c r="O646" s="2" t="str">
        <f t="shared" si="139"/>
        <v/>
      </c>
      <c r="P646" s="2">
        <v>0</v>
      </c>
      <c r="Q646" s="19">
        <f t="shared" si="140"/>
        <v>0</v>
      </c>
      <c r="R646" s="2" t="str">
        <f t="shared" si="141"/>
        <v>Number</v>
      </c>
      <c r="S646" s="2">
        <v>0</v>
      </c>
      <c r="T646" s="19">
        <f t="shared" si="142"/>
        <v>0</v>
      </c>
      <c r="U646" s="2" t="s">
        <v>2128</v>
      </c>
      <c r="V646" s="19">
        <f t="shared" si="143"/>
        <v>179.98</v>
      </c>
      <c r="W646" s="19">
        <f t="shared" si="144"/>
        <v>179.98</v>
      </c>
      <c r="X646" s="19" t="str">
        <f t="shared" si="145"/>
        <v>True</v>
      </c>
      <c r="Y646" s="19" t="str">
        <f>IF(OR(W646&lt;'Cleaning Tasks'!$G$18,W646&gt;'Cleaning Tasks'!$H$18),"Outlier","Normal")</f>
        <v>Outlier</v>
      </c>
      <c r="Z646" s="2" t="s">
        <v>66</v>
      </c>
      <c r="AA646" s="2" t="s">
        <v>88</v>
      </c>
      <c r="AB646" s="2" t="s">
        <v>96</v>
      </c>
      <c r="AC646" s="2" t="s">
        <v>331</v>
      </c>
      <c r="AD646" s="2"/>
      <c r="AE646" s="2" t="str">
        <f t="shared" si="146"/>
        <v>Not Required</v>
      </c>
      <c r="AF646" s="2" t="s">
        <v>2129</v>
      </c>
    </row>
    <row r="647" spans="1:32" x14ac:dyDescent="0.3">
      <c r="A647" s="2" t="s">
        <v>2130</v>
      </c>
      <c r="B647" s="2">
        <f t="shared" si="136"/>
        <v>1</v>
      </c>
      <c r="C647" s="12">
        <f t="shared" si="135"/>
        <v>46238.587733020831</v>
      </c>
      <c r="D647" s="13">
        <v>46238.587733020831</v>
      </c>
      <c r="E647" s="2" t="s">
        <v>2131</v>
      </c>
      <c r="F647" s="2" t="str">
        <f t="shared" si="137"/>
        <v>Email Available</v>
      </c>
      <c r="G647" s="2" t="s">
        <v>2132</v>
      </c>
      <c r="H647" s="2" t="s">
        <v>85</v>
      </c>
      <c r="I647" s="2" t="s">
        <v>86</v>
      </c>
      <c r="J647" s="2" t="s">
        <v>87</v>
      </c>
      <c r="K647" s="2">
        <v>1</v>
      </c>
      <c r="L647" s="2">
        <v>54.99</v>
      </c>
      <c r="M647" s="19">
        <f t="shared" si="138"/>
        <v>54.99</v>
      </c>
      <c r="N647" s="2" t="s">
        <v>203</v>
      </c>
      <c r="O647" s="2" t="str">
        <f t="shared" si="139"/>
        <v>VIP15</v>
      </c>
      <c r="P647" s="2">
        <v>8.25</v>
      </c>
      <c r="Q647" s="19">
        <f t="shared" si="140"/>
        <v>8.25</v>
      </c>
      <c r="R647" s="2" t="str">
        <f t="shared" si="141"/>
        <v>Number</v>
      </c>
      <c r="S647" s="2">
        <v>7.99</v>
      </c>
      <c r="T647" s="19">
        <f t="shared" si="142"/>
        <v>7.99</v>
      </c>
      <c r="U647" s="2">
        <v>54.73</v>
      </c>
      <c r="V647" s="19">
        <f t="shared" si="143"/>
        <v>54.73</v>
      </c>
      <c r="W647" s="19">
        <f t="shared" si="144"/>
        <v>54.730000000000004</v>
      </c>
      <c r="X647" s="19" t="str">
        <f t="shared" si="145"/>
        <v>True</v>
      </c>
      <c r="Y647" s="19" t="str">
        <f>IF(OR(W647&lt;'Cleaning Tasks'!$G$18,W647&gt;'Cleaning Tasks'!$H$18),"Outlier","Normal")</f>
        <v>Normal</v>
      </c>
      <c r="Z647" s="2" t="s">
        <v>72</v>
      </c>
      <c r="AA647" s="2" t="s">
        <v>27</v>
      </c>
      <c r="AB647" s="2" t="s">
        <v>41</v>
      </c>
      <c r="AC647" s="2" t="s">
        <v>42</v>
      </c>
      <c r="AD647" s="2"/>
      <c r="AE647" s="2" t="str">
        <f t="shared" si="146"/>
        <v>Not Required</v>
      </c>
      <c r="AF647" s="2" t="s">
        <v>2133</v>
      </c>
    </row>
    <row r="648" spans="1:32" x14ac:dyDescent="0.3">
      <c r="A648" s="2" t="s">
        <v>2134</v>
      </c>
      <c r="B648" s="2">
        <f t="shared" si="136"/>
        <v>1</v>
      </c>
      <c r="C648" s="12">
        <f t="shared" si="135"/>
        <v>46238.58555329861</v>
      </c>
      <c r="D648" s="13">
        <v>46238.58555329861</v>
      </c>
      <c r="E648" s="2" t="s">
        <v>602</v>
      </c>
      <c r="F648" s="2" t="str">
        <f t="shared" si="137"/>
        <v>Email Available</v>
      </c>
      <c r="G648" s="2" t="s">
        <v>603</v>
      </c>
      <c r="H648" s="2" t="s">
        <v>309</v>
      </c>
      <c r="I648" s="2" t="s">
        <v>36</v>
      </c>
      <c r="J648" s="2" t="s">
        <v>310</v>
      </c>
      <c r="K648" s="2">
        <v>1</v>
      </c>
      <c r="L648" s="2">
        <v>8.99</v>
      </c>
      <c r="M648" s="19">
        <f t="shared" si="138"/>
        <v>8.99</v>
      </c>
      <c r="N648" s="2" t="s">
        <v>38</v>
      </c>
      <c r="O648" s="2" t="str">
        <f t="shared" si="139"/>
        <v>FREESHIP</v>
      </c>
      <c r="P648" s="2">
        <v>0</v>
      </c>
      <c r="Q648" s="19">
        <f t="shared" si="140"/>
        <v>0</v>
      </c>
      <c r="R648" s="2" t="str">
        <f t="shared" si="141"/>
        <v>Number</v>
      </c>
      <c r="S648" s="2">
        <v>0</v>
      </c>
      <c r="T648" s="19">
        <f t="shared" si="142"/>
        <v>0</v>
      </c>
      <c r="U648" s="2">
        <v>8.99</v>
      </c>
      <c r="V648" s="19">
        <f t="shared" si="143"/>
        <v>8.99</v>
      </c>
      <c r="W648" s="19">
        <f t="shared" si="144"/>
        <v>8.99</v>
      </c>
      <c r="X648" s="19" t="str">
        <f t="shared" si="145"/>
        <v>True</v>
      </c>
      <c r="Y648" s="19" t="str">
        <f>IF(OR(W648&lt;'Cleaning Tasks'!$G$18,W648&gt;'Cleaning Tasks'!$H$18),"Outlier","Normal")</f>
        <v>Normal</v>
      </c>
      <c r="Z648" s="2" t="s">
        <v>26</v>
      </c>
      <c r="AA648" s="2" t="s">
        <v>27</v>
      </c>
      <c r="AB648" s="2" t="s">
        <v>50</v>
      </c>
      <c r="AC648" s="2" t="s">
        <v>42</v>
      </c>
      <c r="AD648" s="2"/>
      <c r="AE648" s="2" t="str">
        <f t="shared" si="146"/>
        <v>Not Required</v>
      </c>
      <c r="AF648" s="2" t="s">
        <v>2135</v>
      </c>
    </row>
    <row r="649" spans="1:32" x14ac:dyDescent="0.3">
      <c r="A649" s="2" t="s">
        <v>2136</v>
      </c>
      <c r="B649" s="2">
        <f t="shared" si="136"/>
        <v>1</v>
      </c>
      <c r="C649" s="12">
        <f t="shared" si="135"/>
        <v>46238.581880972219</v>
      </c>
      <c r="D649" s="13">
        <v>46238.581880972219</v>
      </c>
      <c r="E649" s="2" t="s">
        <v>740</v>
      </c>
      <c r="F649" s="2" t="str">
        <f t="shared" si="137"/>
        <v>Email Available</v>
      </c>
      <c r="G649" s="2" t="s">
        <v>741</v>
      </c>
      <c r="H649" s="2" t="s">
        <v>146</v>
      </c>
      <c r="I649" s="2" t="s">
        <v>47</v>
      </c>
      <c r="J649" s="2" t="s">
        <v>147</v>
      </c>
      <c r="K649" s="2">
        <v>1</v>
      </c>
      <c r="L649" s="2">
        <v>34.99</v>
      </c>
      <c r="M649" s="19">
        <f t="shared" si="138"/>
        <v>34.99</v>
      </c>
      <c r="N649" s="2"/>
      <c r="O649" s="2" t="str">
        <f t="shared" si="139"/>
        <v/>
      </c>
      <c r="P649" s="2">
        <v>0</v>
      </c>
      <c r="Q649" s="19">
        <f t="shared" si="140"/>
        <v>0</v>
      </c>
      <c r="R649" s="2" t="str">
        <f t="shared" si="141"/>
        <v>Number</v>
      </c>
      <c r="S649" s="2">
        <v>5.99</v>
      </c>
      <c r="T649" s="19">
        <f t="shared" si="142"/>
        <v>5.99</v>
      </c>
      <c r="U649" s="2">
        <v>40.98</v>
      </c>
      <c r="V649" s="19">
        <f t="shared" si="143"/>
        <v>40.98</v>
      </c>
      <c r="W649" s="19">
        <f t="shared" si="144"/>
        <v>40.980000000000004</v>
      </c>
      <c r="X649" s="19" t="str">
        <f t="shared" si="145"/>
        <v>True</v>
      </c>
      <c r="Y649" s="19" t="str">
        <f>IF(OR(W649&lt;'Cleaning Tasks'!$G$18,W649&gt;'Cleaning Tasks'!$H$18),"Outlier","Normal")</f>
        <v>Normal</v>
      </c>
      <c r="Z649" s="2" t="s">
        <v>49</v>
      </c>
      <c r="AA649" s="2" t="s">
        <v>27</v>
      </c>
      <c r="AB649" s="2" t="s">
        <v>50</v>
      </c>
      <c r="AC649" s="2" t="s">
        <v>105</v>
      </c>
      <c r="AD649" s="2"/>
      <c r="AE649" s="2" t="str">
        <f t="shared" si="146"/>
        <v>Not Required</v>
      </c>
      <c r="AF649" s="2" t="s">
        <v>2137</v>
      </c>
    </row>
    <row r="650" spans="1:32" x14ac:dyDescent="0.3">
      <c r="A650" s="2" t="s">
        <v>2138</v>
      </c>
      <c r="B650" s="2">
        <f t="shared" si="136"/>
        <v>1</v>
      </c>
      <c r="C650" s="12">
        <f t="shared" si="135"/>
        <v>46238.584805856481</v>
      </c>
      <c r="D650" s="13">
        <v>46238.584805856481</v>
      </c>
      <c r="E650" s="2" t="s">
        <v>421</v>
      </c>
      <c r="F650" s="2" t="str">
        <f t="shared" si="137"/>
        <v>Email Available</v>
      </c>
      <c r="G650" s="2" t="s">
        <v>422</v>
      </c>
      <c r="H650" s="2" t="s">
        <v>221</v>
      </c>
      <c r="I650" s="2" t="s">
        <v>22</v>
      </c>
      <c r="J650" s="2" t="s">
        <v>222</v>
      </c>
      <c r="K650" s="2">
        <v>1</v>
      </c>
      <c r="L650" s="2">
        <v>17.989999999999998</v>
      </c>
      <c r="M650" s="19">
        <f t="shared" si="138"/>
        <v>17.989999999999998</v>
      </c>
      <c r="N650" s="2"/>
      <c r="O650" s="2" t="str">
        <f t="shared" si="139"/>
        <v/>
      </c>
      <c r="P650" s="2">
        <v>0</v>
      </c>
      <c r="Q650" s="19">
        <f t="shared" si="140"/>
        <v>0</v>
      </c>
      <c r="R650" s="2" t="str">
        <f t="shared" si="141"/>
        <v>Number</v>
      </c>
      <c r="S650" s="2">
        <v>7.99</v>
      </c>
      <c r="T650" s="19">
        <f t="shared" si="142"/>
        <v>7.99</v>
      </c>
      <c r="U650" s="2">
        <v>25.98</v>
      </c>
      <c r="V650" s="19">
        <f t="shared" si="143"/>
        <v>25.98</v>
      </c>
      <c r="W650" s="19">
        <f t="shared" si="144"/>
        <v>25.979999999999997</v>
      </c>
      <c r="X650" s="19" t="str">
        <f t="shared" si="145"/>
        <v>True</v>
      </c>
      <c r="Y650" s="19" t="str">
        <f>IF(OR(W650&lt;'Cleaning Tasks'!$G$18,W650&gt;'Cleaning Tasks'!$H$18),"Outlier","Normal")</f>
        <v>Normal</v>
      </c>
      <c r="Z650" s="2" t="s">
        <v>66</v>
      </c>
      <c r="AA650" s="2" t="s">
        <v>27</v>
      </c>
      <c r="AB650" s="2" t="s">
        <v>50</v>
      </c>
      <c r="AC650" s="2" t="s">
        <v>29</v>
      </c>
      <c r="AD650" s="2" t="s">
        <v>341</v>
      </c>
      <c r="AE650" s="2" t="str">
        <f t="shared" si="146"/>
        <v>Valid</v>
      </c>
      <c r="AF650" s="2" t="s">
        <v>2139</v>
      </c>
    </row>
    <row r="651" spans="1:32" x14ac:dyDescent="0.3">
      <c r="A651" s="2" t="s">
        <v>2140</v>
      </c>
      <c r="B651" s="2">
        <f t="shared" si="136"/>
        <v>1</v>
      </c>
      <c r="C651" s="12">
        <f t="shared" si="135"/>
        <v>46238</v>
      </c>
      <c r="D651" s="13">
        <v>46238</v>
      </c>
      <c r="E651" s="2" t="s">
        <v>1625</v>
      </c>
      <c r="F651" s="2" t="str">
        <f t="shared" si="137"/>
        <v>Email Available</v>
      </c>
      <c r="G651" s="2" t="s">
        <v>1533</v>
      </c>
      <c r="H651" s="2" t="s">
        <v>56</v>
      </c>
      <c r="I651" s="2" t="s">
        <v>22</v>
      </c>
      <c r="J651" s="2" t="s">
        <v>57</v>
      </c>
      <c r="K651" s="2">
        <v>1</v>
      </c>
      <c r="L651" s="2">
        <v>9.99</v>
      </c>
      <c r="M651" s="19">
        <f t="shared" si="138"/>
        <v>9.99</v>
      </c>
      <c r="N651" s="2" t="s">
        <v>38</v>
      </c>
      <c r="O651" s="2" t="str">
        <f t="shared" si="139"/>
        <v>FREESHIP</v>
      </c>
      <c r="P651" s="2">
        <v>0</v>
      </c>
      <c r="Q651" s="19">
        <f t="shared" si="140"/>
        <v>0</v>
      </c>
      <c r="R651" s="2" t="str">
        <f t="shared" si="141"/>
        <v>Number</v>
      </c>
      <c r="S651" s="2">
        <v>0</v>
      </c>
      <c r="T651" s="19">
        <f t="shared" si="142"/>
        <v>0</v>
      </c>
      <c r="U651" s="2">
        <v>9.99</v>
      </c>
      <c r="V651" s="19">
        <f t="shared" si="143"/>
        <v>9.99</v>
      </c>
      <c r="W651" s="19">
        <f t="shared" si="144"/>
        <v>9.99</v>
      </c>
      <c r="X651" s="19" t="str">
        <f t="shared" si="145"/>
        <v>True</v>
      </c>
      <c r="Y651" s="19" t="str">
        <f>IF(OR(W651&lt;'Cleaning Tasks'!$G$18,W651&gt;'Cleaning Tasks'!$H$18),"Outlier","Normal")</f>
        <v>Normal</v>
      </c>
      <c r="Z651" s="2" t="s">
        <v>39</v>
      </c>
      <c r="AA651" s="2" t="s">
        <v>27</v>
      </c>
      <c r="AB651" s="2" t="s">
        <v>96</v>
      </c>
      <c r="AC651" s="2" t="s">
        <v>73</v>
      </c>
      <c r="AD651" s="2"/>
      <c r="AE651" s="2" t="str">
        <f t="shared" si="146"/>
        <v>Not Required</v>
      </c>
      <c r="AF651" s="2" t="s">
        <v>2062</v>
      </c>
    </row>
    <row r="652" spans="1:32" x14ac:dyDescent="0.3">
      <c r="A652" s="2" t="s">
        <v>2141</v>
      </c>
      <c r="B652" s="2">
        <f t="shared" si="136"/>
        <v>1</v>
      </c>
      <c r="C652" s="12">
        <f t="shared" si="135"/>
        <v>46238.58732554398</v>
      </c>
      <c r="D652" s="13">
        <v>46238.58732554398</v>
      </c>
      <c r="E652" s="2" t="s">
        <v>2142</v>
      </c>
      <c r="F652" s="2" t="str">
        <f t="shared" si="137"/>
        <v>Email Available</v>
      </c>
      <c r="G652" s="2" t="s">
        <v>2143</v>
      </c>
      <c r="H652" s="2" t="s">
        <v>166</v>
      </c>
      <c r="I652" s="2" t="s">
        <v>103</v>
      </c>
      <c r="J652" s="2" t="s">
        <v>167</v>
      </c>
      <c r="K652" s="2">
        <v>2</v>
      </c>
      <c r="L652" s="2">
        <v>32.99</v>
      </c>
      <c r="M652" s="19">
        <f t="shared" si="138"/>
        <v>32.99</v>
      </c>
      <c r="N652" s="2"/>
      <c r="O652" s="2" t="str">
        <f t="shared" si="139"/>
        <v/>
      </c>
      <c r="P652" s="2">
        <v>0</v>
      </c>
      <c r="Q652" s="19">
        <f t="shared" si="140"/>
        <v>0</v>
      </c>
      <c r="R652" s="2" t="str">
        <f t="shared" si="141"/>
        <v>Number</v>
      </c>
      <c r="S652" s="2">
        <v>4.99</v>
      </c>
      <c r="T652" s="19">
        <f t="shared" si="142"/>
        <v>4.99</v>
      </c>
      <c r="U652" s="2">
        <v>70.97</v>
      </c>
      <c r="V652" s="19">
        <f t="shared" si="143"/>
        <v>70.97</v>
      </c>
      <c r="W652" s="19">
        <f t="shared" si="144"/>
        <v>70.97</v>
      </c>
      <c r="X652" s="19" t="str">
        <f t="shared" si="145"/>
        <v>True</v>
      </c>
      <c r="Y652" s="19" t="str">
        <f>IF(OR(W652&lt;'Cleaning Tasks'!$G$18,W652&gt;'Cleaning Tasks'!$H$18),"Outlier","Normal")</f>
        <v>Normal</v>
      </c>
      <c r="Z652" s="2" t="s">
        <v>49</v>
      </c>
      <c r="AA652" s="2" t="s">
        <v>27</v>
      </c>
      <c r="AB652" s="2" t="s">
        <v>41</v>
      </c>
      <c r="AC652" s="2" t="s">
        <v>42</v>
      </c>
      <c r="AD652" s="2"/>
      <c r="AE652" s="2" t="str">
        <f t="shared" si="146"/>
        <v>Not Required</v>
      </c>
      <c r="AF652" s="2" t="s">
        <v>2144</v>
      </c>
    </row>
    <row r="653" spans="1:32" x14ac:dyDescent="0.3">
      <c r="A653" s="2" t="s">
        <v>2145</v>
      </c>
      <c r="B653" s="2">
        <f t="shared" si="136"/>
        <v>1</v>
      </c>
      <c r="C653" s="12">
        <f t="shared" si="135"/>
        <v>46238.584845717603</v>
      </c>
      <c r="D653" s="13">
        <v>46238.584845717603</v>
      </c>
      <c r="E653" s="2" t="s">
        <v>725</v>
      </c>
      <c r="F653" s="2" t="str">
        <f t="shared" si="137"/>
        <v>Email Available</v>
      </c>
      <c r="G653" s="2" t="s">
        <v>726</v>
      </c>
      <c r="H653" s="2" t="s">
        <v>236</v>
      </c>
      <c r="I653" s="2" t="s">
        <v>237</v>
      </c>
      <c r="J653" s="2" t="s">
        <v>238</v>
      </c>
      <c r="K653" s="2">
        <v>2</v>
      </c>
      <c r="L653" s="2">
        <v>27.99</v>
      </c>
      <c r="M653" s="19">
        <f t="shared" si="138"/>
        <v>27.99</v>
      </c>
      <c r="N653" s="2" t="s">
        <v>65</v>
      </c>
      <c r="O653" s="2" t="str">
        <f t="shared" si="139"/>
        <v>WELCOME10</v>
      </c>
      <c r="P653" s="2">
        <v>5.6</v>
      </c>
      <c r="Q653" s="19">
        <f t="shared" si="140"/>
        <v>5.6</v>
      </c>
      <c r="R653" s="2" t="str">
        <f t="shared" si="141"/>
        <v>Number</v>
      </c>
      <c r="S653" s="2">
        <v>7.99</v>
      </c>
      <c r="T653" s="19">
        <f t="shared" si="142"/>
        <v>7.99</v>
      </c>
      <c r="U653" s="2" t="s">
        <v>2146</v>
      </c>
      <c r="V653" s="19">
        <f t="shared" si="143"/>
        <v>58.37</v>
      </c>
      <c r="W653" s="19">
        <f t="shared" si="144"/>
        <v>58.37</v>
      </c>
      <c r="X653" s="19" t="str">
        <f t="shared" si="145"/>
        <v>True</v>
      </c>
      <c r="Y653" s="19" t="str">
        <f>IF(OR(W653&lt;'Cleaning Tasks'!$G$18,W653&gt;'Cleaning Tasks'!$H$18),"Outlier","Normal")</f>
        <v>Normal</v>
      </c>
      <c r="Z653" s="2" t="s">
        <v>49</v>
      </c>
      <c r="AA653" s="2" t="s">
        <v>40</v>
      </c>
      <c r="AB653" s="2" t="s">
        <v>50</v>
      </c>
      <c r="AC653" s="2" t="s">
        <v>105</v>
      </c>
      <c r="AD653" s="2"/>
      <c r="AE653" s="2" t="str">
        <f t="shared" si="146"/>
        <v>Not Required</v>
      </c>
      <c r="AF653" s="2" t="s">
        <v>2147</v>
      </c>
    </row>
    <row r="654" spans="1:32" x14ac:dyDescent="0.3">
      <c r="A654" s="2" t="s">
        <v>2148</v>
      </c>
      <c r="B654" s="2">
        <f t="shared" si="136"/>
        <v>1</v>
      </c>
      <c r="C654" s="12">
        <f t="shared" si="135"/>
        <v>46238</v>
      </c>
      <c r="D654" s="13" t="s">
        <v>911</v>
      </c>
      <c r="E654" s="2" t="s">
        <v>2149</v>
      </c>
      <c r="F654" s="2" t="str">
        <f t="shared" si="137"/>
        <v>Missing Email</v>
      </c>
      <c r="G654" s="2"/>
      <c r="H654" s="2" t="s">
        <v>63</v>
      </c>
      <c r="I654" s="2" t="s">
        <v>47</v>
      </c>
      <c r="J654" s="2" t="s">
        <v>64</v>
      </c>
      <c r="K654" s="2">
        <v>1</v>
      </c>
      <c r="L654" s="2">
        <v>14.99</v>
      </c>
      <c r="M654" s="19">
        <f t="shared" si="138"/>
        <v>14.99</v>
      </c>
      <c r="N654" s="2"/>
      <c r="O654" s="2" t="str">
        <f t="shared" si="139"/>
        <v/>
      </c>
      <c r="P654" s="2">
        <v>0</v>
      </c>
      <c r="Q654" s="19">
        <f t="shared" si="140"/>
        <v>0</v>
      </c>
      <c r="R654" s="2" t="str">
        <f t="shared" si="141"/>
        <v>Number</v>
      </c>
      <c r="S654" s="2">
        <v>4.99</v>
      </c>
      <c r="T654" s="19">
        <f t="shared" si="142"/>
        <v>4.99</v>
      </c>
      <c r="U654" s="2">
        <v>19.98</v>
      </c>
      <c r="V654" s="19">
        <f t="shared" si="143"/>
        <v>19.98</v>
      </c>
      <c r="W654" s="19">
        <f t="shared" si="144"/>
        <v>19.98</v>
      </c>
      <c r="X654" s="19" t="str">
        <f t="shared" si="145"/>
        <v>True</v>
      </c>
      <c r="Y654" s="19" t="str">
        <f>IF(OR(W654&lt;'Cleaning Tasks'!$G$18,W654&gt;'Cleaning Tasks'!$H$18),"Outlier","Normal")</f>
        <v>Normal</v>
      </c>
      <c r="Z654" s="2" t="s">
        <v>49</v>
      </c>
      <c r="AA654" s="2" t="s">
        <v>27</v>
      </c>
      <c r="AB654" s="2" t="s">
        <v>50</v>
      </c>
      <c r="AC654" s="2" t="s">
        <v>29</v>
      </c>
      <c r="AD654" s="2" t="s">
        <v>112</v>
      </c>
      <c r="AE654" s="2" t="str">
        <f t="shared" si="146"/>
        <v>Valid</v>
      </c>
      <c r="AF654" s="2" t="s">
        <v>2150</v>
      </c>
    </row>
    <row r="655" spans="1:32" x14ac:dyDescent="0.3">
      <c r="A655" s="2" t="s">
        <v>2151</v>
      </c>
      <c r="B655" s="2">
        <f t="shared" si="136"/>
        <v>1</v>
      </c>
      <c r="C655" s="12">
        <f t="shared" si="135"/>
        <v>46238</v>
      </c>
      <c r="D655" s="13">
        <v>46238</v>
      </c>
      <c r="E655" s="2" t="s">
        <v>1443</v>
      </c>
      <c r="F655" s="2" t="str">
        <f t="shared" si="137"/>
        <v>Email Available</v>
      </c>
      <c r="G655" s="2" t="s">
        <v>1444</v>
      </c>
      <c r="H655" s="2" t="s">
        <v>124</v>
      </c>
      <c r="I655" s="2" t="s">
        <v>79</v>
      </c>
      <c r="J655" s="2" t="s">
        <v>125</v>
      </c>
      <c r="K655" s="2">
        <v>1</v>
      </c>
      <c r="L655" s="2">
        <v>13.99</v>
      </c>
      <c r="M655" s="19">
        <f t="shared" si="138"/>
        <v>13.99</v>
      </c>
      <c r="N655" s="2"/>
      <c r="O655" s="2" t="str">
        <f t="shared" si="139"/>
        <v/>
      </c>
      <c r="P655" s="2">
        <v>0</v>
      </c>
      <c r="Q655" s="19">
        <f t="shared" si="140"/>
        <v>0</v>
      </c>
      <c r="R655" s="2" t="str">
        <f t="shared" si="141"/>
        <v>Number</v>
      </c>
      <c r="S655" s="2">
        <v>4.99</v>
      </c>
      <c r="T655" s="19">
        <f t="shared" si="142"/>
        <v>4.99</v>
      </c>
      <c r="U655" s="2">
        <v>18.98</v>
      </c>
      <c r="V655" s="19">
        <f t="shared" si="143"/>
        <v>18.98</v>
      </c>
      <c r="W655" s="19">
        <f t="shared" si="144"/>
        <v>18.98</v>
      </c>
      <c r="X655" s="19" t="str">
        <f t="shared" si="145"/>
        <v>True</v>
      </c>
      <c r="Y655" s="19" t="str">
        <f>IF(OR(W655&lt;'Cleaning Tasks'!$G$18,W655&gt;'Cleaning Tasks'!$H$18),"Outlier","Normal")</f>
        <v>Normal</v>
      </c>
      <c r="Z655" s="2" t="s">
        <v>39</v>
      </c>
      <c r="AA655" s="2" t="s">
        <v>88</v>
      </c>
      <c r="AB655" s="2" t="s">
        <v>28</v>
      </c>
      <c r="AC655" s="2" t="s">
        <v>42</v>
      </c>
      <c r="AD655" s="2"/>
      <c r="AE655" s="2" t="str">
        <f t="shared" si="146"/>
        <v>Not Required</v>
      </c>
      <c r="AF655" s="2" t="s">
        <v>2152</v>
      </c>
    </row>
    <row r="656" spans="1:32" x14ac:dyDescent="0.3">
      <c r="A656" s="2" t="s">
        <v>2153</v>
      </c>
      <c r="B656" s="2">
        <f t="shared" si="136"/>
        <v>1</v>
      </c>
      <c r="C656" s="12">
        <f t="shared" si="135"/>
        <v>46238</v>
      </c>
      <c r="D656" s="13" t="s">
        <v>250</v>
      </c>
      <c r="E656" s="2" t="s">
        <v>2035</v>
      </c>
      <c r="F656" s="2" t="str">
        <f t="shared" si="137"/>
        <v>Email Available</v>
      </c>
      <c r="G656" s="2" t="s">
        <v>2154</v>
      </c>
      <c r="H656" s="2" t="s">
        <v>182</v>
      </c>
      <c r="I656" s="2" t="s">
        <v>36</v>
      </c>
      <c r="J656" s="2" t="s">
        <v>183</v>
      </c>
      <c r="K656" s="2">
        <v>2</v>
      </c>
      <c r="L656" s="2">
        <v>11.99</v>
      </c>
      <c r="M656" s="19">
        <f t="shared" si="138"/>
        <v>11.99</v>
      </c>
      <c r="N656" s="2"/>
      <c r="O656" s="2" t="str">
        <f t="shared" si="139"/>
        <v/>
      </c>
      <c r="P656" s="2">
        <v>0</v>
      </c>
      <c r="Q656" s="19">
        <f t="shared" si="140"/>
        <v>0</v>
      </c>
      <c r="R656" s="2" t="str">
        <f t="shared" si="141"/>
        <v>Number</v>
      </c>
      <c r="S656" s="2">
        <v>4.99</v>
      </c>
      <c r="T656" s="19">
        <f t="shared" si="142"/>
        <v>4.99</v>
      </c>
      <c r="U656" s="2">
        <v>28.97</v>
      </c>
      <c r="V656" s="19">
        <f t="shared" si="143"/>
        <v>28.97</v>
      </c>
      <c r="W656" s="19">
        <f t="shared" si="144"/>
        <v>28.97</v>
      </c>
      <c r="X656" s="19" t="str">
        <f t="shared" si="145"/>
        <v>True</v>
      </c>
      <c r="Y656" s="19" t="str">
        <f>IF(OR(W656&lt;'Cleaning Tasks'!$G$18,W656&gt;'Cleaning Tasks'!$H$18),"Outlier","Normal")</f>
        <v>Normal</v>
      </c>
      <c r="Z656" s="2" t="s">
        <v>72</v>
      </c>
      <c r="AA656" s="2" t="s">
        <v>27</v>
      </c>
      <c r="AB656" s="2" t="s">
        <v>41</v>
      </c>
      <c r="AC656" s="2" t="s">
        <v>29</v>
      </c>
      <c r="AD656" s="2" t="s">
        <v>51</v>
      </c>
      <c r="AE656" s="2" t="str">
        <f t="shared" si="146"/>
        <v>Valid</v>
      </c>
      <c r="AF656" s="2" t="s">
        <v>2155</v>
      </c>
    </row>
    <row r="657" spans="1:32" x14ac:dyDescent="0.3">
      <c r="A657" s="2" t="s">
        <v>2156</v>
      </c>
      <c r="B657" s="2">
        <f t="shared" si="136"/>
        <v>1</v>
      </c>
      <c r="C657" s="12">
        <f t="shared" ref="C657:C675" si="147">IF(ISNUMBER(D657),D657,DATEVALUE(SUBSTITUTE(TRIM(D657),CHAR(160)," ")))</f>
        <v>46238.580465949082</v>
      </c>
      <c r="D657" s="13">
        <v>46238.580465949082</v>
      </c>
      <c r="E657" s="2" t="s">
        <v>2157</v>
      </c>
      <c r="F657" s="2" t="str">
        <f t="shared" si="137"/>
        <v>Missing Email</v>
      </c>
      <c r="G657" s="2"/>
      <c r="H657" s="2" t="s">
        <v>267</v>
      </c>
      <c r="I657" s="2" t="s">
        <v>22</v>
      </c>
      <c r="J657" s="2" t="s">
        <v>268</v>
      </c>
      <c r="K657" s="2">
        <v>1</v>
      </c>
      <c r="L657" s="2">
        <v>18.989999999999998</v>
      </c>
      <c r="M657" s="19">
        <f t="shared" si="138"/>
        <v>18.989999999999998</v>
      </c>
      <c r="N657" s="2"/>
      <c r="O657" s="2" t="str">
        <f t="shared" si="139"/>
        <v/>
      </c>
      <c r="P657" s="2">
        <v>0</v>
      </c>
      <c r="Q657" s="19">
        <f t="shared" si="140"/>
        <v>0</v>
      </c>
      <c r="R657" s="2" t="str">
        <f t="shared" si="141"/>
        <v>Number</v>
      </c>
      <c r="S657" s="2">
        <v>5.99</v>
      </c>
      <c r="T657" s="19">
        <f t="shared" si="142"/>
        <v>5.99</v>
      </c>
      <c r="U657" s="2">
        <v>24.98</v>
      </c>
      <c r="V657" s="19">
        <f t="shared" si="143"/>
        <v>24.98</v>
      </c>
      <c r="W657" s="19">
        <f t="shared" si="144"/>
        <v>24.979999999999997</v>
      </c>
      <c r="X657" s="19" t="str">
        <f t="shared" si="145"/>
        <v>True</v>
      </c>
      <c r="Y657" s="19" t="str">
        <f>IF(OR(W657&lt;'Cleaning Tasks'!$G$18,W657&gt;'Cleaning Tasks'!$H$18),"Outlier","Normal")</f>
        <v>Normal</v>
      </c>
      <c r="Z657" s="2" t="s">
        <v>72</v>
      </c>
      <c r="AA657" s="2" t="s">
        <v>40</v>
      </c>
      <c r="AB657" s="2" t="s">
        <v>50</v>
      </c>
      <c r="AC657" s="2" t="s">
        <v>223</v>
      </c>
      <c r="AD657" s="2"/>
      <c r="AE657" s="2" t="str">
        <f t="shared" si="146"/>
        <v>Not Required</v>
      </c>
      <c r="AF657" s="2" t="s">
        <v>2158</v>
      </c>
    </row>
    <row r="658" spans="1:32" x14ac:dyDescent="0.3">
      <c r="A658" s="2" t="s">
        <v>2159</v>
      </c>
      <c r="B658" s="2">
        <f t="shared" si="136"/>
        <v>1</v>
      </c>
      <c r="C658" s="12">
        <f t="shared" si="147"/>
        <v>46238.586432986107</v>
      </c>
      <c r="D658" s="13">
        <v>46238.586432986107</v>
      </c>
      <c r="E658" s="2" t="s">
        <v>2160</v>
      </c>
      <c r="F658" s="2" t="str">
        <f t="shared" si="137"/>
        <v>Missing Email</v>
      </c>
      <c r="G658" s="2"/>
      <c r="H658" s="2" t="s">
        <v>35</v>
      </c>
      <c r="I658" s="2" t="s">
        <v>36</v>
      </c>
      <c r="J658" s="2" t="s">
        <v>37</v>
      </c>
      <c r="K658" s="2">
        <v>1</v>
      </c>
      <c r="L658" s="2">
        <v>21.99</v>
      </c>
      <c r="M658" s="19">
        <f t="shared" si="138"/>
        <v>21.99</v>
      </c>
      <c r="N658" s="2"/>
      <c r="O658" s="2" t="str">
        <f t="shared" si="139"/>
        <v/>
      </c>
      <c r="P658" s="2">
        <v>0</v>
      </c>
      <c r="Q658" s="19">
        <f t="shared" si="140"/>
        <v>0</v>
      </c>
      <c r="R658" s="2" t="str">
        <f t="shared" si="141"/>
        <v>Number</v>
      </c>
      <c r="S658" s="2">
        <v>7.99</v>
      </c>
      <c r="T658" s="19">
        <f t="shared" si="142"/>
        <v>7.99</v>
      </c>
      <c r="U658" s="2">
        <v>29.98</v>
      </c>
      <c r="V658" s="19">
        <f t="shared" si="143"/>
        <v>29.98</v>
      </c>
      <c r="W658" s="19">
        <f t="shared" si="144"/>
        <v>29.979999999999997</v>
      </c>
      <c r="X658" s="19" t="str">
        <f t="shared" si="145"/>
        <v>True</v>
      </c>
      <c r="Y658" s="19" t="str">
        <f>IF(OR(W658&lt;'Cleaning Tasks'!$G$18,W658&gt;'Cleaning Tasks'!$H$18),"Outlier","Normal")</f>
        <v>Normal</v>
      </c>
      <c r="Z658" s="2" t="s">
        <v>26</v>
      </c>
      <c r="AA658" s="2" t="s">
        <v>111</v>
      </c>
      <c r="AB658" s="2" t="s">
        <v>50</v>
      </c>
      <c r="AC658" s="2" t="s">
        <v>29</v>
      </c>
      <c r="AD658" s="2" t="s">
        <v>51</v>
      </c>
      <c r="AE658" s="2" t="str">
        <f t="shared" si="146"/>
        <v>Valid</v>
      </c>
      <c r="AF658" s="2" t="s">
        <v>2161</v>
      </c>
    </row>
    <row r="659" spans="1:32" x14ac:dyDescent="0.3">
      <c r="A659" s="2" t="s">
        <v>2162</v>
      </c>
      <c r="B659" s="2">
        <f t="shared" si="136"/>
        <v>1</v>
      </c>
      <c r="C659" s="12">
        <f t="shared" si="147"/>
        <v>46238.581282511572</v>
      </c>
      <c r="D659" s="13">
        <v>46238.581282511572</v>
      </c>
      <c r="E659" s="2" t="s">
        <v>188</v>
      </c>
      <c r="F659" s="2" t="str">
        <f t="shared" si="137"/>
        <v>Email Available</v>
      </c>
      <c r="G659" s="2" t="s">
        <v>189</v>
      </c>
      <c r="H659" s="2" t="s">
        <v>221</v>
      </c>
      <c r="I659" s="2" t="s">
        <v>22</v>
      </c>
      <c r="J659" s="2" t="s">
        <v>222</v>
      </c>
      <c r="K659" s="2">
        <v>1</v>
      </c>
      <c r="L659" s="2">
        <v>17.989999999999998</v>
      </c>
      <c r="M659" s="19">
        <f t="shared" si="138"/>
        <v>17.989999999999998</v>
      </c>
      <c r="N659" s="2"/>
      <c r="O659" s="2" t="str">
        <f t="shared" si="139"/>
        <v/>
      </c>
      <c r="P659" s="2">
        <v>0</v>
      </c>
      <c r="Q659" s="19">
        <f t="shared" si="140"/>
        <v>0</v>
      </c>
      <c r="R659" s="2" t="str">
        <f t="shared" si="141"/>
        <v>Number</v>
      </c>
      <c r="S659" s="2">
        <v>4.99</v>
      </c>
      <c r="T659" s="19">
        <f t="shared" si="142"/>
        <v>4.99</v>
      </c>
      <c r="U659" s="2">
        <v>22.98</v>
      </c>
      <c r="V659" s="19">
        <f t="shared" si="143"/>
        <v>22.98</v>
      </c>
      <c r="W659" s="19">
        <f t="shared" si="144"/>
        <v>22.979999999999997</v>
      </c>
      <c r="X659" s="19" t="str">
        <f t="shared" si="145"/>
        <v>True</v>
      </c>
      <c r="Y659" s="19" t="str">
        <f>IF(OR(W659&lt;'Cleaning Tasks'!$G$18,W659&gt;'Cleaning Tasks'!$H$18),"Outlier","Normal")</f>
        <v>Normal</v>
      </c>
      <c r="Z659" s="2" t="s">
        <v>72</v>
      </c>
      <c r="AA659" s="2" t="s">
        <v>27</v>
      </c>
      <c r="AB659" s="2" t="s">
        <v>41</v>
      </c>
      <c r="AC659" s="2" t="s">
        <v>29</v>
      </c>
      <c r="AD659" s="22" t="s">
        <v>58</v>
      </c>
      <c r="AE659" s="2" t="str">
        <f t="shared" si="146"/>
        <v>Valid</v>
      </c>
      <c r="AF659" s="2" t="s">
        <v>2163</v>
      </c>
    </row>
    <row r="660" spans="1:32" x14ac:dyDescent="0.3">
      <c r="A660" s="2" t="s">
        <v>2164</v>
      </c>
      <c r="B660" s="2">
        <f t="shared" si="136"/>
        <v>1</v>
      </c>
      <c r="C660" s="12">
        <f t="shared" si="147"/>
        <v>46238</v>
      </c>
      <c r="D660" s="13">
        <v>46238</v>
      </c>
      <c r="E660" s="2" t="s">
        <v>787</v>
      </c>
      <c r="F660" s="2" t="str">
        <f t="shared" si="137"/>
        <v>Email Available</v>
      </c>
      <c r="G660" s="2" t="s">
        <v>788</v>
      </c>
      <c r="H660" s="2" t="s">
        <v>63</v>
      </c>
      <c r="I660" s="2" t="s">
        <v>47</v>
      </c>
      <c r="J660" s="2" t="s">
        <v>446</v>
      </c>
      <c r="K660" s="2">
        <v>1</v>
      </c>
      <c r="L660" s="2">
        <v>14.99</v>
      </c>
      <c r="M660" s="19">
        <f t="shared" si="138"/>
        <v>14.99</v>
      </c>
      <c r="N660" s="2"/>
      <c r="O660" s="2" t="str">
        <f t="shared" si="139"/>
        <v/>
      </c>
      <c r="P660" s="2">
        <v>0</v>
      </c>
      <c r="Q660" s="19">
        <f t="shared" si="140"/>
        <v>0</v>
      </c>
      <c r="R660" s="2" t="str">
        <f t="shared" si="141"/>
        <v>Number</v>
      </c>
      <c r="S660" s="2">
        <v>7.99</v>
      </c>
      <c r="T660" s="19">
        <f t="shared" si="142"/>
        <v>7.99</v>
      </c>
      <c r="U660" s="2">
        <v>22.98</v>
      </c>
      <c r="V660" s="19">
        <f t="shared" si="143"/>
        <v>22.98</v>
      </c>
      <c r="W660" s="19">
        <f t="shared" si="144"/>
        <v>22.98</v>
      </c>
      <c r="X660" s="19" t="str">
        <f t="shared" si="145"/>
        <v>True</v>
      </c>
      <c r="Y660" s="19" t="str">
        <f>IF(OR(W660&lt;'Cleaning Tasks'!$G$18,W660&gt;'Cleaning Tasks'!$H$18),"Outlier","Normal")</f>
        <v>Normal</v>
      </c>
      <c r="Z660" s="2" t="s">
        <v>39</v>
      </c>
      <c r="AA660" s="2" t="s">
        <v>88</v>
      </c>
      <c r="AB660" s="2" t="s">
        <v>50</v>
      </c>
      <c r="AC660" s="2" t="s">
        <v>331</v>
      </c>
      <c r="AD660" s="2"/>
      <c r="AE660" s="2" t="str">
        <f t="shared" si="146"/>
        <v>Not Required</v>
      </c>
      <c r="AF660" s="2" t="s">
        <v>2165</v>
      </c>
    </row>
    <row r="661" spans="1:32" x14ac:dyDescent="0.3">
      <c r="A661" s="2" t="s">
        <v>2166</v>
      </c>
      <c r="B661" s="2">
        <f t="shared" si="136"/>
        <v>1</v>
      </c>
      <c r="C661" s="12">
        <f t="shared" si="147"/>
        <v>46238.588133321762</v>
      </c>
      <c r="D661" s="13">
        <v>46238.588133321762</v>
      </c>
      <c r="E661" s="2" t="s">
        <v>993</v>
      </c>
      <c r="F661" s="2" t="str">
        <f t="shared" si="137"/>
        <v>Email Available</v>
      </c>
      <c r="G661" s="2" t="s">
        <v>994</v>
      </c>
      <c r="H661" s="2" t="s">
        <v>279</v>
      </c>
      <c r="I661" s="2" t="s">
        <v>22</v>
      </c>
      <c r="J661" s="2" t="s">
        <v>280</v>
      </c>
      <c r="K661" s="2">
        <v>1</v>
      </c>
      <c r="L661" s="2">
        <v>24.99</v>
      </c>
      <c r="M661" s="19">
        <f t="shared" si="138"/>
        <v>24.99</v>
      </c>
      <c r="N661" s="2"/>
      <c r="O661" s="2" t="str">
        <f t="shared" si="139"/>
        <v/>
      </c>
      <c r="P661" s="2">
        <v>0</v>
      </c>
      <c r="Q661" s="19">
        <f t="shared" si="140"/>
        <v>0</v>
      </c>
      <c r="R661" s="2" t="str">
        <f t="shared" si="141"/>
        <v>Number</v>
      </c>
      <c r="S661" s="2">
        <v>5.99</v>
      </c>
      <c r="T661" s="19">
        <f t="shared" si="142"/>
        <v>5.99</v>
      </c>
      <c r="U661" s="2">
        <v>30.98</v>
      </c>
      <c r="V661" s="19">
        <f t="shared" si="143"/>
        <v>30.98</v>
      </c>
      <c r="W661" s="19">
        <f t="shared" si="144"/>
        <v>30.979999999999997</v>
      </c>
      <c r="X661" s="19" t="str">
        <f t="shared" si="145"/>
        <v>True</v>
      </c>
      <c r="Y661" s="19" t="str">
        <f>IF(OR(W661&lt;'Cleaning Tasks'!$G$18,W661&gt;'Cleaning Tasks'!$H$18),"Outlier","Normal")</f>
        <v>Normal</v>
      </c>
      <c r="Z661" s="2" t="s">
        <v>66</v>
      </c>
      <c r="AA661" s="2" t="s">
        <v>88</v>
      </c>
      <c r="AB661" s="2" t="s">
        <v>50</v>
      </c>
      <c r="AC661" s="2" t="s">
        <v>42</v>
      </c>
      <c r="AD661" s="2"/>
      <c r="AE661" s="2" t="str">
        <f t="shared" si="146"/>
        <v>Not Required</v>
      </c>
      <c r="AF661" s="2" t="s">
        <v>2167</v>
      </c>
    </row>
    <row r="662" spans="1:32" x14ac:dyDescent="0.3">
      <c r="A662" s="2" t="s">
        <v>2168</v>
      </c>
      <c r="B662" s="2">
        <f t="shared" si="136"/>
        <v>1</v>
      </c>
      <c r="C662" s="12">
        <f t="shared" si="147"/>
        <v>46238.588383576389</v>
      </c>
      <c r="D662" s="13">
        <v>46238.588383576389</v>
      </c>
      <c r="E662" s="2" t="s">
        <v>199</v>
      </c>
      <c r="F662" s="2" t="str">
        <f t="shared" si="137"/>
        <v>Email Available</v>
      </c>
      <c r="G662" s="2" t="s">
        <v>1704</v>
      </c>
      <c r="H662" s="2" t="s">
        <v>190</v>
      </c>
      <c r="I662" s="2" t="s">
        <v>191</v>
      </c>
      <c r="J662" s="2" t="s">
        <v>192</v>
      </c>
      <c r="K662" s="2">
        <v>1</v>
      </c>
      <c r="L662" s="2">
        <v>13.49</v>
      </c>
      <c r="M662" s="19">
        <f t="shared" si="138"/>
        <v>13.49</v>
      </c>
      <c r="N662" s="2"/>
      <c r="O662" s="2" t="str">
        <f t="shared" si="139"/>
        <v/>
      </c>
      <c r="P662" s="2">
        <v>0</v>
      </c>
      <c r="Q662" s="19">
        <f t="shared" si="140"/>
        <v>0</v>
      </c>
      <c r="R662" s="2" t="str">
        <f t="shared" si="141"/>
        <v>Number</v>
      </c>
      <c r="S662" s="2">
        <v>5.99</v>
      </c>
      <c r="T662" s="19">
        <f t="shared" si="142"/>
        <v>5.99</v>
      </c>
      <c r="U662" s="2">
        <v>19.48</v>
      </c>
      <c r="V662" s="19">
        <f t="shared" si="143"/>
        <v>19.48</v>
      </c>
      <c r="W662" s="19">
        <f t="shared" si="144"/>
        <v>19.48</v>
      </c>
      <c r="X662" s="19" t="str">
        <f t="shared" si="145"/>
        <v>True</v>
      </c>
      <c r="Y662" s="19" t="str">
        <f>IF(OR(W662&lt;'Cleaning Tasks'!$G$18,W662&gt;'Cleaning Tasks'!$H$18),"Outlier","Normal")</f>
        <v>Normal</v>
      </c>
      <c r="Z662" s="2" t="s">
        <v>72</v>
      </c>
      <c r="AA662" s="2" t="s">
        <v>27</v>
      </c>
      <c r="AB662" s="2" t="s">
        <v>28</v>
      </c>
      <c r="AC662" s="2" t="s">
        <v>29</v>
      </c>
      <c r="AD662" s="2" t="s">
        <v>243</v>
      </c>
      <c r="AE662" s="2" t="str">
        <f t="shared" si="146"/>
        <v>Valid</v>
      </c>
      <c r="AF662" s="2" t="s">
        <v>2169</v>
      </c>
    </row>
    <row r="663" spans="1:32" x14ac:dyDescent="0.3">
      <c r="A663" s="2" t="s">
        <v>2170</v>
      </c>
      <c r="B663" s="2">
        <f t="shared" si="136"/>
        <v>1</v>
      </c>
      <c r="C663" s="12">
        <f t="shared" si="147"/>
        <v>46238.588462083331</v>
      </c>
      <c r="D663" s="13">
        <v>46238.588462083331</v>
      </c>
      <c r="E663" s="2" t="s">
        <v>436</v>
      </c>
      <c r="F663" s="2" t="str">
        <f t="shared" si="137"/>
        <v>Email Available</v>
      </c>
      <c r="G663" s="2" t="s">
        <v>437</v>
      </c>
      <c r="H663" s="2" t="s">
        <v>124</v>
      </c>
      <c r="I663" s="2" t="s">
        <v>79</v>
      </c>
      <c r="J663" s="2" t="s">
        <v>125</v>
      </c>
      <c r="K663" s="2">
        <v>1</v>
      </c>
      <c r="L663" s="2">
        <v>13.99</v>
      </c>
      <c r="M663" s="19">
        <f t="shared" si="138"/>
        <v>13.99</v>
      </c>
      <c r="N663" s="2" t="s">
        <v>2171</v>
      </c>
      <c r="O663" s="2" t="str">
        <f t="shared" si="139"/>
        <v>SAVE20</v>
      </c>
      <c r="P663" s="2">
        <v>2.8</v>
      </c>
      <c r="Q663" s="19">
        <f t="shared" si="140"/>
        <v>2.8</v>
      </c>
      <c r="R663" s="2" t="str">
        <f t="shared" si="141"/>
        <v>Number</v>
      </c>
      <c r="S663" s="2">
        <v>7.99</v>
      </c>
      <c r="T663" s="19">
        <f t="shared" si="142"/>
        <v>7.99</v>
      </c>
      <c r="U663" s="2">
        <v>19.18</v>
      </c>
      <c r="V663" s="19">
        <f t="shared" si="143"/>
        <v>19.18</v>
      </c>
      <c r="W663" s="19">
        <f t="shared" si="144"/>
        <v>19.18</v>
      </c>
      <c r="X663" s="19" t="str">
        <f t="shared" si="145"/>
        <v>True</v>
      </c>
      <c r="Y663" s="19" t="str">
        <f>IF(OR(W663&lt;'Cleaning Tasks'!$G$18,W663&gt;'Cleaning Tasks'!$H$18),"Outlier","Normal")</f>
        <v>Normal</v>
      </c>
      <c r="Z663" s="2" t="s">
        <v>26</v>
      </c>
      <c r="AA663" s="2" t="s">
        <v>27</v>
      </c>
      <c r="AB663" s="2" t="s">
        <v>50</v>
      </c>
      <c r="AC663" s="2" t="s">
        <v>42</v>
      </c>
      <c r="AD663" s="2"/>
      <c r="AE663" s="2" t="str">
        <f t="shared" si="146"/>
        <v>Not Required</v>
      </c>
      <c r="AF663" s="2" t="s">
        <v>2172</v>
      </c>
    </row>
    <row r="664" spans="1:32" x14ac:dyDescent="0.3">
      <c r="A664" s="2" t="s">
        <v>2173</v>
      </c>
      <c r="B664" s="2">
        <f t="shared" si="136"/>
        <v>1</v>
      </c>
      <c r="C664" s="12">
        <f t="shared" si="147"/>
        <v>46238.584958749998</v>
      </c>
      <c r="D664" s="13">
        <v>46238.584958749998</v>
      </c>
      <c r="E664" s="2" t="s">
        <v>2174</v>
      </c>
      <c r="F664" s="2" t="str">
        <f t="shared" si="137"/>
        <v>Email Available</v>
      </c>
      <c r="G664" s="2" t="s">
        <v>2175</v>
      </c>
      <c r="H664" s="2" t="s">
        <v>267</v>
      </c>
      <c r="I664" s="2" t="s">
        <v>22</v>
      </c>
      <c r="J664" s="2" t="s">
        <v>268</v>
      </c>
      <c r="K664" s="2">
        <v>1</v>
      </c>
      <c r="L664" s="2">
        <v>18.989999999999998</v>
      </c>
      <c r="M664" s="19">
        <f t="shared" si="138"/>
        <v>18.989999999999998</v>
      </c>
      <c r="N664" s="2"/>
      <c r="O664" s="2" t="str">
        <f t="shared" si="139"/>
        <v/>
      </c>
      <c r="P664" s="2">
        <v>0</v>
      </c>
      <c r="Q664" s="19">
        <f t="shared" si="140"/>
        <v>0</v>
      </c>
      <c r="R664" s="2" t="str">
        <f t="shared" si="141"/>
        <v>Number</v>
      </c>
      <c r="S664" s="2">
        <v>5.99</v>
      </c>
      <c r="T664" s="19">
        <f t="shared" si="142"/>
        <v>5.99</v>
      </c>
      <c r="U664" s="2">
        <v>24.98</v>
      </c>
      <c r="V664" s="19">
        <f t="shared" si="143"/>
        <v>24.98</v>
      </c>
      <c r="W664" s="19">
        <f t="shared" si="144"/>
        <v>24.979999999999997</v>
      </c>
      <c r="X664" s="19" t="str">
        <f t="shared" si="145"/>
        <v>True</v>
      </c>
      <c r="Y664" s="19" t="str">
        <f>IF(OR(W664&lt;'Cleaning Tasks'!$G$18,W664&gt;'Cleaning Tasks'!$H$18),"Outlier","Normal")</f>
        <v>Normal</v>
      </c>
      <c r="Z664" s="2" t="s">
        <v>72</v>
      </c>
      <c r="AA664" s="2" t="s">
        <v>88</v>
      </c>
      <c r="AB664" s="2" t="s">
        <v>28</v>
      </c>
      <c r="AC664" s="2" t="s">
        <v>73</v>
      </c>
      <c r="AD664" s="2"/>
      <c r="AE664" s="2" t="str">
        <f t="shared" si="146"/>
        <v>Not Required</v>
      </c>
      <c r="AF664" s="2" t="s">
        <v>2176</v>
      </c>
    </row>
    <row r="665" spans="1:32" x14ac:dyDescent="0.3">
      <c r="A665" s="2" t="s">
        <v>2177</v>
      </c>
      <c r="B665" s="2">
        <f t="shared" si="136"/>
        <v>1</v>
      </c>
      <c r="C665" s="12">
        <f t="shared" si="147"/>
        <v>46238.581854999997</v>
      </c>
      <c r="D665" s="13">
        <v>46238.581854999997</v>
      </c>
      <c r="E665" s="2" t="s">
        <v>815</v>
      </c>
      <c r="F665" s="2" t="str">
        <f t="shared" si="137"/>
        <v>Email Available</v>
      </c>
      <c r="G665" s="2" t="s">
        <v>816</v>
      </c>
      <c r="H665" s="2" t="s">
        <v>124</v>
      </c>
      <c r="I665" s="2" t="s">
        <v>79</v>
      </c>
      <c r="J665" s="2" t="s">
        <v>125</v>
      </c>
      <c r="K665" s="2">
        <v>1</v>
      </c>
      <c r="L665" s="2">
        <v>13.99</v>
      </c>
      <c r="M665" s="19">
        <f t="shared" si="138"/>
        <v>13.99</v>
      </c>
      <c r="N665" s="2" t="s">
        <v>118</v>
      </c>
      <c r="O665" s="2" t="str">
        <f t="shared" si="139"/>
        <v>BFCM25</v>
      </c>
      <c r="P665" s="2">
        <v>3.5</v>
      </c>
      <c r="Q665" s="19">
        <f t="shared" si="140"/>
        <v>3.5</v>
      </c>
      <c r="R665" s="2" t="str">
        <f t="shared" si="141"/>
        <v>Number</v>
      </c>
      <c r="S665" s="2">
        <v>4.99</v>
      </c>
      <c r="T665" s="19">
        <f t="shared" si="142"/>
        <v>4.99</v>
      </c>
      <c r="U665" s="2">
        <v>15.48</v>
      </c>
      <c r="V665" s="19">
        <f t="shared" si="143"/>
        <v>15.48</v>
      </c>
      <c r="W665" s="19">
        <f t="shared" si="144"/>
        <v>15.48</v>
      </c>
      <c r="X665" s="19" t="str">
        <f t="shared" si="145"/>
        <v>True</v>
      </c>
      <c r="Y665" s="19" t="str">
        <f>IF(OR(W665&lt;'Cleaning Tasks'!$G$18,W665&gt;'Cleaning Tasks'!$H$18),"Outlier","Normal")</f>
        <v>Normal</v>
      </c>
      <c r="Z665" s="2" t="s">
        <v>66</v>
      </c>
      <c r="AA665" s="2" t="s">
        <v>27</v>
      </c>
      <c r="AB665" s="2" t="s">
        <v>50</v>
      </c>
      <c r="AC665" s="2" t="s">
        <v>73</v>
      </c>
      <c r="AD665" s="2"/>
      <c r="AE665" s="2" t="str">
        <f t="shared" si="146"/>
        <v>Not Required</v>
      </c>
      <c r="AF665" s="2" t="s">
        <v>2178</v>
      </c>
    </row>
    <row r="666" spans="1:32" x14ac:dyDescent="0.3">
      <c r="A666" s="2" t="s">
        <v>2179</v>
      </c>
      <c r="B666" s="2">
        <f t="shared" si="136"/>
        <v>1</v>
      </c>
      <c r="C666" s="12">
        <f t="shared" si="147"/>
        <v>46238.585898090278</v>
      </c>
      <c r="D666" s="13">
        <v>46238.585898090278</v>
      </c>
      <c r="E666" s="2" t="s">
        <v>705</v>
      </c>
      <c r="F666" s="2" t="str">
        <f t="shared" si="137"/>
        <v>Email Available</v>
      </c>
      <c r="G666" s="2" t="s">
        <v>706</v>
      </c>
      <c r="H666" s="2" t="s">
        <v>201</v>
      </c>
      <c r="I666" s="2" t="s">
        <v>191</v>
      </c>
      <c r="J666" s="2" t="s">
        <v>202</v>
      </c>
      <c r="K666" s="2">
        <v>1</v>
      </c>
      <c r="L666" s="2" t="s">
        <v>1212</v>
      </c>
      <c r="M666" s="19">
        <f t="shared" si="138"/>
        <v>24.99</v>
      </c>
      <c r="N666" s="2"/>
      <c r="O666" s="2" t="str">
        <f t="shared" si="139"/>
        <v/>
      </c>
      <c r="P666" s="2">
        <v>0</v>
      </c>
      <c r="Q666" s="19">
        <f t="shared" si="140"/>
        <v>0</v>
      </c>
      <c r="R666" s="2" t="str">
        <f t="shared" si="141"/>
        <v>Number</v>
      </c>
      <c r="S666" s="2">
        <v>7.99</v>
      </c>
      <c r="T666" s="19">
        <f t="shared" si="142"/>
        <v>7.99</v>
      </c>
      <c r="U666" s="2">
        <v>32.979999999999997</v>
      </c>
      <c r="V666" s="19">
        <f t="shared" si="143"/>
        <v>32.979999999999997</v>
      </c>
      <c r="W666" s="19">
        <f t="shared" si="144"/>
        <v>32.979999999999997</v>
      </c>
      <c r="X666" s="19" t="str">
        <f t="shared" si="145"/>
        <v>True</v>
      </c>
      <c r="Y666" s="19" t="str">
        <f>IF(OR(W666&lt;'Cleaning Tasks'!$G$18,W666&gt;'Cleaning Tasks'!$H$18),"Outlier","Normal")</f>
        <v>Normal</v>
      </c>
      <c r="Z666" s="2" t="s">
        <v>26</v>
      </c>
      <c r="AA666" s="2" t="s">
        <v>88</v>
      </c>
      <c r="AB666" s="2" t="s">
        <v>50</v>
      </c>
      <c r="AC666" s="2" t="s">
        <v>331</v>
      </c>
      <c r="AD666" s="2"/>
      <c r="AE666" s="2" t="str">
        <f t="shared" si="146"/>
        <v>Not Required</v>
      </c>
      <c r="AF666" s="2" t="s">
        <v>2180</v>
      </c>
    </row>
    <row r="667" spans="1:32" x14ac:dyDescent="0.3">
      <c r="A667" s="2" t="s">
        <v>2181</v>
      </c>
      <c r="B667" s="2">
        <f t="shared" si="136"/>
        <v>1</v>
      </c>
      <c r="C667" s="12">
        <f t="shared" si="147"/>
        <v>46238.585248738433</v>
      </c>
      <c r="D667" s="13">
        <v>46238.585248738433</v>
      </c>
      <c r="E667" s="2" t="s">
        <v>2009</v>
      </c>
      <c r="F667" s="2" t="str">
        <f t="shared" si="137"/>
        <v>Email Available</v>
      </c>
      <c r="G667" s="2" t="s">
        <v>2010</v>
      </c>
      <c r="H667" s="2" t="s">
        <v>236</v>
      </c>
      <c r="I667" s="2" t="s">
        <v>237</v>
      </c>
      <c r="J667" s="2" t="s">
        <v>238</v>
      </c>
      <c r="K667" s="2">
        <v>1</v>
      </c>
      <c r="L667" s="2">
        <v>27.99</v>
      </c>
      <c r="M667" s="19">
        <f t="shared" si="138"/>
        <v>27.99</v>
      </c>
      <c r="N667" s="2" t="s">
        <v>118</v>
      </c>
      <c r="O667" s="2" t="str">
        <f t="shared" si="139"/>
        <v>BFCM25</v>
      </c>
      <c r="P667" s="2">
        <v>7</v>
      </c>
      <c r="Q667" s="19">
        <f t="shared" si="140"/>
        <v>7</v>
      </c>
      <c r="R667" s="2" t="str">
        <f t="shared" si="141"/>
        <v>Number</v>
      </c>
      <c r="S667" s="2">
        <v>4.99</v>
      </c>
      <c r="T667" s="19">
        <f t="shared" si="142"/>
        <v>4.99</v>
      </c>
      <c r="U667" s="2">
        <v>25.98</v>
      </c>
      <c r="V667" s="19">
        <f t="shared" si="143"/>
        <v>25.98</v>
      </c>
      <c r="W667" s="19">
        <f t="shared" si="144"/>
        <v>25.979999999999997</v>
      </c>
      <c r="X667" s="19" t="str">
        <f t="shared" si="145"/>
        <v>True</v>
      </c>
      <c r="Y667" s="19" t="str">
        <f>IF(OR(W667&lt;'Cleaning Tasks'!$G$18,W667&gt;'Cleaning Tasks'!$H$18),"Outlier","Normal")</f>
        <v>Normal</v>
      </c>
      <c r="Z667" s="2" t="s">
        <v>39</v>
      </c>
      <c r="AA667" s="2" t="s">
        <v>27</v>
      </c>
      <c r="AB667" s="2" t="s">
        <v>50</v>
      </c>
      <c r="AC667" s="2" t="s">
        <v>29</v>
      </c>
      <c r="AD667" s="2" t="s">
        <v>51</v>
      </c>
      <c r="AE667" s="2" t="str">
        <f t="shared" si="146"/>
        <v>Valid</v>
      </c>
      <c r="AF667" s="2" t="s">
        <v>2182</v>
      </c>
    </row>
    <row r="668" spans="1:32" x14ac:dyDescent="0.3">
      <c r="A668" s="2" t="s">
        <v>2183</v>
      </c>
      <c r="B668" s="2">
        <f t="shared" si="136"/>
        <v>1</v>
      </c>
      <c r="C668" s="12">
        <f t="shared" si="147"/>
        <v>46238.584749594913</v>
      </c>
      <c r="D668" s="13">
        <v>46238.584749594913</v>
      </c>
      <c r="E668" s="2"/>
      <c r="F668" s="2" t="str">
        <f t="shared" si="137"/>
        <v>Email Available</v>
      </c>
      <c r="G668" s="2" t="s">
        <v>196</v>
      </c>
      <c r="H668" s="2" t="s">
        <v>267</v>
      </c>
      <c r="I668" s="2" t="s">
        <v>22</v>
      </c>
      <c r="J668" s="2" t="s">
        <v>268</v>
      </c>
      <c r="K668" s="2">
        <v>1</v>
      </c>
      <c r="L668" s="2" t="s">
        <v>631</v>
      </c>
      <c r="M668" s="19">
        <f t="shared" si="138"/>
        <v>18.989999999999998</v>
      </c>
      <c r="N668" s="2" t="s">
        <v>118</v>
      </c>
      <c r="O668" s="2" t="str">
        <f t="shared" si="139"/>
        <v>BFCM25</v>
      </c>
      <c r="P668" s="2">
        <v>4.75</v>
      </c>
      <c r="Q668" s="19">
        <f t="shared" si="140"/>
        <v>4.75</v>
      </c>
      <c r="R668" s="2" t="str">
        <f t="shared" si="141"/>
        <v>Number</v>
      </c>
      <c r="S668" s="2">
        <v>5.99</v>
      </c>
      <c r="T668" s="19">
        <f t="shared" si="142"/>
        <v>5.99</v>
      </c>
      <c r="U668" s="2">
        <v>20.23</v>
      </c>
      <c r="V668" s="19">
        <f t="shared" si="143"/>
        <v>20.23</v>
      </c>
      <c r="W668" s="19">
        <f t="shared" si="144"/>
        <v>20.229999999999997</v>
      </c>
      <c r="X668" s="19" t="str">
        <f t="shared" si="145"/>
        <v>True</v>
      </c>
      <c r="Y668" s="19" t="str">
        <f>IF(OR(W668&lt;'Cleaning Tasks'!$G$18,W668&gt;'Cleaning Tasks'!$H$18),"Outlier","Normal")</f>
        <v>Normal</v>
      </c>
      <c r="Z668" s="2" t="s">
        <v>66</v>
      </c>
      <c r="AA668" s="2" t="s">
        <v>27</v>
      </c>
      <c r="AB668" s="2" t="s">
        <v>50</v>
      </c>
      <c r="AC668" s="2" t="s">
        <v>29</v>
      </c>
      <c r="AD668" s="2" t="s">
        <v>51</v>
      </c>
      <c r="AE668" s="2" t="str">
        <f t="shared" si="146"/>
        <v>Valid</v>
      </c>
      <c r="AF668" s="2" t="s">
        <v>2184</v>
      </c>
    </row>
    <row r="669" spans="1:32" x14ac:dyDescent="0.3">
      <c r="A669" s="2" t="s">
        <v>2185</v>
      </c>
      <c r="B669" s="2">
        <f t="shared" si="136"/>
        <v>1</v>
      </c>
      <c r="C669" s="12">
        <f t="shared" si="147"/>
        <v>46238.586130578697</v>
      </c>
      <c r="D669" s="13">
        <v>46238.586130578697</v>
      </c>
      <c r="E669" s="2" t="s">
        <v>241</v>
      </c>
      <c r="F669" s="2" t="str">
        <f t="shared" si="137"/>
        <v>Email Available</v>
      </c>
      <c r="G669" s="2" t="s">
        <v>242</v>
      </c>
      <c r="H669" s="2" t="s">
        <v>309</v>
      </c>
      <c r="I669" s="2" t="s">
        <v>36</v>
      </c>
      <c r="J669" s="2" t="s">
        <v>310</v>
      </c>
      <c r="K669" s="2">
        <v>1</v>
      </c>
      <c r="L669" s="2">
        <v>8.99</v>
      </c>
      <c r="M669" s="19">
        <f t="shared" si="138"/>
        <v>8.99</v>
      </c>
      <c r="N669" s="2" t="s">
        <v>203</v>
      </c>
      <c r="O669" s="2" t="str">
        <f t="shared" si="139"/>
        <v>VIP15</v>
      </c>
      <c r="P669" s="2">
        <v>1.35</v>
      </c>
      <c r="Q669" s="19">
        <f t="shared" si="140"/>
        <v>1.35</v>
      </c>
      <c r="R669" s="2" t="str">
        <f t="shared" si="141"/>
        <v>Number</v>
      </c>
      <c r="S669" s="2">
        <v>5.99</v>
      </c>
      <c r="T669" s="19">
        <f t="shared" si="142"/>
        <v>5.99</v>
      </c>
      <c r="U669" s="2">
        <v>13.63</v>
      </c>
      <c r="V669" s="19">
        <f t="shared" si="143"/>
        <v>13.63</v>
      </c>
      <c r="W669" s="19">
        <f t="shared" si="144"/>
        <v>13.63</v>
      </c>
      <c r="X669" s="19" t="str">
        <f t="shared" si="145"/>
        <v>True</v>
      </c>
      <c r="Y669" s="19" t="str">
        <f>IF(OR(W669&lt;'Cleaning Tasks'!$G$18,W669&gt;'Cleaning Tasks'!$H$18),"Outlier","Normal")</f>
        <v>Normal</v>
      </c>
      <c r="Z669" s="2" t="s">
        <v>26</v>
      </c>
      <c r="AA669" s="2" t="s">
        <v>27</v>
      </c>
      <c r="AB669" s="2" t="s">
        <v>28</v>
      </c>
      <c r="AC669" s="2" t="s">
        <v>29</v>
      </c>
      <c r="AD669" s="22" t="s">
        <v>30</v>
      </c>
      <c r="AE669" s="2" t="str">
        <f t="shared" si="146"/>
        <v>Valid</v>
      </c>
      <c r="AF669" s="2" t="s">
        <v>2186</v>
      </c>
    </row>
    <row r="670" spans="1:32" x14ac:dyDescent="0.3">
      <c r="A670" s="2" t="s">
        <v>2187</v>
      </c>
      <c r="B670" s="2">
        <f t="shared" si="136"/>
        <v>1</v>
      </c>
      <c r="C670" s="12">
        <f t="shared" si="147"/>
        <v>46238.579173854167</v>
      </c>
      <c r="D670" s="13">
        <v>46238.579173854167</v>
      </c>
      <c r="E670" s="2" t="s">
        <v>2131</v>
      </c>
      <c r="F670" s="2" t="str">
        <f t="shared" si="137"/>
        <v>Email Available</v>
      </c>
      <c r="G670" s="2" t="s">
        <v>2132</v>
      </c>
      <c r="H670" s="2" t="s">
        <v>190</v>
      </c>
      <c r="I670" s="2" t="s">
        <v>191</v>
      </c>
      <c r="J670" s="2" t="s">
        <v>192</v>
      </c>
      <c r="K670" s="2">
        <v>1</v>
      </c>
      <c r="L670" s="2">
        <v>13.49</v>
      </c>
      <c r="M670" s="19">
        <f t="shared" si="138"/>
        <v>13.49</v>
      </c>
      <c r="N670" s="2"/>
      <c r="O670" s="2" t="str">
        <f t="shared" si="139"/>
        <v/>
      </c>
      <c r="P670" s="2">
        <v>0</v>
      </c>
      <c r="Q670" s="19">
        <f t="shared" si="140"/>
        <v>0</v>
      </c>
      <c r="R670" s="2" t="str">
        <f t="shared" si="141"/>
        <v>Number</v>
      </c>
      <c r="S670" s="2">
        <v>4.99</v>
      </c>
      <c r="T670" s="19">
        <f t="shared" si="142"/>
        <v>4.99</v>
      </c>
      <c r="U670" s="2">
        <v>18.48</v>
      </c>
      <c r="V670" s="19">
        <f t="shared" si="143"/>
        <v>18.48</v>
      </c>
      <c r="W670" s="19">
        <f t="shared" si="144"/>
        <v>18.48</v>
      </c>
      <c r="X670" s="19" t="str">
        <f t="shared" si="145"/>
        <v>True</v>
      </c>
      <c r="Y670" s="19" t="str">
        <f>IF(OR(W670&lt;'Cleaning Tasks'!$G$18,W670&gt;'Cleaning Tasks'!$H$18),"Outlier","Normal")</f>
        <v>Normal</v>
      </c>
      <c r="Z670" s="2" t="s">
        <v>66</v>
      </c>
      <c r="AA670" s="2" t="s">
        <v>40</v>
      </c>
      <c r="AB670" s="2" t="s">
        <v>28</v>
      </c>
      <c r="AC670" s="2" t="s">
        <v>42</v>
      </c>
      <c r="AD670" s="2"/>
      <c r="AE670" s="2" t="str">
        <f t="shared" si="146"/>
        <v>Not Required</v>
      </c>
      <c r="AF670" s="2" t="s">
        <v>2188</v>
      </c>
    </row>
    <row r="671" spans="1:32" x14ac:dyDescent="0.3">
      <c r="A671" s="2" t="s">
        <v>2189</v>
      </c>
      <c r="B671" s="2">
        <f t="shared" si="136"/>
        <v>1</v>
      </c>
      <c r="C671" s="12">
        <f t="shared" si="147"/>
        <v>46238.582099594911</v>
      </c>
      <c r="D671" s="13">
        <v>46238.582099594911</v>
      </c>
      <c r="E671" s="2" t="s">
        <v>108</v>
      </c>
      <c r="F671" s="2" t="str">
        <f t="shared" si="137"/>
        <v>Email Available</v>
      </c>
      <c r="G671" s="2" t="s">
        <v>1527</v>
      </c>
      <c r="H671" s="2" t="s">
        <v>190</v>
      </c>
      <c r="I671" s="2" t="s">
        <v>191</v>
      </c>
      <c r="J671" s="2" t="s">
        <v>192</v>
      </c>
      <c r="K671" s="2">
        <v>2</v>
      </c>
      <c r="L671" s="2">
        <v>13.49</v>
      </c>
      <c r="M671" s="19">
        <f t="shared" si="138"/>
        <v>13.49</v>
      </c>
      <c r="N671" s="2"/>
      <c r="O671" s="2" t="str">
        <f t="shared" si="139"/>
        <v/>
      </c>
      <c r="P671" s="2">
        <v>0</v>
      </c>
      <c r="Q671" s="19">
        <f t="shared" si="140"/>
        <v>0</v>
      </c>
      <c r="R671" s="2" t="str">
        <f t="shared" si="141"/>
        <v>Number</v>
      </c>
      <c r="S671" s="2">
        <v>4.99</v>
      </c>
      <c r="T671" s="19">
        <f t="shared" si="142"/>
        <v>4.99</v>
      </c>
      <c r="U671" s="2">
        <v>31.97</v>
      </c>
      <c r="V671" s="19">
        <f t="shared" si="143"/>
        <v>31.97</v>
      </c>
      <c r="W671" s="19">
        <f t="shared" si="144"/>
        <v>31.97</v>
      </c>
      <c r="X671" s="19" t="str">
        <f t="shared" si="145"/>
        <v>True</v>
      </c>
      <c r="Y671" s="19" t="str">
        <f>IF(OR(W671&lt;'Cleaning Tasks'!$G$18,W671&gt;'Cleaning Tasks'!$H$18),"Outlier","Normal")</f>
        <v>Normal</v>
      </c>
      <c r="Z671" s="2" t="s">
        <v>49</v>
      </c>
      <c r="AA671" s="2" t="s">
        <v>40</v>
      </c>
      <c r="AB671" s="2" t="s">
        <v>41</v>
      </c>
      <c r="AC671" s="2" t="s">
        <v>29</v>
      </c>
      <c r="AD671" s="2" t="s">
        <v>89</v>
      </c>
      <c r="AE671" s="2" t="str">
        <f t="shared" si="146"/>
        <v>Valid</v>
      </c>
      <c r="AF671" s="2" t="s">
        <v>2190</v>
      </c>
    </row>
    <row r="672" spans="1:32" x14ac:dyDescent="0.3">
      <c r="A672" s="2" t="s">
        <v>2191</v>
      </c>
      <c r="B672" s="2">
        <f t="shared" si="136"/>
        <v>1</v>
      </c>
      <c r="C672" s="12">
        <f t="shared" si="147"/>
        <v>46238.582788761567</v>
      </c>
      <c r="D672" s="13">
        <v>46238.582788761567</v>
      </c>
      <c r="E672" s="2" t="s">
        <v>2192</v>
      </c>
      <c r="F672" s="2" t="str">
        <f t="shared" si="137"/>
        <v>Missing Email</v>
      </c>
      <c r="G672" s="2"/>
      <c r="H672" s="2" t="s">
        <v>201</v>
      </c>
      <c r="I672" s="2" t="s">
        <v>191</v>
      </c>
      <c r="J672" s="2" t="s">
        <v>202</v>
      </c>
      <c r="K672" s="2">
        <v>3</v>
      </c>
      <c r="L672" s="2">
        <v>24.99</v>
      </c>
      <c r="M672" s="19">
        <f t="shared" si="138"/>
        <v>24.99</v>
      </c>
      <c r="N672" s="2" t="s">
        <v>24</v>
      </c>
      <c r="O672" s="2" t="str">
        <f t="shared" si="139"/>
        <v>SAVE20</v>
      </c>
      <c r="P672" s="2">
        <v>14.99</v>
      </c>
      <c r="Q672" s="19">
        <f t="shared" si="140"/>
        <v>14.99</v>
      </c>
      <c r="R672" s="2" t="str">
        <f t="shared" si="141"/>
        <v>Number</v>
      </c>
      <c r="S672" s="2">
        <v>4.99</v>
      </c>
      <c r="T672" s="19">
        <f t="shared" si="142"/>
        <v>4.99</v>
      </c>
      <c r="U672" s="2">
        <v>64.97</v>
      </c>
      <c r="V672" s="19">
        <f t="shared" si="143"/>
        <v>64.97</v>
      </c>
      <c r="W672" s="19">
        <f t="shared" si="144"/>
        <v>64.97</v>
      </c>
      <c r="X672" s="19" t="str">
        <f t="shared" si="145"/>
        <v>True</v>
      </c>
      <c r="Y672" s="19" t="str">
        <f>IF(OR(W672&lt;'Cleaning Tasks'!$G$18,W672&gt;'Cleaning Tasks'!$H$18),"Outlier","Normal")</f>
        <v>Normal</v>
      </c>
      <c r="Z672" s="2" t="s">
        <v>39</v>
      </c>
      <c r="AA672" s="2" t="s">
        <v>27</v>
      </c>
      <c r="AB672" s="2" t="s">
        <v>41</v>
      </c>
      <c r="AC672" s="2" t="s">
        <v>331</v>
      </c>
      <c r="AD672" s="2"/>
      <c r="AE672" s="2" t="str">
        <f t="shared" si="146"/>
        <v>Not Required</v>
      </c>
      <c r="AF672" s="2" t="s">
        <v>2193</v>
      </c>
    </row>
    <row r="673" spans="1:32" x14ac:dyDescent="0.3">
      <c r="A673" s="2" t="s">
        <v>2194</v>
      </c>
      <c r="B673" s="2">
        <f t="shared" si="136"/>
        <v>1</v>
      </c>
      <c r="C673" s="12">
        <f t="shared" si="147"/>
        <v>46238.582338564818</v>
      </c>
      <c r="D673" s="13">
        <v>46238.582338564818</v>
      </c>
      <c r="E673" s="2" t="s">
        <v>756</v>
      </c>
      <c r="F673" s="2" t="str">
        <f t="shared" si="137"/>
        <v>Missing Email</v>
      </c>
      <c r="G673" s="2"/>
      <c r="H673" s="2" t="s">
        <v>109</v>
      </c>
      <c r="I673" s="2" t="s">
        <v>79</v>
      </c>
      <c r="J673" s="2" t="s">
        <v>110</v>
      </c>
      <c r="K673" s="2">
        <v>1</v>
      </c>
      <c r="L673" s="2">
        <v>22.99</v>
      </c>
      <c r="M673" s="19">
        <f t="shared" si="138"/>
        <v>22.99</v>
      </c>
      <c r="N673" s="2" t="s">
        <v>38</v>
      </c>
      <c r="O673" s="2" t="str">
        <f t="shared" si="139"/>
        <v>FREESHIP</v>
      </c>
      <c r="P673" s="2" t="s">
        <v>184</v>
      </c>
      <c r="Q673" s="19">
        <f t="shared" si="140"/>
        <v>0</v>
      </c>
      <c r="R673" s="2" t="str">
        <f t="shared" si="141"/>
        <v>Number</v>
      </c>
      <c r="S673" s="2">
        <v>0</v>
      </c>
      <c r="T673" s="19">
        <f t="shared" si="142"/>
        <v>0</v>
      </c>
      <c r="U673" s="2">
        <v>22.99</v>
      </c>
      <c r="V673" s="19">
        <f t="shared" si="143"/>
        <v>22.99</v>
      </c>
      <c r="W673" s="19">
        <f t="shared" si="144"/>
        <v>22.99</v>
      </c>
      <c r="X673" s="19" t="str">
        <f t="shared" si="145"/>
        <v>True</v>
      </c>
      <c r="Y673" s="19" t="str">
        <f>IF(OR(W673&lt;'Cleaning Tasks'!$G$18,W673&gt;'Cleaning Tasks'!$H$18),"Outlier","Normal")</f>
        <v>Normal</v>
      </c>
      <c r="Z673" s="2" t="s">
        <v>66</v>
      </c>
      <c r="AA673" s="2" t="s">
        <v>40</v>
      </c>
      <c r="AB673" s="2" t="s">
        <v>50</v>
      </c>
      <c r="AC673" s="2" t="s">
        <v>29</v>
      </c>
      <c r="AD673" s="2" t="s">
        <v>112</v>
      </c>
      <c r="AE673" s="2" t="str">
        <f t="shared" si="146"/>
        <v>Valid</v>
      </c>
      <c r="AF673" s="2" t="s">
        <v>2195</v>
      </c>
    </row>
    <row r="674" spans="1:32" x14ac:dyDescent="0.3">
      <c r="A674" s="2" t="s">
        <v>2196</v>
      </c>
      <c r="B674" s="2">
        <f t="shared" si="136"/>
        <v>1</v>
      </c>
      <c r="C674" s="12">
        <f t="shared" si="147"/>
        <v>46238.585338993063</v>
      </c>
      <c r="D674" s="13">
        <v>46238.585338993063</v>
      </c>
      <c r="E674" s="2" t="s">
        <v>1975</v>
      </c>
      <c r="F674" s="2" t="str">
        <f t="shared" si="137"/>
        <v>Email Available</v>
      </c>
      <c r="G674" s="2" t="s">
        <v>255</v>
      </c>
      <c r="H674" s="2" t="s">
        <v>63</v>
      </c>
      <c r="I674" s="2" t="s">
        <v>47</v>
      </c>
      <c r="J674" s="2" t="s">
        <v>64</v>
      </c>
      <c r="K674" s="2">
        <v>1</v>
      </c>
      <c r="L674" s="2">
        <v>14.99</v>
      </c>
      <c r="M674" s="19">
        <f t="shared" si="138"/>
        <v>14.99</v>
      </c>
      <c r="N674" s="2"/>
      <c r="O674" s="2" t="str">
        <f t="shared" si="139"/>
        <v/>
      </c>
      <c r="P674" s="2">
        <v>0</v>
      </c>
      <c r="Q674" s="19">
        <f t="shared" si="140"/>
        <v>0</v>
      </c>
      <c r="R674" s="2" t="str">
        <f t="shared" si="141"/>
        <v>Number</v>
      </c>
      <c r="S674" s="2">
        <v>5.99</v>
      </c>
      <c r="T674" s="19">
        <f t="shared" si="142"/>
        <v>5.99</v>
      </c>
      <c r="U674" s="2">
        <v>20.98</v>
      </c>
      <c r="V674" s="19">
        <f t="shared" si="143"/>
        <v>20.98</v>
      </c>
      <c r="W674" s="19">
        <f t="shared" si="144"/>
        <v>20.98</v>
      </c>
      <c r="X674" s="19" t="str">
        <f t="shared" si="145"/>
        <v>True</v>
      </c>
      <c r="Y674" s="19" t="str">
        <f>IF(OR(W674&lt;'Cleaning Tasks'!$G$18,W674&gt;'Cleaning Tasks'!$H$18),"Outlier","Normal")</f>
        <v>Normal</v>
      </c>
      <c r="Z674" s="2" t="s">
        <v>66</v>
      </c>
      <c r="AA674" s="2" t="s">
        <v>111</v>
      </c>
      <c r="AB674" s="2" t="s">
        <v>41</v>
      </c>
      <c r="AC674" s="2" t="s">
        <v>29</v>
      </c>
      <c r="AD674" s="2" t="s">
        <v>89</v>
      </c>
      <c r="AE674" s="2" t="str">
        <f t="shared" si="146"/>
        <v>Valid</v>
      </c>
      <c r="AF674" s="2" t="s">
        <v>2197</v>
      </c>
    </row>
    <row r="675" spans="1:32" x14ac:dyDescent="0.3">
      <c r="A675" s="2" t="s">
        <v>2198</v>
      </c>
      <c r="B675" s="2">
        <f t="shared" si="136"/>
        <v>1</v>
      </c>
      <c r="C675" s="12">
        <f t="shared" si="147"/>
        <v>46238.582743194442</v>
      </c>
      <c r="D675" s="13">
        <v>46238.582743194442</v>
      </c>
      <c r="E675" s="2" t="s">
        <v>2199</v>
      </c>
      <c r="F675" s="2" t="str">
        <f t="shared" si="137"/>
        <v>Email Available</v>
      </c>
      <c r="G675" s="2" t="s">
        <v>2200</v>
      </c>
      <c r="H675" s="2" t="s">
        <v>85</v>
      </c>
      <c r="I675" s="2" t="s">
        <v>86</v>
      </c>
      <c r="J675" s="2" t="s">
        <v>87</v>
      </c>
      <c r="K675" s="2">
        <v>1</v>
      </c>
      <c r="L675" s="2">
        <v>54.99</v>
      </c>
      <c r="M675" s="19">
        <f t="shared" si="138"/>
        <v>54.99</v>
      </c>
      <c r="N675" s="2" t="s">
        <v>65</v>
      </c>
      <c r="O675" s="2" t="str">
        <f t="shared" si="139"/>
        <v>WELCOME10</v>
      </c>
      <c r="P675" s="2">
        <v>5.5</v>
      </c>
      <c r="Q675" s="19">
        <f t="shared" si="140"/>
        <v>5.5</v>
      </c>
      <c r="R675" s="2" t="str">
        <f t="shared" si="141"/>
        <v>Number</v>
      </c>
      <c r="S675" s="2">
        <v>7.99</v>
      </c>
      <c r="T675" s="19">
        <f t="shared" si="142"/>
        <v>7.99</v>
      </c>
      <c r="U675" s="2">
        <v>57.48</v>
      </c>
      <c r="V675" s="19">
        <f t="shared" si="143"/>
        <v>57.48</v>
      </c>
      <c r="W675" s="19">
        <f t="shared" si="144"/>
        <v>57.480000000000004</v>
      </c>
      <c r="X675" s="19" t="str">
        <f t="shared" si="145"/>
        <v>True</v>
      </c>
      <c r="Y675" s="19" t="str">
        <f>IF(OR(W675&lt;'Cleaning Tasks'!$G$18,W675&gt;'Cleaning Tasks'!$H$18),"Outlier","Normal")</f>
        <v>Normal</v>
      </c>
      <c r="Z675" s="2" t="s">
        <v>72</v>
      </c>
      <c r="AA675" s="2" t="s">
        <v>27</v>
      </c>
      <c r="AB675" s="2" t="s">
        <v>96</v>
      </c>
      <c r="AC675" s="2" t="s">
        <v>73</v>
      </c>
      <c r="AD675" s="2"/>
      <c r="AE675" s="2" t="str">
        <f t="shared" si="146"/>
        <v>Not Required</v>
      </c>
      <c r="AF675" s="2" t="s">
        <v>1973</v>
      </c>
    </row>
    <row r="676" spans="1:32" x14ac:dyDescent="0.3">
      <c r="A676" s="2" t="s">
        <v>2201</v>
      </c>
      <c r="B676" s="2">
        <f t="shared" si="136"/>
        <v>1</v>
      </c>
      <c r="C676" s="12">
        <f>DATE(VALUE(RIGHT(D676,4)),MATCH(LEFT(D676,3),{"Jan","Feb","Mar","Apr","May","Jun","Jul","Aug","Sep","Oct","Nov","Dec"},0),VALUE(MID(D676,5,2)))</f>
        <v>46238</v>
      </c>
      <c r="D676" s="13" t="s">
        <v>171</v>
      </c>
      <c r="E676" s="2" t="s">
        <v>574</v>
      </c>
      <c r="F676" s="2" t="str">
        <f t="shared" si="137"/>
        <v>Email Available</v>
      </c>
      <c r="G676" s="2" t="s">
        <v>1139</v>
      </c>
      <c r="H676" s="2" t="s">
        <v>63</v>
      </c>
      <c r="I676" s="2" t="s">
        <v>47</v>
      </c>
      <c r="J676" s="2" t="s">
        <v>64</v>
      </c>
      <c r="K676" s="2">
        <v>1</v>
      </c>
      <c r="L676" s="2">
        <v>14.99</v>
      </c>
      <c r="M676" s="19">
        <f t="shared" si="138"/>
        <v>14.99</v>
      </c>
      <c r="N676" s="2" t="s">
        <v>203</v>
      </c>
      <c r="O676" s="2" t="str">
        <f t="shared" si="139"/>
        <v>VIP15</v>
      </c>
      <c r="P676" s="2">
        <v>2.25</v>
      </c>
      <c r="Q676" s="19">
        <f t="shared" si="140"/>
        <v>2.25</v>
      </c>
      <c r="R676" s="2" t="str">
        <f t="shared" si="141"/>
        <v>Number</v>
      </c>
      <c r="S676" s="2">
        <v>5.99</v>
      </c>
      <c r="T676" s="19">
        <f t="shared" si="142"/>
        <v>5.99</v>
      </c>
      <c r="U676" s="2">
        <v>18.73</v>
      </c>
      <c r="V676" s="19">
        <f t="shared" si="143"/>
        <v>18.73</v>
      </c>
      <c r="W676" s="19">
        <f t="shared" si="144"/>
        <v>18.73</v>
      </c>
      <c r="X676" s="19" t="str">
        <f t="shared" si="145"/>
        <v>True</v>
      </c>
      <c r="Y676" s="19" t="str">
        <f>IF(OR(W676&lt;'Cleaning Tasks'!$G$18,W676&gt;'Cleaning Tasks'!$H$18),"Outlier","Normal")</f>
        <v>Normal</v>
      </c>
      <c r="Z676" s="2" t="s">
        <v>66</v>
      </c>
      <c r="AA676" s="2" t="s">
        <v>40</v>
      </c>
      <c r="AB676" s="2" t="s">
        <v>50</v>
      </c>
      <c r="AC676" s="2" t="s">
        <v>29</v>
      </c>
      <c r="AD676" s="2" t="s">
        <v>243</v>
      </c>
      <c r="AE676" s="2" t="str">
        <f t="shared" si="146"/>
        <v>Valid</v>
      </c>
      <c r="AF676" s="2" t="s">
        <v>2202</v>
      </c>
    </row>
    <row r="677" spans="1:32" x14ac:dyDescent="0.3">
      <c r="A677" s="2" t="s">
        <v>2203</v>
      </c>
      <c r="B677" s="2">
        <f t="shared" si="136"/>
        <v>1</v>
      </c>
      <c r="C677" s="12">
        <f t="shared" ref="C677:C704" si="148">IF(ISNUMBER(D677),D677,DATEVALUE(SUBSTITUTE(TRIM(D677),CHAR(160)," ")))</f>
        <v>46238.584512453701</v>
      </c>
      <c r="D677" s="13">
        <v>46238.584512453701</v>
      </c>
      <c r="E677" s="2" t="s">
        <v>756</v>
      </c>
      <c r="F677" s="2" t="str">
        <f t="shared" si="137"/>
        <v>Email Available</v>
      </c>
      <c r="G677" s="2" t="s">
        <v>757</v>
      </c>
      <c r="H677" s="2" t="s">
        <v>361</v>
      </c>
      <c r="I677" s="2" t="s">
        <v>86</v>
      </c>
      <c r="J677" s="2" t="s">
        <v>362</v>
      </c>
      <c r="K677" s="2">
        <v>1</v>
      </c>
      <c r="L677" s="2" t="s">
        <v>363</v>
      </c>
      <c r="M677" s="19">
        <f t="shared" si="138"/>
        <v>54.99</v>
      </c>
      <c r="N677" s="2"/>
      <c r="O677" s="2" t="str">
        <f t="shared" si="139"/>
        <v/>
      </c>
      <c r="P677" s="2">
        <v>0</v>
      </c>
      <c r="Q677" s="19">
        <f t="shared" si="140"/>
        <v>0</v>
      </c>
      <c r="R677" s="2" t="str">
        <f t="shared" si="141"/>
        <v>Number</v>
      </c>
      <c r="S677" s="2">
        <v>4.99</v>
      </c>
      <c r="T677" s="19">
        <f t="shared" si="142"/>
        <v>4.99</v>
      </c>
      <c r="U677" s="2">
        <v>59.98</v>
      </c>
      <c r="V677" s="19">
        <f t="shared" si="143"/>
        <v>59.98</v>
      </c>
      <c r="W677" s="19">
        <f t="shared" si="144"/>
        <v>59.980000000000004</v>
      </c>
      <c r="X677" s="19" t="str">
        <f t="shared" si="145"/>
        <v>True</v>
      </c>
      <c r="Y677" s="19" t="str">
        <f>IF(OR(W677&lt;'Cleaning Tasks'!$G$18,W677&gt;'Cleaning Tasks'!$H$18),"Outlier","Normal")</f>
        <v>Normal</v>
      </c>
      <c r="Z677" s="2" t="s">
        <v>49</v>
      </c>
      <c r="AA677" s="2" t="s">
        <v>27</v>
      </c>
      <c r="AB677" s="2" t="s">
        <v>28</v>
      </c>
      <c r="AC677" s="2" t="s">
        <v>29</v>
      </c>
      <c r="AD677" s="22" t="s">
        <v>67</v>
      </c>
      <c r="AE677" s="2" t="str">
        <f t="shared" si="146"/>
        <v>Valid</v>
      </c>
      <c r="AF677" s="2" t="s">
        <v>2204</v>
      </c>
    </row>
    <row r="678" spans="1:32" x14ac:dyDescent="0.3">
      <c r="A678" s="2" t="s">
        <v>2205</v>
      </c>
      <c r="B678" s="2">
        <f t="shared" si="136"/>
        <v>1</v>
      </c>
      <c r="C678" s="12">
        <f t="shared" si="148"/>
        <v>46238.58406134259</v>
      </c>
      <c r="D678" s="13">
        <v>46238.58406134259</v>
      </c>
      <c r="E678" s="2" t="s">
        <v>206</v>
      </c>
      <c r="F678" s="2" t="str">
        <f t="shared" si="137"/>
        <v>Email Available</v>
      </c>
      <c r="G678" s="2" t="s">
        <v>207</v>
      </c>
      <c r="H678" s="2" t="s">
        <v>85</v>
      </c>
      <c r="I678" s="2" t="s">
        <v>86</v>
      </c>
      <c r="J678" s="2" t="s">
        <v>87</v>
      </c>
      <c r="K678" s="2">
        <v>2</v>
      </c>
      <c r="L678" s="2">
        <v>54.99</v>
      </c>
      <c r="M678" s="19">
        <f t="shared" si="138"/>
        <v>54.99</v>
      </c>
      <c r="N678" s="2" t="s">
        <v>24</v>
      </c>
      <c r="O678" s="2" t="str">
        <f t="shared" si="139"/>
        <v>SAVE20</v>
      </c>
      <c r="P678" s="2">
        <v>22</v>
      </c>
      <c r="Q678" s="19">
        <f t="shared" si="140"/>
        <v>22</v>
      </c>
      <c r="R678" s="2" t="str">
        <f t="shared" si="141"/>
        <v>Number</v>
      </c>
      <c r="S678" s="2">
        <v>0</v>
      </c>
      <c r="T678" s="19">
        <f t="shared" si="142"/>
        <v>0</v>
      </c>
      <c r="U678" s="2" t="s">
        <v>2206</v>
      </c>
      <c r="V678" s="19">
        <f t="shared" si="143"/>
        <v>87.98</v>
      </c>
      <c r="W678" s="19">
        <f t="shared" si="144"/>
        <v>87.98</v>
      </c>
      <c r="X678" s="19" t="str">
        <f t="shared" si="145"/>
        <v>True</v>
      </c>
      <c r="Y678" s="19" t="str">
        <f>IF(OR(W678&lt;'Cleaning Tasks'!$G$18,W678&gt;'Cleaning Tasks'!$H$18),"Outlier","Normal")</f>
        <v>Outlier</v>
      </c>
      <c r="Z678" s="2" t="s">
        <v>39</v>
      </c>
      <c r="AA678" s="2" t="s">
        <v>27</v>
      </c>
      <c r="AB678" s="2" t="s">
        <v>50</v>
      </c>
      <c r="AC678" s="2" t="s">
        <v>105</v>
      </c>
      <c r="AD678" s="2"/>
      <c r="AE678" s="2" t="str">
        <f t="shared" si="146"/>
        <v>Not Required</v>
      </c>
      <c r="AF678" s="2" t="s">
        <v>2207</v>
      </c>
    </row>
    <row r="679" spans="1:32" x14ac:dyDescent="0.3">
      <c r="A679" s="2" t="s">
        <v>2208</v>
      </c>
      <c r="B679" s="2">
        <f t="shared" si="136"/>
        <v>1</v>
      </c>
      <c r="C679" s="12">
        <f t="shared" si="148"/>
        <v>46238.582796319453</v>
      </c>
      <c r="D679" s="13">
        <v>46238.582796319453</v>
      </c>
      <c r="E679" s="2" t="s">
        <v>1470</v>
      </c>
      <c r="F679" s="2" t="str">
        <f t="shared" si="137"/>
        <v>Email Available</v>
      </c>
      <c r="G679" s="2" t="s">
        <v>1103</v>
      </c>
      <c r="H679" s="2" t="s">
        <v>130</v>
      </c>
      <c r="I679" s="2" t="s">
        <v>103</v>
      </c>
      <c r="J679" s="2" t="s">
        <v>131</v>
      </c>
      <c r="K679" s="2">
        <v>2</v>
      </c>
      <c r="L679" s="2">
        <v>16.989999999999998</v>
      </c>
      <c r="M679" s="19">
        <f t="shared" si="138"/>
        <v>16.989999999999998</v>
      </c>
      <c r="N679" s="2" t="s">
        <v>1165</v>
      </c>
      <c r="O679" s="2" t="str">
        <f t="shared" si="139"/>
        <v>BFCM25</v>
      </c>
      <c r="P679" s="2">
        <v>8.49</v>
      </c>
      <c r="Q679" s="19">
        <f t="shared" si="140"/>
        <v>8.49</v>
      </c>
      <c r="R679" s="2" t="str">
        <f t="shared" si="141"/>
        <v>Number</v>
      </c>
      <c r="S679" s="2">
        <v>7.99</v>
      </c>
      <c r="T679" s="19">
        <f t="shared" si="142"/>
        <v>7.99</v>
      </c>
      <c r="U679" s="2" t="s">
        <v>293</v>
      </c>
      <c r="V679" s="19">
        <f t="shared" si="143"/>
        <v>33.479999999999997</v>
      </c>
      <c r="W679" s="19">
        <f t="shared" si="144"/>
        <v>33.479999999999997</v>
      </c>
      <c r="X679" s="19" t="str">
        <f t="shared" si="145"/>
        <v>True</v>
      </c>
      <c r="Y679" s="19" t="str">
        <f>IF(OR(W679&lt;'Cleaning Tasks'!$G$18,W679&gt;'Cleaning Tasks'!$H$18),"Outlier","Normal")</f>
        <v>Normal</v>
      </c>
      <c r="Z679" s="2" t="s">
        <v>49</v>
      </c>
      <c r="AA679" s="2" t="s">
        <v>88</v>
      </c>
      <c r="AB679" s="2" t="s">
        <v>50</v>
      </c>
      <c r="AC679" s="2" t="s">
        <v>105</v>
      </c>
      <c r="AD679" s="2"/>
      <c r="AE679" s="2" t="str">
        <f t="shared" si="146"/>
        <v>Not Required</v>
      </c>
      <c r="AF679" s="2" t="s">
        <v>2209</v>
      </c>
    </row>
    <row r="680" spans="1:32" x14ac:dyDescent="0.3">
      <c r="A680" s="2" t="s">
        <v>2210</v>
      </c>
      <c r="B680" s="2">
        <f t="shared" si="136"/>
        <v>1</v>
      </c>
      <c r="C680" s="12">
        <f t="shared" si="148"/>
        <v>46238.580226516213</v>
      </c>
      <c r="D680" s="13">
        <v>46238.580226516213</v>
      </c>
      <c r="E680" s="2" t="s">
        <v>325</v>
      </c>
      <c r="F680" s="2" t="str">
        <f t="shared" si="137"/>
        <v>Email Available</v>
      </c>
      <c r="G680" s="2" t="s">
        <v>326</v>
      </c>
      <c r="H680" s="2" t="s">
        <v>190</v>
      </c>
      <c r="I680" s="2" t="s">
        <v>191</v>
      </c>
      <c r="J680" s="2" t="s">
        <v>192</v>
      </c>
      <c r="K680" s="2">
        <v>1</v>
      </c>
      <c r="L680" s="2">
        <v>13.49</v>
      </c>
      <c r="M680" s="19">
        <f t="shared" si="138"/>
        <v>13.49</v>
      </c>
      <c r="N680" s="2" t="s">
        <v>38</v>
      </c>
      <c r="O680" s="2" t="str">
        <f t="shared" si="139"/>
        <v>FREESHIP</v>
      </c>
      <c r="P680" s="2">
        <v>0</v>
      </c>
      <c r="Q680" s="19">
        <f t="shared" si="140"/>
        <v>0</v>
      </c>
      <c r="R680" s="2" t="str">
        <f t="shared" si="141"/>
        <v>Number</v>
      </c>
      <c r="S680" s="2">
        <v>0</v>
      </c>
      <c r="T680" s="19">
        <f t="shared" si="142"/>
        <v>0</v>
      </c>
      <c r="U680" s="2">
        <v>13.49</v>
      </c>
      <c r="V680" s="19">
        <f t="shared" si="143"/>
        <v>13.49</v>
      </c>
      <c r="W680" s="19">
        <f t="shared" si="144"/>
        <v>13.49</v>
      </c>
      <c r="X680" s="19" t="str">
        <f t="shared" si="145"/>
        <v>True</v>
      </c>
      <c r="Y680" s="19" t="str">
        <f>IF(OR(W680&lt;'Cleaning Tasks'!$G$18,W680&gt;'Cleaning Tasks'!$H$18),"Outlier","Normal")</f>
        <v>Normal</v>
      </c>
      <c r="Z680" s="2" t="s">
        <v>72</v>
      </c>
      <c r="AA680" s="2" t="s">
        <v>88</v>
      </c>
      <c r="AB680" s="2" t="s">
        <v>50</v>
      </c>
      <c r="AC680" s="2" t="s">
        <v>29</v>
      </c>
      <c r="AD680" s="2" t="s">
        <v>341</v>
      </c>
      <c r="AE680" s="2" t="str">
        <f t="shared" si="146"/>
        <v>Valid</v>
      </c>
      <c r="AF680" s="2" t="s">
        <v>2211</v>
      </c>
    </row>
    <row r="681" spans="1:32" x14ac:dyDescent="0.3">
      <c r="A681" s="2" t="s">
        <v>2212</v>
      </c>
      <c r="B681" s="2">
        <f t="shared" si="136"/>
        <v>1</v>
      </c>
      <c r="C681" s="12">
        <f t="shared" si="148"/>
        <v>46238.587386736108</v>
      </c>
      <c r="D681" s="13">
        <v>46238.587386736108</v>
      </c>
      <c r="E681" s="2" t="s">
        <v>889</v>
      </c>
      <c r="F681" s="2" t="str">
        <f t="shared" si="137"/>
        <v>Email Available</v>
      </c>
      <c r="G681" s="2" t="s">
        <v>890</v>
      </c>
      <c r="H681" s="2" t="s">
        <v>63</v>
      </c>
      <c r="I681" s="2" t="s">
        <v>47</v>
      </c>
      <c r="J681" s="2" t="s">
        <v>64</v>
      </c>
      <c r="K681" s="2">
        <v>1</v>
      </c>
      <c r="L681" s="2">
        <v>14.99</v>
      </c>
      <c r="M681" s="19">
        <f t="shared" si="138"/>
        <v>14.99</v>
      </c>
      <c r="N681" s="2"/>
      <c r="O681" s="2" t="str">
        <f t="shared" si="139"/>
        <v/>
      </c>
      <c r="P681" s="2">
        <v>0</v>
      </c>
      <c r="Q681" s="19">
        <f t="shared" si="140"/>
        <v>0</v>
      </c>
      <c r="R681" s="2" t="str">
        <f t="shared" si="141"/>
        <v>Number</v>
      </c>
      <c r="S681" s="2">
        <v>5.99</v>
      </c>
      <c r="T681" s="19">
        <f t="shared" si="142"/>
        <v>5.99</v>
      </c>
      <c r="U681" s="2">
        <v>20.98</v>
      </c>
      <c r="V681" s="19">
        <f t="shared" si="143"/>
        <v>20.98</v>
      </c>
      <c r="W681" s="19">
        <f t="shared" si="144"/>
        <v>20.98</v>
      </c>
      <c r="X681" s="19" t="str">
        <f t="shared" si="145"/>
        <v>True</v>
      </c>
      <c r="Y681" s="19" t="str">
        <f>IF(OR(W681&lt;'Cleaning Tasks'!$G$18,W681&gt;'Cleaning Tasks'!$H$18),"Outlier","Normal")</f>
        <v>Normal</v>
      </c>
      <c r="Z681" s="2" t="s">
        <v>49</v>
      </c>
      <c r="AA681" s="2" t="s">
        <v>27</v>
      </c>
      <c r="AB681" s="2" t="s">
        <v>50</v>
      </c>
      <c r="AC681" s="2" t="s">
        <v>29</v>
      </c>
      <c r="AD681" s="2" t="s">
        <v>447</v>
      </c>
      <c r="AE681" s="2" t="str">
        <f t="shared" si="146"/>
        <v>Valid</v>
      </c>
      <c r="AF681" s="2" t="s">
        <v>2213</v>
      </c>
    </row>
    <row r="682" spans="1:32" x14ac:dyDescent="0.3">
      <c r="A682" s="2" t="s">
        <v>2214</v>
      </c>
      <c r="B682" s="2">
        <f t="shared" si="136"/>
        <v>1</v>
      </c>
      <c r="C682" s="12">
        <f t="shared" si="148"/>
        <v>46238</v>
      </c>
      <c r="D682" s="13" t="s">
        <v>99</v>
      </c>
      <c r="E682" s="2" t="s">
        <v>339</v>
      </c>
      <c r="F682" s="2" t="str">
        <f t="shared" si="137"/>
        <v>Email Available</v>
      </c>
      <c r="G682" s="2" t="s">
        <v>445</v>
      </c>
      <c r="H682" s="2" t="s">
        <v>182</v>
      </c>
      <c r="I682" s="2" t="s">
        <v>36</v>
      </c>
      <c r="J682" s="2" t="s">
        <v>183</v>
      </c>
      <c r="K682" s="2">
        <v>1</v>
      </c>
      <c r="L682" s="2">
        <v>11.99</v>
      </c>
      <c r="M682" s="19">
        <f t="shared" si="138"/>
        <v>11.99</v>
      </c>
      <c r="N682" s="2" t="s">
        <v>203</v>
      </c>
      <c r="O682" s="2" t="str">
        <f t="shared" si="139"/>
        <v>VIP15</v>
      </c>
      <c r="P682" s="2">
        <v>1.8</v>
      </c>
      <c r="Q682" s="19">
        <f t="shared" si="140"/>
        <v>1.8</v>
      </c>
      <c r="R682" s="2" t="str">
        <f t="shared" si="141"/>
        <v>Number</v>
      </c>
      <c r="S682" s="2">
        <v>5.99</v>
      </c>
      <c r="T682" s="19">
        <f t="shared" si="142"/>
        <v>5.99</v>
      </c>
      <c r="U682" s="2">
        <v>16.18</v>
      </c>
      <c r="V682" s="19">
        <f t="shared" si="143"/>
        <v>16.18</v>
      </c>
      <c r="W682" s="19">
        <f t="shared" si="144"/>
        <v>16.18</v>
      </c>
      <c r="X682" s="19" t="str">
        <f t="shared" si="145"/>
        <v>True</v>
      </c>
      <c r="Y682" s="19" t="str">
        <f>IF(OR(W682&lt;'Cleaning Tasks'!$G$18,W682&gt;'Cleaning Tasks'!$H$18),"Outlier","Normal")</f>
        <v>Normal</v>
      </c>
      <c r="Z682" s="2" t="s">
        <v>72</v>
      </c>
      <c r="AA682" s="2" t="s">
        <v>27</v>
      </c>
      <c r="AB682" s="2" t="s">
        <v>96</v>
      </c>
      <c r="AC682" s="2" t="s">
        <v>29</v>
      </c>
      <c r="AD682" s="2" t="s">
        <v>30</v>
      </c>
      <c r="AE682" s="2" t="str">
        <f t="shared" si="146"/>
        <v>Valid</v>
      </c>
      <c r="AF682" s="2" t="s">
        <v>2215</v>
      </c>
    </row>
    <row r="683" spans="1:32" x14ac:dyDescent="0.3">
      <c r="A683" s="2" t="s">
        <v>2216</v>
      </c>
      <c r="B683" s="2">
        <f t="shared" si="136"/>
        <v>1</v>
      </c>
      <c r="C683" s="12">
        <f t="shared" si="148"/>
        <v>46238.580167893517</v>
      </c>
      <c r="D683" s="13">
        <v>46238.580167893517</v>
      </c>
      <c r="E683" s="2" t="s">
        <v>2217</v>
      </c>
      <c r="F683" s="2" t="str">
        <f t="shared" si="137"/>
        <v>Email Available</v>
      </c>
      <c r="G683" s="2" t="s">
        <v>2218</v>
      </c>
      <c r="H683" s="2" t="s">
        <v>201</v>
      </c>
      <c r="I683" s="2" t="s">
        <v>191</v>
      </c>
      <c r="J683" s="2" t="s">
        <v>202</v>
      </c>
      <c r="K683" s="2">
        <v>1</v>
      </c>
      <c r="L683" s="2">
        <v>24.99</v>
      </c>
      <c r="M683" s="19">
        <f t="shared" si="138"/>
        <v>24.99</v>
      </c>
      <c r="N683" s="2"/>
      <c r="O683" s="2" t="str">
        <f t="shared" si="139"/>
        <v/>
      </c>
      <c r="P683" s="2">
        <v>0</v>
      </c>
      <c r="Q683" s="19">
        <f t="shared" si="140"/>
        <v>0</v>
      </c>
      <c r="R683" s="2" t="str">
        <f t="shared" si="141"/>
        <v>Number</v>
      </c>
      <c r="S683" s="2">
        <v>4.99</v>
      </c>
      <c r="T683" s="19">
        <f t="shared" si="142"/>
        <v>4.99</v>
      </c>
      <c r="U683" s="2" t="s">
        <v>2219</v>
      </c>
      <c r="V683" s="19">
        <f t="shared" si="143"/>
        <v>29.98</v>
      </c>
      <c r="W683" s="19">
        <f t="shared" si="144"/>
        <v>29.979999999999997</v>
      </c>
      <c r="X683" s="19" t="str">
        <f t="shared" si="145"/>
        <v>True</v>
      </c>
      <c r="Y683" s="19" t="str">
        <f>IF(OR(W683&lt;'Cleaning Tasks'!$G$18,W683&gt;'Cleaning Tasks'!$H$18),"Outlier","Normal")</f>
        <v>Normal</v>
      </c>
      <c r="Z683" s="2" t="s">
        <v>49</v>
      </c>
      <c r="AA683" s="2" t="s">
        <v>27</v>
      </c>
      <c r="AB683" s="2" t="s">
        <v>50</v>
      </c>
      <c r="AC683" s="2" t="s">
        <v>105</v>
      </c>
      <c r="AD683" s="2"/>
      <c r="AE683" s="2" t="str">
        <f t="shared" si="146"/>
        <v>Not Required</v>
      </c>
      <c r="AF683" s="2" t="s">
        <v>2220</v>
      </c>
    </row>
    <row r="684" spans="1:32" x14ac:dyDescent="0.3">
      <c r="A684" s="2" t="s">
        <v>2221</v>
      </c>
      <c r="B684" s="2">
        <f t="shared" si="136"/>
        <v>1</v>
      </c>
      <c r="C684" s="12">
        <f t="shared" si="148"/>
        <v>46238</v>
      </c>
      <c r="D684" s="13" t="s">
        <v>2050</v>
      </c>
      <c r="E684" s="2" t="s">
        <v>725</v>
      </c>
      <c r="F684" s="2" t="str">
        <f t="shared" si="137"/>
        <v>Email Available</v>
      </c>
      <c r="G684" s="2" t="s">
        <v>726</v>
      </c>
      <c r="H684" s="2" t="s">
        <v>221</v>
      </c>
      <c r="I684" s="2" t="s">
        <v>22</v>
      </c>
      <c r="J684" s="2" t="s">
        <v>222</v>
      </c>
      <c r="K684" s="2">
        <v>1</v>
      </c>
      <c r="L684" s="2">
        <v>17.989999999999998</v>
      </c>
      <c r="M684" s="19">
        <f t="shared" si="138"/>
        <v>17.989999999999998</v>
      </c>
      <c r="N684" s="2" t="s">
        <v>203</v>
      </c>
      <c r="O684" s="2" t="str">
        <f t="shared" si="139"/>
        <v>VIP15</v>
      </c>
      <c r="P684" s="2">
        <v>2.7</v>
      </c>
      <c r="Q684" s="19">
        <f t="shared" si="140"/>
        <v>2.7</v>
      </c>
      <c r="R684" s="2" t="str">
        <f t="shared" si="141"/>
        <v>Number</v>
      </c>
      <c r="S684" s="2">
        <v>7.99</v>
      </c>
      <c r="T684" s="19">
        <f t="shared" si="142"/>
        <v>7.99</v>
      </c>
      <c r="U684" s="2">
        <v>23.28</v>
      </c>
      <c r="V684" s="19">
        <f t="shared" si="143"/>
        <v>23.28</v>
      </c>
      <c r="W684" s="19">
        <f t="shared" si="144"/>
        <v>23.28</v>
      </c>
      <c r="X684" s="19" t="str">
        <f t="shared" si="145"/>
        <v>True</v>
      </c>
      <c r="Y684" s="19" t="str">
        <f>IF(OR(W684&lt;'Cleaning Tasks'!$G$18,W684&gt;'Cleaning Tasks'!$H$18),"Outlier","Normal")</f>
        <v>Normal</v>
      </c>
      <c r="Z684" s="2" t="s">
        <v>72</v>
      </c>
      <c r="AA684" s="2" t="s">
        <v>27</v>
      </c>
      <c r="AB684" s="2" t="s">
        <v>50</v>
      </c>
      <c r="AC684" s="2" t="s">
        <v>105</v>
      </c>
      <c r="AD684" s="2"/>
      <c r="AE684" s="2" t="str">
        <f t="shared" si="146"/>
        <v>Not Required</v>
      </c>
      <c r="AF684" s="2" t="s">
        <v>2222</v>
      </c>
    </row>
    <row r="685" spans="1:32" x14ac:dyDescent="0.3">
      <c r="A685" s="2" t="s">
        <v>2223</v>
      </c>
      <c r="B685" s="2">
        <f t="shared" si="136"/>
        <v>1</v>
      </c>
      <c r="C685" s="12">
        <f t="shared" si="148"/>
        <v>46238.583543310182</v>
      </c>
      <c r="D685" s="13">
        <v>46238.583543310182</v>
      </c>
      <c r="E685" s="2" t="s">
        <v>889</v>
      </c>
      <c r="F685" s="2" t="str">
        <f t="shared" si="137"/>
        <v>Email Available</v>
      </c>
      <c r="G685" s="2" t="s">
        <v>890</v>
      </c>
      <c r="H685" s="2" t="s">
        <v>63</v>
      </c>
      <c r="I685" s="2" t="s">
        <v>47</v>
      </c>
      <c r="J685" s="2" t="s">
        <v>446</v>
      </c>
      <c r="K685" s="2">
        <v>1</v>
      </c>
      <c r="L685" s="2">
        <v>14.99</v>
      </c>
      <c r="M685" s="19">
        <f t="shared" si="138"/>
        <v>14.99</v>
      </c>
      <c r="N685" s="2"/>
      <c r="O685" s="2" t="str">
        <f t="shared" si="139"/>
        <v/>
      </c>
      <c r="P685" s="2">
        <v>0</v>
      </c>
      <c r="Q685" s="19">
        <f t="shared" si="140"/>
        <v>0</v>
      </c>
      <c r="R685" s="2" t="str">
        <f t="shared" si="141"/>
        <v>Number</v>
      </c>
      <c r="S685" s="2">
        <v>4.99</v>
      </c>
      <c r="T685" s="19">
        <f t="shared" si="142"/>
        <v>4.99</v>
      </c>
      <c r="U685" s="2">
        <v>19.98</v>
      </c>
      <c r="V685" s="19">
        <f t="shared" si="143"/>
        <v>19.98</v>
      </c>
      <c r="W685" s="19">
        <f t="shared" si="144"/>
        <v>19.98</v>
      </c>
      <c r="X685" s="19" t="str">
        <f t="shared" si="145"/>
        <v>True</v>
      </c>
      <c r="Y685" s="19" t="str">
        <f>IF(OR(W685&lt;'Cleaning Tasks'!$G$18,W685&gt;'Cleaning Tasks'!$H$18),"Outlier","Normal")</f>
        <v>Normal</v>
      </c>
      <c r="Z685" s="2" t="s">
        <v>66</v>
      </c>
      <c r="AA685" s="2" t="s">
        <v>27</v>
      </c>
      <c r="AB685" s="2" t="s">
        <v>41</v>
      </c>
      <c r="AC685" s="2" t="s">
        <v>29</v>
      </c>
      <c r="AD685" s="2" t="s">
        <v>341</v>
      </c>
      <c r="AE685" s="2" t="str">
        <f t="shared" si="146"/>
        <v>Valid</v>
      </c>
      <c r="AF685" s="2" t="s">
        <v>2224</v>
      </c>
    </row>
    <row r="686" spans="1:32" x14ac:dyDescent="0.3">
      <c r="A686" s="2" t="s">
        <v>2225</v>
      </c>
      <c r="B686" s="2">
        <f t="shared" si="136"/>
        <v>1</v>
      </c>
      <c r="C686" s="12">
        <f t="shared" si="148"/>
        <v>46238.579955231478</v>
      </c>
      <c r="D686" s="13">
        <v>46238.579955231478</v>
      </c>
      <c r="E686" s="2" t="s">
        <v>459</v>
      </c>
      <c r="F686" s="2" t="str">
        <f t="shared" si="137"/>
        <v>Email Available</v>
      </c>
      <c r="G686" s="2" t="s">
        <v>460</v>
      </c>
      <c r="H686" s="2" t="s">
        <v>63</v>
      </c>
      <c r="I686" s="2" t="s">
        <v>47</v>
      </c>
      <c r="J686" s="2" t="s">
        <v>64</v>
      </c>
      <c r="K686" s="2">
        <v>1</v>
      </c>
      <c r="L686" s="2">
        <v>14.99</v>
      </c>
      <c r="M686" s="19">
        <f t="shared" si="138"/>
        <v>14.99</v>
      </c>
      <c r="N686" s="2" t="s">
        <v>65</v>
      </c>
      <c r="O686" s="2" t="str">
        <f t="shared" si="139"/>
        <v>WELCOME10</v>
      </c>
      <c r="P686" s="2">
        <v>1.5</v>
      </c>
      <c r="Q686" s="19">
        <f t="shared" si="140"/>
        <v>1.5</v>
      </c>
      <c r="R686" s="2" t="str">
        <f t="shared" si="141"/>
        <v>Number</v>
      </c>
      <c r="S686" s="2">
        <v>4.99</v>
      </c>
      <c r="T686" s="19">
        <f t="shared" si="142"/>
        <v>4.99</v>
      </c>
      <c r="U686" s="2">
        <v>18.48</v>
      </c>
      <c r="V686" s="19">
        <f t="shared" si="143"/>
        <v>18.48</v>
      </c>
      <c r="W686" s="19">
        <f t="shared" si="144"/>
        <v>18.48</v>
      </c>
      <c r="X686" s="19" t="str">
        <f t="shared" si="145"/>
        <v>True</v>
      </c>
      <c r="Y686" s="19" t="str">
        <f>IF(OR(W686&lt;'Cleaning Tasks'!$G$18,W686&gt;'Cleaning Tasks'!$H$18),"Outlier","Normal")</f>
        <v>Normal</v>
      </c>
      <c r="Z686" s="2" t="s">
        <v>26</v>
      </c>
      <c r="AA686" s="2" t="s">
        <v>27</v>
      </c>
      <c r="AB686" s="2" t="s">
        <v>50</v>
      </c>
      <c r="AC686" s="2" t="s">
        <v>223</v>
      </c>
      <c r="AD686" s="2"/>
      <c r="AE686" s="2" t="str">
        <f t="shared" si="146"/>
        <v>Not Required</v>
      </c>
      <c r="AF686" s="2" t="s">
        <v>2226</v>
      </c>
    </row>
    <row r="687" spans="1:32" x14ac:dyDescent="0.3">
      <c r="A687" s="2" t="s">
        <v>2227</v>
      </c>
      <c r="B687" s="2">
        <f t="shared" si="136"/>
        <v>1</v>
      </c>
      <c r="C687" s="12">
        <f t="shared" si="148"/>
        <v>46238.585956087962</v>
      </c>
      <c r="D687" s="13">
        <v>46238.585956087962</v>
      </c>
      <c r="E687" s="2" t="s">
        <v>164</v>
      </c>
      <c r="F687" s="2" t="str">
        <f t="shared" si="137"/>
        <v>Email Available</v>
      </c>
      <c r="G687" s="2" t="s">
        <v>165</v>
      </c>
      <c r="H687" s="2" t="s">
        <v>130</v>
      </c>
      <c r="I687" s="2" t="s">
        <v>103</v>
      </c>
      <c r="J687" s="2" t="s">
        <v>131</v>
      </c>
      <c r="K687" s="2">
        <v>1</v>
      </c>
      <c r="L687" s="2" t="s">
        <v>985</v>
      </c>
      <c r="M687" s="19">
        <f t="shared" si="138"/>
        <v>16.989999999999998</v>
      </c>
      <c r="N687" s="2"/>
      <c r="O687" s="2" t="str">
        <f t="shared" si="139"/>
        <v/>
      </c>
      <c r="P687" s="2">
        <v>0</v>
      </c>
      <c r="Q687" s="19">
        <f t="shared" si="140"/>
        <v>0</v>
      </c>
      <c r="R687" s="2" t="str">
        <f t="shared" si="141"/>
        <v>Number</v>
      </c>
      <c r="S687" s="2">
        <v>7.99</v>
      </c>
      <c r="T687" s="19">
        <f t="shared" si="142"/>
        <v>7.99</v>
      </c>
      <c r="U687" s="2" t="s">
        <v>941</v>
      </c>
      <c r="V687" s="19">
        <f t="shared" si="143"/>
        <v>24.98</v>
      </c>
      <c r="W687" s="19">
        <f t="shared" si="144"/>
        <v>24.979999999999997</v>
      </c>
      <c r="X687" s="19" t="str">
        <f t="shared" si="145"/>
        <v>True</v>
      </c>
      <c r="Y687" s="19" t="str">
        <f>IF(OR(W687&lt;'Cleaning Tasks'!$G$18,W687&gt;'Cleaning Tasks'!$H$18),"Outlier","Normal")</f>
        <v>Normal</v>
      </c>
      <c r="Z687" s="2" t="s">
        <v>72</v>
      </c>
      <c r="AA687" s="2" t="s">
        <v>88</v>
      </c>
      <c r="AB687" s="2" t="s">
        <v>96</v>
      </c>
      <c r="AC687" s="2" t="s">
        <v>105</v>
      </c>
      <c r="AD687" s="2"/>
      <c r="AE687" s="2" t="str">
        <f t="shared" si="146"/>
        <v>Not Required</v>
      </c>
      <c r="AF687" s="2" t="s">
        <v>2228</v>
      </c>
    </row>
    <row r="688" spans="1:32" x14ac:dyDescent="0.3">
      <c r="A688" s="2" t="s">
        <v>2229</v>
      </c>
      <c r="B688" s="2">
        <f t="shared" si="136"/>
        <v>1</v>
      </c>
      <c r="C688" s="12">
        <f t="shared" si="148"/>
        <v>46238.578990428243</v>
      </c>
      <c r="D688" s="13">
        <v>46238.578990428243</v>
      </c>
      <c r="E688" s="2" t="s">
        <v>20</v>
      </c>
      <c r="F688" s="2" t="str">
        <f t="shared" si="137"/>
        <v>Email Available</v>
      </c>
      <c r="G688" s="2" t="s">
        <v>21</v>
      </c>
      <c r="H688" s="2" t="s">
        <v>78</v>
      </c>
      <c r="I688" s="2" t="s">
        <v>79</v>
      </c>
      <c r="J688" s="2" t="s">
        <v>80</v>
      </c>
      <c r="K688" s="2">
        <v>3</v>
      </c>
      <c r="L688" s="2">
        <v>89.99</v>
      </c>
      <c r="M688" s="19">
        <f t="shared" si="138"/>
        <v>89.99</v>
      </c>
      <c r="N688" s="2"/>
      <c r="O688" s="2" t="str">
        <f t="shared" si="139"/>
        <v/>
      </c>
      <c r="P688" s="2">
        <v>0</v>
      </c>
      <c r="Q688" s="19">
        <f t="shared" si="140"/>
        <v>0</v>
      </c>
      <c r="R688" s="2" t="str">
        <f t="shared" si="141"/>
        <v>Number</v>
      </c>
      <c r="S688" s="2">
        <v>0</v>
      </c>
      <c r="T688" s="19">
        <f t="shared" si="142"/>
        <v>0</v>
      </c>
      <c r="U688" s="2">
        <v>269.97000000000003</v>
      </c>
      <c r="V688" s="19">
        <f t="shared" si="143"/>
        <v>269.97000000000003</v>
      </c>
      <c r="W688" s="19">
        <f t="shared" si="144"/>
        <v>269.96999999999997</v>
      </c>
      <c r="X688" s="19" t="str">
        <f t="shared" si="145"/>
        <v>True</v>
      </c>
      <c r="Y688" s="19" t="str">
        <f>IF(OR(W688&lt;'Cleaning Tasks'!$G$18,W688&gt;'Cleaning Tasks'!$H$18),"Outlier","Normal")</f>
        <v>Outlier</v>
      </c>
      <c r="Z688" s="2" t="s">
        <v>26</v>
      </c>
      <c r="AA688" s="2" t="s">
        <v>88</v>
      </c>
      <c r="AB688" s="2" t="s">
        <v>96</v>
      </c>
      <c r="AC688" s="2" t="s">
        <v>29</v>
      </c>
      <c r="AD688" s="2" t="s">
        <v>67</v>
      </c>
      <c r="AE688" s="2" t="str">
        <f t="shared" si="146"/>
        <v>Valid</v>
      </c>
      <c r="AF688" s="2" t="s">
        <v>2230</v>
      </c>
    </row>
    <row r="689" spans="1:32" x14ac:dyDescent="0.3">
      <c r="A689" s="2" t="s">
        <v>2231</v>
      </c>
      <c r="B689" s="2">
        <f t="shared" si="136"/>
        <v>1</v>
      </c>
      <c r="C689" s="12">
        <f t="shared" si="148"/>
        <v>46238.583692627311</v>
      </c>
      <c r="D689" s="13">
        <v>46238.583692627311</v>
      </c>
      <c r="E689" s="2" t="s">
        <v>815</v>
      </c>
      <c r="F689" s="2" t="str">
        <f t="shared" si="137"/>
        <v>Email Available</v>
      </c>
      <c r="G689" s="2" t="s">
        <v>816</v>
      </c>
      <c r="H689" s="2" t="s">
        <v>221</v>
      </c>
      <c r="I689" s="2" t="s">
        <v>22</v>
      </c>
      <c r="J689" s="2" t="s">
        <v>222</v>
      </c>
      <c r="K689" s="2">
        <v>1</v>
      </c>
      <c r="L689" s="2">
        <v>17.989999999999998</v>
      </c>
      <c r="M689" s="19">
        <f t="shared" si="138"/>
        <v>17.989999999999998</v>
      </c>
      <c r="N689" s="2" t="s">
        <v>118</v>
      </c>
      <c r="O689" s="2" t="str">
        <f t="shared" si="139"/>
        <v>BFCM25</v>
      </c>
      <c r="P689" s="2">
        <v>4.5</v>
      </c>
      <c r="Q689" s="19">
        <f t="shared" si="140"/>
        <v>4.5</v>
      </c>
      <c r="R689" s="2" t="str">
        <f t="shared" si="141"/>
        <v>Number</v>
      </c>
      <c r="S689" s="2">
        <v>4.99</v>
      </c>
      <c r="T689" s="19">
        <f t="shared" si="142"/>
        <v>4.99</v>
      </c>
      <c r="U689" s="2">
        <v>18.48</v>
      </c>
      <c r="V689" s="19">
        <f t="shared" si="143"/>
        <v>18.48</v>
      </c>
      <c r="W689" s="19">
        <f t="shared" si="144"/>
        <v>18.479999999999997</v>
      </c>
      <c r="X689" s="19" t="str">
        <f t="shared" si="145"/>
        <v>True</v>
      </c>
      <c r="Y689" s="19" t="str">
        <f>IF(OR(W689&lt;'Cleaning Tasks'!$G$18,W689&gt;'Cleaning Tasks'!$H$18),"Outlier","Normal")</f>
        <v>Normal</v>
      </c>
      <c r="Z689" s="2" t="s">
        <v>26</v>
      </c>
      <c r="AA689" s="2" t="s">
        <v>27</v>
      </c>
      <c r="AB689" s="2" t="s">
        <v>50</v>
      </c>
      <c r="AC689" s="2" t="s">
        <v>73</v>
      </c>
      <c r="AD689" s="2"/>
      <c r="AE689" s="2" t="str">
        <f t="shared" si="146"/>
        <v>Not Required</v>
      </c>
      <c r="AF689" s="2" t="s">
        <v>1269</v>
      </c>
    </row>
    <row r="690" spans="1:32" x14ac:dyDescent="0.3">
      <c r="A690" s="2" t="s">
        <v>2232</v>
      </c>
      <c r="B690" s="2">
        <f t="shared" si="136"/>
        <v>1</v>
      </c>
      <c r="C690" s="12">
        <f t="shared" si="148"/>
        <v>46238.587190312501</v>
      </c>
      <c r="D690" s="13">
        <v>46238.587190312501</v>
      </c>
      <c r="E690" s="2" t="s">
        <v>2233</v>
      </c>
      <c r="F690" s="2" t="str">
        <f t="shared" si="137"/>
        <v>Email Available</v>
      </c>
      <c r="G690" s="2" t="s">
        <v>663</v>
      </c>
      <c r="H690" s="2" t="s">
        <v>221</v>
      </c>
      <c r="I690" s="2" t="s">
        <v>22</v>
      </c>
      <c r="J690" s="2" t="s">
        <v>222</v>
      </c>
      <c r="K690" s="2">
        <v>1</v>
      </c>
      <c r="L690" s="2">
        <v>17.989999999999998</v>
      </c>
      <c r="M690" s="19">
        <f t="shared" si="138"/>
        <v>17.989999999999998</v>
      </c>
      <c r="N690" s="2" t="s">
        <v>118</v>
      </c>
      <c r="O690" s="2" t="str">
        <f t="shared" si="139"/>
        <v>BFCM25</v>
      </c>
      <c r="P690" s="2">
        <v>4.5</v>
      </c>
      <c r="Q690" s="19">
        <f t="shared" si="140"/>
        <v>4.5</v>
      </c>
      <c r="R690" s="2" t="str">
        <f t="shared" si="141"/>
        <v>Number</v>
      </c>
      <c r="S690" s="2">
        <v>7.99</v>
      </c>
      <c r="T690" s="19">
        <f t="shared" si="142"/>
        <v>7.99</v>
      </c>
      <c r="U690" s="2">
        <v>21.48</v>
      </c>
      <c r="V690" s="19">
        <f t="shared" si="143"/>
        <v>21.48</v>
      </c>
      <c r="W690" s="19">
        <f t="shared" si="144"/>
        <v>21.479999999999997</v>
      </c>
      <c r="X690" s="19" t="str">
        <f t="shared" si="145"/>
        <v>True</v>
      </c>
      <c r="Y690" s="19" t="str">
        <f>IF(OR(W690&lt;'Cleaning Tasks'!$G$18,W690&gt;'Cleaning Tasks'!$H$18),"Outlier","Normal")</f>
        <v>Normal</v>
      </c>
      <c r="Z690" s="2" t="s">
        <v>66</v>
      </c>
      <c r="AA690" s="2" t="s">
        <v>40</v>
      </c>
      <c r="AB690" s="2" t="s">
        <v>96</v>
      </c>
      <c r="AC690" s="2" t="s">
        <v>331</v>
      </c>
      <c r="AD690" s="2"/>
      <c r="AE690" s="2" t="str">
        <f t="shared" si="146"/>
        <v>Not Required</v>
      </c>
      <c r="AF690" s="2" t="s">
        <v>2234</v>
      </c>
    </row>
    <row r="691" spans="1:32" x14ac:dyDescent="0.3">
      <c r="A691" s="2" t="s">
        <v>2235</v>
      </c>
      <c r="B691" s="2">
        <f t="shared" si="136"/>
        <v>1</v>
      </c>
      <c r="C691" s="12">
        <f t="shared" si="148"/>
        <v>46238.585639340279</v>
      </c>
      <c r="D691" s="13">
        <v>46238.585639340279</v>
      </c>
      <c r="E691" s="2" t="s">
        <v>2236</v>
      </c>
      <c r="F691" s="2" t="str">
        <f t="shared" si="137"/>
        <v>Email Available</v>
      </c>
      <c r="G691" s="2" t="s">
        <v>2237</v>
      </c>
      <c r="H691" s="2" t="s">
        <v>78</v>
      </c>
      <c r="I691" s="2" t="s">
        <v>79</v>
      </c>
      <c r="J691" s="2" t="s">
        <v>80</v>
      </c>
      <c r="K691" s="2">
        <v>1</v>
      </c>
      <c r="L691" s="2">
        <v>89.99</v>
      </c>
      <c r="M691" s="19">
        <f t="shared" si="138"/>
        <v>89.99</v>
      </c>
      <c r="N691" s="2" t="s">
        <v>38</v>
      </c>
      <c r="O691" s="2" t="str">
        <f t="shared" si="139"/>
        <v>FREESHIP</v>
      </c>
      <c r="P691" s="2" t="s">
        <v>184</v>
      </c>
      <c r="Q691" s="19">
        <f t="shared" si="140"/>
        <v>0</v>
      </c>
      <c r="R691" s="2" t="str">
        <f t="shared" si="141"/>
        <v>Number</v>
      </c>
      <c r="S691" s="2">
        <v>0</v>
      </c>
      <c r="T691" s="19">
        <f t="shared" si="142"/>
        <v>0</v>
      </c>
      <c r="U691" s="2">
        <v>89.99</v>
      </c>
      <c r="V691" s="19">
        <f t="shared" si="143"/>
        <v>89.99</v>
      </c>
      <c r="W691" s="19">
        <f t="shared" si="144"/>
        <v>89.99</v>
      </c>
      <c r="X691" s="19" t="str">
        <f t="shared" si="145"/>
        <v>True</v>
      </c>
      <c r="Y691" s="19" t="str">
        <f>IF(OR(W691&lt;'Cleaning Tasks'!$G$18,W691&gt;'Cleaning Tasks'!$H$18),"Outlier","Normal")</f>
        <v>Outlier</v>
      </c>
      <c r="Z691" s="2" t="s">
        <v>66</v>
      </c>
      <c r="AA691" s="2" t="s">
        <v>88</v>
      </c>
      <c r="AB691" s="2" t="s">
        <v>50</v>
      </c>
      <c r="AC691" s="2" t="s">
        <v>73</v>
      </c>
      <c r="AD691" s="2"/>
      <c r="AE691" s="2" t="str">
        <f t="shared" si="146"/>
        <v>Not Required</v>
      </c>
      <c r="AF691" s="2" t="s">
        <v>2238</v>
      </c>
    </row>
    <row r="692" spans="1:32" x14ac:dyDescent="0.3">
      <c r="A692" s="2" t="s">
        <v>2239</v>
      </c>
      <c r="B692" s="2">
        <f t="shared" si="136"/>
        <v>1</v>
      </c>
      <c r="C692" s="12">
        <f t="shared" si="148"/>
        <v>46238.582983125001</v>
      </c>
      <c r="D692" s="13">
        <v>46238.582983125001</v>
      </c>
      <c r="E692" s="2" t="s">
        <v>629</v>
      </c>
      <c r="F692" s="2" t="str">
        <f t="shared" si="137"/>
        <v>Email Available</v>
      </c>
      <c r="G692" s="2" t="s">
        <v>630</v>
      </c>
      <c r="H692" s="2" t="s">
        <v>78</v>
      </c>
      <c r="I692" s="2" t="s">
        <v>79</v>
      </c>
      <c r="J692" s="2" t="s">
        <v>80</v>
      </c>
      <c r="K692" s="2">
        <v>2</v>
      </c>
      <c r="L692" s="2">
        <v>89.99</v>
      </c>
      <c r="M692" s="19">
        <f t="shared" si="138"/>
        <v>89.99</v>
      </c>
      <c r="N692" s="2" t="s">
        <v>118</v>
      </c>
      <c r="O692" s="2" t="str">
        <f t="shared" si="139"/>
        <v>BFCM25</v>
      </c>
      <c r="P692" s="2">
        <v>44.99</v>
      </c>
      <c r="Q692" s="19">
        <f t="shared" si="140"/>
        <v>44.99</v>
      </c>
      <c r="R692" s="2" t="str">
        <f t="shared" si="141"/>
        <v>Number</v>
      </c>
      <c r="S692" s="2">
        <v>0</v>
      </c>
      <c r="T692" s="19">
        <f t="shared" si="142"/>
        <v>0</v>
      </c>
      <c r="U692" s="2">
        <v>134.99</v>
      </c>
      <c r="V692" s="19">
        <f t="shared" si="143"/>
        <v>134.99</v>
      </c>
      <c r="W692" s="19">
        <f t="shared" si="144"/>
        <v>134.98999999999998</v>
      </c>
      <c r="X692" s="19" t="str">
        <f t="shared" si="145"/>
        <v>True</v>
      </c>
      <c r="Y692" s="19" t="str">
        <f>IF(OR(W692&lt;'Cleaning Tasks'!$G$18,W692&gt;'Cleaning Tasks'!$H$18),"Outlier","Normal")</f>
        <v>Outlier</v>
      </c>
      <c r="Z692" s="2" t="s">
        <v>39</v>
      </c>
      <c r="AA692" s="2" t="s">
        <v>88</v>
      </c>
      <c r="AB692" s="2" t="s">
        <v>41</v>
      </c>
      <c r="AC692" s="2" t="s">
        <v>29</v>
      </c>
      <c r="AD692" s="2" t="s">
        <v>51</v>
      </c>
      <c r="AE692" s="2" t="str">
        <f t="shared" si="146"/>
        <v>Valid</v>
      </c>
      <c r="AF692" s="2" t="s">
        <v>2240</v>
      </c>
    </row>
    <row r="693" spans="1:32" x14ac:dyDescent="0.3">
      <c r="A693" s="2" t="s">
        <v>2241</v>
      </c>
      <c r="B693" s="2">
        <f t="shared" si="136"/>
        <v>1</v>
      </c>
      <c r="C693" s="12">
        <f t="shared" si="148"/>
        <v>46238.587768888887</v>
      </c>
      <c r="D693" s="13">
        <v>46238.587768888887</v>
      </c>
      <c r="E693" s="2" t="s">
        <v>1071</v>
      </c>
      <c r="F693" s="2" t="str">
        <f t="shared" si="137"/>
        <v>Email Available</v>
      </c>
      <c r="G693" s="2" t="s">
        <v>1072</v>
      </c>
      <c r="H693" s="2" t="s">
        <v>309</v>
      </c>
      <c r="I693" s="2" t="s">
        <v>36</v>
      </c>
      <c r="J693" s="2" t="s">
        <v>310</v>
      </c>
      <c r="K693" s="2">
        <v>2</v>
      </c>
      <c r="L693" s="2" t="s">
        <v>2242</v>
      </c>
      <c r="M693" s="19">
        <f t="shared" si="138"/>
        <v>8.99</v>
      </c>
      <c r="N693" s="2" t="s">
        <v>118</v>
      </c>
      <c r="O693" s="2" t="str">
        <f t="shared" si="139"/>
        <v>BFCM25</v>
      </c>
      <c r="P693" s="2">
        <v>4.5</v>
      </c>
      <c r="Q693" s="19">
        <f t="shared" si="140"/>
        <v>4.5</v>
      </c>
      <c r="R693" s="2" t="str">
        <f t="shared" si="141"/>
        <v>Number</v>
      </c>
      <c r="S693" s="2">
        <v>5.99</v>
      </c>
      <c r="T693" s="19">
        <f t="shared" si="142"/>
        <v>5.99</v>
      </c>
      <c r="U693" s="2">
        <v>19.47</v>
      </c>
      <c r="V693" s="19">
        <f t="shared" si="143"/>
        <v>19.47</v>
      </c>
      <c r="W693" s="19">
        <f t="shared" si="144"/>
        <v>19.47</v>
      </c>
      <c r="X693" s="19" t="str">
        <f t="shared" si="145"/>
        <v>True</v>
      </c>
      <c r="Y693" s="19" t="str">
        <f>IF(OR(W693&lt;'Cleaning Tasks'!$G$18,W693&gt;'Cleaning Tasks'!$H$18),"Outlier","Normal")</f>
        <v>Normal</v>
      </c>
      <c r="Z693" s="2" t="s">
        <v>49</v>
      </c>
      <c r="AA693" s="2" t="s">
        <v>27</v>
      </c>
      <c r="AB693" s="2" t="s">
        <v>50</v>
      </c>
      <c r="AC693" s="2" t="s">
        <v>105</v>
      </c>
      <c r="AD693" s="2"/>
      <c r="AE693" s="2" t="str">
        <f t="shared" si="146"/>
        <v>Not Required</v>
      </c>
      <c r="AF693" s="2" t="s">
        <v>2243</v>
      </c>
    </row>
    <row r="694" spans="1:32" x14ac:dyDescent="0.3">
      <c r="A694" s="2" t="s">
        <v>2244</v>
      </c>
      <c r="B694" s="2">
        <f t="shared" si="136"/>
        <v>1</v>
      </c>
      <c r="C694" s="12">
        <f t="shared" si="148"/>
        <v>46238.583514351849</v>
      </c>
      <c r="D694" s="13">
        <v>46238.583514351849</v>
      </c>
      <c r="E694" s="2" t="s">
        <v>2245</v>
      </c>
      <c r="F694" s="2" t="str">
        <f t="shared" si="137"/>
        <v>Email Available</v>
      </c>
      <c r="G694" s="2" t="s">
        <v>2246</v>
      </c>
      <c r="H694" s="2" t="s">
        <v>309</v>
      </c>
      <c r="I694" s="2" t="s">
        <v>36</v>
      </c>
      <c r="J694" s="2" t="s">
        <v>310</v>
      </c>
      <c r="K694" s="2">
        <v>1</v>
      </c>
      <c r="L694" s="2">
        <v>8.99</v>
      </c>
      <c r="M694" s="19">
        <f t="shared" si="138"/>
        <v>8.99</v>
      </c>
      <c r="N694" s="2" t="s">
        <v>24</v>
      </c>
      <c r="O694" s="2" t="str">
        <f t="shared" si="139"/>
        <v>SAVE20</v>
      </c>
      <c r="P694" s="2">
        <v>1.8</v>
      </c>
      <c r="Q694" s="19">
        <f t="shared" si="140"/>
        <v>1.8</v>
      </c>
      <c r="R694" s="2" t="str">
        <f t="shared" si="141"/>
        <v>Number</v>
      </c>
      <c r="S694" s="2">
        <v>4.99</v>
      </c>
      <c r="T694" s="19">
        <f t="shared" si="142"/>
        <v>4.99</v>
      </c>
      <c r="U694" s="2">
        <v>12.18</v>
      </c>
      <c r="V694" s="19">
        <f t="shared" si="143"/>
        <v>12.18</v>
      </c>
      <c r="W694" s="19">
        <f t="shared" si="144"/>
        <v>12.18</v>
      </c>
      <c r="X694" s="19" t="str">
        <f t="shared" si="145"/>
        <v>True</v>
      </c>
      <c r="Y694" s="19" t="str">
        <f>IF(OR(W694&lt;'Cleaning Tasks'!$G$18,W694&gt;'Cleaning Tasks'!$H$18),"Outlier","Normal")</f>
        <v>Normal</v>
      </c>
      <c r="Z694" s="2" t="s">
        <v>49</v>
      </c>
      <c r="AA694" s="2" t="s">
        <v>88</v>
      </c>
      <c r="AB694" s="2" t="s">
        <v>50</v>
      </c>
      <c r="AC694" s="2" t="s">
        <v>223</v>
      </c>
      <c r="AD694" s="2"/>
      <c r="AE694" s="2" t="str">
        <f t="shared" si="146"/>
        <v>Not Required</v>
      </c>
      <c r="AF694" s="2" t="s">
        <v>2247</v>
      </c>
    </row>
    <row r="695" spans="1:32" x14ac:dyDescent="0.3">
      <c r="A695" s="2" t="s">
        <v>2248</v>
      </c>
      <c r="B695" s="2">
        <f t="shared" si="136"/>
        <v>1</v>
      </c>
      <c r="C695" s="12">
        <f t="shared" si="148"/>
        <v>46238.58194851852</v>
      </c>
      <c r="D695" s="13">
        <v>46238.58194851852</v>
      </c>
      <c r="E695" s="2" t="s">
        <v>1712</v>
      </c>
      <c r="F695" s="2" t="str">
        <f t="shared" si="137"/>
        <v>Email Available</v>
      </c>
      <c r="G695" s="2" t="s">
        <v>1713</v>
      </c>
      <c r="H695" s="2" t="s">
        <v>63</v>
      </c>
      <c r="I695" s="2" t="s">
        <v>47</v>
      </c>
      <c r="J695" s="2" t="s">
        <v>446</v>
      </c>
      <c r="K695" s="2">
        <v>1</v>
      </c>
      <c r="L695" s="2">
        <v>14.99</v>
      </c>
      <c r="M695" s="19">
        <f t="shared" si="138"/>
        <v>14.99</v>
      </c>
      <c r="N695" s="2" t="s">
        <v>24</v>
      </c>
      <c r="O695" s="2" t="str">
        <f t="shared" si="139"/>
        <v>SAVE20</v>
      </c>
      <c r="P695" s="2">
        <v>3</v>
      </c>
      <c r="Q695" s="19">
        <f t="shared" si="140"/>
        <v>3</v>
      </c>
      <c r="R695" s="2" t="str">
        <f t="shared" si="141"/>
        <v>Number</v>
      </c>
      <c r="S695" s="2">
        <v>4.99</v>
      </c>
      <c r="T695" s="19">
        <f t="shared" si="142"/>
        <v>4.99</v>
      </c>
      <c r="U695" s="2">
        <v>16.98</v>
      </c>
      <c r="V695" s="19">
        <f t="shared" si="143"/>
        <v>16.98</v>
      </c>
      <c r="W695" s="19">
        <f t="shared" si="144"/>
        <v>16.98</v>
      </c>
      <c r="X695" s="19" t="str">
        <f t="shared" si="145"/>
        <v>True</v>
      </c>
      <c r="Y695" s="19" t="str">
        <f>IF(OR(W695&lt;'Cleaning Tasks'!$G$18,W695&gt;'Cleaning Tasks'!$H$18),"Outlier","Normal")</f>
        <v>Normal</v>
      </c>
      <c r="Z695" s="2" t="s">
        <v>49</v>
      </c>
      <c r="AA695" s="2" t="s">
        <v>111</v>
      </c>
      <c r="AB695" s="2" t="s">
        <v>41</v>
      </c>
      <c r="AC695" s="2" t="s">
        <v>331</v>
      </c>
      <c r="AD695" s="2"/>
      <c r="AE695" s="2" t="str">
        <f t="shared" si="146"/>
        <v>Not Required</v>
      </c>
      <c r="AF695" s="2" t="s">
        <v>2249</v>
      </c>
    </row>
    <row r="696" spans="1:32" x14ac:dyDescent="0.3">
      <c r="A696" s="2" t="s">
        <v>2250</v>
      </c>
      <c r="B696" s="2">
        <f t="shared" si="136"/>
        <v>1</v>
      </c>
      <c r="C696" s="12">
        <f t="shared" si="148"/>
        <v>46238</v>
      </c>
      <c r="D696" s="13" t="s">
        <v>1193</v>
      </c>
      <c r="E696" s="2" t="s">
        <v>1404</v>
      </c>
      <c r="F696" s="2" t="str">
        <f t="shared" si="137"/>
        <v>Email Available</v>
      </c>
      <c r="G696" s="2" t="s">
        <v>1405</v>
      </c>
      <c r="H696" s="2" t="s">
        <v>46</v>
      </c>
      <c r="I696" s="2" t="s">
        <v>47</v>
      </c>
      <c r="J696" s="2" t="s">
        <v>48</v>
      </c>
      <c r="K696" s="2">
        <v>2</v>
      </c>
      <c r="L696" s="2">
        <v>39.99</v>
      </c>
      <c r="M696" s="19">
        <f t="shared" si="138"/>
        <v>39.99</v>
      </c>
      <c r="N696" s="2"/>
      <c r="O696" s="2" t="str">
        <f t="shared" si="139"/>
        <v/>
      </c>
      <c r="P696" s="2">
        <v>0</v>
      </c>
      <c r="Q696" s="19">
        <f t="shared" si="140"/>
        <v>0</v>
      </c>
      <c r="R696" s="2" t="str">
        <f t="shared" si="141"/>
        <v>Number</v>
      </c>
      <c r="S696" s="2">
        <v>0</v>
      </c>
      <c r="T696" s="19">
        <f t="shared" si="142"/>
        <v>0</v>
      </c>
      <c r="U696" s="2" t="s">
        <v>2251</v>
      </c>
      <c r="V696" s="19">
        <f t="shared" si="143"/>
        <v>79.98</v>
      </c>
      <c r="W696" s="19">
        <f t="shared" si="144"/>
        <v>79.98</v>
      </c>
      <c r="X696" s="19" t="str">
        <f t="shared" si="145"/>
        <v>True</v>
      </c>
      <c r="Y696" s="19" t="str">
        <f>IF(OR(W696&lt;'Cleaning Tasks'!$G$18,W696&gt;'Cleaning Tasks'!$H$18),"Outlier","Normal")</f>
        <v>Normal</v>
      </c>
      <c r="Z696" s="2" t="s">
        <v>26</v>
      </c>
      <c r="AA696" s="2" t="s">
        <v>40</v>
      </c>
      <c r="AB696" s="2" t="s">
        <v>96</v>
      </c>
      <c r="AC696" s="2" t="s">
        <v>29</v>
      </c>
      <c r="AD696" s="2" t="s">
        <v>89</v>
      </c>
      <c r="AE696" s="2" t="str">
        <f t="shared" si="146"/>
        <v>Valid</v>
      </c>
      <c r="AF696" s="2" t="s">
        <v>2252</v>
      </c>
    </row>
    <row r="697" spans="1:32" x14ac:dyDescent="0.3">
      <c r="A697" s="2" t="s">
        <v>2253</v>
      </c>
      <c r="B697" s="2">
        <f t="shared" si="136"/>
        <v>1</v>
      </c>
      <c r="C697" s="12">
        <f t="shared" si="148"/>
        <v>46238.581961562501</v>
      </c>
      <c r="D697" s="13">
        <v>46238.581961562501</v>
      </c>
      <c r="E697" s="2" t="s">
        <v>1343</v>
      </c>
      <c r="F697" s="2" t="str">
        <f t="shared" si="137"/>
        <v>Email Available</v>
      </c>
      <c r="G697" s="2" t="s">
        <v>1344</v>
      </c>
      <c r="H697" s="2" t="s">
        <v>46</v>
      </c>
      <c r="I697" s="2" t="s">
        <v>47</v>
      </c>
      <c r="J697" s="2" t="s">
        <v>48</v>
      </c>
      <c r="K697" s="2">
        <v>2</v>
      </c>
      <c r="L697" s="2">
        <v>39.99</v>
      </c>
      <c r="M697" s="19">
        <f t="shared" si="138"/>
        <v>39.99</v>
      </c>
      <c r="N697" s="2"/>
      <c r="O697" s="2" t="str">
        <f t="shared" si="139"/>
        <v/>
      </c>
      <c r="P697" s="2">
        <v>0</v>
      </c>
      <c r="Q697" s="19">
        <f t="shared" si="140"/>
        <v>0</v>
      </c>
      <c r="R697" s="2" t="str">
        <f t="shared" si="141"/>
        <v>Number</v>
      </c>
      <c r="S697" s="2">
        <v>0</v>
      </c>
      <c r="T697" s="19">
        <f t="shared" si="142"/>
        <v>0</v>
      </c>
      <c r="U697" s="2">
        <v>79.98</v>
      </c>
      <c r="V697" s="19">
        <f t="shared" si="143"/>
        <v>79.98</v>
      </c>
      <c r="W697" s="19">
        <f t="shared" si="144"/>
        <v>79.98</v>
      </c>
      <c r="X697" s="19" t="str">
        <f t="shared" si="145"/>
        <v>True</v>
      </c>
      <c r="Y697" s="19" t="str">
        <f>IF(OR(W697&lt;'Cleaning Tasks'!$G$18,W697&gt;'Cleaning Tasks'!$H$18),"Outlier","Normal")</f>
        <v>Normal</v>
      </c>
      <c r="Z697" s="2" t="s">
        <v>72</v>
      </c>
      <c r="AA697" s="2" t="s">
        <v>27</v>
      </c>
      <c r="AB697" s="2" t="s">
        <v>50</v>
      </c>
      <c r="AC697" s="2" t="s">
        <v>29</v>
      </c>
      <c r="AD697" s="2" t="s">
        <v>112</v>
      </c>
      <c r="AE697" s="2" t="str">
        <f t="shared" si="146"/>
        <v>Valid</v>
      </c>
      <c r="AF697" s="2" t="s">
        <v>2254</v>
      </c>
    </row>
    <row r="698" spans="1:32" x14ac:dyDescent="0.3">
      <c r="A698" s="2" t="s">
        <v>2255</v>
      </c>
      <c r="B698" s="2">
        <f t="shared" si="136"/>
        <v>1</v>
      </c>
      <c r="C698" s="12">
        <f t="shared" si="148"/>
        <v>46238.586919120367</v>
      </c>
      <c r="D698" s="13">
        <v>46238.586919120367</v>
      </c>
      <c r="E698" s="2" t="s">
        <v>417</v>
      </c>
      <c r="F698" s="2" t="str">
        <f t="shared" si="137"/>
        <v>Email Available</v>
      </c>
      <c r="G698" s="2" t="s">
        <v>418</v>
      </c>
      <c r="H698" s="2" t="s">
        <v>236</v>
      </c>
      <c r="I698" s="2" t="s">
        <v>237</v>
      </c>
      <c r="J698" s="2" t="s">
        <v>238</v>
      </c>
      <c r="K698" s="2">
        <v>2</v>
      </c>
      <c r="L698" s="2">
        <v>27.99</v>
      </c>
      <c r="M698" s="19">
        <f t="shared" si="138"/>
        <v>27.99</v>
      </c>
      <c r="N698" s="2" t="s">
        <v>24</v>
      </c>
      <c r="O698" s="2" t="str">
        <f t="shared" si="139"/>
        <v>SAVE20</v>
      </c>
      <c r="P698" s="2">
        <v>11.2</v>
      </c>
      <c r="Q698" s="19">
        <f t="shared" si="140"/>
        <v>11.2</v>
      </c>
      <c r="R698" s="2" t="str">
        <f t="shared" si="141"/>
        <v>Number</v>
      </c>
      <c r="S698" s="2">
        <v>7.99</v>
      </c>
      <c r="T698" s="19">
        <f t="shared" si="142"/>
        <v>7.99</v>
      </c>
      <c r="U698" s="2">
        <v>52.77</v>
      </c>
      <c r="V698" s="19">
        <f t="shared" si="143"/>
        <v>52.77</v>
      </c>
      <c r="W698" s="19">
        <f t="shared" si="144"/>
        <v>52.77</v>
      </c>
      <c r="X698" s="19" t="str">
        <f t="shared" si="145"/>
        <v>True</v>
      </c>
      <c r="Y698" s="19" t="str">
        <f>IF(OR(W698&lt;'Cleaning Tasks'!$G$18,W698&gt;'Cleaning Tasks'!$H$18),"Outlier","Normal")</f>
        <v>Normal</v>
      </c>
      <c r="Z698" s="2" t="s">
        <v>49</v>
      </c>
      <c r="AA698" s="2" t="s">
        <v>27</v>
      </c>
      <c r="AB698" s="2" t="s">
        <v>41</v>
      </c>
      <c r="AC698" s="2" t="s">
        <v>29</v>
      </c>
      <c r="AD698" s="22" t="s">
        <v>89</v>
      </c>
      <c r="AE698" s="2" t="str">
        <f t="shared" si="146"/>
        <v>Valid</v>
      </c>
      <c r="AF698" s="2" t="s">
        <v>2256</v>
      </c>
    </row>
    <row r="699" spans="1:32" x14ac:dyDescent="0.3">
      <c r="A699" s="2" t="s">
        <v>2257</v>
      </c>
      <c r="B699" s="2">
        <f t="shared" si="136"/>
        <v>1</v>
      </c>
      <c r="C699" s="12">
        <f t="shared" si="148"/>
        <v>46238</v>
      </c>
      <c r="D699" s="13" t="s">
        <v>143</v>
      </c>
      <c r="E699" s="2" t="s">
        <v>673</v>
      </c>
      <c r="F699" s="2" t="str">
        <f t="shared" si="137"/>
        <v>Email Available</v>
      </c>
      <c r="G699" s="2" t="s">
        <v>674</v>
      </c>
      <c r="H699" s="2" t="s">
        <v>361</v>
      </c>
      <c r="I699" s="2" t="s">
        <v>86</v>
      </c>
      <c r="J699" s="2" t="s">
        <v>362</v>
      </c>
      <c r="K699" s="2">
        <v>1</v>
      </c>
      <c r="L699" s="2">
        <v>54.99</v>
      </c>
      <c r="M699" s="19">
        <f t="shared" si="138"/>
        <v>54.99</v>
      </c>
      <c r="N699" s="2"/>
      <c r="O699" s="2" t="str">
        <f t="shared" si="139"/>
        <v/>
      </c>
      <c r="P699" s="2">
        <v>0</v>
      </c>
      <c r="Q699" s="19">
        <f t="shared" si="140"/>
        <v>0</v>
      </c>
      <c r="R699" s="2" t="str">
        <f t="shared" si="141"/>
        <v>Number</v>
      </c>
      <c r="S699" s="2">
        <v>7.99</v>
      </c>
      <c r="T699" s="19">
        <f t="shared" si="142"/>
        <v>7.99</v>
      </c>
      <c r="U699" s="2">
        <v>62.98</v>
      </c>
      <c r="V699" s="19">
        <f t="shared" si="143"/>
        <v>62.98</v>
      </c>
      <c r="W699" s="19">
        <f t="shared" si="144"/>
        <v>62.980000000000004</v>
      </c>
      <c r="X699" s="19" t="str">
        <f t="shared" si="145"/>
        <v>True</v>
      </c>
      <c r="Y699" s="19" t="str">
        <f>IF(OR(W699&lt;'Cleaning Tasks'!$G$18,W699&gt;'Cleaning Tasks'!$H$18),"Outlier","Normal")</f>
        <v>Normal</v>
      </c>
      <c r="Z699" s="2" t="s">
        <v>66</v>
      </c>
      <c r="AA699" s="2" t="s">
        <v>27</v>
      </c>
      <c r="AB699" s="2" t="s">
        <v>50</v>
      </c>
      <c r="AC699" s="2" t="s">
        <v>73</v>
      </c>
      <c r="AD699" s="2"/>
      <c r="AE699" s="2" t="str">
        <f t="shared" si="146"/>
        <v>Not Required</v>
      </c>
      <c r="AF699" s="2" t="s">
        <v>2258</v>
      </c>
    </row>
    <row r="700" spans="1:32" x14ac:dyDescent="0.3">
      <c r="A700" s="2" t="s">
        <v>2259</v>
      </c>
      <c r="B700" s="2">
        <f t="shared" si="136"/>
        <v>1</v>
      </c>
      <c r="C700" s="12">
        <f t="shared" si="148"/>
        <v>46238.587588043978</v>
      </c>
      <c r="D700" s="13">
        <v>46238.587588043978</v>
      </c>
      <c r="E700" s="2" t="s">
        <v>1451</v>
      </c>
      <c r="F700" s="2" t="str">
        <f t="shared" si="137"/>
        <v>Email Available</v>
      </c>
      <c r="G700" s="2" t="s">
        <v>1452</v>
      </c>
      <c r="H700" s="2" t="s">
        <v>152</v>
      </c>
      <c r="I700" s="2" t="s">
        <v>36</v>
      </c>
      <c r="J700" s="2" t="s">
        <v>153</v>
      </c>
      <c r="K700" s="2">
        <v>1</v>
      </c>
      <c r="L700" s="2">
        <v>29.99</v>
      </c>
      <c r="M700" s="19">
        <f t="shared" si="138"/>
        <v>29.99</v>
      </c>
      <c r="N700" s="2" t="s">
        <v>203</v>
      </c>
      <c r="O700" s="2" t="str">
        <f t="shared" si="139"/>
        <v>VIP15</v>
      </c>
      <c r="P700" s="2">
        <v>4.5</v>
      </c>
      <c r="Q700" s="19">
        <f t="shared" si="140"/>
        <v>4.5</v>
      </c>
      <c r="R700" s="2" t="str">
        <f t="shared" si="141"/>
        <v>Number</v>
      </c>
      <c r="S700" s="2">
        <v>4.99</v>
      </c>
      <c r="T700" s="19">
        <f t="shared" si="142"/>
        <v>4.99</v>
      </c>
      <c r="U700" s="2">
        <v>30.48</v>
      </c>
      <c r="V700" s="19">
        <f t="shared" si="143"/>
        <v>30.48</v>
      </c>
      <c r="W700" s="19">
        <f t="shared" si="144"/>
        <v>30.479999999999997</v>
      </c>
      <c r="X700" s="19" t="str">
        <f t="shared" si="145"/>
        <v>True</v>
      </c>
      <c r="Y700" s="19" t="str">
        <f>IF(OR(W700&lt;'Cleaning Tasks'!$G$18,W700&gt;'Cleaning Tasks'!$H$18),"Outlier","Normal")</f>
        <v>Normal</v>
      </c>
      <c r="Z700" s="2" t="s">
        <v>66</v>
      </c>
      <c r="AA700" s="2" t="s">
        <v>40</v>
      </c>
      <c r="AB700" s="2" t="s">
        <v>50</v>
      </c>
      <c r="AC700" s="2" t="s">
        <v>29</v>
      </c>
      <c r="AD700" s="22" t="s">
        <v>243</v>
      </c>
      <c r="AE700" s="2" t="str">
        <f t="shared" si="146"/>
        <v>Valid</v>
      </c>
      <c r="AF700" s="2" t="s">
        <v>2260</v>
      </c>
    </row>
    <row r="701" spans="1:32" x14ac:dyDescent="0.3">
      <c r="A701" s="2" t="s">
        <v>2261</v>
      </c>
      <c r="B701" s="2">
        <f t="shared" si="136"/>
        <v>1</v>
      </c>
      <c r="C701" s="12">
        <f t="shared" si="148"/>
        <v>46238.580057418978</v>
      </c>
      <c r="D701" s="13">
        <v>46238.580057418978</v>
      </c>
      <c r="E701" s="2" t="s">
        <v>1006</v>
      </c>
      <c r="F701" s="2" t="str">
        <f t="shared" si="137"/>
        <v>Email Available</v>
      </c>
      <c r="G701" s="2" t="s">
        <v>1007</v>
      </c>
      <c r="H701" s="2" t="s">
        <v>109</v>
      </c>
      <c r="I701" s="2" t="s">
        <v>79</v>
      </c>
      <c r="J701" s="2" t="s">
        <v>110</v>
      </c>
      <c r="K701" s="2">
        <v>1</v>
      </c>
      <c r="L701" s="2">
        <v>22.99</v>
      </c>
      <c r="M701" s="19">
        <f t="shared" si="138"/>
        <v>22.99</v>
      </c>
      <c r="N701" s="2"/>
      <c r="O701" s="2" t="str">
        <f t="shared" si="139"/>
        <v/>
      </c>
      <c r="P701" s="2">
        <v>0</v>
      </c>
      <c r="Q701" s="19">
        <f t="shared" si="140"/>
        <v>0</v>
      </c>
      <c r="R701" s="2" t="str">
        <f t="shared" si="141"/>
        <v>Number</v>
      </c>
      <c r="S701" s="2">
        <v>4.99</v>
      </c>
      <c r="T701" s="19">
        <f t="shared" si="142"/>
        <v>4.99</v>
      </c>
      <c r="U701" s="2">
        <v>27.98</v>
      </c>
      <c r="V701" s="19">
        <f t="shared" si="143"/>
        <v>27.98</v>
      </c>
      <c r="W701" s="19">
        <f t="shared" si="144"/>
        <v>27.979999999999997</v>
      </c>
      <c r="X701" s="19" t="str">
        <f t="shared" si="145"/>
        <v>True</v>
      </c>
      <c r="Y701" s="19" t="str">
        <f>IF(OR(W701&lt;'Cleaning Tasks'!$G$18,W701&gt;'Cleaning Tasks'!$H$18),"Outlier","Normal")</f>
        <v>Normal</v>
      </c>
      <c r="Z701" s="2" t="s">
        <v>49</v>
      </c>
      <c r="AA701" s="2" t="s">
        <v>27</v>
      </c>
      <c r="AB701" s="2" t="s">
        <v>96</v>
      </c>
      <c r="AC701" s="2" t="s">
        <v>29</v>
      </c>
      <c r="AD701" s="2" t="s">
        <v>447</v>
      </c>
      <c r="AE701" s="2" t="str">
        <f t="shared" si="146"/>
        <v>Valid</v>
      </c>
      <c r="AF701" s="2" t="s">
        <v>2262</v>
      </c>
    </row>
    <row r="702" spans="1:32" x14ac:dyDescent="0.3">
      <c r="A702" s="2" t="s">
        <v>2263</v>
      </c>
      <c r="B702" s="2">
        <f t="shared" si="136"/>
        <v>1</v>
      </c>
      <c r="C702" s="12">
        <f t="shared" si="148"/>
        <v>46238.579489629628</v>
      </c>
      <c r="D702" s="13">
        <v>46238.579489629628</v>
      </c>
      <c r="E702" s="2" t="s">
        <v>606</v>
      </c>
      <c r="F702" s="2" t="str">
        <f t="shared" si="137"/>
        <v>Email Available</v>
      </c>
      <c r="G702" s="2" t="s">
        <v>607</v>
      </c>
      <c r="H702" s="2" t="s">
        <v>166</v>
      </c>
      <c r="I702" s="2" t="s">
        <v>103</v>
      </c>
      <c r="J702" s="2" t="s">
        <v>167</v>
      </c>
      <c r="K702" s="2">
        <v>2</v>
      </c>
      <c r="L702" s="2" t="s">
        <v>168</v>
      </c>
      <c r="M702" s="19">
        <f t="shared" si="138"/>
        <v>32.99</v>
      </c>
      <c r="N702" s="2"/>
      <c r="O702" s="2" t="str">
        <f t="shared" si="139"/>
        <v/>
      </c>
      <c r="P702" s="2">
        <v>0</v>
      </c>
      <c r="Q702" s="19">
        <f t="shared" si="140"/>
        <v>0</v>
      </c>
      <c r="R702" s="2" t="str">
        <f t="shared" si="141"/>
        <v>Number</v>
      </c>
      <c r="S702" s="2">
        <v>4.99</v>
      </c>
      <c r="T702" s="19">
        <f t="shared" si="142"/>
        <v>4.99</v>
      </c>
      <c r="U702" s="2">
        <v>70.97</v>
      </c>
      <c r="V702" s="19">
        <f t="shared" si="143"/>
        <v>70.97</v>
      </c>
      <c r="W702" s="19">
        <f t="shared" si="144"/>
        <v>70.97</v>
      </c>
      <c r="X702" s="19" t="str">
        <f t="shared" si="145"/>
        <v>True</v>
      </c>
      <c r="Y702" s="19" t="str">
        <f>IF(OR(W702&lt;'Cleaning Tasks'!$G$18,W702&gt;'Cleaning Tasks'!$H$18),"Outlier","Normal")</f>
        <v>Normal</v>
      </c>
      <c r="Z702" s="2" t="s">
        <v>26</v>
      </c>
      <c r="AA702" s="2" t="s">
        <v>40</v>
      </c>
      <c r="AB702" s="2" t="s">
        <v>50</v>
      </c>
      <c r="AC702" s="2" t="s">
        <v>42</v>
      </c>
      <c r="AD702" s="2"/>
      <c r="AE702" s="2" t="str">
        <f t="shared" si="146"/>
        <v>Not Required</v>
      </c>
      <c r="AF702" s="2" t="s">
        <v>2264</v>
      </c>
    </row>
    <row r="703" spans="1:32" x14ac:dyDescent="0.3">
      <c r="A703" s="2" t="s">
        <v>2265</v>
      </c>
      <c r="B703" s="2">
        <f t="shared" si="136"/>
        <v>1</v>
      </c>
      <c r="C703" s="12">
        <f t="shared" si="148"/>
        <v>46238.579172835649</v>
      </c>
      <c r="D703" s="13">
        <v>46238.579172835649</v>
      </c>
      <c r="E703" s="2"/>
      <c r="F703" s="2" t="str">
        <f t="shared" si="137"/>
        <v>Email Available</v>
      </c>
      <c r="G703" s="2" t="s">
        <v>2266</v>
      </c>
      <c r="H703" s="2" t="s">
        <v>130</v>
      </c>
      <c r="I703" s="2" t="s">
        <v>103</v>
      </c>
      <c r="J703" s="2" t="s">
        <v>131</v>
      </c>
      <c r="K703" s="2">
        <v>1</v>
      </c>
      <c r="L703" s="2">
        <v>16.989999999999998</v>
      </c>
      <c r="M703" s="19">
        <f t="shared" si="138"/>
        <v>16.989999999999998</v>
      </c>
      <c r="N703" s="2"/>
      <c r="O703" s="2" t="str">
        <f t="shared" si="139"/>
        <v/>
      </c>
      <c r="P703" s="2">
        <v>0</v>
      </c>
      <c r="Q703" s="19">
        <f t="shared" si="140"/>
        <v>0</v>
      </c>
      <c r="R703" s="2" t="str">
        <f t="shared" si="141"/>
        <v>Number</v>
      </c>
      <c r="S703" s="2">
        <v>7.99</v>
      </c>
      <c r="T703" s="19">
        <f t="shared" si="142"/>
        <v>7.99</v>
      </c>
      <c r="U703" s="2">
        <v>24.98</v>
      </c>
      <c r="V703" s="19">
        <f t="shared" si="143"/>
        <v>24.98</v>
      </c>
      <c r="W703" s="19">
        <f t="shared" si="144"/>
        <v>24.979999999999997</v>
      </c>
      <c r="X703" s="19" t="str">
        <f t="shared" si="145"/>
        <v>True</v>
      </c>
      <c r="Y703" s="19" t="str">
        <f>IF(OR(W703&lt;'Cleaning Tasks'!$G$18,W703&gt;'Cleaning Tasks'!$H$18),"Outlier","Normal")</f>
        <v>Normal</v>
      </c>
      <c r="Z703" s="2" t="s">
        <v>66</v>
      </c>
      <c r="AA703" s="2" t="s">
        <v>27</v>
      </c>
      <c r="AB703" s="2" t="s">
        <v>28</v>
      </c>
      <c r="AC703" s="2" t="s">
        <v>223</v>
      </c>
      <c r="AD703" s="2"/>
      <c r="AE703" s="2" t="str">
        <f t="shared" si="146"/>
        <v>Not Required</v>
      </c>
      <c r="AF703" s="2" t="s">
        <v>1432</v>
      </c>
    </row>
    <row r="704" spans="1:32" x14ac:dyDescent="0.3">
      <c r="A704" s="2" t="s">
        <v>2267</v>
      </c>
      <c r="B704" s="2">
        <f t="shared" si="136"/>
        <v>1</v>
      </c>
      <c r="C704" s="12">
        <f t="shared" si="148"/>
        <v>46238.581471296297</v>
      </c>
      <c r="D704" s="13">
        <v>46238.581471296297</v>
      </c>
      <c r="E704" s="2" t="s">
        <v>2268</v>
      </c>
      <c r="F704" s="2" t="str">
        <f t="shared" si="137"/>
        <v>Email Available</v>
      </c>
      <c r="G704" s="2" t="s">
        <v>2269</v>
      </c>
      <c r="H704" s="2" t="s">
        <v>102</v>
      </c>
      <c r="I704" s="2" t="s">
        <v>103</v>
      </c>
      <c r="J704" s="2" t="s">
        <v>104</v>
      </c>
      <c r="K704" s="2">
        <v>1</v>
      </c>
      <c r="L704" s="2">
        <v>19.989999999999998</v>
      </c>
      <c r="M704" s="19">
        <f t="shared" si="138"/>
        <v>19.989999999999998</v>
      </c>
      <c r="N704" s="2" t="s">
        <v>38</v>
      </c>
      <c r="O704" s="2" t="str">
        <f t="shared" si="139"/>
        <v>FREESHIP</v>
      </c>
      <c r="P704" s="2">
        <v>0</v>
      </c>
      <c r="Q704" s="19">
        <f t="shared" si="140"/>
        <v>0</v>
      </c>
      <c r="R704" s="2" t="str">
        <f t="shared" si="141"/>
        <v>Number</v>
      </c>
      <c r="S704" s="2">
        <v>0</v>
      </c>
      <c r="T704" s="19">
        <f t="shared" si="142"/>
        <v>0</v>
      </c>
      <c r="U704" s="2">
        <v>19.989999999999998</v>
      </c>
      <c r="V704" s="19">
        <f t="shared" si="143"/>
        <v>19.989999999999998</v>
      </c>
      <c r="W704" s="19">
        <f t="shared" si="144"/>
        <v>19.989999999999998</v>
      </c>
      <c r="X704" s="19" t="str">
        <f t="shared" si="145"/>
        <v>True</v>
      </c>
      <c r="Y704" s="19" t="str">
        <f>IF(OR(W704&lt;'Cleaning Tasks'!$G$18,W704&gt;'Cleaning Tasks'!$H$18),"Outlier","Normal")</f>
        <v>Normal</v>
      </c>
      <c r="Z704" s="2" t="s">
        <v>39</v>
      </c>
      <c r="AA704" s="2" t="s">
        <v>88</v>
      </c>
      <c r="AB704" s="2" t="s">
        <v>28</v>
      </c>
      <c r="AC704" s="2" t="s">
        <v>29</v>
      </c>
      <c r="AD704" s="2" t="s">
        <v>30</v>
      </c>
      <c r="AE704" s="2" t="str">
        <f t="shared" si="146"/>
        <v>Valid</v>
      </c>
      <c r="AF704" s="2" t="s">
        <v>2270</v>
      </c>
    </row>
    <row r="705" spans="1:32" x14ac:dyDescent="0.3">
      <c r="A705" s="2" t="s">
        <v>2271</v>
      </c>
      <c r="B705" s="2">
        <f t="shared" si="136"/>
        <v>1</v>
      </c>
      <c r="C705" s="12">
        <f>DATE(VALUE(RIGHT(D705,4)),MATCH(LEFT(D705,3),{"Jan","Feb","Mar","Apr","May","Jun","Jul","Aug","Sep","Oct","Nov","Dec"},0),VALUE(MID(D705,5,2)))</f>
        <v>46238</v>
      </c>
      <c r="D705" s="13" t="s">
        <v>171</v>
      </c>
      <c r="E705" s="2" t="s">
        <v>2272</v>
      </c>
      <c r="F705" s="2" t="str">
        <f t="shared" si="137"/>
        <v>Email Available</v>
      </c>
      <c r="G705" s="2" t="s">
        <v>2273</v>
      </c>
      <c r="H705" s="2" t="s">
        <v>182</v>
      </c>
      <c r="I705" s="2" t="s">
        <v>36</v>
      </c>
      <c r="J705" s="2" t="s">
        <v>183</v>
      </c>
      <c r="K705" s="2">
        <v>2</v>
      </c>
      <c r="L705" s="2">
        <v>11.99</v>
      </c>
      <c r="M705" s="19">
        <f t="shared" si="138"/>
        <v>11.99</v>
      </c>
      <c r="N705" s="2" t="s">
        <v>24</v>
      </c>
      <c r="O705" s="2" t="str">
        <f t="shared" si="139"/>
        <v>SAVE20</v>
      </c>
      <c r="P705" s="2">
        <v>4.8</v>
      </c>
      <c r="Q705" s="19">
        <f t="shared" si="140"/>
        <v>4.8</v>
      </c>
      <c r="R705" s="2" t="str">
        <f t="shared" si="141"/>
        <v>Number</v>
      </c>
      <c r="S705" s="2">
        <v>5.99</v>
      </c>
      <c r="T705" s="19">
        <f t="shared" si="142"/>
        <v>5.99</v>
      </c>
      <c r="U705" s="2">
        <v>25.17</v>
      </c>
      <c r="V705" s="19">
        <f t="shared" si="143"/>
        <v>25.17</v>
      </c>
      <c r="W705" s="19">
        <f t="shared" si="144"/>
        <v>25.17</v>
      </c>
      <c r="X705" s="19" t="str">
        <f t="shared" si="145"/>
        <v>True</v>
      </c>
      <c r="Y705" s="19" t="str">
        <f>IF(OR(W705&lt;'Cleaning Tasks'!$G$18,W705&gt;'Cleaning Tasks'!$H$18),"Outlier","Normal")</f>
        <v>Normal</v>
      </c>
      <c r="Z705" s="2" t="s">
        <v>39</v>
      </c>
      <c r="AA705" s="2" t="s">
        <v>27</v>
      </c>
      <c r="AB705" s="2" t="s">
        <v>41</v>
      </c>
      <c r="AC705" s="2" t="s">
        <v>29</v>
      </c>
      <c r="AD705" s="2" t="s">
        <v>89</v>
      </c>
      <c r="AE705" s="2" t="str">
        <f t="shared" si="146"/>
        <v>Valid</v>
      </c>
      <c r="AF705" s="2" t="s">
        <v>2274</v>
      </c>
    </row>
    <row r="706" spans="1:32" x14ac:dyDescent="0.3">
      <c r="A706" s="2" t="s">
        <v>2275</v>
      </c>
      <c r="B706" s="2">
        <f t="shared" ref="B706:B769" si="149">COUNTIF($A$2:$A$1993,A706)</f>
        <v>1</v>
      </c>
      <c r="C706" s="12">
        <f t="shared" ref="C706:C730" si="150">IF(ISNUMBER(D706),D706,DATEVALUE(SUBSTITUTE(TRIM(D706),CHAR(160)," ")))</f>
        <v>46238.583064687497</v>
      </c>
      <c r="D706" s="13">
        <v>46238.583064687497</v>
      </c>
      <c r="E706" s="2" t="s">
        <v>199</v>
      </c>
      <c r="F706" s="2" t="str">
        <f t="shared" ref="F706:F769" si="151">IF(TRIM(G706)="","Missing Email","Email Available")</f>
        <v>Missing Email</v>
      </c>
      <c r="G706" s="2"/>
      <c r="H706" s="2" t="s">
        <v>102</v>
      </c>
      <c r="I706" s="2" t="s">
        <v>103</v>
      </c>
      <c r="J706" s="2" t="s">
        <v>104</v>
      </c>
      <c r="K706" s="2">
        <v>1</v>
      </c>
      <c r="L706" s="2">
        <v>19.989999999999998</v>
      </c>
      <c r="M706" s="19">
        <f t="shared" ref="M706:M769" si="152">IF(ISNUMBER(L706),L706,VALUE(SUBSTITUTE(L706,"$","")))</f>
        <v>19.989999999999998</v>
      </c>
      <c r="N706" s="2" t="s">
        <v>203</v>
      </c>
      <c r="O706" s="2" t="str">
        <f t="shared" ref="O706:O769" si="153">IF(TRIM(N706)="","",UPPER(TRIM(SUBSTITUTE(N706,CHAR(160)," "))))</f>
        <v>VIP15</v>
      </c>
      <c r="P706" s="2">
        <v>3</v>
      </c>
      <c r="Q706" s="19">
        <f t="shared" ref="Q706:Q769" si="154">IF(ISNUMBER(P706),P706,VALUE(TRIM(SUBSTITUTE(P706,"$",""))))</f>
        <v>3</v>
      </c>
      <c r="R706" s="2" t="str">
        <f t="shared" ref="R706:R769" si="155">IF(ISNUMBER(Q706),"Number","Text")</f>
        <v>Number</v>
      </c>
      <c r="S706" s="2">
        <v>4.99</v>
      </c>
      <c r="T706" s="19">
        <f t="shared" ref="T706:T769" si="156">IF(ISNUMBER(S706),S706,VALUE(TRIM(SUBSTITUTE(S706,"$",""))))</f>
        <v>4.99</v>
      </c>
      <c r="U706" s="2">
        <v>21.98</v>
      </c>
      <c r="V706" s="19">
        <f t="shared" ref="V706:V769" si="157">IF(ISNUMBER(U706),U706,VALUE(TRIM(SUBSTITUTE(U706,"$",""))))</f>
        <v>21.98</v>
      </c>
      <c r="W706" s="19">
        <f t="shared" ref="W706:W769" si="158">((M706*K706)-Q706)+T706</f>
        <v>21.979999999999997</v>
      </c>
      <c r="X706" s="19" t="str">
        <f t="shared" ref="X706:X769" si="159">IF(V706=W706,"True","False")</f>
        <v>True</v>
      </c>
      <c r="Y706" s="19" t="str">
        <f>IF(OR(W706&lt;'Cleaning Tasks'!$G$18,W706&gt;'Cleaning Tasks'!$H$18),"Outlier","Normal")</f>
        <v>Normal</v>
      </c>
      <c r="Z706" s="2" t="s">
        <v>26</v>
      </c>
      <c r="AA706" s="2" t="s">
        <v>27</v>
      </c>
      <c r="AB706" s="2" t="s">
        <v>50</v>
      </c>
      <c r="AC706" s="2" t="s">
        <v>73</v>
      </c>
      <c r="AD706" s="2"/>
      <c r="AE706" s="2" t="str">
        <f t="shared" ref="AE706:AE769" si="160">IF(AND(AC706="United States",AD706=""),"Missing state",IF(AD706="","Not Required","Valid"))</f>
        <v>Not Required</v>
      </c>
      <c r="AF706" s="2" t="s">
        <v>2276</v>
      </c>
    </row>
    <row r="707" spans="1:32" x14ac:dyDescent="0.3">
      <c r="A707" s="2" t="s">
        <v>2277</v>
      </c>
      <c r="B707" s="2">
        <f t="shared" si="149"/>
        <v>1</v>
      </c>
      <c r="C707" s="12">
        <f t="shared" si="150"/>
        <v>46238</v>
      </c>
      <c r="D707" s="13">
        <v>46238</v>
      </c>
      <c r="E707" s="2" t="s">
        <v>1349</v>
      </c>
      <c r="F707" s="2" t="str">
        <f t="shared" si="151"/>
        <v>Email Available</v>
      </c>
      <c r="G707" s="2" t="s">
        <v>1350</v>
      </c>
      <c r="H707" s="2" t="s">
        <v>221</v>
      </c>
      <c r="I707" s="2" t="s">
        <v>22</v>
      </c>
      <c r="J707" s="2" t="s">
        <v>222</v>
      </c>
      <c r="K707" s="2">
        <v>1</v>
      </c>
      <c r="L707" s="2">
        <v>17.989999999999998</v>
      </c>
      <c r="M707" s="19">
        <f t="shared" si="152"/>
        <v>17.989999999999998</v>
      </c>
      <c r="N707" s="2"/>
      <c r="O707" s="2" t="str">
        <f t="shared" si="153"/>
        <v/>
      </c>
      <c r="P707" s="2">
        <v>0</v>
      </c>
      <c r="Q707" s="19">
        <f t="shared" si="154"/>
        <v>0</v>
      </c>
      <c r="R707" s="2" t="str">
        <f t="shared" si="155"/>
        <v>Number</v>
      </c>
      <c r="S707" s="2">
        <v>5.99</v>
      </c>
      <c r="T707" s="19">
        <f t="shared" si="156"/>
        <v>5.99</v>
      </c>
      <c r="U707" s="2">
        <v>23.98</v>
      </c>
      <c r="V707" s="19">
        <f t="shared" si="157"/>
        <v>23.98</v>
      </c>
      <c r="W707" s="19">
        <f t="shared" si="158"/>
        <v>23.979999999999997</v>
      </c>
      <c r="X707" s="19" t="str">
        <f t="shared" si="159"/>
        <v>True</v>
      </c>
      <c r="Y707" s="19" t="str">
        <f>IF(OR(W707&lt;'Cleaning Tasks'!$G$18,W707&gt;'Cleaning Tasks'!$H$18),"Outlier","Normal")</f>
        <v>Normal</v>
      </c>
      <c r="Z707" s="2" t="s">
        <v>26</v>
      </c>
      <c r="AA707" s="2" t="s">
        <v>88</v>
      </c>
      <c r="AB707" s="2" t="s">
        <v>41</v>
      </c>
      <c r="AC707" s="2" t="s">
        <v>42</v>
      </c>
      <c r="AD707" s="2"/>
      <c r="AE707" s="2" t="str">
        <f t="shared" si="160"/>
        <v>Not Required</v>
      </c>
      <c r="AF707" s="2" t="s">
        <v>2278</v>
      </c>
    </row>
    <row r="708" spans="1:32" x14ac:dyDescent="0.3">
      <c r="A708" s="2" t="s">
        <v>2279</v>
      </c>
      <c r="B708" s="2">
        <f t="shared" si="149"/>
        <v>1</v>
      </c>
      <c r="C708" s="12">
        <f t="shared" si="150"/>
        <v>46238.585243402777</v>
      </c>
      <c r="D708" s="13">
        <v>46238.585243402777</v>
      </c>
      <c r="E708" s="2" t="s">
        <v>2280</v>
      </c>
      <c r="F708" s="2" t="str">
        <f t="shared" si="151"/>
        <v>Email Available</v>
      </c>
      <c r="G708" s="2" t="s">
        <v>2281</v>
      </c>
      <c r="H708" s="2" t="s">
        <v>56</v>
      </c>
      <c r="I708" s="2" t="s">
        <v>22</v>
      </c>
      <c r="J708" s="2" t="s">
        <v>57</v>
      </c>
      <c r="K708" s="2">
        <v>1</v>
      </c>
      <c r="L708" s="2">
        <v>9.99</v>
      </c>
      <c r="M708" s="19">
        <f t="shared" si="152"/>
        <v>9.99</v>
      </c>
      <c r="N708" s="2" t="s">
        <v>118</v>
      </c>
      <c r="O708" s="2" t="str">
        <f t="shared" si="153"/>
        <v>BFCM25</v>
      </c>
      <c r="P708" s="2">
        <v>2.5</v>
      </c>
      <c r="Q708" s="19">
        <f t="shared" si="154"/>
        <v>2.5</v>
      </c>
      <c r="R708" s="2" t="str">
        <f t="shared" si="155"/>
        <v>Number</v>
      </c>
      <c r="S708" s="2">
        <v>5.99</v>
      </c>
      <c r="T708" s="19">
        <f t="shared" si="156"/>
        <v>5.99</v>
      </c>
      <c r="U708" s="2">
        <v>13.48</v>
      </c>
      <c r="V708" s="19">
        <f t="shared" si="157"/>
        <v>13.48</v>
      </c>
      <c r="W708" s="19">
        <f t="shared" si="158"/>
        <v>13.48</v>
      </c>
      <c r="X708" s="19" t="str">
        <f t="shared" si="159"/>
        <v>True</v>
      </c>
      <c r="Y708" s="19" t="str">
        <f>IF(OR(W708&lt;'Cleaning Tasks'!$G$18,W708&gt;'Cleaning Tasks'!$H$18),"Outlier","Normal")</f>
        <v>Normal</v>
      </c>
      <c r="Z708" s="2" t="s">
        <v>49</v>
      </c>
      <c r="AA708" s="2" t="s">
        <v>27</v>
      </c>
      <c r="AB708" s="2" t="s">
        <v>50</v>
      </c>
      <c r="AC708" s="2" t="s">
        <v>29</v>
      </c>
      <c r="AD708" s="2" t="s">
        <v>30</v>
      </c>
      <c r="AE708" s="2" t="str">
        <f t="shared" si="160"/>
        <v>Valid</v>
      </c>
      <c r="AF708" s="2" t="s">
        <v>2282</v>
      </c>
    </row>
    <row r="709" spans="1:32" x14ac:dyDescent="0.3">
      <c r="A709" s="2" t="s">
        <v>2283</v>
      </c>
      <c r="B709" s="2">
        <f t="shared" si="149"/>
        <v>1</v>
      </c>
      <c r="C709" s="12">
        <f t="shared" si="150"/>
        <v>46238.588302766213</v>
      </c>
      <c r="D709" s="13">
        <v>46238.588302766213</v>
      </c>
      <c r="E709" s="2" t="s">
        <v>251</v>
      </c>
      <c r="F709" s="2" t="str">
        <f t="shared" si="151"/>
        <v>Email Available</v>
      </c>
      <c r="G709" s="2" t="s">
        <v>344</v>
      </c>
      <c r="H709" s="2" t="s">
        <v>102</v>
      </c>
      <c r="I709" s="2" t="s">
        <v>103</v>
      </c>
      <c r="J709" s="2" t="s">
        <v>104</v>
      </c>
      <c r="K709" s="2">
        <v>1</v>
      </c>
      <c r="L709" s="2">
        <v>19.989999999999998</v>
      </c>
      <c r="M709" s="19">
        <f t="shared" si="152"/>
        <v>19.989999999999998</v>
      </c>
      <c r="N709" s="2"/>
      <c r="O709" s="2" t="str">
        <f t="shared" si="153"/>
        <v/>
      </c>
      <c r="P709" s="2">
        <v>0</v>
      </c>
      <c r="Q709" s="19">
        <f t="shared" si="154"/>
        <v>0</v>
      </c>
      <c r="R709" s="2" t="str">
        <f t="shared" si="155"/>
        <v>Number</v>
      </c>
      <c r="S709" s="2">
        <v>7.99</v>
      </c>
      <c r="T709" s="19">
        <f t="shared" si="156"/>
        <v>7.99</v>
      </c>
      <c r="U709" s="2">
        <v>27.98</v>
      </c>
      <c r="V709" s="19">
        <f t="shared" si="157"/>
        <v>27.98</v>
      </c>
      <c r="W709" s="19">
        <f t="shared" si="158"/>
        <v>27.979999999999997</v>
      </c>
      <c r="X709" s="19" t="str">
        <f t="shared" si="159"/>
        <v>True</v>
      </c>
      <c r="Y709" s="19" t="str">
        <f>IF(OR(W709&lt;'Cleaning Tasks'!$G$18,W709&gt;'Cleaning Tasks'!$H$18),"Outlier","Normal")</f>
        <v>Normal</v>
      </c>
      <c r="Z709" s="2" t="s">
        <v>39</v>
      </c>
      <c r="AA709" s="2" t="s">
        <v>27</v>
      </c>
      <c r="AB709" s="2" t="s">
        <v>41</v>
      </c>
      <c r="AC709" s="2" t="s">
        <v>29</v>
      </c>
      <c r="AD709" s="22" t="s">
        <v>140</v>
      </c>
      <c r="AE709" s="2" t="str">
        <f t="shared" si="160"/>
        <v>Valid</v>
      </c>
      <c r="AF709" s="2" t="s">
        <v>2064</v>
      </c>
    </row>
    <row r="710" spans="1:32" x14ac:dyDescent="0.3">
      <c r="A710" s="2" t="s">
        <v>2284</v>
      </c>
      <c r="B710" s="2">
        <f t="shared" si="149"/>
        <v>1</v>
      </c>
      <c r="C710" s="12">
        <f t="shared" si="150"/>
        <v>46238.579701145827</v>
      </c>
      <c r="D710" s="13">
        <v>46238.579701145827</v>
      </c>
      <c r="E710" s="2" t="s">
        <v>381</v>
      </c>
      <c r="F710" s="2" t="str">
        <f t="shared" si="151"/>
        <v>Email Available</v>
      </c>
      <c r="G710" s="2" t="s">
        <v>382</v>
      </c>
      <c r="H710" s="2" t="s">
        <v>221</v>
      </c>
      <c r="I710" s="2" t="s">
        <v>22</v>
      </c>
      <c r="J710" s="2" t="s">
        <v>222</v>
      </c>
      <c r="K710" s="2">
        <v>2</v>
      </c>
      <c r="L710" s="2" t="s">
        <v>700</v>
      </c>
      <c r="M710" s="19">
        <f t="shared" si="152"/>
        <v>17.989999999999998</v>
      </c>
      <c r="N710" s="2" t="s">
        <v>24</v>
      </c>
      <c r="O710" s="2" t="str">
        <f t="shared" si="153"/>
        <v>SAVE20</v>
      </c>
      <c r="P710" s="2">
        <v>7.2</v>
      </c>
      <c r="Q710" s="19">
        <f t="shared" si="154"/>
        <v>7.2</v>
      </c>
      <c r="R710" s="2" t="str">
        <f t="shared" si="155"/>
        <v>Number</v>
      </c>
      <c r="S710" s="2">
        <v>4.99</v>
      </c>
      <c r="T710" s="19">
        <f t="shared" si="156"/>
        <v>4.99</v>
      </c>
      <c r="U710" s="2">
        <v>33.770000000000003</v>
      </c>
      <c r="V710" s="19">
        <f t="shared" si="157"/>
        <v>33.770000000000003</v>
      </c>
      <c r="W710" s="19">
        <f t="shared" si="158"/>
        <v>33.769999999999996</v>
      </c>
      <c r="X710" s="19" t="str">
        <f t="shared" si="159"/>
        <v>True</v>
      </c>
      <c r="Y710" s="19" t="str">
        <f>IF(OR(W710&lt;'Cleaning Tasks'!$G$18,W710&gt;'Cleaning Tasks'!$H$18),"Outlier","Normal")</f>
        <v>Normal</v>
      </c>
      <c r="Z710" s="2" t="s">
        <v>72</v>
      </c>
      <c r="AA710" s="2" t="s">
        <v>27</v>
      </c>
      <c r="AB710" s="2" t="s">
        <v>41</v>
      </c>
      <c r="AC710" s="2" t="s">
        <v>29</v>
      </c>
      <c r="AD710" s="2" t="s">
        <v>89</v>
      </c>
      <c r="AE710" s="2" t="str">
        <f t="shared" si="160"/>
        <v>Valid</v>
      </c>
      <c r="AF710" s="2" t="s">
        <v>2285</v>
      </c>
    </row>
    <row r="711" spans="1:32" x14ac:dyDescent="0.3">
      <c r="A711" s="2" t="s">
        <v>2286</v>
      </c>
      <c r="B711" s="2">
        <f t="shared" si="149"/>
        <v>1</v>
      </c>
      <c r="C711" s="12">
        <f t="shared" si="150"/>
        <v>46238.584951006953</v>
      </c>
      <c r="D711" s="13">
        <v>46238.584951006953</v>
      </c>
      <c r="E711" s="2" t="s">
        <v>768</v>
      </c>
      <c r="F711" s="2" t="str">
        <f t="shared" si="151"/>
        <v>Email Available</v>
      </c>
      <c r="G711" s="2" t="s">
        <v>769</v>
      </c>
      <c r="H711" s="2" t="s">
        <v>63</v>
      </c>
      <c r="I711" s="2" t="s">
        <v>47</v>
      </c>
      <c r="J711" s="2" t="s">
        <v>446</v>
      </c>
      <c r="K711" s="2">
        <v>1</v>
      </c>
      <c r="L711" s="2" t="s">
        <v>1465</v>
      </c>
      <c r="M711" s="19">
        <f t="shared" si="152"/>
        <v>14.99</v>
      </c>
      <c r="N711" s="2" t="s">
        <v>203</v>
      </c>
      <c r="O711" s="2" t="str">
        <f t="shared" si="153"/>
        <v>VIP15</v>
      </c>
      <c r="P711" s="2" t="s">
        <v>2287</v>
      </c>
      <c r="Q711" s="19">
        <f t="shared" si="154"/>
        <v>2.25</v>
      </c>
      <c r="R711" s="2" t="str">
        <f t="shared" si="155"/>
        <v>Number</v>
      </c>
      <c r="S711" s="2">
        <v>5.99</v>
      </c>
      <c r="T711" s="19">
        <f t="shared" si="156"/>
        <v>5.99</v>
      </c>
      <c r="U711" s="2">
        <v>18.73</v>
      </c>
      <c r="V711" s="19">
        <f t="shared" si="157"/>
        <v>18.73</v>
      </c>
      <c r="W711" s="19">
        <f t="shared" si="158"/>
        <v>18.73</v>
      </c>
      <c r="X711" s="19" t="str">
        <f t="shared" si="159"/>
        <v>True</v>
      </c>
      <c r="Y711" s="19" t="str">
        <f>IF(OR(W711&lt;'Cleaning Tasks'!$G$18,W711&gt;'Cleaning Tasks'!$H$18),"Outlier","Normal")</f>
        <v>Normal</v>
      </c>
      <c r="Z711" s="2" t="s">
        <v>39</v>
      </c>
      <c r="AA711" s="2" t="s">
        <v>88</v>
      </c>
      <c r="AB711" s="2" t="s">
        <v>96</v>
      </c>
      <c r="AC711" s="2" t="s">
        <v>105</v>
      </c>
      <c r="AD711" s="2"/>
      <c r="AE711" s="2" t="str">
        <f t="shared" si="160"/>
        <v>Not Required</v>
      </c>
      <c r="AF711" s="2" t="s">
        <v>2288</v>
      </c>
    </row>
    <row r="712" spans="1:32" x14ac:dyDescent="0.3">
      <c r="A712" s="2" t="s">
        <v>2289</v>
      </c>
      <c r="B712" s="2">
        <f t="shared" si="149"/>
        <v>1</v>
      </c>
      <c r="C712" s="12">
        <f t="shared" si="150"/>
        <v>46238.584798668977</v>
      </c>
      <c r="D712" s="13">
        <v>46238.584798668977</v>
      </c>
      <c r="E712" s="2" t="s">
        <v>449</v>
      </c>
      <c r="F712" s="2" t="str">
        <f t="shared" si="151"/>
        <v>Email Available</v>
      </c>
      <c r="G712" s="2" t="s">
        <v>450</v>
      </c>
      <c r="H712" s="2" t="s">
        <v>221</v>
      </c>
      <c r="I712" s="2" t="s">
        <v>22</v>
      </c>
      <c r="J712" s="2" t="s">
        <v>222</v>
      </c>
      <c r="K712" s="2">
        <v>1</v>
      </c>
      <c r="L712" s="2">
        <v>17.989999999999998</v>
      </c>
      <c r="M712" s="19">
        <f t="shared" si="152"/>
        <v>17.989999999999998</v>
      </c>
      <c r="N712" s="2"/>
      <c r="O712" s="2" t="str">
        <f t="shared" si="153"/>
        <v/>
      </c>
      <c r="P712" s="2">
        <v>0</v>
      </c>
      <c r="Q712" s="19">
        <f t="shared" si="154"/>
        <v>0</v>
      </c>
      <c r="R712" s="2" t="str">
        <f t="shared" si="155"/>
        <v>Number</v>
      </c>
      <c r="S712" s="2">
        <v>4.99</v>
      </c>
      <c r="T712" s="19">
        <f t="shared" si="156"/>
        <v>4.99</v>
      </c>
      <c r="U712" s="2">
        <v>22.98</v>
      </c>
      <c r="V712" s="19">
        <f t="shared" si="157"/>
        <v>22.98</v>
      </c>
      <c r="W712" s="19">
        <f t="shared" si="158"/>
        <v>22.979999999999997</v>
      </c>
      <c r="X712" s="19" t="str">
        <f t="shared" si="159"/>
        <v>True</v>
      </c>
      <c r="Y712" s="19" t="str">
        <f>IF(OR(W712&lt;'Cleaning Tasks'!$G$18,W712&gt;'Cleaning Tasks'!$H$18),"Outlier","Normal")</f>
        <v>Normal</v>
      </c>
      <c r="Z712" s="2" t="s">
        <v>26</v>
      </c>
      <c r="AA712" s="2" t="s">
        <v>27</v>
      </c>
      <c r="AB712" s="2" t="s">
        <v>96</v>
      </c>
      <c r="AC712" s="2" t="s">
        <v>29</v>
      </c>
      <c r="AD712" s="2" t="s">
        <v>30</v>
      </c>
      <c r="AE712" s="2" t="str">
        <f t="shared" si="160"/>
        <v>Valid</v>
      </c>
      <c r="AF712" s="2" t="s">
        <v>2290</v>
      </c>
    </row>
    <row r="713" spans="1:32" x14ac:dyDescent="0.3">
      <c r="A713" s="2" t="s">
        <v>2291</v>
      </c>
      <c r="B713" s="2">
        <f t="shared" si="149"/>
        <v>1</v>
      </c>
      <c r="C713" s="12">
        <f t="shared" si="150"/>
        <v>46238.583191550933</v>
      </c>
      <c r="D713" s="13">
        <v>46238.583191550933</v>
      </c>
      <c r="E713" s="2" t="s">
        <v>2292</v>
      </c>
      <c r="F713" s="2" t="str">
        <f t="shared" si="151"/>
        <v>Email Available</v>
      </c>
      <c r="G713" s="2" t="s">
        <v>2293</v>
      </c>
      <c r="H713" s="2" t="s">
        <v>124</v>
      </c>
      <c r="I713" s="2" t="s">
        <v>79</v>
      </c>
      <c r="J713" s="2" t="s">
        <v>125</v>
      </c>
      <c r="K713" s="2">
        <v>1</v>
      </c>
      <c r="L713" s="2">
        <v>13.99</v>
      </c>
      <c r="M713" s="19">
        <f t="shared" si="152"/>
        <v>13.99</v>
      </c>
      <c r="N713" s="2" t="s">
        <v>24</v>
      </c>
      <c r="O713" s="2" t="str">
        <f t="shared" si="153"/>
        <v>SAVE20</v>
      </c>
      <c r="P713" s="2">
        <v>2.8</v>
      </c>
      <c r="Q713" s="19">
        <f t="shared" si="154"/>
        <v>2.8</v>
      </c>
      <c r="R713" s="2" t="str">
        <f t="shared" si="155"/>
        <v>Number</v>
      </c>
      <c r="S713" s="2">
        <v>5.99</v>
      </c>
      <c r="T713" s="19">
        <f t="shared" si="156"/>
        <v>5.99</v>
      </c>
      <c r="U713" s="2">
        <v>17.18</v>
      </c>
      <c r="V713" s="19">
        <f t="shared" si="157"/>
        <v>17.18</v>
      </c>
      <c r="W713" s="19">
        <f t="shared" si="158"/>
        <v>17.18</v>
      </c>
      <c r="X713" s="19" t="str">
        <f t="shared" si="159"/>
        <v>True</v>
      </c>
      <c r="Y713" s="19" t="str">
        <f>IF(OR(W713&lt;'Cleaning Tasks'!$G$18,W713&gt;'Cleaning Tasks'!$H$18),"Outlier","Normal")</f>
        <v>Normal</v>
      </c>
      <c r="Z713" s="2" t="s">
        <v>66</v>
      </c>
      <c r="AA713" s="2" t="s">
        <v>40</v>
      </c>
      <c r="AB713" s="2" t="s">
        <v>96</v>
      </c>
      <c r="AC713" s="2" t="s">
        <v>105</v>
      </c>
      <c r="AD713" s="2"/>
      <c r="AE713" s="2" t="str">
        <f t="shared" si="160"/>
        <v>Not Required</v>
      </c>
      <c r="AF713" s="2" t="s">
        <v>2294</v>
      </c>
    </row>
    <row r="714" spans="1:32" x14ac:dyDescent="0.3">
      <c r="A714" s="2" t="s">
        <v>2295</v>
      </c>
      <c r="B714" s="2">
        <f t="shared" si="149"/>
        <v>1</v>
      </c>
      <c r="C714" s="12">
        <f t="shared" si="150"/>
        <v>46238.585636666663</v>
      </c>
      <c r="D714" s="13">
        <v>46238.585636666663</v>
      </c>
      <c r="E714" s="2" t="s">
        <v>2296</v>
      </c>
      <c r="F714" s="2" t="str">
        <f t="shared" si="151"/>
        <v>Email Available</v>
      </c>
      <c r="G714" s="2" t="s">
        <v>2297</v>
      </c>
      <c r="H714" s="2" t="s">
        <v>35</v>
      </c>
      <c r="I714" s="2" t="s">
        <v>36</v>
      </c>
      <c r="J714" s="2" t="s">
        <v>37</v>
      </c>
      <c r="K714" s="2">
        <v>1</v>
      </c>
      <c r="L714" s="2">
        <v>21.99</v>
      </c>
      <c r="M714" s="19">
        <f t="shared" si="152"/>
        <v>21.99</v>
      </c>
      <c r="N714" s="2"/>
      <c r="O714" s="2" t="str">
        <f t="shared" si="153"/>
        <v/>
      </c>
      <c r="P714" s="2">
        <v>0</v>
      </c>
      <c r="Q714" s="19">
        <f t="shared" si="154"/>
        <v>0</v>
      </c>
      <c r="R714" s="2" t="str">
        <f t="shared" si="155"/>
        <v>Number</v>
      </c>
      <c r="S714" s="2">
        <v>7.99</v>
      </c>
      <c r="T714" s="19">
        <f t="shared" si="156"/>
        <v>7.99</v>
      </c>
      <c r="U714" s="2">
        <v>29.98</v>
      </c>
      <c r="V714" s="19">
        <f t="shared" si="157"/>
        <v>29.98</v>
      </c>
      <c r="W714" s="19">
        <f t="shared" si="158"/>
        <v>29.979999999999997</v>
      </c>
      <c r="X714" s="19" t="str">
        <f t="shared" si="159"/>
        <v>True</v>
      </c>
      <c r="Y714" s="19" t="str">
        <f>IF(OR(W714&lt;'Cleaning Tasks'!$G$18,W714&gt;'Cleaning Tasks'!$H$18),"Outlier","Normal")</f>
        <v>Normal</v>
      </c>
      <c r="Z714" s="2" t="s">
        <v>39</v>
      </c>
      <c r="AA714" s="2" t="s">
        <v>111</v>
      </c>
      <c r="AB714" s="2" t="s">
        <v>50</v>
      </c>
      <c r="AC714" s="2" t="s">
        <v>29</v>
      </c>
      <c r="AD714" s="2" t="s">
        <v>89</v>
      </c>
      <c r="AE714" s="2" t="str">
        <f t="shared" si="160"/>
        <v>Valid</v>
      </c>
      <c r="AF714" s="2" t="s">
        <v>2298</v>
      </c>
    </row>
    <row r="715" spans="1:32" x14ac:dyDescent="0.3">
      <c r="A715" s="2" t="s">
        <v>2299</v>
      </c>
      <c r="B715" s="2">
        <f t="shared" si="149"/>
        <v>1</v>
      </c>
      <c r="C715" s="12">
        <f t="shared" si="150"/>
        <v>46238.585729664352</v>
      </c>
      <c r="D715" s="13">
        <v>46238.585729664352</v>
      </c>
      <c r="E715" s="2" t="s">
        <v>1822</v>
      </c>
      <c r="F715" s="2" t="str">
        <f t="shared" si="151"/>
        <v>Email Available</v>
      </c>
      <c r="G715" s="2" t="s">
        <v>1823</v>
      </c>
      <c r="H715" s="2" t="s">
        <v>130</v>
      </c>
      <c r="I715" s="2" t="s">
        <v>103</v>
      </c>
      <c r="J715" s="2" t="s">
        <v>131</v>
      </c>
      <c r="K715" s="2">
        <v>1</v>
      </c>
      <c r="L715" s="2">
        <v>16.989999999999998</v>
      </c>
      <c r="M715" s="19">
        <f t="shared" si="152"/>
        <v>16.989999999999998</v>
      </c>
      <c r="N715" s="2" t="s">
        <v>118</v>
      </c>
      <c r="O715" s="2" t="str">
        <f t="shared" si="153"/>
        <v>BFCM25</v>
      </c>
      <c r="P715" s="2">
        <v>4.25</v>
      </c>
      <c r="Q715" s="19">
        <f t="shared" si="154"/>
        <v>4.25</v>
      </c>
      <c r="R715" s="2" t="str">
        <f t="shared" si="155"/>
        <v>Number</v>
      </c>
      <c r="S715" s="2">
        <v>5.99</v>
      </c>
      <c r="T715" s="19">
        <f t="shared" si="156"/>
        <v>5.99</v>
      </c>
      <c r="U715" s="2">
        <v>18.73</v>
      </c>
      <c r="V715" s="19">
        <f t="shared" si="157"/>
        <v>18.73</v>
      </c>
      <c r="W715" s="19">
        <f t="shared" si="158"/>
        <v>18.729999999999997</v>
      </c>
      <c r="X715" s="19" t="str">
        <f t="shared" si="159"/>
        <v>True</v>
      </c>
      <c r="Y715" s="19" t="str">
        <f>IF(OR(W715&lt;'Cleaning Tasks'!$G$18,W715&gt;'Cleaning Tasks'!$H$18),"Outlier","Normal")</f>
        <v>Normal</v>
      </c>
      <c r="Z715" s="2" t="s">
        <v>49</v>
      </c>
      <c r="AA715" s="2" t="s">
        <v>88</v>
      </c>
      <c r="AB715" s="2" t="s">
        <v>50</v>
      </c>
      <c r="AC715" s="2" t="s">
        <v>29</v>
      </c>
      <c r="AD715" s="2" t="s">
        <v>341</v>
      </c>
      <c r="AE715" s="2" t="str">
        <f t="shared" si="160"/>
        <v>Valid</v>
      </c>
      <c r="AF715" s="2" t="s">
        <v>2300</v>
      </c>
    </row>
    <row r="716" spans="1:32" x14ac:dyDescent="0.3">
      <c r="A716" s="2" t="s">
        <v>2301</v>
      </c>
      <c r="B716" s="2">
        <f t="shared" si="149"/>
        <v>1</v>
      </c>
      <c r="C716" s="12">
        <f t="shared" si="150"/>
        <v>46238.587211388891</v>
      </c>
      <c r="D716" s="13">
        <v>46238.587211388891</v>
      </c>
      <c r="E716" s="2" t="s">
        <v>92</v>
      </c>
      <c r="F716" s="2" t="str">
        <f t="shared" si="151"/>
        <v>Email Available</v>
      </c>
      <c r="G716" s="2" t="s">
        <v>93</v>
      </c>
      <c r="H716" s="2" t="s">
        <v>236</v>
      </c>
      <c r="I716" s="2" t="s">
        <v>237</v>
      </c>
      <c r="J716" s="2" t="s">
        <v>238</v>
      </c>
      <c r="K716" s="2">
        <v>4</v>
      </c>
      <c r="L716" s="2">
        <v>27.99</v>
      </c>
      <c r="M716" s="19">
        <f t="shared" si="152"/>
        <v>27.99</v>
      </c>
      <c r="N716" s="2"/>
      <c r="O716" s="2" t="str">
        <f t="shared" si="153"/>
        <v/>
      </c>
      <c r="P716" s="2">
        <v>0</v>
      </c>
      <c r="Q716" s="19">
        <f t="shared" si="154"/>
        <v>0</v>
      </c>
      <c r="R716" s="2" t="str">
        <f t="shared" si="155"/>
        <v>Number</v>
      </c>
      <c r="S716" s="2">
        <v>0</v>
      </c>
      <c r="T716" s="19">
        <f t="shared" si="156"/>
        <v>0</v>
      </c>
      <c r="U716" s="2">
        <v>111.96</v>
      </c>
      <c r="V716" s="19">
        <f t="shared" si="157"/>
        <v>111.96</v>
      </c>
      <c r="W716" s="19">
        <f t="shared" si="158"/>
        <v>111.96</v>
      </c>
      <c r="X716" s="19" t="str">
        <f t="shared" si="159"/>
        <v>True</v>
      </c>
      <c r="Y716" s="19" t="str">
        <f>IF(OR(W716&lt;'Cleaning Tasks'!$G$18,W716&gt;'Cleaning Tasks'!$H$18),"Outlier","Normal")</f>
        <v>Outlier</v>
      </c>
      <c r="Z716" s="2" t="s">
        <v>26</v>
      </c>
      <c r="AA716" s="2" t="s">
        <v>88</v>
      </c>
      <c r="AB716" s="2" t="s">
        <v>50</v>
      </c>
      <c r="AC716" s="2" t="s">
        <v>42</v>
      </c>
      <c r="AD716" s="2"/>
      <c r="AE716" s="2" t="str">
        <f t="shared" si="160"/>
        <v>Not Required</v>
      </c>
      <c r="AF716" s="2" t="s">
        <v>2302</v>
      </c>
    </row>
    <row r="717" spans="1:32" x14ac:dyDescent="0.3">
      <c r="A717" s="2" t="s">
        <v>2303</v>
      </c>
      <c r="B717" s="2">
        <f t="shared" si="149"/>
        <v>1</v>
      </c>
      <c r="C717" s="12">
        <f t="shared" si="150"/>
        <v>46238.58170516204</v>
      </c>
      <c r="D717" s="13">
        <v>46238.58170516204</v>
      </c>
      <c r="E717" s="2" t="s">
        <v>2304</v>
      </c>
      <c r="F717" s="2" t="str">
        <f t="shared" si="151"/>
        <v>Email Available</v>
      </c>
      <c r="G717" s="2" t="s">
        <v>2305</v>
      </c>
      <c r="H717" s="2" t="s">
        <v>182</v>
      </c>
      <c r="I717" s="2" t="s">
        <v>36</v>
      </c>
      <c r="J717" s="2" t="s">
        <v>183</v>
      </c>
      <c r="K717" s="2">
        <v>1</v>
      </c>
      <c r="L717" s="2">
        <v>11.99</v>
      </c>
      <c r="M717" s="19">
        <f t="shared" si="152"/>
        <v>11.99</v>
      </c>
      <c r="N717" s="2" t="s">
        <v>24</v>
      </c>
      <c r="O717" s="2" t="str">
        <f t="shared" si="153"/>
        <v>SAVE20</v>
      </c>
      <c r="P717" s="2">
        <v>2.4</v>
      </c>
      <c r="Q717" s="19">
        <f t="shared" si="154"/>
        <v>2.4</v>
      </c>
      <c r="R717" s="2" t="str">
        <f t="shared" si="155"/>
        <v>Number</v>
      </c>
      <c r="S717" s="2">
        <v>4.99</v>
      </c>
      <c r="T717" s="19">
        <f t="shared" si="156"/>
        <v>4.99</v>
      </c>
      <c r="U717" s="2">
        <v>14.58</v>
      </c>
      <c r="V717" s="19">
        <f t="shared" si="157"/>
        <v>14.58</v>
      </c>
      <c r="W717" s="19">
        <f t="shared" si="158"/>
        <v>14.58</v>
      </c>
      <c r="X717" s="19" t="str">
        <f t="shared" si="159"/>
        <v>True</v>
      </c>
      <c r="Y717" s="19" t="str">
        <f>IF(OR(W717&lt;'Cleaning Tasks'!$G$18,W717&gt;'Cleaning Tasks'!$H$18),"Outlier","Normal")</f>
        <v>Normal</v>
      </c>
      <c r="Z717" s="2" t="s">
        <v>39</v>
      </c>
      <c r="AA717" s="2" t="s">
        <v>27</v>
      </c>
      <c r="AB717" s="2" t="s">
        <v>50</v>
      </c>
      <c r="AC717" s="2" t="s">
        <v>29</v>
      </c>
      <c r="AD717" s="2" t="s">
        <v>51</v>
      </c>
      <c r="AE717" s="2" t="str">
        <f t="shared" si="160"/>
        <v>Valid</v>
      </c>
      <c r="AF717" s="2" t="s">
        <v>2306</v>
      </c>
    </row>
    <row r="718" spans="1:32" x14ac:dyDescent="0.3">
      <c r="A718" s="2" t="s">
        <v>2307</v>
      </c>
      <c r="B718" s="2">
        <f t="shared" si="149"/>
        <v>1</v>
      </c>
      <c r="C718" s="12">
        <f t="shared" si="150"/>
        <v>46238.583163275463</v>
      </c>
      <c r="D718" s="13">
        <v>46238.583163275463</v>
      </c>
      <c r="E718" s="2" t="s">
        <v>666</v>
      </c>
      <c r="F718" s="2" t="str">
        <f t="shared" si="151"/>
        <v>Email Available</v>
      </c>
      <c r="G718" s="2" t="s">
        <v>667</v>
      </c>
      <c r="H718" s="2" t="s">
        <v>267</v>
      </c>
      <c r="I718" s="2" t="s">
        <v>22</v>
      </c>
      <c r="J718" s="2" t="s">
        <v>268</v>
      </c>
      <c r="K718" s="2">
        <v>1</v>
      </c>
      <c r="L718" s="2">
        <v>18.989999999999998</v>
      </c>
      <c r="M718" s="19">
        <f t="shared" si="152"/>
        <v>18.989999999999998</v>
      </c>
      <c r="N718" s="2"/>
      <c r="O718" s="2" t="str">
        <f t="shared" si="153"/>
        <v/>
      </c>
      <c r="P718" s="2">
        <v>0</v>
      </c>
      <c r="Q718" s="19">
        <f t="shared" si="154"/>
        <v>0</v>
      </c>
      <c r="R718" s="2" t="str">
        <f t="shared" si="155"/>
        <v>Number</v>
      </c>
      <c r="S718" s="2">
        <v>4.99</v>
      </c>
      <c r="T718" s="19">
        <f t="shared" si="156"/>
        <v>4.99</v>
      </c>
      <c r="U718" s="2">
        <v>23.98</v>
      </c>
      <c r="V718" s="19">
        <f t="shared" si="157"/>
        <v>23.98</v>
      </c>
      <c r="W718" s="19">
        <f t="shared" si="158"/>
        <v>23.979999999999997</v>
      </c>
      <c r="X718" s="19" t="str">
        <f t="shared" si="159"/>
        <v>True</v>
      </c>
      <c r="Y718" s="19" t="str">
        <f>IF(OR(W718&lt;'Cleaning Tasks'!$G$18,W718&gt;'Cleaning Tasks'!$H$18),"Outlier","Normal")</f>
        <v>Normal</v>
      </c>
      <c r="Z718" s="2" t="s">
        <v>72</v>
      </c>
      <c r="AA718" s="2" t="s">
        <v>27</v>
      </c>
      <c r="AB718" s="2" t="s">
        <v>96</v>
      </c>
      <c r="AC718" s="2" t="s">
        <v>223</v>
      </c>
      <c r="AD718" s="2"/>
      <c r="AE718" s="2" t="str">
        <f t="shared" si="160"/>
        <v>Not Required</v>
      </c>
      <c r="AF718" s="2" t="s">
        <v>2158</v>
      </c>
    </row>
    <row r="719" spans="1:32" x14ac:dyDescent="0.3">
      <c r="A719" s="2" t="s">
        <v>2308</v>
      </c>
      <c r="B719" s="2">
        <f t="shared" si="149"/>
        <v>1</v>
      </c>
      <c r="C719" s="12">
        <f t="shared" si="150"/>
        <v>46238.587049756941</v>
      </c>
      <c r="D719" s="13">
        <v>46238.587049756941</v>
      </c>
      <c r="E719" s="2" t="s">
        <v>2309</v>
      </c>
      <c r="F719" s="2" t="str">
        <f t="shared" si="151"/>
        <v>Email Available</v>
      </c>
      <c r="G719" s="2" t="s">
        <v>2310</v>
      </c>
      <c r="H719" s="2" t="s">
        <v>182</v>
      </c>
      <c r="I719" s="2" t="s">
        <v>36</v>
      </c>
      <c r="J719" s="2" t="s">
        <v>183</v>
      </c>
      <c r="K719" s="2">
        <v>1</v>
      </c>
      <c r="L719" s="2">
        <v>11.99</v>
      </c>
      <c r="M719" s="19">
        <f t="shared" si="152"/>
        <v>11.99</v>
      </c>
      <c r="N719" s="2"/>
      <c r="O719" s="2" t="str">
        <f t="shared" si="153"/>
        <v/>
      </c>
      <c r="P719" s="2">
        <v>0</v>
      </c>
      <c r="Q719" s="19">
        <f t="shared" si="154"/>
        <v>0</v>
      </c>
      <c r="R719" s="2" t="str">
        <f t="shared" si="155"/>
        <v>Number</v>
      </c>
      <c r="S719" s="2">
        <v>5.99</v>
      </c>
      <c r="T719" s="19">
        <f t="shared" si="156"/>
        <v>5.99</v>
      </c>
      <c r="U719" s="2">
        <v>17.98</v>
      </c>
      <c r="V719" s="19">
        <f t="shared" si="157"/>
        <v>17.98</v>
      </c>
      <c r="W719" s="19">
        <f t="shared" si="158"/>
        <v>17.98</v>
      </c>
      <c r="X719" s="19" t="str">
        <f t="shared" si="159"/>
        <v>True</v>
      </c>
      <c r="Y719" s="19" t="str">
        <f>IF(OR(W719&lt;'Cleaning Tasks'!$G$18,W719&gt;'Cleaning Tasks'!$H$18),"Outlier","Normal")</f>
        <v>Normal</v>
      </c>
      <c r="Z719" s="2" t="s">
        <v>72</v>
      </c>
      <c r="AA719" s="2" t="s">
        <v>40</v>
      </c>
      <c r="AB719" s="2" t="s">
        <v>50</v>
      </c>
      <c r="AC719" s="2" t="s">
        <v>29</v>
      </c>
      <c r="AD719" s="2" t="s">
        <v>51</v>
      </c>
      <c r="AE719" s="2" t="str">
        <f t="shared" si="160"/>
        <v>Valid</v>
      </c>
      <c r="AF719" s="2" t="s">
        <v>2311</v>
      </c>
    </row>
    <row r="720" spans="1:32" x14ac:dyDescent="0.3">
      <c r="A720" s="2" t="s">
        <v>2312</v>
      </c>
      <c r="B720" s="2">
        <f t="shared" si="149"/>
        <v>1</v>
      </c>
      <c r="C720" s="12">
        <f t="shared" si="150"/>
        <v>46238.588969907411</v>
      </c>
      <c r="D720" s="13">
        <v>46238.588969907411</v>
      </c>
      <c r="E720" s="2" t="s">
        <v>2313</v>
      </c>
      <c r="F720" s="2" t="str">
        <f t="shared" si="151"/>
        <v>Email Available</v>
      </c>
      <c r="G720" s="2" t="s">
        <v>2314</v>
      </c>
      <c r="H720" s="2" t="s">
        <v>182</v>
      </c>
      <c r="I720" s="2" t="s">
        <v>36</v>
      </c>
      <c r="J720" s="2" t="s">
        <v>183</v>
      </c>
      <c r="K720" s="2">
        <v>2</v>
      </c>
      <c r="L720" s="2">
        <v>11.99</v>
      </c>
      <c r="M720" s="19">
        <f t="shared" si="152"/>
        <v>11.99</v>
      </c>
      <c r="N720" s="2"/>
      <c r="O720" s="2" t="str">
        <f t="shared" si="153"/>
        <v/>
      </c>
      <c r="P720" s="2">
        <v>0</v>
      </c>
      <c r="Q720" s="19">
        <f t="shared" si="154"/>
        <v>0</v>
      </c>
      <c r="R720" s="2" t="str">
        <f t="shared" si="155"/>
        <v>Number</v>
      </c>
      <c r="S720" s="2">
        <v>7.99</v>
      </c>
      <c r="T720" s="19">
        <f t="shared" si="156"/>
        <v>7.99</v>
      </c>
      <c r="U720" s="2">
        <v>31.97</v>
      </c>
      <c r="V720" s="19">
        <f t="shared" si="157"/>
        <v>31.97</v>
      </c>
      <c r="W720" s="19">
        <f t="shared" si="158"/>
        <v>31.97</v>
      </c>
      <c r="X720" s="19" t="str">
        <f t="shared" si="159"/>
        <v>True</v>
      </c>
      <c r="Y720" s="19" t="str">
        <f>IF(OR(W720&lt;'Cleaning Tasks'!$G$18,W720&gt;'Cleaning Tasks'!$H$18),"Outlier","Normal")</f>
        <v>Normal</v>
      </c>
      <c r="Z720" s="2" t="s">
        <v>66</v>
      </c>
      <c r="AA720" s="2" t="s">
        <v>40</v>
      </c>
      <c r="AB720" s="2" t="s">
        <v>96</v>
      </c>
      <c r="AC720" s="2" t="s">
        <v>331</v>
      </c>
      <c r="AD720" s="2"/>
      <c r="AE720" s="2" t="str">
        <f t="shared" si="160"/>
        <v>Not Required</v>
      </c>
      <c r="AF720" s="2" t="s">
        <v>2315</v>
      </c>
    </row>
    <row r="721" spans="1:32" x14ac:dyDescent="0.3">
      <c r="A721" s="2" t="s">
        <v>2316</v>
      </c>
      <c r="B721" s="2">
        <f t="shared" si="149"/>
        <v>1</v>
      </c>
      <c r="C721" s="12">
        <f t="shared" si="150"/>
        <v>46238.585550474527</v>
      </c>
      <c r="D721" s="13">
        <v>46238.585550474527</v>
      </c>
      <c r="E721" s="2" t="s">
        <v>2317</v>
      </c>
      <c r="F721" s="2" t="str">
        <f t="shared" si="151"/>
        <v>Email Available</v>
      </c>
      <c r="G721" s="2" t="s">
        <v>2318</v>
      </c>
      <c r="H721" s="2" t="s">
        <v>146</v>
      </c>
      <c r="I721" s="2" t="s">
        <v>47</v>
      </c>
      <c r="J721" s="2" t="s">
        <v>147</v>
      </c>
      <c r="K721" s="2">
        <v>1</v>
      </c>
      <c r="L721" s="2">
        <v>34.99</v>
      </c>
      <c r="M721" s="19">
        <f t="shared" si="152"/>
        <v>34.99</v>
      </c>
      <c r="N721" s="2"/>
      <c r="O721" s="2" t="str">
        <f t="shared" si="153"/>
        <v/>
      </c>
      <c r="P721" s="2" t="s">
        <v>184</v>
      </c>
      <c r="Q721" s="19">
        <f t="shared" si="154"/>
        <v>0</v>
      </c>
      <c r="R721" s="2" t="str">
        <f t="shared" si="155"/>
        <v>Number</v>
      </c>
      <c r="S721" s="2">
        <v>5.99</v>
      </c>
      <c r="T721" s="19">
        <f t="shared" si="156"/>
        <v>5.99</v>
      </c>
      <c r="U721" s="2">
        <v>40.98</v>
      </c>
      <c r="V721" s="19">
        <f t="shared" si="157"/>
        <v>40.98</v>
      </c>
      <c r="W721" s="19">
        <f t="shared" si="158"/>
        <v>40.980000000000004</v>
      </c>
      <c r="X721" s="19" t="str">
        <f t="shared" si="159"/>
        <v>True</v>
      </c>
      <c r="Y721" s="19" t="str">
        <f>IF(OR(W721&lt;'Cleaning Tasks'!$G$18,W721&gt;'Cleaning Tasks'!$H$18),"Outlier","Normal")</f>
        <v>Normal</v>
      </c>
      <c r="Z721" s="2" t="s">
        <v>49</v>
      </c>
      <c r="AA721" s="2" t="s">
        <v>40</v>
      </c>
      <c r="AB721" s="2" t="s">
        <v>96</v>
      </c>
      <c r="AC721" s="2" t="s">
        <v>42</v>
      </c>
      <c r="AD721" s="2"/>
      <c r="AE721" s="2" t="str">
        <f t="shared" si="160"/>
        <v>Not Required</v>
      </c>
      <c r="AF721" s="2" t="s">
        <v>2319</v>
      </c>
    </row>
    <row r="722" spans="1:32" x14ac:dyDescent="0.3">
      <c r="A722" s="2" t="s">
        <v>2320</v>
      </c>
      <c r="B722" s="2">
        <f t="shared" si="149"/>
        <v>1</v>
      </c>
      <c r="C722" s="12">
        <f t="shared" si="150"/>
        <v>46238.581857766207</v>
      </c>
      <c r="D722" s="13">
        <v>46238.581857766207</v>
      </c>
      <c r="E722" s="2" t="s">
        <v>2321</v>
      </c>
      <c r="F722" s="2" t="str">
        <f t="shared" si="151"/>
        <v>Email Available</v>
      </c>
      <c r="G722" s="2" t="s">
        <v>603</v>
      </c>
      <c r="H722" s="2" t="s">
        <v>236</v>
      </c>
      <c r="I722" s="2" t="s">
        <v>237</v>
      </c>
      <c r="J722" s="2" t="s">
        <v>238</v>
      </c>
      <c r="K722" s="2">
        <v>1</v>
      </c>
      <c r="L722" s="2">
        <v>27.99</v>
      </c>
      <c r="M722" s="19">
        <f t="shared" si="152"/>
        <v>27.99</v>
      </c>
      <c r="N722" s="2"/>
      <c r="O722" s="2" t="str">
        <f t="shared" si="153"/>
        <v/>
      </c>
      <c r="P722" s="2">
        <v>0</v>
      </c>
      <c r="Q722" s="19">
        <f t="shared" si="154"/>
        <v>0</v>
      </c>
      <c r="R722" s="2" t="str">
        <f t="shared" si="155"/>
        <v>Number</v>
      </c>
      <c r="S722" s="2">
        <v>5.99</v>
      </c>
      <c r="T722" s="19">
        <f t="shared" si="156"/>
        <v>5.99</v>
      </c>
      <c r="U722" s="2">
        <v>33.979999999999997</v>
      </c>
      <c r="V722" s="19">
        <f t="shared" si="157"/>
        <v>33.979999999999997</v>
      </c>
      <c r="W722" s="19">
        <f t="shared" si="158"/>
        <v>33.979999999999997</v>
      </c>
      <c r="X722" s="19" t="str">
        <f t="shared" si="159"/>
        <v>True</v>
      </c>
      <c r="Y722" s="19" t="str">
        <f>IF(OR(W722&lt;'Cleaning Tasks'!$G$18,W722&gt;'Cleaning Tasks'!$H$18),"Outlier","Normal")</f>
        <v>Normal</v>
      </c>
      <c r="Z722" s="2" t="s">
        <v>39</v>
      </c>
      <c r="AA722" s="2" t="s">
        <v>27</v>
      </c>
      <c r="AB722" s="2" t="s">
        <v>50</v>
      </c>
      <c r="AC722" s="2" t="s">
        <v>42</v>
      </c>
      <c r="AD722" s="2"/>
      <c r="AE722" s="2" t="str">
        <f t="shared" si="160"/>
        <v>Not Required</v>
      </c>
      <c r="AF722" s="2" t="s">
        <v>2322</v>
      </c>
    </row>
    <row r="723" spans="1:32" x14ac:dyDescent="0.3">
      <c r="A723" s="2" t="s">
        <v>2323</v>
      </c>
      <c r="B723" s="2">
        <f t="shared" si="149"/>
        <v>1</v>
      </c>
      <c r="C723" s="12">
        <f t="shared" si="150"/>
        <v>46238.587317094913</v>
      </c>
      <c r="D723" s="13">
        <v>46238.587317094913</v>
      </c>
      <c r="E723" s="2" t="s">
        <v>213</v>
      </c>
      <c r="F723" s="2" t="str">
        <f t="shared" si="151"/>
        <v>Email Available</v>
      </c>
      <c r="G723" s="2" t="s">
        <v>214</v>
      </c>
      <c r="H723" s="2" t="s">
        <v>146</v>
      </c>
      <c r="I723" s="2" t="s">
        <v>47</v>
      </c>
      <c r="J723" s="2" t="s">
        <v>147</v>
      </c>
      <c r="K723" s="2">
        <v>2</v>
      </c>
      <c r="L723" s="2">
        <v>34.99</v>
      </c>
      <c r="M723" s="19">
        <f t="shared" si="152"/>
        <v>34.99</v>
      </c>
      <c r="N723" s="2" t="s">
        <v>1124</v>
      </c>
      <c r="O723" s="2" t="str">
        <f t="shared" si="153"/>
        <v>WELCOME10</v>
      </c>
      <c r="P723" s="2">
        <v>7</v>
      </c>
      <c r="Q723" s="19">
        <f t="shared" si="154"/>
        <v>7</v>
      </c>
      <c r="R723" s="2" t="str">
        <f t="shared" si="155"/>
        <v>Number</v>
      </c>
      <c r="S723" s="2">
        <v>7.99</v>
      </c>
      <c r="T723" s="19">
        <f t="shared" si="156"/>
        <v>7.99</v>
      </c>
      <c r="U723" s="2">
        <v>70.97</v>
      </c>
      <c r="V723" s="19">
        <f t="shared" si="157"/>
        <v>70.97</v>
      </c>
      <c r="W723" s="19">
        <f t="shared" si="158"/>
        <v>70.97</v>
      </c>
      <c r="X723" s="19" t="str">
        <f t="shared" si="159"/>
        <v>True</v>
      </c>
      <c r="Y723" s="19" t="str">
        <f>IF(OR(W723&lt;'Cleaning Tasks'!$G$18,W723&gt;'Cleaning Tasks'!$H$18),"Outlier","Normal")</f>
        <v>Normal</v>
      </c>
      <c r="Z723" s="2" t="s">
        <v>39</v>
      </c>
      <c r="AA723" s="2" t="s">
        <v>27</v>
      </c>
      <c r="AB723" s="2" t="s">
        <v>50</v>
      </c>
      <c r="AC723" s="2" t="s">
        <v>29</v>
      </c>
      <c r="AD723" s="2" t="s">
        <v>140</v>
      </c>
      <c r="AE723" s="2" t="str">
        <f t="shared" si="160"/>
        <v>Valid</v>
      </c>
      <c r="AF723" s="2" t="s">
        <v>2324</v>
      </c>
    </row>
    <row r="724" spans="1:32" x14ac:dyDescent="0.3">
      <c r="A724" s="2" t="s">
        <v>2325</v>
      </c>
      <c r="B724" s="2">
        <f t="shared" si="149"/>
        <v>1</v>
      </c>
      <c r="C724" s="12">
        <f t="shared" si="150"/>
        <v>46238.581523090281</v>
      </c>
      <c r="D724" s="13">
        <v>46238.581523090281</v>
      </c>
      <c r="E724" s="2" t="s">
        <v>195</v>
      </c>
      <c r="F724" s="2" t="str">
        <f t="shared" si="151"/>
        <v>Email Available</v>
      </c>
      <c r="G724" s="2" t="s">
        <v>196</v>
      </c>
      <c r="H724" s="2" t="s">
        <v>63</v>
      </c>
      <c r="I724" s="2" t="s">
        <v>47</v>
      </c>
      <c r="J724" s="2" t="s">
        <v>64</v>
      </c>
      <c r="K724" s="2">
        <v>1</v>
      </c>
      <c r="L724" s="2">
        <v>14.99</v>
      </c>
      <c r="M724" s="19">
        <f t="shared" si="152"/>
        <v>14.99</v>
      </c>
      <c r="N724" s="2" t="s">
        <v>118</v>
      </c>
      <c r="O724" s="2" t="str">
        <f t="shared" si="153"/>
        <v>BFCM25</v>
      </c>
      <c r="P724" s="2">
        <v>3.75</v>
      </c>
      <c r="Q724" s="19">
        <f t="shared" si="154"/>
        <v>3.75</v>
      </c>
      <c r="R724" s="2" t="str">
        <f t="shared" si="155"/>
        <v>Number</v>
      </c>
      <c r="S724" s="2">
        <v>7.99</v>
      </c>
      <c r="T724" s="19">
        <f t="shared" si="156"/>
        <v>7.99</v>
      </c>
      <c r="U724" s="2">
        <v>19.23</v>
      </c>
      <c r="V724" s="19">
        <f t="shared" si="157"/>
        <v>19.23</v>
      </c>
      <c r="W724" s="19">
        <f t="shared" si="158"/>
        <v>19.23</v>
      </c>
      <c r="X724" s="19" t="str">
        <f t="shared" si="159"/>
        <v>True</v>
      </c>
      <c r="Y724" s="19" t="str">
        <f>IF(OR(W724&lt;'Cleaning Tasks'!$G$18,W724&gt;'Cleaning Tasks'!$H$18),"Outlier","Normal")</f>
        <v>Normal</v>
      </c>
      <c r="Z724" s="2" t="s">
        <v>39</v>
      </c>
      <c r="AA724" s="2" t="s">
        <v>27</v>
      </c>
      <c r="AB724" s="2" t="s">
        <v>50</v>
      </c>
      <c r="AC724" s="2" t="s">
        <v>29</v>
      </c>
      <c r="AD724" s="2" t="s">
        <v>447</v>
      </c>
      <c r="AE724" s="2" t="str">
        <f t="shared" si="160"/>
        <v>Valid</v>
      </c>
      <c r="AF724" s="2" t="s">
        <v>2326</v>
      </c>
    </row>
    <row r="725" spans="1:32" x14ac:dyDescent="0.3">
      <c r="A725" s="2" t="s">
        <v>2327</v>
      </c>
      <c r="B725" s="2">
        <f t="shared" si="149"/>
        <v>1</v>
      </c>
      <c r="C725" s="12">
        <f t="shared" si="150"/>
        <v>46238.582989675917</v>
      </c>
      <c r="D725" s="13">
        <v>46238.582989675917</v>
      </c>
      <c r="E725" s="2" t="s">
        <v>409</v>
      </c>
      <c r="F725" s="2" t="str">
        <f t="shared" si="151"/>
        <v>Email Available</v>
      </c>
      <c r="G725" s="2" t="s">
        <v>410</v>
      </c>
      <c r="H725" s="2" t="s">
        <v>201</v>
      </c>
      <c r="I725" s="2" t="s">
        <v>191</v>
      </c>
      <c r="J725" s="2" t="s">
        <v>202</v>
      </c>
      <c r="K725" s="2">
        <v>2</v>
      </c>
      <c r="L725" s="2">
        <v>24.99</v>
      </c>
      <c r="M725" s="19">
        <f t="shared" si="152"/>
        <v>24.99</v>
      </c>
      <c r="N725" s="2" t="s">
        <v>24</v>
      </c>
      <c r="O725" s="2" t="str">
        <f t="shared" si="153"/>
        <v>SAVE20</v>
      </c>
      <c r="P725" s="2">
        <v>10</v>
      </c>
      <c r="Q725" s="19">
        <f t="shared" si="154"/>
        <v>10</v>
      </c>
      <c r="R725" s="2" t="str">
        <f t="shared" si="155"/>
        <v>Number</v>
      </c>
      <c r="S725" s="2">
        <v>7.99</v>
      </c>
      <c r="T725" s="19">
        <f t="shared" si="156"/>
        <v>7.99</v>
      </c>
      <c r="U725" s="2">
        <v>47.97</v>
      </c>
      <c r="V725" s="19">
        <f t="shared" si="157"/>
        <v>47.97</v>
      </c>
      <c r="W725" s="19">
        <f t="shared" si="158"/>
        <v>47.97</v>
      </c>
      <c r="X725" s="19" t="str">
        <f t="shared" si="159"/>
        <v>True</v>
      </c>
      <c r="Y725" s="19" t="str">
        <f>IF(OR(W725&lt;'Cleaning Tasks'!$G$18,W725&gt;'Cleaning Tasks'!$H$18),"Outlier","Normal")</f>
        <v>Normal</v>
      </c>
      <c r="Z725" s="2" t="s">
        <v>26</v>
      </c>
      <c r="AA725" s="2" t="s">
        <v>111</v>
      </c>
      <c r="AB725" s="2" t="s">
        <v>96</v>
      </c>
      <c r="AC725" s="2" t="s">
        <v>42</v>
      </c>
      <c r="AD725" s="2"/>
      <c r="AE725" s="2" t="str">
        <f t="shared" si="160"/>
        <v>Not Required</v>
      </c>
      <c r="AF725" s="2" t="s">
        <v>2328</v>
      </c>
    </row>
    <row r="726" spans="1:32" x14ac:dyDescent="0.3">
      <c r="A726" s="2" t="s">
        <v>2329</v>
      </c>
      <c r="B726" s="2">
        <f t="shared" si="149"/>
        <v>1</v>
      </c>
      <c r="C726" s="12">
        <f t="shared" si="150"/>
        <v>46238.581043854167</v>
      </c>
      <c r="D726" s="13">
        <v>46238.581043854167</v>
      </c>
      <c r="E726" s="2" t="s">
        <v>1836</v>
      </c>
      <c r="F726" s="2" t="str">
        <f t="shared" si="151"/>
        <v>Email Available</v>
      </c>
      <c r="G726" s="2" t="s">
        <v>1837</v>
      </c>
      <c r="H726" s="2" t="s">
        <v>46</v>
      </c>
      <c r="I726" s="2" t="s">
        <v>47</v>
      </c>
      <c r="J726" s="2" t="s">
        <v>48</v>
      </c>
      <c r="K726" s="2">
        <v>1</v>
      </c>
      <c r="L726" s="2">
        <v>39.99</v>
      </c>
      <c r="M726" s="19">
        <f t="shared" si="152"/>
        <v>39.99</v>
      </c>
      <c r="N726" s="2"/>
      <c r="O726" s="2" t="str">
        <f t="shared" si="153"/>
        <v/>
      </c>
      <c r="P726" s="2">
        <v>0</v>
      </c>
      <c r="Q726" s="19">
        <f t="shared" si="154"/>
        <v>0</v>
      </c>
      <c r="R726" s="2" t="str">
        <f t="shared" si="155"/>
        <v>Number</v>
      </c>
      <c r="S726" s="2">
        <v>7.99</v>
      </c>
      <c r="T726" s="19">
        <f t="shared" si="156"/>
        <v>7.99</v>
      </c>
      <c r="U726" s="2">
        <v>47.98</v>
      </c>
      <c r="V726" s="19">
        <f t="shared" si="157"/>
        <v>47.98</v>
      </c>
      <c r="W726" s="19">
        <f t="shared" si="158"/>
        <v>47.980000000000004</v>
      </c>
      <c r="X726" s="19" t="str">
        <f t="shared" si="159"/>
        <v>True</v>
      </c>
      <c r="Y726" s="19" t="str">
        <f>IF(OR(W726&lt;'Cleaning Tasks'!$G$18,W726&gt;'Cleaning Tasks'!$H$18),"Outlier","Normal")</f>
        <v>Normal</v>
      </c>
      <c r="Z726" s="2" t="s">
        <v>72</v>
      </c>
      <c r="AA726" s="2" t="s">
        <v>27</v>
      </c>
      <c r="AB726" s="2" t="s">
        <v>50</v>
      </c>
      <c r="AC726" s="2" t="s">
        <v>42</v>
      </c>
      <c r="AD726" s="2"/>
      <c r="AE726" s="2" t="str">
        <f t="shared" si="160"/>
        <v>Not Required</v>
      </c>
      <c r="AF726" s="2" t="s">
        <v>2330</v>
      </c>
    </row>
    <row r="727" spans="1:32" x14ac:dyDescent="0.3">
      <c r="A727" s="2" t="s">
        <v>2331</v>
      </c>
      <c r="B727" s="2">
        <f t="shared" si="149"/>
        <v>1</v>
      </c>
      <c r="C727" s="12">
        <f t="shared" si="150"/>
        <v>46238.585512118058</v>
      </c>
      <c r="D727" s="13">
        <v>46238.585512118058</v>
      </c>
      <c r="E727" s="2" t="s">
        <v>969</v>
      </c>
      <c r="F727" s="2" t="str">
        <f t="shared" si="151"/>
        <v>Email Available</v>
      </c>
      <c r="G727" s="2" t="s">
        <v>2332</v>
      </c>
      <c r="H727" s="2" t="s">
        <v>63</v>
      </c>
      <c r="I727" s="2" t="s">
        <v>47</v>
      </c>
      <c r="J727" s="2" t="s">
        <v>446</v>
      </c>
      <c r="K727" s="2">
        <v>1</v>
      </c>
      <c r="L727" s="2">
        <v>14.99</v>
      </c>
      <c r="M727" s="19">
        <f t="shared" si="152"/>
        <v>14.99</v>
      </c>
      <c r="N727" s="2"/>
      <c r="O727" s="2" t="str">
        <f t="shared" si="153"/>
        <v/>
      </c>
      <c r="P727" s="2">
        <v>0</v>
      </c>
      <c r="Q727" s="19">
        <f t="shared" si="154"/>
        <v>0</v>
      </c>
      <c r="R727" s="2" t="str">
        <f t="shared" si="155"/>
        <v>Number</v>
      </c>
      <c r="S727" s="2">
        <v>5.99</v>
      </c>
      <c r="T727" s="19">
        <f t="shared" si="156"/>
        <v>5.99</v>
      </c>
      <c r="U727" s="2" t="s">
        <v>2333</v>
      </c>
      <c r="V727" s="19">
        <f t="shared" si="157"/>
        <v>20.98</v>
      </c>
      <c r="W727" s="19">
        <f t="shared" si="158"/>
        <v>20.98</v>
      </c>
      <c r="X727" s="19" t="str">
        <f t="shared" si="159"/>
        <v>True</v>
      </c>
      <c r="Y727" s="19" t="str">
        <f>IF(OR(W727&lt;'Cleaning Tasks'!$G$18,W727&gt;'Cleaning Tasks'!$H$18),"Outlier","Normal")</f>
        <v>Normal</v>
      </c>
      <c r="Z727" s="2" t="s">
        <v>72</v>
      </c>
      <c r="AA727" s="2" t="s">
        <v>40</v>
      </c>
      <c r="AB727" s="2" t="s">
        <v>50</v>
      </c>
      <c r="AC727" s="2" t="s">
        <v>105</v>
      </c>
      <c r="AD727" s="2"/>
      <c r="AE727" s="2" t="str">
        <f t="shared" si="160"/>
        <v>Not Required</v>
      </c>
      <c r="AF727" s="2" t="s">
        <v>2334</v>
      </c>
    </row>
    <row r="728" spans="1:32" x14ac:dyDescent="0.3">
      <c r="A728" s="2" t="s">
        <v>2335</v>
      </c>
      <c r="B728" s="2">
        <f t="shared" si="149"/>
        <v>1</v>
      </c>
      <c r="C728" s="12">
        <f t="shared" si="150"/>
        <v>46238.588703032408</v>
      </c>
      <c r="D728" s="13">
        <v>46238.588703032408</v>
      </c>
      <c r="E728" s="2" t="s">
        <v>449</v>
      </c>
      <c r="F728" s="2" t="str">
        <f t="shared" si="151"/>
        <v>Missing Email</v>
      </c>
      <c r="G728" s="2"/>
      <c r="H728" s="2" t="s">
        <v>130</v>
      </c>
      <c r="I728" s="2" t="s">
        <v>103</v>
      </c>
      <c r="J728" s="2" t="s">
        <v>131</v>
      </c>
      <c r="K728" s="2">
        <v>3</v>
      </c>
      <c r="L728" s="2">
        <v>16.989999999999998</v>
      </c>
      <c r="M728" s="19">
        <f t="shared" si="152"/>
        <v>16.989999999999998</v>
      </c>
      <c r="N728" s="2" t="s">
        <v>65</v>
      </c>
      <c r="O728" s="2" t="str">
        <f t="shared" si="153"/>
        <v>WELCOME10</v>
      </c>
      <c r="P728" s="2">
        <v>5.0999999999999996</v>
      </c>
      <c r="Q728" s="19">
        <f t="shared" si="154"/>
        <v>5.0999999999999996</v>
      </c>
      <c r="R728" s="2" t="str">
        <f t="shared" si="155"/>
        <v>Number</v>
      </c>
      <c r="S728" s="2">
        <v>4.99</v>
      </c>
      <c r="T728" s="19">
        <f t="shared" si="156"/>
        <v>4.99</v>
      </c>
      <c r="U728" s="2">
        <v>50.86</v>
      </c>
      <c r="V728" s="19">
        <f t="shared" si="157"/>
        <v>50.86</v>
      </c>
      <c r="W728" s="19">
        <f t="shared" si="158"/>
        <v>50.86</v>
      </c>
      <c r="X728" s="19" t="str">
        <f t="shared" si="159"/>
        <v>True</v>
      </c>
      <c r="Y728" s="19" t="str">
        <f>IF(OR(W728&lt;'Cleaning Tasks'!$G$18,W728&gt;'Cleaning Tasks'!$H$18),"Outlier","Normal")</f>
        <v>Normal</v>
      </c>
      <c r="Z728" s="2" t="s">
        <v>66</v>
      </c>
      <c r="AA728" s="2" t="s">
        <v>40</v>
      </c>
      <c r="AB728" s="2" t="s">
        <v>50</v>
      </c>
      <c r="AC728" s="2" t="s">
        <v>29</v>
      </c>
      <c r="AD728" s="2" t="s">
        <v>30</v>
      </c>
      <c r="AE728" s="2" t="str">
        <f t="shared" si="160"/>
        <v>Valid</v>
      </c>
      <c r="AF728" s="2" t="s">
        <v>2336</v>
      </c>
    </row>
    <row r="729" spans="1:32" x14ac:dyDescent="0.3">
      <c r="A729" s="2" t="s">
        <v>2337</v>
      </c>
      <c r="B729" s="2">
        <f t="shared" si="149"/>
        <v>1</v>
      </c>
      <c r="C729" s="12">
        <f t="shared" si="150"/>
        <v>46238.579861550927</v>
      </c>
      <c r="D729" s="13">
        <v>46238.579861550927</v>
      </c>
      <c r="E729" s="2" t="s">
        <v>2054</v>
      </c>
      <c r="F729" s="2" t="str">
        <f t="shared" si="151"/>
        <v>Email Available</v>
      </c>
      <c r="G729" s="2" t="s">
        <v>2055</v>
      </c>
      <c r="H729" s="2" t="s">
        <v>201</v>
      </c>
      <c r="I729" s="2" t="s">
        <v>191</v>
      </c>
      <c r="J729" s="2" t="s">
        <v>202</v>
      </c>
      <c r="K729" s="2">
        <v>1</v>
      </c>
      <c r="L729" s="2">
        <v>24.99</v>
      </c>
      <c r="M729" s="19">
        <f t="shared" si="152"/>
        <v>24.99</v>
      </c>
      <c r="N729" s="2" t="s">
        <v>203</v>
      </c>
      <c r="O729" s="2" t="str">
        <f t="shared" si="153"/>
        <v>VIP15</v>
      </c>
      <c r="P729" s="2">
        <v>3.75</v>
      </c>
      <c r="Q729" s="19">
        <f t="shared" si="154"/>
        <v>3.75</v>
      </c>
      <c r="R729" s="2" t="str">
        <f t="shared" si="155"/>
        <v>Number</v>
      </c>
      <c r="S729" s="2">
        <v>7.99</v>
      </c>
      <c r="T729" s="19">
        <f t="shared" si="156"/>
        <v>7.99</v>
      </c>
      <c r="U729" s="2">
        <v>29.23</v>
      </c>
      <c r="V729" s="19">
        <f t="shared" si="157"/>
        <v>29.23</v>
      </c>
      <c r="W729" s="19">
        <f t="shared" si="158"/>
        <v>29.229999999999997</v>
      </c>
      <c r="X729" s="19" t="str">
        <f t="shared" si="159"/>
        <v>True</v>
      </c>
      <c r="Y729" s="19" t="str">
        <f>IF(OR(W729&lt;'Cleaning Tasks'!$G$18,W729&gt;'Cleaning Tasks'!$H$18),"Outlier","Normal")</f>
        <v>Normal</v>
      </c>
      <c r="Z729" s="2" t="s">
        <v>72</v>
      </c>
      <c r="AA729" s="2" t="s">
        <v>27</v>
      </c>
      <c r="AB729" s="2" t="s">
        <v>41</v>
      </c>
      <c r="AC729" s="2" t="s">
        <v>42</v>
      </c>
      <c r="AD729" s="2"/>
      <c r="AE729" s="2" t="str">
        <f t="shared" si="160"/>
        <v>Not Required</v>
      </c>
      <c r="AF729" s="2" t="s">
        <v>2338</v>
      </c>
    </row>
    <row r="730" spans="1:32" x14ac:dyDescent="0.3">
      <c r="A730" s="2" t="s">
        <v>2339</v>
      </c>
      <c r="B730" s="2">
        <f t="shared" si="149"/>
        <v>1</v>
      </c>
      <c r="C730" s="12">
        <f t="shared" si="150"/>
        <v>46238.588945694442</v>
      </c>
      <c r="D730" s="13">
        <v>46238.588945694442</v>
      </c>
      <c r="E730" s="2" t="s">
        <v>195</v>
      </c>
      <c r="F730" s="2" t="str">
        <f t="shared" si="151"/>
        <v>Email Available</v>
      </c>
      <c r="G730" s="2" t="s">
        <v>196</v>
      </c>
      <c r="H730" s="2" t="s">
        <v>35</v>
      </c>
      <c r="I730" s="2" t="s">
        <v>36</v>
      </c>
      <c r="J730" s="2" t="s">
        <v>37</v>
      </c>
      <c r="K730" s="2">
        <v>1</v>
      </c>
      <c r="L730" s="2">
        <v>21.99</v>
      </c>
      <c r="M730" s="19">
        <f t="shared" si="152"/>
        <v>21.99</v>
      </c>
      <c r="N730" s="2"/>
      <c r="O730" s="2" t="str">
        <f t="shared" si="153"/>
        <v/>
      </c>
      <c r="P730" s="2">
        <v>0</v>
      </c>
      <c r="Q730" s="19">
        <f t="shared" si="154"/>
        <v>0</v>
      </c>
      <c r="R730" s="2" t="str">
        <f t="shared" si="155"/>
        <v>Number</v>
      </c>
      <c r="S730" s="2">
        <v>4.99</v>
      </c>
      <c r="T730" s="19">
        <f t="shared" si="156"/>
        <v>4.99</v>
      </c>
      <c r="U730" s="2">
        <v>26.98</v>
      </c>
      <c r="V730" s="19">
        <f t="shared" si="157"/>
        <v>26.98</v>
      </c>
      <c r="W730" s="19">
        <f t="shared" si="158"/>
        <v>26.979999999999997</v>
      </c>
      <c r="X730" s="19" t="str">
        <f t="shared" si="159"/>
        <v>True</v>
      </c>
      <c r="Y730" s="19" t="str">
        <f>IF(OR(W730&lt;'Cleaning Tasks'!$G$18,W730&gt;'Cleaning Tasks'!$H$18),"Outlier","Normal")</f>
        <v>Normal</v>
      </c>
      <c r="Z730" s="2" t="s">
        <v>72</v>
      </c>
      <c r="AA730" s="2" t="s">
        <v>40</v>
      </c>
      <c r="AB730" s="2" t="s">
        <v>50</v>
      </c>
      <c r="AC730" s="2" t="s">
        <v>29</v>
      </c>
      <c r="AD730" s="2" t="s">
        <v>58</v>
      </c>
      <c r="AE730" s="2" t="str">
        <f t="shared" si="160"/>
        <v>Valid</v>
      </c>
      <c r="AF730" s="2" t="s">
        <v>2340</v>
      </c>
    </row>
    <row r="731" spans="1:32" x14ac:dyDescent="0.3">
      <c r="A731" s="2" t="s">
        <v>2341</v>
      </c>
      <c r="B731" s="2">
        <f t="shared" si="149"/>
        <v>1</v>
      </c>
      <c r="C731" s="12">
        <f>DATE(VALUE(RIGHT(D731,4)),MATCH(LEFT(D731,3),{"Jan","Feb","Mar","Apr","May","Jun","Jul","Aug","Sep","Oct","Nov","Dec"},0),VALUE(MID(D731,5,2)))</f>
        <v>46238</v>
      </c>
      <c r="D731" s="13" t="s">
        <v>171</v>
      </c>
      <c r="E731" s="2" t="s">
        <v>1359</v>
      </c>
      <c r="F731" s="2" t="str">
        <f t="shared" si="151"/>
        <v>Email Available</v>
      </c>
      <c r="G731" s="2" t="s">
        <v>1360</v>
      </c>
      <c r="H731" s="2" t="s">
        <v>201</v>
      </c>
      <c r="I731" s="2" t="s">
        <v>191</v>
      </c>
      <c r="J731" s="2" t="s">
        <v>202</v>
      </c>
      <c r="K731" s="2">
        <v>2</v>
      </c>
      <c r="L731" s="2" t="s">
        <v>1212</v>
      </c>
      <c r="M731" s="19">
        <f t="shared" si="152"/>
        <v>24.99</v>
      </c>
      <c r="N731" s="2"/>
      <c r="O731" s="2" t="str">
        <f t="shared" si="153"/>
        <v/>
      </c>
      <c r="P731" s="2">
        <v>0</v>
      </c>
      <c r="Q731" s="19">
        <f t="shared" si="154"/>
        <v>0</v>
      </c>
      <c r="R731" s="2" t="str">
        <f t="shared" si="155"/>
        <v>Number</v>
      </c>
      <c r="S731" s="2">
        <v>4.99</v>
      </c>
      <c r="T731" s="19">
        <f t="shared" si="156"/>
        <v>4.99</v>
      </c>
      <c r="U731" s="2">
        <v>54.97</v>
      </c>
      <c r="V731" s="19">
        <f t="shared" si="157"/>
        <v>54.97</v>
      </c>
      <c r="W731" s="19">
        <f t="shared" si="158"/>
        <v>54.97</v>
      </c>
      <c r="X731" s="19" t="str">
        <f t="shared" si="159"/>
        <v>True</v>
      </c>
      <c r="Y731" s="19" t="str">
        <f>IF(OR(W731&lt;'Cleaning Tasks'!$G$18,W731&gt;'Cleaning Tasks'!$H$18),"Outlier","Normal")</f>
        <v>Normal</v>
      </c>
      <c r="Z731" s="2" t="s">
        <v>66</v>
      </c>
      <c r="AA731" s="2" t="s">
        <v>27</v>
      </c>
      <c r="AB731" s="2" t="s">
        <v>28</v>
      </c>
      <c r="AC731" s="2" t="s">
        <v>331</v>
      </c>
      <c r="AD731" s="2"/>
      <c r="AE731" s="2" t="str">
        <f t="shared" si="160"/>
        <v>Not Required</v>
      </c>
      <c r="AF731" s="2" t="s">
        <v>2342</v>
      </c>
    </row>
    <row r="732" spans="1:32" x14ac:dyDescent="0.3">
      <c r="A732" s="2" t="s">
        <v>2343</v>
      </c>
      <c r="B732" s="2">
        <f t="shared" si="149"/>
        <v>1</v>
      </c>
      <c r="C732" s="12">
        <f t="shared" ref="C732:C763" si="161">IF(ISNUMBER(D732),D732,DATEVALUE(SUBSTITUTE(TRIM(D732),CHAR(160)," ")))</f>
        <v>46238.58438385417</v>
      </c>
      <c r="D732" s="13">
        <v>46238.58438385417</v>
      </c>
      <c r="E732" s="2" t="s">
        <v>2344</v>
      </c>
      <c r="F732" s="2" t="str">
        <f t="shared" si="151"/>
        <v>Email Available</v>
      </c>
      <c r="G732" s="2" t="s">
        <v>214</v>
      </c>
      <c r="H732" s="2" t="s">
        <v>46</v>
      </c>
      <c r="I732" s="2" t="s">
        <v>47</v>
      </c>
      <c r="J732" s="2" t="s">
        <v>48</v>
      </c>
      <c r="K732" s="2">
        <v>1</v>
      </c>
      <c r="L732" s="2">
        <v>39.99</v>
      </c>
      <c r="M732" s="19">
        <f t="shared" si="152"/>
        <v>39.99</v>
      </c>
      <c r="N732" s="2"/>
      <c r="O732" s="2" t="str">
        <f t="shared" si="153"/>
        <v/>
      </c>
      <c r="P732" s="2">
        <v>0</v>
      </c>
      <c r="Q732" s="19">
        <f t="shared" si="154"/>
        <v>0</v>
      </c>
      <c r="R732" s="2" t="str">
        <f t="shared" si="155"/>
        <v>Number</v>
      </c>
      <c r="S732" s="2">
        <v>5.99</v>
      </c>
      <c r="T732" s="19">
        <f t="shared" si="156"/>
        <v>5.99</v>
      </c>
      <c r="U732" s="2">
        <v>45.98</v>
      </c>
      <c r="V732" s="19">
        <f t="shared" si="157"/>
        <v>45.98</v>
      </c>
      <c r="W732" s="19">
        <f t="shared" si="158"/>
        <v>45.980000000000004</v>
      </c>
      <c r="X732" s="19" t="str">
        <f t="shared" si="159"/>
        <v>True</v>
      </c>
      <c r="Y732" s="19" t="str">
        <f>IF(OR(W732&lt;'Cleaning Tasks'!$G$18,W732&gt;'Cleaning Tasks'!$H$18),"Outlier","Normal")</f>
        <v>Normal</v>
      </c>
      <c r="Z732" s="2" t="s">
        <v>26</v>
      </c>
      <c r="AA732" s="2" t="s">
        <v>111</v>
      </c>
      <c r="AB732" s="2" t="s">
        <v>96</v>
      </c>
      <c r="AC732" s="2" t="s">
        <v>29</v>
      </c>
      <c r="AD732" s="2" t="s">
        <v>89</v>
      </c>
      <c r="AE732" s="2" t="str">
        <f t="shared" si="160"/>
        <v>Valid</v>
      </c>
      <c r="AF732" s="2" t="s">
        <v>2345</v>
      </c>
    </row>
    <row r="733" spans="1:32" x14ac:dyDescent="0.3">
      <c r="A733" s="2" t="s">
        <v>2346</v>
      </c>
      <c r="B733" s="2">
        <f t="shared" si="149"/>
        <v>1</v>
      </c>
      <c r="C733" s="12">
        <f t="shared" si="161"/>
        <v>46238.587791134261</v>
      </c>
      <c r="D733" s="13">
        <v>46238.587791134261</v>
      </c>
      <c r="E733" s="2" t="s">
        <v>2347</v>
      </c>
      <c r="F733" s="2" t="str">
        <f t="shared" si="151"/>
        <v>Email Available</v>
      </c>
      <c r="G733" s="2" t="s">
        <v>177</v>
      </c>
      <c r="H733" s="2" t="s">
        <v>78</v>
      </c>
      <c r="I733" s="2" t="s">
        <v>79</v>
      </c>
      <c r="J733" s="2" t="s">
        <v>80</v>
      </c>
      <c r="K733" s="2">
        <v>1</v>
      </c>
      <c r="L733" s="2">
        <v>89.99</v>
      </c>
      <c r="M733" s="19">
        <f t="shared" si="152"/>
        <v>89.99</v>
      </c>
      <c r="N733" s="2"/>
      <c r="O733" s="2" t="str">
        <f t="shared" si="153"/>
        <v/>
      </c>
      <c r="P733" s="2">
        <v>0</v>
      </c>
      <c r="Q733" s="19">
        <f t="shared" si="154"/>
        <v>0</v>
      </c>
      <c r="R733" s="2" t="str">
        <f t="shared" si="155"/>
        <v>Number</v>
      </c>
      <c r="S733" s="2">
        <v>0</v>
      </c>
      <c r="T733" s="19">
        <f t="shared" si="156"/>
        <v>0</v>
      </c>
      <c r="U733" s="2">
        <v>89.99</v>
      </c>
      <c r="V733" s="19">
        <f t="shared" si="157"/>
        <v>89.99</v>
      </c>
      <c r="W733" s="19">
        <f t="shared" si="158"/>
        <v>89.99</v>
      </c>
      <c r="X733" s="19" t="str">
        <f t="shared" si="159"/>
        <v>True</v>
      </c>
      <c r="Y733" s="19" t="str">
        <f>IF(OR(W733&lt;'Cleaning Tasks'!$G$18,W733&gt;'Cleaning Tasks'!$H$18),"Outlier","Normal")</f>
        <v>Outlier</v>
      </c>
      <c r="Z733" s="2" t="s">
        <v>39</v>
      </c>
      <c r="AA733" s="2" t="s">
        <v>88</v>
      </c>
      <c r="AB733" s="2" t="s">
        <v>28</v>
      </c>
      <c r="AC733" s="2" t="s">
        <v>29</v>
      </c>
      <c r="AD733" s="2" t="s">
        <v>243</v>
      </c>
      <c r="AE733" s="2" t="str">
        <f t="shared" si="160"/>
        <v>Valid</v>
      </c>
      <c r="AF733" s="2" t="s">
        <v>2348</v>
      </c>
    </row>
    <row r="734" spans="1:32" x14ac:dyDescent="0.3">
      <c r="A734" s="2" t="s">
        <v>2349</v>
      </c>
      <c r="B734" s="2">
        <f t="shared" si="149"/>
        <v>1</v>
      </c>
      <c r="C734" s="12">
        <f t="shared" si="161"/>
        <v>46238.580530243053</v>
      </c>
      <c r="D734" s="13">
        <v>46238.580530243053</v>
      </c>
      <c r="E734" s="2" t="s">
        <v>160</v>
      </c>
      <c r="F734" s="2" t="str">
        <f t="shared" si="151"/>
        <v>Email Available</v>
      </c>
      <c r="G734" s="2" t="s">
        <v>161</v>
      </c>
      <c r="H734" s="2" t="s">
        <v>201</v>
      </c>
      <c r="I734" s="2" t="s">
        <v>191</v>
      </c>
      <c r="J734" s="2" t="s">
        <v>202</v>
      </c>
      <c r="K734" s="2">
        <v>4</v>
      </c>
      <c r="L734" s="2">
        <v>24.99</v>
      </c>
      <c r="M734" s="19">
        <f t="shared" si="152"/>
        <v>24.99</v>
      </c>
      <c r="N734" s="2" t="s">
        <v>203</v>
      </c>
      <c r="O734" s="2" t="str">
        <f t="shared" si="153"/>
        <v>VIP15</v>
      </c>
      <c r="P734" s="2">
        <v>14.99</v>
      </c>
      <c r="Q734" s="19">
        <f t="shared" si="154"/>
        <v>14.99</v>
      </c>
      <c r="R734" s="2" t="str">
        <f t="shared" si="155"/>
        <v>Number</v>
      </c>
      <c r="S734" s="2">
        <v>0</v>
      </c>
      <c r="T734" s="19">
        <f t="shared" si="156"/>
        <v>0</v>
      </c>
      <c r="U734" s="2">
        <v>84.97</v>
      </c>
      <c r="V734" s="19">
        <f t="shared" si="157"/>
        <v>84.97</v>
      </c>
      <c r="W734" s="19">
        <f t="shared" si="158"/>
        <v>84.97</v>
      </c>
      <c r="X734" s="19" t="str">
        <f t="shared" si="159"/>
        <v>True</v>
      </c>
      <c r="Y734" s="19" t="str">
        <f>IF(OR(W734&lt;'Cleaning Tasks'!$G$18,W734&gt;'Cleaning Tasks'!$H$18),"Outlier","Normal")</f>
        <v>Outlier</v>
      </c>
      <c r="Z734" s="2" t="s">
        <v>39</v>
      </c>
      <c r="AA734" s="2" t="s">
        <v>88</v>
      </c>
      <c r="AB734" s="2" t="s">
        <v>50</v>
      </c>
      <c r="AC734" s="2" t="s">
        <v>29</v>
      </c>
      <c r="AD734" s="2" t="s">
        <v>58</v>
      </c>
      <c r="AE734" s="2" t="str">
        <f t="shared" si="160"/>
        <v>Valid</v>
      </c>
      <c r="AF734" s="2" t="s">
        <v>2350</v>
      </c>
    </row>
    <row r="735" spans="1:32" x14ac:dyDescent="0.3">
      <c r="A735" s="2" t="s">
        <v>2351</v>
      </c>
      <c r="B735" s="2">
        <f t="shared" si="149"/>
        <v>1</v>
      </c>
      <c r="C735" s="12">
        <f t="shared" si="161"/>
        <v>46238.588006701393</v>
      </c>
      <c r="D735" s="13">
        <v>46238.588006701393</v>
      </c>
      <c r="E735" s="2" t="s">
        <v>2352</v>
      </c>
      <c r="F735" s="2" t="str">
        <f t="shared" si="151"/>
        <v>Email Available</v>
      </c>
      <c r="G735" s="2" t="s">
        <v>2353</v>
      </c>
      <c r="H735" s="2" t="s">
        <v>201</v>
      </c>
      <c r="I735" s="2" t="s">
        <v>191</v>
      </c>
      <c r="J735" s="2" t="s">
        <v>202</v>
      </c>
      <c r="K735" s="2">
        <v>1</v>
      </c>
      <c r="L735" s="2">
        <v>24.99</v>
      </c>
      <c r="M735" s="19">
        <f t="shared" si="152"/>
        <v>24.99</v>
      </c>
      <c r="N735" s="2"/>
      <c r="O735" s="2" t="str">
        <f t="shared" si="153"/>
        <v/>
      </c>
      <c r="P735" s="2">
        <v>0</v>
      </c>
      <c r="Q735" s="19">
        <f t="shared" si="154"/>
        <v>0</v>
      </c>
      <c r="R735" s="2" t="str">
        <f t="shared" si="155"/>
        <v>Number</v>
      </c>
      <c r="S735" s="2">
        <v>4.99</v>
      </c>
      <c r="T735" s="19">
        <f t="shared" si="156"/>
        <v>4.99</v>
      </c>
      <c r="U735" s="2">
        <v>29.98</v>
      </c>
      <c r="V735" s="19">
        <f t="shared" si="157"/>
        <v>29.98</v>
      </c>
      <c r="W735" s="19">
        <f t="shared" si="158"/>
        <v>29.979999999999997</v>
      </c>
      <c r="X735" s="19" t="str">
        <f t="shared" si="159"/>
        <v>True</v>
      </c>
      <c r="Y735" s="19" t="str">
        <f>IF(OR(W735&lt;'Cleaning Tasks'!$G$18,W735&gt;'Cleaning Tasks'!$H$18),"Outlier","Normal")</f>
        <v>Normal</v>
      </c>
      <c r="Z735" s="2" t="s">
        <v>26</v>
      </c>
      <c r="AA735" s="2" t="s">
        <v>27</v>
      </c>
      <c r="AB735" s="2" t="s">
        <v>96</v>
      </c>
      <c r="AC735" s="2" t="s">
        <v>29</v>
      </c>
      <c r="AD735" s="2" t="s">
        <v>341</v>
      </c>
      <c r="AE735" s="2" t="str">
        <f t="shared" si="160"/>
        <v>Valid</v>
      </c>
      <c r="AF735" s="2" t="s">
        <v>2354</v>
      </c>
    </row>
    <row r="736" spans="1:32" x14ac:dyDescent="0.3">
      <c r="A736" s="2" t="s">
        <v>2355</v>
      </c>
      <c r="B736" s="2">
        <f t="shared" si="149"/>
        <v>1</v>
      </c>
      <c r="C736" s="12">
        <f t="shared" si="161"/>
        <v>46238.579874930547</v>
      </c>
      <c r="D736" s="13">
        <v>46238.579874930547</v>
      </c>
      <c r="E736" s="2" t="s">
        <v>677</v>
      </c>
      <c r="F736" s="2" t="str">
        <f t="shared" si="151"/>
        <v>Email Available</v>
      </c>
      <c r="G736" s="2" t="s">
        <v>478</v>
      </c>
      <c r="H736" s="2" t="s">
        <v>236</v>
      </c>
      <c r="I736" s="2" t="s">
        <v>237</v>
      </c>
      <c r="J736" s="2" t="s">
        <v>238</v>
      </c>
      <c r="K736" s="2">
        <v>1</v>
      </c>
      <c r="L736" s="2">
        <v>27.99</v>
      </c>
      <c r="M736" s="19">
        <f t="shared" si="152"/>
        <v>27.99</v>
      </c>
      <c r="N736" s="2" t="s">
        <v>65</v>
      </c>
      <c r="O736" s="2" t="str">
        <f t="shared" si="153"/>
        <v>WELCOME10</v>
      </c>
      <c r="P736" s="2">
        <v>2.8</v>
      </c>
      <c r="Q736" s="19">
        <f t="shared" si="154"/>
        <v>2.8</v>
      </c>
      <c r="R736" s="2" t="str">
        <f t="shared" si="155"/>
        <v>Number</v>
      </c>
      <c r="S736" s="2">
        <v>5.99</v>
      </c>
      <c r="T736" s="19">
        <f t="shared" si="156"/>
        <v>5.99</v>
      </c>
      <c r="U736" s="2">
        <v>31.18</v>
      </c>
      <c r="V736" s="19">
        <f t="shared" si="157"/>
        <v>31.18</v>
      </c>
      <c r="W736" s="19">
        <f t="shared" si="158"/>
        <v>31.18</v>
      </c>
      <c r="X736" s="19" t="str">
        <f t="shared" si="159"/>
        <v>True</v>
      </c>
      <c r="Y736" s="19" t="str">
        <f>IF(OR(W736&lt;'Cleaning Tasks'!$G$18,W736&gt;'Cleaning Tasks'!$H$18),"Outlier","Normal")</f>
        <v>Normal</v>
      </c>
      <c r="Z736" s="2" t="s">
        <v>26</v>
      </c>
      <c r="AA736" s="2" t="s">
        <v>88</v>
      </c>
      <c r="AB736" s="2" t="s">
        <v>50</v>
      </c>
      <c r="AC736" s="2" t="s">
        <v>29</v>
      </c>
      <c r="AD736" s="2" t="s">
        <v>89</v>
      </c>
      <c r="AE736" s="2" t="str">
        <f t="shared" si="160"/>
        <v>Valid</v>
      </c>
      <c r="AF736" s="2" t="s">
        <v>2356</v>
      </c>
    </row>
    <row r="737" spans="1:32" x14ac:dyDescent="0.3">
      <c r="A737" s="2" t="s">
        <v>2357</v>
      </c>
      <c r="B737" s="2">
        <f t="shared" si="149"/>
        <v>1</v>
      </c>
      <c r="C737" s="12">
        <f t="shared" si="161"/>
        <v>46238.580269652783</v>
      </c>
      <c r="D737" s="13">
        <v>46238.580269652783</v>
      </c>
      <c r="E737" s="2" t="s">
        <v>413</v>
      </c>
      <c r="F737" s="2" t="str">
        <f t="shared" si="151"/>
        <v>Email Available</v>
      </c>
      <c r="G737" s="2" t="s">
        <v>414</v>
      </c>
      <c r="H737" s="2" t="s">
        <v>190</v>
      </c>
      <c r="I737" s="2" t="s">
        <v>191</v>
      </c>
      <c r="J737" s="2" t="s">
        <v>192</v>
      </c>
      <c r="K737" s="2">
        <v>1</v>
      </c>
      <c r="L737" s="2">
        <v>13.49</v>
      </c>
      <c r="M737" s="19">
        <f t="shared" si="152"/>
        <v>13.49</v>
      </c>
      <c r="N737" s="2"/>
      <c r="O737" s="2" t="str">
        <f t="shared" si="153"/>
        <v/>
      </c>
      <c r="P737" s="2">
        <v>0</v>
      </c>
      <c r="Q737" s="19">
        <f t="shared" si="154"/>
        <v>0</v>
      </c>
      <c r="R737" s="2" t="str">
        <f t="shared" si="155"/>
        <v>Number</v>
      </c>
      <c r="S737" s="2">
        <v>7.99</v>
      </c>
      <c r="T737" s="19">
        <f t="shared" si="156"/>
        <v>7.99</v>
      </c>
      <c r="U737" s="2">
        <v>21.48</v>
      </c>
      <c r="V737" s="19">
        <f t="shared" si="157"/>
        <v>21.48</v>
      </c>
      <c r="W737" s="19">
        <f t="shared" si="158"/>
        <v>21.48</v>
      </c>
      <c r="X737" s="19" t="str">
        <f t="shared" si="159"/>
        <v>True</v>
      </c>
      <c r="Y737" s="19" t="str">
        <f>IF(OR(W737&lt;'Cleaning Tasks'!$G$18,W737&gt;'Cleaning Tasks'!$H$18),"Outlier","Normal")</f>
        <v>Normal</v>
      </c>
      <c r="Z737" s="2" t="s">
        <v>49</v>
      </c>
      <c r="AA737" s="2" t="s">
        <v>111</v>
      </c>
      <c r="AB737" s="2" t="s">
        <v>28</v>
      </c>
      <c r="AC737" s="2" t="s">
        <v>331</v>
      </c>
      <c r="AD737" s="2"/>
      <c r="AE737" s="2" t="str">
        <f t="shared" si="160"/>
        <v>Not Required</v>
      </c>
      <c r="AF737" s="2" t="s">
        <v>2358</v>
      </c>
    </row>
    <row r="738" spans="1:32" x14ac:dyDescent="0.3">
      <c r="A738" s="2" t="s">
        <v>2359</v>
      </c>
      <c r="B738" s="2">
        <f t="shared" si="149"/>
        <v>1</v>
      </c>
      <c r="C738" s="12">
        <f t="shared" si="161"/>
        <v>46238.58863140046</v>
      </c>
      <c r="D738" s="13">
        <v>46238.58863140046</v>
      </c>
      <c r="E738" s="2" t="s">
        <v>625</v>
      </c>
      <c r="F738" s="2" t="str">
        <f t="shared" si="151"/>
        <v>Email Available</v>
      </c>
      <c r="G738" s="2" t="s">
        <v>626</v>
      </c>
      <c r="H738" s="2" t="s">
        <v>267</v>
      </c>
      <c r="I738" s="2" t="s">
        <v>22</v>
      </c>
      <c r="J738" s="2" t="s">
        <v>268</v>
      </c>
      <c r="K738" s="2">
        <v>1</v>
      </c>
      <c r="L738" s="2">
        <v>18.989999999999998</v>
      </c>
      <c r="M738" s="19">
        <f t="shared" si="152"/>
        <v>18.989999999999998</v>
      </c>
      <c r="N738" s="2" t="s">
        <v>38</v>
      </c>
      <c r="O738" s="2" t="str">
        <f t="shared" si="153"/>
        <v>FREESHIP</v>
      </c>
      <c r="P738" s="2">
        <v>0</v>
      </c>
      <c r="Q738" s="19">
        <f t="shared" si="154"/>
        <v>0</v>
      </c>
      <c r="R738" s="2" t="str">
        <f t="shared" si="155"/>
        <v>Number</v>
      </c>
      <c r="S738" s="2">
        <v>0</v>
      </c>
      <c r="T738" s="19">
        <f t="shared" si="156"/>
        <v>0</v>
      </c>
      <c r="U738" s="2">
        <v>18.989999999999998</v>
      </c>
      <c r="V738" s="19">
        <f t="shared" si="157"/>
        <v>18.989999999999998</v>
      </c>
      <c r="W738" s="19">
        <f t="shared" si="158"/>
        <v>18.989999999999998</v>
      </c>
      <c r="X738" s="19" t="str">
        <f t="shared" si="159"/>
        <v>True</v>
      </c>
      <c r="Y738" s="19" t="str">
        <f>IF(OR(W738&lt;'Cleaning Tasks'!$G$18,W738&gt;'Cleaning Tasks'!$H$18),"Outlier","Normal")</f>
        <v>Normal</v>
      </c>
      <c r="Z738" s="2" t="s">
        <v>26</v>
      </c>
      <c r="AA738" s="2" t="s">
        <v>111</v>
      </c>
      <c r="AB738" s="2" t="s">
        <v>50</v>
      </c>
      <c r="AC738" s="2" t="s">
        <v>29</v>
      </c>
      <c r="AD738" s="22" t="s">
        <v>67</v>
      </c>
      <c r="AE738" s="2" t="str">
        <f t="shared" si="160"/>
        <v>Valid</v>
      </c>
      <c r="AF738" s="2" t="s">
        <v>2360</v>
      </c>
    </row>
    <row r="739" spans="1:32" x14ac:dyDescent="0.3">
      <c r="A739" s="2" t="s">
        <v>2361</v>
      </c>
      <c r="B739" s="2">
        <f t="shared" si="149"/>
        <v>1</v>
      </c>
      <c r="C739" s="12">
        <f t="shared" si="161"/>
        <v>46238.57895722222</v>
      </c>
      <c r="D739" s="13">
        <v>46238.57895722222</v>
      </c>
      <c r="E739" s="2" t="s">
        <v>815</v>
      </c>
      <c r="F739" s="2" t="str">
        <f t="shared" si="151"/>
        <v>Email Available</v>
      </c>
      <c r="G739" s="2" t="s">
        <v>816</v>
      </c>
      <c r="H739" s="2" t="s">
        <v>117</v>
      </c>
      <c r="I739" s="2" t="s">
        <v>22</v>
      </c>
      <c r="J739" s="2" t="s">
        <v>23</v>
      </c>
      <c r="K739" s="2">
        <v>1</v>
      </c>
      <c r="L739" s="2">
        <v>12.99</v>
      </c>
      <c r="M739" s="19">
        <f t="shared" si="152"/>
        <v>12.99</v>
      </c>
      <c r="N739" s="2" t="s">
        <v>24</v>
      </c>
      <c r="O739" s="2" t="str">
        <f t="shared" si="153"/>
        <v>SAVE20</v>
      </c>
      <c r="P739" s="2">
        <v>2.6</v>
      </c>
      <c r="Q739" s="19">
        <f t="shared" si="154"/>
        <v>2.6</v>
      </c>
      <c r="R739" s="2" t="str">
        <f t="shared" si="155"/>
        <v>Number</v>
      </c>
      <c r="S739" s="2">
        <v>5.99</v>
      </c>
      <c r="T739" s="19">
        <f t="shared" si="156"/>
        <v>5.99</v>
      </c>
      <c r="U739" s="2">
        <v>16.38</v>
      </c>
      <c r="V739" s="19">
        <f t="shared" si="157"/>
        <v>16.38</v>
      </c>
      <c r="W739" s="19">
        <f t="shared" si="158"/>
        <v>16.380000000000003</v>
      </c>
      <c r="X739" s="19" t="str">
        <f t="shared" si="159"/>
        <v>True</v>
      </c>
      <c r="Y739" s="19" t="str">
        <f>IF(OR(W739&lt;'Cleaning Tasks'!$G$18,W739&gt;'Cleaning Tasks'!$H$18),"Outlier","Normal")</f>
        <v>Normal</v>
      </c>
      <c r="Z739" s="2" t="s">
        <v>49</v>
      </c>
      <c r="AA739" s="2" t="s">
        <v>27</v>
      </c>
      <c r="AB739" s="2" t="s">
        <v>28</v>
      </c>
      <c r="AC739" s="2" t="s">
        <v>73</v>
      </c>
      <c r="AD739" s="2"/>
      <c r="AE739" s="2" t="str">
        <f t="shared" si="160"/>
        <v>Not Required</v>
      </c>
      <c r="AF739" s="2" t="s">
        <v>2362</v>
      </c>
    </row>
    <row r="740" spans="1:32" x14ac:dyDescent="0.3">
      <c r="A740" s="2" t="s">
        <v>2363</v>
      </c>
      <c r="B740" s="2">
        <f t="shared" si="149"/>
        <v>1</v>
      </c>
      <c r="C740" s="12">
        <f t="shared" si="161"/>
        <v>46238.584296678237</v>
      </c>
      <c r="D740" s="13">
        <v>46238.584296678237</v>
      </c>
      <c r="E740" s="2" t="s">
        <v>1735</v>
      </c>
      <c r="F740" s="2" t="str">
        <f t="shared" si="151"/>
        <v>Email Available</v>
      </c>
      <c r="G740" s="2" t="s">
        <v>1736</v>
      </c>
      <c r="H740" s="2" t="s">
        <v>124</v>
      </c>
      <c r="I740" s="2" t="s">
        <v>79</v>
      </c>
      <c r="J740" s="2" t="s">
        <v>125</v>
      </c>
      <c r="K740" s="2">
        <v>1</v>
      </c>
      <c r="L740" s="2">
        <v>13.99</v>
      </c>
      <c r="M740" s="19">
        <f t="shared" si="152"/>
        <v>13.99</v>
      </c>
      <c r="N740" s="2"/>
      <c r="O740" s="2" t="str">
        <f t="shared" si="153"/>
        <v/>
      </c>
      <c r="P740" s="2">
        <v>0</v>
      </c>
      <c r="Q740" s="19">
        <f t="shared" si="154"/>
        <v>0</v>
      </c>
      <c r="R740" s="2" t="str">
        <f t="shared" si="155"/>
        <v>Number</v>
      </c>
      <c r="S740" s="2">
        <v>4.99</v>
      </c>
      <c r="T740" s="19">
        <f t="shared" si="156"/>
        <v>4.99</v>
      </c>
      <c r="U740" s="2">
        <v>18.98</v>
      </c>
      <c r="V740" s="19">
        <f t="shared" si="157"/>
        <v>18.98</v>
      </c>
      <c r="W740" s="19">
        <f t="shared" si="158"/>
        <v>18.98</v>
      </c>
      <c r="X740" s="19" t="str">
        <f t="shared" si="159"/>
        <v>True</v>
      </c>
      <c r="Y740" s="19" t="str">
        <f>IF(OR(W740&lt;'Cleaning Tasks'!$G$18,W740&gt;'Cleaning Tasks'!$H$18),"Outlier","Normal")</f>
        <v>Normal</v>
      </c>
      <c r="Z740" s="2" t="s">
        <v>66</v>
      </c>
      <c r="AA740" s="2" t="s">
        <v>27</v>
      </c>
      <c r="AB740" s="2" t="s">
        <v>41</v>
      </c>
      <c r="AC740" s="2" t="s">
        <v>331</v>
      </c>
      <c r="AD740" s="2"/>
      <c r="AE740" s="2" t="str">
        <f t="shared" si="160"/>
        <v>Not Required</v>
      </c>
      <c r="AF740" s="2" t="s">
        <v>2364</v>
      </c>
    </row>
    <row r="741" spans="1:32" x14ac:dyDescent="0.3">
      <c r="A741" s="2" t="s">
        <v>2365</v>
      </c>
      <c r="B741" s="2">
        <f t="shared" si="149"/>
        <v>1</v>
      </c>
      <c r="C741" s="12">
        <f t="shared" si="161"/>
        <v>46238.585965127313</v>
      </c>
      <c r="D741" s="13">
        <v>46238.585965127313</v>
      </c>
      <c r="E741" s="2" t="s">
        <v>1941</v>
      </c>
      <c r="F741" s="2" t="str">
        <f t="shared" si="151"/>
        <v>Email Available</v>
      </c>
      <c r="G741" s="2" t="s">
        <v>1942</v>
      </c>
      <c r="H741" s="2" t="s">
        <v>309</v>
      </c>
      <c r="I741" s="2" t="s">
        <v>36</v>
      </c>
      <c r="J741" s="2" t="s">
        <v>310</v>
      </c>
      <c r="K741" s="2">
        <v>1</v>
      </c>
      <c r="L741" s="2">
        <v>8.99</v>
      </c>
      <c r="M741" s="19">
        <f t="shared" si="152"/>
        <v>8.99</v>
      </c>
      <c r="N741" s="2"/>
      <c r="O741" s="2" t="str">
        <f t="shared" si="153"/>
        <v/>
      </c>
      <c r="P741" s="2">
        <v>0</v>
      </c>
      <c r="Q741" s="19">
        <f t="shared" si="154"/>
        <v>0</v>
      </c>
      <c r="R741" s="2" t="str">
        <f t="shared" si="155"/>
        <v>Number</v>
      </c>
      <c r="S741" s="2">
        <v>4.99</v>
      </c>
      <c r="T741" s="19">
        <f t="shared" si="156"/>
        <v>4.99</v>
      </c>
      <c r="U741" s="2">
        <v>13.98</v>
      </c>
      <c r="V741" s="19">
        <f t="shared" si="157"/>
        <v>13.98</v>
      </c>
      <c r="W741" s="19">
        <f t="shared" si="158"/>
        <v>13.98</v>
      </c>
      <c r="X741" s="19" t="str">
        <f t="shared" si="159"/>
        <v>True</v>
      </c>
      <c r="Y741" s="19" t="str">
        <f>IF(OR(W741&lt;'Cleaning Tasks'!$G$18,W741&gt;'Cleaning Tasks'!$H$18),"Outlier","Normal")</f>
        <v>Normal</v>
      </c>
      <c r="Z741" s="2" t="s">
        <v>49</v>
      </c>
      <c r="AA741" s="2" t="s">
        <v>27</v>
      </c>
      <c r="AB741" s="2" t="s">
        <v>96</v>
      </c>
      <c r="AC741" s="2" t="s">
        <v>331</v>
      </c>
      <c r="AD741" s="2"/>
      <c r="AE741" s="2" t="str">
        <f t="shared" si="160"/>
        <v>Not Required</v>
      </c>
      <c r="AF741" s="2" t="s">
        <v>2366</v>
      </c>
    </row>
    <row r="742" spans="1:32" x14ac:dyDescent="0.3">
      <c r="A742" s="2" t="s">
        <v>2367</v>
      </c>
      <c r="B742" s="2">
        <f t="shared" si="149"/>
        <v>1</v>
      </c>
      <c r="C742" s="12">
        <f t="shared" si="161"/>
        <v>46238.581400648152</v>
      </c>
      <c r="D742" s="13">
        <v>46238.581400648152</v>
      </c>
      <c r="E742" s="2" t="s">
        <v>1275</v>
      </c>
      <c r="F742" s="2" t="str">
        <f t="shared" si="151"/>
        <v>Email Available</v>
      </c>
      <c r="G742" s="2" t="s">
        <v>1256</v>
      </c>
      <c r="H742" s="2" t="s">
        <v>146</v>
      </c>
      <c r="I742" s="2" t="s">
        <v>47</v>
      </c>
      <c r="J742" s="2" t="s">
        <v>147</v>
      </c>
      <c r="K742" s="2">
        <v>2</v>
      </c>
      <c r="L742" s="2">
        <v>34.99</v>
      </c>
      <c r="M742" s="19">
        <f t="shared" si="152"/>
        <v>34.99</v>
      </c>
      <c r="N742" s="2" t="s">
        <v>65</v>
      </c>
      <c r="O742" s="2" t="str">
        <f t="shared" si="153"/>
        <v>WELCOME10</v>
      </c>
      <c r="P742" s="2">
        <v>7</v>
      </c>
      <c r="Q742" s="19">
        <f t="shared" si="154"/>
        <v>7</v>
      </c>
      <c r="R742" s="2" t="str">
        <f t="shared" si="155"/>
        <v>Number</v>
      </c>
      <c r="S742" s="2">
        <v>4.99</v>
      </c>
      <c r="T742" s="19">
        <f t="shared" si="156"/>
        <v>4.99</v>
      </c>
      <c r="U742" s="2">
        <v>67.97</v>
      </c>
      <c r="V742" s="19">
        <f t="shared" si="157"/>
        <v>67.97</v>
      </c>
      <c r="W742" s="19">
        <f t="shared" si="158"/>
        <v>67.97</v>
      </c>
      <c r="X742" s="19" t="str">
        <f t="shared" si="159"/>
        <v>True</v>
      </c>
      <c r="Y742" s="19" t="str">
        <f>IF(OR(W742&lt;'Cleaning Tasks'!$G$18,W742&gt;'Cleaning Tasks'!$H$18),"Outlier","Normal")</f>
        <v>Normal</v>
      </c>
      <c r="Z742" s="2" t="s">
        <v>66</v>
      </c>
      <c r="AA742" s="2" t="s">
        <v>88</v>
      </c>
      <c r="AB742" s="2" t="s">
        <v>41</v>
      </c>
      <c r="AC742" s="2" t="s">
        <v>105</v>
      </c>
      <c r="AD742" s="2"/>
      <c r="AE742" s="2" t="str">
        <f t="shared" si="160"/>
        <v>Not Required</v>
      </c>
      <c r="AF742" s="2" t="s">
        <v>2368</v>
      </c>
    </row>
    <row r="743" spans="1:32" x14ac:dyDescent="0.3">
      <c r="A743" s="2" t="s">
        <v>2369</v>
      </c>
      <c r="B743" s="2">
        <f t="shared" si="149"/>
        <v>1</v>
      </c>
      <c r="C743" s="12">
        <f t="shared" si="161"/>
        <v>46238.583963263889</v>
      </c>
      <c r="D743" s="13">
        <v>46238.583963263889</v>
      </c>
      <c r="E743" s="2" t="s">
        <v>2370</v>
      </c>
      <c r="F743" s="2" t="str">
        <f t="shared" si="151"/>
        <v>Email Available</v>
      </c>
      <c r="G743" s="2" t="s">
        <v>2371</v>
      </c>
      <c r="H743" s="2" t="s">
        <v>130</v>
      </c>
      <c r="I743" s="2" t="s">
        <v>103</v>
      </c>
      <c r="J743" s="2" t="s">
        <v>131</v>
      </c>
      <c r="K743" s="2">
        <v>1</v>
      </c>
      <c r="L743" s="2">
        <v>16.989999999999998</v>
      </c>
      <c r="M743" s="19">
        <f t="shared" si="152"/>
        <v>16.989999999999998</v>
      </c>
      <c r="N743" s="2" t="s">
        <v>118</v>
      </c>
      <c r="O743" s="2" t="str">
        <f t="shared" si="153"/>
        <v>BFCM25</v>
      </c>
      <c r="P743" s="2">
        <v>4.25</v>
      </c>
      <c r="Q743" s="19">
        <f t="shared" si="154"/>
        <v>4.25</v>
      </c>
      <c r="R743" s="2" t="str">
        <f t="shared" si="155"/>
        <v>Number</v>
      </c>
      <c r="S743" s="2">
        <v>7.99</v>
      </c>
      <c r="T743" s="19">
        <f t="shared" si="156"/>
        <v>7.99</v>
      </c>
      <c r="U743" s="2">
        <v>20.73</v>
      </c>
      <c r="V743" s="19">
        <f t="shared" si="157"/>
        <v>20.73</v>
      </c>
      <c r="W743" s="19">
        <f t="shared" si="158"/>
        <v>20.729999999999997</v>
      </c>
      <c r="X743" s="19" t="str">
        <f t="shared" si="159"/>
        <v>True</v>
      </c>
      <c r="Y743" s="19" t="str">
        <f>IF(OR(W743&lt;'Cleaning Tasks'!$G$18,W743&gt;'Cleaning Tasks'!$H$18),"Outlier","Normal")</f>
        <v>Normal</v>
      </c>
      <c r="Z743" s="2" t="s">
        <v>26</v>
      </c>
      <c r="AA743" s="2" t="s">
        <v>40</v>
      </c>
      <c r="AB743" s="2" t="s">
        <v>96</v>
      </c>
      <c r="AC743" s="2" t="s">
        <v>105</v>
      </c>
      <c r="AD743" s="2"/>
      <c r="AE743" s="2" t="str">
        <f t="shared" si="160"/>
        <v>Not Required</v>
      </c>
      <c r="AF743" s="2" t="s">
        <v>2372</v>
      </c>
    </row>
    <row r="744" spans="1:32" x14ac:dyDescent="0.3">
      <c r="A744" s="2" t="s">
        <v>2373</v>
      </c>
      <c r="B744" s="2">
        <f t="shared" si="149"/>
        <v>1</v>
      </c>
      <c r="C744" s="12">
        <f t="shared" si="161"/>
        <v>46238</v>
      </c>
      <c r="D744" s="13" t="s">
        <v>714</v>
      </c>
      <c r="E744" s="2" t="s">
        <v>1596</v>
      </c>
      <c r="F744" s="2" t="str">
        <f t="shared" si="151"/>
        <v>Email Available</v>
      </c>
      <c r="G744" s="2" t="s">
        <v>1597</v>
      </c>
      <c r="H744" s="2" t="s">
        <v>221</v>
      </c>
      <c r="I744" s="2" t="s">
        <v>22</v>
      </c>
      <c r="J744" s="2" t="s">
        <v>222</v>
      </c>
      <c r="K744" s="2">
        <v>1</v>
      </c>
      <c r="L744" s="2">
        <v>17.989999999999998</v>
      </c>
      <c r="M744" s="19">
        <f t="shared" si="152"/>
        <v>17.989999999999998</v>
      </c>
      <c r="N744" s="2" t="s">
        <v>203</v>
      </c>
      <c r="O744" s="2" t="str">
        <f t="shared" si="153"/>
        <v>VIP15</v>
      </c>
      <c r="P744" s="2">
        <v>2.7</v>
      </c>
      <c r="Q744" s="19">
        <f t="shared" si="154"/>
        <v>2.7</v>
      </c>
      <c r="R744" s="2" t="str">
        <f t="shared" si="155"/>
        <v>Number</v>
      </c>
      <c r="S744" s="2">
        <v>5.99</v>
      </c>
      <c r="T744" s="19">
        <f t="shared" si="156"/>
        <v>5.99</v>
      </c>
      <c r="U744" s="2">
        <v>21.28</v>
      </c>
      <c r="V744" s="19">
        <f t="shared" si="157"/>
        <v>21.28</v>
      </c>
      <c r="W744" s="19">
        <f t="shared" si="158"/>
        <v>21.28</v>
      </c>
      <c r="X744" s="19" t="str">
        <f t="shared" si="159"/>
        <v>True</v>
      </c>
      <c r="Y744" s="19" t="str">
        <f>IF(OR(W744&lt;'Cleaning Tasks'!$G$18,W744&gt;'Cleaning Tasks'!$H$18),"Outlier","Normal")</f>
        <v>Normal</v>
      </c>
      <c r="Z744" s="2" t="s">
        <v>66</v>
      </c>
      <c r="AA744" s="2" t="s">
        <v>27</v>
      </c>
      <c r="AB744" s="2" t="s">
        <v>28</v>
      </c>
      <c r="AC744" s="2" t="s">
        <v>73</v>
      </c>
      <c r="AD744" s="2"/>
      <c r="AE744" s="2" t="str">
        <f t="shared" si="160"/>
        <v>Not Required</v>
      </c>
      <c r="AF744" s="2" t="s">
        <v>2374</v>
      </c>
    </row>
    <row r="745" spans="1:32" x14ac:dyDescent="0.3">
      <c r="A745" s="2" t="s">
        <v>2375</v>
      </c>
      <c r="B745" s="2">
        <f t="shared" si="149"/>
        <v>1</v>
      </c>
      <c r="C745" s="12">
        <f t="shared" si="161"/>
        <v>46238.581945115737</v>
      </c>
      <c r="D745" s="13">
        <v>46238.581945115737</v>
      </c>
      <c r="E745" s="2" t="s">
        <v>871</v>
      </c>
      <c r="F745" s="2" t="str">
        <f t="shared" si="151"/>
        <v>Email Available</v>
      </c>
      <c r="G745" s="2" t="s">
        <v>872</v>
      </c>
      <c r="H745" s="2" t="s">
        <v>190</v>
      </c>
      <c r="I745" s="2" t="s">
        <v>191</v>
      </c>
      <c r="J745" s="2" t="s">
        <v>192</v>
      </c>
      <c r="K745" s="2">
        <v>2</v>
      </c>
      <c r="L745" s="2">
        <v>13.49</v>
      </c>
      <c r="M745" s="19">
        <f t="shared" si="152"/>
        <v>13.49</v>
      </c>
      <c r="N745" s="2" t="s">
        <v>24</v>
      </c>
      <c r="O745" s="2" t="str">
        <f t="shared" si="153"/>
        <v>SAVE20</v>
      </c>
      <c r="P745" s="2" t="s">
        <v>982</v>
      </c>
      <c r="Q745" s="19">
        <f t="shared" si="154"/>
        <v>5.4</v>
      </c>
      <c r="R745" s="2" t="str">
        <f t="shared" si="155"/>
        <v>Number</v>
      </c>
      <c r="S745" s="2">
        <v>7.99</v>
      </c>
      <c r="T745" s="19">
        <f t="shared" si="156"/>
        <v>7.99</v>
      </c>
      <c r="U745" s="2">
        <v>29.57</v>
      </c>
      <c r="V745" s="19">
        <f t="shared" si="157"/>
        <v>29.57</v>
      </c>
      <c r="W745" s="19">
        <f t="shared" si="158"/>
        <v>29.57</v>
      </c>
      <c r="X745" s="19" t="str">
        <f t="shared" si="159"/>
        <v>True</v>
      </c>
      <c r="Y745" s="19" t="str">
        <f>IF(OR(W745&lt;'Cleaning Tasks'!$G$18,W745&gt;'Cleaning Tasks'!$H$18),"Outlier","Normal")</f>
        <v>Normal</v>
      </c>
      <c r="Z745" s="2" t="s">
        <v>72</v>
      </c>
      <c r="AA745" s="2" t="s">
        <v>111</v>
      </c>
      <c r="AB745" s="2" t="s">
        <v>28</v>
      </c>
      <c r="AC745" s="2" t="s">
        <v>29</v>
      </c>
      <c r="AD745" s="2" t="s">
        <v>67</v>
      </c>
      <c r="AE745" s="2" t="str">
        <f t="shared" si="160"/>
        <v>Valid</v>
      </c>
      <c r="AF745" s="2" t="s">
        <v>2376</v>
      </c>
    </row>
    <row r="746" spans="1:32" x14ac:dyDescent="0.3">
      <c r="A746" s="2" t="s">
        <v>2377</v>
      </c>
      <c r="B746" s="2">
        <f t="shared" si="149"/>
        <v>1</v>
      </c>
      <c r="C746" s="12">
        <f t="shared" si="161"/>
        <v>46238.580686574067</v>
      </c>
      <c r="D746" s="13">
        <v>46238.580686574067</v>
      </c>
      <c r="E746" s="2" t="s">
        <v>2192</v>
      </c>
      <c r="F746" s="2" t="str">
        <f t="shared" si="151"/>
        <v>Email Available</v>
      </c>
      <c r="G746" s="2" t="s">
        <v>1855</v>
      </c>
      <c r="H746" s="2" t="s">
        <v>361</v>
      </c>
      <c r="I746" s="2" t="s">
        <v>86</v>
      </c>
      <c r="J746" s="2" t="s">
        <v>362</v>
      </c>
      <c r="K746" s="2">
        <v>1</v>
      </c>
      <c r="L746" s="2">
        <v>54.99</v>
      </c>
      <c r="M746" s="19">
        <f t="shared" si="152"/>
        <v>54.99</v>
      </c>
      <c r="N746" s="2" t="s">
        <v>24</v>
      </c>
      <c r="O746" s="2" t="str">
        <f t="shared" si="153"/>
        <v>SAVE20</v>
      </c>
      <c r="P746" s="2">
        <v>11</v>
      </c>
      <c r="Q746" s="19">
        <f t="shared" si="154"/>
        <v>11</v>
      </c>
      <c r="R746" s="2" t="str">
        <f t="shared" si="155"/>
        <v>Number</v>
      </c>
      <c r="S746" s="2">
        <v>5.99</v>
      </c>
      <c r="T746" s="19">
        <f t="shared" si="156"/>
        <v>5.99</v>
      </c>
      <c r="U746" s="2">
        <v>49.98</v>
      </c>
      <c r="V746" s="19">
        <f t="shared" si="157"/>
        <v>49.98</v>
      </c>
      <c r="W746" s="19">
        <f t="shared" si="158"/>
        <v>49.980000000000004</v>
      </c>
      <c r="X746" s="19" t="str">
        <f t="shared" si="159"/>
        <v>True</v>
      </c>
      <c r="Y746" s="19" t="str">
        <f>IF(OR(W746&lt;'Cleaning Tasks'!$G$18,W746&gt;'Cleaning Tasks'!$H$18),"Outlier","Normal")</f>
        <v>Normal</v>
      </c>
      <c r="Z746" s="2" t="s">
        <v>49</v>
      </c>
      <c r="AA746" s="2" t="s">
        <v>27</v>
      </c>
      <c r="AB746" s="2" t="s">
        <v>28</v>
      </c>
      <c r="AC746" s="2" t="s">
        <v>331</v>
      </c>
      <c r="AD746" s="2"/>
      <c r="AE746" s="2" t="str">
        <f t="shared" si="160"/>
        <v>Not Required</v>
      </c>
      <c r="AF746" s="2" t="s">
        <v>2378</v>
      </c>
    </row>
    <row r="747" spans="1:32" x14ac:dyDescent="0.3">
      <c r="A747" s="2" t="s">
        <v>2379</v>
      </c>
      <c r="B747" s="2">
        <f t="shared" si="149"/>
        <v>1</v>
      </c>
      <c r="C747" s="12">
        <f t="shared" si="161"/>
        <v>46238.584208437504</v>
      </c>
      <c r="D747" s="13">
        <v>46238.584208437504</v>
      </c>
      <c r="E747" s="2" t="s">
        <v>303</v>
      </c>
      <c r="F747" s="2" t="str">
        <f t="shared" si="151"/>
        <v>Email Available</v>
      </c>
      <c r="G747" s="2" t="s">
        <v>304</v>
      </c>
      <c r="H747" s="2" t="s">
        <v>109</v>
      </c>
      <c r="I747" s="2" t="s">
        <v>79</v>
      </c>
      <c r="J747" s="2" t="s">
        <v>110</v>
      </c>
      <c r="K747" s="2">
        <v>4</v>
      </c>
      <c r="L747" s="2">
        <v>22.99</v>
      </c>
      <c r="M747" s="19">
        <f t="shared" si="152"/>
        <v>22.99</v>
      </c>
      <c r="N747" s="2" t="s">
        <v>65</v>
      </c>
      <c r="O747" s="2" t="str">
        <f t="shared" si="153"/>
        <v>WELCOME10</v>
      </c>
      <c r="P747" s="2">
        <v>9.1999999999999993</v>
      </c>
      <c r="Q747" s="19">
        <f t="shared" si="154"/>
        <v>9.1999999999999993</v>
      </c>
      <c r="R747" s="2" t="str">
        <f t="shared" si="155"/>
        <v>Number</v>
      </c>
      <c r="S747" s="2">
        <v>0</v>
      </c>
      <c r="T747" s="19">
        <f t="shared" si="156"/>
        <v>0</v>
      </c>
      <c r="U747" s="2" t="s">
        <v>2380</v>
      </c>
      <c r="V747" s="19">
        <f t="shared" si="157"/>
        <v>82.76</v>
      </c>
      <c r="W747" s="19">
        <f t="shared" si="158"/>
        <v>82.759999999999991</v>
      </c>
      <c r="X747" s="19" t="str">
        <f t="shared" si="159"/>
        <v>True</v>
      </c>
      <c r="Y747" s="19" t="str">
        <f>IF(OR(W747&lt;'Cleaning Tasks'!$G$18,W747&gt;'Cleaning Tasks'!$H$18),"Outlier","Normal")</f>
        <v>Outlier</v>
      </c>
      <c r="Z747" s="2" t="s">
        <v>49</v>
      </c>
      <c r="AA747" s="2" t="s">
        <v>27</v>
      </c>
      <c r="AB747" s="2" t="s">
        <v>50</v>
      </c>
      <c r="AC747" s="2" t="s">
        <v>29</v>
      </c>
      <c r="AD747" s="2" t="s">
        <v>140</v>
      </c>
      <c r="AE747" s="2" t="str">
        <f t="shared" si="160"/>
        <v>Valid</v>
      </c>
      <c r="AF747" s="2" t="s">
        <v>2381</v>
      </c>
    </row>
    <row r="748" spans="1:32" x14ac:dyDescent="0.3">
      <c r="A748" s="2" t="s">
        <v>2382</v>
      </c>
      <c r="B748" s="2">
        <f t="shared" si="149"/>
        <v>1</v>
      </c>
      <c r="C748" s="12">
        <f t="shared" si="161"/>
        <v>46238.583426145837</v>
      </c>
      <c r="D748" s="13">
        <v>46238.583426145837</v>
      </c>
      <c r="E748" s="2" t="s">
        <v>1451</v>
      </c>
      <c r="F748" s="2" t="str">
        <f t="shared" si="151"/>
        <v>Email Available</v>
      </c>
      <c r="G748" s="2" t="s">
        <v>1452</v>
      </c>
      <c r="H748" s="2" t="s">
        <v>267</v>
      </c>
      <c r="I748" s="2" t="s">
        <v>22</v>
      </c>
      <c r="J748" s="2" t="s">
        <v>268</v>
      </c>
      <c r="K748" s="2">
        <v>1</v>
      </c>
      <c r="L748" s="2">
        <v>18.989999999999998</v>
      </c>
      <c r="M748" s="19">
        <f t="shared" si="152"/>
        <v>18.989999999999998</v>
      </c>
      <c r="N748" s="2"/>
      <c r="O748" s="2" t="str">
        <f t="shared" si="153"/>
        <v/>
      </c>
      <c r="P748" s="2">
        <v>0</v>
      </c>
      <c r="Q748" s="19">
        <f t="shared" si="154"/>
        <v>0</v>
      </c>
      <c r="R748" s="2" t="str">
        <f t="shared" si="155"/>
        <v>Number</v>
      </c>
      <c r="S748" s="2">
        <v>7.99</v>
      </c>
      <c r="T748" s="19">
        <f t="shared" si="156"/>
        <v>7.99</v>
      </c>
      <c r="U748" s="2">
        <v>26.98</v>
      </c>
      <c r="V748" s="19">
        <f t="shared" si="157"/>
        <v>26.98</v>
      </c>
      <c r="W748" s="19">
        <f t="shared" si="158"/>
        <v>26.979999999999997</v>
      </c>
      <c r="X748" s="19" t="str">
        <f t="shared" si="159"/>
        <v>True</v>
      </c>
      <c r="Y748" s="19" t="str">
        <f>IF(OR(W748&lt;'Cleaning Tasks'!$G$18,W748&gt;'Cleaning Tasks'!$H$18),"Outlier","Normal")</f>
        <v>Normal</v>
      </c>
      <c r="Z748" s="2" t="s">
        <v>39</v>
      </c>
      <c r="AA748" s="2" t="s">
        <v>88</v>
      </c>
      <c r="AB748" s="2" t="s">
        <v>28</v>
      </c>
      <c r="AC748" s="2" t="s">
        <v>29</v>
      </c>
      <c r="AD748" s="2" t="s">
        <v>341</v>
      </c>
      <c r="AE748" s="2" t="str">
        <f t="shared" si="160"/>
        <v>Valid</v>
      </c>
      <c r="AF748" s="2" t="s">
        <v>2383</v>
      </c>
    </row>
    <row r="749" spans="1:32" x14ac:dyDescent="0.3">
      <c r="A749" s="2" t="s">
        <v>2384</v>
      </c>
      <c r="B749" s="2">
        <f t="shared" si="149"/>
        <v>1</v>
      </c>
      <c r="C749" s="12">
        <f t="shared" si="161"/>
        <v>46238.588458692131</v>
      </c>
      <c r="D749" s="13">
        <v>46238.588458692131</v>
      </c>
      <c r="E749" s="2" t="s">
        <v>325</v>
      </c>
      <c r="F749" s="2" t="str">
        <f t="shared" si="151"/>
        <v>Email Available</v>
      </c>
      <c r="G749" s="2" t="s">
        <v>326</v>
      </c>
      <c r="H749" s="2" t="s">
        <v>201</v>
      </c>
      <c r="I749" s="2" t="s">
        <v>191</v>
      </c>
      <c r="J749" s="2" t="s">
        <v>202</v>
      </c>
      <c r="K749" s="2">
        <v>1</v>
      </c>
      <c r="L749" s="2">
        <v>24.99</v>
      </c>
      <c r="M749" s="19">
        <f t="shared" si="152"/>
        <v>24.99</v>
      </c>
      <c r="N749" s="2" t="s">
        <v>118</v>
      </c>
      <c r="O749" s="2" t="str">
        <f t="shared" si="153"/>
        <v>BFCM25</v>
      </c>
      <c r="P749" s="2">
        <v>6.25</v>
      </c>
      <c r="Q749" s="19">
        <f t="shared" si="154"/>
        <v>6.25</v>
      </c>
      <c r="R749" s="2" t="str">
        <f t="shared" si="155"/>
        <v>Number</v>
      </c>
      <c r="S749" s="2">
        <v>5.99</v>
      </c>
      <c r="T749" s="19">
        <f t="shared" si="156"/>
        <v>5.99</v>
      </c>
      <c r="U749" s="2">
        <v>24.73</v>
      </c>
      <c r="V749" s="19">
        <f t="shared" si="157"/>
        <v>24.73</v>
      </c>
      <c r="W749" s="19">
        <f t="shared" si="158"/>
        <v>24.729999999999997</v>
      </c>
      <c r="X749" s="19" t="str">
        <f t="shared" si="159"/>
        <v>True</v>
      </c>
      <c r="Y749" s="19" t="str">
        <f>IF(OR(W749&lt;'Cleaning Tasks'!$G$18,W749&gt;'Cleaning Tasks'!$H$18),"Outlier","Normal")</f>
        <v>Normal</v>
      </c>
      <c r="Z749" s="2" t="s">
        <v>39</v>
      </c>
      <c r="AA749" s="2" t="s">
        <v>27</v>
      </c>
      <c r="AB749" s="2" t="s">
        <v>96</v>
      </c>
      <c r="AC749" s="2" t="s">
        <v>29</v>
      </c>
      <c r="AD749" s="2" t="s">
        <v>112</v>
      </c>
      <c r="AE749" s="2" t="str">
        <f t="shared" si="160"/>
        <v>Valid</v>
      </c>
      <c r="AF749" s="2" t="s">
        <v>2385</v>
      </c>
    </row>
    <row r="750" spans="1:32" x14ac:dyDescent="0.3">
      <c r="A750" s="2" t="s">
        <v>2386</v>
      </c>
      <c r="B750" s="2">
        <f t="shared" si="149"/>
        <v>1</v>
      </c>
      <c r="C750" s="12">
        <f t="shared" si="161"/>
        <v>46238.581288159723</v>
      </c>
      <c r="D750" s="13">
        <v>46238.581288159723</v>
      </c>
      <c r="E750" s="2" t="s">
        <v>809</v>
      </c>
      <c r="F750" s="2" t="str">
        <f t="shared" si="151"/>
        <v>Email Available</v>
      </c>
      <c r="G750" s="2" t="s">
        <v>810</v>
      </c>
      <c r="H750" s="2" t="s">
        <v>166</v>
      </c>
      <c r="I750" s="2" t="s">
        <v>103</v>
      </c>
      <c r="J750" s="2" t="s">
        <v>167</v>
      </c>
      <c r="K750" s="2">
        <v>1</v>
      </c>
      <c r="L750" s="2">
        <v>32.99</v>
      </c>
      <c r="M750" s="19">
        <f t="shared" si="152"/>
        <v>32.99</v>
      </c>
      <c r="N750" s="2" t="s">
        <v>118</v>
      </c>
      <c r="O750" s="2" t="str">
        <f t="shared" si="153"/>
        <v>BFCM25</v>
      </c>
      <c r="P750" s="2">
        <v>8.25</v>
      </c>
      <c r="Q750" s="19">
        <f t="shared" si="154"/>
        <v>8.25</v>
      </c>
      <c r="R750" s="2" t="str">
        <f t="shared" si="155"/>
        <v>Number</v>
      </c>
      <c r="S750" s="2">
        <v>4.99</v>
      </c>
      <c r="T750" s="19">
        <f t="shared" si="156"/>
        <v>4.99</v>
      </c>
      <c r="U750" s="2">
        <v>29.73</v>
      </c>
      <c r="V750" s="19">
        <f t="shared" si="157"/>
        <v>29.73</v>
      </c>
      <c r="W750" s="19">
        <f t="shared" si="158"/>
        <v>29.730000000000004</v>
      </c>
      <c r="X750" s="19" t="str">
        <f t="shared" si="159"/>
        <v>True</v>
      </c>
      <c r="Y750" s="19" t="str">
        <f>IF(OR(W750&lt;'Cleaning Tasks'!$G$18,W750&gt;'Cleaning Tasks'!$H$18),"Outlier","Normal")</f>
        <v>Normal</v>
      </c>
      <c r="Z750" s="2" t="s">
        <v>39</v>
      </c>
      <c r="AA750" s="2" t="s">
        <v>27</v>
      </c>
      <c r="AB750" s="2" t="s">
        <v>50</v>
      </c>
      <c r="AC750" s="2" t="s">
        <v>29</v>
      </c>
      <c r="AD750" s="2" t="s">
        <v>140</v>
      </c>
      <c r="AE750" s="2" t="str">
        <f t="shared" si="160"/>
        <v>Valid</v>
      </c>
      <c r="AF750" s="2" t="s">
        <v>2387</v>
      </c>
    </row>
    <row r="751" spans="1:32" x14ac:dyDescent="0.3">
      <c r="A751" s="2" t="s">
        <v>2388</v>
      </c>
      <c r="B751" s="2">
        <f t="shared" si="149"/>
        <v>1</v>
      </c>
      <c r="C751" s="12">
        <f t="shared" si="161"/>
        <v>46238.579195196762</v>
      </c>
      <c r="D751" s="13">
        <v>46238.579195196762</v>
      </c>
      <c r="E751" s="2" t="s">
        <v>503</v>
      </c>
      <c r="F751" s="2" t="str">
        <f t="shared" si="151"/>
        <v>Email Available</v>
      </c>
      <c r="G751" s="2" t="s">
        <v>504</v>
      </c>
      <c r="H751" s="2" t="s">
        <v>267</v>
      </c>
      <c r="I751" s="2" t="s">
        <v>22</v>
      </c>
      <c r="J751" s="2" t="s">
        <v>268</v>
      </c>
      <c r="K751" s="2">
        <v>2</v>
      </c>
      <c r="L751" s="2" t="s">
        <v>631</v>
      </c>
      <c r="M751" s="19">
        <f t="shared" si="152"/>
        <v>18.989999999999998</v>
      </c>
      <c r="N751" s="2"/>
      <c r="O751" s="2" t="str">
        <f t="shared" si="153"/>
        <v/>
      </c>
      <c r="P751" s="2">
        <v>0</v>
      </c>
      <c r="Q751" s="19">
        <f t="shared" si="154"/>
        <v>0</v>
      </c>
      <c r="R751" s="2" t="str">
        <f t="shared" si="155"/>
        <v>Number</v>
      </c>
      <c r="S751" s="2">
        <v>5.99</v>
      </c>
      <c r="T751" s="19">
        <f t="shared" si="156"/>
        <v>5.99</v>
      </c>
      <c r="U751" s="2">
        <v>43.97</v>
      </c>
      <c r="V751" s="19">
        <f t="shared" si="157"/>
        <v>43.97</v>
      </c>
      <c r="W751" s="19">
        <f t="shared" si="158"/>
        <v>43.97</v>
      </c>
      <c r="X751" s="19" t="str">
        <f t="shared" si="159"/>
        <v>True</v>
      </c>
      <c r="Y751" s="19" t="str">
        <f>IF(OR(W751&lt;'Cleaning Tasks'!$G$18,W751&gt;'Cleaning Tasks'!$H$18),"Outlier","Normal")</f>
        <v>Normal</v>
      </c>
      <c r="Z751" s="2" t="s">
        <v>39</v>
      </c>
      <c r="AA751" s="2" t="s">
        <v>27</v>
      </c>
      <c r="AB751" s="2" t="s">
        <v>50</v>
      </c>
      <c r="AC751" s="2" t="s">
        <v>29</v>
      </c>
      <c r="AD751" s="2" t="s">
        <v>140</v>
      </c>
      <c r="AE751" s="2" t="str">
        <f t="shared" si="160"/>
        <v>Valid</v>
      </c>
      <c r="AF751" s="2" t="s">
        <v>2389</v>
      </c>
    </row>
    <row r="752" spans="1:32" x14ac:dyDescent="0.3">
      <c r="A752" s="2" t="s">
        <v>2390</v>
      </c>
      <c r="B752" s="2">
        <f t="shared" si="149"/>
        <v>1</v>
      </c>
      <c r="C752" s="12">
        <f t="shared" si="161"/>
        <v>46238.579190081022</v>
      </c>
      <c r="D752" s="13">
        <v>46238.579190081022</v>
      </c>
      <c r="E752" s="2" t="s">
        <v>339</v>
      </c>
      <c r="F752" s="2" t="str">
        <f t="shared" si="151"/>
        <v>Email Available</v>
      </c>
      <c r="G752" s="2" t="s">
        <v>445</v>
      </c>
      <c r="H752" s="2" t="s">
        <v>109</v>
      </c>
      <c r="I752" s="2" t="s">
        <v>79</v>
      </c>
      <c r="J752" s="2" t="s">
        <v>110</v>
      </c>
      <c r="K752" s="2">
        <v>1</v>
      </c>
      <c r="L752" s="2">
        <v>22.99</v>
      </c>
      <c r="M752" s="19">
        <f t="shared" si="152"/>
        <v>22.99</v>
      </c>
      <c r="N752" s="2"/>
      <c r="O752" s="2" t="str">
        <f t="shared" si="153"/>
        <v/>
      </c>
      <c r="P752" s="2">
        <v>0</v>
      </c>
      <c r="Q752" s="19">
        <f t="shared" si="154"/>
        <v>0</v>
      </c>
      <c r="R752" s="2" t="str">
        <f t="shared" si="155"/>
        <v>Number</v>
      </c>
      <c r="S752" s="2">
        <v>4.99</v>
      </c>
      <c r="T752" s="19">
        <f t="shared" si="156"/>
        <v>4.99</v>
      </c>
      <c r="U752" s="2">
        <v>27.98</v>
      </c>
      <c r="V752" s="19">
        <f t="shared" si="157"/>
        <v>27.98</v>
      </c>
      <c r="W752" s="19">
        <f t="shared" si="158"/>
        <v>27.979999999999997</v>
      </c>
      <c r="X752" s="19" t="str">
        <f t="shared" si="159"/>
        <v>True</v>
      </c>
      <c r="Y752" s="19" t="str">
        <f>IF(OR(W752&lt;'Cleaning Tasks'!$G$18,W752&gt;'Cleaning Tasks'!$H$18),"Outlier","Normal")</f>
        <v>Normal</v>
      </c>
      <c r="Z752" s="2" t="s">
        <v>49</v>
      </c>
      <c r="AA752" s="2" t="s">
        <v>88</v>
      </c>
      <c r="AB752" s="2" t="s">
        <v>50</v>
      </c>
      <c r="AC752" s="2" t="s">
        <v>29</v>
      </c>
      <c r="AD752" s="2" t="s">
        <v>447</v>
      </c>
      <c r="AE752" s="2" t="str">
        <f t="shared" si="160"/>
        <v>Valid</v>
      </c>
      <c r="AF752" s="2" t="s">
        <v>2391</v>
      </c>
    </row>
    <row r="753" spans="1:32" x14ac:dyDescent="0.3">
      <c r="A753" s="2" t="s">
        <v>2392</v>
      </c>
      <c r="B753" s="2">
        <f t="shared" si="149"/>
        <v>1</v>
      </c>
      <c r="C753" s="12">
        <f t="shared" si="161"/>
        <v>46238.589064861109</v>
      </c>
      <c r="D753" s="13">
        <v>46238.589064861109</v>
      </c>
      <c r="E753" s="2" t="s">
        <v>993</v>
      </c>
      <c r="F753" s="2" t="str">
        <f t="shared" si="151"/>
        <v>Email Available</v>
      </c>
      <c r="G753" s="2" t="s">
        <v>994</v>
      </c>
      <c r="H753" s="2" t="s">
        <v>152</v>
      </c>
      <c r="I753" s="2" t="s">
        <v>36</v>
      </c>
      <c r="J753" s="2" t="s">
        <v>153</v>
      </c>
      <c r="K753" s="2">
        <v>2</v>
      </c>
      <c r="L753" s="2" t="s">
        <v>610</v>
      </c>
      <c r="M753" s="19">
        <f t="shared" si="152"/>
        <v>29.99</v>
      </c>
      <c r="N753" s="2" t="s">
        <v>203</v>
      </c>
      <c r="O753" s="2" t="str">
        <f t="shared" si="153"/>
        <v>VIP15</v>
      </c>
      <c r="P753" s="2">
        <v>9</v>
      </c>
      <c r="Q753" s="19">
        <f t="shared" si="154"/>
        <v>9</v>
      </c>
      <c r="R753" s="2" t="str">
        <f t="shared" si="155"/>
        <v>Number</v>
      </c>
      <c r="S753" s="2">
        <v>4.99</v>
      </c>
      <c r="T753" s="19">
        <f t="shared" si="156"/>
        <v>4.99</v>
      </c>
      <c r="U753" s="2">
        <v>55.97</v>
      </c>
      <c r="V753" s="19">
        <f t="shared" si="157"/>
        <v>55.97</v>
      </c>
      <c r="W753" s="19">
        <f t="shared" si="158"/>
        <v>55.97</v>
      </c>
      <c r="X753" s="19" t="str">
        <f t="shared" si="159"/>
        <v>True</v>
      </c>
      <c r="Y753" s="19" t="str">
        <f>IF(OR(W753&lt;'Cleaning Tasks'!$G$18,W753&gt;'Cleaning Tasks'!$H$18),"Outlier","Normal")</f>
        <v>Normal</v>
      </c>
      <c r="Z753" s="2" t="s">
        <v>39</v>
      </c>
      <c r="AA753" s="2" t="s">
        <v>88</v>
      </c>
      <c r="AB753" s="2" t="s">
        <v>50</v>
      </c>
      <c r="AC753" s="2" t="s">
        <v>42</v>
      </c>
      <c r="AD753" s="2"/>
      <c r="AE753" s="2" t="str">
        <f t="shared" si="160"/>
        <v>Not Required</v>
      </c>
      <c r="AF753" s="2" t="s">
        <v>2393</v>
      </c>
    </row>
    <row r="754" spans="1:32" x14ac:dyDescent="0.3">
      <c r="A754" s="2" t="s">
        <v>2394</v>
      </c>
      <c r="B754" s="2">
        <f t="shared" si="149"/>
        <v>1</v>
      </c>
      <c r="C754" s="12">
        <f t="shared" si="161"/>
        <v>46238.589138761577</v>
      </c>
      <c r="D754" s="13">
        <v>46238.589138761577</v>
      </c>
      <c r="E754" s="2" t="s">
        <v>2395</v>
      </c>
      <c r="F754" s="2" t="str">
        <f t="shared" si="151"/>
        <v>Email Available</v>
      </c>
      <c r="G754" s="2" t="s">
        <v>2396</v>
      </c>
      <c r="H754" s="2" t="s">
        <v>152</v>
      </c>
      <c r="I754" s="2" t="s">
        <v>36</v>
      </c>
      <c r="J754" s="2" t="s">
        <v>153</v>
      </c>
      <c r="K754" s="2">
        <v>2</v>
      </c>
      <c r="L754" s="2" t="s">
        <v>610</v>
      </c>
      <c r="M754" s="19">
        <f t="shared" si="152"/>
        <v>29.99</v>
      </c>
      <c r="N754" s="2" t="s">
        <v>24</v>
      </c>
      <c r="O754" s="2" t="str">
        <f t="shared" si="153"/>
        <v>SAVE20</v>
      </c>
      <c r="P754" s="2">
        <v>12</v>
      </c>
      <c r="Q754" s="19">
        <f t="shared" si="154"/>
        <v>12</v>
      </c>
      <c r="R754" s="2" t="str">
        <f t="shared" si="155"/>
        <v>Number</v>
      </c>
      <c r="S754" s="2">
        <v>4.99</v>
      </c>
      <c r="T754" s="19">
        <f t="shared" si="156"/>
        <v>4.99</v>
      </c>
      <c r="U754" s="2">
        <v>52.97</v>
      </c>
      <c r="V754" s="19">
        <f t="shared" si="157"/>
        <v>52.97</v>
      </c>
      <c r="W754" s="19">
        <f t="shared" si="158"/>
        <v>52.97</v>
      </c>
      <c r="X754" s="19" t="str">
        <f t="shared" si="159"/>
        <v>True</v>
      </c>
      <c r="Y754" s="19" t="str">
        <f>IF(OR(W754&lt;'Cleaning Tasks'!$G$18,W754&gt;'Cleaning Tasks'!$H$18),"Outlier","Normal")</f>
        <v>Normal</v>
      </c>
      <c r="Z754" s="2" t="s">
        <v>39</v>
      </c>
      <c r="AA754" s="2" t="s">
        <v>27</v>
      </c>
      <c r="AB754" s="2" t="s">
        <v>96</v>
      </c>
      <c r="AC754" s="2" t="s">
        <v>223</v>
      </c>
      <c r="AD754" s="2"/>
      <c r="AE754" s="2" t="str">
        <f t="shared" si="160"/>
        <v>Not Required</v>
      </c>
      <c r="AF754" s="2" t="s">
        <v>2397</v>
      </c>
    </row>
    <row r="755" spans="1:32" x14ac:dyDescent="0.3">
      <c r="A755" s="2" t="s">
        <v>2398</v>
      </c>
      <c r="B755" s="2">
        <f t="shared" si="149"/>
        <v>1</v>
      </c>
      <c r="C755" s="12">
        <f t="shared" si="161"/>
        <v>46238</v>
      </c>
      <c r="D755" s="13">
        <v>46238</v>
      </c>
      <c r="E755" s="2" t="s">
        <v>939</v>
      </c>
      <c r="F755" s="2" t="str">
        <f t="shared" si="151"/>
        <v>Email Available</v>
      </c>
      <c r="G755" s="2" t="s">
        <v>940</v>
      </c>
      <c r="H755" s="2" t="s">
        <v>78</v>
      </c>
      <c r="I755" s="2" t="s">
        <v>79</v>
      </c>
      <c r="J755" s="2" t="s">
        <v>80</v>
      </c>
      <c r="K755" s="2">
        <v>1</v>
      </c>
      <c r="L755" s="2">
        <v>89.99</v>
      </c>
      <c r="M755" s="19">
        <f t="shared" si="152"/>
        <v>89.99</v>
      </c>
      <c r="N755" s="2"/>
      <c r="O755" s="2" t="str">
        <f t="shared" si="153"/>
        <v/>
      </c>
      <c r="P755" s="2">
        <v>0</v>
      </c>
      <c r="Q755" s="19">
        <f t="shared" si="154"/>
        <v>0</v>
      </c>
      <c r="R755" s="2" t="str">
        <f t="shared" si="155"/>
        <v>Number</v>
      </c>
      <c r="S755" s="2">
        <v>0</v>
      </c>
      <c r="T755" s="19">
        <f t="shared" si="156"/>
        <v>0</v>
      </c>
      <c r="U755" s="2">
        <v>89.99</v>
      </c>
      <c r="V755" s="19">
        <f t="shared" si="157"/>
        <v>89.99</v>
      </c>
      <c r="W755" s="19">
        <f t="shared" si="158"/>
        <v>89.99</v>
      </c>
      <c r="X755" s="19" t="str">
        <f t="shared" si="159"/>
        <v>True</v>
      </c>
      <c r="Y755" s="19" t="str">
        <f>IF(OR(W755&lt;'Cleaning Tasks'!$G$18,W755&gt;'Cleaning Tasks'!$H$18),"Outlier","Normal")</f>
        <v>Outlier</v>
      </c>
      <c r="Z755" s="2" t="s">
        <v>26</v>
      </c>
      <c r="AA755" s="2" t="s">
        <v>40</v>
      </c>
      <c r="AB755" s="2" t="s">
        <v>41</v>
      </c>
      <c r="AC755" s="2" t="s">
        <v>29</v>
      </c>
      <c r="AD755" s="2" t="s">
        <v>58</v>
      </c>
      <c r="AE755" s="2" t="str">
        <f t="shared" si="160"/>
        <v>Valid</v>
      </c>
      <c r="AF755" s="2" t="s">
        <v>2254</v>
      </c>
    </row>
    <row r="756" spans="1:32" x14ac:dyDescent="0.3">
      <c r="A756" s="2" t="s">
        <v>2399</v>
      </c>
      <c r="B756" s="2">
        <f t="shared" si="149"/>
        <v>1</v>
      </c>
      <c r="C756" s="12">
        <f t="shared" si="161"/>
        <v>46238</v>
      </c>
      <c r="D756" s="13">
        <v>46238</v>
      </c>
      <c r="E756" s="2" t="s">
        <v>2149</v>
      </c>
      <c r="F756" s="2" t="str">
        <f t="shared" si="151"/>
        <v>Email Available</v>
      </c>
      <c r="G756" s="2" t="s">
        <v>2400</v>
      </c>
      <c r="H756" s="2" t="s">
        <v>221</v>
      </c>
      <c r="I756" s="2" t="s">
        <v>22</v>
      </c>
      <c r="J756" s="2" t="s">
        <v>222</v>
      </c>
      <c r="K756" s="2">
        <v>1</v>
      </c>
      <c r="L756" s="2">
        <v>17.989999999999998</v>
      </c>
      <c r="M756" s="19">
        <f t="shared" si="152"/>
        <v>17.989999999999998</v>
      </c>
      <c r="N756" s="2" t="s">
        <v>24</v>
      </c>
      <c r="O756" s="2" t="str">
        <f t="shared" si="153"/>
        <v>SAVE20</v>
      </c>
      <c r="P756" s="2" t="s">
        <v>707</v>
      </c>
      <c r="Q756" s="19">
        <f t="shared" si="154"/>
        <v>3.6</v>
      </c>
      <c r="R756" s="2" t="str">
        <f t="shared" si="155"/>
        <v>Number</v>
      </c>
      <c r="S756" s="2">
        <v>7.99</v>
      </c>
      <c r="T756" s="19">
        <f t="shared" si="156"/>
        <v>7.99</v>
      </c>
      <c r="U756" s="2">
        <v>22.38</v>
      </c>
      <c r="V756" s="19">
        <f t="shared" si="157"/>
        <v>22.38</v>
      </c>
      <c r="W756" s="19">
        <f t="shared" si="158"/>
        <v>22.38</v>
      </c>
      <c r="X756" s="19" t="str">
        <f t="shared" si="159"/>
        <v>True</v>
      </c>
      <c r="Y756" s="19" t="str">
        <f>IF(OR(W756&lt;'Cleaning Tasks'!$G$18,W756&gt;'Cleaning Tasks'!$H$18),"Outlier","Normal")</f>
        <v>Normal</v>
      </c>
      <c r="Z756" s="2" t="s">
        <v>72</v>
      </c>
      <c r="AA756" s="2" t="s">
        <v>88</v>
      </c>
      <c r="AB756" s="2" t="s">
        <v>50</v>
      </c>
      <c r="AC756" s="2" t="s">
        <v>29</v>
      </c>
      <c r="AD756" s="2" t="s">
        <v>58</v>
      </c>
      <c r="AE756" s="2" t="str">
        <f t="shared" si="160"/>
        <v>Valid</v>
      </c>
      <c r="AF756" s="2" t="s">
        <v>2401</v>
      </c>
    </row>
    <row r="757" spans="1:32" x14ac:dyDescent="0.3">
      <c r="A757" s="2" t="s">
        <v>2402</v>
      </c>
      <c r="B757" s="2">
        <f t="shared" si="149"/>
        <v>1</v>
      </c>
      <c r="C757" s="12">
        <f t="shared" si="161"/>
        <v>46238.584749895832</v>
      </c>
      <c r="D757" s="13">
        <v>46238.584749895832</v>
      </c>
      <c r="E757" s="2" t="s">
        <v>1439</v>
      </c>
      <c r="F757" s="2" t="str">
        <f t="shared" si="151"/>
        <v>Email Available</v>
      </c>
      <c r="G757" s="2" t="s">
        <v>1440</v>
      </c>
      <c r="H757" s="2" t="s">
        <v>221</v>
      </c>
      <c r="I757" s="2" t="s">
        <v>22</v>
      </c>
      <c r="J757" s="2" t="s">
        <v>222</v>
      </c>
      <c r="K757" s="2">
        <v>2</v>
      </c>
      <c r="L757" s="2">
        <v>17.989999999999998</v>
      </c>
      <c r="M757" s="19">
        <f t="shared" si="152"/>
        <v>17.989999999999998</v>
      </c>
      <c r="N757" s="2" t="s">
        <v>38</v>
      </c>
      <c r="O757" s="2" t="str">
        <f t="shared" si="153"/>
        <v>FREESHIP</v>
      </c>
      <c r="P757" s="2">
        <v>0</v>
      </c>
      <c r="Q757" s="19">
        <f t="shared" si="154"/>
        <v>0</v>
      </c>
      <c r="R757" s="2" t="str">
        <f t="shared" si="155"/>
        <v>Number</v>
      </c>
      <c r="S757" s="2">
        <v>0</v>
      </c>
      <c r="T757" s="19">
        <f t="shared" si="156"/>
        <v>0</v>
      </c>
      <c r="U757" s="2">
        <v>35.979999999999997</v>
      </c>
      <c r="V757" s="19">
        <f t="shared" si="157"/>
        <v>35.979999999999997</v>
      </c>
      <c r="W757" s="19">
        <f t="shared" si="158"/>
        <v>35.979999999999997</v>
      </c>
      <c r="X757" s="19" t="str">
        <f t="shared" si="159"/>
        <v>True</v>
      </c>
      <c r="Y757" s="19" t="str">
        <f>IF(OR(W757&lt;'Cleaning Tasks'!$G$18,W757&gt;'Cleaning Tasks'!$H$18),"Outlier","Normal")</f>
        <v>Normal</v>
      </c>
      <c r="Z757" s="2" t="s">
        <v>26</v>
      </c>
      <c r="AA757" s="2" t="s">
        <v>27</v>
      </c>
      <c r="AB757" s="2" t="s">
        <v>50</v>
      </c>
      <c r="AC757" s="2" t="s">
        <v>29</v>
      </c>
      <c r="AD757" s="2" t="s">
        <v>73</v>
      </c>
      <c r="AE757" s="2" t="str">
        <f t="shared" si="160"/>
        <v>Valid</v>
      </c>
      <c r="AF757" s="2" t="s">
        <v>2403</v>
      </c>
    </row>
    <row r="758" spans="1:32" x14ac:dyDescent="0.3">
      <c r="A758" s="2" t="s">
        <v>2404</v>
      </c>
      <c r="B758" s="2">
        <f t="shared" si="149"/>
        <v>1</v>
      </c>
      <c r="C758" s="12">
        <f t="shared" si="161"/>
        <v>46238.585623634259</v>
      </c>
      <c r="D758" s="13">
        <v>46238.585623634259</v>
      </c>
      <c r="E758" s="2" t="s">
        <v>974</v>
      </c>
      <c r="F758" s="2" t="str">
        <f t="shared" si="151"/>
        <v>Email Available</v>
      </c>
      <c r="G758" s="2" t="s">
        <v>975</v>
      </c>
      <c r="H758" s="2" t="s">
        <v>35</v>
      </c>
      <c r="I758" s="2" t="s">
        <v>36</v>
      </c>
      <c r="J758" s="2" t="s">
        <v>37</v>
      </c>
      <c r="K758" s="2">
        <v>1</v>
      </c>
      <c r="L758" s="2">
        <v>21.99</v>
      </c>
      <c r="M758" s="19">
        <f t="shared" si="152"/>
        <v>21.99</v>
      </c>
      <c r="N758" s="2" t="s">
        <v>118</v>
      </c>
      <c r="O758" s="2" t="str">
        <f t="shared" si="153"/>
        <v>BFCM25</v>
      </c>
      <c r="P758" s="2">
        <v>5.5</v>
      </c>
      <c r="Q758" s="19">
        <f t="shared" si="154"/>
        <v>5.5</v>
      </c>
      <c r="R758" s="2" t="str">
        <f t="shared" si="155"/>
        <v>Number</v>
      </c>
      <c r="S758" s="2">
        <v>5.99</v>
      </c>
      <c r="T758" s="19">
        <f t="shared" si="156"/>
        <v>5.99</v>
      </c>
      <c r="U758" s="2">
        <v>22.48</v>
      </c>
      <c r="V758" s="19">
        <f t="shared" si="157"/>
        <v>22.48</v>
      </c>
      <c r="W758" s="19">
        <f t="shared" si="158"/>
        <v>22.479999999999997</v>
      </c>
      <c r="X758" s="19" t="str">
        <f t="shared" si="159"/>
        <v>True</v>
      </c>
      <c r="Y758" s="19" t="str">
        <f>IF(OR(W758&lt;'Cleaning Tasks'!$G$18,W758&gt;'Cleaning Tasks'!$H$18),"Outlier","Normal")</f>
        <v>Normal</v>
      </c>
      <c r="Z758" s="2" t="s">
        <v>66</v>
      </c>
      <c r="AA758" s="2" t="s">
        <v>88</v>
      </c>
      <c r="AB758" s="2" t="s">
        <v>50</v>
      </c>
      <c r="AC758" s="2" t="s">
        <v>331</v>
      </c>
      <c r="AD758" s="2"/>
      <c r="AE758" s="2" t="str">
        <f t="shared" si="160"/>
        <v>Not Required</v>
      </c>
      <c r="AF758" s="2" t="s">
        <v>2405</v>
      </c>
    </row>
    <row r="759" spans="1:32" x14ac:dyDescent="0.3">
      <c r="A759" s="2" t="s">
        <v>2406</v>
      </c>
      <c r="B759" s="2">
        <f t="shared" si="149"/>
        <v>1</v>
      </c>
      <c r="C759" s="12">
        <f t="shared" si="161"/>
        <v>46238</v>
      </c>
      <c r="D759" s="13" t="s">
        <v>143</v>
      </c>
      <c r="E759" s="2" t="s">
        <v>1475</v>
      </c>
      <c r="F759" s="2" t="str">
        <f t="shared" si="151"/>
        <v>Email Available</v>
      </c>
      <c r="G759" s="2" t="s">
        <v>1476</v>
      </c>
      <c r="H759" s="2" t="s">
        <v>56</v>
      </c>
      <c r="I759" s="2" t="s">
        <v>22</v>
      </c>
      <c r="J759" s="2" t="s">
        <v>57</v>
      </c>
      <c r="K759" s="2">
        <v>1</v>
      </c>
      <c r="L759" s="2">
        <v>9.99</v>
      </c>
      <c r="M759" s="19">
        <f t="shared" si="152"/>
        <v>9.99</v>
      </c>
      <c r="N759" s="2" t="s">
        <v>203</v>
      </c>
      <c r="O759" s="2" t="str">
        <f t="shared" si="153"/>
        <v>VIP15</v>
      </c>
      <c r="P759" s="2">
        <v>1.5</v>
      </c>
      <c r="Q759" s="19">
        <f t="shared" si="154"/>
        <v>1.5</v>
      </c>
      <c r="R759" s="2" t="str">
        <f t="shared" si="155"/>
        <v>Number</v>
      </c>
      <c r="S759" s="2">
        <v>4.99</v>
      </c>
      <c r="T759" s="19">
        <f t="shared" si="156"/>
        <v>4.99</v>
      </c>
      <c r="U759" s="2">
        <v>13.48</v>
      </c>
      <c r="V759" s="19">
        <f t="shared" si="157"/>
        <v>13.48</v>
      </c>
      <c r="W759" s="19">
        <f t="shared" si="158"/>
        <v>13.48</v>
      </c>
      <c r="X759" s="19" t="str">
        <f t="shared" si="159"/>
        <v>True</v>
      </c>
      <c r="Y759" s="19" t="str">
        <f>IF(OR(W759&lt;'Cleaning Tasks'!$G$18,W759&gt;'Cleaning Tasks'!$H$18),"Outlier","Normal")</f>
        <v>Normal</v>
      </c>
      <c r="Z759" s="2" t="s">
        <v>49</v>
      </c>
      <c r="AA759" s="2" t="s">
        <v>111</v>
      </c>
      <c r="AB759" s="2" t="s">
        <v>41</v>
      </c>
      <c r="AC759" s="2" t="s">
        <v>42</v>
      </c>
      <c r="AD759" s="2"/>
      <c r="AE759" s="2" t="str">
        <f t="shared" si="160"/>
        <v>Not Required</v>
      </c>
      <c r="AF759" s="2" t="s">
        <v>2407</v>
      </c>
    </row>
    <row r="760" spans="1:32" x14ac:dyDescent="0.3">
      <c r="A760" s="2" t="s">
        <v>2408</v>
      </c>
      <c r="B760" s="2">
        <f t="shared" si="149"/>
        <v>1</v>
      </c>
      <c r="C760" s="12">
        <f t="shared" si="161"/>
        <v>46238.585280567131</v>
      </c>
      <c r="D760" s="13">
        <v>46238.585280567131</v>
      </c>
      <c r="E760" s="2" t="s">
        <v>485</v>
      </c>
      <c r="F760" s="2" t="str">
        <f t="shared" si="151"/>
        <v>Email Available</v>
      </c>
      <c r="G760" s="2" t="s">
        <v>486</v>
      </c>
      <c r="H760" s="2" t="s">
        <v>309</v>
      </c>
      <c r="I760" s="2" t="s">
        <v>36</v>
      </c>
      <c r="J760" s="2" t="s">
        <v>310</v>
      </c>
      <c r="K760" s="2">
        <v>1</v>
      </c>
      <c r="L760" s="2">
        <v>8.99</v>
      </c>
      <c r="M760" s="19">
        <f t="shared" si="152"/>
        <v>8.99</v>
      </c>
      <c r="N760" s="2" t="s">
        <v>38</v>
      </c>
      <c r="O760" s="2" t="str">
        <f t="shared" si="153"/>
        <v>FREESHIP</v>
      </c>
      <c r="P760" s="2" t="s">
        <v>184</v>
      </c>
      <c r="Q760" s="19">
        <f t="shared" si="154"/>
        <v>0</v>
      </c>
      <c r="R760" s="2" t="str">
        <f t="shared" si="155"/>
        <v>Number</v>
      </c>
      <c r="S760" s="2">
        <v>0</v>
      </c>
      <c r="T760" s="19">
        <f t="shared" si="156"/>
        <v>0</v>
      </c>
      <c r="U760" s="2">
        <v>8.99</v>
      </c>
      <c r="V760" s="19">
        <f t="shared" si="157"/>
        <v>8.99</v>
      </c>
      <c r="W760" s="19">
        <f t="shared" si="158"/>
        <v>8.99</v>
      </c>
      <c r="X760" s="19" t="str">
        <f t="shared" si="159"/>
        <v>True</v>
      </c>
      <c r="Y760" s="19" t="str">
        <f>IF(OR(W760&lt;'Cleaning Tasks'!$G$18,W760&gt;'Cleaning Tasks'!$H$18),"Outlier","Normal")</f>
        <v>Normal</v>
      </c>
      <c r="Z760" s="2" t="s">
        <v>49</v>
      </c>
      <c r="AA760" s="2" t="s">
        <v>27</v>
      </c>
      <c r="AB760" s="2" t="s">
        <v>50</v>
      </c>
      <c r="AC760" s="2" t="s">
        <v>73</v>
      </c>
      <c r="AD760" s="2"/>
      <c r="AE760" s="2" t="str">
        <f t="shared" si="160"/>
        <v>Not Required</v>
      </c>
      <c r="AF760" s="2" t="s">
        <v>2409</v>
      </c>
    </row>
    <row r="761" spans="1:32" x14ac:dyDescent="0.3">
      <c r="A761" s="2" t="s">
        <v>2410</v>
      </c>
      <c r="B761" s="2">
        <f t="shared" si="149"/>
        <v>1</v>
      </c>
      <c r="C761" s="12">
        <f t="shared" si="161"/>
        <v>46238.581387604157</v>
      </c>
      <c r="D761" s="13">
        <v>46238.581387604157</v>
      </c>
      <c r="E761" s="2" t="s">
        <v>993</v>
      </c>
      <c r="F761" s="2" t="str">
        <f t="shared" si="151"/>
        <v>Email Available</v>
      </c>
      <c r="G761" s="2" t="s">
        <v>994</v>
      </c>
      <c r="H761" s="2" t="s">
        <v>35</v>
      </c>
      <c r="I761" s="2" t="s">
        <v>36</v>
      </c>
      <c r="J761" s="2" t="s">
        <v>37</v>
      </c>
      <c r="K761" s="2">
        <v>1</v>
      </c>
      <c r="L761" s="2">
        <v>21.99</v>
      </c>
      <c r="M761" s="19">
        <f t="shared" si="152"/>
        <v>21.99</v>
      </c>
      <c r="N761" s="2" t="s">
        <v>24</v>
      </c>
      <c r="O761" s="2" t="str">
        <f t="shared" si="153"/>
        <v>SAVE20</v>
      </c>
      <c r="P761" s="2">
        <v>4.4000000000000004</v>
      </c>
      <c r="Q761" s="19">
        <f t="shared" si="154"/>
        <v>4.4000000000000004</v>
      </c>
      <c r="R761" s="2" t="str">
        <f t="shared" si="155"/>
        <v>Number</v>
      </c>
      <c r="S761" s="2">
        <v>7.99</v>
      </c>
      <c r="T761" s="19">
        <f t="shared" si="156"/>
        <v>7.99</v>
      </c>
      <c r="U761" s="2">
        <v>25.58</v>
      </c>
      <c r="V761" s="19">
        <f t="shared" si="157"/>
        <v>25.58</v>
      </c>
      <c r="W761" s="19">
        <f t="shared" si="158"/>
        <v>25.58</v>
      </c>
      <c r="X761" s="19" t="str">
        <f t="shared" si="159"/>
        <v>True</v>
      </c>
      <c r="Y761" s="19" t="str">
        <f>IF(OR(W761&lt;'Cleaning Tasks'!$G$18,W761&gt;'Cleaning Tasks'!$H$18),"Outlier","Normal")</f>
        <v>Normal</v>
      </c>
      <c r="Z761" s="2" t="s">
        <v>72</v>
      </c>
      <c r="AA761" s="2" t="s">
        <v>40</v>
      </c>
      <c r="AB761" s="2" t="s">
        <v>41</v>
      </c>
      <c r="AC761" s="2" t="s">
        <v>42</v>
      </c>
      <c r="AD761" s="2"/>
      <c r="AE761" s="2" t="str">
        <f t="shared" si="160"/>
        <v>Not Required</v>
      </c>
      <c r="AF761" s="2" t="s">
        <v>2411</v>
      </c>
    </row>
    <row r="762" spans="1:32" x14ac:dyDescent="0.3">
      <c r="A762" s="2" t="s">
        <v>2412</v>
      </c>
      <c r="B762" s="2">
        <f t="shared" si="149"/>
        <v>1</v>
      </c>
      <c r="C762" s="12">
        <f t="shared" si="161"/>
        <v>46238.588382083333</v>
      </c>
      <c r="D762" s="13">
        <v>46238.588382083333</v>
      </c>
      <c r="E762" s="2" t="s">
        <v>606</v>
      </c>
      <c r="F762" s="2" t="str">
        <f t="shared" si="151"/>
        <v>Email Available</v>
      </c>
      <c r="G762" s="2" t="s">
        <v>607</v>
      </c>
      <c r="H762" s="2" t="s">
        <v>63</v>
      </c>
      <c r="I762" s="2" t="s">
        <v>47</v>
      </c>
      <c r="J762" s="2" t="s">
        <v>446</v>
      </c>
      <c r="K762" s="2">
        <v>1</v>
      </c>
      <c r="L762" s="2">
        <v>14.99</v>
      </c>
      <c r="M762" s="19">
        <f t="shared" si="152"/>
        <v>14.99</v>
      </c>
      <c r="N762" s="2"/>
      <c r="O762" s="2" t="str">
        <f t="shared" si="153"/>
        <v/>
      </c>
      <c r="P762" s="2">
        <v>0</v>
      </c>
      <c r="Q762" s="19">
        <f t="shared" si="154"/>
        <v>0</v>
      </c>
      <c r="R762" s="2" t="str">
        <f t="shared" si="155"/>
        <v>Number</v>
      </c>
      <c r="S762" s="2">
        <v>5.99</v>
      </c>
      <c r="T762" s="19">
        <f t="shared" si="156"/>
        <v>5.99</v>
      </c>
      <c r="U762" s="2">
        <v>20.98</v>
      </c>
      <c r="V762" s="19">
        <f t="shared" si="157"/>
        <v>20.98</v>
      </c>
      <c r="W762" s="19">
        <f t="shared" si="158"/>
        <v>20.98</v>
      </c>
      <c r="X762" s="19" t="str">
        <f t="shared" si="159"/>
        <v>True</v>
      </c>
      <c r="Y762" s="19" t="str">
        <f>IF(OR(W762&lt;'Cleaning Tasks'!$G$18,W762&gt;'Cleaning Tasks'!$H$18),"Outlier","Normal")</f>
        <v>Normal</v>
      </c>
      <c r="Z762" s="2" t="s">
        <v>49</v>
      </c>
      <c r="AA762" s="2" t="s">
        <v>27</v>
      </c>
      <c r="AB762" s="2" t="s">
        <v>50</v>
      </c>
      <c r="AC762" s="2" t="s">
        <v>42</v>
      </c>
      <c r="AD762" s="2"/>
      <c r="AE762" s="2" t="str">
        <f t="shared" si="160"/>
        <v>Not Required</v>
      </c>
      <c r="AF762" s="2" t="s">
        <v>2413</v>
      </c>
    </row>
    <row r="763" spans="1:32" x14ac:dyDescent="0.3">
      <c r="A763" s="2" t="s">
        <v>2414</v>
      </c>
      <c r="B763" s="2">
        <f t="shared" si="149"/>
        <v>1</v>
      </c>
      <c r="C763" s="12">
        <f t="shared" si="161"/>
        <v>46238.580983032407</v>
      </c>
      <c r="D763" s="13">
        <v>46238.580983032407</v>
      </c>
      <c r="E763" s="2" t="s">
        <v>421</v>
      </c>
      <c r="F763" s="2" t="str">
        <f t="shared" si="151"/>
        <v>Email Available</v>
      </c>
      <c r="G763" s="2" t="s">
        <v>422</v>
      </c>
      <c r="H763" s="2" t="s">
        <v>279</v>
      </c>
      <c r="I763" s="2" t="s">
        <v>22</v>
      </c>
      <c r="J763" s="2" t="s">
        <v>280</v>
      </c>
      <c r="K763" s="2">
        <v>1</v>
      </c>
      <c r="L763" s="2">
        <v>24.99</v>
      </c>
      <c r="M763" s="19">
        <f t="shared" si="152"/>
        <v>24.99</v>
      </c>
      <c r="N763" s="2" t="s">
        <v>24</v>
      </c>
      <c r="O763" s="2" t="str">
        <f t="shared" si="153"/>
        <v>SAVE20</v>
      </c>
      <c r="P763" s="2">
        <v>5</v>
      </c>
      <c r="Q763" s="19">
        <f t="shared" si="154"/>
        <v>5</v>
      </c>
      <c r="R763" s="2" t="str">
        <f t="shared" si="155"/>
        <v>Number</v>
      </c>
      <c r="S763" s="2">
        <v>4.99</v>
      </c>
      <c r="T763" s="19">
        <f t="shared" si="156"/>
        <v>4.99</v>
      </c>
      <c r="U763" s="2">
        <v>24.98</v>
      </c>
      <c r="V763" s="19">
        <f t="shared" si="157"/>
        <v>24.98</v>
      </c>
      <c r="W763" s="19">
        <f t="shared" si="158"/>
        <v>24.979999999999997</v>
      </c>
      <c r="X763" s="19" t="str">
        <f t="shared" si="159"/>
        <v>True</v>
      </c>
      <c r="Y763" s="19" t="str">
        <f>IF(OR(W763&lt;'Cleaning Tasks'!$G$18,W763&gt;'Cleaning Tasks'!$H$18),"Outlier","Normal")</f>
        <v>Normal</v>
      </c>
      <c r="Z763" s="2" t="s">
        <v>66</v>
      </c>
      <c r="AA763" s="2" t="s">
        <v>27</v>
      </c>
      <c r="AB763" s="2" t="s">
        <v>96</v>
      </c>
      <c r="AC763" s="2" t="s">
        <v>29</v>
      </c>
      <c r="AD763" s="2" t="s">
        <v>341</v>
      </c>
      <c r="AE763" s="2" t="str">
        <f t="shared" si="160"/>
        <v>Valid</v>
      </c>
      <c r="AF763" s="2" t="s">
        <v>2415</v>
      </c>
    </row>
    <row r="764" spans="1:32" x14ac:dyDescent="0.3">
      <c r="A764" s="2" t="s">
        <v>2416</v>
      </c>
      <c r="B764" s="2">
        <f t="shared" si="149"/>
        <v>1</v>
      </c>
      <c r="C764" s="12">
        <f t="shared" ref="C764:C795" si="162">IF(ISNUMBER(D764),D764,DATEVALUE(SUBSTITUTE(TRIM(D764),CHAR(160)," ")))</f>
        <v>46238.580705300927</v>
      </c>
      <c r="D764" s="13">
        <v>46238.580705300927</v>
      </c>
      <c r="E764" s="2"/>
      <c r="F764" s="2" t="str">
        <f t="shared" si="151"/>
        <v>Email Available</v>
      </c>
      <c r="G764" s="2" t="s">
        <v>464</v>
      </c>
      <c r="H764" s="2" t="s">
        <v>201</v>
      </c>
      <c r="I764" s="2" t="s">
        <v>191</v>
      </c>
      <c r="J764" s="2" t="s">
        <v>202</v>
      </c>
      <c r="K764" s="2">
        <v>2</v>
      </c>
      <c r="L764" s="2">
        <v>24.99</v>
      </c>
      <c r="M764" s="19">
        <f t="shared" si="152"/>
        <v>24.99</v>
      </c>
      <c r="N764" s="2" t="s">
        <v>65</v>
      </c>
      <c r="O764" s="2" t="str">
        <f t="shared" si="153"/>
        <v>WELCOME10</v>
      </c>
      <c r="P764" s="2">
        <v>5</v>
      </c>
      <c r="Q764" s="19">
        <f t="shared" si="154"/>
        <v>5</v>
      </c>
      <c r="R764" s="2" t="str">
        <f t="shared" si="155"/>
        <v>Number</v>
      </c>
      <c r="S764" s="2">
        <v>7.99</v>
      </c>
      <c r="T764" s="19">
        <f t="shared" si="156"/>
        <v>7.99</v>
      </c>
      <c r="U764" s="2">
        <v>52.97</v>
      </c>
      <c r="V764" s="19">
        <f t="shared" si="157"/>
        <v>52.97</v>
      </c>
      <c r="W764" s="19">
        <f t="shared" si="158"/>
        <v>52.97</v>
      </c>
      <c r="X764" s="19" t="str">
        <f t="shared" si="159"/>
        <v>True</v>
      </c>
      <c r="Y764" s="19" t="str">
        <f>IF(OR(W764&lt;'Cleaning Tasks'!$G$18,W764&gt;'Cleaning Tasks'!$H$18),"Outlier","Normal")</f>
        <v>Normal</v>
      </c>
      <c r="Z764" s="2" t="s">
        <v>49</v>
      </c>
      <c r="AA764" s="2" t="s">
        <v>27</v>
      </c>
      <c r="AB764" s="2" t="s">
        <v>28</v>
      </c>
      <c r="AC764" s="2" t="s">
        <v>42</v>
      </c>
      <c r="AD764" s="2"/>
      <c r="AE764" s="2" t="str">
        <f t="shared" si="160"/>
        <v>Not Required</v>
      </c>
      <c r="AF764" s="2" t="s">
        <v>2417</v>
      </c>
    </row>
    <row r="765" spans="1:32" x14ac:dyDescent="0.3">
      <c r="A765" s="2" t="s">
        <v>2418</v>
      </c>
      <c r="B765" s="2">
        <f t="shared" si="149"/>
        <v>1</v>
      </c>
      <c r="C765" s="12">
        <f t="shared" si="162"/>
        <v>46238.585874571763</v>
      </c>
      <c r="D765" s="13">
        <v>46238.585874571763</v>
      </c>
      <c r="E765" s="2" t="s">
        <v>787</v>
      </c>
      <c r="F765" s="2" t="str">
        <f t="shared" si="151"/>
        <v>Missing Email</v>
      </c>
      <c r="G765" s="2"/>
      <c r="H765" s="2" t="s">
        <v>56</v>
      </c>
      <c r="I765" s="2" t="s">
        <v>22</v>
      </c>
      <c r="J765" s="2" t="s">
        <v>57</v>
      </c>
      <c r="K765" s="2">
        <v>1</v>
      </c>
      <c r="L765" s="2">
        <v>9.99</v>
      </c>
      <c r="M765" s="19">
        <f t="shared" si="152"/>
        <v>9.99</v>
      </c>
      <c r="N765" s="2"/>
      <c r="O765" s="2" t="str">
        <f t="shared" si="153"/>
        <v/>
      </c>
      <c r="P765" s="2">
        <v>0</v>
      </c>
      <c r="Q765" s="19">
        <f t="shared" si="154"/>
        <v>0</v>
      </c>
      <c r="R765" s="2" t="str">
        <f t="shared" si="155"/>
        <v>Number</v>
      </c>
      <c r="S765" s="2">
        <v>4.99</v>
      </c>
      <c r="T765" s="19">
        <f t="shared" si="156"/>
        <v>4.99</v>
      </c>
      <c r="U765" s="2">
        <v>14.98</v>
      </c>
      <c r="V765" s="19">
        <f t="shared" si="157"/>
        <v>14.98</v>
      </c>
      <c r="W765" s="19">
        <f t="shared" si="158"/>
        <v>14.98</v>
      </c>
      <c r="X765" s="19" t="str">
        <f t="shared" si="159"/>
        <v>True</v>
      </c>
      <c r="Y765" s="19" t="str">
        <f>IF(OR(W765&lt;'Cleaning Tasks'!$G$18,W765&gt;'Cleaning Tasks'!$H$18),"Outlier","Normal")</f>
        <v>Normal</v>
      </c>
      <c r="Z765" s="2" t="s">
        <v>26</v>
      </c>
      <c r="AA765" s="2" t="s">
        <v>27</v>
      </c>
      <c r="AB765" s="2" t="s">
        <v>50</v>
      </c>
      <c r="AC765" s="2" t="s">
        <v>331</v>
      </c>
      <c r="AD765" s="2"/>
      <c r="AE765" s="2" t="str">
        <f t="shared" si="160"/>
        <v>Not Required</v>
      </c>
      <c r="AF765" s="2" t="s">
        <v>2419</v>
      </c>
    </row>
    <row r="766" spans="1:32" x14ac:dyDescent="0.3">
      <c r="A766" s="2" t="s">
        <v>2420</v>
      </c>
      <c r="B766" s="2">
        <f t="shared" si="149"/>
        <v>1</v>
      </c>
      <c r="C766" s="12">
        <f t="shared" si="162"/>
        <v>46238.579875914351</v>
      </c>
      <c r="D766" s="13">
        <v>46238.579875914351</v>
      </c>
      <c r="E766" s="2" t="s">
        <v>2421</v>
      </c>
      <c r="F766" s="2" t="str">
        <f t="shared" si="151"/>
        <v>Email Available</v>
      </c>
      <c r="G766" s="2" t="s">
        <v>2422</v>
      </c>
      <c r="H766" s="2" t="s">
        <v>56</v>
      </c>
      <c r="I766" s="2" t="s">
        <v>22</v>
      </c>
      <c r="J766" s="2" t="s">
        <v>57</v>
      </c>
      <c r="K766" s="2">
        <v>1</v>
      </c>
      <c r="L766" s="2">
        <v>9.99</v>
      </c>
      <c r="M766" s="19">
        <f t="shared" si="152"/>
        <v>9.99</v>
      </c>
      <c r="N766" s="2" t="s">
        <v>203</v>
      </c>
      <c r="O766" s="2" t="str">
        <f t="shared" si="153"/>
        <v>VIP15</v>
      </c>
      <c r="P766" s="2">
        <v>1.5</v>
      </c>
      <c r="Q766" s="19">
        <f t="shared" si="154"/>
        <v>1.5</v>
      </c>
      <c r="R766" s="2" t="str">
        <f t="shared" si="155"/>
        <v>Number</v>
      </c>
      <c r="S766" s="2">
        <v>5.99</v>
      </c>
      <c r="T766" s="19">
        <f t="shared" si="156"/>
        <v>5.99</v>
      </c>
      <c r="U766" s="2">
        <v>14.48</v>
      </c>
      <c r="V766" s="19">
        <f t="shared" si="157"/>
        <v>14.48</v>
      </c>
      <c r="W766" s="19">
        <f t="shared" si="158"/>
        <v>14.48</v>
      </c>
      <c r="X766" s="19" t="str">
        <f t="shared" si="159"/>
        <v>True</v>
      </c>
      <c r="Y766" s="19" t="str">
        <f>IF(OR(W766&lt;'Cleaning Tasks'!$G$18,W766&gt;'Cleaning Tasks'!$H$18),"Outlier","Normal")</f>
        <v>Normal</v>
      </c>
      <c r="Z766" s="2" t="s">
        <v>66</v>
      </c>
      <c r="AA766" s="2" t="s">
        <v>40</v>
      </c>
      <c r="AB766" s="2" t="s">
        <v>50</v>
      </c>
      <c r="AC766" s="2" t="s">
        <v>29</v>
      </c>
      <c r="AD766" s="2" t="s">
        <v>112</v>
      </c>
      <c r="AE766" s="2" t="str">
        <f t="shared" si="160"/>
        <v>Valid</v>
      </c>
      <c r="AF766" s="2" t="s">
        <v>2423</v>
      </c>
    </row>
    <row r="767" spans="1:32" x14ac:dyDescent="0.3">
      <c r="A767" s="2" t="s">
        <v>2424</v>
      </c>
      <c r="B767" s="2">
        <f t="shared" si="149"/>
        <v>1</v>
      </c>
      <c r="C767" s="12">
        <f t="shared" si="162"/>
        <v>46238.586170532413</v>
      </c>
      <c r="D767" s="13">
        <v>46238.586170532413</v>
      </c>
      <c r="E767" s="2" t="s">
        <v>413</v>
      </c>
      <c r="F767" s="2" t="str">
        <f t="shared" si="151"/>
        <v>Email Available</v>
      </c>
      <c r="G767" s="2" t="s">
        <v>414</v>
      </c>
      <c r="H767" s="2" t="s">
        <v>361</v>
      </c>
      <c r="I767" s="2" t="s">
        <v>86</v>
      </c>
      <c r="J767" s="2" t="s">
        <v>362</v>
      </c>
      <c r="K767" s="2">
        <v>2</v>
      </c>
      <c r="L767" s="2" t="s">
        <v>363</v>
      </c>
      <c r="M767" s="19">
        <f t="shared" si="152"/>
        <v>54.99</v>
      </c>
      <c r="N767" s="2" t="s">
        <v>24</v>
      </c>
      <c r="O767" s="2" t="str">
        <f t="shared" si="153"/>
        <v>SAVE20</v>
      </c>
      <c r="P767" s="2">
        <v>22</v>
      </c>
      <c r="Q767" s="19">
        <f t="shared" si="154"/>
        <v>22</v>
      </c>
      <c r="R767" s="2" t="str">
        <f t="shared" si="155"/>
        <v>Number</v>
      </c>
      <c r="S767" s="2">
        <v>0</v>
      </c>
      <c r="T767" s="19">
        <f t="shared" si="156"/>
        <v>0</v>
      </c>
      <c r="U767" s="2">
        <v>87.98</v>
      </c>
      <c r="V767" s="19">
        <f t="shared" si="157"/>
        <v>87.98</v>
      </c>
      <c r="W767" s="19">
        <f t="shared" si="158"/>
        <v>87.98</v>
      </c>
      <c r="X767" s="19" t="str">
        <f t="shared" si="159"/>
        <v>True</v>
      </c>
      <c r="Y767" s="19" t="str">
        <f>IF(OR(W767&lt;'Cleaning Tasks'!$G$18,W767&gt;'Cleaning Tasks'!$H$18),"Outlier","Normal")</f>
        <v>Outlier</v>
      </c>
      <c r="Z767" s="2" t="s">
        <v>66</v>
      </c>
      <c r="AA767" s="2" t="s">
        <v>111</v>
      </c>
      <c r="AB767" s="2" t="s">
        <v>96</v>
      </c>
      <c r="AC767" s="2" t="s">
        <v>331</v>
      </c>
      <c r="AD767" s="2"/>
      <c r="AE767" s="2" t="str">
        <f t="shared" si="160"/>
        <v>Not Required</v>
      </c>
      <c r="AF767" s="2" t="s">
        <v>2425</v>
      </c>
    </row>
    <row r="768" spans="1:32" x14ac:dyDescent="0.3">
      <c r="A768" s="2" t="s">
        <v>2426</v>
      </c>
      <c r="B768" s="2">
        <f t="shared" si="149"/>
        <v>1</v>
      </c>
      <c r="C768" s="12">
        <f t="shared" si="162"/>
        <v>46238.580450914349</v>
      </c>
      <c r="D768" s="13">
        <v>46238.580450914349</v>
      </c>
      <c r="E768" s="2" t="s">
        <v>417</v>
      </c>
      <c r="F768" s="2" t="str">
        <f t="shared" si="151"/>
        <v>Email Available</v>
      </c>
      <c r="G768" s="2" t="s">
        <v>418</v>
      </c>
      <c r="H768" s="2" t="s">
        <v>182</v>
      </c>
      <c r="I768" s="2" t="s">
        <v>36</v>
      </c>
      <c r="J768" s="2" t="s">
        <v>183</v>
      </c>
      <c r="K768" s="2">
        <v>1</v>
      </c>
      <c r="L768" s="2">
        <v>11.99</v>
      </c>
      <c r="M768" s="19">
        <f t="shared" si="152"/>
        <v>11.99</v>
      </c>
      <c r="N768" s="2"/>
      <c r="O768" s="2" t="str">
        <f t="shared" si="153"/>
        <v/>
      </c>
      <c r="P768" s="2">
        <v>0</v>
      </c>
      <c r="Q768" s="19">
        <f t="shared" si="154"/>
        <v>0</v>
      </c>
      <c r="R768" s="2" t="str">
        <f t="shared" si="155"/>
        <v>Number</v>
      </c>
      <c r="S768" s="2">
        <v>5.99</v>
      </c>
      <c r="T768" s="19">
        <f t="shared" si="156"/>
        <v>5.99</v>
      </c>
      <c r="U768" s="2">
        <v>17.98</v>
      </c>
      <c r="V768" s="19">
        <f t="shared" si="157"/>
        <v>17.98</v>
      </c>
      <c r="W768" s="19">
        <f t="shared" si="158"/>
        <v>17.98</v>
      </c>
      <c r="X768" s="19" t="str">
        <f t="shared" si="159"/>
        <v>True</v>
      </c>
      <c r="Y768" s="19" t="str">
        <f>IF(OR(W768&lt;'Cleaning Tasks'!$G$18,W768&gt;'Cleaning Tasks'!$H$18),"Outlier","Normal")</f>
        <v>Normal</v>
      </c>
      <c r="Z768" s="2" t="s">
        <v>39</v>
      </c>
      <c r="AA768" s="2" t="s">
        <v>27</v>
      </c>
      <c r="AB768" s="2" t="s">
        <v>50</v>
      </c>
      <c r="AC768" s="2" t="s">
        <v>29</v>
      </c>
      <c r="AD768" s="2" t="s">
        <v>341</v>
      </c>
      <c r="AE768" s="2" t="str">
        <f t="shared" si="160"/>
        <v>Valid</v>
      </c>
      <c r="AF768" s="2" t="s">
        <v>2427</v>
      </c>
    </row>
    <row r="769" spans="1:32" x14ac:dyDescent="0.3">
      <c r="A769" s="2" t="s">
        <v>2428</v>
      </c>
      <c r="B769" s="2">
        <f t="shared" si="149"/>
        <v>1</v>
      </c>
      <c r="C769" s="12">
        <f t="shared" si="162"/>
        <v>46238.589045567132</v>
      </c>
      <c r="D769" s="13">
        <v>46238.589045567132</v>
      </c>
      <c r="E769" s="2" t="s">
        <v>417</v>
      </c>
      <c r="F769" s="2" t="str">
        <f t="shared" si="151"/>
        <v>Email Available</v>
      </c>
      <c r="G769" s="2" t="s">
        <v>418</v>
      </c>
      <c r="H769" s="2" t="s">
        <v>35</v>
      </c>
      <c r="I769" s="2" t="s">
        <v>36</v>
      </c>
      <c r="J769" s="2" t="s">
        <v>37</v>
      </c>
      <c r="K769" s="2">
        <v>1</v>
      </c>
      <c r="L769" s="2">
        <v>21.99</v>
      </c>
      <c r="M769" s="19">
        <f t="shared" si="152"/>
        <v>21.99</v>
      </c>
      <c r="N769" s="2"/>
      <c r="O769" s="2" t="str">
        <f t="shared" si="153"/>
        <v/>
      </c>
      <c r="P769" s="2">
        <v>0</v>
      </c>
      <c r="Q769" s="19">
        <f t="shared" si="154"/>
        <v>0</v>
      </c>
      <c r="R769" s="2" t="str">
        <f t="shared" si="155"/>
        <v>Number</v>
      </c>
      <c r="S769" s="2">
        <v>4.99</v>
      </c>
      <c r="T769" s="19">
        <f t="shared" si="156"/>
        <v>4.99</v>
      </c>
      <c r="U769" s="2" t="s">
        <v>583</v>
      </c>
      <c r="V769" s="19">
        <f t="shared" si="157"/>
        <v>26.98</v>
      </c>
      <c r="W769" s="19">
        <f t="shared" si="158"/>
        <v>26.979999999999997</v>
      </c>
      <c r="X769" s="19" t="str">
        <f t="shared" si="159"/>
        <v>True</v>
      </c>
      <c r="Y769" s="19" t="str">
        <f>IF(OR(W769&lt;'Cleaning Tasks'!$G$18,W769&gt;'Cleaning Tasks'!$H$18),"Outlier","Normal")</f>
        <v>Normal</v>
      </c>
      <c r="Z769" s="2" t="s">
        <v>39</v>
      </c>
      <c r="AA769" s="2" t="s">
        <v>27</v>
      </c>
      <c r="AB769" s="2" t="s">
        <v>50</v>
      </c>
      <c r="AC769" s="2" t="s">
        <v>29</v>
      </c>
      <c r="AD769" s="2" t="s">
        <v>67</v>
      </c>
      <c r="AE769" s="2" t="str">
        <f t="shared" si="160"/>
        <v>Valid</v>
      </c>
      <c r="AF769" s="2" t="s">
        <v>2429</v>
      </c>
    </row>
    <row r="770" spans="1:32" x14ac:dyDescent="0.3">
      <c r="A770" s="2" t="s">
        <v>2430</v>
      </c>
      <c r="B770" s="2">
        <f t="shared" ref="B770:B833" si="163">COUNTIF($A$2:$A$1993,A770)</f>
        <v>1</v>
      </c>
      <c r="C770" s="12">
        <f t="shared" si="162"/>
        <v>46238.584890069447</v>
      </c>
      <c r="D770" s="13">
        <v>46238.584890069447</v>
      </c>
      <c r="E770" s="2" t="s">
        <v>740</v>
      </c>
      <c r="F770" s="2" t="str">
        <f t="shared" ref="F770:F833" si="164">IF(TRIM(G770)="","Missing Email","Email Available")</f>
        <v>Email Available</v>
      </c>
      <c r="G770" s="2" t="s">
        <v>741</v>
      </c>
      <c r="H770" s="2" t="s">
        <v>85</v>
      </c>
      <c r="I770" s="2" t="s">
        <v>86</v>
      </c>
      <c r="J770" s="2" t="s">
        <v>87</v>
      </c>
      <c r="K770" s="2">
        <v>1</v>
      </c>
      <c r="L770" s="2">
        <v>54.99</v>
      </c>
      <c r="M770" s="19">
        <f t="shared" ref="M770:M833" si="165">IF(ISNUMBER(L770),L770,VALUE(SUBSTITUTE(L770,"$","")))</f>
        <v>54.99</v>
      </c>
      <c r="N770" s="2" t="s">
        <v>203</v>
      </c>
      <c r="O770" s="2" t="str">
        <f t="shared" ref="O770:O833" si="166">IF(TRIM(N770)="","",UPPER(TRIM(SUBSTITUTE(N770,CHAR(160)," "))))</f>
        <v>VIP15</v>
      </c>
      <c r="P770" s="2">
        <v>8.25</v>
      </c>
      <c r="Q770" s="19">
        <f t="shared" ref="Q770:Q833" si="167">IF(ISNUMBER(P770),P770,VALUE(TRIM(SUBSTITUTE(P770,"$",""))))</f>
        <v>8.25</v>
      </c>
      <c r="R770" s="2" t="str">
        <f t="shared" ref="R770:R833" si="168">IF(ISNUMBER(Q770),"Number","Text")</f>
        <v>Number</v>
      </c>
      <c r="S770" s="2">
        <v>7.99</v>
      </c>
      <c r="T770" s="19">
        <f t="shared" ref="T770:T833" si="169">IF(ISNUMBER(S770),S770,VALUE(TRIM(SUBSTITUTE(S770,"$",""))))</f>
        <v>7.99</v>
      </c>
      <c r="U770" s="2">
        <v>54.73</v>
      </c>
      <c r="V770" s="19">
        <f t="shared" ref="V770:V833" si="170">IF(ISNUMBER(U770),U770,VALUE(TRIM(SUBSTITUTE(U770,"$",""))))</f>
        <v>54.73</v>
      </c>
      <c r="W770" s="19">
        <f t="shared" ref="W770:W833" si="171">((M770*K770)-Q770)+T770</f>
        <v>54.730000000000004</v>
      </c>
      <c r="X770" s="19" t="str">
        <f t="shared" ref="X770:X833" si="172">IF(V770=W770,"True","False")</f>
        <v>True</v>
      </c>
      <c r="Y770" s="19" t="str">
        <f>IF(OR(W770&lt;'Cleaning Tasks'!$G$18,W770&gt;'Cleaning Tasks'!$H$18),"Outlier","Normal")</f>
        <v>Normal</v>
      </c>
      <c r="Z770" s="2" t="s">
        <v>66</v>
      </c>
      <c r="AA770" s="2" t="s">
        <v>27</v>
      </c>
      <c r="AB770" s="2" t="s">
        <v>50</v>
      </c>
      <c r="AC770" s="2" t="s">
        <v>105</v>
      </c>
      <c r="AD770" s="2"/>
      <c r="AE770" s="2" t="str">
        <f t="shared" ref="AE770:AE833" si="173">IF(AND(AC770="United States",AD770=""),"Missing state",IF(AD770="","Not Required","Valid"))</f>
        <v>Not Required</v>
      </c>
      <c r="AF770" s="2" t="s">
        <v>2431</v>
      </c>
    </row>
    <row r="771" spans="1:32" x14ac:dyDescent="0.3">
      <c r="A771" s="2" t="s">
        <v>2432</v>
      </c>
      <c r="B771" s="2">
        <f t="shared" si="163"/>
        <v>1</v>
      </c>
      <c r="C771" s="12">
        <f t="shared" si="162"/>
        <v>46238.589070416667</v>
      </c>
      <c r="D771" s="13">
        <v>46238.589070416667</v>
      </c>
      <c r="E771" s="2" t="s">
        <v>2433</v>
      </c>
      <c r="F771" s="2" t="str">
        <f t="shared" si="164"/>
        <v>Email Available</v>
      </c>
      <c r="G771" s="2" t="s">
        <v>2434</v>
      </c>
      <c r="H771" s="2" t="s">
        <v>85</v>
      </c>
      <c r="I771" s="2" t="s">
        <v>86</v>
      </c>
      <c r="J771" s="2" t="s">
        <v>87</v>
      </c>
      <c r="K771" s="2">
        <v>1</v>
      </c>
      <c r="L771" s="2">
        <v>54.99</v>
      </c>
      <c r="M771" s="19">
        <f t="shared" si="165"/>
        <v>54.99</v>
      </c>
      <c r="N771" s="2" t="s">
        <v>203</v>
      </c>
      <c r="O771" s="2" t="str">
        <f t="shared" si="166"/>
        <v>VIP15</v>
      </c>
      <c r="P771" s="2">
        <v>8.25</v>
      </c>
      <c r="Q771" s="19">
        <f t="shared" si="167"/>
        <v>8.25</v>
      </c>
      <c r="R771" s="2" t="str">
        <f t="shared" si="168"/>
        <v>Number</v>
      </c>
      <c r="S771" s="2">
        <v>4.99</v>
      </c>
      <c r="T771" s="19">
        <f t="shared" si="169"/>
        <v>4.99</v>
      </c>
      <c r="U771" s="2">
        <v>51.73</v>
      </c>
      <c r="V771" s="19">
        <f t="shared" si="170"/>
        <v>51.73</v>
      </c>
      <c r="W771" s="19">
        <f t="shared" si="171"/>
        <v>51.730000000000004</v>
      </c>
      <c r="X771" s="19" t="str">
        <f t="shared" si="172"/>
        <v>True</v>
      </c>
      <c r="Y771" s="19" t="str">
        <f>IF(OR(W771&lt;'Cleaning Tasks'!$G$18,W771&gt;'Cleaning Tasks'!$H$18),"Outlier","Normal")</f>
        <v>Normal</v>
      </c>
      <c r="Z771" s="2" t="s">
        <v>26</v>
      </c>
      <c r="AA771" s="2" t="s">
        <v>111</v>
      </c>
      <c r="AB771" s="2" t="s">
        <v>96</v>
      </c>
      <c r="AC771" s="2" t="s">
        <v>42</v>
      </c>
      <c r="AD771" s="2"/>
      <c r="AE771" s="2" t="str">
        <f t="shared" si="173"/>
        <v>Not Required</v>
      </c>
      <c r="AF771" s="2" t="s">
        <v>2435</v>
      </c>
    </row>
    <row r="772" spans="1:32" x14ac:dyDescent="0.3">
      <c r="A772" s="2" t="s">
        <v>2436</v>
      </c>
      <c r="B772" s="2">
        <f t="shared" si="163"/>
        <v>1</v>
      </c>
      <c r="C772" s="12">
        <f t="shared" si="162"/>
        <v>46238.587921851853</v>
      </c>
      <c r="D772" s="13">
        <v>46238.587921851853</v>
      </c>
      <c r="E772" s="2" t="s">
        <v>1567</v>
      </c>
      <c r="F772" s="2" t="str">
        <f t="shared" si="164"/>
        <v>Email Available</v>
      </c>
      <c r="G772" s="2" t="s">
        <v>1568</v>
      </c>
      <c r="H772" s="2" t="s">
        <v>102</v>
      </c>
      <c r="I772" s="2" t="s">
        <v>103</v>
      </c>
      <c r="J772" s="2" t="s">
        <v>104</v>
      </c>
      <c r="K772" s="2">
        <v>1</v>
      </c>
      <c r="L772" s="2">
        <v>19.989999999999998</v>
      </c>
      <c r="M772" s="19">
        <f t="shared" si="165"/>
        <v>19.989999999999998</v>
      </c>
      <c r="N772" s="2"/>
      <c r="O772" s="2" t="str">
        <f t="shared" si="166"/>
        <v/>
      </c>
      <c r="P772" s="2">
        <v>0</v>
      </c>
      <c r="Q772" s="19">
        <f t="shared" si="167"/>
        <v>0</v>
      </c>
      <c r="R772" s="2" t="str">
        <f t="shared" si="168"/>
        <v>Number</v>
      </c>
      <c r="S772" s="2">
        <v>5.99</v>
      </c>
      <c r="T772" s="19">
        <f t="shared" si="169"/>
        <v>5.99</v>
      </c>
      <c r="U772" s="2" t="s">
        <v>2437</v>
      </c>
      <c r="V772" s="19">
        <f t="shared" si="170"/>
        <v>25.98</v>
      </c>
      <c r="W772" s="19">
        <f t="shared" si="171"/>
        <v>25.979999999999997</v>
      </c>
      <c r="X772" s="19" t="str">
        <f t="shared" si="172"/>
        <v>True</v>
      </c>
      <c r="Y772" s="19" t="str">
        <f>IF(OR(W772&lt;'Cleaning Tasks'!$G$18,W772&gt;'Cleaning Tasks'!$H$18),"Outlier","Normal")</f>
        <v>Normal</v>
      </c>
      <c r="Z772" s="2" t="s">
        <v>72</v>
      </c>
      <c r="AA772" s="2" t="s">
        <v>27</v>
      </c>
      <c r="AB772" s="2" t="s">
        <v>41</v>
      </c>
      <c r="AC772" s="2" t="s">
        <v>29</v>
      </c>
      <c r="AD772" s="2" t="s">
        <v>67</v>
      </c>
      <c r="AE772" s="2" t="str">
        <f t="shared" si="173"/>
        <v>Valid</v>
      </c>
      <c r="AF772" s="2" t="s">
        <v>2438</v>
      </c>
    </row>
    <row r="773" spans="1:32" x14ac:dyDescent="0.3">
      <c r="A773" s="2" t="s">
        <v>2439</v>
      </c>
      <c r="B773" s="2">
        <f t="shared" si="163"/>
        <v>1</v>
      </c>
      <c r="C773" s="12">
        <f t="shared" si="162"/>
        <v>46238.582122326392</v>
      </c>
      <c r="D773" s="13">
        <v>46238.582122326392</v>
      </c>
      <c r="E773" s="2" t="s">
        <v>144</v>
      </c>
      <c r="F773" s="2" t="str">
        <f t="shared" si="164"/>
        <v>Email Available</v>
      </c>
      <c r="G773" s="2" t="s">
        <v>145</v>
      </c>
      <c r="H773" s="2" t="s">
        <v>152</v>
      </c>
      <c r="I773" s="2" t="s">
        <v>36</v>
      </c>
      <c r="J773" s="2" t="s">
        <v>153</v>
      </c>
      <c r="K773" s="2">
        <v>1</v>
      </c>
      <c r="L773" s="2">
        <v>29.99</v>
      </c>
      <c r="M773" s="19">
        <f t="shared" si="165"/>
        <v>29.99</v>
      </c>
      <c r="N773" s="2" t="s">
        <v>24</v>
      </c>
      <c r="O773" s="2" t="str">
        <f t="shared" si="166"/>
        <v>SAVE20</v>
      </c>
      <c r="P773" s="2">
        <v>6</v>
      </c>
      <c r="Q773" s="19">
        <f t="shared" si="167"/>
        <v>6</v>
      </c>
      <c r="R773" s="2" t="str">
        <f t="shared" si="168"/>
        <v>Number</v>
      </c>
      <c r="S773" s="2">
        <v>7.99</v>
      </c>
      <c r="T773" s="19">
        <f t="shared" si="169"/>
        <v>7.99</v>
      </c>
      <c r="U773" s="2">
        <v>31.98</v>
      </c>
      <c r="V773" s="19">
        <f t="shared" si="170"/>
        <v>31.98</v>
      </c>
      <c r="W773" s="19">
        <f t="shared" si="171"/>
        <v>31.979999999999997</v>
      </c>
      <c r="X773" s="19" t="str">
        <f t="shared" si="172"/>
        <v>True</v>
      </c>
      <c r="Y773" s="19" t="str">
        <f>IF(OR(W773&lt;'Cleaning Tasks'!$G$18,W773&gt;'Cleaning Tasks'!$H$18),"Outlier","Normal")</f>
        <v>Normal</v>
      </c>
      <c r="Z773" s="2" t="s">
        <v>72</v>
      </c>
      <c r="AA773" s="2" t="s">
        <v>27</v>
      </c>
      <c r="AB773" s="2" t="s">
        <v>50</v>
      </c>
      <c r="AC773" s="2" t="s">
        <v>105</v>
      </c>
      <c r="AD773" s="2"/>
      <c r="AE773" s="2" t="str">
        <f t="shared" si="173"/>
        <v>Not Required</v>
      </c>
      <c r="AF773" s="2" t="s">
        <v>2440</v>
      </c>
    </row>
    <row r="774" spans="1:32" x14ac:dyDescent="0.3">
      <c r="A774" s="2" t="s">
        <v>2441</v>
      </c>
      <c r="B774" s="2">
        <f t="shared" si="163"/>
        <v>1</v>
      </c>
      <c r="C774" s="12">
        <f t="shared" si="162"/>
        <v>46238.587694594913</v>
      </c>
      <c r="D774" s="13">
        <v>46238.587694594913</v>
      </c>
      <c r="E774" s="2" t="s">
        <v>2072</v>
      </c>
      <c r="F774" s="2" t="str">
        <f t="shared" si="164"/>
        <v>Email Available</v>
      </c>
      <c r="G774" s="2" t="s">
        <v>2442</v>
      </c>
      <c r="H774" s="2" t="s">
        <v>190</v>
      </c>
      <c r="I774" s="2" t="s">
        <v>191</v>
      </c>
      <c r="J774" s="2" t="s">
        <v>192</v>
      </c>
      <c r="K774" s="2">
        <v>1</v>
      </c>
      <c r="L774" s="2">
        <v>13.49</v>
      </c>
      <c r="M774" s="19">
        <f t="shared" si="165"/>
        <v>13.49</v>
      </c>
      <c r="N774" s="2" t="s">
        <v>24</v>
      </c>
      <c r="O774" s="2" t="str">
        <f t="shared" si="166"/>
        <v>SAVE20</v>
      </c>
      <c r="P774" s="2" t="s">
        <v>2443</v>
      </c>
      <c r="Q774" s="19">
        <f t="shared" si="167"/>
        <v>2.7</v>
      </c>
      <c r="R774" s="2" t="str">
        <f t="shared" si="168"/>
        <v>Number</v>
      </c>
      <c r="S774" s="2">
        <v>4.99</v>
      </c>
      <c r="T774" s="19">
        <f t="shared" si="169"/>
        <v>4.99</v>
      </c>
      <c r="U774" s="2">
        <v>15.78</v>
      </c>
      <c r="V774" s="19">
        <f t="shared" si="170"/>
        <v>15.78</v>
      </c>
      <c r="W774" s="19">
        <f t="shared" si="171"/>
        <v>15.78</v>
      </c>
      <c r="X774" s="19" t="str">
        <f t="shared" si="172"/>
        <v>True</v>
      </c>
      <c r="Y774" s="19" t="str">
        <f>IF(OR(W774&lt;'Cleaning Tasks'!$G$18,W774&gt;'Cleaning Tasks'!$H$18),"Outlier","Normal")</f>
        <v>Normal</v>
      </c>
      <c r="Z774" s="2" t="s">
        <v>26</v>
      </c>
      <c r="AA774" s="2" t="s">
        <v>27</v>
      </c>
      <c r="AB774" s="2" t="s">
        <v>50</v>
      </c>
      <c r="AC774" s="2" t="s">
        <v>73</v>
      </c>
      <c r="AD774" s="2"/>
      <c r="AE774" s="2" t="str">
        <f t="shared" si="173"/>
        <v>Not Required</v>
      </c>
      <c r="AF774" s="2" t="s">
        <v>2444</v>
      </c>
    </row>
    <row r="775" spans="1:32" x14ac:dyDescent="0.3">
      <c r="A775" s="2" t="s">
        <v>2445</v>
      </c>
      <c r="B775" s="2">
        <f t="shared" si="163"/>
        <v>1</v>
      </c>
      <c r="C775" s="12">
        <f t="shared" si="162"/>
        <v>46238.579875405092</v>
      </c>
      <c r="D775" s="13">
        <v>46238.579875405092</v>
      </c>
      <c r="E775" s="2" t="s">
        <v>1349</v>
      </c>
      <c r="F775" s="2" t="str">
        <f t="shared" si="164"/>
        <v>Email Available</v>
      </c>
      <c r="G775" s="2" t="s">
        <v>1350</v>
      </c>
      <c r="H775" s="2" t="s">
        <v>201</v>
      </c>
      <c r="I775" s="2" t="s">
        <v>191</v>
      </c>
      <c r="J775" s="2" t="s">
        <v>202</v>
      </c>
      <c r="K775" s="2">
        <v>1</v>
      </c>
      <c r="L775" s="2">
        <v>24.99</v>
      </c>
      <c r="M775" s="19">
        <f t="shared" si="165"/>
        <v>24.99</v>
      </c>
      <c r="N775" s="2" t="s">
        <v>118</v>
      </c>
      <c r="O775" s="2" t="str">
        <f t="shared" si="166"/>
        <v>BFCM25</v>
      </c>
      <c r="P775" s="2">
        <v>6.25</v>
      </c>
      <c r="Q775" s="19">
        <f t="shared" si="167"/>
        <v>6.25</v>
      </c>
      <c r="R775" s="2" t="str">
        <f t="shared" si="168"/>
        <v>Number</v>
      </c>
      <c r="S775" s="2">
        <v>5.99</v>
      </c>
      <c r="T775" s="19">
        <f t="shared" si="169"/>
        <v>5.99</v>
      </c>
      <c r="U775" s="2">
        <v>24.73</v>
      </c>
      <c r="V775" s="19">
        <f t="shared" si="170"/>
        <v>24.73</v>
      </c>
      <c r="W775" s="19">
        <f t="shared" si="171"/>
        <v>24.729999999999997</v>
      </c>
      <c r="X775" s="19" t="str">
        <f t="shared" si="172"/>
        <v>True</v>
      </c>
      <c r="Y775" s="19" t="str">
        <f>IF(OR(W775&lt;'Cleaning Tasks'!$G$18,W775&gt;'Cleaning Tasks'!$H$18),"Outlier","Normal")</f>
        <v>Normal</v>
      </c>
      <c r="Z775" s="2" t="s">
        <v>72</v>
      </c>
      <c r="AA775" s="2" t="s">
        <v>40</v>
      </c>
      <c r="AB775" s="2" t="s">
        <v>96</v>
      </c>
      <c r="AC775" s="2" t="s">
        <v>42</v>
      </c>
      <c r="AD775" s="2"/>
      <c r="AE775" s="2" t="str">
        <f t="shared" si="173"/>
        <v>Not Required</v>
      </c>
      <c r="AF775" s="2" t="s">
        <v>2446</v>
      </c>
    </row>
    <row r="776" spans="1:32" x14ac:dyDescent="0.3">
      <c r="A776" s="2" t="s">
        <v>2447</v>
      </c>
      <c r="B776" s="2">
        <f t="shared" si="163"/>
        <v>1</v>
      </c>
      <c r="C776" s="12">
        <f t="shared" si="162"/>
        <v>46238.587756388893</v>
      </c>
      <c r="D776" s="13">
        <v>46238.587756388893</v>
      </c>
      <c r="E776" s="2" t="s">
        <v>1490</v>
      </c>
      <c r="F776" s="2" t="str">
        <f t="shared" si="164"/>
        <v>Missing Email</v>
      </c>
      <c r="G776" s="2"/>
      <c r="H776" s="2" t="s">
        <v>279</v>
      </c>
      <c r="I776" s="2" t="s">
        <v>22</v>
      </c>
      <c r="J776" s="2" t="s">
        <v>280</v>
      </c>
      <c r="K776" s="2">
        <v>4</v>
      </c>
      <c r="L776" s="2">
        <v>24.99</v>
      </c>
      <c r="M776" s="19">
        <f t="shared" si="165"/>
        <v>24.99</v>
      </c>
      <c r="N776" s="2" t="s">
        <v>65</v>
      </c>
      <c r="O776" s="2" t="str">
        <f t="shared" si="166"/>
        <v>WELCOME10</v>
      </c>
      <c r="P776" s="2">
        <v>10</v>
      </c>
      <c r="Q776" s="19">
        <f t="shared" si="167"/>
        <v>10</v>
      </c>
      <c r="R776" s="2" t="str">
        <f t="shared" si="168"/>
        <v>Number</v>
      </c>
      <c r="S776" s="2">
        <v>0</v>
      </c>
      <c r="T776" s="19">
        <f t="shared" si="169"/>
        <v>0</v>
      </c>
      <c r="U776" s="2">
        <v>89.96</v>
      </c>
      <c r="V776" s="19">
        <f t="shared" si="170"/>
        <v>89.96</v>
      </c>
      <c r="W776" s="19">
        <f t="shared" si="171"/>
        <v>89.96</v>
      </c>
      <c r="X776" s="19" t="str">
        <f t="shared" si="172"/>
        <v>True</v>
      </c>
      <c r="Y776" s="19" t="str">
        <f>IF(OR(W776&lt;'Cleaning Tasks'!$G$18,W776&gt;'Cleaning Tasks'!$H$18),"Outlier","Normal")</f>
        <v>Outlier</v>
      </c>
      <c r="Z776" s="2" t="s">
        <v>66</v>
      </c>
      <c r="AA776" s="2" t="s">
        <v>27</v>
      </c>
      <c r="AB776" s="2" t="s">
        <v>50</v>
      </c>
      <c r="AC776" s="2" t="s">
        <v>42</v>
      </c>
      <c r="AD776" s="2"/>
      <c r="AE776" s="2" t="str">
        <f t="shared" si="173"/>
        <v>Not Required</v>
      </c>
      <c r="AF776" s="2" t="s">
        <v>2448</v>
      </c>
    </row>
    <row r="777" spans="1:32" x14ac:dyDescent="0.3">
      <c r="A777" s="2" t="s">
        <v>2449</v>
      </c>
      <c r="B777" s="2">
        <f t="shared" si="163"/>
        <v>1</v>
      </c>
      <c r="C777" s="12">
        <f t="shared" si="162"/>
        <v>46238.580390960647</v>
      </c>
      <c r="D777" s="13">
        <v>46238.580390960647</v>
      </c>
      <c r="E777" s="2" t="s">
        <v>2450</v>
      </c>
      <c r="F777" s="2" t="str">
        <f t="shared" si="164"/>
        <v>Email Available</v>
      </c>
      <c r="G777" s="2" t="s">
        <v>2451</v>
      </c>
      <c r="H777" s="2" t="s">
        <v>152</v>
      </c>
      <c r="I777" s="2" t="s">
        <v>36</v>
      </c>
      <c r="J777" s="2" t="s">
        <v>153</v>
      </c>
      <c r="K777" s="2">
        <v>1</v>
      </c>
      <c r="L777" s="2">
        <v>29.99</v>
      </c>
      <c r="M777" s="19">
        <f t="shared" si="165"/>
        <v>29.99</v>
      </c>
      <c r="N777" s="2"/>
      <c r="O777" s="2" t="str">
        <f t="shared" si="166"/>
        <v/>
      </c>
      <c r="P777" s="2">
        <v>0</v>
      </c>
      <c r="Q777" s="19">
        <f t="shared" si="167"/>
        <v>0</v>
      </c>
      <c r="R777" s="2" t="str">
        <f t="shared" si="168"/>
        <v>Number</v>
      </c>
      <c r="S777" s="2">
        <v>7.99</v>
      </c>
      <c r="T777" s="19">
        <f t="shared" si="169"/>
        <v>7.99</v>
      </c>
      <c r="U777" s="2">
        <v>37.979999999999997</v>
      </c>
      <c r="V777" s="19">
        <f t="shared" si="170"/>
        <v>37.979999999999997</v>
      </c>
      <c r="W777" s="19">
        <f t="shared" si="171"/>
        <v>37.979999999999997</v>
      </c>
      <c r="X777" s="19" t="str">
        <f t="shared" si="172"/>
        <v>True</v>
      </c>
      <c r="Y777" s="19" t="str">
        <f>IF(OR(W777&lt;'Cleaning Tasks'!$G$18,W777&gt;'Cleaning Tasks'!$H$18),"Outlier","Normal")</f>
        <v>Normal</v>
      </c>
      <c r="Z777" s="2" t="s">
        <v>26</v>
      </c>
      <c r="AA777" s="2" t="s">
        <v>27</v>
      </c>
      <c r="AB777" s="2" t="s">
        <v>50</v>
      </c>
      <c r="AC777" s="2" t="s">
        <v>105</v>
      </c>
      <c r="AD777" s="2"/>
      <c r="AE777" s="2" t="str">
        <f t="shared" si="173"/>
        <v>Not Required</v>
      </c>
      <c r="AF777" s="2" t="s">
        <v>2452</v>
      </c>
    </row>
    <row r="778" spans="1:32" x14ac:dyDescent="0.3">
      <c r="A778" s="2" t="s">
        <v>2453</v>
      </c>
      <c r="B778" s="2">
        <f t="shared" si="163"/>
        <v>1</v>
      </c>
      <c r="C778" s="12">
        <f t="shared" si="162"/>
        <v>46238.58619130787</v>
      </c>
      <c r="D778" s="13">
        <v>46238.58619130787</v>
      </c>
      <c r="E778" s="2" t="s">
        <v>1550</v>
      </c>
      <c r="F778" s="2" t="str">
        <f t="shared" si="164"/>
        <v>Email Available</v>
      </c>
      <c r="G778" s="2" t="s">
        <v>1551</v>
      </c>
      <c r="H778" s="2" t="s">
        <v>46</v>
      </c>
      <c r="I778" s="2" t="s">
        <v>47</v>
      </c>
      <c r="J778" s="2" t="s">
        <v>48</v>
      </c>
      <c r="K778" s="2">
        <v>1</v>
      </c>
      <c r="L778" s="2">
        <v>39.99</v>
      </c>
      <c r="M778" s="19">
        <f t="shared" si="165"/>
        <v>39.99</v>
      </c>
      <c r="N778" s="2" t="s">
        <v>118</v>
      </c>
      <c r="O778" s="2" t="str">
        <f t="shared" si="166"/>
        <v>BFCM25</v>
      </c>
      <c r="P778" s="2">
        <v>10</v>
      </c>
      <c r="Q778" s="19">
        <f t="shared" si="167"/>
        <v>10</v>
      </c>
      <c r="R778" s="2" t="str">
        <f t="shared" si="168"/>
        <v>Number</v>
      </c>
      <c r="S778" s="2">
        <v>7.99</v>
      </c>
      <c r="T778" s="19">
        <f t="shared" si="169"/>
        <v>7.99</v>
      </c>
      <c r="U778" s="2">
        <v>37.979999999999997</v>
      </c>
      <c r="V778" s="19">
        <f t="shared" si="170"/>
        <v>37.979999999999997</v>
      </c>
      <c r="W778" s="19">
        <f t="shared" si="171"/>
        <v>37.980000000000004</v>
      </c>
      <c r="X778" s="19" t="str">
        <f t="shared" si="172"/>
        <v>True</v>
      </c>
      <c r="Y778" s="19" t="str">
        <f>IF(OR(W778&lt;'Cleaning Tasks'!$G$18,W778&gt;'Cleaning Tasks'!$H$18),"Outlier","Normal")</f>
        <v>Normal</v>
      </c>
      <c r="Z778" s="2" t="s">
        <v>72</v>
      </c>
      <c r="AA778" s="2" t="s">
        <v>40</v>
      </c>
      <c r="AB778" s="2" t="s">
        <v>28</v>
      </c>
      <c r="AC778" s="2" t="s">
        <v>42</v>
      </c>
      <c r="AD778" s="2"/>
      <c r="AE778" s="2" t="str">
        <f t="shared" si="173"/>
        <v>Not Required</v>
      </c>
      <c r="AF778" s="2" t="s">
        <v>2454</v>
      </c>
    </row>
    <row r="779" spans="1:32" x14ac:dyDescent="0.3">
      <c r="A779" s="2" t="s">
        <v>2455</v>
      </c>
      <c r="B779" s="2">
        <f t="shared" si="163"/>
        <v>1</v>
      </c>
      <c r="C779" s="12">
        <f t="shared" si="162"/>
        <v>46238.581074155103</v>
      </c>
      <c r="D779" s="13">
        <v>46238.581074155103</v>
      </c>
      <c r="E779" s="2" t="s">
        <v>1283</v>
      </c>
      <c r="F779" s="2" t="str">
        <f t="shared" si="164"/>
        <v>Email Available</v>
      </c>
      <c r="G779" s="2" t="s">
        <v>1284</v>
      </c>
      <c r="H779" s="2" t="s">
        <v>361</v>
      </c>
      <c r="I779" s="2" t="s">
        <v>86</v>
      </c>
      <c r="J779" s="2" t="s">
        <v>362</v>
      </c>
      <c r="K779" s="2">
        <v>2</v>
      </c>
      <c r="L779" s="2">
        <v>54.99</v>
      </c>
      <c r="M779" s="19">
        <f t="shared" si="165"/>
        <v>54.99</v>
      </c>
      <c r="N779" s="2" t="s">
        <v>24</v>
      </c>
      <c r="O779" s="2" t="str">
        <f t="shared" si="166"/>
        <v>SAVE20</v>
      </c>
      <c r="P779" s="2">
        <v>22</v>
      </c>
      <c r="Q779" s="19">
        <f t="shared" si="167"/>
        <v>22</v>
      </c>
      <c r="R779" s="2" t="str">
        <f t="shared" si="168"/>
        <v>Number</v>
      </c>
      <c r="S779" s="2">
        <v>0</v>
      </c>
      <c r="T779" s="19">
        <f t="shared" si="169"/>
        <v>0</v>
      </c>
      <c r="U779" s="2">
        <v>87.98</v>
      </c>
      <c r="V779" s="19">
        <f t="shared" si="170"/>
        <v>87.98</v>
      </c>
      <c r="W779" s="19">
        <f t="shared" si="171"/>
        <v>87.98</v>
      </c>
      <c r="X779" s="19" t="str">
        <f t="shared" si="172"/>
        <v>True</v>
      </c>
      <c r="Y779" s="19" t="str">
        <f>IF(OR(W779&lt;'Cleaning Tasks'!$G$18,W779&gt;'Cleaning Tasks'!$H$18),"Outlier","Normal")</f>
        <v>Outlier</v>
      </c>
      <c r="Z779" s="2" t="s">
        <v>66</v>
      </c>
      <c r="AA779" s="2" t="s">
        <v>88</v>
      </c>
      <c r="AB779" s="2" t="s">
        <v>50</v>
      </c>
      <c r="AC779" s="2" t="s">
        <v>42</v>
      </c>
      <c r="AD779" s="2"/>
      <c r="AE779" s="2" t="str">
        <f t="shared" si="173"/>
        <v>Not Required</v>
      </c>
      <c r="AF779" s="2" t="s">
        <v>2456</v>
      </c>
    </row>
    <row r="780" spans="1:32" x14ac:dyDescent="0.3">
      <c r="A780" s="2" t="s">
        <v>2457</v>
      </c>
      <c r="B780" s="2">
        <f t="shared" si="163"/>
        <v>1</v>
      </c>
      <c r="C780" s="12">
        <f t="shared" si="162"/>
        <v>46238.582906296288</v>
      </c>
      <c r="D780" s="13">
        <v>46238.582906296288</v>
      </c>
      <c r="E780" s="2" t="s">
        <v>1369</v>
      </c>
      <c r="F780" s="2" t="str">
        <f t="shared" si="164"/>
        <v>Email Available</v>
      </c>
      <c r="G780" s="2" t="s">
        <v>1370</v>
      </c>
      <c r="H780" s="2" t="s">
        <v>85</v>
      </c>
      <c r="I780" s="2" t="s">
        <v>86</v>
      </c>
      <c r="J780" s="2" t="s">
        <v>87</v>
      </c>
      <c r="K780" s="2">
        <v>1</v>
      </c>
      <c r="L780" s="2">
        <v>54.99</v>
      </c>
      <c r="M780" s="19">
        <f t="shared" si="165"/>
        <v>54.99</v>
      </c>
      <c r="N780" s="2"/>
      <c r="O780" s="2" t="str">
        <f t="shared" si="166"/>
        <v/>
      </c>
      <c r="P780" s="2">
        <v>0</v>
      </c>
      <c r="Q780" s="19">
        <f t="shared" si="167"/>
        <v>0</v>
      </c>
      <c r="R780" s="2" t="str">
        <f t="shared" si="168"/>
        <v>Number</v>
      </c>
      <c r="S780" s="2">
        <v>5.99</v>
      </c>
      <c r="T780" s="19">
        <f t="shared" si="169"/>
        <v>5.99</v>
      </c>
      <c r="U780" s="2">
        <v>60.98</v>
      </c>
      <c r="V780" s="19">
        <f t="shared" si="170"/>
        <v>60.98</v>
      </c>
      <c r="W780" s="19">
        <f t="shared" si="171"/>
        <v>60.980000000000004</v>
      </c>
      <c r="X780" s="19" t="str">
        <f t="shared" si="172"/>
        <v>True</v>
      </c>
      <c r="Y780" s="19" t="str">
        <f>IF(OR(W780&lt;'Cleaning Tasks'!$G$18,W780&gt;'Cleaning Tasks'!$H$18),"Outlier","Normal")</f>
        <v>Normal</v>
      </c>
      <c r="Z780" s="2" t="s">
        <v>66</v>
      </c>
      <c r="AA780" s="2" t="s">
        <v>27</v>
      </c>
      <c r="AB780" s="2" t="s">
        <v>28</v>
      </c>
      <c r="AC780" s="2" t="s">
        <v>73</v>
      </c>
      <c r="AD780" s="2"/>
      <c r="AE780" s="2" t="str">
        <f t="shared" si="173"/>
        <v>Not Required</v>
      </c>
      <c r="AF780" s="2" t="s">
        <v>2458</v>
      </c>
    </row>
    <row r="781" spans="1:32" x14ac:dyDescent="0.3">
      <c r="A781" s="2" t="s">
        <v>2459</v>
      </c>
      <c r="B781" s="2">
        <f t="shared" si="163"/>
        <v>1</v>
      </c>
      <c r="C781" s="12">
        <f t="shared" si="162"/>
        <v>46238.584817488423</v>
      </c>
      <c r="D781" s="13">
        <v>46238.584817488423</v>
      </c>
      <c r="E781" s="2" t="s">
        <v>1523</v>
      </c>
      <c r="F781" s="2" t="str">
        <f t="shared" si="164"/>
        <v>Email Available</v>
      </c>
      <c r="G781" s="2" t="s">
        <v>1524</v>
      </c>
      <c r="H781" s="2" t="s">
        <v>63</v>
      </c>
      <c r="I781" s="2" t="s">
        <v>47</v>
      </c>
      <c r="J781" s="2" t="s">
        <v>446</v>
      </c>
      <c r="K781" s="2">
        <v>2</v>
      </c>
      <c r="L781" s="2">
        <v>14.99</v>
      </c>
      <c r="M781" s="19">
        <f t="shared" si="165"/>
        <v>14.99</v>
      </c>
      <c r="N781" s="2"/>
      <c r="O781" s="2" t="str">
        <f t="shared" si="166"/>
        <v/>
      </c>
      <c r="P781" s="2">
        <v>0</v>
      </c>
      <c r="Q781" s="19">
        <f t="shared" si="167"/>
        <v>0</v>
      </c>
      <c r="R781" s="2" t="str">
        <f t="shared" si="168"/>
        <v>Number</v>
      </c>
      <c r="S781" s="2">
        <v>5.99</v>
      </c>
      <c r="T781" s="19">
        <f t="shared" si="169"/>
        <v>5.99</v>
      </c>
      <c r="U781" s="2">
        <v>35.97</v>
      </c>
      <c r="V781" s="19">
        <f t="shared" si="170"/>
        <v>35.97</v>
      </c>
      <c r="W781" s="19">
        <f t="shared" si="171"/>
        <v>35.97</v>
      </c>
      <c r="X781" s="19" t="str">
        <f t="shared" si="172"/>
        <v>True</v>
      </c>
      <c r="Y781" s="19" t="str">
        <f>IF(OR(W781&lt;'Cleaning Tasks'!$G$18,W781&gt;'Cleaning Tasks'!$H$18),"Outlier","Normal")</f>
        <v>Normal</v>
      </c>
      <c r="Z781" s="2" t="s">
        <v>66</v>
      </c>
      <c r="AA781" s="2" t="s">
        <v>88</v>
      </c>
      <c r="AB781" s="2" t="s">
        <v>96</v>
      </c>
      <c r="AC781" s="2" t="s">
        <v>29</v>
      </c>
      <c r="AD781" s="2" t="s">
        <v>243</v>
      </c>
      <c r="AE781" s="2" t="str">
        <f t="shared" si="173"/>
        <v>Valid</v>
      </c>
      <c r="AF781" s="2" t="s">
        <v>2460</v>
      </c>
    </row>
    <row r="782" spans="1:32" x14ac:dyDescent="0.3">
      <c r="A782" s="2" t="s">
        <v>2461</v>
      </c>
      <c r="B782" s="2">
        <f t="shared" si="163"/>
        <v>1</v>
      </c>
      <c r="C782" s="12">
        <f t="shared" si="162"/>
        <v>46238.579959166673</v>
      </c>
      <c r="D782" s="13">
        <v>46238.579959166673</v>
      </c>
      <c r="E782" s="2" t="s">
        <v>5174</v>
      </c>
      <c r="F782" s="2" t="str">
        <f t="shared" si="164"/>
        <v>Email Available</v>
      </c>
      <c r="G782" s="2" t="s">
        <v>62</v>
      </c>
      <c r="H782" s="2" t="s">
        <v>361</v>
      </c>
      <c r="I782" s="2" t="s">
        <v>86</v>
      </c>
      <c r="J782" s="2" t="s">
        <v>362</v>
      </c>
      <c r="K782" s="2">
        <v>1</v>
      </c>
      <c r="L782" s="2">
        <v>54.99</v>
      </c>
      <c r="M782" s="19">
        <f t="shared" si="165"/>
        <v>54.99</v>
      </c>
      <c r="N782" s="2"/>
      <c r="O782" s="2" t="str">
        <f t="shared" si="166"/>
        <v/>
      </c>
      <c r="P782" s="2">
        <v>0</v>
      </c>
      <c r="Q782" s="19">
        <f t="shared" si="167"/>
        <v>0</v>
      </c>
      <c r="R782" s="2" t="str">
        <f t="shared" si="168"/>
        <v>Number</v>
      </c>
      <c r="S782" s="2">
        <v>4.99</v>
      </c>
      <c r="T782" s="19">
        <f t="shared" si="169"/>
        <v>4.99</v>
      </c>
      <c r="U782" s="2">
        <v>59.98</v>
      </c>
      <c r="V782" s="19">
        <f t="shared" si="170"/>
        <v>59.98</v>
      </c>
      <c r="W782" s="19">
        <f t="shared" si="171"/>
        <v>59.980000000000004</v>
      </c>
      <c r="X782" s="19" t="str">
        <f t="shared" si="172"/>
        <v>True</v>
      </c>
      <c r="Y782" s="19" t="str">
        <f>IF(OR(W782&lt;'Cleaning Tasks'!$G$18,W782&gt;'Cleaning Tasks'!$H$18),"Outlier","Normal")</f>
        <v>Normal</v>
      </c>
      <c r="Z782" s="2" t="s">
        <v>39</v>
      </c>
      <c r="AA782" s="2" t="s">
        <v>111</v>
      </c>
      <c r="AB782" s="2" t="s">
        <v>50</v>
      </c>
      <c r="AC782" s="2" t="s">
        <v>29</v>
      </c>
      <c r="AD782" s="2" t="s">
        <v>341</v>
      </c>
      <c r="AE782" s="2" t="str">
        <f t="shared" si="173"/>
        <v>Valid</v>
      </c>
      <c r="AF782" s="2" t="s">
        <v>2462</v>
      </c>
    </row>
    <row r="783" spans="1:32" x14ac:dyDescent="0.3">
      <c r="A783" s="2" t="s">
        <v>2463</v>
      </c>
      <c r="B783" s="2">
        <f t="shared" si="163"/>
        <v>1</v>
      </c>
      <c r="C783" s="12">
        <f t="shared" si="162"/>
        <v>46238.582641122688</v>
      </c>
      <c r="D783" s="13">
        <v>46238.582641122688</v>
      </c>
      <c r="E783" s="2" t="s">
        <v>1099</v>
      </c>
      <c r="F783" s="2" t="str">
        <f t="shared" si="164"/>
        <v>Email Available</v>
      </c>
      <c r="G783" s="2" t="s">
        <v>1100</v>
      </c>
      <c r="H783" s="2" t="s">
        <v>361</v>
      </c>
      <c r="I783" s="2" t="s">
        <v>86</v>
      </c>
      <c r="J783" s="2" t="s">
        <v>362</v>
      </c>
      <c r="K783" s="2">
        <v>1</v>
      </c>
      <c r="L783" s="2">
        <v>54.99</v>
      </c>
      <c r="M783" s="19">
        <f t="shared" si="165"/>
        <v>54.99</v>
      </c>
      <c r="N783" s="2"/>
      <c r="O783" s="2" t="str">
        <f t="shared" si="166"/>
        <v/>
      </c>
      <c r="P783" s="2">
        <v>0</v>
      </c>
      <c r="Q783" s="19">
        <f t="shared" si="167"/>
        <v>0</v>
      </c>
      <c r="R783" s="2" t="str">
        <f t="shared" si="168"/>
        <v>Number</v>
      </c>
      <c r="S783" s="2">
        <v>4.99</v>
      </c>
      <c r="T783" s="19">
        <f t="shared" si="169"/>
        <v>4.99</v>
      </c>
      <c r="U783" s="2">
        <v>59.98</v>
      </c>
      <c r="V783" s="19">
        <f t="shared" si="170"/>
        <v>59.98</v>
      </c>
      <c r="W783" s="19">
        <f t="shared" si="171"/>
        <v>59.980000000000004</v>
      </c>
      <c r="X783" s="19" t="str">
        <f t="shared" si="172"/>
        <v>True</v>
      </c>
      <c r="Y783" s="19" t="str">
        <f>IF(OR(W783&lt;'Cleaning Tasks'!$G$18,W783&gt;'Cleaning Tasks'!$H$18),"Outlier","Normal")</f>
        <v>Normal</v>
      </c>
      <c r="Z783" s="2" t="s">
        <v>72</v>
      </c>
      <c r="AA783" s="2" t="s">
        <v>40</v>
      </c>
      <c r="AB783" s="2" t="s">
        <v>50</v>
      </c>
      <c r="AC783" s="2" t="s">
        <v>29</v>
      </c>
      <c r="AD783" s="2" t="s">
        <v>112</v>
      </c>
      <c r="AE783" s="2" t="str">
        <f t="shared" si="173"/>
        <v>Valid</v>
      </c>
      <c r="AF783" s="2" t="s">
        <v>2464</v>
      </c>
    </row>
    <row r="784" spans="1:32" x14ac:dyDescent="0.3">
      <c r="A784" s="2" t="s">
        <v>2465</v>
      </c>
      <c r="B784" s="2">
        <f t="shared" si="163"/>
        <v>1</v>
      </c>
      <c r="C784" s="12">
        <f t="shared" si="162"/>
        <v>46238.582345590279</v>
      </c>
      <c r="D784" s="13">
        <v>46238.582345590279</v>
      </c>
      <c r="E784" s="2" t="s">
        <v>1117</v>
      </c>
      <c r="F784" s="2" t="str">
        <f t="shared" si="164"/>
        <v>Email Available</v>
      </c>
      <c r="G784" s="2" t="s">
        <v>1118</v>
      </c>
      <c r="H784" s="2" t="s">
        <v>35</v>
      </c>
      <c r="I784" s="2" t="s">
        <v>36</v>
      </c>
      <c r="J784" s="2" t="s">
        <v>37</v>
      </c>
      <c r="K784" s="2">
        <v>1</v>
      </c>
      <c r="L784" s="2">
        <v>21.99</v>
      </c>
      <c r="M784" s="19">
        <f t="shared" si="165"/>
        <v>21.99</v>
      </c>
      <c r="N784" s="2"/>
      <c r="O784" s="2" t="str">
        <f t="shared" si="166"/>
        <v/>
      </c>
      <c r="P784" s="2">
        <v>0</v>
      </c>
      <c r="Q784" s="19">
        <f t="shared" si="167"/>
        <v>0</v>
      </c>
      <c r="R784" s="2" t="str">
        <f t="shared" si="168"/>
        <v>Number</v>
      </c>
      <c r="S784" s="2">
        <v>7.99</v>
      </c>
      <c r="T784" s="19">
        <f t="shared" si="169"/>
        <v>7.99</v>
      </c>
      <c r="U784" s="2">
        <v>29.98</v>
      </c>
      <c r="V784" s="19">
        <f t="shared" si="170"/>
        <v>29.98</v>
      </c>
      <c r="W784" s="19">
        <f t="shared" si="171"/>
        <v>29.979999999999997</v>
      </c>
      <c r="X784" s="19" t="str">
        <f t="shared" si="172"/>
        <v>True</v>
      </c>
      <c r="Y784" s="19" t="str">
        <f>IF(OR(W784&lt;'Cleaning Tasks'!$G$18,W784&gt;'Cleaning Tasks'!$H$18),"Outlier","Normal")</f>
        <v>Normal</v>
      </c>
      <c r="Z784" s="2" t="s">
        <v>66</v>
      </c>
      <c r="AA784" s="2" t="s">
        <v>27</v>
      </c>
      <c r="AB784" s="2" t="s">
        <v>50</v>
      </c>
      <c r="AC784" s="2" t="s">
        <v>331</v>
      </c>
      <c r="AD784" s="2"/>
      <c r="AE784" s="2" t="str">
        <f t="shared" si="173"/>
        <v>Not Required</v>
      </c>
      <c r="AF784" s="2" t="s">
        <v>854</v>
      </c>
    </row>
    <row r="785" spans="1:32" x14ac:dyDescent="0.3">
      <c r="A785" s="2" t="s">
        <v>2466</v>
      </c>
      <c r="B785" s="2">
        <f t="shared" si="163"/>
        <v>1</v>
      </c>
      <c r="C785" s="12">
        <f t="shared" si="162"/>
        <v>46238</v>
      </c>
      <c r="D785" s="13" t="s">
        <v>1228</v>
      </c>
      <c r="E785" s="2" t="s">
        <v>2467</v>
      </c>
      <c r="F785" s="2" t="str">
        <f t="shared" si="164"/>
        <v>Email Available</v>
      </c>
      <c r="G785" s="2" t="s">
        <v>84</v>
      </c>
      <c r="H785" s="2" t="s">
        <v>130</v>
      </c>
      <c r="I785" s="2" t="s">
        <v>103</v>
      </c>
      <c r="J785" s="2" t="s">
        <v>131</v>
      </c>
      <c r="K785" s="2">
        <v>2</v>
      </c>
      <c r="L785" s="2">
        <v>16.989999999999998</v>
      </c>
      <c r="M785" s="19">
        <f t="shared" si="165"/>
        <v>16.989999999999998</v>
      </c>
      <c r="N785" s="2"/>
      <c r="O785" s="2" t="str">
        <f t="shared" si="166"/>
        <v/>
      </c>
      <c r="P785" s="2">
        <v>0</v>
      </c>
      <c r="Q785" s="19">
        <f t="shared" si="167"/>
        <v>0</v>
      </c>
      <c r="R785" s="2" t="str">
        <f t="shared" si="168"/>
        <v>Number</v>
      </c>
      <c r="S785" s="2">
        <v>7.99</v>
      </c>
      <c r="T785" s="19">
        <f t="shared" si="169"/>
        <v>7.99</v>
      </c>
      <c r="U785" s="2">
        <v>41.97</v>
      </c>
      <c r="V785" s="19">
        <f t="shared" si="170"/>
        <v>41.97</v>
      </c>
      <c r="W785" s="19">
        <f t="shared" si="171"/>
        <v>41.97</v>
      </c>
      <c r="X785" s="19" t="str">
        <f t="shared" si="172"/>
        <v>True</v>
      </c>
      <c r="Y785" s="19" t="str">
        <f>IF(OR(W785&lt;'Cleaning Tasks'!$G$18,W785&gt;'Cleaning Tasks'!$H$18),"Outlier","Normal")</f>
        <v>Normal</v>
      </c>
      <c r="Z785" s="2" t="s">
        <v>49</v>
      </c>
      <c r="AA785" s="2" t="s">
        <v>27</v>
      </c>
      <c r="AB785" s="2" t="s">
        <v>28</v>
      </c>
      <c r="AC785" s="2" t="s">
        <v>29</v>
      </c>
      <c r="AD785" s="2" t="s">
        <v>243</v>
      </c>
      <c r="AE785" s="2" t="str">
        <f t="shared" si="173"/>
        <v>Valid</v>
      </c>
      <c r="AF785" s="2" t="s">
        <v>2468</v>
      </c>
    </row>
    <row r="786" spans="1:32" x14ac:dyDescent="0.3">
      <c r="A786" s="2" t="s">
        <v>2469</v>
      </c>
      <c r="B786" s="2">
        <f t="shared" si="163"/>
        <v>1</v>
      </c>
      <c r="C786" s="12">
        <f t="shared" si="162"/>
        <v>46238.57929065972</v>
      </c>
      <c r="D786" s="13">
        <v>46238.57929065972</v>
      </c>
      <c r="E786" s="2" t="s">
        <v>2470</v>
      </c>
      <c r="F786" s="2" t="str">
        <f t="shared" si="164"/>
        <v>Email Available</v>
      </c>
      <c r="G786" s="2" t="s">
        <v>1511</v>
      </c>
      <c r="H786" s="2" t="s">
        <v>152</v>
      </c>
      <c r="I786" s="2" t="s">
        <v>36</v>
      </c>
      <c r="J786" s="2" t="s">
        <v>153</v>
      </c>
      <c r="K786" s="2">
        <v>1</v>
      </c>
      <c r="L786" s="2">
        <v>29.99</v>
      </c>
      <c r="M786" s="19">
        <f t="shared" si="165"/>
        <v>29.99</v>
      </c>
      <c r="N786" s="2" t="s">
        <v>203</v>
      </c>
      <c r="O786" s="2" t="str">
        <f t="shared" si="166"/>
        <v>VIP15</v>
      </c>
      <c r="P786" s="2">
        <v>4.5</v>
      </c>
      <c r="Q786" s="19">
        <f t="shared" si="167"/>
        <v>4.5</v>
      </c>
      <c r="R786" s="2" t="str">
        <f t="shared" si="168"/>
        <v>Number</v>
      </c>
      <c r="S786" s="2">
        <v>4.99</v>
      </c>
      <c r="T786" s="19">
        <f t="shared" si="169"/>
        <v>4.99</v>
      </c>
      <c r="U786" s="2">
        <v>1524</v>
      </c>
      <c r="V786" s="19">
        <f t="shared" si="170"/>
        <v>1524</v>
      </c>
      <c r="W786" s="19">
        <f t="shared" si="171"/>
        <v>30.479999999999997</v>
      </c>
      <c r="X786" s="19" t="str">
        <f t="shared" si="172"/>
        <v>False</v>
      </c>
      <c r="Y786" s="19" t="str">
        <f>IF(OR(W786&lt;'Cleaning Tasks'!$G$18,W786&gt;'Cleaning Tasks'!$H$18),"Outlier","Normal")</f>
        <v>Normal</v>
      </c>
      <c r="Z786" s="2" t="s">
        <v>39</v>
      </c>
      <c r="AA786" s="2" t="s">
        <v>40</v>
      </c>
      <c r="AB786" s="2" t="s">
        <v>50</v>
      </c>
      <c r="AC786" s="2" t="s">
        <v>42</v>
      </c>
      <c r="AD786" s="2"/>
      <c r="AE786" s="2" t="str">
        <f t="shared" si="173"/>
        <v>Not Required</v>
      </c>
      <c r="AF786" s="2" t="s">
        <v>2471</v>
      </c>
    </row>
    <row r="787" spans="1:32" x14ac:dyDescent="0.3">
      <c r="A787" s="2" t="s">
        <v>2472</v>
      </c>
      <c r="B787" s="2">
        <f t="shared" si="163"/>
        <v>1</v>
      </c>
      <c r="C787" s="12">
        <f t="shared" si="162"/>
        <v>46238.580645196758</v>
      </c>
      <c r="D787" s="13">
        <v>46238.580645196758</v>
      </c>
      <c r="E787" s="2" t="s">
        <v>226</v>
      </c>
      <c r="F787" s="2" t="str">
        <f t="shared" si="164"/>
        <v>Email Available</v>
      </c>
      <c r="G787" s="2" t="s">
        <v>227</v>
      </c>
      <c r="H787" s="2" t="s">
        <v>117</v>
      </c>
      <c r="I787" s="2" t="s">
        <v>22</v>
      </c>
      <c r="J787" s="2" t="s">
        <v>23</v>
      </c>
      <c r="K787" s="2">
        <v>1</v>
      </c>
      <c r="L787" s="2">
        <v>12.99</v>
      </c>
      <c r="M787" s="19">
        <f t="shared" si="165"/>
        <v>12.99</v>
      </c>
      <c r="N787" s="2" t="s">
        <v>24</v>
      </c>
      <c r="O787" s="2" t="str">
        <f t="shared" si="166"/>
        <v>SAVE20</v>
      </c>
      <c r="P787" s="2" t="s">
        <v>25</v>
      </c>
      <c r="Q787" s="19">
        <f t="shared" si="167"/>
        <v>2.6</v>
      </c>
      <c r="R787" s="2" t="str">
        <f t="shared" si="168"/>
        <v>Number</v>
      </c>
      <c r="S787" s="2">
        <v>5.99</v>
      </c>
      <c r="T787" s="19">
        <f t="shared" si="169"/>
        <v>5.99</v>
      </c>
      <c r="U787" s="2">
        <v>16.38</v>
      </c>
      <c r="V787" s="19">
        <f t="shared" si="170"/>
        <v>16.38</v>
      </c>
      <c r="W787" s="19">
        <f t="shared" si="171"/>
        <v>16.380000000000003</v>
      </c>
      <c r="X787" s="19" t="str">
        <f t="shared" si="172"/>
        <v>True</v>
      </c>
      <c r="Y787" s="19" t="str">
        <f>IF(OR(W787&lt;'Cleaning Tasks'!$G$18,W787&gt;'Cleaning Tasks'!$H$18),"Outlier","Normal")</f>
        <v>Normal</v>
      </c>
      <c r="Z787" s="2" t="s">
        <v>49</v>
      </c>
      <c r="AA787" s="2" t="s">
        <v>27</v>
      </c>
      <c r="AB787" s="2" t="s">
        <v>50</v>
      </c>
      <c r="AC787" s="2" t="s">
        <v>29</v>
      </c>
      <c r="AD787" s="2" t="s">
        <v>89</v>
      </c>
      <c r="AE787" s="2" t="str">
        <f t="shared" si="173"/>
        <v>Valid</v>
      </c>
      <c r="AF787" s="2" t="s">
        <v>2473</v>
      </c>
    </row>
    <row r="788" spans="1:32" x14ac:dyDescent="0.3">
      <c r="A788" s="2" t="s">
        <v>2474</v>
      </c>
      <c r="B788" s="2">
        <f t="shared" si="163"/>
        <v>1</v>
      </c>
      <c r="C788" s="12">
        <f t="shared" si="162"/>
        <v>46238.58843427083</v>
      </c>
      <c r="D788" s="13">
        <v>46238.58843427083</v>
      </c>
      <c r="E788" s="2" t="s">
        <v>199</v>
      </c>
      <c r="F788" s="2" t="str">
        <f t="shared" si="164"/>
        <v>Email Available</v>
      </c>
      <c r="G788" s="2" t="s">
        <v>200</v>
      </c>
      <c r="H788" s="2" t="s">
        <v>102</v>
      </c>
      <c r="I788" s="2" t="s">
        <v>103</v>
      </c>
      <c r="J788" s="2" t="s">
        <v>104</v>
      </c>
      <c r="K788" s="2">
        <v>1</v>
      </c>
      <c r="L788" s="2">
        <v>19.989999999999998</v>
      </c>
      <c r="M788" s="19">
        <f t="shared" si="165"/>
        <v>19.989999999999998</v>
      </c>
      <c r="N788" s="2"/>
      <c r="O788" s="2" t="str">
        <f t="shared" si="166"/>
        <v/>
      </c>
      <c r="P788" s="2">
        <v>0</v>
      </c>
      <c r="Q788" s="19">
        <f t="shared" si="167"/>
        <v>0</v>
      </c>
      <c r="R788" s="2" t="str">
        <f t="shared" si="168"/>
        <v>Number</v>
      </c>
      <c r="S788" s="2">
        <v>4.99</v>
      </c>
      <c r="T788" s="19">
        <f t="shared" si="169"/>
        <v>4.99</v>
      </c>
      <c r="U788" s="2">
        <v>24.98</v>
      </c>
      <c r="V788" s="19">
        <f t="shared" si="170"/>
        <v>24.98</v>
      </c>
      <c r="W788" s="19">
        <f t="shared" si="171"/>
        <v>24.979999999999997</v>
      </c>
      <c r="X788" s="19" t="str">
        <f t="shared" si="172"/>
        <v>True</v>
      </c>
      <c r="Y788" s="19" t="str">
        <f>IF(OR(W788&lt;'Cleaning Tasks'!$G$18,W788&gt;'Cleaning Tasks'!$H$18),"Outlier","Normal")</f>
        <v>Normal</v>
      </c>
      <c r="Z788" s="2" t="s">
        <v>39</v>
      </c>
      <c r="AA788" s="2" t="s">
        <v>27</v>
      </c>
      <c r="AB788" s="2" t="s">
        <v>50</v>
      </c>
      <c r="AC788" s="2" t="s">
        <v>73</v>
      </c>
      <c r="AD788" s="2"/>
      <c r="AE788" s="2" t="str">
        <f t="shared" si="173"/>
        <v>Not Required</v>
      </c>
      <c r="AF788" s="2" t="s">
        <v>2475</v>
      </c>
    </row>
    <row r="789" spans="1:32" x14ac:dyDescent="0.3">
      <c r="A789" s="2" t="s">
        <v>2476</v>
      </c>
      <c r="B789" s="2">
        <f t="shared" si="163"/>
        <v>1</v>
      </c>
      <c r="C789" s="12">
        <f t="shared" si="162"/>
        <v>46238.587894976852</v>
      </c>
      <c r="D789" s="13">
        <v>46238.587894976852</v>
      </c>
      <c r="E789" s="2" t="s">
        <v>176</v>
      </c>
      <c r="F789" s="2" t="str">
        <f t="shared" si="164"/>
        <v>Email Available</v>
      </c>
      <c r="G789" s="2" t="s">
        <v>177</v>
      </c>
      <c r="H789" s="2" t="s">
        <v>63</v>
      </c>
      <c r="I789" s="2" t="s">
        <v>47</v>
      </c>
      <c r="J789" s="2" t="s">
        <v>64</v>
      </c>
      <c r="K789" s="2">
        <v>1</v>
      </c>
      <c r="L789" s="2">
        <v>14.99</v>
      </c>
      <c r="M789" s="19">
        <f t="shared" si="165"/>
        <v>14.99</v>
      </c>
      <c r="N789" s="2"/>
      <c r="O789" s="2" t="str">
        <f t="shared" si="166"/>
        <v/>
      </c>
      <c r="P789" s="2">
        <v>0</v>
      </c>
      <c r="Q789" s="19">
        <f t="shared" si="167"/>
        <v>0</v>
      </c>
      <c r="R789" s="2" t="str">
        <f t="shared" si="168"/>
        <v>Number</v>
      </c>
      <c r="S789" s="2">
        <v>4.99</v>
      </c>
      <c r="T789" s="19">
        <f t="shared" si="169"/>
        <v>4.99</v>
      </c>
      <c r="U789" s="2">
        <v>19.98</v>
      </c>
      <c r="V789" s="19">
        <f t="shared" si="170"/>
        <v>19.98</v>
      </c>
      <c r="W789" s="19">
        <f t="shared" si="171"/>
        <v>19.98</v>
      </c>
      <c r="X789" s="19" t="str">
        <f t="shared" si="172"/>
        <v>True</v>
      </c>
      <c r="Y789" s="19" t="str">
        <f>IF(OR(W789&lt;'Cleaning Tasks'!$G$18,W789&gt;'Cleaning Tasks'!$H$18),"Outlier","Normal")</f>
        <v>Normal</v>
      </c>
      <c r="Z789" s="2" t="s">
        <v>49</v>
      </c>
      <c r="AA789" s="2" t="s">
        <v>88</v>
      </c>
      <c r="AB789" s="2" t="s">
        <v>96</v>
      </c>
      <c r="AC789" s="2" t="s">
        <v>29</v>
      </c>
      <c r="AD789" s="2" t="s">
        <v>447</v>
      </c>
      <c r="AE789" s="2" t="str">
        <f t="shared" si="173"/>
        <v>Valid</v>
      </c>
      <c r="AF789" s="2" t="s">
        <v>2477</v>
      </c>
    </row>
    <row r="790" spans="1:32" x14ac:dyDescent="0.3">
      <c r="A790" s="2" t="s">
        <v>2478</v>
      </c>
      <c r="B790" s="2">
        <f t="shared" si="163"/>
        <v>1</v>
      </c>
      <c r="C790" s="12">
        <f t="shared" si="162"/>
        <v>46238.584671909717</v>
      </c>
      <c r="D790" s="13">
        <v>46238.584671909717</v>
      </c>
      <c r="E790" s="2" t="s">
        <v>409</v>
      </c>
      <c r="F790" s="2" t="str">
        <f t="shared" si="164"/>
        <v>Email Available</v>
      </c>
      <c r="G790" s="2" t="s">
        <v>410</v>
      </c>
      <c r="H790" s="2" t="s">
        <v>279</v>
      </c>
      <c r="I790" s="2" t="s">
        <v>22</v>
      </c>
      <c r="J790" s="2" t="s">
        <v>280</v>
      </c>
      <c r="K790" s="2">
        <v>1</v>
      </c>
      <c r="L790" s="2">
        <v>24.99</v>
      </c>
      <c r="M790" s="19">
        <f t="shared" si="165"/>
        <v>24.99</v>
      </c>
      <c r="N790" s="2" t="s">
        <v>118</v>
      </c>
      <c r="O790" s="2" t="str">
        <f t="shared" si="166"/>
        <v>BFCM25</v>
      </c>
      <c r="P790" s="2">
        <v>6.25</v>
      </c>
      <c r="Q790" s="19">
        <f t="shared" si="167"/>
        <v>6.25</v>
      </c>
      <c r="R790" s="2" t="str">
        <f t="shared" si="168"/>
        <v>Number</v>
      </c>
      <c r="S790" s="2">
        <v>7.99</v>
      </c>
      <c r="T790" s="19">
        <f t="shared" si="169"/>
        <v>7.99</v>
      </c>
      <c r="U790" s="2">
        <v>26.73</v>
      </c>
      <c r="V790" s="19">
        <f t="shared" si="170"/>
        <v>26.73</v>
      </c>
      <c r="W790" s="19">
        <f t="shared" si="171"/>
        <v>26.729999999999997</v>
      </c>
      <c r="X790" s="19" t="str">
        <f t="shared" si="172"/>
        <v>True</v>
      </c>
      <c r="Y790" s="19" t="str">
        <f>IF(OR(W790&lt;'Cleaning Tasks'!$G$18,W790&gt;'Cleaning Tasks'!$H$18),"Outlier","Normal")</f>
        <v>Normal</v>
      </c>
      <c r="Z790" s="2" t="s">
        <v>49</v>
      </c>
      <c r="AA790" s="2" t="s">
        <v>27</v>
      </c>
      <c r="AB790" s="2" t="s">
        <v>50</v>
      </c>
      <c r="AC790" s="2" t="s">
        <v>42</v>
      </c>
      <c r="AD790" s="2"/>
      <c r="AE790" s="2" t="str">
        <f t="shared" si="173"/>
        <v>Not Required</v>
      </c>
      <c r="AF790" s="2" t="s">
        <v>2479</v>
      </c>
    </row>
    <row r="791" spans="1:32" x14ac:dyDescent="0.3">
      <c r="A791" s="2" t="s">
        <v>2480</v>
      </c>
      <c r="B791" s="2">
        <f t="shared" si="163"/>
        <v>1</v>
      </c>
      <c r="C791" s="12">
        <f t="shared" si="162"/>
        <v>46238.583793738428</v>
      </c>
      <c r="D791" s="13">
        <v>46238.583793738428</v>
      </c>
      <c r="E791" s="2" t="s">
        <v>606</v>
      </c>
      <c r="F791" s="2" t="str">
        <f t="shared" si="164"/>
        <v>Email Available</v>
      </c>
      <c r="G791" s="2" t="s">
        <v>607</v>
      </c>
      <c r="H791" s="2" t="s">
        <v>279</v>
      </c>
      <c r="I791" s="2" t="s">
        <v>22</v>
      </c>
      <c r="J791" s="2" t="s">
        <v>280</v>
      </c>
      <c r="K791" s="2">
        <v>1</v>
      </c>
      <c r="L791" s="2">
        <v>24.99</v>
      </c>
      <c r="M791" s="19">
        <f t="shared" si="165"/>
        <v>24.99</v>
      </c>
      <c r="N791" s="2" t="s">
        <v>24</v>
      </c>
      <c r="O791" s="2" t="str">
        <f t="shared" si="166"/>
        <v>SAVE20</v>
      </c>
      <c r="P791" s="2">
        <v>5</v>
      </c>
      <c r="Q791" s="19">
        <f t="shared" si="167"/>
        <v>5</v>
      </c>
      <c r="R791" s="2" t="str">
        <f t="shared" si="168"/>
        <v>Number</v>
      </c>
      <c r="S791" s="2">
        <v>4.99</v>
      </c>
      <c r="T791" s="19">
        <f t="shared" si="169"/>
        <v>4.99</v>
      </c>
      <c r="U791" s="2">
        <v>24.98</v>
      </c>
      <c r="V791" s="19">
        <f t="shared" si="170"/>
        <v>24.98</v>
      </c>
      <c r="W791" s="19">
        <f t="shared" si="171"/>
        <v>24.979999999999997</v>
      </c>
      <c r="X791" s="19" t="str">
        <f t="shared" si="172"/>
        <v>True</v>
      </c>
      <c r="Y791" s="19" t="str">
        <f>IF(OR(W791&lt;'Cleaning Tasks'!$G$18,W791&gt;'Cleaning Tasks'!$H$18),"Outlier","Normal")</f>
        <v>Normal</v>
      </c>
      <c r="Z791" s="2" t="s">
        <v>66</v>
      </c>
      <c r="AA791" s="2" t="s">
        <v>111</v>
      </c>
      <c r="AB791" s="2" t="s">
        <v>50</v>
      </c>
      <c r="AC791" s="2" t="s">
        <v>42</v>
      </c>
      <c r="AD791" s="2"/>
      <c r="AE791" s="2" t="str">
        <f t="shared" si="173"/>
        <v>Not Required</v>
      </c>
      <c r="AF791" s="2" t="s">
        <v>2481</v>
      </c>
    </row>
    <row r="792" spans="1:32" x14ac:dyDescent="0.3">
      <c r="A792" s="2" t="s">
        <v>2482</v>
      </c>
      <c r="B792" s="2">
        <f t="shared" si="163"/>
        <v>1</v>
      </c>
      <c r="C792" s="12">
        <f t="shared" si="162"/>
        <v>46238.582046493058</v>
      </c>
      <c r="D792" s="13">
        <v>46238.582046493058</v>
      </c>
      <c r="E792" s="2" t="s">
        <v>2483</v>
      </c>
      <c r="F792" s="2" t="str">
        <f t="shared" si="164"/>
        <v>Email Available</v>
      </c>
      <c r="G792" s="2" t="s">
        <v>2484</v>
      </c>
      <c r="H792" s="2" t="s">
        <v>309</v>
      </c>
      <c r="I792" s="2" t="s">
        <v>36</v>
      </c>
      <c r="J792" s="2" t="s">
        <v>310</v>
      </c>
      <c r="K792" s="2">
        <v>1</v>
      </c>
      <c r="L792" s="2">
        <v>8.99</v>
      </c>
      <c r="M792" s="19">
        <f t="shared" si="165"/>
        <v>8.99</v>
      </c>
      <c r="N792" s="2" t="s">
        <v>203</v>
      </c>
      <c r="O792" s="2" t="str">
        <f t="shared" si="166"/>
        <v>VIP15</v>
      </c>
      <c r="P792" s="2">
        <v>1.35</v>
      </c>
      <c r="Q792" s="19">
        <f t="shared" si="167"/>
        <v>1.35</v>
      </c>
      <c r="R792" s="2" t="str">
        <f t="shared" si="168"/>
        <v>Number</v>
      </c>
      <c r="S792" s="2">
        <v>4.99</v>
      </c>
      <c r="T792" s="19">
        <f t="shared" si="169"/>
        <v>4.99</v>
      </c>
      <c r="U792" s="2">
        <v>12.63</v>
      </c>
      <c r="V792" s="19">
        <f t="shared" si="170"/>
        <v>12.63</v>
      </c>
      <c r="W792" s="19">
        <f t="shared" si="171"/>
        <v>12.63</v>
      </c>
      <c r="X792" s="19" t="str">
        <f t="shared" si="172"/>
        <v>True</v>
      </c>
      <c r="Y792" s="19" t="str">
        <f>IF(OR(W792&lt;'Cleaning Tasks'!$G$18,W792&gt;'Cleaning Tasks'!$H$18),"Outlier","Normal")</f>
        <v>Normal</v>
      </c>
      <c r="Z792" s="2" t="s">
        <v>49</v>
      </c>
      <c r="AA792" s="2" t="s">
        <v>40</v>
      </c>
      <c r="AB792" s="2" t="s">
        <v>96</v>
      </c>
      <c r="AC792" s="2" t="s">
        <v>29</v>
      </c>
      <c r="AD792" s="2" t="s">
        <v>51</v>
      </c>
      <c r="AE792" s="2" t="str">
        <f t="shared" si="173"/>
        <v>Valid</v>
      </c>
      <c r="AF792" s="2" t="s">
        <v>2485</v>
      </c>
    </row>
    <row r="793" spans="1:32" x14ac:dyDescent="0.3">
      <c r="A793" s="2" t="s">
        <v>2486</v>
      </c>
      <c r="B793" s="2">
        <f t="shared" si="163"/>
        <v>1</v>
      </c>
      <c r="C793" s="12">
        <f t="shared" si="162"/>
        <v>46238</v>
      </c>
      <c r="D793" s="13">
        <v>46238</v>
      </c>
      <c r="E793" s="2" t="s">
        <v>979</v>
      </c>
      <c r="F793" s="2" t="str">
        <f t="shared" si="164"/>
        <v>Email Available</v>
      </c>
      <c r="G793" s="2" t="s">
        <v>670</v>
      </c>
      <c r="H793" s="2" t="s">
        <v>124</v>
      </c>
      <c r="I793" s="2" t="s">
        <v>79</v>
      </c>
      <c r="J793" s="2" t="s">
        <v>125</v>
      </c>
      <c r="K793" s="2">
        <v>1</v>
      </c>
      <c r="L793" s="2">
        <v>13.99</v>
      </c>
      <c r="M793" s="19">
        <f t="shared" si="165"/>
        <v>13.99</v>
      </c>
      <c r="N793" s="2" t="s">
        <v>118</v>
      </c>
      <c r="O793" s="2" t="str">
        <f t="shared" si="166"/>
        <v>BFCM25</v>
      </c>
      <c r="P793" s="2">
        <v>3.5</v>
      </c>
      <c r="Q793" s="19">
        <f t="shared" si="167"/>
        <v>3.5</v>
      </c>
      <c r="R793" s="2" t="str">
        <f t="shared" si="168"/>
        <v>Number</v>
      </c>
      <c r="S793" s="2">
        <v>7.99</v>
      </c>
      <c r="T793" s="19">
        <f t="shared" si="169"/>
        <v>7.99</v>
      </c>
      <c r="U793" s="2">
        <v>18.48</v>
      </c>
      <c r="V793" s="19">
        <f t="shared" si="170"/>
        <v>18.48</v>
      </c>
      <c r="W793" s="19">
        <f t="shared" si="171"/>
        <v>18.48</v>
      </c>
      <c r="X793" s="19" t="str">
        <f t="shared" si="172"/>
        <v>True</v>
      </c>
      <c r="Y793" s="19" t="str">
        <f>IF(OR(W793&lt;'Cleaning Tasks'!$G$18,W793&gt;'Cleaning Tasks'!$H$18),"Outlier","Normal")</f>
        <v>Normal</v>
      </c>
      <c r="Z793" s="2" t="s">
        <v>49</v>
      </c>
      <c r="AA793" s="2" t="s">
        <v>27</v>
      </c>
      <c r="AB793" s="2" t="s">
        <v>50</v>
      </c>
      <c r="AC793" s="2" t="s">
        <v>29</v>
      </c>
      <c r="AD793" s="2" t="s">
        <v>341</v>
      </c>
      <c r="AE793" s="2" t="str">
        <f t="shared" si="173"/>
        <v>Valid</v>
      </c>
      <c r="AF793" s="2" t="s">
        <v>2487</v>
      </c>
    </row>
    <row r="794" spans="1:32" x14ac:dyDescent="0.3">
      <c r="A794" s="2" t="s">
        <v>2488</v>
      </c>
      <c r="B794" s="2">
        <f t="shared" si="163"/>
        <v>1</v>
      </c>
      <c r="C794" s="12">
        <f t="shared" si="162"/>
        <v>46238</v>
      </c>
      <c r="D794" s="13" t="s">
        <v>143</v>
      </c>
      <c r="E794" s="2" t="s">
        <v>1656</v>
      </c>
      <c r="F794" s="2" t="str">
        <f t="shared" si="164"/>
        <v>Email Available</v>
      </c>
      <c r="G794" s="2" t="s">
        <v>1657</v>
      </c>
      <c r="H794" s="2" t="s">
        <v>63</v>
      </c>
      <c r="I794" s="2" t="s">
        <v>47</v>
      </c>
      <c r="J794" s="2" t="s">
        <v>446</v>
      </c>
      <c r="K794" s="2">
        <v>2</v>
      </c>
      <c r="L794" s="2" t="s">
        <v>1465</v>
      </c>
      <c r="M794" s="19">
        <f t="shared" si="165"/>
        <v>14.99</v>
      </c>
      <c r="N794" s="2"/>
      <c r="O794" s="2" t="str">
        <f t="shared" si="166"/>
        <v/>
      </c>
      <c r="P794" s="2">
        <v>0</v>
      </c>
      <c r="Q794" s="19">
        <f t="shared" si="167"/>
        <v>0</v>
      </c>
      <c r="R794" s="2" t="str">
        <f t="shared" si="168"/>
        <v>Number</v>
      </c>
      <c r="S794" s="2">
        <v>5.99</v>
      </c>
      <c r="T794" s="19">
        <f t="shared" si="169"/>
        <v>5.99</v>
      </c>
      <c r="U794" s="2">
        <v>35.97</v>
      </c>
      <c r="V794" s="19">
        <f t="shared" si="170"/>
        <v>35.97</v>
      </c>
      <c r="W794" s="19">
        <f t="shared" si="171"/>
        <v>35.97</v>
      </c>
      <c r="X794" s="19" t="str">
        <f t="shared" si="172"/>
        <v>True</v>
      </c>
      <c r="Y794" s="19" t="str">
        <f>IF(OR(W794&lt;'Cleaning Tasks'!$G$18,W794&gt;'Cleaning Tasks'!$H$18),"Outlier","Normal")</f>
        <v>Normal</v>
      </c>
      <c r="Z794" s="2" t="s">
        <v>26</v>
      </c>
      <c r="AA794" s="2" t="s">
        <v>88</v>
      </c>
      <c r="AB794" s="2" t="s">
        <v>50</v>
      </c>
      <c r="AC794" s="2" t="s">
        <v>29</v>
      </c>
      <c r="AD794" s="2" t="s">
        <v>89</v>
      </c>
      <c r="AE794" s="2" t="str">
        <f t="shared" si="173"/>
        <v>Valid</v>
      </c>
      <c r="AF794" s="2" t="s">
        <v>2489</v>
      </c>
    </row>
    <row r="795" spans="1:32" x14ac:dyDescent="0.3">
      <c r="A795" s="2" t="s">
        <v>2490</v>
      </c>
      <c r="B795" s="2">
        <f t="shared" si="163"/>
        <v>1</v>
      </c>
      <c r="C795" s="12">
        <f t="shared" si="162"/>
        <v>46238.588926736113</v>
      </c>
      <c r="D795" s="13">
        <v>46238.588926736113</v>
      </c>
      <c r="E795" s="2" t="s">
        <v>2491</v>
      </c>
      <c r="F795" s="2" t="str">
        <f t="shared" si="164"/>
        <v>Email Available</v>
      </c>
      <c r="G795" s="2" t="s">
        <v>161</v>
      </c>
      <c r="H795" s="2" t="s">
        <v>56</v>
      </c>
      <c r="I795" s="2" t="s">
        <v>22</v>
      </c>
      <c r="J795" s="2" t="s">
        <v>57</v>
      </c>
      <c r="K795" s="2">
        <v>2</v>
      </c>
      <c r="L795" s="2" t="s">
        <v>208</v>
      </c>
      <c r="M795" s="19">
        <f t="shared" si="165"/>
        <v>9.99</v>
      </c>
      <c r="N795" s="2" t="s">
        <v>38</v>
      </c>
      <c r="O795" s="2" t="str">
        <f t="shared" si="166"/>
        <v>FREESHIP</v>
      </c>
      <c r="P795" s="2">
        <v>0</v>
      </c>
      <c r="Q795" s="19">
        <f t="shared" si="167"/>
        <v>0</v>
      </c>
      <c r="R795" s="2" t="str">
        <f t="shared" si="168"/>
        <v>Number</v>
      </c>
      <c r="S795" s="2">
        <v>0</v>
      </c>
      <c r="T795" s="19">
        <f t="shared" si="169"/>
        <v>0</v>
      </c>
      <c r="U795" s="2">
        <v>19.98</v>
      </c>
      <c r="V795" s="19">
        <f t="shared" si="170"/>
        <v>19.98</v>
      </c>
      <c r="W795" s="19">
        <f t="shared" si="171"/>
        <v>19.98</v>
      </c>
      <c r="X795" s="19" t="str">
        <f t="shared" si="172"/>
        <v>True</v>
      </c>
      <c r="Y795" s="19" t="str">
        <f>IF(OR(W795&lt;'Cleaning Tasks'!$G$18,W795&gt;'Cleaning Tasks'!$H$18),"Outlier","Normal")</f>
        <v>Normal</v>
      </c>
      <c r="Z795" s="2" t="s">
        <v>49</v>
      </c>
      <c r="AA795" s="2" t="s">
        <v>27</v>
      </c>
      <c r="AB795" s="2" t="s">
        <v>50</v>
      </c>
      <c r="AC795" s="2" t="s">
        <v>29</v>
      </c>
      <c r="AD795" s="2" t="s">
        <v>341</v>
      </c>
      <c r="AE795" s="2" t="str">
        <f t="shared" si="173"/>
        <v>Valid</v>
      </c>
      <c r="AF795" s="2" t="s">
        <v>2492</v>
      </c>
    </row>
    <row r="796" spans="1:32" x14ac:dyDescent="0.3">
      <c r="A796" s="2" t="s">
        <v>2493</v>
      </c>
      <c r="B796" s="2">
        <f t="shared" si="163"/>
        <v>1</v>
      </c>
      <c r="C796" s="12">
        <f t="shared" ref="C796:C820" si="174">IF(ISNUMBER(D796),D796,DATEVALUE(SUBSTITUTE(TRIM(D796),CHAR(160)," ")))</f>
        <v>46238.586899571761</v>
      </c>
      <c r="D796" s="13">
        <v>46238.586899571761</v>
      </c>
      <c r="E796" s="2" t="s">
        <v>1349</v>
      </c>
      <c r="F796" s="2" t="str">
        <f t="shared" si="164"/>
        <v>Email Available</v>
      </c>
      <c r="G796" s="2" t="s">
        <v>1350</v>
      </c>
      <c r="H796" s="2" t="s">
        <v>78</v>
      </c>
      <c r="I796" s="2" t="s">
        <v>79</v>
      </c>
      <c r="J796" s="2" t="s">
        <v>80</v>
      </c>
      <c r="K796" s="2">
        <v>1</v>
      </c>
      <c r="L796" s="2">
        <v>89.99</v>
      </c>
      <c r="M796" s="19">
        <f t="shared" si="165"/>
        <v>89.99</v>
      </c>
      <c r="N796" s="2" t="s">
        <v>94</v>
      </c>
      <c r="O796" s="2" t="str">
        <f t="shared" si="166"/>
        <v>SAVE20</v>
      </c>
      <c r="P796" s="2">
        <v>18</v>
      </c>
      <c r="Q796" s="19">
        <f t="shared" si="167"/>
        <v>18</v>
      </c>
      <c r="R796" s="2" t="str">
        <f t="shared" si="168"/>
        <v>Number</v>
      </c>
      <c r="S796" s="2">
        <v>0</v>
      </c>
      <c r="T796" s="19">
        <f t="shared" si="169"/>
        <v>0</v>
      </c>
      <c r="U796" s="2">
        <v>71.989999999999995</v>
      </c>
      <c r="V796" s="19">
        <f t="shared" si="170"/>
        <v>71.989999999999995</v>
      </c>
      <c r="W796" s="19">
        <f t="shared" si="171"/>
        <v>71.989999999999995</v>
      </c>
      <c r="X796" s="19" t="str">
        <f t="shared" si="172"/>
        <v>True</v>
      </c>
      <c r="Y796" s="19" t="str">
        <f>IF(OR(W796&lt;'Cleaning Tasks'!$G$18,W796&gt;'Cleaning Tasks'!$H$18),"Outlier","Normal")</f>
        <v>Normal</v>
      </c>
      <c r="Z796" s="2" t="s">
        <v>39</v>
      </c>
      <c r="AA796" s="2" t="s">
        <v>27</v>
      </c>
      <c r="AB796" s="2" t="s">
        <v>28</v>
      </c>
      <c r="AC796" s="2" t="s">
        <v>42</v>
      </c>
      <c r="AD796" s="2"/>
      <c r="AE796" s="2" t="str">
        <f t="shared" si="173"/>
        <v>Not Required</v>
      </c>
      <c r="AF796" s="2" t="s">
        <v>2494</v>
      </c>
    </row>
    <row r="797" spans="1:32" x14ac:dyDescent="0.3">
      <c r="A797" s="2" t="s">
        <v>2495</v>
      </c>
      <c r="B797" s="2">
        <f t="shared" si="163"/>
        <v>1</v>
      </c>
      <c r="C797" s="12">
        <f t="shared" si="174"/>
        <v>46238.584517395837</v>
      </c>
      <c r="D797" s="13">
        <v>46238.584517395837</v>
      </c>
      <c r="E797" s="2" t="s">
        <v>481</v>
      </c>
      <c r="F797" s="2" t="str">
        <f t="shared" si="164"/>
        <v>Email Available</v>
      </c>
      <c r="G797" s="2" t="s">
        <v>482</v>
      </c>
      <c r="H797" s="2" t="s">
        <v>117</v>
      </c>
      <c r="I797" s="2" t="s">
        <v>22</v>
      </c>
      <c r="J797" s="2" t="s">
        <v>23</v>
      </c>
      <c r="K797" s="2">
        <v>1</v>
      </c>
      <c r="L797" s="2">
        <v>12.99</v>
      </c>
      <c r="M797" s="19">
        <f t="shared" si="165"/>
        <v>12.99</v>
      </c>
      <c r="N797" s="2"/>
      <c r="O797" s="2" t="str">
        <f t="shared" si="166"/>
        <v/>
      </c>
      <c r="P797" s="2">
        <v>0</v>
      </c>
      <c r="Q797" s="19">
        <f t="shared" si="167"/>
        <v>0</v>
      </c>
      <c r="R797" s="2" t="str">
        <f t="shared" si="168"/>
        <v>Number</v>
      </c>
      <c r="S797" s="2">
        <v>5.99</v>
      </c>
      <c r="T797" s="19">
        <f t="shared" si="169"/>
        <v>5.99</v>
      </c>
      <c r="U797" s="2">
        <v>18.98</v>
      </c>
      <c r="V797" s="19">
        <f t="shared" si="170"/>
        <v>18.98</v>
      </c>
      <c r="W797" s="19">
        <f t="shared" si="171"/>
        <v>18.98</v>
      </c>
      <c r="X797" s="19" t="str">
        <f t="shared" si="172"/>
        <v>True</v>
      </c>
      <c r="Y797" s="19" t="str">
        <f>IF(OR(W797&lt;'Cleaning Tasks'!$G$18,W797&gt;'Cleaning Tasks'!$H$18),"Outlier","Normal")</f>
        <v>Normal</v>
      </c>
      <c r="Z797" s="2" t="s">
        <v>39</v>
      </c>
      <c r="AA797" s="2" t="s">
        <v>27</v>
      </c>
      <c r="AB797" s="2" t="s">
        <v>50</v>
      </c>
      <c r="AC797" s="2" t="s">
        <v>29</v>
      </c>
      <c r="AD797" s="2" t="s">
        <v>58</v>
      </c>
      <c r="AE797" s="2" t="str">
        <f t="shared" si="173"/>
        <v>Valid</v>
      </c>
      <c r="AF797" s="2" t="s">
        <v>2496</v>
      </c>
    </row>
    <row r="798" spans="1:32" x14ac:dyDescent="0.3">
      <c r="A798" s="2" t="s">
        <v>2497</v>
      </c>
      <c r="B798" s="2">
        <f t="shared" si="163"/>
        <v>1</v>
      </c>
      <c r="C798" s="12">
        <f t="shared" si="174"/>
        <v>46238.580124745371</v>
      </c>
      <c r="D798" s="13">
        <v>46238.580124745371</v>
      </c>
      <c r="E798" s="2" t="s">
        <v>1031</v>
      </c>
      <c r="F798" s="2" t="str">
        <f t="shared" si="164"/>
        <v>Email Available</v>
      </c>
      <c r="G798" s="2" t="s">
        <v>1032</v>
      </c>
      <c r="H798" s="2" t="s">
        <v>85</v>
      </c>
      <c r="I798" s="2" t="s">
        <v>86</v>
      </c>
      <c r="J798" s="2" t="s">
        <v>87</v>
      </c>
      <c r="K798" s="2">
        <v>2</v>
      </c>
      <c r="L798" s="2">
        <v>54.99</v>
      </c>
      <c r="M798" s="19">
        <f t="shared" si="165"/>
        <v>54.99</v>
      </c>
      <c r="N798" s="2" t="s">
        <v>65</v>
      </c>
      <c r="O798" s="2" t="str">
        <f t="shared" si="166"/>
        <v>WELCOME10</v>
      </c>
      <c r="P798" s="2">
        <v>11</v>
      </c>
      <c r="Q798" s="19">
        <f t="shared" si="167"/>
        <v>11</v>
      </c>
      <c r="R798" s="2" t="str">
        <f t="shared" si="168"/>
        <v>Number</v>
      </c>
      <c r="S798" s="2">
        <v>0</v>
      </c>
      <c r="T798" s="19">
        <f t="shared" si="169"/>
        <v>0</v>
      </c>
      <c r="U798" s="2">
        <v>98.98</v>
      </c>
      <c r="V798" s="19">
        <f t="shared" si="170"/>
        <v>98.98</v>
      </c>
      <c r="W798" s="19">
        <f t="shared" si="171"/>
        <v>98.98</v>
      </c>
      <c r="X798" s="19" t="str">
        <f t="shared" si="172"/>
        <v>True</v>
      </c>
      <c r="Y798" s="19" t="str">
        <f>IF(OR(W798&lt;'Cleaning Tasks'!$G$18,W798&gt;'Cleaning Tasks'!$H$18),"Outlier","Normal")</f>
        <v>Outlier</v>
      </c>
      <c r="Z798" s="2" t="s">
        <v>49</v>
      </c>
      <c r="AA798" s="2" t="s">
        <v>40</v>
      </c>
      <c r="AB798" s="2" t="s">
        <v>50</v>
      </c>
      <c r="AC798" s="2" t="s">
        <v>29</v>
      </c>
      <c r="AD798" s="22" t="s">
        <v>51</v>
      </c>
      <c r="AE798" s="2" t="str">
        <f t="shared" si="173"/>
        <v>Valid</v>
      </c>
      <c r="AF798" s="2" t="s">
        <v>2498</v>
      </c>
    </row>
    <row r="799" spans="1:32" x14ac:dyDescent="0.3">
      <c r="A799" s="2" t="s">
        <v>2499</v>
      </c>
      <c r="B799" s="2">
        <f t="shared" si="163"/>
        <v>1</v>
      </c>
      <c r="C799" s="12">
        <f t="shared" si="174"/>
        <v>46238.581676631948</v>
      </c>
      <c r="D799" s="13">
        <v>46238.581676631948</v>
      </c>
      <c r="E799" s="2" t="s">
        <v>303</v>
      </c>
      <c r="F799" s="2" t="str">
        <f t="shared" si="164"/>
        <v>Email Available</v>
      </c>
      <c r="G799" s="2" t="s">
        <v>304</v>
      </c>
      <c r="H799" s="2" t="s">
        <v>78</v>
      </c>
      <c r="I799" s="2" t="s">
        <v>79</v>
      </c>
      <c r="J799" s="2" t="s">
        <v>80</v>
      </c>
      <c r="K799" s="2">
        <v>2</v>
      </c>
      <c r="L799" s="2">
        <v>89.99</v>
      </c>
      <c r="M799" s="19">
        <f t="shared" si="165"/>
        <v>89.99</v>
      </c>
      <c r="N799" s="2"/>
      <c r="O799" s="2" t="str">
        <f t="shared" si="166"/>
        <v/>
      </c>
      <c r="P799" s="2">
        <v>0</v>
      </c>
      <c r="Q799" s="19">
        <f t="shared" si="167"/>
        <v>0</v>
      </c>
      <c r="R799" s="2" t="str">
        <f t="shared" si="168"/>
        <v>Number</v>
      </c>
      <c r="S799" s="2">
        <v>0</v>
      </c>
      <c r="T799" s="19">
        <f t="shared" si="169"/>
        <v>0</v>
      </c>
      <c r="U799" s="2">
        <v>179.98</v>
      </c>
      <c r="V799" s="19">
        <f t="shared" si="170"/>
        <v>179.98</v>
      </c>
      <c r="W799" s="19">
        <f t="shared" si="171"/>
        <v>179.98</v>
      </c>
      <c r="X799" s="19" t="str">
        <f t="shared" si="172"/>
        <v>True</v>
      </c>
      <c r="Y799" s="19" t="str">
        <f>IF(OR(W799&lt;'Cleaning Tasks'!$G$18,W799&gt;'Cleaning Tasks'!$H$18),"Outlier","Normal")</f>
        <v>Outlier</v>
      </c>
      <c r="Z799" s="2" t="s">
        <v>26</v>
      </c>
      <c r="AA799" s="2" t="s">
        <v>111</v>
      </c>
      <c r="AB799" s="2" t="s">
        <v>28</v>
      </c>
      <c r="AC799" s="2" t="s">
        <v>29</v>
      </c>
      <c r="AD799" s="2" t="s">
        <v>30</v>
      </c>
      <c r="AE799" s="2" t="str">
        <f t="shared" si="173"/>
        <v>Valid</v>
      </c>
      <c r="AF799" s="2" t="s">
        <v>2500</v>
      </c>
    </row>
    <row r="800" spans="1:32" x14ac:dyDescent="0.3">
      <c r="A800" s="2" t="s">
        <v>2501</v>
      </c>
      <c r="B800" s="2">
        <f t="shared" si="163"/>
        <v>1</v>
      </c>
      <c r="C800" s="12">
        <f t="shared" si="174"/>
        <v>46238</v>
      </c>
      <c r="D800" s="13">
        <v>46238</v>
      </c>
      <c r="E800" s="2" t="s">
        <v>1886</v>
      </c>
      <c r="F800" s="2" t="str">
        <f t="shared" si="164"/>
        <v>Missing Email</v>
      </c>
      <c r="G800" s="2"/>
      <c r="H800" s="2" t="s">
        <v>201</v>
      </c>
      <c r="I800" s="2" t="s">
        <v>191</v>
      </c>
      <c r="J800" s="2" t="s">
        <v>202</v>
      </c>
      <c r="K800" s="2">
        <v>1</v>
      </c>
      <c r="L800" s="2">
        <v>24.99</v>
      </c>
      <c r="M800" s="19">
        <f t="shared" si="165"/>
        <v>24.99</v>
      </c>
      <c r="N800" s="2" t="s">
        <v>38</v>
      </c>
      <c r="O800" s="2" t="str">
        <f t="shared" si="166"/>
        <v>FREESHIP</v>
      </c>
      <c r="P800" s="2" t="s">
        <v>184</v>
      </c>
      <c r="Q800" s="19">
        <f t="shared" si="167"/>
        <v>0</v>
      </c>
      <c r="R800" s="2" t="str">
        <f t="shared" si="168"/>
        <v>Number</v>
      </c>
      <c r="S800" s="2">
        <v>0</v>
      </c>
      <c r="T800" s="19">
        <f t="shared" si="169"/>
        <v>0</v>
      </c>
      <c r="U800" s="2">
        <v>24.99</v>
      </c>
      <c r="V800" s="19">
        <f t="shared" si="170"/>
        <v>24.99</v>
      </c>
      <c r="W800" s="19">
        <f t="shared" si="171"/>
        <v>24.99</v>
      </c>
      <c r="X800" s="19" t="str">
        <f t="shared" si="172"/>
        <v>True</v>
      </c>
      <c r="Y800" s="19" t="str">
        <f>IF(OR(W800&lt;'Cleaning Tasks'!$G$18,W800&gt;'Cleaning Tasks'!$H$18),"Outlier","Normal")</f>
        <v>Normal</v>
      </c>
      <c r="Z800" s="2" t="s">
        <v>39</v>
      </c>
      <c r="AA800" s="2" t="s">
        <v>27</v>
      </c>
      <c r="AB800" s="2" t="s">
        <v>50</v>
      </c>
      <c r="AC800" s="2" t="s">
        <v>223</v>
      </c>
      <c r="AD800" s="2"/>
      <c r="AE800" s="2" t="str">
        <f t="shared" si="173"/>
        <v>Not Required</v>
      </c>
      <c r="AF800" s="2" t="s">
        <v>2502</v>
      </c>
    </row>
    <row r="801" spans="1:32" x14ac:dyDescent="0.3">
      <c r="A801" s="2" t="s">
        <v>2503</v>
      </c>
      <c r="B801" s="2">
        <f t="shared" si="163"/>
        <v>1</v>
      </c>
      <c r="C801" s="12">
        <f t="shared" si="174"/>
        <v>46238.580421631937</v>
      </c>
      <c r="D801" s="13">
        <v>46238.580421631937</v>
      </c>
      <c r="E801" s="2" t="s">
        <v>1490</v>
      </c>
      <c r="F801" s="2" t="str">
        <f t="shared" si="164"/>
        <v>Email Available</v>
      </c>
      <c r="G801" s="2" t="s">
        <v>2504</v>
      </c>
      <c r="H801" s="2" t="s">
        <v>63</v>
      </c>
      <c r="I801" s="2" t="s">
        <v>47</v>
      </c>
      <c r="J801" s="2" t="s">
        <v>64</v>
      </c>
      <c r="K801" s="2">
        <v>1</v>
      </c>
      <c r="L801" s="2">
        <v>14.99</v>
      </c>
      <c r="M801" s="19">
        <f t="shared" si="165"/>
        <v>14.99</v>
      </c>
      <c r="N801" s="2"/>
      <c r="O801" s="2" t="str">
        <f t="shared" si="166"/>
        <v/>
      </c>
      <c r="P801" s="2">
        <v>0</v>
      </c>
      <c r="Q801" s="19">
        <f t="shared" si="167"/>
        <v>0</v>
      </c>
      <c r="R801" s="2" t="str">
        <f t="shared" si="168"/>
        <v>Number</v>
      </c>
      <c r="S801" s="2">
        <v>5.99</v>
      </c>
      <c r="T801" s="19">
        <f t="shared" si="169"/>
        <v>5.99</v>
      </c>
      <c r="U801" s="2">
        <v>20.98</v>
      </c>
      <c r="V801" s="19">
        <f t="shared" si="170"/>
        <v>20.98</v>
      </c>
      <c r="W801" s="19">
        <f t="shared" si="171"/>
        <v>20.98</v>
      </c>
      <c r="X801" s="19" t="str">
        <f t="shared" si="172"/>
        <v>True</v>
      </c>
      <c r="Y801" s="19" t="str">
        <f>IF(OR(W801&lt;'Cleaning Tasks'!$G$18,W801&gt;'Cleaning Tasks'!$H$18),"Outlier","Normal")</f>
        <v>Normal</v>
      </c>
      <c r="Z801" s="2" t="s">
        <v>39</v>
      </c>
      <c r="AA801" s="2" t="s">
        <v>88</v>
      </c>
      <c r="AB801" s="2" t="s">
        <v>28</v>
      </c>
      <c r="AC801" s="2" t="s">
        <v>223</v>
      </c>
      <c r="AD801" s="2"/>
      <c r="AE801" s="2" t="str">
        <f t="shared" si="173"/>
        <v>Not Required</v>
      </c>
      <c r="AF801" s="2" t="s">
        <v>1478</v>
      </c>
    </row>
    <row r="802" spans="1:32" x14ac:dyDescent="0.3">
      <c r="A802" s="2" t="s">
        <v>2505</v>
      </c>
      <c r="B802" s="2">
        <f t="shared" si="163"/>
        <v>1</v>
      </c>
      <c r="C802" s="12">
        <f t="shared" si="174"/>
        <v>46238.586252499997</v>
      </c>
      <c r="D802" s="13">
        <v>46238.586252499997</v>
      </c>
      <c r="E802" s="2" t="s">
        <v>2280</v>
      </c>
      <c r="F802" s="2" t="str">
        <f t="shared" si="164"/>
        <v>Email Available</v>
      </c>
      <c r="G802" s="2" t="s">
        <v>2281</v>
      </c>
      <c r="H802" s="2" t="s">
        <v>182</v>
      </c>
      <c r="I802" s="2" t="s">
        <v>36</v>
      </c>
      <c r="J802" s="2" t="s">
        <v>183</v>
      </c>
      <c r="K802" s="2">
        <v>1</v>
      </c>
      <c r="L802" s="2">
        <v>11.99</v>
      </c>
      <c r="M802" s="19">
        <f t="shared" si="165"/>
        <v>11.99</v>
      </c>
      <c r="N802" s="2"/>
      <c r="O802" s="2" t="str">
        <f t="shared" si="166"/>
        <v/>
      </c>
      <c r="P802" s="2">
        <v>0</v>
      </c>
      <c r="Q802" s="19">
        <f t="shared" si="167"/>
        <v>0</v>
      </c>
      <c r="R802" s="2" t="str">
        <f t="shared" si="168"/>
        <v>Number</v>
      </c>
      <c r="S802" s="2">
        <v>4.99</v>
      </c>
      <c r="T802" s="19">
        <f t="shared" si="169"/>
        <v>4.99</v>
      </c>
      <c r="U802" s="2">
        <v>16.98</v>
      </c>
      <c r="V802" s="19">
        <f t="shared" si="170"/>
        <v>16.98</v>
      </c>
      <c r="W802" s="19">
        <f t="shared" si="171"/>
        <v>16.98</v>
      </c>
      <c r="X802" s="19" t="str">
        <f t="shared" si="172"/>
        <v>True</v>
      </c>
      <c r="Y802" s="19" t="str">
        <f>IF(OR(W802&lt;'Cleaning Tasks'!$G$18,W802&gt;'Cleaning Tasks'!$H$18),"Outlier","Normal")</f>
        <v>Normal</v>
      </c>
      <c r="Z802" s="2" t="s">
        <v>66</v>
      </c>
      <c r="AA802" s="2" t="s">
        <v>40</v>
      </c>
      <c r="AB802" s="2" t="s">
        <v>50</v>
      </c>
      <c r="AC802" s="2" t="s">
        <v>29</v>
      </c>
      <c r="AD802" s="2" t="s">
        <v>243</v>
      </c>
      <c r="AE802" s="2" t="str">
        <f t="shared" si="173"/>
        <v>Valid</v>
      </c>
      <c r="AF802" s="2" t="s">
        <v>2506</v>
      </c>
    </row>
    <row r="803" spans="1:32" x14ac:dyDescent="0.3">
      <c r="A803" s="2" t="s">
        <v>2507</v>
      </c>
      <c r="B803" s="2">
        <f t="shared" si="163"/>
        <v>1</v>
      </c>
      <c r="C803" s="12">
        <f t="shared" si="174"/>
        <v>46238.579067627317</v>
      </c>
      <c r="D803" s="13">
        <v>46238.579067627317</v>
      </c>
      <c r="E803" s="2" t="s">
        <v>2508</v>
      </c>
      <c r="F803" s="2" t="str">
        <f t="shared" si="164"/>
        <v>Email Available</v>
      </c>
      <c r="G803" s="2" t="s">
        <v>2509</v>
      </c>
      <c r="H803" s="2" t="s">
        <v>279</v>
      </c>
      <c r="I803" s="2" t="s">
        <v>22</v>
      </c>
      <c r="J803" s="2" t="s">
        <v>280</v>
      </c>
      <c r="K803" s="2">
        <v>1</v>
      </c>
      <c r="L803" s="2">
        <v>24.99</v>
      </c>
      <c r="M803" s="19">
        <f t="shared" si="165"/>
        <v>24.99</v>
      </c>
      <c r="N803" s="2" t="s">
        <v>203</v>
      </c>
      <c r="O803" s="2" t="str">
        <f t="shared" si="166"/>
        <v>VIP15</v>
      </c>
      <c r="P803" s="2">
        <v>3.75</v>
      </c>
      <c r="Q803" s="19">
        <f t="shared" si="167"/>
        <v>3.75</v>
      </c>
      <c r="R803" s="2" t="str">
        <f t="shared" si="168"/>
        <v>Number</v>
      </c>
      <c r="S803" s="2">
        <v>4.99</v>
      </c>
      <c r="T803" s="19">
        <f t="shared" si="169"/>
        <v>4.99</v>
      </c>
      <c r="U803" s="2">
        <v>26.23</v>
      </c>
      <c r="V803" s="19">
        <f t="shared" si="170"/>
        <v>26.23</v>
      </c>
      <c r="W803" s="19">
        <f t="shared" si="171"/>
        <v>26.229999999999997</v>
      </c>
      <c r="X803" s="19" t="str">
        <f t="shared" si="172"/>
        <v>True</v>
      </c>
      <c r="Y803" s="19" t="str">
        <f>IF(OR(W803&lt;'Cleaning Tasks'!$G$18,W803&gt;'Cleaning Tasks'!$H$18),"Outlier","Normal")</f>
        <v>Normal</v>
      </c>
      <c r="Z803" s="2" t="s">
        <v>72</v>
      </c>
      <c r="AA803" s="2" t="s">
        <v>88</v>
      </c>
      <c r="AB803" s="2" t="s">
        <v>50</v>
      </c>
      <c r="AC803" s="2" t="s">
        <v>42</v>
      </c>
      <c r="AD803" s="2"/>
      <c r="AE803" s="2" t="str">
        <f t="shared" si="173"/>
        <v>Not Required</v>
      </c>
      <c r="AF803" s="2" t="s">
        <v>2510</v>
      </c>
    </row>
    <row r="804" spans="1:32" x14ac:dyDescent="0.3">
      <c r="A804" s="2" t="s">
        <v>2511</v>
      </c>
      <c r="B804" s="2">
        <f t="shared" si="163"/>
        <v>1</v>
      </c>
      <c r="C804" s="12">
        <f t="shared" si="174"/>
        <v>46238.579990474544</v>
      </c>
      <c r="D804" s="13">
        <v>46238.579990474544</v>
      </c>
      <c r="E804" s="2" t="s">
        <v>463</v>
      </c>
      <c r="F804" s="2" t="str">
        <f t="shared" si="164"/>
        <v>Email Available</v>
      </c>
      <c r="G804" s="2" t="s">
        <v>464</v>
      </c>
      <c r="H804" s="2" t="s">
        <v>46</v>
      </c>
      <c r="I804" s="2" t="s">
        <v>47</v>
      </c>
      <c r="J804" s="2" t="s">
        <v>48</v>
      </c>
      <c r="K804" s="2">
        <v>1</v>
      </c>
      <c r="L804" s="2">
        <v>39.99</v>
      </c>
      <c r="M804" s="19">
        <f t="shared" si="165"/>
        <v>39.99</v>
      </c>
      <c r="N804" s="2"/>
      <c r="O804" s="2" t="str">
        <f t="shared" si="166"/>
        <v/>
      </c>
      <c r="P804" s="2">
        <v>0</v>
      </c>
      <c r="Q804" s="19">
        <f t="shared" si="167"/>
        <v>0</v>
      </c>
      <c r="R804" s="2" t="str">
        <f t="shared" si="168"/>
        <v>Number</v>
      </c>
      <c r="S804" s="2">
        <v>7.99</v>
      </c>
      <c r="T804" s="19">
        <f t="shared" si="169"/>
        <v>7.99</v>
      </c>
      <c r="U804" s="2">
        <v>47.98</v>
      </c>
      <c r="V804" s="19">
        <f t="shared" si="170"/>
        <v>47.98</v>
      </c>
      <c r="W804" s="19">
        <f t="shared" si="171"/>
        <v>47.980000000000004</v>
      </c>
      <c r="X804" s="19" t="str">
        <f t="shared" si="172"/>
        <v>True</v>
      </c>
      <c r="Y804" s="19" t="str">
        <f>IF(OR(W804&lt;'Cleaning Tasks'!$G$18,W804&gt;'Cleaning Tasks'!$H$18),"Outlier","Normal")</f>
        <v>Normal</v>
      </c>
      <c r="Z804" s="2" t="s">
        <v>49</v>
      </c>
      <c r="AA804" s="2" t="s">
        <v>40</v>
      </c>
      <c r="AB804" s="2" t="s">
        <v>28</v>
      </c>
      <c r="AC804" s="2" t="s">
        <v>42</v>
      </c>
      <c r="AD804" s="2"/>
      <c r="AE804" s="2" t="str">
        <f t="shared" si="173"/>
        <v>Not Required</v>
      </c>
      <c r="AF804" s="2" t="s">
        <v>2512</v>
      </c>
    </row>
    <row r="805" spans="1:32" x14ac:dyDescent="0.3">
      <c r="A805" s="2" t="s">
        <v>2513</v>
      </c>
      <c r="B805" s="2">
        <f t="shared" si="163"/>
        <v>1</v>
      </c>
      <c r="C805" s="12">
        <f t="shared" si="174"/>
        <v>46238.586777569442</v>
      </c>
      <c r="D805" s="13">
        <v>46238.586777569442</v>
      </c>
      <c r="E805" s="2" t="s">
        <v>1302</v>
      </c>
      <c r="F805" s="2" t="str">
        <f t="shared" si="164"/>
        <v>Email Available</v>
      </c>
      <c r="G805" s="2" t="s">
        <v>1303</v>
      </c>
      <c r="H805" s="2" t="s">
        <v>152</v>
      </c>
      <c r="I805" s="2" t="s">
        <v>36</v>
      </c>
      <c r="J805" s="2" t="s">
        <v>153</v>
      </c>
      <c r="K805" s="2">
        <v>1</v>
      </c>
      <c r="L805" s="2">
        <v>29.99</v>
      </c>
      <c r="M805" s="19">
        <f t="shared" si="165"/>
        <v>29.99</v>
      </c>
      <c r="N805" s="2"/>
      <c r="O805" s="2" t="str">
        <f t="shared" si="166"/>
        <v/>
      </c>
      <c r="P805" s="2">
        <v>0</v>
      </c>
      <c r="Q805" s="19">
        <f t="shared" si="167"/>
        <v>0</v>
      </c>
      <c r="R805" s="2" t="str">
        <f t="shared" si="168"/>
        <v>Number</v>
      </c>
      <c r="S805" s="2">
        <v>7.99</v>
      </c>
      <c r="T805" s="19">
        <f t="shared" si="169"/>
        <v>7.99</v>
      </c>
      <c r="U805" s="2">
        <v>37.979999999999997</v>
      </c>
      <c r="V805" s="19">
        <f t="shared" si="170"/>
        <v>37.979999999999997</v>
      </c>
      <c r="W805" s="19">
        <f t="shared" si="171"/>
        <v>37.979999999999997</v>
      </c>
      <c r="X805" s="19" t="str">
        <f t="shared" si="172"/>
        <v>True</v>
      </c>
      <c r="Y805" s="19" t="str">
        <f>IF(OR(W805&lt;'Cleaning Tasks'!$G$18,W805&gt;'Cleaning Tasks'!$H$18),"Outlier","Normal")</f>
        <v>Normal</v>
      </c>
      <c r="Z805" s="2" t="s">
        <v>66</v>
      </c>
      <c r="AA805" s="2" t="s">
        <v>40</v>
      </c>
      <c r="AB805" s="2" t="s">
        <v>41</v>
      </c>
      <c r="AC805" s="2" t="s">
        <v>29</v>
      </c>
      <c r="AD805" s="2" t="s">
        <v>140</v>
      </c>
      <c r="AE805" s="2" t="str">
        <f t="shared" si="173"/>
        <v>Valid</v>
      </c>
      <c r="AF805" s="2" t="s">
        <v>2514</v>
      </c>
    </row>
    <row r="806" spans="1:32" x14ac:dyDescent="0.3">
      <c r="A806" s="2" t="s">
        <v>2515</v>
      </c>
      <c r="B806" s="2">
        <f t="shared" si="163"/>
        <v>1</v>
      </c>
      <c r="C806" s="12">
        <f t="shared" si="174"/>
        <v>46238.579745381947</v>
      </c>
      <c r="D806" s="13">
        <v>46238.579745381947</v>
      </c>
      <c r="E806" s="2" t="s">
        <v>2516</v>
      </c>
      <c r="F806" s="2" t="str">
        <f t="shared" si="164"/>
        <v>Email Available</v>
      </c>
      <c r="G806" s="2" t="s">
        <v>2517</v>
      </c>
      <c r="H806" s="2" t="s">
        <v>182</v>
      </c>
      <c r="I806" s="2" t="s">
        <v>36</v>
      </c>
      <c r="J806" s="2" t="s">
        <v>183</v>
      </c>
      <c r="K806" s="2">
        <v>2</v>
      </c>
      <c r="L806" s="2">
        <v>11.99</v>
      </c>
      <c r="M806" s="19">
        <f t="shared" si="165"/>
        <v>11.99</v>
      </c>
      <c r="N806" s="2"/>
      <c r="O806" s="2" t="str">
        <f t="shared" si="166"/>
        <v/>
      </c>
      <c r="P806" s="2">
        <v>0</v>
      </c>
      <c r="Q806" s="19">
        <f t="shared" si="167"/>
        <v>0</v>
      </c>
      <c r="R806" s="2" t="str">
        <f t="shared" si="168"/>
        <v>Number</v>
      </c>
      <c r="S806" s="2">
        <v>7.99</v>
      </c>
      <c r="T806" s="19">
        <f t="shared" si="169"/>
        <v>7.99</v>
      </c>
      <c r="U806" s="2" t="s">
        <v>2518</v>
      </c>
      <c r="V806" s="19">
        <f t="shared" si="170"/>
        <v>31.97</v>
      </c>
      <c r="W806" s="19">
        <f t="shared" si="171"/>
        <v>31.97</v>
      </c>
      <c r="X806" s="19" t="str">
        <f t="shared" si="172"/>
        <v>True</v>
      </c>
      <c r="Y806" s="19" t="str">
        <f>IF(OR(W806&lt;'Cleaning Tasks'!$G$18,W806&gt;'Cleaning Tasks'!$H$18),"Outlier","Normal")</f>
        <v>Normal</v>
      </c>
      <c r="Z806" s="2" t="s">
        <v>49</v>
      </c>
      <c r="AA806" s="2" t="s">
        <v>88</v>
      </c>
      <c r="AB806" s="2" t="s">
        <v>28</v>
      </c>
      <c r="AC806" s="2" t="s">
        <v>105</v>
      </c>
      <c r="AD806" s="2"/>
      <c r="AE806" s="2" t="str">
        <f t="shared" si="173"/>
        <v>Not Required</v>
      </c>
      <c r="AF806" s="2" t="s">
        <v>2519</v>
      </c>
    </row>
    <row r="807" spans="1:32" x14ac:dyDescent="0.3">
      <c r="A807" s="2" t="s">
        <v>2520</v>
      </c>
      <c r="B807" s="2">
        <f t="shared" si="163"/>
        <v>1</v>
      </c>
      <c r="C807" s="12">
        <f t="shared" si="174"/>
        <v>46238.587843634261</v>
      </c>
      <c r="D807" s="13">
        <v>46238.587843634261</v>
      </c>
      <c r="E807" s="2" t="s">
        <v>241</v>
      </c>
      <c r="F807" s="2" t="str">
        <f t="shared" si="164"/>
        <v>Email Available</v>
      </c>
      <c r="G807" s="2" t="s">
        <v>242</v>
      </c>
      <c r="H807" s="2" t="s">
        <v>309</v>
      </c>
      <c r="I807" s="2" t="s">
        <v>36</v>
      </c>
      <c r="J807" s="2" t="s">
        <v>310</v>
      </c>
      <c r="K807" s="2">
        <v>1</v>
      </c>
      <c r="L807" s="2">
        <v>8.99</v>
      </c>
      <c r="M807" s="19">
        <f t="shared" si="165"/>
        <v>8.99</v>
      </c>
      <c r="N807" s="2"/>
      <c r="O807" s="2" t="str">
        <f t="shared" si="166"/>
        <v/>
      </c>
      <c r="P807" s="2">
        <v>0</v>
      </c>
      <c r="Q807" s="19">
        <f t="shared" si="167"/>
        <v>0</v>
      </c>
      <c r="R807" s="2" t="str">
        <f t="shared" si="168"/>
        <v>Number</v>
      </c>
      <c r="S807" s="2">
        <v>4.99</v>
      </c>
      <c r="T807" s="19">
        <f t="shared" si="169"/>
        <v>4.99</v>
      </c>
      <c r="U807" s="2">
        <v>13.98</v>
      </c>
      <c r="V807" s="19">
        <f t="shared" si="170"/>
        <v>13.98</v>
      </c>
      <c r="W807" s="19">
        <f t="shared" si="171"/>
        <v>13.98</v>
      </c>
      <c r="X807" s="19" t="str">
        <f t="shared" si="172"/>
        <v>True</v>
      </c>
      <c r="Y807" s="19" t="str">
        <f>IF(OR(W807&lt;'Cleaning Tasks'!$G$18,W807&gt;'Cleaning Tasks'!$H$18),"Outlier","Normal")</f>
        <v>Normal</v>
      </c>
      <c r="Z807" s="2" t="s">
        <v>39</v>
      </c>
      <c r="AA807" s="2" t="s">
        <v>27</v>
      </c>
      <c r="AB807" s="2" t="s">
        <v>96</v>
      </c>
      <c r="AC807" s="2" t="s">
        <v>29</v>
      </c>
      <c r="AD807" s="2" t="s">
        <v>73</v>
      </c>
      <c r="AE807" s="2" t="str">
        <f t="shared" si="173"/>
        <v>Valid</v>
      </c>
      <c r="AF807" s="2" t="s">
        <v>2521</v>
      </c>
    </row>
    <row r="808" spans="1:32" x14ac:dyDescent="0.3">
      <c r="A808" s="2" t="s">
        <v>2522</v>
      </c>
      <c r="B808" s="2">
        <f t="shared" si="163"/>
        <v>1</v>
      </c>
      <c r="C808" s="12">
        <f t="shared" si="174"/>
        <v>46238.57951541667</v>
      </c>
      <c r="D808" s="13">
        <v>46238.57951541667</v>
      </c>
      <c r="E808" s="2" t="s">
        <v>489</v>
      </c>
      <c r="F808" s="2" t="str">
        <f t="shared" si="164"/>
        <v>Email Available</v>
      </c>
      <c r="G808" s="2" t="s">
        <v>490</v>
      </c>
      <c r="H808" s="2" t="s">
        <v>146</v>
      </c>
      <c r="I808" s="2" t="s">
        <v>47</v>
      </c>
      <c r="J808" s="2" t="s">
        <v>147</v>
      </c>
      <c r="K808" s="2">
        <v>1</v>
      </c>
      <c r="L808" s="2">
        <v>34.99</v>
      </c>
      <c r="M808" s="19">
        <f t="shared" si="165"/>
        <v>34.99</v>
      </c>
      <c r="N808" s="2" t="s">
        <v>203</v>
      </c>
      <c r="O808" s="2" t="str">
        <f t="shared" si="166"/>
        <v>VIP15</v>
      </c>
      <c r="P808" s="2" t="s">
        <v>799</v>
      </c>
      <c r="Q808" s="19">
        <f t="shared" si="167"/>
        <v>5.25</v>
      </c>
      <c r="R808" s="2" t="str">
        <f t="shared" si="168"/>
        <v>Number</v>
      </c>
      <c r="S808" s="2">
        <v>4.99</v>
      </c>
      <c r="T808" s="19">
        <f t="shared" si="169"/>
        <v>4.99</v>
      </c>
      <c r="U808" s="2">
        <v>34.729999999999997</v>
      </c>
      <c r="V808" s="19">
        <f t="shared" si="170"/>
        <v>34.729999999999997</v>
      </c>
      <c r="W808" s="19">
        <f t="shared" si="171"/>
        <v>34.730000000000004</v>
      </c>
      <c r="X808" s="19" t="str">
        <f t="shared" si="172"/>
        <v>True</v>
      </c>
      <c r="Y808" s="19" t="str">
        <f>IF(OR(W808&lt;'Cleaning Tasks'!$G$18,W808&gt;'Cleaning Tasks'!$H$18),"Outlier","Normal")</f>
        <v>Normal</v>
      </c>
      <c r="Z808" s="2" t="s">
        <v>49</v>
      </c>
      <c r="AA808" s="2" t="s">
        <v>27</v>
      </c>
      <c r="AB808" s="2" t="s">
        <v>50</v>
      </c>
      <c r="AC808" s="2" t="s">
        <v>29</v>
      </c>
      <c r="AD808" s="2" t="s">
        <v>112</v>
      </c>
      <c r="AE808" s="2" t="str">
        <f t="shared" si="173"/>
        <v>Valid</v>
      </c>
      <c r="AF808" s="2" t="s">
        <v>2523</v>
      </c>
    </row>
    <row r="809" spans="1:32" x14ac:dyDescent="0.3">
      <c r="A809" s="2" t="s">
        <v>2524</v>
      </c>
      <c r="B809" s="2">
        <f t="shared" si="163"/>
        <v>1</v>
      </c>
      <c r="C809" s="12">
        <f t="shared" si="174"/>
        <v>46238.583478055552</v>
      </c>
      <c r="D809" s="13">
        <v>46238.583478055552</v>
      </c>
      <c r="E809" s="2" t="s">
        <v>2525</v>
      </c>
      <c r="F809" s="2" t="str">
        <f t="shared" si="164"/>
        <v>Email Available</v>
      </c>
      <c r="G809" s="2" t="s">
        <v>1651</v>
      </c>
      <c r="H809" s="2" t="s">
        <v>56</v>
      </c>
      <c r="I809" s="2" t="s">
        <v>22</v>
      </c>
      <c r="J809" s="2" t="s">
        <v>57</v>
      </c>
      <c r="K809" s="2">
        <v>1</v>
      </c>
      <c r="L809" s="2">
        <v>9.99</v>
      </c>
      <c r="M809" s="19">
        <f t="shared" si="165"/>
        <v>9.99</v>
      </c>
      <c r="N809" s="2"/>
      <c r="O809" s="2" t="str">
        <f t="shared" si="166"/>
        <v/>
      </c>
      <c r="P809" s="2">
        <v>0</v>
      </c>
      <c r="Q809" s="19">
        <f t="shared" si="167"/>
        <v>0</v>
      </c>
      <c r="R809" s="2" t="str">
        <f t="shared" si="168"/>
        <v>Number</v>
      </c>
      <c r="S809" s="2">
        <v>5.99</v>
      </c>
      <c r="T809" s="19">
        <f t="shared" si="169"/>
        <v>5.99</v>
      </c>
      <c r="U809" s="2">
        <v>15.98</v>
      </c>
      <c r="V809" s="19">
        <f t="shared" si="170"/>
        <v>15.98</v>
      </c>
      <c r="W809" s="19">
        <f t="shared" si="171"/>
        <v>15.98</v>
      </c>
      <c r="X809" s="19" t="str">
        <f t="shared" si="172"/>
        <v>True</v>
      </c>
      <c r="Y809" s="19" t="str">
        <f>IF(OR(W809&lt;'Cleaning Tasks'!$G$18,W809&gt;'Cleaning Tasks'!$H$18),"Outlier","Normal")</f>
        <v>Normal</v>
      </c>
      <c r="Z809" s="2" t="s">
        <v>49</v>
      </c>
      <c r="AA809" s="2" t="s">
        <v>40</v>
      </c>
      <c r="AB809" s="2" t="s">
        <v>50</v>
      </c>
      <c r="AC809" s="2" t="s">
        <v>29</v>
      </c>
      <c r="AD809" s="2" t="s">
        <v>89</v>
      </c>
      <c r="AE809" s="2" t="str">
        <f t="shared" si="173"/>
        <v>Valid</v>
      </c>
      <c r="AF809" s="2" t="s">
        <v>2526</v>
      </c>
    </row>
    <row r="810" spans="1:32" x14ac:dyDescent="0.3">
      <c r="A810" s="2" t="s">
        <v>2527</v>
      </c>
      <c r="B810" s="2">
        <f t="shared" si="163"/>
        <v>1</v>
      </c>
      <c r="C810" s="12">
        <f t="shared" si="174"/>
        <v>46238</v>
      </c>
      <c r="D810" s="13">
        <v>46238</v>
      </c>
      <c r="E810" s="2" t="s">
        <v>1544</v>
      </c>
      <c r="F810" s="2" t="str">
        <f t="shared" si="164"/>
        <v>Email Available</v>
      </c>
      <c r="G810" s="2" t="s">
        <v>1545</v>
      </c>
      <c r="H810" s="2" t="s">
        <v>221</v>
      </c>
      <c r="I810" s="2" t="s">
        <v>22</v>
      </c>
      <c r="J810" s="2" t="s">
        <v>222</v>
      </c>
      <c r="K810" s="2">
        <v>1</v>
      </c>
      <c r="L810" s="2" t="s">
        <v>700</v>
      </c>
      <c r="M810" s="19">
        <f t="shared" si="165"/>
        <v>17.989999999999998</v>
      </c>
      <c r="N810" s="2"/>
      <c r="O810" s="2" t="str">
        <f t="shared" si="166"/>
        <v/>
      </c>
      <c r="P810" s="2">
        <v>0</v>
      </c>
      <c r="Q810" s="19">
        <f t="shared" si="167"/>
        <v>0</v>
      </c>
      <c r="R810" s="2" t="str">
        <f t="shared" si="168"/>
        <v>Number</v>
      </c>
      <c r="S810" s="2">
        <v>5.99</v>
      </c>
      <c r="T810" s="19">
        <f t="shared" si="169"/>
        <v>5.99</v>
      </c>
      <c r="U810" s="2">
        <v>23.98</v>
      </c>
      <c r="V810" s="19">
        <f t="shared" si="170"/>
        <v>23.98</v>
      </c>
      <c r="W810" s="19">
        <f t="shared" si="171"/>
        <v>23.979999999999997</v>
      </c>
      <c r="X810" s="19" t="str">
        <f t="shared" si="172"/>
        <v>True</v>
      </c>
      <c r="Y810" s="19" t="str">
        <f>IF(OR(W810&lt;'Cleaning Tasks'!$G$18,W810&gt;'Cleaning Tasks'!$H$18),"Outlier","Normal")</f>
        <v>Normal</v>
      </c>
      <c r="Z810" s="2" t="s">
        <v>72</v>
      </c>
      <c r="AA810" s="2" t="s">
        <v>27</v>
      </c>
      <c r="AB810" s="2" t="s">
        <v>50</v>
      </c>
      <c r="AC810" s="2" t="s">
        <v>29</v>
      </c>
      <c r="AD810" s="22" t="s">
        <v>89</v>
      </c>
      <c r="AE810" s="2" t="str">
        <f t="shared" si="173"/>
        <v>Valid</v>
      </c>
      <c r="AF810" s="2" t="s">
        <v>2528</v>
      </c>
    </row>
    <row r="811" spans="1:32" x14ac:dyDescent="0.3">
      <c r="A811" s="2" t="s">
        <v>2529</v>
      </c>
      <c r="B811" s="2">
        <f t="shared" si="163"/>
        <v>1</v>
      </c>
      <c r="C811" s="12">
        <f t="shared" si="174"/>
        <v>46238.582646354167</v>
      </c>
      <c r="D811" s="13">
        <v>46238.582646354167</v>
      </c>
      <c r="E811" s="2" t="s">
        <v>606</v>
      </c>
      <c r="F811" s="2" t="str">
        <f t="shared" si="164"/>
        <v>Email Available</v>
      </c>
      <c r="G811" s="2" t="s">
        <v>607</v>
      </c>
      <c r="H811" s="2" t="s">
        <v>267</v>
      </c>
      <c r="I811" s="2" t="s">
        <v>22</v>
      </c>
      <c r="J811" s="2" t="s">
        <v>268</v>
      </c>
      <c r="K811" s="2">
        <v>1</v>
      </c>
      <c r="L811" s="2">
        <v>18.989999999999998</v>
      </c>
      <c r="M811" s="19">
        <f t="shared" si="165"/>
        <v>18.989999999999998</v>
      </c>
      <c r="N811" s="2" t="s">
        <v>38</v>
      </c>
      <c r="O811" s="2" t="str">
        <f t="shared" si="166"/>
        <v>FREESHIP</v>
      </c>
      <c r="P811" s="2">
        <v>0</v>
      </c>
      <c r="Q811" s="19">
        <f t="shared" si="167"/>
        <v>0</v>
      </c>
      <c r="R811" s="2" t="str">
        <f t="shared" si="168"/>
        <v>Number</v>
      </c>
      <c r="S811" s="2">
        <v>0</v>
      </c>
      <c r="T811" s="19">
        <f t="shared" si="169"/>
        <v>0</v>
      </c>
      <c r="U811" s="2">
        <v>18.989999999999998</v>
      </c>
      <c r="V811" s="19">
        <f t="shared" si="170"/>
        <v>18.989999999999998</v>
      </c>
      <c r="W811" s="19">
        <f t="shared" si="171"/>
        <v>18.989999999999998</v>
      </c>
      <c r="X811" s="19" t="str">
        <f t="shared" si="172"/>
        <v>True</v>
      </c>
      <c r="Y811" s="19" t="str">
        <f>IF(OR(W811&lt;'Cleaning Tasks'!$G$18,W811&gt;'Cleaning Tasks'!$H$18),"Outlier","Normal")</f>
        <v>Normal</v>
      </c>
      <c r="Z811" s="2" t="s">
        <v>26</v>
      </c>
      <c r="AA811" s="2" t="s">
        <v>27</v>
      </c>
      <c r="AB811" s="2" t="s">
        <v>50</v>
      </c>
      <c r="AC811" s="2" t="s">
        <v>42</v>
      </c>
      <c r="AD811" s="2"/>
      <c r="AE811" s="2" t="str">
        <f t="shared" si="173"/>
        <v>Not Required</v>
      </c>
      <c r="AF811" s="2" t="s">
        <v>2530</v>
      </c>
    </row>
    <row r="812" spans="1:32" x14ac:dyDescent="0.3">
      <c r="A812" s="2" t="s">
        <v>2531</v>
      </c>
      <c r="B812" s="2">
        <f t="shared" si="163"/>
        <v>1</v>
      </c>
      <c r="C812" s="12">
        <f t="shared" si="174"/>
        <v>46238.583684861107</v>
      </c>
      <c r="D812" s="13">
        <v>46238.583684861107</v>
      </c>
      <c r="E812" s="2" t="s">
        <v>1031</v>
      </c>
      <c r="F812" s="2" t="str">
        <f t="shared" si="164"/>
        <v>Email Available</v>
      </c>
      <c r="G812" s="2" t="s">
        <v>1032</v>
      </c>
      <c r="H812" s="2" t="s">
        <v>63</v>
      </c>
      <c r="I812" s="2" t="s">
        <v>47</v>
      </c>
      <c r="J812" s="2" t="s">
        <v>64</v>
      </c>
      <c r="K812" s="2">
        <v>2</v>
      </c>
      <c r="L812" s="2">
        <v>14.99</v>
      </c>
      <c r="M812" s="19">
        <f t="shared" si="165"/>
        <v>14.99</v>
      </c>
      <c r="N812" s="2" t="s">
        <v>38</v>
      </c>
      <c r="O812" s="2" t="str">
        <f t="shared" si="166"/>
        <v>FREESHIP</v>
      </c>
      <c r="P812" s="2">
        <v>0</v>
      </c>
      <c r="Q812" s="19">
        <f t="shared" si="167"/>
        <v>0</v>
      </c>
      <c r="R812" s="2" t="str">
        <f t="shared" si="168"/>
        <v>Number</v>
      </c>
      <c r="S812" s="2">
        <v>0</v>
      </c>
      <c r="T812" s="19">
        <f t="shared" si="169"/>
        <v>0</v>
      </c>
      <c r="U812" s="2">
        <v>29.98</v>
      </c>
      <c r="V812" s="19">
        <f t="shared" si="170"/>
        <v>29.98</v>
      </c>
      <c r="W812" s="19">
        <f t="shared" si="171"/>
        <v>29.98</v>
      </c>
      <c r="X812" s="19" t="str">
        <f t="shared" si="172"/>
        <v>True</v>
      </c>
      <c r="Y812" s="19" t="str">
        <f>IF(OR(W812&lt;'Cleaning Tasks'!$G$18,W812&gt;'Cleaning Tasks'!$H$18),"Outlier","Normal")</f>
        <v>Normal</v>
      </c>
      <c r="Z812" s="2" t="s">
        <v>39</v>
      </c>
      <c r="AA812" s="2" t="s">
        <v>27</v>
      </c>
      <c r="AB812" s="2" t="s">
        <v>96</v>
      </c>
      <c r="AC812" s="2" t="s">
        <v>29</v>
      </c>
      <c r="AD812" s="2" t="s">
        <v>51</v>
      </c>
      <c r="AE812" s="2" t="str">
        <f t="shared" si="173"/>
        <v>Valid</v>
      </c>
      <c r="AF812" s="2" t="s">
        <v>2532</v>
      </c>
    </row>
    <row r="813" spans="1:32" x14ac:dyDescent="0.3">
      <c r="A813" s="2" t="s">
        <v>2533</v>
      </c>
      <c r="B813" s="2">
        <f t="shared" si="163"/>
        <v>1</v>
      </c>
      <c r="C813" s="12">
        <f t="shared" si="174"/>
        <v>46238.579101319447</v>
      </c>
      <c r="D813" s="13">
        <v>46238.579101319447</v>
      </c>
      <c r="E813" s="2" t="s">
        <v>164</v>
      </c>
      <c r="F813" s="2" t="str">
        <f t="shared" si="164"/>
        <v>Email Available</v>
      </c>
      <c r="G813" s="2" t="s">
        <v>165</v>
      </c>
      <c r="H813" s="2" t="s">
        <v>130</v>
      </c>
      <c r="I813" s="2" t="s">
        <v>103</v>
      </c>
      <c r="J813" s="2" t="s">
        <v>131</v>
      </c>
      <c r="K813" s="2">
        <v>1</v>
      </c>
      <c r="L813" s="2">
        <v>16.989999999999998</v>
      </c>
      <c r="M813" s="19">
        <f t="shared" si="165"/>
        <v>16.989999999999998</v>
      </c>
      <c r="N813" s="2" t="s">
        <v>24</v>
      </c>
      <c r="O813" s="2" t="str">
        <f t="shared" si="166"/>
        <v>SAVE20</v>
      </c>
      <c r="P813" s="2">
        <v>3.4</v>
      </c>
      <c r="Q813" s="19">
        <f t="shared" si="167"/>
        <v>3.4</v>
      </c>
      <c r="R813" s="2" t="str">
        <f t="shared" si="168"/>
        <v>Number</v>
      </c>
      <c r="S813" s="2">
        <v>5.99</v>
      </c>
      <c r="T813" s="19">
        <f t="shared" si="169"/>
        <v>5.99</v>
      </c>
      <c r="U813" s="2">
        <v>19.579999999999998</v>
      </c>
      <c r="V813" s="19">
        <f t="shared" si="170"/>
        <v>19.579999999999998</v>
      </c>
      <c r="W813" s="19">
        <f t="shared" si="171"/>
        <v>19.579999999999998</v>
      </c>
      <c r="X813" s="19" t="str">
        <f t="shared" si="172"/>
        <v>True</v>
      </c>
      <c r="Y813" s="19" t="str">
        <f>IF(OR(W813&lt;'Cleaning Tasks'!$G$18,W813&gt;'Cleaning Tasks'!$H$18),"Outlier","Normal")</f>
        <v>Normal</v>
      </c>
      <c r="Z813" s="2" t="s">
        <v>49</v>
      </c>
      <c r="AA813" s="2" t="s">
        <v>27</v>
      </c>
      <c r="AB813" s="2" t="s">
        <v>50</v>
      </c>
      <c r="AC813" s="2" t="s">
        <v>105</v>
      </c>
      <c r="AD813" s="2"/>
      <c r="AE813" s="2" t="str">
        <f t="shared" si="173"/>
        <v>Not Required</v>
      </c>
      <c r="AF813" s="2" t="s">
        <v>2534</v>
      </c>
    </row>
    <row r="814" spans="1:32" x14ac:dyDescent="0.3">
      <c r="A814" s="2" t="s">
        <v>2535</v>
      </c>
      <c r="B814" s="2">
        <f t="shared" si="163"/>
        <v>1</v>
      </c>
      <c r="C814" s="12">
        <f t="shared" si="174"/>
        <v>46238.587265034723</v>
      </c>
      <c r="D814" s="13">
        <v>46238.587265034723</v>
      </c>
      <c r="E814" s="2" t="s">
        <v>160</v>
      </c>
      <c r="F814" s="2" t="str">
        <f t="shared" si="164"/>
        <v>Email Available</v>
      </c>
      <c r="G814" s="2" t="s">
        <v>161</v>
      </c>
      <c r="H814" s="2" t="s">
        <v>117</v>
      </c>
      <c r="I814" s="2" t="s">
        <v>22</v>
      </c>
      <c r="J814" s="2" t="s">
        <v>23</v>
      </c>
      <c r="K814" s="2">
        <v>1</v>
      </c>
      <c r="L814" s="2">
        <v>12.99</v>
      </c>
      <c r="M814" s="19">
        <f t="shared" si="165"/>
        <v>12.99</v>
      </c>
      <c r="N814" s="2"/>
      <c r="O814" s="2" t="str">
        <f t="shared" si="166"/>
        <v/>
      </c>
      <c r="P814" s="2">
        <v>0</v>
      </c>
      <c r="Q814" s="19">
        <f t="shared" si="167"/>
        <v>0</v>
      </c>
      <c r="R814" s="2" t="str">
        <f t="shared" si="168"/>
        <v>Number</v>
      </c>
      <c r="S814" s="2">
        <v>5.99</v>
      </c>
      <c r="T814" s="19">
        <f t="shared" si="169"/>
        <v>5.99</v>
      </c>
      <c r="U814" s="2">
        <v>18.98</v>
      </c>
      <c r="V814" s="19">
        <f t="shared" si="170"/>
        <v>18.98</v>
      </c>
      <c r="W814" s="19">
        <f t="shared" si="171"/>
        <v>18.98</v>
      </c>
      <c r="X814" s="19" t="str">
        <f t="shared" si="172"/>
        <v>True</v>
      </c>
      <c r="Y814" s="19" t="str">
        <f>IF(OR(W814&lt;'Cleaning Tasks'!$G$18,W814&gt;'Cleaning Tasks'!$H$18),"Outlier","Normal")</f>
        <v>Normal</v>
      </c>
      <c r="Z814" s="2" t="s">
        <v>39</v>
      </c>
      <c r="AA814" s="2" t="s">
        <v>111</v>
      </c>
      <c r="AB814" s="2" t="s">
        <v>28</v>
      </c>
      <c r="AC814" s="2" t="s">
        <v>29</v>
      </c>
      <c r="AD814" s="2" t="s">
        <v>341</v>
      </c>
      <c r="AE814" s="2" t="str">
        <f t="shared" si="173"/>
        <v>Valid</v>
      </c>
      <c r="AF814" s="2" t="s">
        <v>2536</v>
      </c>
    </row>
    <row r="815" spans="1:32" x14ac:dyDescent="0.3">
      <c r="A815" s="2" t="s">
        <v>2537</v>
      </c>
      <c r="B815" s="2">
        <f t="shared" si="163"/>
        <v>1</v>
      </c>
      <c r="C815" s="12">
        <f t="shared" si="174"/>
        <v>46238.58152886574</v>
      </c>
      <c r="D815" s="13">
        <v>46238.58152886574</v>
      </c>
      <c r="E815" s="2" t="s">
        <v>993</v>
      </c>
      <c r="F815" s="2" t="str">
        <f t="shared" si="164"/>
        <v>Email Available</v>
      </c>
      <c r="G815" s="2" t="s">
        <v>994</v>
      </c>
      <c r="H815" s="2" t="s">
        <v>46</v>
      </c>
      <c r="I815" s="2" t="s">
        <v>47</v>
      </c>
      <c r="J815" s="2" t="s">
        <v>48</v>
      </c>
      <c r="K815" s="2">
        <v>1</v>
      </c>
      <c r="L815" s="2">
        <v>39.99</v>
      </c>
      <c r="M815" s="19">
        <f t="shared" si="165"/>
        <v>39.99</v>
      </c>
      <c r="N815" s="2" t="s">
        <v>118</v>
      </c>
      <c r="O815" s="2" t="str">
        <f t="shared" si="166"/>
        <v>BFCM25</v>
      </c>
      <c r="P815" s="2">
        <v>10</v>
      </c>
      <c r="Q815" s="19">
        <f t="shared" si="167"/>
        <v>10</v>
      </c>
      <c r="R815" s="2" t="str">
        <f t="shared" si="168"/>
        <v>Number</v>
      </c>
      <c r="S815" s="2">
        <v>7.99</v>
      </c>
      <c r="T815" s="19">
        <f t="shared" si="169"/>
        <v>7.99</v>
      </c>
      <c r="U815" s="2">
        <v>37.979999999999997</v>
      </c>
      <c r="V815" s="19">
        <f t="shared" si="170"/>
        <v>37.979999999999997</v>
      </c>
      <c r="W815" s="19">
        <f t="shared" si="171"/>
        <v>37.980000000000004</v>
      </c>
      <c r="X815" s="19" t="str">
        <f t="shared" si="172"/>
        <v>True</v>
      </c>
      <c r="Y815" s="19" t="str">
        <f>IF(OR(W815&lt;'Cleaning Tasks'!$G$18,W815&gt;'Cleaning Tasks'!$H$18),"Outlier","Normal")</f>
        <v>Normal</v>
      </c>
      <c r="Z815" s="2" t="s">
        <v>26</v>
      </c>
      <c r="AA815" s="2" t="s">
        <v>88</v>
      </c>
      <c r="AB815" s="2" t="s">
        <v>41</v>
      </c>
      <c r="AC815" s="2" t="s">
        <v>42</v>
      </c>
      <c r="AD815" s="2"/>
      <c r="AE815" s="2" t="str">
        <f t="shared" si="173"/>
        <v>Not Required</v>
      </c>
      <c r="AF815" s="2" t="s">
        <v>2538</v>
      </c>
    </row>
    <row r="816" spans="1:32" x14ac:dyDescent="0.3">
      <c r="A816" s="2" t="s">
        <v>2539</v>
      </c>
      <c r="B816" s="2">
        <f t="shared" si="163"/>
        <v>1</v>
      </c>
      <c r="C816" s="12">
        <f t="shared" si="174"/>
        <v>46238.578867905089</v>
      </c>
      <c r="D816" s="13">
        <v>46238.578867905089</v>
      </c>
      <c r="E816" s="2" t="s">
        <v>658</v>
      </c>
      <c r="F816" s="2" t="str">
        <f t="shared" si="164"/>
        <v>Email Available</v>
      </c>
      <c r="G816" s="2" t="s">
        <v>659</v>
      </c>
      <c r="H816" s="2" t="s">
        <v>63</v>
      </c>
      <c r="I816" s="2" t="s">
        <v>47</v>
      </c>
      <c r="J816" s="2" t="s">
        <v>446</v>
      </c>
      <c r="K816" s="2">
        <v>2</v>
      </c>
      <c r="L816" s="2">
        <v>14.99</v>
      </c>
      <c r="M816" s="19">
        <f t="shared" si="165"/>
        <v>14.99</v>
      </c>
      <c r="N816" s="2" t="s">
        <v>65</v>
      </c>
      <c r="O816" s="2" t="str">
        <f t="shared" si="166"/>
        <v>WELCOME10</v>
      </c>
      <c r="P816" s="2">
        <v>3</v>
      </c>
      <c r="Q816" s="19">
        <f t="shared" si="167"/>
        <v>3</v>
      </c>
      <c r="R816" s="2" t="str">
        <f t="shared" si="168"/>
        <v>Number</v>
      </c>
      <c r="S816" s="2">
        <v>5.99</v>
      </c>
      <c r="T816" s="19">
        <f t="shared" si="169"/>
        <v>5.99</v>
      </c>
      <c r="U816" s="2">
        <v>32.97</v>
      </c>
      <c r="V816" s="19">
        <f t="shared" si="170"/>
        <v>32.97</v>
      </c>
      <c r="W816" s="19">
        <f t="shared" si="171"/>
        <v>32.97</v>
      </c>
      <c r="X816" s="19" t="str">
        <f t="shared" si="172"/>
        <v>True</v>
      </c>
      <c r="Y816" s="19" t="str">
        <f>IF(OR(W816&lt;'Cleaning Tasks'!$G$18,W816&gt;'Cleaning Tasks'!$H$18),"Outlier","Normal")</f>
        <v>Normal</v>
      </c>
      <c r="Z816" s="2" t="s">
        <v>26</v>
      </c>
      <c r="AA816" s="2" t="s">
        <v>27</v>
      </c>
      <c r="AB816" s="2" t="s">
        <v>96</v>
      </c>
      <c r="AC816" s="2" t="s">
        <v>73</v>
      </c>
      <c r="AD816" s="2"/>
      <c r="AE816" s="2" t="str">
        <f t="shared" si="173"/>
        <v>Not Required</v>
      </c>
      <c r="AF816" s="2" t="s">
        <v>2540</v>
      </c>
    </row>
    <row r="817" spans="1:32" x14ac:dyDescent="0.3">
      <c r="A817" s="2" t="s">
        <v>2541</v>
      </c>
      <c r="B817" s="2">
        <f t="shared" si="163"/>
        <v>1</v>
      </c>
      <c r="C817" s="12">
        <f t="shared" si="174"/>
        <v>46238.582904270843</v>
      </c>
      <c r="D817" s="13">
        <v>46238.582904270843</v>
      </c>
      <c r="E817" s="2" t="s">
        <v>979</v>
      </c>
      <c r="F817" s="2" t="str">
        <f t="shared" si="164"/>
        <v>Email Available</v>
      </c>
      <c r="G817" s="2" t="s">
        <v>670</v>
      </c>
      <c r="H817" s="2" t="s">
        <v>56</v>
      </c>
      <c r="I817" s="2" t="s">
        <v>22</v>
      </c>
      <c r="J817" s="2" t="s">
        <v>57</v>
      </c>
      <c r="K817" s="2">
        <v>1</v>
      </c>
      <c r="L817" s="2">
        <v>9.99</v>
      </c>
      <c r="M817" s="19">
        <f t="shared" si="165"/>
        <v>9.99</v>
      </c>
      <c r="N817" s="2" t="s">
        <v>118</v>
      </c>
      <c r="O817" s="2" t="str">
        <f t="shared" si="166"/>
        <v>BFCM25</v>
      </c>
      <c r="P817" s="2">
        <v>2.5</v>
      </c>
      <c r="Q817" s="19">
        <f t="shared" si="167"/>
        <v>2.5</v>
      </c>
      <c r="R817" s="2" t="str">
        <f t="shared" si="168"/>
        <v>Number</v>
      </c>
      <c r="S817" s="2">
        <v>4.99</v>
      </c>
      <c r="T817" s="19">
        <f t="shared" si="169"/>
        <v>4.99</v>
      </c>
      <c r="U817" s="2">
        <v>12.48</v>
      </c>
      <c r="V817" s="19">
        <f t="shared" si="170"/>
        <v>12.48</v>
      </c>
      <c r="W817" s="19">
        <f t="shared" si="171"/>
        <v>12.48</v>
      </c>
      <c r="X817" s="19" t="str">
        <f t="shared" si="172"/>
        <v>True</v>
      </c>
      <c r="Y817" s="19" t="str">
        <f>IF(OR(W817&lt;'Cleaning Tasks'!$G$18,W817&gt;'Cleaning Tasks'!$H$18),"Outlier","Normal")</f>
        <v>Normal</v>
      </c>
      <c r="Z817" s="2" t="s">
        <v>66</v>
      </c>
      <c r="AA817" s="2" t="s">
        <v>88</v>
      </c>
      <c r="AB817" s="2" t="s">
        <v>50</v>
      </c>
      <c r="AC817" s="2" t="s">
        <v>29</v>
      </c>
      <c r="AD817" s="2" t="s">
        <v>447</v>
      </c>
      <c r="AE817" s="2" t="str">
        <f t="shared" si="173"/>
        <v>Valid</v>
      </c>
      <c r="AF817" s="2" t="s">
        <v>2542</v>
      </c>
    </row>
    <row r="818" spans="1:32" x14ac:dyDescent="0.3">
      <c r="A818" s="2" t="s">
        <v>2543</v>
      </c>
      <c r="B818" s="2">
        <f t="shared" si="163"/>
        <v>1</v>
      </c>
      <c r="C818" s="12">
        <f t="shared" si="174"/>
        <v>46238.581792777783</v>
      </c>
      <c r="D818" s="13">
        <v>46238.581792777783</v>
      </c>
      <c r="E818" s="2" t="s">
        <v>2544</v>
      </c>
      <c r="F818" s="2" t="str">
        <f t="shared" si="164"/>
        <v>Email Available</v>
      </c>
      <c r="G818" s="2" t="s">
        <v>2545</v>
      </c>
      <c r="H818" s="2" t="s">
        <v>261</v>
      </c>
      <c r="I818" s="2" t="s">
        <v>36</v>
      </c>
      <c r="J818" s="2" t="s">
        <v>262</v>
      </c>
      <c r="K818" s="2">
        <v>1</v>
      </c>
      <c r="L818" s="2">
        <v>15.49</v>
      </c>
      <c r="M818" s="19">
        <f t="shared" si="165"/>
        <v>15.49</v>
      </c>
      <c r="N818" s="2" t="s">
        <v>38</v>
      </c>
      <c r="O818" s="2" t="str">
        <f t="shared" si="166"/>
        <v>FREESHIP</v>
      </c>
      <c r="P818" s="2">
        <v>0</v>
      </c>
      <c r="Q818" s="19">
        <f t="shared" si="167"/>
        <v>0</v>
      </c>
      <c r="R818" s="2" t="str">
        <f t="shared" si="168"/>
        <v>Number</v>
      </c>
      <c r="S818" s="2">
        <v>0</v>
      </c>
      <c r="T818" s="19">
        <f t="shared" si="169"/>
        <v>0</v>
      </c>
      <c r="U818" s="2">
        <v>15.49</v>
      </c>
      <c r="V818" s="19">
        <f t="shared" si="170"/>
        <v>15.49</v>
      </c>
      <c r="W818" s="19">
        <f t="shared" si="171"/>
        <v>15.49</v>
      </c>
      <c r="X818" s="19" t="str">
        <f t="shared" si="172"/>
        <v>True</v>
      </c>
      <c r="Y818" s="19" t="str">
        <f>IF(OR(W818&lt;'Cleaning Tasks'!$G$18,W818&gt;'Cleaning Tasks'!$H$18),"Outlier","Normal")</f>
        <v>Normal</v>
      </c>
      <c r="Z818" s="2" t="s">
        <v>26</v>
      </c>
      <c r="AA818" s="2" t="s">
        <v>111</v>
      </c>
      <c r="AB818" s="2" t="s">
        <v>41</v>
      </c>
      <c r="AC818" s="2" t="s">
        <v>331</v>
      </c>
      <c r="AD818" s="2"/>
      <c r="AE818" s="2" t="str">
        <f t="shared" si="173"/>
        <v>Not Required</v>
      </c>
      <c r="AF818" s="2" t="s">
        <v>1828</v>
      </c>
    </row>
    <row r="819" spans="1:32" x14ac:dyDescent="0.3">
      <c r="A819" s="2" t="s">
        <v>2546</v>
      </c>
      <c r="B819" s="2">
        <f t="shared" si="163"/>
        <v>1</v>
      </c>
      <c r="C819" s="12">
        <f t="shared" si="174"/>
        <v>46238.583265428242</v>
      </c>
      <c r="D819" s="13">
        <v>46238.583265428242</v>
      </c>
      <c r="E819" s="2" t="s">
        <v>339</v>
      </c>
      <c r="F819" s="2" t="str">
        <f t="shared" si="164"/>
        <v>Email Available</v>
      </c>
      <c r="G819" s="2" t="s">
        <v>445</v>
      </c>
      <c r="H819" s="2" t="s">
        <v>261</v>
      </c>
      <c r="I819" s="2" t="s">
        <v>36</v>
      </c>
      <c r="J819" s="2" t="s">
        <v>262</v>
      </c>
      <c r="K819" s="2">
        <v>1</v>
      </c>
      <c r="L819" s="2">
        <v>15.49</v>
      </c>
      <c r="M819" s="19">
        <f t="shared" si="165"/>
        <v>15.49</v>
      </c>
      <c r="N819" s="2"/>
      <c r="O819" s="2" t="str">
        <f t="shared" si="166"/>
        <v/>
      </c>
      <c r="P819" s="2">
        <v>0</v>
      </c>
      <c r="Q819" s="19">
        <f t="shared" si="167"/>
        <v>0</v>
      </c>
      <c r="R819" s="2" t="str">
        <f t="shared" si="168"/>
        <v>Number</v>
      </c>
      <c r="S819" s="2">
        <v>5.99</v>
      </c>
      <c r="T819" s="19">
        <f t="shared" si="169"/>
        <v>5.99</v>
      </c>
      <c r="U819" s="2" t="s">
        <v>5175</v>
      </c>
      <c r="V819" s="19">
        <f t="shared" si="170"/>
        <v>21.48</v>
      </c>
      <c r="W819" s="19">
        <f t="shared" si="171"/>
        <v>21.48</v>
      </c>
      <c r="X819" s="19" t="str">
        <f t="shared" si="172"/>
        <v>True</v>
      </c>
      <c r="Y819" s="19" t="str">
        <f>IF(OR(W819&lt;'Cleaning Tasks'!$G$18,W819&gt;'Cleaning Tasks'!$H$18),"Outlier","Normal")</f>
        <v>Normal</v>
      </c>
      <c r="Z819" s="2" t="s">
        <v>26</v>
      </c>
      <c r="AA819" s="2" t="s">
        <v>88</v>
      </c>
      <c r="AB819" s="2" t="s">
        <v>28</v>
      </c>
      <c r="AC819" s="2" t="s">
        <v>29</v>
      </c>
      <c r="AD819" s="2" t="s">
        <v>243</v>
      </c>
      <c r="AE819" s="2" t="str">
        <f t="shared" si="173"/>
        <v>Valid</v>
      </c>
      <c r="AF819" s="2" t="s">
        <v>2547</v>
      </c>
    </row>
    <row r="820" spans="1:32" x14ac:dyDescent="0.3">
      <c r="A820" s="2" t="s">
        <v>2548</v>
      </c>
      <c r="B820" s="2">
        <f t="shared" si="163"/>
        <v>1</v>
      </c>
      <c r="C820" s="12">
        <f t="shared" si="174"/>
        <v>46238.588866516213</v>
      </c>
      <c r="D820" s="13">
        <v>46238.588866516213</v>
      </c>
      <c r="E820" s="2" t="s">
        <v>2549</v>
      </c>
      <c r="F820" s="2" t="str">
        <f t="shared" si="164"/>
        <v>Email Available</v>
      </c>
      <c r="G820" s="2" t="s">
        <v>2550</v>
      </c>
      <c r="H820" s="2" t="s">
        <v>182</v>
      </c>
      <c r="I820" s="2" t="s">
        <v>36</v>
      </c>
      <c r="J820" s="2" t="s">
        <v>183</v>
      </c>
      <c r="K820" s="2">
        <v>1</v>
      </c>
      <c r="L820" s="2">
        <v>11.99</v>
      </c>
      <c r="M820" s="19">
        <f t="shared" si="165"/>
        <v>11.99</v>
      </c>
      <c r="N820" s="2" t="s">
        <v>24</v>
      </c>
      <c r="O820" s="2" t="str">
        <f t="shared" si="166"/>
        <v>SAVE20</v>
      </c>
      <c r="P820" s="2">
        <v>2.4</v>
      </c>
      <c r="Q820" s="19">
        <f t="shared" si="167"/>
        <v>2.4</v>
      </c>
      <c r="R820" s="2" t="str">
        <f t="shared" si="168"/>
        <v>Number</v>
      </c>
      <c r="S820" s="2">
        <v>4.99</v>
      </c>
      <c r="T820" s="19">
        <f t="shared" si="169"/>
        <v>4.99</v>
      </c>
      <c r="U820" s="2">
        <v>14.58</v>
      </c>
      <c r="V820" s="19">
        <f t="shared" si="170"/>
        <v>14.58</v>
      </c>
      <c r="W820" s="19">
        <f t="shared" si="171"/>
        <v>14.58</v>
      </c>
      <c r="X820" s="19" t="str">
        <f t="shared" si="172"/>
        <v>True</v>
      </c>
      <c r="Y820" s="19" t="str">
        <f>IF(OR(W820&lt;'Cleaning Tasks'!$G$18,W820&gt;'Cleaning Tasks'!$H$18),"Outlier","Normal")</f>
        <v>Normal</v>
      </c>
      <c r="Z820" s="2" t="s">
        <v>39</v>
      </c>
      <c r="AA820" s="2" t="s">
        <v>27</v>
      </c>
      <c r="AB820" s="2" t="s">
        <v>50</v>
      </c>
      <c r="AC820" s="2" t="s">
        <v>42</v>
      </c>
      <c r="AD820" s="2"/>
      <c r="AE820" s="2" t="str">
        <f t="shared" si="173"/>
        <v>Not Required</v>
      </c>
      <c r="AF820" s="2" t="s">
        <v>2551</v>
      </c>
    </row>
    <row r="821" spans="1:32" x14ac:dyDescent="0.3">
      <c r="A821" s="2" t="s">
        <v>2552</v>
      </c>
      <c r="B821" s="2">
        <f t="shared" si="163"/>
        <v>1</v>
      </c>
      <c r="C821" s="12">
        <f>DATE(VALUE(RIGHT(D821,4)),MATCH(LEFT(D821,3),{"Jan","Feb","Mar","Apr","May","Jun","Jul","Aug","Sep","Oct","Nov","Dec"},0),VALUE(MID(D821,5,2)))</f>
        <v>46238</v>
      </c>
      <c r="D821" s="13" t="s">
        <v>171</v>
      </c>
      <c r="E821" s="2" t="s">
        <v>2553</v>
      </c>
      <c r="F821" s="2" t="str">
        <f t="shared" si="164"/>
        <v>Email Available</v>
      </c>
      <c r="G821" s="2" t="s">
        <v>2554</v>
      </c>
      <c r="H821" s="2" t="s">
        <v>124</v>
      </c>
      <c r="I821" s="2" t="s">
        <v>79</v>
      </c>
      <c r="J821" s="2" t="s">
        <v>125</v>
      </c>
      <c r="K821" s="2">
        <v>1</v>
      </c>
      <c r="L821" s="2">
        <v>13.99</v>
      </c>
      <c r="M821" s="19">
        <f t="shared" si="165"/>
        <v>13.99</v>
      </c>
      <c r="N821" s="2" t="s">
        <v>65</v>
      </c>
      <c r="O821" s="2" t="str">
        <f t="shared" si="166"/>
        <v>WELCOME10</v>
      </c>
      <c r="P821" s="2" t="s">
        <v>1635</v>
      </c>
      <c r="Q821" s="19">
        <f t="shared" si="167"/>
        <v>1.4</v>
      </c>
      <c r="R821" s="2" t="str">
        <f t="shared" si="168"/>
        <v>Number</v>
      </c>
      <c r="S821" s="2">
        <v>7.99</v>
      </c>
      <c r="T821" s="19">
        <f t="shared" si="169"/>
        <v>7.99</v>
      </c>
      <c r="U821" s="2" t="s">
        <v>2555</v>
      </c>
      <c r="V821" s="19">
        <f t="shared" si="170"/>
        <v>20.58</v>
      </c>
      <c r="W821" s="19">
        <f t="shared" si="171"/>
        <v>20.58</v>
      </c>
      <c r="X821" s="19" t="str">
        <f t="shared" si="172"/>
        <v>True</v>
      </c>
      <c r="Y821" s="19" t="str">
        <f>IF(OR(W821&lt;'Cleaning Tasks'!$G$18,W821&gt;'Cleaning Tasks'!$H$18),"Outlier","Normal")</f>
        <v>Normal</v>
      </c>
      <c r="Z821" s="2" t="s">
        <v>66</v>
      </c>
      <c r="AA821" s="2" t="s">
        <v>27</v>
      </c>
      <c r="AB821" s="2" t="s">
        <v>50</v>
      </c>
      <c r="AC821" s="2" t="s">
        <v>29</v>
      </c>
      <c r="AD821" s="2" t="s">
        <v>51</v>
      </c>
      <c r="AE821" s="2" t="str">
        <f t="shared" si="173"/>
        <v>Valid</v>
      </c>
      <c r="AF821" s="2" t="s">
        <v>2556</v>
      </c>
    </row>
    <row r="822" spans="1:32" x14ac:dyDescent="0.3">
      <c r="A822" s="2" t="s">
        <v>2557</v>
      </c>
      <c r="B822" s="2">
        <f t="shared" si="163"/>
        <v>1</v>
      </c>
      <c r="C822" s="12">
        <f t="shared" ref="C822:C853" si="175">IF(ISNUMBER(D822),D822,DATEVALUE(SUBSTITUTE(TRIM(D822),CHAR(160)," ")))</f>
        <v>46238.580922013891</v>
      </c>
      <c r="D822" s="13">
        <v>46238.580922013891</v>
      </c>
      <c r="E822" s="2" t="s">
        <v>2549</v>
      </c>
      <c r="F822" s="2" t="str">
        <f t="shared" si="164"/>
        <v>Email Available</v>
      </c>
      <c r="G822" s="2" t="s">
        <v>2550</v>
      </c>
      <c r="H822" s="2" t="s">
        <v>166</v>
      </c>
      <c r="I822" s="2" t="s">
        <v>103</v>
      </c>
      <c r="J822" s="2" t="s">
        <v>167</v>
      </c>
      <c r="K822" s="2">
        <v>1</v>
      </c>
      <c r="L822" s="2">
        <v>32.99</v>
      </c>
      <c r="M822" s="19">
        <f t="shared" si="165"/>
        <v>32.99</v>
      </c>
      <c r="N822" s="2"/>
      <c r="O822" s="2" t="str">
        <f t="shared" si="166"/>
        <v/>
      </c>
      <c r="P822" s="2">
        <v>0</v>
      </c>
      <c r="Q822" s="19">
        <f t="shared" si="167"/>
        <v>0</v>
      </c>
      <c r="R822" s="2" t="str">
        <f t="shared" si="168"/>
        <v>Number</v>
      </c>
      <c r="S822" s="2">
        <v>7.99</v>
      </c>
      <c r="T822" s="19">
        <f t="shared" si="169"/>
        <v>7.99</v>
      </c>
      <c r="U822" s="2">
        <v>40.98</v>
      </c>
      <c r="V822" s="19">
        <f t="shared" si="170"/>
        <v>40.98</v>
      </c>
      <c r="W822" s="19">
        <f t="shared" si="171"/>
        <v>40.980000000000004</v>
      </c>
      <c r="X822" s="19" t="str">
        <f t="shared" si="172"/>
        <v>True</v>
      </c>
      <c r="Y822" s="19" t="str">
        <f>IF(OR(W822&lt;'Cleaning Tasks'!$G$18,W822&gt;'Cleaning Tasks'!$H$18),"Outlier","Normal")</f>
        <v>Normal</v>
      </c>
      <c r="Z822" s="2" t="s">
        <v>49</v>
      </c>
      <c r="AA822" s="2" t="s">
        <v>88</v>
      </c>
      <c r="AB822" s="2" t="s">
        <v>50</v>
      </c>
      <c r="AC822" s="2" t="s">
        <v>42</v>
      </c>
      <c r="AD822" s="2"/>
      <c r="AE822" s="2" t="str">
        <f t="shared" si="173"/>
        <v>Not Required</v>
      </c>
      <c r="AF822" s="2" t="s">
        <v>2558</v>
      </c>
    </row>
    <row r="823" spans="1:32" x14ac:dyDescent="0.3">
      <c r="A823" s="2" t="s">
        <v>2559</v>
      </c>
      <c r="B823" s="2">
        <f t="shared" si="163"/>
        <v>1</v>
      </c>
      <c r="C823" s="12">
        <f t="shared" si="175"/>
        <v>46238.582618912027</v>
      </c>
      <c r="D823" s="13">
        <v>46238.582618912027</v>
      </c>
      <c r="E823" s="2" t="s">
        <v>1455</v>
      </c>
      <c r="F823" s="2" t="str">
        <f t="shared" si="164"/>
        <v>Email Available</v>
      </c>
      <c r="G823" s="2" t="s">
        <v>1279</v>
      </c>
      <c r="H823" s="2" t="s">
        <v>309</v>
      </c>
      <c r="I823" s="2" t="s">
        <v>36</v>
      </c>
      <c r="J823" s="2" t="s">
        <v>310</v>
      </c>
      <c r="K823" s="2">
        <v>2</v>
      </c>
      <c r="L823" s="2">
        <v>8.99</v>
      </c>
      <c r="M823" s="19">
        <f t="shared" si="165"/>
        <v>8.99</v>
      </c>
      <c r="N823" s="2" t="s">
        <v>38</v>
      </c>
      <c r="O823" s="2" t="str">
        <f t="shared" si="166"/>
        <v>FREESHIP</v>
      </c>
      <c r="P823" s="2" t="s">
        <v>184</v>
      </c>
      <c r="Q823" s="19">
        <f t="shared" si="167"/>
        <v>0</v>
      </c>
      <c r="R823" s="2" t="str">
        <f t="shared" si="168"/>
        <v>Number</v>
      </c>
      <c r="S823" s="2">
        <v>0</v>
      </c>
      <c r="T823" s="19">
        <f t="shared" si="169"/>
        <v>0</v>
      </c>
      <c r="U823" s="2">
        <v>17.98</v>
      </c>
      <c r="V823" s="19">
        <f t="shared" si="170"/>
        <v>17.98</v>
      </c>
      <c r="W823" s="19">
        <f t="shared" si="171"/>
        <v>17.98</v>
      </c>
      <c r="X823" s="19" t="str">
        <f t="shared" si="172"/>
        <v>True</v>
      </c>
      <c r="Y823" s="19" t="str">
        <f>IF(OR(W823&lt;'Cleaning Tasks'!$G$18,W823&gt;'Cleaning Tasks'!$H$18),"Outlier","Normal")</f>
        <v>Normal</v>
      </c>
      <c r="Z823" s="2" t="s">
        <v>39</v>
      </c>
      <c r="AA823" s="2" t="s">
        <v>111</v>
      </c>
      <c r="AB823" s="2" t="s">
        <v>28</v>
      </c>
      <c r="AC823" s="2" t="s">
        <v>29</v>
      </c>
      <c r="AD823" s="2" t="s">
        <v>58</v>
      </c>
      <c r="AE823" s="2" t="str">
        <f t="shared" si="173"/>
        <v>Valid</v>
      </c>
      <c r="AF823" s="2" t="s">
        <v>2560</v>
      </c>
    </row>
    <row r="824" spans="1:32" x14ac:dyDescent="0.3">
      <c r="A824" s="2" t="s">
        <v>2561</v>
      </c>
      <c r="B824" s="2">
        <f t="shared" si="163"/>
        <v>1</v>
      </c>
      <c r="C824" s="12">
        <f t="shared" si="175"/>
        <v>46238</v>
      </c>
      <c r="D824" s="13">
        <v>46238</v>
      </c>
      <c r="E824" s="2" t="s">
        <v>389</v>
      </c>
      <c r="F824" s="2" t="str">
        <f t="shared" si="164"/>
        <v>Email Available</v>
      </c>
      <c r="G824" s="2" t="s">
        <v>390</v>
      </c>
      <c r="H824" s="2" t="s">
        <v>279</v>
      </c>
      <c r="I824" s="2" t="s">
        <v>22</v>
      </c>
      <c r="J824" s="2" t="s">
        <v>280</v>
      </c>
      <c r="K824" s="2">
        <v>2</v>
      </c>
      <c r="L824" s="2">
        <v>24.99</v>
      </c>
      <c r="M824" s="19">
        <f t="shared" si="165"/>
        <v>24.99</v>
      </c>
      <c r="N824" s="2"/>
      <c r="O824" s="2" t="str">
        <f t="shared" si="166"/>
        <v/>
      </c>
      <c r="P824" s="2">
        <v>0</v>
      </c>
      <c r="Q824" s="19">
        <f t="shared" si="167"/>
        <v>0</v>
      </c>
      <c r="R824" s="2" t="str">
        <f t="shared" si="168"/>
        <v>Number</v>
      </c>
      <c r="S824" s="2">
        <v>4.99</v>
      </c>
      <c r="T824" s="19">
        <f t="shared" si="169"/>
        <v>4.99</v>
      </c>
      <c r="U824" s="2">
        <v>54.97</v>
      </c>
      <c r="V824" s="19">
        <f t="shared" si="170"/>
        <v>54.97</v>
      </c>
      <c r="W824" s="19">
        <f t="shared" si="171"/>
        <v>54.97</v>
      </c>
      <c r="X824" s="19" t="str">
        <f t="shared" si="172"/>
        <v>True</v>
      </c>
      <c r="Y824" s="19" t="str">
        <f>IF(OR(W824&lt;'Cleaning Tasks'!$G$18,W824&gt;'Cleaning Tasks'!$H$18),"Outlier","Normal")</f>
        <v>Normal</v>
      </c>
      <c r="Z824" s="2" t="s">
        <v>72</v>
      </c>
      <c r="AA824" s="2" t="s">
        <v>88</v>
      </c>
      <c r="AB824" s="2" t="s">
        <v>50</v>
      </c>
      <c r="AC824" s="2" t="s">
        <v>331</v>
      </c>
      <c r="AD824" s="2"/>
      <c r="AE824" s="2" t="str">
        <f t="shared" si="173"/>
        <v>Not Required</v>
      </c>
      <c r="AF824" s="2" t="s">
        <v>1759</v>
      </c>
    </row>
    <row r="825" spans="1:32" x14ac:dyDescent="0.3">
      <c r="A825" s="2" t="s">
        <v>2562</v>
      </c>
      <c r="B825" s="2">
        <f t="shared" si="163"/>
        <v>1</v>
      </c>
      <c r="C825" s="12">
        <f t="shared" si="175"/>
        <v>46238.586885300923</v>
      </c>
      <c r="D825" s="13">
        <v>46238.586885300923</v>
      </c>
      <c r="E825" s="2" t="s">
        <v>528</v>
      </c>
      <c r="F825" s="2" t="str">
        <f t="shared" si="164"/>
        <v>Email Available</v>
      </c>
      <c r="G825" s="2" t="s">
        <v>529</v>
      </c>
      <c r="H825" s="2" t="s">
        <v>267</v>
      </c>
      <c r="I825" s="2" t="s">
        <v>22</v>
      </c>
      <c r="J825" s="2" t="s">
        <v>268</v>
      </c>
      <c r="K825" s="2">
        <v>2</v>
      </c>
      <c r="L825" s="2">
        <v>18.989999999999998</v>
      </c>
      <c r="M825" s="19">
        <f t="shared" si="165"/>
        <v>18.989999999999998</v>
      </c>
      <c r="N825" s="2"/>
      <c r="O825" s="2" t="str">
        <f t="shared" si="166"/>
        <v/>
      </c>
      <c r="P825" s="2">
        <v>0</v>
      </c>
      <c r="Q825" s="19">
        <f t="shared" si="167"/>
        <v>0</v>
      </c>
      <c r="R825" s="2" t="str">
        <f t="shared" si="168"/>
        <v>Number</v>
      </c>
      <c r="S825" s="2">
        <v>5.99</v>
      </c>
      <c r="T825" s="19">
        <f t="shared" si="169"/>
        <v>5.99</v>
      </c>
      <c r="U825" s="2">
        <v>43.97</v>
      </c>
      <c r="V825" s="19">
        <f t="shared" si="170"/>
        <v>43.97</v>
      </c>
      <c r="W825" s="19">
        <f t="shared" si="171"/>
        <v>43.97</v>
      </c>
      <c r="X825" s="19" t="str">
        <f t="shared" si="172"/>
        <v>True</v>
      </c>
      <c r="Y825" s="19" t="str">
        <f>IF(OR(W825&lt;'Cleaning Tasks'!$G$18,W825&gt;'Cleaning Tasks'!$H$18),"Outlier","Normal")</f>
        <v>Normal</v>
      </c>
      <c r="Z825" s="2" t="s">
        <v>49</v>
      </c>
      <c r="AA825" s="2" t="s">
        <v>40</v>
      </c>
      <c r="AB825" s="2" t="s">
        <v>50</v>
      </c>
      <c r="AC825" s="2" t="s">
        <v>29</v>
      </c>
      <c r="AD825" s="2" t="s">
        <v>243</v>
      </c>
      <c r="AE825" s="2" t="str">
        <f t="shared" si="173"/>
        <v>Valid</v>
      </c>
      <c r="AF825" s="2" t="s">
        <v>2563</v>
      </c>
    </row>
    <row r="826" spans="1:32" x14ac:dyDescent="0.3">
      <c r="A826" s="2" t="s">
        <v>2564</v>
      </c>
      <c r="B826" s="2">
        <f t="shared" si="163"/>
        <v>1</v>
      </c>
      <c r="C826" s="12">
        <f t="shared" si="175"/>
        <v>46238.583921458332</v>
      </c>
      <c r="D826" s="13">
        <v>46238.583921458332</v>
      </c>
      <c r="E826" s="2" t="s">
        <v>459</v>
      </c>
      <c r="F826" s="2" t="str">
        <f t="shared" si="164"/>
        <v>Email Available</v>
      </c>
      <c r="G826" s="2" t="s">
        <v>460</v>
      </c>
      <c r="H826" s="2" t="s">
        <v>201</v>
      </c>
      <c r="I826" s="2" t="s">
        <v>191</v>
      </c>
      <c r="J826" s="2" t="s">
        <v>202</v>
      </c>
      <c r="K826" s="2">
        <v>2</v>
      </c>
      <c r="L826" s="2">
        <v>24.99</v>
      </c>
      <c r="M826" s="19">
        <f t="shared" si="165"/>
        <v>24.99</v>
      </c>
      <c r="N826" s="2" t="s">
        <v>38</v>
      </c>
      <c r="O826" s="2" t="str">
        <f t="shared" si="166"/>
        <v>FREESHIP</v>
      </c>
      <c r="P826" s="2">
        <v>0</v>
      </c>
      <c r="Q826" s="19">
        <f t="shared" si="167"/>
        <v>0</v>
      </c>
      <c r="R826" s="2" t="str">
        <f t="shared" si="168"/>
        <v>Number</v>
      </c>
      <c r="S826" s="2">
        <v>0</v>
      </c>
      <c r="T826" s="19">
        <f t="shared" si="169"/>
        <v>0</v>
      </c>
      <c r="U826" s="2">
        <v>49.98</v>
      </c>
      <c r="V826" s="19">
        <f t="shared" si="170"/>
        <v>49.98</v>
      </c>
      <c r="W826" s="19">
        <f t="shared" si="171"/>
        <v>49.98</v>
      </c>
      <c r="X826" s="19" t="str">
        <f t="shared" si="172"/>
        <v>True</v>
      </c>
      <c r="Y826" s="19" t="str">
        <f>IF(OR(W826&lt;'Cleaning Tasks'!$G$18,W826&gt;'Cleaning Tasks'!$H$18),"Outlier","Normal")</f>
        <v>Normal</v>
      </c>
      <c r="Z826" s="2" t="s">
        <v>66</v>
      </c>
      <c r="AA826" s="2" t="s">
        <v>27</v>
      </c>
      <c r="AB826" s="2" t="s">
        <v>50</v>
      </c>
      <c r="AC826" s="2" t="s">
        <v>223</v>
      </c>
      <c r="AD826" s="2"/>
      <c r="AE826" s="2" t="str">
        <f t="shared" si="173"/>
        <v>Not Required</v>
      </c>
      <c r="AF826" s="2" t="s">
        <v>2565</v>
      </c>
    </row>
    <row r="827" spans="1:32" x14ac:dyDescent="0.3">
      <c r="A827" s="2" t="s">
        <v>2566</v>
      </c>
      <c r="B827" s="2">
        <f t="shared" si="163"/>
        <v>1</v>
      </c>
      <c r="C827" s="12">
        <f t="shared" si="175"/>
        <v>46238.583525127317</v>
      </c>
      <c r="D827" s="13">
        <v>46238.583525127317</v>
      </c>
      <c r="E827" s="2" t="s">
        <v>1199</v>
      </c>
      <c r="F827" s="2" t="str">
        <f t="shared" si="164"/>
        <v>Email Available</v>
      </c>
      <c r="G827" s="2" t="s">
        <v>1200</v>
      </c>
      <c r="H827" s="2" t="s">
        <v>221</v>
      </c>
      <c r="I827" s="2" t="s">
        <v>22</v>
      </c>
      <c r="J827" s="2" t="s">
        <v>222</v>
      </c>
      <c r="K827" s="2">
        <v>1</v>
      </c>
      <c r="L827" s="2">
        <v>17.989999999999998</v>
      </c>
      <c r="M827" s="19">
        <f t="shared" si="165"/>
        <v>17.989999999999998</v>
      </c>
      <c r="N827" s="2"/>
      <c r="O827" s="2" t="str">
        <f t="shared" si="166"/>
        <v/>
      </c>
      <c r="P827" s="2">
        <v>0</v>
      </c>
      <c r="Q827" s="19">
        <f t="shared" si="167"/>
        <v>0</v>
      </c>
      <c r="R827" s="2" t="str">
        <f t="shared" si="168"/>
        <v>Number</v>
      </c>
      <c r="S827" s="2">
        <v>4.99</v>
      </c>
      <c r="T827" s="19">
        <f t="shared" si="169"/>
        <v>4.99</v>
      </c>
      <c r="U827" s="2">
        <v>22.98</v>
      </c>
      <c r="V827" s="19">
        <f t="shared" si="170"/>
        <v>22.98</v>
      </c>
      <c r="W827" s="19">
        <f t="shared" si="171"/>
        <v>22.979999999999997</v>
      </c>
      <c r="X827" s="19" t="str">
        <f t="shared" si="172"/>
        <v>True</v>
      </c>
      <c r="Y827" s="19" t="str">
        <f>IF(OR(W827&lt;'Cleaning Tasks'!$G$18,W827&gt;'Cleaning Tasks'!$H$18),"Outlier","Normal")</f>
        <v>Normal</v>
      </c>
      <c r="Z827" s="2" t="s">
        <v>72</v>
      </c>
      <c r="AA827" s="2" t="s">
        <v>111</v>
      </c>
      <c r="AB827" s="2" t="s">
        <v>50</v>
      </c>
      <c r="AC827" s="2" t="s">
        <v>29</v>
      </c>
      <c r="AD827" s="2" t="s">
        <v>112</v>
      </c>
      <c r="AE827" s="2" t="str">
        <f t="shared" si="173"/>
        <v>Valid</v>
      </c>
      <c r="AF827" s="2" t="s">
        <v>2567</v>
      </c>
    </row>
    <row r="828" spans="1:32" x14ac:dyDescent="0.3">
      <c r="A828" s="2" t="s">
        <v>2568</v>
      </c>
      <c r="B828" s="2">
        <f t="shared" si="163"/>
        <v>1</v>
      </c>
      <c r="C828" s="12">
        <f t="shared" si="175"/>
        <v>46238.585391365741</v>
      </c>
      <c r="D828" s="13">
        <v>46238.585391365741</v>
      </c>
      <c r="E828" s="2" t="s">
        <v>2569</v>
      </c>
      <c r="F828" s="2" t="str">
        <f t="shared" si="164"/>
        <v>Email Available</v>
      </c>
      <c r="G828" s="2" t="s">
        <v>2570</v>
      </c>
      <c r="H828" s="2" t="s">
        <v>63</v>
      </c>
      <c r="I828" s="2" t="s">
        <v>47</v>
      </c>
      <c r="J828" s="2" t="s">
        <v>64</v>
      </c>
      <c r="K828" s="2">
        <v>1</v>
      </c>
      <c r="L828" s="2">
        <v>14.99</v>
      </c>
      <c r="M828" s="19">
        <f t="shared" si="165"/>
        <v>14.99</v>
      </c>
      <c r="N828" s="2" t="s">
        <v>118</v>
      </c>
      <c r="O828" s="2" t="str">
        <f t="shared" si="166"/>
        <v>BFCM25</v>
      </c>
      <c r="P828" s="2">
        <v>3.75</v>
      </c>
      <c r="Q828" s="19">
        <f t="shared" si="167"/>
        <v>3.75</v>
      </c>
      <c r="R828" s="2" t="str">
        <f t="shared" si="168"/>
        <v>Number</v>
      </c>
      <c r="S828" s="2">
        <v>7.99</v>
      </c>
      <c r="T828" s="19">
        <f t="shared" si="169"/>
        <v>7.99</v>
      </c>
      <c r="U828" s="2" t="s">
        <v>2571</v>
      </c>
      <c r="V828" s="19">
        <f t="shared" si="170"/>
        <v>19.23</v>
      </c>
      <c r="W828" s="19">
        <f t="shared" si="171"/>
        <v>19.23</v>
      </c>
      <c r="X828" s="19" t="str">
        <f t="shared" si="172"/>
        <v>True</v>
      </c>
      <c r="Y828" s="19" t="str">
        <f>IF(OR(W828&lt;'Cleaning Tasks'!$G$18,W828&gt;'Cleaning Tasks'!$H$18),"Outlier","Normal")</f>
        <v>Normal</v>
      </c>
      <c r="Z828" s="2" t="s">
        <v>49</v>
      </c>
      <c r="AA828" s="2" t="s">
        <v>27</v>
      </c>
      <c r="AB828" s="2" t="s">
        <v>41</v>
      </c>
      <c r="AC828" s="2" t="s">
        <v>73</v>
      </c>
      <c r="AD828" s="2"/>
      <c r="AE828" s="2" t="str">
        <f t="shared" si="173"/>
        <v>Not Required</v>
      </c>
      <c r="AF828" s="2" t="s">
        <v>2572</v>
      </c>
    </row>
    <row r="829" spans="1:32" x14ac:dyDescent="0.3">
      <c r="A829" s="2" t="s">
        <v>2573</v>
      </c>
      <c r="B829" s="2">
        <f t="shared" si="163"/>
        <v>1</v>
      </c>
      <c r="C829" s="12">
        <f t="shared" si="175"/>
        <v>46238</v>
      </c>
      <c r="D829" s="13" t="s">
        <v>1228</v>
      </c>
      <c r="E829" s="2" t="s">
        <v>705</v>
      </c>
      <c r="F829" s="2" t="str">
        <f t="shared" si="164"/>
        <v>Email Available</v>
      </c>
      <c r="G829" s="2" t="s">
        <v>706</v>
      </c>
      <c r="H829" s="2" t="s">
        <v>63</v>
      </c>
      <c r="I829" s="2" t="s">
        <v>47</v>
      </c>
      <c r="J829" s="2" t="s">
        <v>446</v>
      </c>
      <c r="K829" s="2">
        <v>1</v>
      </c>
      <c r="L829" s="2">
        <v>14.99</v>
      </c>
      <c r="M829" s="19">
        <f t="shared" si="165"/>
        <v>14.99</v>
      </c>
      <c r="N829" s="2"/>
      <c r="O829" s="2" t="str">
        <f t="shared" si="166"/>
        <v/>
      </c>
      <c r="P829" s="2">
        <v>0</v>
      </c>
      <c r="Q829" s="19">
        <f t="shared" si="167"/>
        <v>0</v>
      </c>
      <c r="R829" s="2" t="str">
        <f t="shared" si="168"/>
        <v>Number</v>
      </c>
      <c r="S829" s="2">
        <v>5.99</v>
      </c>
      <c r="T829" s="19">
        <f t="shared" si="169"/>
        <v>5.99</v>
      </c>
      <c r="U829" s="2">
        <v>20.98</v>
      </c>
      <c r="V829" s="19">
        <f t="shared" si="170"/>
        <v>20.98</v>
      </c>
      <c r="W829" s="19">
        <f t="shared" si="171"/>
        <v>20.98</v>
      </c>
      <c r="X829" s="19" t="str">
        <f t="shared" si="172"/>
        <v>True</v>
      </c>
      <c r="Y829" s="19" t="str">
        <f>IF(OR(W829&lt;'Cleaning Tasks'!$G$18,W829&gt;'Cleaning Tasks'!$H$18),"Outlier","Normal")</f>
        <v>Normal</v>
      </c>
      <c r="Z829" s="2" t="s">
        <v>72</v>
      </c>
      <c r="AA829" s="2" t="s">
        <v>111</v>
      </c>
      <c r="AB829" s="2" t="s">
        <v>50</v>
      </c>
      <c r="AC829" s="2" t="s">
        <v>331</v>
      </c>
      <c r="AD829" s="2"/>
      <c r="AE829" s="2" t="str">
        <f t="shared" si="173"/>
        <v>Not Required</v>
      </c>
      <c r="AF829" s="2" t="s">
        <v>2574</v>
      </c>
    </row>
    <row r="830" spans="1:32" x14ac:dyDescent="0.3">
      <c r="A830" s="2" t="s">
        <v>2575</v>
      </c>
      <c r="B830" s="2">
        <f t="shared" si="163"/>
        <v>1</v>
      </c>
      <c r="C830" s="12">
        <f t="shared" si="175"/>
        <v>46238.58371900463</v>
      </c>
      <c r="D830" s="13">
        <v>46238.58371900463</v>
      </c>
      <c r="E830" s="2" t="s">
        <v>459</v>
      </c>
      <c r="F830" s="2" t="str">
        <f t="shared" si="164"/>
        <v>Email Available</v>
      </c>
      <c r="G830" s="2" t="s">
        <v>460</v>
      </c>
      <c r="H830" s="2" t="s">
        <v>117</v>
      </c>
      <c r="I830" s="2" t="s">
        <v>22</v>
      </c>
      <c r="J830" s="2" t="s">
        <v>23</v>
      </c>
      <c r="K830" s="2">
        <v>1</v>
      </c>
      <c r="L830" s="2">
        <v>12.99</v>
      </c>
      <c r="M830" s="19">
        <f t="shared" si="165"/>
        <v>12.99</v>
      </c>
      <c r="N830" s="2" t="s">
        <v>65</v>
      </c>
      <c r="O830" s="2" t="str">
        <f t="shared" si="166"/>
        <v>WELCOME10</v>
      </c>
      <c r="P830" s="2">
        <v>1.3</v>
      </c>
      <c r="Q830" s="19">
        <f t="shared" si="167"/>
        <v>1.3</v>
      </c>
      <c r="R830" s="2" t="str">
        <f t="shared" si="168"/>
        <v>Number</v>
      </c>
      <c r="S830" s="2">
        <v>7.99</v>
      </c>
      <c r="T830" s="19">
        <f t="shared" si="169"/>
        <v>7.99</v>
      </c>
      <c r="U830" s="2">
        <v>19.68</v>
      </c>
      <c r="V830" s="19">
        <f t="shared" si="170"/>
        <v>19.68</v>
      </c>
      <c r="W830" s="19">
        <f t="shared" si="171"/>
        <v>19.68</v>
      </c>
      <c r="X830" s="19" t="str">
        <f t="shared" si="172"/>
        <v>True</v>
      </c>
      <c r="Y830" s="19" t="str">
        <f>IF(OR(W830&lt;'Cleaning Tasks'!$G$18,W830&gt;'Cleaning Tasks'!$H$18),"Outlier","Normal")</f>
        <v>Normal</v>
      </c>
      <c r="Z830" s="2" t="s">
        <v>39</v>
      </c>
      <c r="AA830" s="2" t="s">
        <v>27</v>
      </c>
      <c r="AB830" s="2" t="s">
        <v>50</v>
      </c>
      <c r="AC830" s="2" t="s">
        <v>223</v>
      </c>
      <c r="AD830" s="2"/>
      <c r="AE830" s="2" t="str">
        <f t="shared" si="173"/>
        <v>Not Required</v>
      </c>
      <c r="AF830" s="2" t="s">
        <v>2576</v>
      </c>
    </row>
    <row r="831" spans="1:32" x14ac:dyDescent="0.3">
      <c r="A831" s="2" t="s">
        <v>2577</v>
      </c>
      <c r="B831" s="2">
        <f t="shared" si="163"/>
        <v>1</v>
      </c>
      <c r="C831" s="12">
        <f t="shared" si="175"/>
        <v>46238.585591608797</v>
      </c>
      <c r="D831" s="13">
        <v>46238.585591608797</v>
      </c>
      <c r="E831" s="2" t="s">
        <v>1500</v>
      </c>
      <c r="F831" s="2" t="str">
        <f t="shared" si="164"/>
        <v>Email Available</v>
      </c>
      <c r="G831" s="2" t="s">
        <v>1501</v>
      </c>
      <c r="H831" s="2" t="s">
        <v>56</v>
      </c>
      <c r="I831" s="2" t="s">
        <v>22</v>
      </c>
      <c r="J831" s="2" t="s">
        <v>57</v>
      </c>
      <c r="K831" s="2">
        <v>1</v>
      </c>
      <c r="L831" s="2">
        <v>9.99</v>
      </c>
      <c r="M831" s="19">
        <f t="shared" si="165"/>
        <v>9.99</v>
      </c>
      <c r="N831" s="2" t="s">
        <v>24</v>
      </c>
      <c r="O831" s="2" t="str">
        <f t="shared" si="166"/>
        <v>SAVE20</v>
      </c>
      <c r="P831" s="2" t="s">
        <v>2578</v>
      </c>
      <c r="Q831" s="19">
        <f t="shared" si="167"/>
        <v>2</v>
      </c>
      <c r="R831" s="2" t="str">
        <f t="shared" si="168"/>
        <v>Number</v>
      </c>
      <c r="S831" s="2">
        <v>7.99</v>
      </c>
      <c r="T831" s="19">
        <f t="shared" si="169"/>
        <v>7.99</v>
      </c>
      <c r="U831" s="2">
        <v>15.98</v>
      </c>
      <c r="V831" s="19">
        <f t="shared" si="170"/>
        <v>15.98</v>
      </c>
      <c r="W831" s="19">
        <f t="shared" si="171"/>
        <v>15.98</v>
      </c>
      <c r="X831" s="19" t="str">
        <f t="shared" si="172"/>
        <v>True</v>
      </c>
      <c r="Y831" s="19" t="str">
        <f>IF(OR(W831&lt;'Cleaning Tasks'!$G$18,W831&gt;'Cleaning Tasks'!$H$18),"Outlier","Normal")</f>
        <v>Normal</v>
      </c>
      <c r="Z831" s="2" t="s">
        <v>26</v>
      </c>
      <c r="AA831" s="2" t="s">
        <v>27</v>
      </c>
      <c r="AB831" s="2" t="s">
        <v>96</v>
      </c>
      <c r="AC831" s="2" t="s">
        <v>29</v>
      </c>
      <c r="AD831" s="2" t="s">
        <v>30</v>
      </c>
      <c r="AE831" s="2" t="str">
        <f t="shared" si="173"/>
        <v>Valid</v>
      </c>
      <c r="AF831" s="2" t="s">
        <v>2579</v>
      </c>
    </row>
    <row r="832" spans="1:32" x14ac:dyDescent="0.3">
      <c r="A832" s="2" t="s">
        <v>2580</v>
      </c>
      <c r="B832" s="2">
        <f t="shared" si="163"/>
        <v>1</v>
      </c>
      <c r="C832" s="12">
        <f t="shared" si="175"/>
        <v>46238.584610983788</v>
      </c>
      <c r="D832" s="13">
        <v>46238.584610983788</v>
      </c>
      <c r="E832" s="2" t="s">
        <v>1523</v>
      </c>
      <c r="F832" s="2" t="str">
        <f t="shared" si="164"/>
        <v>Email Available</v>
      </c>
      <c r="G832" s="2" t="s">
        <v>1524</v>
      </c>
      <c r="H832" s="2" t="s">
        <v>78</v>
      </c>
      <c r="I832" s="2" t="s">
        <v>79</v>
      </c>
      <c r="J832" s="2" t="s">
        <v>80</v>
      </c>
      <c r="K832" s="2">
        <v>2</v>
      </c>
      <c r="L832" s="2">
        <v>89.99</v>
      </c>
      <c r="M832" s="19">
        <f t="shared" si="165"/>
        <v>89.99</v>
      </c>
      <c r="N832" s="2"/>
      <c r="O832" s="2" t="str">
        <f t="shared" si="166"/>
        <v/>
      </c>
      <c r="P832" s="2">
        <v>0</v>
      </c>
      <c r="Q832" s="19">
        <f t="shared" si="167"/>
        <v>0</v>
      </c>
      <c r="R832" s="2" t="str">
        <f t="shared" si="168"/>
        <v>Number</v>
      </c>
      <c r="S832" s="2">
        <v>0</v>
      </c>
      <c r="T832" s="19">
        <f t="shared" si="169"/>
        <v>0</v>
      </c>
      <c r="U832" s="2">
        <v>179.98</v>
      </c>
      <c r="V832" s="19">
        <f t="shared" si="170"/>
        <v>179.98</v>
      </c>
      <c r="W832" s="19">
        <f t="shared" si="171"/>
        <v>179.98</v>
      </c>
      <c r="X832" s="19" t="str">
        <f t="shared" si="172"/>
        <v>True</v>
      </c>
      <c r="Y832" s="19" t="str">
        <f>IF(OR(W832&lt;'Cleaning Tasks'!$G$18,W832&gt;'Cleaning Tasks'!$H$18),"Outlier","Normal")</f>
        <v>Outlier</v>
      </c>
      <c r="Z832" s="2" t="s">
        <v>72</v>
      </c>
      <c r="AA832" s="2" t="s">
        <v>27</v>
      </c>
      <c r="AB832" s="2" t="s">
        <v>50</v>
      </c>
      <c r="AC832" s="2" t="s">
        <v>29</v>
      </c>
      <c r="AD832" s="22" t="s">
        <v>58</v>
      </c>
      <c r="AE832" s="2" t="str">
        <f t="shared" si="173"/>
        <v>Valid</v>
      </c>
      <c r="AF832" s="2" t="s">
        <v>2581</v>
      </c>
    </row>
    <row r="833" spans="1:32" x14ac:dyDescent="0.3">
      <c r="A833" s="2" t="s">
        <v>2582</v>
      </c>
      <c r="B833" s="2">
        <f t="shared" si="163"/>
        <v>1</v>
      </c>
      <c r="C833" s="12">
        <f t="shared" si="175"/>
        <v>46238.57986002315</v>
      </c>
      <c r="D833" s="13">
        <v>46238.57986002315</v>
      </c>
      <c r="E833" s="2" t="s">
        <v>915</v>
      </c>
      <c r="F833" s="2" t="str">
        <f t="shared" si="164"/>
        <v>Email Available</v>
      </c>
      <c r="G833" s="2" t="s">
        <v>916</v>
      </c>
      <c r="H833" s="2" t="s">
        <v>166</v>
      </c>
      <c r="I833" s="2" t="s">
        <v>103</v>
      </c>
      <c r="J833" s="2" t="s">
        <v>167</v>
      </c>
      <c r="K833" s="2">
        <v>2</v>
      </c>
      <c r="L833" s="2">
        <v>32.99</v>
      </c>
      <c r="M833" s="19">
        <f t="shared" si="165"/>
        <v>32.99</v>
      </c>
      <c r="N833" s="2"/>
      <c r="O833" s="2" t="str">
        <f t="shared" si="166"/>
        <v/>
      </c>
      <c r="P833" s="2">
        <v>0</v>
      </c>
      <c r="Q833" s="19">
        <f t="shared" si="167"/>
        <v>0</v>
      </c>
      <c r="R833" s="2" t="str">
        <f t="shared" si="168"/>
        <v>Number</v>
      </c>
      <c r="S833" s="2">
        <v>7.99</v>
      </c>
      <c r="T833" s="19">
        <f t="shared" si="169"/>
        <v>7.99</v>
      </c>
      <c r="U833" s="2">
        <v>73.97</v>
      </c>
      <c r="V833" s="19">
        <f t="shared" si="170"/>
        <v>73.97</v>
      </c>
      <c r="W833" s="19">
        <f t="shared" si="171"/>
        <v>73.97</v>
      </c>
      <c r="X833" s="19" t="str">
        <f t="shared" si="172"/>
        <v>True</v>
      </c>
      <c r="Y833" s="19" t="str">
        <f>IF(OR(W833&lt;'Cleaning Tasks'!$G$18,W833&gt;'Cleaning Tasks'!$H$18),"Outlier","Normal")</f>
        <v>Normal</v>
      </c>
      <c r="Z833" s="2" t="s">
        <v>72</v>
      </c>
      <c r="AA833" s="2" t="s">
        <v>27</v>
      </c>
      <c r="AB833" s="2" t="s">
        <v>50</v>
      </c>
      <c r="AC833" s="2" t="s">
        <v>29</v>
      </c>
      <c r="AD833" s="2" t="s">
        <v>89</v>
      </c>
      <c r="AE833" s="2" t="str">
        <f t="shared" si="173"/>
        <v>Valid</v>
      </c>
      <c r="AF833" s="2" t="s">
        <v>2583</v>
      </c>
    </row>
    <row r="834" spans="1:32" x14ac:dyDescent="0.3">
      <c r="A834" s="2" t="s">
        <v>2584</v>
      </c>
      <c r="B834" s="2">
        <f t="shared" ref="B834:B897" si="176">COUNTIF($A$2:$A$1993,A834)</f>
        <v>1</v>
      </c>
      <c r="C834" s="12">
        <f t="shared" si="175"/>
        <v>46238.579249861112</v>
      </c>
      <c r="D834" s="13">
        <v>46238.579249861112</v>
      </c>
      <c r="E834" s="2" t="s">
        <v>1302</v>
      </c>
      <c r="F834" s="2" t="str">
        <f t="shared" ref="F834:F897" si="177">IF(TRIM(G834)="","Missing Email","Email Available")</f>
        <v>Email Available</v>
      </c>
      <c r="G834" s="2" t="s">
        <v>1303</v>
      </c>
      <c r="H834" s="2" t="s">
        <v>261</v>
      </c>
      <c r="I834" s="2" t="s">
        <v>36</v>
      </c>
      <c r="J834" s="2" t="s">
        <v>262</v>
      </c>
      <c r="K834" s="2">
        <v>1</v>
      </c>
      <c r="L834" s="2">
        <v>15.49</v>
      </c>
      <c r="M834" s="19">
        <f t="shared" ref="M834:M897" si="178">IF(ISNUMBER(L834),L834,VALUE(SUBSTITUTE(L834,"$","")))</f>
        <v>15.49</v>
      </c>
      <c r="N834" s="2" t="s">
        <v>38</v>
      </c>
      <c r="O834" s="2" t="str">
        <f t="shared" ref="O834:O897" si="179">IF(TRIM(N834)="","",UPPER(TRIM(SUBSTITUTE(N834,CHAR(160)," "))))</f>
        <v>FREESHIP</v>
      </c>
      <c r="P834" s="2">
        <v>0</v>
      </c>
      <c r="Q834" s="19">
        <f t="shared" ref="Q834:Q897" si="180">IF(ISNUMBER(P834),P834,VALUE(TRIM(SUBSTITUTE(P834,"$",""))))</f>
        <v>0</v>
      </c>
      <c r="R834" s="2" t="str">
        <f t="shared" ref="R834:R897" si="181">IF(ISNUMBER(Q834),"Number","Text")</f>
        <v>Number</v>
      </c>
      <c r="S834" s="2">
        <v>0</v>
      </c>
      <c r="T834" s="19">
        <f t="shared" ref="T834:T897" si="182">IF(ISNUMBER(S834),S834,VALUE(TRIM(SUBSTITUTE(S834,"$",""))))</f>
        <v>0</v>
      </c>
      <c r="U834" s="2">
        <v>15.49</v>
      </c>
      <c r="V834" s="19">
        <f t="shared" ref="V834:V897" si="183">IF(ISNUMBER(U834),U834,VALUE(TRIM(SUBSTITUTE(U834,"$",""))))</f>
        <v>15.49</v>
      </c>
      <c r="W834" s="19">
        <f t="shared" ref="W834:W897" si="184">((M834*K834)-Q834)+T834</f>
        <v>15.49</v>
      </c>
      <c r="X834" s="19" t="str">
        <f t="shared" ref="X834:X897" si="185">IF(V834=W834,"True","False")</f>
        <v>True</v>
      </c>
      <c r="Y834" s="19" t="str">
        <f>IF(OR(W834&lt;'Cleaning Tasks'!$G$18,W834&gt;'Cleaning Tasks'!$H$18),"Outlier","Normal")</f>
        <v>Normal</v>
      </c>
      <c r="Z834" s="2" t="s">
        <v>49</v>
      </c>
      <c r="AA834" s="2" t="s">
        <v>111</v>
      </c>
      <c r="AB834" s="2" t="s">
        <v>50</v>
      </c>
      <c r="AC834" s="2" t="s">
        <v>29</v>
      </c>
      <c r="AD834" s="22" t="s">
        <v>58</v>
      </c>
      <c r="AE834" s="2" t="str">
        <f t="shared" ref="AE834:AE897" si="186">IF(AND(AC834="United States",AD834=""),"Missing state",IF(AD834="","Not Required","Valid"))</f>
        <v>Valid</v>
      </c>
      <c r="AF834" s="2" t="s">
        <v>2585</v>
      </c>
    </row>
    <row r="835" spans="1:32" x14ac:dyDescent="0.3">
      <c r="A835" s="2" t="s">
        <v>2586</v>
      </c>
      <c r="B835" s="2">
        <f t="shared" si="176"/>
        <v>1</v>
      </c>
      <c r="C835" s="12">
        <f t="shared" si="175"/>
        <v>46238.588015439818</v>
      </c>
      <c r="D835" s="13">
        <v>46238.588015439818</v>
      </c>
      <c r="E835" s="2" t="s">
        <v>489</v>
      </c>
      <c r="F835" s="2" t="str">
        <f t="shared" si="177"/>
        <v>Email Available</v>
      </c>
      <c r="G835" s="2" t="s">
        <v>490</v>
      </c>
      <c r="H835" s="2" t="s">
        <v>102</v>
      </c>
      <c r="I835" s="2" t="s">
        <v>103</v>
      </c>
      <c r="J835" s="2" t="s">
        <v>104</v>
      </c>
      <c r="K835" s="2">
        <v>4</v>
      </c>
      <c r="L835" s="2">
        <v>19.989999999999998</v>
      </c>
      <c r="M835" s="19">
        <f t="shared" si="178"/>
        <v>19.989999999999998</v>
      </c>
      <c r="N835" s="2"/>
      <c r="O835" s="2" t="str">
        <f t="shared" si="179"/>
        <v/>
      </c>
      <c r="P835" s="2">
        <v>0</v>
      </c>
      <c r="Q835" s="19">
        <f t="shared" si="180"/>
        <v>0</v>
      </c>
      <c r="R835" s="2" t="str">
        <f t="shared" si="181"/>
        <v>Number</v>
      </c>
      <c r="S835" s="2">
        <v>0</v>
      </c>
      <c r="T835" s="19">
        <f t="shared" si="182"/>
        <v>0</v>
      </c>
      <c r="U835" s="2">
        <v>79.959999999999994</v>
      </c>
      <c r="V835" s="19">
        <f t="shared" si="183"/>
        <v>79.959999999999994</v>
      </c>
      <c r="W835" s="19">
        <f t="shared" si="184"/>
        <v>79.959999999999994</v>
      </c>
      <c r="X835" s="19" t="str">
        <f t="shared" si="185"/>
        <v>True</v>
      </c>
      <c r="Y835" s="19" t="str">
        <f>IF(OR(W835&lt;'Cleaning Tasks'!$G$18,W835&gt;'Cleaning Tasks'!$H$18),"Outlier","Normal")</f>
        <v>Normal</v>
      </c>
      <c r="Z835" s="2" t="s">
        <v>72</v>
      </c>
      <c r="AA835" s="2" t="s">
        <v>40</v>
      </c>
      <c r="AB835" s="2" t="s">
        <v>50</v>
      </c>
      <c r="AC835" s="2" t="s">
        <v>29</v>
      </c>
      <c r="AD835" s="22" t="s">
        <v>140</v>
      </c>
      <c r="AE835" s="2" t="str">
        <f t="shared" si="186"/>
        <v>Valid</v>
      </c>
      <c r="AF835" s="2" t="s">
        <v>2587</v>
      </c>
    </row>
    <row r="836" spans="1:32" x14ac:dyDescent="0.3">
      <c r="A836" s="2" t="s">
        <v>2588</v>
      </c>
      <c r="B836" s="2">
        <f t="shared" si="176"/>
        <v>1</v>
      </c>
      <c r="C836" s="12">
        <f t="shared" si="175"/>
        <v>46238.579765150462</v>
      </c>
      <c r="D836" s="13">
        <v>46238.579765150462</v>
      </c>
      <c r="E836" s="2" t="s">
        <v>241</v>
      </c>
      <c r="F836" s="2" t="str">
        <f t="shared" si="177"/>
        <v>Email Available</v>
      </c>
      <c r="G836" s="2" t="s">
        <v>242</v>
      </c>
      <c r="H836" s="2" t="s">
        <v>46</v>
      </c>
      <c r="I836" s="2" t="s">
        <v>47</v>
      </c>
      <c r="J836" s="2" t="s">
        <v>48</v>
      </c>
      <c r="K836" s="2">
        <v>1</v>
      </c>
      <c r="L836" s="2">
        <v>39.99</v>
      </c>
      <c r="M836" s="19">
        <f t="shared" si="178"/>
        <v>39.99</v>
      </c>
      <c r="N836" s="2" t="s">
        <v>118</v>
      </c>
      <c r="O836" s="2" t="str">
        <f t="shared" si="179"/>
        <v>BFCM25</v>
      </c>
      <c r="P836" s="2">
        <v>10</v>
      </c>
      <c r="Q836" s="19">
        <f t="shared" si="180"/>
        <v>10</v>
      </c>
      <c r="R836" s="2" t="str">
        <f t="shared" si="181"/>
        <v>Number</v>
      </c>
      <c r="S836" s="2">
        <v>7.99</v>
      </c>
      <c r="T836" s="19">
        <f t="shared" si="182"/>
        <v>7.99</v>
      </c>
      <c r="U836" s="2">
        <v>37.979999999999997</v>
      </c>
      <c r="V836" s="19">
        <f t="shared" si="183"/>
        <v>37.979999999999997</v>
      </c>
      <c r="W836" s="19">
        <f t="shared" si="184"/>
        <v>37.980000000000004</v>
      </c>
      <c r="X836" s="19" t="str">
        <f t="shared" si="185"/>
        <v>True</v>
      </c>
      <c r="Y836" s="19" t="str">
        <f>IF(OR(W836&lt;'Cleaning Tasks'!$G$18,W836&gt;'Cleaning Tasks'!$H$18),"Outlier","Normal")</f>
        <v>Normal</v>
      </c>
      <c r="Z836" s="2" t="s">
        <v>49</v>
      </c>
      <c r="AA836" s="2" t="s">
        <v>111</v>
      </c>
      <c r="AB836" s="2" t="s">
        <v>50</v>
      </c>
      <c r="AC836" s="2" t="s">
        <v>29</v>
      </c>
      <c r="AD836" s="2" t="s">
        <v>30</v>
      </c>
      <c r="AE836" s="2" t="str">
        <f t="shared" si="186"/>
        <v>Valid</v>
      </c>
      <c r="AF836" s="2" t="s">
        <v>2589</v>
      </c>
    </row>
    <row r="837" spans="1:32" x14ac:dyDescent="0.3">
      <c r="A837" s="2" t="s">
        <v>2590</v>
      </c>
      <c r="B837" s="2">
        <f t="shared" si="176"/>
        <v>1</v>
      </c>
      <c r="C837" s="12">
        <f t="shared" si="175"/>
        <v>46238.585776423613</v>
      </c>
      <c r="D837" s="13">
        <v>46238.585776423613</v>
      </c>
      <c r="E837" s="2" t="s">
        <v>1989</v>
      </c>
      <c r="F837" s="2" t="str">
        <f t="shared" si="177"/>
        <v>Email Available</v>
      </c>
      <c r="G837" s="2" t="s">
        <v>1990</v>
      </c>
      <c r="H837" s="2" t="s">
        <v>182</v>
      </c>
      <c r="I837" s="2" t="s">
        <v>36</v>
      </c>
      <c r="J837" s="2" t="s">
        <v>183</v>
      </c>
      <c r="K837" s="2">
        <v>2</v>
      </c>
      <c r="L837" s="2">
        <v>11.99</v>
      </c>
      <c r="M837" s="19">
        <f t="shared" si="178"/>
        <v>11.99</v>
      </c>
      <c r="N837" s="2"/>
      <c r="O837" s="2" t="str">
        <f t="shared" si="179"/>
        <v/>
      </c>
      <c r="P837" s="2">
        <v>0</v>
      </c>
      <c r="Q837" s="19">
        <f t="shared" si="180"/>
        <v>0</v>
      </c>
      <c r="R837" s="2" t="str">
        <f t="shared" si="181"/>
        <v>Number</v>
      </c>
      <c r="S837" s="2">
        <v>4.99</v>
      </c>
      <c r="T837" s="19">
        <f t="shared" si="182"/>
        <v>4.99</v>
      </c>
      <c r="U837" s="2">
        <v>28.97</v>
      </c>
      <c r="V837" s="19">
        <f t="shared" si="183"/>
        <v>28.97</v>
      </c>
      <c r="W837" s="19">
        <f t="shared" si="184"/>
        <v>28.97</v>
      </c>
      <c r="X837" s="19" t="str">
        <f t="shared" si="185"/>
        <v>True</v>
      </c>
      <c r="Y837" s="19" t="str">
        <f>IF(OR(W837&lt;'Cleaning Tasks'!$G$18,W837&gt;'Cleaning Tasks'!$H$18),"Outlier","Normal")</f>
        <v>Normal</v>
      </c>
      <c r="Z837" s="2" t="s">
        <v>49</v>
      </c>
      <c r="AA837" s="2" t="s">
        <v>40</v>
      </c>
      <c r="AB837" s="2" t="s">
        <v>50</v>
      </c>
      <c r="AC837" s="2" t="s">
        <v>223</v>
      </c>
      <c r="AD837" s="2"/>
      <c r="AE837" s="2" t="str">
        <f t="shared" si="186"/>
        <v>Not Required</v>
      </c>
      <c r="AF837" s="2" t="s">
        <v>2591</v>
      </c>
    </row>
    <row r="838" spans="1:32" x14ac:dyDescent="0.3">
      <c r="A838" s="2" t="s">
        <v>2592</v>
      </c>
      <c r="B838" s="2">
        <f t="shared" si="176"/>
        <v>1</v>
      </c>
      <c r="C838" s="12">
        <f t="shared" si="175"/>
        <v>46238.583636423609</v>
      </c>
      <c r="D838" s="13">
        <v>46238.583636423609</v>
      </c>
      <c r="E838" s="2" t="s">
        <v>1099</v>
      </c>
      <c r="F838" s="2" t="str">
        <f t="shared" si="177"/>
        <v>Email Available</v>
      </c>
      <c r="G838" s="2" t="s">
        <v>1100</v>
      </c>
      <c r="H838" s="2" t="s">
        <v>117</v>
      </c>
      <c r="I838" s="2" t="s">
        <v>22</v>
      </c>
      <c r="J838" s="2" t="s">
        <v>23</v>
      </c>
      <c r="K838" s="2">
        <v>1</v>
      </c>
      <c r="L838" s="2">
        <v>12.99</v>
      </c>
      <c r="M838" s="19">
        <f t="shared" si="178"/>
        <v>12.99</v>
      </c>
      <c r="N838" s="2"/>
      <c r="O838" s="2" t="str">
        <f t="shared" si="179"/>
        <v/>
      </c>
      <c r="P838" s="2">
        <v>0</v>
      </c>
      <c r="Q838" s="19">
        <f t="shared" si="180"/>
        <v>0</v>
      </c>
      <c r="R838" s="2" t="str">
        <f t="shared" si="181"/>
        <v>Number</v>
      </c>
      <c r="S838" s="2">
        <v>7.99</v>
      </c>
      <c r="T838" s="19">
        <f t="shared" si="182"/>
        <v>7.99</v>
      </c>
      <c r="U838" s="2">
        <v>20.98</v>
      </c>
      <c r="V838" s="19">
        <f t="shared" si="183"/>
        <v>20.98</v>
      </c>
      <c r="W838" s="19">
        <f t="shared" si="184"/>
        <v>20.98</v>
      </c>
      <c r="X838" s="19" t="str">
        <f t="shared" si="185"/>
        <v>True</v>
      </c>
      <c r="Y838" s="19" t="str">
        <f>IF(OR(W838&lt;'Cleaning Tasks'!$G$18,W838&gt;'Cleaning Tasks'!$H$18),"Outlier","Normal")</f>
        <v>Normal</v>
      </c>
      <c r="Z838" s="2" t="s">
        <v>49</v>
      </c>
      <c r="AA838" s="2" t="s">
        <v>27</v>
      </c>
      <c r="AB838" s="2" t="s">
        <v>28</v>
      </c>
      <c r="AC838" s="2" t="s">
        <v>29</v>
      </c>
      <c r="AD838" s="2" t="s">
        <v>89</v>
      </c>
      <c r="AE838" s="2" t="str">
        <f t="shared" si="186"/>
        <v>Valid</v>
      </c>
      <c r="AF838" s="2" t="s">
        <v>2593</v>
      </c>
    </row>
    <row r="839" spans="1:32" x14ac:dyDescent="0.3">
      <c r="A839" s="2" t="s">
        <v>2594</v>
      </c>
      <c r="B839" s="2">
        <f t="shared" si="176"/>
        <v>1</v>
      </c>
      <c r="C839" s="12">
        <f t="shared" si="175"/>
        <v>46238.581315150463</v>
      </c>
      <c r="D839" s="13">
        <v>46238.581315150463</v>
      </c>
      <c r="E839" s="2" t="s">
        <v>485</v>
      </c>
      <c r="F839" s="2" t="str">
        <f t="shared" si="177"/>
        <v>Email Available</v>
      </c>
      <c r="G839" s="2" t="s">
        <v>486</v>
      </c>
      <c r="H839" s="2" t="s">
        <v>221</v>
      </c>
      <c r="I839" s="2" t="s">
        <v>22</v>
      </c>
      <c r="J839" s="2" t="s">
        <v>222</v>
      </c>
      <c r="K839" s="2">
        <v>2</v>
      </c>
      <c r="L839" s="2">
        <v>17.989999999999998</v>
      </c>
      <c r="M839" s="19">
        <f t="shared" si="178"/>
        <v>17.989999999999998</v>
      </c>
      <c r="N839" s="2" t="s">
        <v>118</v>
      </c>
      <c r="O839" s="2" t="str">
        <f t="shared" si="179"/>
        <v>BFCM25</v>
      </c>
      <c r="P839" s="2">
        <v>8.99</v>
      </c>
      <c r="Q839" s="19">
        <f t="shared" si="180"/>
        <v>8.99</v>
      </c>
      <c r="R839" s="2" t="str">
        <f t="shared" si="181"/>
        <v>Number</v>
      </c>
      <c r="S839" s="2">
        <v>4.99</v>
      </c>
      <c r="T839" s="19">
        <f t="shared" si="182"/>
        <v>4.99</v>
      </c>
      <c r="U839" s="2" t="s">
        <v>2595</v>
      </c>
      <c r="V839" s="19">
        <f t="shared" si="183"/>
        <v>31.98</v>
      </c>
      <c r="W839" s="19">
        <f t="shared" si="184"/>
        <v>31.979999999999997</v>
      </c>
      <c r="X839" s="19" t="str">
        <f t="shared" si="185"/>
        <v>True</v>
      </c>
      <c r="Y839" s="19" t="str">
        <f>IF(OR(W839&lt;'Cleaning Tasks'!$G$18,W839&gt;'Cleaning Tasks'!$H$18),"Outlier","Normal")</f>
        <v>Normal</v>
      </c>
      <c r="Z839" s="2" t="s">
        <v>66</v>
      </c>
      <c r="AA839" s="2" t="s">
        <v>40</v>
      </c>
      <c r="AB839" s="2" t="s">
        <v>50</v>
      </c>
      <c r="AC839" s="2" t="s">
        <v>73</v>
      </c>
      <c r="AD839" s="2"/>
      <c r="AE839" s="2" t="str">
        <f t="shared" si="186"/>
        <v>Not Required</v>
      </c>
      <c r="AF839" s="2" t="s">
        <v>2596</v>
      </c>
    </row>
    <row r="840" spans="1:32" x14ac:dyDescent="0.3">
      <c r="A840" s="2" t="s">
        <v>2597</v>
      </c>
      <c r="B840" s="2">
        <f t="shared" si="176"/>
        <v>1</v>
      </c>
      <c r="C840" s="12">
        <f t="shared" si="175"/>
        <v>46238</v>
      </c>
      <c r="D840" s="13" t="s">
        <v>1147</v>
      </c>
      <c r="E840" s="2" t="s">
        <v>1515</v>
      </c>
      <c r="F840" s="2" t="str">
        <f t="shared" si="177"/>
        <v>Email Available</v>
      </c>
      <c r="G840" s="2" t="s">
        <v>1516</v>
      </c>
      <c r="H840" s="2" t="s">
        <v>361</v>
      </c>
      <c r="I840" s="2" t="s">
        <v>86</v>
      </c>
      <c r="J840" s="2" t="s">
        <v>362</v>
      </c>
      <c r="K840" s="2">
        <v>1</v>
      </c>
      <c r="L840" s="2">
        <v>54.99</v>
      </c>
      <c r="M840" s="19">
        <f t="shared" si="178"/>
        <v>54.99</v>
      </c>
      <c r="N840" s="2"/>
      <c r="O840" s="2" t="str">
        <f t="shared" si="179"/>
        <v/>
      </c>
      <c r="P840" s="2" t="s">
        <v>184</v>
      </c>
      <c r="Q840" s="19">
        <f t="shared" si="180"/>
        <v>0</v>
      </c>
      <c r="R840" s="2" t="str">
        <f t="shared" si="181"/>
        <v>Number</v>
      </c>
      <c r="S840" s="2">
        <v>4.99</v>
      </c>
      <c r="T840" s="19">
        <f t="shared" si="182"/>
        <v>4.99</v>
      </c>
      <c r="U840" s="2">
        <v>59.98</v>
      </c>
      <c r="V840" s="19">
        <f t="shared" si="183"/>
        <v>59.98</v>
      </c>
      <c r="W840" s="19">
        <f t="shared" si="184"/>
        <v>59.980000000000004</v>
      </c>
      <c r="X840" s="19" t="str">
        <f t="shared" si="185"/>
        <v>True</v>
      </c>
      <c r="Y840" s="19" t="str">
        <f>IF(OR(W840&lt;'Cleaning Tasks'!$G$18,W840&gt;'Cleaning Tasks'!$H$18),"Outlier","Normal")</f>
        <v>Normal</v>
      </c>
      <c r="Z840" s="2" t="s">
        <v>66</v>
      </c>
      <c r="AA840" s="2" t="s">
        <v>27</v>
      </c>
      <c r="AB840" s="2" t="s">
        <v>50</v>
      </c>
      <c r="AC840" s="2" t="s">
        <v>73</v>
      </c>
      <c r="AD840" s="2"/>
      <c r="AE840" s="2" t="str">
        <f t="shared" si="186"/>
        <v>Not Required</v>
      </c>
      <c r="AF840" s="2" t="s">
        <v>2598</v>
      </c>
    </row>
    <row r="841" spans="1:32" x14ac:dyDescent="0.3">
      <c r="A841" s="2" t="s">
        <v>2599</v>
      </c>
      <c r="B841" s="2">
        <f t="shared" si="176"/>
        <v>1</v>
      </c>
      <c r="C841" s="12">
        <f t="shared" si="175"/>
        <v>46238.587663877312</v>
      </c>
      <c r="D841" s="13">
        <v>46238.587663877312</v>
      </c>
      <c r="E841" s="2" t="s">
        <v>815</v>
      </c>
      <c r="F841" s="2" t="str">
        <f t="shared" si="177"/>
        <v>Email Available</v>
      </c>
      <c r="G841" s="2" t="s">
        <v>816</v>
      </c>
      <c r="H841" s="2" t="s">
        <v>361</v>
      </c>
      <c r="I841" s="2" t="s">
        <v>86</v>
      </c>
      <c r="J841" s="2" t="s">
        <v>362</v>
      </c>
      <c r="K841" s="2">
        <v>1</v>
      </c>
      <c r="L841" s="2">
        <v>54.99</v>
      </c>
      <c r="M841" s="19">
        <f t="shared" si="178"/>
        <v>54.99</v>
      </c>
      <c r="N841" s="2" t="s">
        <v>24</v>
      </c>
      <c r="O841" s="2" t="str">
        <f t="shared" si="179"/>
        <v>SAVE20</v>
      </c>
      <c r="P841" s="2">
        <v>11</v>
      </c>
      <c r="Q841" s="19">
        <f t="shared" si="180"/>
        <v>11</v>
      </c>
      <c r="R841" s="2" t="str">
        <f t="shared" si="181"/>
        <v>Number</v>
      </c>
      <c r="S841" s="2">
        <v>4.99</v>
      </c>
      <c r="T841" s="19">
        <f t="shared" si="182"/>
        <v>4.99</v>
      </c>
      <c r="U841" s="2">
        <v>48.98</v>
      </c>
      <c r="V841" s="19">
        <f t="shared" si="183"/>
        <v>48.98</v>
      </c>
      <c r="W841" s="19">
        <f t="shared" si="184"/>
        <v>48.980000000000004</v>
      </c>
      <c r="X841" s="19" t="str">
        <f t="shared" si="185"/>
        <v>True</v>
      </c>
      <c r="Y841" s="19" t="str">
        <f>IF(OR(W841&lt;'Cleaning Tasks'!$G$18,W841&gt;'Cleaning Tasks'!$H$18),"Outlier","Normal")</f>
        <v>Normal</v>
      </c>
      <c r="Z841" s="2" t="s">
        <v>66</v>
      </c>
      <c r="AA841" s="2" t="s">
        <v>111</v>
      </c>
      <c r="AB841" s="2" t="s">
        <v>50</v>
      </c>
      <c r="AC841" s="2" t="s">
        <v>73</v>
      </c>
      <c r="AD841" s="2"/>
      <c r="AE841" s="2" t="str">
        <f t="shared" si="186"/>
        <v>Not Required</v>
      </c>
      <c r="AF841" s="2" t="s">
        <v>2600</v>
      </c>
    </row>
    <row r="842" spans="1:32" x14ac:dyDescent="0.3">
      <c r="A842" s="2" t="s">
        <v>2601</v>
      </c>
      <c r="B842" s="2">
        <f t="shared" si="176"/>
        <v>1</v>
      </c>
      <c r="C842" s="12">
        <f t="shared" si="175"/>
        <v>46238.585405231483</v>
      </c>
      <c r="D842" s="13">
        <v>46238.585405231483</v>
      </c>
      <c r="E842" s="2" t="s">
        <v>251</v>
      </c>
      <c r="F842" s="2" t="str">
        <f t="shared" si="177"/>
        <v>Email Available</v>
      </c>
      <c r="G842" s="2" t="s">
        <v>344</v>
      </c>
      <c r="H842" s="2" t="s">
        <v>361</v>
      </c>
      <c r="I842" s="2" t="s">
        <v>86</v>
      </c>
      <c r="J842" s="2" t="s">
        <v>362</v>
      </c>
      <c r="K842" s="2">
        <v>1</v>
      </c>
      <c r="L842" s="2">
        <v>54.99</v>
      </c>
      <c r="M842" s="19">
        <f t="shared" si="178"/>
        <v>54.99</v>
      </c>
      <c r="N842" s="2"/>
      <c r="O842" s="2" t="str">
        <f t="shared" si="179"/>
        <v/>
      </c>
      <c r="P842" s="2">
        <v>0</v>
      </c>
      <c r="Q842" s="19">
        <f t="shared" si="180"/>
        <v>0</v>
      </c>
      <c r="R842" s="2" t="str">
        <f t="shared" si="181"/>
        <v>Number</v>
      </c>
      <c r="S842" s="2">
        <v>5.99</v>
      </c>
      <c r="T842" s="19">
        <f t="shared" si="182"/>
        <v>5.99</v>
      </c>
      <c r="U842" s="2">
        <v>60.98</v>
      </c>
      <c r="V842" s="19">
        <f t="shared" si="183"/>
        <v>60.98</v>
      </c>
      <c r="W842" s="19">
        <f t="shared" si="184"/>
        <v>60.980000000000004</v>
      </c>
      <c r="X842" s="19" t="str">
        <f t="shared" si="185"/>
        <v>True</v>
      </c>
      <c r="Y842" s="19" t="str">
        <f>IF(OR(W842&lt;'Cleaning Tasks'!$G$18,W842&gt;'Cleaning Tasks'!$H$18),"Outlier","Normal")</f>
        <v>Normal</v>
      </c>
      <c r="Z842" s="2" t="s">
        <v>49</v>
      </c>
      <c r="AA842" s="2" t="s">
        <v>111</v>
      </c>
      <c r="AB842" s="2" t="s">
        <v>96</v>
      </c>
      <c r="AC842" s="2" t="s">
        <v>29</v>
      </c>
      <c r="AD842" s="2" t="s">
        <v>112</v>
      </c>
      <c r="AE842" s="2" t="str">
        <f t="shared" si="186"/>
        <v>Valid</v>
      </c>
      <c r="AF842" s="2" t="s">
        <v>2602</v>
      </c>
    </row>
    <row r="843" spans="1:32" x14ac:dyDescent="0.3">
      <c r="A843" s="2" t="s">
        <v>2603</v>
      </c>
      <c r="B843" s="2">
        <f t="shared" si="176"/>
        <v>1</v>
      </c>
      <c r="C843" s="12">
        <f t="shared" si="175"/>
        <v>46238.582596631953</v>
      </c>
      <c r="D843" s="13">
        <v>46238.582596631953</v>
      </c>
      <c r="E843" s="2" t="s">
        <v>2433</v>
      </c>
      <c r="F843" s="2" t="str">
        <f t="shared" si="177"/>
        <v>Email Available</v>
      </c>
      <c r="G843" s="2" t="s">
        <v>2434</v>
      </c>
      <c r="H843" s="2" t="s">
        <v>63</v>
      </c>
      <c r="I843" s="2" t="s">
        <v>47</v>
      </c>
      <c r="J843" s="2" t="s">
        <v>64</v>
      </c>
      <c r="K843" s="2">
        <v>2</v>
      </c>
      <c r="L843" s="2">
        <v>14.99</v>
      </c>
      <c r="M843" s="19">
        <f t="shared" si="178"/>
        <v>14.99</v>
      </c>
      <c r="N843" s="2"/>
      <c r="O843" s="2" t="str">
        <f t="shared" si="179"/>
        <v/>
      </c>
      <c r="P843" s="2">
        <v>0</v>
      </c>
      <c r="Q843" s="19">
        <f t="shared" si="180"/>
        <v>0</v>
      </c>
      <c r="R843" s="2" t="str">
        <f t="shared" si="181"/>
        <v>Number</v>
      </c>
      <c r="S843" s="2">
        <v>7.99</v>
      </c>
      <c r="T843" s="19">
        <f t="shared" si="182"/>
        <v>7.99</v>
      </c>
      <c r="U843" s="2">
        <v>37.97</v>
      </c>
      <c r="V843" s="19">
        <f t="shared" si="183"/>
        <v>37.97</v>
      </c>
      <c r="W843" s="19">
        <f t="shared" si="184"/>
        <v>37.97</v>
      </c>
      <c r="X843" s="19" t="str">
        <f t="shared" si="185"/>
        <v>True</v>
      </c>
      <c r="Y843" s="19" t="str">
        <f>IF(OR(W843&lt;'Cleaning Tasks'!$G$18,W843&gt;'Cleaning Tasks'!$H$18),"Outlier","Normal")</f>
        <v>Normal</v>
      </c>
      <c r="Z843" s="2" t="s">
        <v>66</v>
      </c>
      <c r="AA843" s="2" t="s">
        <v>40</v>
      </c>
      <c r="AB843" s="2" t="s">
        <v>41</v>
      </c>
      <c r="AC843" s="2" t="s">
        <v>42</v>
      </c>
      <c r="AD843" s="2"/>
      <c r="AE843" s="2" t="str">
        <f t="shared" si="186"/>
        <v>Not Required</v>
      </c>
      <c r="AF843" s="2" t="s">
        <v>2604</v>
      </c>
    </row>
    <row r="844" spans="1:32" x14ac:dyDescent="0.3">
      <c r="A844" s="2" t="s">
        <v>2605</v>
      </c>
      <c r="B844" s="2">
        <f t="shared" si="176"/>
        <v>1</v>
      </c>
      <c r="C844" s="12">
        <f t="shared" si="175"/>
        <v>46238.582140104169</v>
      </c>
      <c r="D844" s="13">
        <v>46238.582140104169</v>
      </c>
      <c r="E844" s="2" t="s">
        <v>1157</v>
      </c>
      <c r="F844" s="2" t="str">
        <f t="shared" si="177"/>
        <v>Email Available</v>
      </c>
      <c r="G844" s="2" t="s">
        <v>1158</v>
      </c>
      <c r="H844" s="2" t="s">
        <v>46</v>
      </c>
      <c r="I844" s="2" t="s">
        <v>47</v>
      </c>
      <c r="J844" s="2" t="s">
        <v>48</v>
      </c>
      <c r="K844" s="2">
        <v>2</v>
      </c>
      <c r="L844" s="2">
        <v>39.99</v>
      </c>
      <c r="M844" s="19">
        <f t="shared" si="178"/>
        <v>39.99</v>
      </c>
      <c r="N844" s="2"/>
      <c r="O844" s="2" t="str">
        <f t="shared" si="179"/>
        <v/>
      </c>
      <c r="P844" s="2">
        <v>0</v>
      </c>
      <c r="Q844" s="19">
        <f t="shared" si="180"/>
        <v>0</v>
      </c>
      <c r="R844" s="2" t="str">
        <f t="shared" si="181"/>
        <v>Number</v>
      </c>
      <c r="S844" s="2">
        <v>0</v>
      </c>
      <c r="T844" s="19">
        <f t="shared" si="182"/>
        <v>0</v>
      </c>
      <c r="U844" s="2">
        <v>79.98</v>
      </c>
      <c r="V844" s="19">
        <f t="shared" si="183"/>
        <v>79.98</v>
      </c>
      <c r="W844" s="19">
        <f t="shared" si="184"/>
        <v>79.98</v>
      </c>
      <c r="X844" s="19" t="str">
        <f t="shared" si="185"/>
        <v>True</v>
      </c>
      <c r="Y844" s="19" t="str">
        <f>IF(OR(W844&lt;'Cleaning Tasks'!$G$18,W844&gt;'Cleaning Tasks'!$H$18),"Outlier","Normal")</f>
        <v>Normal</v>
      </c>
      <c r="Z844" s="2" t="s">
        <v>72</v>
      </c>
      <c r="AA844" s="2" t="s">
        <v>111</v>
      </c>
      <c r="AB844" s="2" t="s">
        <v>28</v>
      </c>
      <c r="AC844" s="2" t="s">
        <v>42</v>
      </c>
      <c r="AD844" s="2"/>
      <c r="AE844" s="2" t="str">
        <f t="shared" si="186"/>
        <v>Not Required</v>
      </c>
      <c r="AF844" s="2" t="s">
        <v>2606</v>
      </c>
    </row>
    <row r="845" spans="1:32" x14ac:dyDescent="0.3">
      <c r="A845" s="2" t="s">
        <v>2607</v>
      </c>
      <c r="B845" s="2">
        <f t="shared" si="176"/>
        <v>1</v>
      </c>
      <c r="C845" s="12">
        <f t="shared" si="175"/>
        <v>46238.588409097218</v>
      </c>
      <c r="D845" s="13">
        <v>46238.588409097218</v>
      </c>
      <c r="E845" s="2" t="s">
        <v>172</v>
      </c>
      <c r="F845" s="2" t="str">
        <f t="shared" si="177"/>
        <v>Email Available</v>
      </c>
      <c r="G845" s="2" t="s">
        <v>173</v>
      </c>
      <c r="H845" s="2" t="s">
        <v>279</v>
      </c>
      <c r="I845" s="2" t="s">
        <v>22</v>
      </c>
      <c r="J845" s="2" t="s">
        <v>280</v>
      </c>
      <c r="K845" s="2">
        <v>1</v>
      </c>
      <c r="L845" s="2">
        <v>24.99</v>
      </c>
      <c r="M845" s="19">
        <f t="shared" si="178"/>
        <v>24.99</v>
      </c>
      <c r="N845" s="2" t="s">
        <v>65</v>
      </c>
      <c r="O845" s="2" t="str">
        <f t="shared" si="179"/>
        <v>WELCOME10</v>
      </c>
      <c r="P845" s="2">
        <v>2.5</v>
      </c>
      <c r="Q845" s="19">
        <f t="shared" si="180"/>
        <v>2.5</v>
      </c>
      <c r="R845" s="2" t="str">
        <f t="shared" si="181"/>
        <v>Number</v>
      </c>
      <c r="S845" s="2">
        <v>4.99</v>
      </c>
      <c r="T845" s="19">
        <f t="shared" si="182"/>
        <v>4.99</v>
      </c>
      <c r="U845" s="2">
        <v>27.48</v>
      </c>
      <c r="V845" s="19">
        <f t="shared" si="183"/>
        <v>27.48</v>
      </c>
      <c r="W845" s="19">
        <f t="shared" si="184"/>
        <v>27.479999999999997</v>
      </c>
      <c r="X845" s="19" t="str">
        <f t="shared" si="185"/>
        <v>True</v>
      </c>
      <c r="Y845" s="19" t="str">
        <f>IF(OR(W845&lt;'Cleaning Tasks'!$G$18,W845&gt;'Cleaning Tasks'!$H$18),"Outlier","Normal")</f>
        <v>Normal</v>
      </c>
      <c r="Z845" s="2" t="s">
        <v>72</v>
      </c>
      <c r="AA845" s="2" t="s">
        <v>88</v>
      </c>
      <c r="AB845" s="2" t="s">
        <v>50</v>
      </c>
      <c r="AC845" s="2" t="s">
        <v>29</v>
      </c>
      <c r="AD845" s="2" t="s">
        <v>341</v>
      </c>
      <c r="AE845" s="2" t="str">
        <f t="shared" si="186"/>
        <v>Valid</v>
      </c>
      <c r="AF845" s="2" t="s">
        <v>2608</v>
      </c>
    </row>
    <row r="846" spans="1:32" x14ac:dyDescent="0.3">
      <c r="A846" s="2" t="s">
        <v>2609</v>
      </c>
      <c r="B846" s="2">
        <f t="shared" si="176"/>
        <v>1</v>
      </c>
      <c r="C846" s="12">
        <f t="shared" si="175"/>
        <v>46238.581593553237</v>
      </c>
      <c r="D846" s="13">
        <v>46238.581593553237</v>
      </c>
      <c r="E846" s="2" t="s">
        <v>554</v>
      </c>
      <c r="F846" s="2" t="str">
        <f t="shared" si="177"/>
        <v>Email Available</v>
      </c>
      <c r="G846" s="2" t="s">
        <v>45</v>
      </c>
      <c r="H846" s="2" t="s">
        <v>236</v>
      </c>
      <c r="I846" s="2" t="s">
        <v>237</v>
      </c>
      <c r="J846" s="2" t="s">
        <v>238</v>
      </c>
      <c r="K846" s="2">
        <v>2</v>
      </c>
      <c r="L846" s="2">
        <v>27.99</v>
      </c>
      <c r="M846" s="19">
        <f t="shared" si="178"/>
        <v>27.99</v>
      </c>
      <c r="N846" s="2" t="s">
        <v>38</v>
      </c>
      <c r="O846" s="2" t="str">
        <f t="shared" si="179"/>
        <v>FREESHIP</v>
      </c>
      <c r="P846" s="2">
        <v>0</v>
      </c>
      <c r="Q846" s="19">
        <f t="shared" si="180"/>
        <v>0</v>
      </c>
      <c r="R846" s="2" t="str">
        <f t="shared" si="181"/>
        <v>Number</v>
      </c>
      <c r="S846" s="2">
        <v>0</v>
      </c>
      <c r="T846" s="19">
        <f t="shared" si="182"/>
        <v>0</v>
      </c>
      <c r="U846" s="2" t="s">
        <v>2610</v>
      </c>
      <c r="V846" s="19">
        <f t="shared" si="183"/>
        <v>55.98</v>
      </c>
      <c r="W846" s="19">
        <f t="shared" si="184"/>
        <v>55.98</v>
      </c>
      <c r="X846" s="19" t="str">
        <f t="shared" si="185"/>
        <v>True</v>
      </c>
      <c r="Y846" s="19" t="str">
        <f>IF(OR(W846&lt;'Cleaning Tasks'!$G$18,W846&gt;'Cleaning Tasks'!$H$18),"Outlier","Normal")</f>
        <v>Normal</v>
      </c>
      <c r="Z846" s="2" t="s">
        <v>26</v>
      </c>
      <c r="AA846" s="2" t="s">
        <v>40</v>
      </c>
      <c r="AB846" s="2" t="s">
        <v>50</v>
      </c>
      <c r="AC846" s="2" t="s">
        <v>29</v>
      </c>
      <c r="AD846" s="2" t="s">
        <v>243</v>
      </c>
      <c r="AE846" s="2" t="str">
        <f t="shared" si="186"/>
        <v>Valid</v>
      </c>
      <c r="AF846" s="2" t="s">
        <v>2611</v>
      </c>
    </row>
    <row r="847" spans="1:32" x14ac:dyDescent="0.3">
      <c r="A847" s="2" t="s">
        <v>2612</v>
      </c>
      <c r="B847" s="2">
        <f t="shared" si="176"/>
        <v>1</v>
      </c>
      <c r="C847" s="12">
        <f t="shared" si="175"/>
        <v>46238.580221157397</v>
      </c>
      <c r="D847" s="13">
        <v>46238.580221157397</v>
      </c>
      <c r="E847" s="2" t="s">
        <v>347</v>
      </c>
      <c r="F847" s="2" t="str">
        <f t="shared" si="177"/>
        <v>Email Available</v>
      </c>
      <c r="G847" s="2" t="s">
        <v>348</v>
      </c>
      <c r="H847" s="2" t="s">
        <v>56</v>
      </c>
      <c r="I847" s="2" t="s">
        <v>22</v>
      </c>
      <c r="J847" s="2" t="s">
        <v>57</v>
      </c>
      <c r="K847" s="2">
        <v>2</v>
      </c>
      <c r="L847" s="2">
        <v>9.99</v>
      </c>
      <c r="M847" s="19">
        <f t="shared" si="178"/>
        <v>9.99</v>
      </c>
      <c r="N847" s="2"/>
      <c r="O847" s="2" t="str">
        <f t="shared" si="179"/>
        <v/>
      </c>
      <c r="P847" s="2">
        <v>0</v>
      </c>
      <c r="Q847" s="19">
        <f t="shared" si="180"/>
        <v>0</v>
      </c>
      <c r="R847" s="2" t="str">
        <f t="shared" si="181"/>
        <v>Number</v>
      </c>
      <c r="S847" s="2">
        <v>4.99</v>
      </c>
      <c r="T847" s="19">
        <f t="shared" si="182"/>
        <v>4.99</v>
      </c>
      <c r="U847" s="2" t="s">
        <v>2613</v>
      </c>
      <c r="V847" s="19">
        <f t="shared" si="183"/>
        <v>24.97</v>
      </c>
      <c r="W847" s="19">
        <f t="shared" si="184"/>
        <v>24.97</v>
      </c>
      <c r="X847" s="19" t="str">
        <f t="shared" si="185"/>
        <v>True</v>
      </c>
      <c r="Y847" s="19" t="str">
        <f>IF(OR(W847&lt;'Cleaning Tasks'!$G$18,W847&gt;'Cleaning Tasks'!$H$18),"Outlier","Normal")</f>
        <v>Normal</v>
      </c>
      <c r="Z847" s="2" t="s">
        <v>66</v>
      </c>
      <c r="AA847" s="2" t="s">
        <v>111</v>
      </c>
      <c r="AB847" s="2" t="s">
        <v>50</v>
      </c>
      <c r="AC847" s="2" t="s">
        <v>223</v>
      </c>
      <c r="AD847" s="2"/>
      <c r="AE847" s="2" t="str">
        <f t="shared" si="186"/>
        <v>Not Required</v>
      </c>
      <c r="AF847" s="2" t="s">
        <v>2614</v>
      </c>
    </row>
    <row r="848" spans="1:32" x14ac:dyDescent="0.3">
      <c r="A848" s="2" t="s">
        <v>2615</v>
      </c>
      <c r="B848" s="2">
        <f t="shared" si="176"/>
        <v>1</v>
      </c>
      <c r="C848" s="12">
        <f t="shared" si="175"/>
        <v>46238.579932928238</v>
      </c>
      <c r="D848" s="13">
        <v>46238.579932928238</v>
      </c>
      <c r="E848" s="2" t="s">
        <v>473</v>
      </c>
      <c r="F848" s="2" t="str">
        <f t="shared" si="177"/>
        <v>Email Available</v>
      </c>
      <c r="G848" s="2" t="s">
        <v>474</v>
      </c>
      <c r="H848" s="2" t="s">
        <v>221</v>
      </c>
      <c r="I848" s="2" t="s">
        <v>22</v>
      </c>
      <c r="J848" s="2" t="s">
        <v>222</v>
      </c>
      <c r="K848" s="2">
        <v>2</v>
      </c>
      <c r="L848" s="2" t="s">
        <v>700</v>
      </c>
      <c r="M848" s="19">
        <f t="shared" si="178"/>
        <v>17.989999999999998</v>
      </c>
      <c r="N848" s="2"/>
      <c r="O848" s="2" t="str">
        <f t="shared" si="179"/>
        <v/>
      </c>
      <c r="P848" s="2">
        <v>0</v>
      </c>
      <c r="Q848" s="19">
        <f t="shared" si="180"/>
        <v>0</v>
      </c>
      <c r="R848" s="2" t="str">
        <f t="shared" si="181"/>
        <v>Number</v>
      </c>
      <c r="S848" s="2">
        <v>7.99</v>
      </c>
      <c r="T848" s="19">
        <f t="shared" si="182"/>
        <v>7.99</v>
      </c>
      <c r="U848" s="2" t="s">
        <v>1132</v>
      </c>
      <c r="V848" s="19">
        <f t="shared" si="183"/>
        <v>43.97</v>
      </c>
      <c r="W848" s="19">
        <f t="shared" si="184"/>
        <v>43.97</v>
      </c>
      <c r="X848" s="19" t="str">
        <f t="shared" si="185"/>
        <v>True</v>
      </c>
      <c r="Y848" s="19" t="str">
        <f>IF(OR(W848&lt;'Cleaning Tasks'!$G$18,W848&gt;'Cleaning Tasks'!$H$18),"Outlier","Normal")</f>
        <v>Normal</v>
      </c>
      <c r="Z848" s="2" t="s">
        <v>39</v>
      </c>
      <c r="AA848" s="2" t="s">
        <v>88</v>
      </c>
      <c r="AB848" s="2" t="s">
        <v>50</v>
      </c>
      <c r="AC848" s="2" t="s">
        <v>73</v>
      </c>
      <c r="AD848" s="2"/>
      <c r="AE848" s="2" t="str">
        <f t="shared" si="186"/>
        <v>Not Required</v>
      </c>
      <c r="AF848" s="2" t="s">
        <v>2616</v>
      </c>
    </row>
    <row r="849" spans="1:32" x14ac:dyDescent="0.3">
      <c r="A849" s="2" t="s">
        <v>2617</v>
      </c>
      <c r="B849" s="2">
        <f t="shared" si="176"/>
        <v>1</v>
      </c>
      <c r="C849" s="12">
        <f t="shared" si="175"/>
        <v>46238.579273773154</v>
      </c>
      <c r="D849" s="13">
        <v>46238.579273773154</v>
      </c>
      <c r="E849" s="2" t="s">
        <v>815</v>
      </c>
      <c r="F849" s="2" t="str">
        <f t="shared" si="177"/>
        <v>Email Available</v>
      </c>
      <c r="G849" s="2" t="s">
        <v>816</v>
      </c>
      <c r="H849" s="2" t="s">
        <v>221</v>
      </c>
      <c r="I849" s="2" t="s">
        <v>22</v>
      </c>
      <c r="J849" s="2" t="s">
        <v>222</v>
      </c>
      <c r="K849" s="2">
        <v>1</v>
      </c>
      <c r="L849" s="2">
        <v>17.989999999999998</v>
      </c>
      <c r="M849" s="19">
        <f t="shared" si="178"/>
        <v>17.989999999999998</v>
      </c>
      <c r="N849" s="2" t="s">
        <v>24</v>
      </c>
      <c r="O849" s="2" t="str">
        <f t="shared" si="179"/>
        <v>SAVE20</v>
      </c>
      <c r="P849" s="2">
        <v>3.6</v>
      </c>
      <c r="Q849" s="19">
        <f t="shared" si="180"/>
        <v>3.6</v>
      </c>
      <c r="R849" s="2" t="str">
        <f t="shared" si="181"/>
        <v>Number</v>
      </c>
      <c r="S849" s="2">
        <v>5.99</v>
      </c>
      <c r="T849" s="19">
        <f t="shared" si="182"/>
        <v>5.99</v>
      </c>
      <c r="U849" s="2">
        <v>20.38</v>
      </c>
      <c r="V849" s="19">
        <f t="shared" si="183"/>
        <v>20.38</v>
      </c>
      <c r="W849" s="19">
        <f t="shared" si="184"/>
        <v>20.38</v>
      </c>
      <c r="X849" s="19" t="str">
        <f t="shared" si="185"/>
        <v>True</v>
      </c>
      <c r="Y849" s="19" t="str">
        <f>IF(OR(W849&lt;'Cleaning Tasks'!$G$18,W849&gt;'Cleaning Tasks'!$H$18),"Outlier","Normal")</f>
        <v>Normal</v>
      </c>
      <c r="Z849" s="2" t="s">
        <v>39</v>
      </c>
      <c r="AA849" s="2" t="s">
        <v>40</v>
      </c>
      <c r="AB849" s="2" t="s">
        <v>50</v>
      </c>
      <c r="AC849" s="2" t="s">
        <v>73</v>
      </c>
      <c r="AD849" s="2"/>
      <c r="AE849" s="2" t="str">
        <f t="shared" si="186"/>
        <v>Not Required</v>
      </c>
      <c r="AF849" s="2" t="s">
        <v>2618</v>
      </c>
    </row>
    <row r="850" spans="1:32" x14ac:dyDescent="0.3">
      <c r="A850" s="2" t="s">
        <v>2619</v>
      </c>
      <c r="B850" s="2">
        <f t="shared" si="176"/>
        <v>1</v>
      </c>
      <c r="C850" s="12">
        <f t="shared" si="175"/>
        <v>46238</v>
      </c>
      <c r="D850" s="13" t="s">
        <v>143</v>
      </c>
      <c r="E850" s="2" t="s">
        <v>321</v>
      </c>
      <c r="F850" s="2" t="str">
        <f t="shared" si="177"/>
        <v>Missing Email</v>
      </c>
      <c r="G850" s="2"/>
      <c r="H850" s="2" t="s">
        <v>117</v>
      </c>
      <c r="I850" s="2" t="s">
        <v>22</v>
      </c>
      <c r="J850" s="2" t="s">
        <v>23</v>
      </c>
      <c r="K850" s="2">
        <v>1</v>
      </c>
      <c r="L850" s="2">
        <v>12.99</v>
      </c>
      <c r="M850" s="19">
        <f t="shared" si="178"/>
        <v>12.99</v>
      </c>
      <c r="N850" s="2" t="s">
        <v>38</v>
      </c>
      <c r="O850" s="2" t="str">
        <f t="shared" si="179"/>
        <v>FREESHIP</v>
      </c>
      <c r="P850" s="2">
        <v>0</v>
      </c>
      <c r="Q850" s="19">
        <f t="shared" si="180"/>
        <v>0</v>
      </c>
      <c r="R850" s="2" t="str">
        <f t="shared" si="181"/>
        <v>Number</v>
      </c>
      <c r="S850" s="2">
        <v>0</v>
      </c>
      <c r="T850" s="19">
        <f t="shared" si="182"/>
        <v>0</v>
      </c>
      <c r="U850" s="2">
        <v>12.99</v>
      </c>
      <c r="V850" s="19">
        <f t="shared" si="183"/>
        <v>12.99</v>
      </c>
      <c r="W850" s="19">
        <f t="shared" si="184"/>
        <v>12.99</v>
      </c>
      <c r="X850" s="19" t="str">
        <f t="shared" si="185"/>
        <v>True</v>
      </c>
      <c r="Y850" s="19" t="str">
        <f>IF(OR(W850&lt;'Cleaning Tasks'!$G$18,W850&gt;'Cleaning Tasks'!$H$18),"Outlier","Normal")</f>
        <v>Normal</v>
      </c>
      <c r="Z850" s="2" t="s">
        <v>49</v>
      </c>
      <c r="AA850" s="2" t="s">
        <v>27</v>
      </c>
      <c r="AB850" s="2" t="s">
        <v>41</v>
      </c>
      <c r="AC850" s="2" t="s">
        <v>29</v>
      </c>
      <c r="AD850" s="2" t="s">
        <v>58</v>
      </c>
      <c r="AE850" s="2" t="str">
        <f t="shared" si="186"/>
        <v>Valid</v>
      </c>
      <c r="AF850" s="2" t="s">
        <v>2620</v>
      </c>
    </row>
    <row r="851" spans="1:32" x14ac:dyDescent="0.3">
      <c r="A851" s="2" t="s">
        <v>2621</v>
      </c>
      <c r="B851" s="2">
        <f t="shared" si="176"/>
        <v>1</v>
      </c>
      <c r="C851" s="12">
        <f t="shared" si="175"/>
        <v>46238.581060324083</v>
      </c>
      <c r="D851" s="13">
        <v>46238.581060324083</v>
      </c>
      <c r="E851" s="2" t="s">
        <v>2508</v>
      </c>
      <c r="F851" s="2" t="str">
        <f t="shared" si="177"/>
        <v>Email Available</v>
      </c>
      <c r="G851" s="2" t="s">
        <v>2509</v>
      </c>
      <c r="H851" s="2" t="s">
        <v>117</v>
      </c>
      <c r="I851" s="2" t="s">
        <v>22</v>
      </c>
      <c r="J851" s="2" t="s">
        <v>23</v>
      </c>
      <c r="K851" s="2">
        <v>1</v>
      </c>
      <c r="L851" s="2" t="s">
        <v>1148</v>
      </c>
      <c r="M851" s="19">
        <f t="shared" si="178"/>
        <v>12.99</v>
      </c>
      <c r="N851" s="2"/>
      <c r="O851" s="2" t="str">
        <f t="shared" si="179"/>
        <v/>
      </c>
      <c r="P851" s="2">
        <v>0</v>
      </c>
      <c r="Q851" s="19">
        <f t="shared" si="180"/>
        <v>0</v>
      </c>
      <c r="R851" s="2" t="str">
        <f t="shared" si="181"/>
        <v>Number</v>
      </c>
      <c r="S851" s="2">
        <v>7.99</v>
      </c>
      <c r="T851" s="19">
        <f t="shared" si="182"/>
        <v>7.99</v>
      </c>
      <c r="U851" s="2">
        <v>20.98</v>
      </c>
      <c r="V851" s="19">
        <f t="shared" si="183"/>
        <v>20.98</v>
      </c>
      <c r="W851" s="19">
        <f t="shared" si="184"/>
        <v>20.98</v>
      </c>
      <c r="X851" s="19" t="str">
        <f t="shared" si="185"/>
        <v>True</v>
      </c>
      <c r="Y851" s="19" t="str">
        <f>IF(OR(W851&lt;'Cleaning Tasks'!$G$18,W851&gt;'Cleaning Tasks'!$H$18),"Outlier","Normal")</f>
        <v>Normal</v>
      </c>
      <c r="Z851" s="2" t="s">
        <v>26</v>
      </c>
      <c r="AA851" s="2" t="s">
        <v>88</v>
      </c>
      <c r="AB851" s="2" t="s">
        <v>28</v>
      </c>
      <c r="AC851" s="2" t="s">
        <v>42</v>
      </c>
      <c r="AD851" s="2"/>
      <c r="AE851" s="2" t="str">
        <f t="shared" si="186"/>
        <v>Not Required</v>
      </c>
      <c r="AF851" s="2" t="s">
        <v>2622</v>
      </c>
    </row>
    <row r="852" spans="1:32" x14ac:dyDescent="0.3">
      <c r="A852" s="2" t="s">
        <v>2623</v>
      </c>
      <c r="B852" s="2">
        <f t="shared" si="176"/>
        <v>1</v>
      </c>
      <c r="C852" s="12">
        <f t="shared" si="175"/>
        <v>46238.584124791669</v>
      </c>
      <c r="D852" s="13">
        <v>46238.584124791669</v>
      </c>
      <c r="E852" s="2" t="s">
        <v>1596</v>
      </c>
      <c r="F852" s="2" t="str">
        <f t="shared" si="177"/>
        <v>Email Available</v>
      </c>
      <c r="G852" s="2" t="s">
        <v>1597</v>
      </c>
      <c r="H852" s="2" t="s">
        <v>124</v>
      </c>
      <c r="I852" s="2" t="s">
        <v>79</v>
      </c>
      <c r="J852" s="2" t="s">
        <v>125</v>
      </c>
      <c r="K852" s="2">
        <v>2</v>
      </c>
      <c r="L852" s="2">
        <v>13.99</v>
      </c>
      <c r="M852" s="19">
        <f t="shared" si="178"/>
        <v>13.99</v>
      </c>
      <c r="N852" s="2" t="s">
        <v>24</v>
      </c>
      <c r="O852" s="2" t="str">
        <f t="shared" si="179"/>
        <v>SAVE20</v>
      </c>
      <c r="P852" s="2">
        <v>5.6</v>
      </c>
      <c r="Q852" s="19">
        <f t="shared" si="180"/>
        <v>5.6</v>
      </c>
      <c r="R852" s="2" t="str">
        <f t="shared" si="181"/>
        <v>Number</v>
      </c>
      <c r="S852" s="2">
        <v>7.99</v>
      </c>
      <c r="T852" s="19">
        <f t="shared" si="182"/>
        <v>7.99</v>
      </c>
      <c r="U852" s="2">
        <v>30.37</v>
      </c>
      <c r="V852" s="19">
        <f t="shared" si="183"/>
        <v>30.37</v>
      </c>
      <c r="W852" s="19">
        <f t="shared" si="184"/>
        <v>30.370000000000005</v>
      </c>
      <c r="X852" s="19" t="str">
        <f t="shared" si="185"/>
        <v>True</v>
      </c>
      <c r="Y852" s="19" t="str">
        <f>IF(OR(W852&lt;'Cleaning Tasks'!$G$18,W852&gt;'Cleaning Tasks'!$H$18),"Outlier","Normal")</f>
        <v>Normal</v>
      </c>
      <c r="Z852" s="2" t="s">
        <v>72</v>
      </c>
      <c r="AA852" s="2" t="s">
        <v>111</v>
      </c>
      <c r="AB852" s="2" t="s">
        <v>96</v>
      </c>
      <c r="AC852" s="2" t="s">
        <v>73</v>
      </c>
      <c r="AD852" s="2"/>
      <c r="AE852" s="2" t="str">
        <f t="shared" si="186"/>
        <v>Not Required</v>
      </c>
      <c r="AF852" s="2" t="s">
        <v>2624</v>
      </c>
    </row>
    <row r="853" spans="1:32" x14ac:dyDescent="0.3">
      <c r="A853" s="2" t="s">
        <v>2625</v>
      </c>
      <c r="B853" s="2">
        <f t="shared" si="176"/>
        <v>1</v>
      </c>
      <c r="C853" s="12">
        <f t="shared" si="175"/>
        <v>46238.584966226852</v>
      </c>
      <c r="D853" s="13">
        <v>46238.584966226852</v>
      </c>
      <c r="E853" s="2" t="s">
        <v>206</v>
      </c>
      <c r="F853" s="2" t="str">
        <f t="shared" si="177"/>
        <v>Email Available</v>
      </c>
      <c r="G853" s="2" t="s">
        <v>207</v>
      </c>
      <c r="H853" s="2" t="s">
        <v>46</v>
      </c>
      <c r="I853" s="2" t="s">
        <v>47</v>
      </c>
      <c r="J853" s="2" t="s">
        <v>48</v>
      </c>
      <c r="K853" s="2">
        <v>1</v>
      </c>
      <c r="L853" s="2">
        <v>39.99</v>
      </c>
      <c r="M853" s="19">
        <f t="shared" si="178"/>
        <v>39.99</v>
      </c>
      <c r="N853" s="2"/>
      <c r="O853" s="2" t="str">
        <f t="shared" si="179"/>
        <v/>
      </c>
      <c r="P853" s="2">
        <v>0</v>
      </c>
      <c r="Q853" s="19">
        <f t="shared" si="180"/>
        <v>0</v>
      </c>
      <c r="R853" s="2" t="str">
        <f t="shared" si="181"/>
        <v>Number</v>
      </c>
      <c r="S853" s="2">
        <v>4.99</v>
      </c>
      <c r="T853" s="19">
        <f t="shared" si="182"/>
        <v>4.99</v>
      </c>
      <c r="U853" s="2">
        <v>44.98</v>
      </c>
      <c r="V853" s="19">
        <f t="shared" si="183"/>
        <v>44.98</v>
      </c>
      <c r="W853" s="19">
        <f t="shared" si="184"/>
        <v>44.980000000000004</v>
      </c>
      <c r="X853" s="19" t="str">
        <f t="shared" si="185"/>
        <v>True</v>
      </c>
      <c r="Y853" s="19" t="str">
        <f>IF(OR(W853&lt;'Cleaning Tasks'!$G$18,W853&gt;'Cleaning Tasks'!$H$18),"Outlier","Normal")</f>
        <v>Normal</v>
      </c>
      <c r="Z853" s="2" t="s">
        <v>39</v>
      </c>
      <c r="AA853" s="2" t="s">
        <v>27</v>
      </c>
      <c r="AB853" s="2" t="s">
        <v>96</v>
      </c>
      <c r="AC853" s="2" t="s">
        <v>105</v>
      </c>
      <c r="AD853" s="2"/>
      <c r="AE853" s="2" t="str">
        <f t="shared" si="186"/>
        <v>Not Required</v>
      </c>
      <c r="AF853" s="2" t="s">
        <v>2626</v>
      </c>
    </row>
    <row r="854" spans="1:32" x14ac:dyDescent="0.3">
      <c r="A854" s="2" t="s">
        <v>2627</v>
      </c>
      <c r="B854" s="2">
        <f t="shared" si="176"/>
        <v>1</v>
      </c>
      <c r="C854" s="12">
        <f t="shared" ref="C854:C885" si="187">IF(ISNUMBER(D854),D854,DATEVALUE(SUBSTITUTE(TRIM(D854),CHAR(160)," ")))</f>
        <v>46238.58739523148</v>
      </c>
      <c r="D854" s="13">
        <v>46238.58739523148</v>
      </c>
      <c r="E854" s="2" t="s">
        <v>2628</v>
      </c>
      <c r="F854" s="2" t="str">
        <f t="shared" si="177"/>
        <v>Email Available</v>
      </c>
      <c r="G854" s="2" t="s">
        <v>2629</v>
      </c>
      <c r="H854" s="2" t="s">
        <v>35</v>
      </c>
      <c r="I854" s="2" t="s">
        <v>36</v>
      </c>
      <c r="J854" s="2" t="s">
        <v>37</v>
      </c>
      <c r="K854" s="2">
        <v>1</v>
      </c>
      <c r="L854" s="2">
        <v>21.99</v>
      </c>
      <c r="M854" s="19">
        <f t="shared" si="178"/>
        <v>21.99</v>
      </c>
      <c r="N854" s="2"/>
      <c r="O854" s="2" t="str">
        <f t="shared" si="179"/>
        <v/>
      </c>
      <c r="P854" s="2">
        <v>0</v>
      </c>
      <c r="Q854" s="19">
        <f t="shared" si="180"/>
        <v>0</v>
      </c>
      <c r="R854" s="2" t="str">
        <f t="shared" si="181"/>
        <v>Number</v>
      </c>
      <c r="S854" s="2">
        <v>5.99</v>
      </c>
      <c r="T854" s="19">
        <f t="shared" si="182"/>
        <v>5.99</v>
      </c>
      <c r="U854" s="2">
        <v>27.98</v>
      </c>
      <c r="V854" s="19">
        <f t="shared" si="183"/>
        <v>27.98</v>
      </c>
      <c r="W854" s="19">
        <f t="shared" si="184"/>
        <v>27.979999999999997</v>
      </c>
      <c r="X854" s="19" t="str">
        <f t="shared" si="185"/>
        <v>True</v>
      </c>
      <c r="Y854" s="19" t="str">
        <f>IF(OR(W854&lt;'Cleaning Tasks'!$G$18,W854&gt;'Cleaning Tasks'!$H$18),"Outlier","Normal")</f>
        <v>Normal</v>
      </c>
      <c r="Z854" s="2" t="s">
        <v>39</v>
      </c>
      <c r="AA854" s="2" t="s">
        <v>27</v>
      </c>
      <c r="AB854" s="2" t="s">
        <v>41</v>
      </c>
      <c r="AC854" s="2" t="s">
        <v>29</v>
      </c>
      <c r="AD854" s="2" t="s">
        <v>89</v>
      </c>
      <c r="AE854" s="2" t="str">
        <f t="shared" si="186"/>
        <v>Valid</v>
      </c>
      <c r="AF854" s="2" t="s">
        <v>2630</v>
      </c>
    </row>
    <row r="855" spans="1:32" x14ac:dyDescent="0.3">
      <c r="A855" s="2" t="s">
        <v>2631</v>
      </c>
      <c r="B855" s="2">
        <f t="shared" si="176"/>
        <v>1</v>
      </c>
      <c r="C855" s="12">
        <f t="shared" si="187"/>
        <v>46238.58305804398</v>
      </c>
      <c r="D855" s="13">
        <v>46238.58305804398</v>
      </c>
      <c r="E855" s="2" t="s">
        <v>2628</v>
      </c>
      <c r="F855" s="2" t="str">
        <f t="shared" si="177"/>
        <v>Email Available</v>
      </c>
      <c r="G855" s="2" t="s">
        <v>2629</v>
      </c>
      <c r="H855" s="2" t="s">
        <v>35</v>
      </c>
      <c r="I855" s="2" t="s">
        <v>36</v>
      </c>
      <c r="J855" s="2" t="s">
        <v>37</v>
      </c>
      <c r="K855" s="2">
        <v>1</v>
      </c>
      <c r="L855" s="2">
        <v>21.99</v>
      </c>
      <c r="M855" s="19">
        <f t="shared" si="178"/>
        <v>21.99</v>
      </c>
      <c r="N855" s="2"/>
      <c r="O855" s="2" t="str">
        <f t="shared" si="179"/>
        <v/>
      </c>
      <c r="P855" s="2">
        <v>0</v>
      </c>
      <c r="Q855" s="19">
        <f t="shared" si="180"/>
        <v>0</v>
      </c>
      <c r="R855" s="2" t="str">
        <f t="shared" si="181"/>
        <v>Number</v>
      </c>
      <c r="S855" s="2">
        <v>7.99</v>
      </c>
      <c r="T855" s="19">
        <f t="shared" si="182"/>
        <v>7.99</v>
      </c>
      <c r="U855" s="2">
        <v>29.98</v>
      </c>
      <c r="V855" s="19">
        <f t="shared" si="183"/>
        <v>29.98</v>
      </c>
      <c r="W855" s="19">
        <f t="shared" si="184"/>
        <v>29.979999999999997</v>
      </c>
      <c r="X855" s="19" t="str">
        <f t="shared" si="185"/>
        <v>True</v>
      </c>
      <c r="Y855" s="19" t="str">
        <f>IF(OR(W855&lt;'Cleaning Tasks'!$G$18,W855&gt;'Cleaning Tasks'!$H$18),"Outlier","Normal")</f>
        <v>Normal</v>
      </c>
      <c r="Z855" s="2" t="s">
        <v>26</v>
      </c>
      <c r="AA855" s="2" t="s">
        <v>40</v>
      </c>
      <c r="AB855" s="2" t="s">
        <v>50</v>
      </c>
      <c r="AC855" s="2" t="s">
        <v>29</v>
      </c>
      <c r="AD855" s="2" t="s">
        <v>112</v>
      </c>
      <c r="AE855" s="2" t="str">
        <f t="shared" si="186"/>
        <v>Valid</v>
      </c>
      <c r="AF855" s="2" t="s">
        <v>2632</v>
      </c>
    </row>
    <row r="856" spans="1:32" x14ac:dyDescent="0.3">
      <c r="A856" s="2" t="s">
        <v>2633</v>
      </c>
      <c r="B856" s="2">
        <f t="shared" si="176"/>
        <v>1</v>
      </c>
      <c r="C856" s="12">
        <f t="shared" si="187"/>
        <v>46238.587698726849</v>
      </c>
      <c r="D856" s="13">
        <v>46238.587698726849</v>
      </c>
      <c r="E856" s="2" t="s">
        <v>2634</v>
      </c>
      <c r="F856" s="2" t="str">
        <f t="shared" si="177"/>
        <v>Email Available</v>
      </c>
      <c r="G856" s="2" t="s">
        <v>2635</v>
      </c>
      <c r="H856" s="2" t="s">
        <v>182</v>
      </c>
      <c r="I856" s="2" t="s">
        <v>36</v>
      </c>
      <c r="J856" s="2" t="s">
        <v>183</v>
      </c>
      <c r="K856" s="2">
        <v>1</v>
      </c>
      <c r="L856" s="2">
        <v>11.99</v>
      </c>
      <c r="M856" s="19">
        <f t="shared" si="178"/>
        <v>11.99</v>
      </c>
      <c r="N856" s="2" t="s">
        <v>38</v>
      </c>
      <c r="O856" s="2" t="str">
        <f t="shared" si="179"/>
        <v>FREESHIP</v>
      </c>
      <c r="P856" s="2" t="s">
        <v>184</v>
      </c>
      <c r="Q856" s="19">
        <f t="shared" si="180"/>
        <v>0</v>
      </c>
      <c r="R856" s="2" t="str">
        <f t="shared" si="181"/>
        <v>Number</v>
      </c>
      <c r="S856" s="2">
        <v>0</v>
      </c>
      <c r="T856" s="19">
        <f t="shared" si="182"/>
        <v>0</v>
      </c>
      <c r="U856" s="2">
        <v>11.99</v>
      </c>
      <c r="V856" s="19">
        <f t="shared" si="183"/>
        <v>11.99</v>
      </c>
      <c r="W856" s="19">
        <f t="shared" si="184"/>
        <v>11.99</v>
      </c>
      <c r="X856" s="19" t="str">
        <f t="shared" si="185"/>
        <v>True</v>
      </c>
      <c r="Y856" s="19" t="str">
        <f>IF(OR(W856&lt;'Cleaning Tasks'!$G$18,W856&gt;'Cleaning Tasks'!$H$18),"Outlier","Normal")</f>
        <v>Normal</v>
      </c>
      <c r="Z856" s="2" t="s">
        <v>26</v>
      </c>
      <c r="AA856" s="2" t="s">
        <v>88</v>
      </c>
      <c r="AB856" s="2" t="s">
        <v>50</v>
      </c>
      <c r="AC856" s="2" t="s">
        <v>105</v>
      </c>
      <c r="AD856" s="2"/>
      <c r="AE856" s="2" t="str">
        <f t="shared" si="186"/>
        <v>Not Required</v>
      </c>
      <c r="AF856" s="2" t="s">
        <v>2636</v>
      </c>
    </row>
    <row r="857" spans="1:32" x14ac:dyDescent="0.3">
      <c r="A857" s="2" t="s">
        <v>2637</v>
      </c>
      <c r="B857" s="2">
        <f t="shared" si="176"/>
        <v>1</v>
      </c>
      <c r="C857" s="12">
        <f t="shared" si="187"/>
        <v>46238.580761249999</v>
      </c>
      <c r="D857" s="13">
        <v>46238.580761249999</v>
      </c>
      <c r="E857" s="2" t="s">
        <v>602</v>
      </c>
      <c r="F857" s="2" t="str">
        <f t="shared" si="177"/>
        <v>Email Available</v>
      </c>
      <c r="G857" s="2" t="s">
        <v>603</v>
      </c>
      <c r="H857" s="2" t="s">
        <v>361</v>
      </c>
      <c r="I857" s="2" t="s">
        <v>86</v>
      </c>
      <c r="J857" s="2" t="s">
        <v>362</v>
      </c>
      <c r="K857" s="2">
        <v>1</v>
      </c>
      <c r="L857" s="2">
        <v>54.99</v>
      </c>
      <c r="M857" s="19">
        <f t="shared" si="178"/>
        <v>54.99</v>
      </c>
      <c r="N857" s="2"/>
      <c r="O857" s="2" t="str">
        <f t="shared" si="179"/>
        <v/>
      </c>
      <c r="P857" s="2">
        <v>0</v>
      </c>
      <c r="Q857" s="19">
        <f t="shared" si="180"/>
        <v>0</v>
      </c>
      <c r="R857" s="2" t="str">
        <f t="shared" si="181"/>
        <v>Number</v>
      </c>
      <c r="S857" s="2">
        <v>5.99</v>
      </c>
      <c r="T857" s="19">
        <f t="shared" si="182"/>
        <v>5.99</v>
      </c>
      <c r="U857" s="2">
        <v>60.98</v>
      </c>
      <c r="V857" s="19">
        <f t="shared" si="183"/>
        <v>60.98</v>
      </c>
      <c r="W857" s="19">
        <f t="shared" si="184"/>
        <v>60.980000000000004</v>
      </c>
      <c r="X857" s="19" t="str">
        <f t="shared" si="185"/>
        <v>True</v>
      </c>
      <c r="Y857" s="19" t="str">
        <f>IF(OR(W857&lt;'Cleaning Tasks'!$G$18,W857&gt;'Cleaning Tasks'!$H$18),"Outlier","Normal")</f>
        <v>Normal</v>
      </c>
      <c r="Z857" s="2" t="s">
        <v>26</v>
      </c>
      <c r="AA857" s="2" t="s">
        <v>111</v>
      </c>
      <c r="AB857" s="2" t="s">
        <v>41</v>
      </c>
      <c r="AC857" s="2" t="s">
        <v>42</v>
      </c>
      <c r="AD857" s="2"/>
      <c r="AE857" s="2" t="str">
        <f t="shared" si="186"/>
        <v>Not Required</v>
      </c>
      <c r="AF857" s="2" t="s">
        <v>2638</v>
      </c>
    </row>
    <row r="858" spans="1:32" x14ac:dyDescent="0.3">
      <c r="A858" s="2" t="s">
        <v>2639</v>
      </c>
      <c r="B858" s="2">
        <f t="shared" si="176"/>
        <v>1</v>
      </c>
      <c r="C858" s="12">
        <f t="shared" si="187"/>
        <v>46238.582171365742</v>
      </c>
      <c r="D858" s="13">
        <v>46238.582171365742</v>
      </c>
      <c r="E858" s="2" t="s">
        <v>557</v>
      </c>
      <c r="F858" s="2" t="str">
        <f t="shared" si="177"/>
        <v>Email Available</v>
      </c>
      <c r="G858" s="2" t="s">
        <v>558</v>
      </c>
      <c r="H858" s="2" t="s">
        <v>236</v>
      </c>
      <c r="I858" s="2" t="s">
        <v>237</v>
      </c>
      <c r="J858" s="2" t="s">
        <v>238</v>
      </c>
      <c r="K858" s="2">
        <v>1</v>
      </c>
      <c r="L858" s="2">
        <v>27.99</v>
      </c>
      <c r="M858" s="19">
        <f t="shared" si="178"/>
        <v>27.99</v>
      </c>
      <c r="N858" s="2"/>
      <c r="O858" s="2" t="str">
        <f t="shared" si="179"/>
        <v/>
      </c>
      <c r="P858" s="2">
        <v>0</v>
      </c>
      <c r="Q858" s="19">
        <f t="shared" si="180"/>
        <v>0</v>
      </c>
      <c r="R858" s="2" t="str">
        <f t="shared" si="181"/>
        <v>Number</v>
      </c>
      <c r="S858" s="2">
        <v>5.99</v>
      </c>
      <c r="T858" s="19">
        <f t="shared" si="182"/>
        <v>5.99</v>
      </c>
      <c r="U858" s="2">
        <v>33.979999999999997</v>
      </c>
      <c r="V858" s="19">
        <f t="shared" si="183"/>
        <v>33.979999999999997</v>
      </c>
      <c r="W858" s="19">
        <f t="shared" si="184"/>
        <v>33.979999999999997</v>
      </c>
      <c r="X858" s="19" t="str">
        <f t="shared" si="185"/>
        <v>True</v>
      </c>
      <c r="Y858" s="19" t="str">
        <f>IF(OR(W858&lt;'Cleaning Tasks'!$G$18,W858&gt;'Cleaning Tasks'!$H$18),"Outlier","Normal")</f>
        <v>Normal</v>
      </c>
      <c r="Z858" s="2" t="s">
        <v>39</v>
      </c>
      <c r="AA858" s="2" t="s">
        <v>27</v>
      </c>
      <c r="AB858" s="2" t="s">
        <v>50</v>
      </c>
      <c r="AC858" s="2" t="s">
        <v>42</v>
      </c>
      <c r="AD858" s="2"/>
      <c r="AE858" s="2" t="str">
        <f t="shared" si="186"/>
        <v>Not Required</v>
      </c>
      <c r="AF858" s="2" t="s">
        <v>2640</v>
      </c>
    </row>
    <row r="859" spans="1:32" x14ac:dyDescent="0.3">
      <c r="A859" s="2" t="s">
        <v>2641</v>
      </c>
      <c r="B859" s="2">
        <f t="shared" si="176"/>
        <v>1</v>
      </c>
      <c r="C859" s="12">
        <f t="shared" si="187"/>
        <v>46238.579677835653</v>
      </c>
      <c r="D859" s="13">
        <v>46238.579677835653</v>
      </c>
      <c r="E859" s="2" t="s">
        <v>780</v>
      </c>
      <c r="F859" s="2" t="str">
        <f t="shared" si="177"/>
        <v>Email Available</v>
      </c>
      <c r="G859" s="2" t="s">
        <v>781</v>
      </c>
      <c r="H859" s="2" t="s">
        <v>102</v>
      </c>
      <c r="I859" s="2" t="s">
        <v>103</v>
      </c>
      <c r="J859" s="2" t="s">
        <v>104</v>
      </c>
      <c r="K859" s="2">
        <v>1</v>
      </c>
      <c r="L859" s="2">
        <v>19.989999999999998</v>
      </c>
      <c r="M859" s="19">
        <f t="shared" si="178"/>
        <v>19.989999999999998</v>
      </c>
      <c r="N859" s="2" t="s">
        <v>65</v>
      </c>
      <c r="O859" s="2" t="str">
        <f t="shared" si="179"/>
        <v>WELCOME10</v>
      </c>
      <c r="P859" s="2">
        <v>2</v>
      </c>
      <c r="Q859" s="19">
        <f t="shared" si="180"/>
        <v>2</v>
      </c>
      <c r="R859" s="2" t="str">
        <f t="shared" si="181"/>
        <v>Number</v>
      </c>
      <c r="S859" s="2">
        <v>5.99</v>
      </c>
      <c r="T859" s="19">
        <f t="shared" si="182"/>
        <v>5.99</v>
      </c>
      <c r="U859" s="2">
        <v>23.98</v>
      </c>
      <c r="V859" s="19">
        <f t="shared" si="183"/>
        <v>23.98</v>
      </c>
      <c r="W859" s="19">
        <f t="shared" si="184"/>
        <v>23.979999999999997</v>
      </c>
      <c r="X859" s="19" t="str">
        <f t="shared" si="185"/>
        <v>True</v>
      </c>
      <c r="Y859" s="19" t="str">
        <f>IF(OR(W859&lt;'Cleaning Tasks'!$G$18,W859&gt;'Cleaning Tasks'!$H$18),"Outlier","Normal")</f>
        <v>Normal</v>
      </c>
      <c r="Z859" s="2" t="s">
        <v>72</v>
      </c>
      <c r="AA859" s="2" t="s">
        <v>111</v>
      </c>
      <c r="AB859" s="2" t="s">
        <v>50</v>
      </c>
      <c r="AC859" s="2" t="s">
        <v>223</v>
      </c>
      <c r="AD859" s="2"/>
      <c r="AE859" s="2" t="str">
        <f t="shared" si="186"/>
        <v>Not Required</v>
      </c>
      <c r="AF859" s="2" t="s">
        <v>2642</v>
      </c>
    </row>
    <row r="860" spans="1:32" x14ac:dyDescent="0.3">
      <c r="A860" s="2" t="s">
        <v>2643</v>
      </c>
      <c r="B860" s="2">
        <f t="shared" si="176"/>
        <v>1</v>
      </c>
      <c r="C860" s="12">
        <f t="shared" si="187"/>
        <v>46238.580134328702</v>
      </c>
      <c r="D860" s="13">
        <v>46238.580134328702</v>
      </c>
      <c r="E860" s="2" t="s">
        <v>1216</v>
      </c>
      <c r="F860" s="2" t="str">
        <f t="shared" si="177"/>
        <v>Email Available</v>
      </c>
      <c r="G860" s="2" t="s">
        <v>1217</v>
      </c>
      <c r="H860" s="2" t="s">
        <v>78</v>
      </c>
      <c r="I860" s="2" t="s">
        <v>79</v>
      </c>
      <c r="J860" s="2" t="s">
        <v>80</v>
      </c>
      <c r="K860" s="2">
        <v>3</v>
      </c>
      <c r="L860" s="2">
        <v>89.99</v>
      </c>
      <c r="M860" s="19">
        <f t="shared" si="178"/>
        <v>89.99</v>
      </c>
      <c r="N860" s="2" t="s">
        <v>203</v>
      </c>
      <c r="O860" s="2" t="str">
        <f t="shared" si="179"/>
        <v>VIP15</v>
      </c>
      <c r="P860" s="2">
        <v>40.5</v>
      </c>
      <c r="Q860" s="19">
        <f t="shared" si="180"/>
        <v>40.5</v>
      </c>
      <c r="R860" s="2" t="str">
        <f t="shared" si="181"/>
        <v>Number</v>
      </c>
      <c r="S860" s="2">
        <v>0</v>
      </c>
      <c r="T860" s="19">
        <f t="shared" si="182"/>
        <v>0</v>
      </c>
      <c r="U860" s="2">
        <v>229.47</v>
      </c>
      <c r="V860" s="19">
        <f t="shared" si="183"/>
        <v>229.47</v>
      </c>
      <c r="W860" s="19">
        <f t="shared" si="184"/>
        <v>229.46999999999997</v>
      </c>
      <c r="X860" s="19" t="str">
        <f t="shared" si="185"/>
        <v>True</v>
      </c>
      <c r="Y860" s="19" t="str">
        <f>IF(OR(W860&lt;'Cleaning Tasks'!$G$18,W860&gt;'Cleaning Tasks'!$H$18),"Outlier","Normal")</f>
        <v>Outlier</v>
      </c>
      <c r="Z860" s="2" t="s">
        <v>72</v>
      </c>
      <c r="AA860" s="2" t="s">
        <v>40</v>
      </c>
      <c r="AB860" s="2" t="s">
        <v>50</v>
      </c>
      <c r="AC860" s="2" t="s">
        <v>223</v>
      </c>
      <c r="AD860" s="2"/>
      <c r="AE860" s="2" t="str">
        <f t="shared" si="186"/>
        <v>Not Required</v>
      </c>
      <c r="AF860" s="2" t="s">
        <v>2644</v>
      </c>
    </row>
    <row r="861" spans="1:32" x14ac:dyDescent="0.3">
      <c r="A861" s="2" t="s">
        <v>2645</v>
      </c>
      <c r="B861" s="2">
        <f t="shared" si="176"/>
        <v>1</v>
      </c>
      <c r="C861" s="12">
        <f t="shared" si="187"/>
        <v>46238.581335000003</v>
      </c>
      <c r="D861" s="13">
        <v>46238.581335000003</v>
      </c>
      <c r="E861" s="2" t="s">
        <v>1349</v>
      </c>
      <c r="F861" s="2" t="str">
        <f t="shared" si="177"/>
        <v>Email Available</v>
      </c>
      <c r="G861" s="2" t="s">
        <v>1350</v>
      </c>
      <c r="H861" s="2" t="s">
        <v>85</v>
      </c>
      <c r="I861" s="2" t="s">
        <v>86</v>
      </c>
      <c r="J861" s="2" t="s">
        <v>87</v>
      </c>
      <c r="K861" s="2">
        <v>1</v>
      </c>
      <c r="L861" s="2">
        <v>54.99</v>
      </c>
      <c r="M861" s="19">
        <f t="shared" si="178"/>
        <v>54.99</v>
      </c>
      <c r="N861" s="2" t="s">
        <v>65</v>
      </c>
      <c r="O861" s="2" t="str">
        <f t="shared" si="179"/>
        <v>WELCOME10</v>
      </c>
      <c r="P861" s="2">
        <v>5.5</v>
      </c>
      <c r="Q861" s="19">
        <f t="shared" si="180"/>
        <v>5.5</v>
      </c>
      <c r="R861" s="2" t="str">
        <f t="shared" si="181"/>
        <v>Number</v>
      </c>
      <c r="S861" s="2">
        <v>5.99</v>
      </c>
      <c r="T861" s="19">
        <f t="shared" si="182"/>
        <v>5.99</v>
      </c>
      <c r="U861" s="2" t="s">
        <v>2646</v>
      </c>
      <c r="V861" s="19">
        <f t="shared" si="183"/>
        <v>55.48</v>
      </c>
      <c r="W861" s="19">
        <f t="shared" si="184"/>
        <v>55.480000000000004</v>
      </c>
      <c r="X861" s="19" t="str">
        <f t="shared" si="185"/>
        <v>True</v>
      </c>
      <c r="Y861" s="19" t="str">
        <f>IF(OR(W861&lt;'Cleaning Tasks'!$G$18,W861&gt;'Cleaning Tasks'!$H$18),"Outlier","Normal")</f>
        <v>Normal</v>
      </c>
      <c r="Z861" s="2" t="s">
        <v>26</v>
      </c>
      <c r="AA861" s="2" t="s">
        <v>27</v>
      </c>
      <c r="AB861" s="2" t="s">
        <v>50</v>
      </c>
      <c r="AC861" s="2" t="s">
        <v>42</v>
      </c>
      <c r="AD861" s="2"/>
      <c r="AE861" s="2" t="str">
        <f t="shared" si="186"/>
        <v>Not Required</v>
      </c>
      <c r="AF861" s="2" t="s">
        <v>2647</v>
      </c>
    </row>
    <row r="862" spans="1:32" x14ac:dyDescent="0.3">
      <c r="A862" s="2" t="s">
        <v>2648</v>
      </c>
      <c r="B862" s="2">
        <f t="shared" si="176"/>
        <v>1</v>
      </c>
      <c r="C862" s="12">
        <f t="shared" si="187"/>
        <v>46238.582668587973</v>
      </c>
      <c r="D862" s="13">
        <v>46238.582668587973</v>
      </c>
      <c r="E862" s="2" t="s">
        <v>677</v>
      </c>
      <c r="F862" s="2" t="str">
        <f t="shared" si="177"/>
        <v>Email Available</v>
      </c>
      <c r="G862" s="2" t="s">
        <v>478</v>
      </c>
      <c r="H862" s="2" t="s">
        <v>117</v>
      </c>
      <c r="I862" s="2" t="s">
        <v>22</v>
      </c>
      <c r="J862" s="2" t="s">
        <v>23</v>
      </c>
      <c r="K862" s="2">
        <v>1</v>
      </c>
      <c r="L862" s="2">
        <v>12.99</v>
      </c>
      <c r="M862" s="19">
        <f t="shared" si="178"/>
        <v>12.99</v>
      </c>
      <c r="N862" s="2"/>
      <c r="O862" s="2" t="str">
        <f t="shared" si="179"/>
        <v/>
      </c>
      <c r="P862" s="2" t="s">
        <v>184</v>
      </c>
      <c r="Q862" s="19">
        <f t="shared" si="180"/>
        <v>0</v>
      </c>
      <c r="R862" s="2" t="str">
        <f t="shared" si="181"/>
        <v>Number</v>
      </c>
      <c r="S862" s="2">
        <v>5.99</v>
      </c>
      <c r="T862" s="19">
        <f t="shared" si="182"/>
        <v>5.99</v>
      </c>
      <c r="U862" s="2">
        <v>18.98</v>
      </c>
      <c r="V862" s="19">
        <f t="shared" si="183"/>
        <v>18.98</v>
      </c>
      <c r="W862" s="19">
        <f t="shared" si="184"/>
        <v>18.98</v>
      </c>
      <c r="X862" s="19" t="str">
        <f t="shared" si="185"/>
        <v>True</v>
      </c>
      <c r="Y862" s="19" t="str">
        <f>IF(OR(W862&lt;'Cleaning Tasks'!$G$18,W862&gt;'Cleaning Tasks'!$H$18),"Outlier","Normal")</f>
        <v>Normal</v>
      </c>
      <c r="Z862" s="2" t="s">
        <v>49</v>
      </c>
      <c r="AA862" s="2" t="s">
        <v>27</v>
      </c>
      <c r="AB862" s="2" t="s">
        <v>50</v>
      </c>
      <c r="AC862" s="2" t="s">
        <v>29</v>
      </c>
      <c r="AD862" s="2" t="s">
        <v>112</v>
      </c>
      <c r="AE862" s="2" t="str">
        <f t="shared" si="186"/>
        <v>Valid</v>
      </c>
      <c r="AF862" s="2" t="s">
        <v>2649</v>
      </c>
    </row>
    <row r="863" spans="1:32" x14ac:dyDescent="0.3">
      <c r="A863" s="2" t="s">
        <v>2650</v>
      </c>
      <c r="B863" s="2">
        <f t="shared" si="176"/>
        <v>1</v>
      </c>
      <c r="C863" s="12">
        <f t="shared" si="187"/>
        <v>46238.581521134263</v>
      </c>
      <c r="D863" s="13">
        <v>46238.581521134263</v>
      </c>
      <c r="E863" s="2" t="s">
        <v>92</v>
      </c>
      <c r="F863" s="2" t="str">
        <f t="shared" si="177"/>
        <v>Email Available</v>
      </c>
      <c r="G863" s="2" t="s">
        <v>93</v>
      </c>
      <c r="H863" s="2" t="s">
        <v>102</v>
      </c>
      <c r="I863" s="2" t="s">
        <v>103</v>
      </c>
      <c r="J863" s="2" t="s">
        <v>104</v>
      </c>
      <c r="K863" s="2">
        <v>1</v>
      </c>
      <c r="L863" s="2">
        <v>19.989999999999998</v>
      </c>
      <c r="M863" s="19">
        <f t="shared" si="178"/>
        <v>19.989999999999998</v>
      </c>
      <c r="N863" s="2"/>
      <c r="O863" s="2" t="str">
        <f t="shared" si="179"/>
        <v/>
      </c>
      <c r="P863" s="2">
        <v>0</v>
      </c>
      <c r="Q863" s="19">
        <f t="shared" si="180"/>
        <v>0</v>
      </c>
      <c r="R863" s="2" t="str">
        <f t="shared" si="181"/>
        <v>Number</v>
      </c>
      <c r="S863" s="2">
        <v>7.99</v>
      </c>
      <c r="T863" s="19">
        <f t="shared" si="182"/>
        <v>7.99</v>
      </c>
      <c r="U863" s="2">
        <v>27.98</v>
      </c>
      <c r="V863" s="19">
        <f t="shared" si="183"/>
        <v>27.98</v>
      </c>
      <c r="W863" s="19">
        <f t="shared" si="184"/>
        <v>27.979999999999997</v>
      </c>
      <c r="X863" s="19" t="str">
        <f t="shared" si="185"/>
        <v>True</v>
      </c>
      <c r="Y863" s="19" t="str">
        <f>IF(OR(W863&lt;'Cleaning Tasks'!$G$18,W863&gt;'Cleaning Tasks'!$H$18),"Outlier","Normal")</f>
        <v>Normal</v>
      </c>
      <c r="Z863" s="2" t="s">
        <v>26</v>
      </c>
      <c r="AA863" s="2" t="s">
        <v>111</v>
      </c>
      <c r="AB863" s="2" t="s">
        <v>50</v>
      </c>
      <c r="AC863" s="2" t="s">
        <v>42</v>
      </c>
      <c r="AD863" s="2"/>
      <c r="AE863" s="2" t="str">
        <f t="shared" si="186"/>
        <v>Not Required</v>
      </c>
      <c r="AF863" s="2" t="s">
        <v>2651</v>
      </c>
    </row>
    <row r="864" spans="1:32" x14ac:dyDescent="0.3">
      <c r="A864" s="2" t="s">
        <v>2652</v>
      </c>
      <c r="B864" s="2">
        <f t="shared" si="176"/>
        <v>1</v>
      </c>
      <c r="C864" s="12">
        <f t="shared" si="187"/>
        <v>46238</v>
      </c>
      <c r="D864" s="13">
        <v>46238</v>
      </c>
      <c r="E864" s="2" t="s">
        <v>409</v>
      </c>
      <c r="F864" s="2" t="str">
        <f t="shared" si="177"/>
        <v>Email Available</v>
      </c>
      <c r="G864" s="2" t="s">
        <v>410</v>
      </c>
      <c r="H864" s="2" t="s">
        <v>85</v>
      </c>
      <c r="I864" s="2" t="s">
        <v>86</v>
      </c>
      <c r="J864" s="2" t="s">
        <v>87</v>
      </c>
      <c r="K864" s="2">
        <v>1</v>
      </c>
      <c r="L864" s="2">
        <v>54.99</v>
      </c>
      <c r="M864" s="19">
        <f t="shared" si="178"/>
        <v>54.99</v>
      </c>
      <c r="N864" s="2" t="s">
        <v>38</v>
      </c>
      <c r="O864" s="2" t="str">
        <f t="shared" si="179"/>
        <v>FREESHIP</v>
      </c>
      <c r="P864" s="2">
        <v>0</v>
      </c>
      <c r="Q864" s="19">
        <f t="shared" si="180"/>
        <v>0</v>
      </c>
      <c r="R864" s="2" t="str">
        <f t="shared" si="181"/>
        <v>Number</v>
      </c>
      <c r="S864" s="2">
        <v>0</v>
      </c>
      <c r="T864" s="19">
        <f t="shared" si="182"/>
        <v>0</v>
      </c>
      <c r="U864" s="2">
        <v>54.99</v>
      </c>
      <c r="V864" s="19">
        <f t="shared" si="183"/>
        <v>54.99</v>
      </c>
      <c r="W864" s="19">
        <f t="shared" si="184"/>
        <v>54.99</v>
      </c>
      <c r="X864" s="19" t="str">
        <f t="shared" si="185"/>
        <v>True</v>
      </c>
      <c r="Y864" s="19" t="str">
        <f>IF(OR(W864&lt;'Cleaning Tasks'!$G$18,W864&gt;'Cleaning Tasks'!$H$18),"Outlier","Normal")</f>
        <v>Normal</v>
      </c>
      <c r="Z864" s="2" t="s">
        <v>72</v>
      </c>
      <c r="AA864" s="2" t="s">
        <v>27</v>
      </c>
      <c r="AB864" s="2" t="s">
        <v>96</v>
      </c>
      <c r="AC864" s="2" t="s">
        <v>42</v>
      </c>
      <c r="AD864" s="2"/>
      <c r="AE864" s="2" t="str">
        <f t="shared" si="186"/>
        <v>Not Required</v>
      </c>
      <c r="AF864" s="2" t="s">
        <v>2653</v>
      </c>
    </row>
    <row r="865" spans="1:32" x14ac:dyDescent="0.3">
      <c r="A865" s="2" t="s">
        <v>2654</v>
      </c>
      <c r="B865" s="2">
        <f t="shared" si="176"/>
        <v>1</v>
      </c>
      <c r="C865" s="12">
        <f t="shared" si="187"/>
        <v>46238</v>
      </c>
      <c r="D865" s="13" t="s">
        <v>714</v>
      </c>
      <c r="E865" s="2" t="s">
        <v>2272</v>
      </c>
      <c r="F865" s="2" t="str">
        <f t="shared" si="177"/>
        <v>Email Available</v>
      </c>
      <c r="G865" s="2" t="s">
        <v>2273</v>
      </c>
      <c r="H865" s="2" t="s">
        <v>267</v>
      </c>
      <c r="I865" s="2" t="s">
        <v>22</v>
      </c>
      <c r="J865" s="2" t="s">
        <v>268</v>
      </c>
      <c r="K865" s="2">
        <v>1</v>
      </c>
      <c r="L865" s="2">
        <v>18.989999999999998</v>
      </c>
      <c r="M865" s="19">
        <f t="shared" si="178"/>
        <v>18.989999999999998</v>
      </c>
      <c r="N865" s="2"/>
      <c r="O865" s="2" t="str">
        <f t="shared" si="179"/>
        <v/>
      </c>
      <c r="P865" s="2">
        <v>0</v>
      </c>
      <c r="Q865" s="19">
        <f t="shared" si="180"/>
        <v>0</v>
      </c>
      <c r="R865" s="2" t="str">
        <f t="shared" si="181"/>
        <v>Number</v>
      </c>
      <c r="S865" s="2">
        <v>4.99</v>
      </c>
      <c r="T865" s="19">
        <f t="shared" si="182"/>
        <v>4.99</v>
      </c>
      <c r="U865" s="2">
        <v>23.98</v>
      </c>
      <c r="V865" s="19">
        <f t="shared" si="183"/>
        <v>23.98</v>
      </c>
      <c r="W865" s="19">
        <f t="shared" si="184"/>
        <v>23.979999999999997</v>
      </c>
      <c r="X865" s="19" t="str">
        <f t="shared" si="185"/>
        <v>True</v>
      </c>
      <c r="Y865" s="19" t="str">
        <f>IF(OR(W865&lt;'Cleaning Tasks'!$G$18,W865&gt;'Cleaning Tasks'!$H$18),"Outlier","Normal")</f>
        <v>Normal</v>
      </c>
      <c r="Z865" s="2" t="s">
        <v>72</v>
      </c>
      <c r="AA865" s="2" t="s">
        <v>27</v>
      </c>
      <c r="AB865" s="2" t="s">
        <v>41</v>
      </c>
      <c r="AC865" s="2" t="s">
        <v>29</v>
      </c>
      <c r="AD865" s="2" t="s">
        <v>30</v>
      </c>
      <c r="AE865" s="2" t="str">
        <f t="shared" si="186"/>
        <v>Valid</v>
      </c>
      <c r="AF865" s="2" t="s">
        <v>2655</v>
      </c>
    </row>
    <row r="866" spans="1:32" x14ac:dyDescent="0.3">
      <c r="A866" s="2" t="s">
        <v>2656</v>
      </c>
      <c r="B866" s="2">
        <f t="shared" si="176"/>
        <v>1</v>
      </c>
      <c r="C866" s="12">
        <f t="shared" si="187"/>
        <v>46238.581851192132</v>
      </c>
      <c r="D866" s="13">
        <v>46238.581851192132</v>
      </c>
      <c r="E866" s="2" t="s">
        <v>1283</v>
      </c>
      <c r="F866" s="2" t="str">
        <f t="shared" si="177"/>
        <v>Email Available</v>
      </c>
      <c r="G866" s="2" t="s">
        <v>1284</v>
      </c>
      <c r="H866" s="2" t="s">
        <v>261</v>
      </c>
      <c r="I866" s="2" t="s">
        <v>36</v>
      </c>
      <c r="J866" s="2" t="s">
        <v>262</v>
      </c>
      <c r="K866" s="2">
        <v>2</v>
      </c>
      <c r="L866" s="2">
        <v>15.49</v>
      </c>
      <c r="M866" s="19">
        <f t="shared" si="178"/>
        <v>15.49</v>
      </c>
      <c r="N866" s="2" t="s">
        <v>118</v>
      </c>
      <c r="O866" s="2" t="str">
        <f t="shared" si="179"/>
        <v>BFCM25</v>
      </c>
      <c r="P866" s="2">
        <v>7.75</v>
      </c>
      <c r="Q866" s="19">
        <f t="shared" si="180"/>
        <v>7.75</v>
      </c>
      <c r="R866" s="2" t="str">
        <f t="shared" si="181"/>
        <v>Number</v>
      </c>
      <c r="S866" s="2">
        <v>4.99</v>
      </c>
      <c r="T866" s="19">
        <f t="shared" si="182"/>
        <v>4.99</v>
      </c>
      <c r="U866" s="2">
        <v>28.22</v>
      </c>
      <c r="V866" s="19">
        <f t="shared" si="183"/>
        <v>28.22</v>
      </c>
      <c r="W866" s="19">
        <f t="shared" si="184"/>
        <v>28.22</v>
      </c>
      <c r="X866" s="19" t="str">
        <f t="shared" si="185"/>
        <v>True</v>
      </c>
      <c r="Y866" s="19" t="str">
        <f>IF(OR(W866&lt;'Cleaning Tasks'!$G$18,W866&gt;'Cleaning Tasks'!$H$18),"Outlier","Normal")</f>
        <v>Normal</v>
      </c>
      <c r="Z866" s="2" t="s">
        <v>66</v>
      </c>
      <c r="AA866" s="2" t="s">
        <v>27</v>
      </c>
      <c r="AB866" s="2" t="s">
        <v>50</v>
      </c>
      <c r="AC866" s="2" t="s">
        <v>42</v>
      </c>
      <c r="AD866" s="2"/>
      <c r="AE866" s="2" t="str">
        <f t="shared" si="186"/>
        <v>Not Required</v>
      </c>
      <c r="AF866" s="2" t="s">
        <v>2657</v>
      </c>
    </row>
    <row r="867" spans="1:32" x14ac:dyDescent="0.3">
      <c r="A867" s="2" t="s">
        <v>2658</v>
      </c>
      <c r="B867" s="2">
        <f t="shared" si="176"/>
        <v>1</v>
      </c>
      <c r="C867" s="12">
        <f t="shared" si="187"/>
        <v>46238.579465891213</v>
      </c>
      <c r="D867" s="13">
        <v>46238.579465891213</v>
      </c>
      <c r="E867" s="2" t="s">
        <v>2659</v>
      </c>
      <c r="F867" s="2" t="str">
        <f t="shared" si="177"/>
        <v>Email Available</v>
      </c>
      <c r="G867" s="2" t="s">
        <v>3481</v>
      </c>
      <c r="H867" s="2" t="s">
        <v>267</v>
      </c>
      <c r="I867" s="2" t="s">
        <v>22</v>
      </c>
      <c r="J867" s="2" t="s">
        <v>268</v>
      </c>
      <c r="K867" s="2">
        <v>1</v>
      </c>
      <c r="L867" s="2">
        <v>18.989999999999998</v>
      </c>
      <c r="M867" s="19">
        <f t="shared" si="178"/>
        <v>18.989999999999998</v>
      </c>
      <c r="N867" s="2" t="s">
        <v>38</v>
      </c>
      <c r="O867" s="2" t="str">
        <f t="shared" si="179"/>
        <v>FREESHIP</v>
      </c>
      <c r="P867" s="2">
        <v>0</v>
      </c>
      <c r="Q867" s="19">
        <f t="shared" si="180"/>
        <v>0</v>
      </c>
      <c r="R867" s="2" t="str">
        <f t="shared" si="181"/>
        <v>Number</v>
      </c>
      <c r="S867" s="2">
        <v>0</v>
      </c>
      <c r="T867" s="19">
        <f t="shared" si="182"/>
        <v>0</v>
      </c>
      <c r="U867" s="2">
        <v>18.989999999999998</v>
      </c>
      <c r="V867" s="19">
        <f t="shared" si="183"/>
        <v>18.989999999999998</v>
      </c>
      <c r="W867" s="19">
        <f t="shared" si="184"/>
        <v>18.989999999999998</v>
      </c>
      <c r="X867" s="19" t="str">
        <f t="shared" si="185"/>
        <v>True</v>
      </c>
      <c r="Y867" s="19" t="str">
        <f>IF(OR(W867&lt;'Cleaning Tasks'!$G$18,W867&gt;'Cleaning Tasks'!$H$18),"Outlier","Normal")</f>
        <v>Normal</v>
      </c>
      <c r="Z867" s="2" t="s">
        <v>49</v>
      </c>
      <c r="AA867" s="2" t="s">
        <v>27</v>
      </c>
      <c r="AB867" s="2" t="s">
        <v>28</v>
      </c>
      <c r="AC867" s="2" t="s">
        <v>29</v>
      </c>
      <c r="AD867" s="2" t="s">
        <v>89</v>
      </c>
      <c r="AE867" s="2" t="str">
        <f t="shared" si="186"/>
        <v>Valid</v>
      </c>
      <c r="AF867" s="2" t="s">
        <v>2660</v>
      </c>
    </row>
    <row r="868" spans="1:32" x14ac:dyDescent="0.3">
      <c r="A868" s="2" t="s">
        <v>2661</v>
      </c>
      <c r="B868" s="2">
        <f t="shared" si="176"/>
        <v>1</v>
      </c>
      <c r="C868" s="12">
        <f t="shared" si="187"/>
        <v>46238.587622187501</v>
      </c>
      <c r="D868" s="13">
        <v>46238.587622187501</v>
      </c>
      <c r="E868" s="2" t="s">
        <v>485</v>
      </c>
      <c r="F868" s="2" t="str">
        <f t="shared" si="177"/>
        <v>Missing Email</v>
      </c>
      <c r="G868" s="2"/>
      <c r="H868" s="2" t="s">
        <v>201</v>
      </c>
      <c r="I868" s="2" t="s">
        <v>191</v>
      </c>
      <c r="J868" s="2" t="s">
        <v>202</v>
      </c>
      <c r="K868" s="2">
        <v>3</v>
      </c>
      <c r="L868" s="2">
        <v>24.99</v>
      </c>
      <c r="M868" s="19">
        <f t="shared" si="178"/>
        <v>24.99</v>
      </c>
      <c r="N868" s="2"/>
      <c r="O868" s="2" t="str">
        <f t="shared" si="179"/>
        <v/>
      </c>
      <c r="P868" s="2">
        <v>0</v>
      </c>
      <c r="Q868" s="19">
        <f t="shared" si="180"/>
        <v>0</v>
      </c>
      <c r="R868" s="2" t="str">
        <f t="shared" si="181"/>
        <v>Number</v>
      </c>
      <c r="S868" s="2">
        <v>7.99</v>
      </c>
      <c r="T868" s="19">
        <f t="shared" si="182"/>
        <v>7.99</v>
      </c>
      <c r="U868" s="2">
        <v>82.96</v>
      </c>
      <c r="V868" s="19">
        <f t="shared" si="183"/>
        <v>82.96</v>
      </c>
      <c r="W868" s="19">
        <f t="shared" si="184"/>
        <v>82.96</v>
      </c>
      <c r="X868" s="19" t="str">
        <f t="shared" si="185"/>
        <v>True</v>
      </c>
      <c r="Y868" s="19" t="str">
        <f>IF(OR(W868&lt;'Cleaning Tasks'!$G$18,W868&gt;'Cleaning Tasks'!$H$18),"Outlier","Normal")</f>
        <v>Outlier</v>
      </c>
      <c r="Z868" s="2" t="s">
        <v>66</v>
      </c>
      <c r="AA868" s="2" t="s">
        <v>27</v>
      </c>
      <c r="AB868" s="2" t="s">
        <v>50</v>
      </c>
      <c r="AC868" s="2" t="s">
        <v>73</v>
      </c>
      <c r="AD868" s="2"/>
      <c r="AE868" s="2" t="str">
        <f t="shared" si="186"/>
        <v>Not Required</v>
      </c>
      <c r="AF868" s="2" t="s">
        <v>1161</v>
      </c>
    </row>
    <row r="869" spans="1:32" x14ac:dyDescent="0.3">
      <c r="A869" s="2" t="s">
        <v>2662</v>
      </c>
      <c r="B869" s="2">
        <f t="shared" si="176"/>
        <v>1</v>
      </c>
      <c r="C869" s="12">
        <f t="shared" si="187"/>
        <v>46238</v>
      </c>
      <c r="D869" s="13" t="s">
        <v>143</v>
      </c>
      <c r="E869" s="2" t="s">
        <v>557</v>
      </c>
      <c r="F869" s="2" t="str">
        <f t="shared" si="177"/>
        <v>Email Available</v>
      </c>
      <c r="G869" s="2" t="s">
        <v>558</v>
      </c>
      <c r="H869" s="2" t="s">
        <v>124</v>
      </c>
      <c r="I869" s="2" t="s">
        <v>79</v>
      </c>
      <c r="J869" s="2" t="s">
        <v>125</v>
      </c>
      <c r="K869" s="2">
        <v>1</v>
      </c>
      <c r="L869" s="2">
        <v>13.99</v>
      </c>
      <c r="M869" s="19">
        <f t="shared" si="178"/>
        <v>13.99</v>
      </c>
      <c r="N869" s="2" t="s">
        <v>24</v>
      </c>
      <c r="O869" s="2" t="str">
        <f t="shared" si="179"/>
        <v>SAVE20</v>
      </c>
      <c r="P869" s="2" t="s">
        <v>2663</v>
      </c>
      <c r="Q869" s="19">
        <f t="shared" si="180"/>
        <v>2.8</v>
      </c>
      <c r="R869" s="2" t="str">
        <f t="shared" si="181"/>
        <v>Number</v>
      </c>
      <c r="S869" s="2">
        <v>4.99</v>
      </c>
      <c r="T869" s="19">
        <f t="shared" si="182"/>
        <v>4.99</v>
      </c>
      <c r="U869" s="2">
        <v>16.18</v>
      </c>
      <c r="V869" s="19">
        <f t="shared" si="183"/>
        <v>16.18</v>
      </c>
      <c r="W869" s="19">
        <f t="shared" si="184"/>
        <v>16.18</v>
      </c>
      <c r="X869" s="19" t="str">
        <f t="shared" si="185"/>
        <v>True</v>
      </c>
      <c r="Y869" s="19" t="str">
        <f>IF(OR(W869&lt;'Cleaning Tasks'!$G$18,W869&gt;'Cleaning Tasks'!$H$18),"Outlier","Normal")</f>
        <v>Normal</v>
      </c>
      <c r="Z869" s="2" t="s">
        <v>26</v>
      </c>
      <c r="AA869" s="2" t="s">
        <v>27</v>
      </c>
      <c r="AB869" s="2" t="s">
        <v>50</v>
      </c>
      <c r="AC869" s="2" t="s">
        <v>42</v>
      </c>
      <c r="AD869" s="2"/>
      <c r="AE869" s="2" t="str">
        <f t="shared" si="186"/>
        <v>Not Required</v>
      </c>
      <c r="AF869" s="2" t="s">
        <v>2664</v>
      </c>
    </row>
    <row r="870" spans="1:32" x14ac:dyDescent="0.3">
      <c r="A870" s="2" t="s">
        <v>2665</v>
      </c>
      <c r="B870" s="2">
        <f t="shared" si="176"/>
        <v>1</v>
      </c>
      <c r="C870" s="12">
        <f t="shared" si="187"/>
        <v>46238.586812372683</v>
      </c>
      <c r="D870" s="13">
        <v>46238.586812372683</v>
      </c>
      <c r="E870" s="2" t="s">
        <v>92</v>
      </c>
      <c r="F870" s="2" t="str">
        <f t="shared" si="177"/>
        <v>Email Available</v>
      </c>
      <c r="G870" s="2" t="s">
        <v>93</v>
      </c>
      <c r="H870" s="2" t="s">
        <v>56</v>
      </c>
      <c r="I870" s="2" t="s">
        <v>22</v>
      </c>
      <c r="J870" s="2" t="s">
        <v>57</v>
      </c>
      <c r="K870" s="2">
        <v>1</v>
      </c>
      <c r="L870" s="2">
        <v>9.99</v>
      </c>
      <c r="M870" s="19">
        <f t="shared" si="178"/>
        <v>9.99</v>
      </c>
      <c r="N870" s="2"/>
      <c r="O870" s="2" t="str">
        <f t="shared" si="179"/>
        <v/>
      </c>
      <c r="P870" s="2">
        <v>0</v>
      </c>
      <c r="Q870" s="19">
        <f t="shared" si="180"/>
        <v>0</v>
      </c>
      <c r="R870" s="2" t="str">
        <f t="shared" si="181"/>
        <v>Number</v>
      </c>
      <c r="S870" s="2">
        <v>7.99</v>
      </c>
      <c r="T870" s="19">
        <f t="shared" si="182"/>
        <v>7.99</v>
      </c>
      <c r="U870" s="2">
        <v>17.98</v>
      </c>
      <c r="V870" s="19">
        <f t="shared" si="183"/>
        <v>17.98</v>
      </c>
      <c r="W870" s="19">
        <f t="shared" si="184"/>
        <v>17.98</v>
      </c>
      <c r="X870" s="19" t="str">
        <f t="shared" si="185"/>
        <v>True</v>
      </c>
      <c r="Y870" s="19" t="str">
        <f>IF(OR(W870&lt;'Cleaning Tasks'!$G$18,W870&gt;'Cleaning Tasks'!$H$18),"Outlier","Normal")</f>
        <v>Normal</v>
      </c>
      <c r="Z870" s="2" t="s">
        <v>39</v>
      </c>
      <c r="AA870" s="2" t="s">
        <v>40</v>
      </c>
      <c r="AB870" s="2" t="s">
        <v>50</v>
      </c>
      <c r="AC870" s="2" t="s">
        <v>42</v>
      </c>
      <c r="AD870" s="2"/>
      <c r="AE870" s="2" t="str">
        <f t="shared" si="186"/>
        <v>Not Required</v>
      </c>
      <c r="AF870" s="2" t="s">
        <v>2666</v>
      </c>
    </row>
    <row r="871" spans="1:32" x14ac:dyDescent="0.3">
      <c r="A871" s="2" t="s">
        <v>2667</v>
      </c>
      <c r="B871" s="2">
        <f t="shared" si="176"/>
        <v>1</v>
      </c>
      <c r="C871" s="12">
        <f t="shared" si="187"/>
        <v>46238</v>
      </c>
      <c r="D871" s="13">
        <v>46238</v>
      </c>
      <c r="E871" s="2" t="s">
        <v>494</v>
      </c>
      <c r="F871" s="2" t="str">
        <f t="shared" si="177"/>
        <v>Email Available</v>
      </c>
      <c r="G871" s="2" t="s">
        <v>495</v>
      </c>
      <c r="H871" s="2" t="s">
        <v>130</v>
      </c>
      <c r="I871" s="2" t="s">
        <v>103</v>
      </c>
      <c r="J871" s="2" t="s">
        <v>131</v>
      </c>
      <c r="K871" s="2">
        <v>1</v>
      </c>
      <c r="L871" s="2">
        <v>16.989999999999998</v>
      </c>
      <c r="M871" s="19">
        <f t="shared" si="178"/>
        <v>16.989999999999998</v>
      </c>
      <c r="N871" s="2" t="s">
        <v>24</v>
      </c>
      <c r="O871" s="2" t="str">
        <f t="shared" si="179"/>
        <v>SAVE20</v>
      </c>
      <c r="P871" s="2">
        <v>3.4</v>
      </c>
      <c r="Q871" s="19">
        <f t="shared" si="180"/>
        <v>3.4</v>
      </c>
      <c r="R871" s="2" t="str">
        <f t="shared" si="181"/>
        <v>Number</v>
      </c>
      <c r="S871" s="2">
        <v>7.99</v>
      </c>
      <c r="T871" s="19">
        <f t="shared" si="182"/>
        <v>7.99</v>
      </c>
      <c r="U871" s="2">
        <v>21.58</v>
      </c>
      <c r="V871" s="19">
        <f t="shared" si="183"/>
        <v>21.58</v>
      </c>
      <c r="W871" s="19">
        <f t="shared" si="184"/>
        <v>21.58</v>
      </c>
      <c r="X871" s="19" t="str">
        <f t="shared" si="185"/>
        <v>True</v>
      </c>
      <c r="Y871" s="19" t="str">
        <f>IF(OR(W871&lt;'Cleaning Tasks'!$G$18,W871&gt;'Cleaning Tasks'!$H$18),"Outlier","Normal")</f>
        <v>Normal</v>
      </c>
      <c r="Z871" s="2" t="s">
        <v>72</v>
      </c>
      <c r="AA871" s="2" t="s">
        <v>27</v>
      </c>
      <c r="AB871" s="2" t="s">
        <v>50</v>
      </c>
      <c r="AC871" s="2" t="s">
        <v>105</v>
      </c>
      <c r="AD871" s="2"/>
      <c r="AE871" s="2" t="str">
        <f t="shared" si="186"/>
        <v>Not Required</v>
      </c>
      <c r="AF871" s="2" t="s">
        <v>2668</v>
      </c>
    </row>
    <row r="872" spans="1:32" x14ac:dyDescent="0.3">
      <c r="A872" s="2" t="s">
        <v>2669</v>
      </c>
      <c r="B872" s="2">
        <f t="shared" si="176"/>
        <v>1</v>
      </c>
      <c r="C872" s="12">
        <f t="shared" si="187"/>
        <v>46238.584300219911</v>
      </c>
      <c r="D872" s="13">
        <v>46238.584300219911</v>
      </c>
      <c r="E872" s="2" t="s">
        <v>809</v>
      </c>
      <c r="F872" s="2" t="str">
        <f t="shared" si="177"/>
        <v>Email Available</v>
      </c>
      <c r="G872" s="2" t="s">
        <v>810</v>
      </c>
      <c r="H872" s="2" t="s">
        <v>35</v>
      </c>
      <c r="I872" s="2" t="s">
        <v>36</v>
      </c>
      <c r="J872" s="2" t="s">
        <v>37</v>
      </c>
      <c r="K872" s="2">
        <v>2</v>
      </c>
      <c r="L872" s="2">
        <v>21.99</v>
      </c>
      <c r="M872" s="19">
        <f t="shared" si="178"/>
        <v>21.99</v>
      </c>
      <c r="N872" s="2" t="s">
        <v>24</v>
      </c>
      <c r="O872" s="2" t="str">
        <f t="shared" si="179"/>
        <v>SAVE20</v>
      </c>
      <c r="P872" s="2">
        <v>8.8000000000000007</v>
      </c>
      <c r="Q872" s="19">
        <f t="shared" si="180"/>
        <v>8.8000000000000007</v>
      </c>
      <c r="R872" s="2" t="str">
        <f t="shared" si="181"/>
        <v>Number</v>
      </c>
      <c r="S872" s="2">
        <v>7.99</v>
      </c>
      <c r="T872" s="19">
        <f t="shared" si="182"/>
        <v>7.99</v>
      </c>
      <c r="U872" s="2">
        <v>43.17</v>
      </c>
      <c r="V872" s="19">
        <f t="shared" si="183"/>
        <v>43.17</v>
      </c>
      <c r="W872" s="19">
        <f t="shared" si="184"/>
        <v>43.169999999999995</v>
      </c>
      <c r="X872" s="19" t="str">
        <f t="shared" si="185"/>
        <v>True</v>
      </c>
      <c r="Y872" s="19" t="str">
        <f>IF(OR(W872&lt;'Cleaning Tasks'!$G$18,W872&gt;'Cleaning Tasks'!$H$18),"Outlier","Normal")</f>
        <v>Normal</v>
      </c>
      <c r="Z872" s="2" t="s">
        <v>66</v>
      </c>
      <c r="AA872" s="2" t="s">
        <v>111</v>
      </c>
      <c r="AB872" s="2" t="s">
        <v>28</v>
      </c>
      <c r="AC872" s="2" t="s">
        <v>29</v>
      </c>
      <c r="AD872" s="2" t="s">
        <v>341</v>
      </c>
      <c r="AE872" s="2" t="str">
        <f t="shared" si="186"/>
        <v>Valid</v>
      </c>
      <c r="AF872" s="2" t="s">
        <v>2670</v>
      </c>
    </row>
    <row r="873" spans="1:32" x14ac:dyDescent="0.3">
      <c r="A873" s="2" t="s">
        <v>2671</v>
      </c>
      <c r="B873" s="2">
        <f t="shared" si="176"/>
        <v>1</v>
      </c>
      <c r="C873" s="12">
        <f t="shared" si="187"/>
        <v>46238.579461134257</v>
      </c>
      <c r="D873" s="13">
        <v>46238.579461134257</v>
      </c>
      <c r="E873" s="2" t="s">
        <v>1391</v>
      </c>
      <c r="F873" s="2" t="str">
        <f t="shared" si="177"/>
        <v>Email Available</v>
      </c>
      <c r="G873" s="2" t="s">
        <v>1392</v>
      </c>
      <c r="H873" s="2" t="s">
        <v>182</v>
      </c>
      <c r="I873" s="2" t="s">
        <v>36</v>
      </c>
      <c r="J873" s="2" t="s">
        <v>183</v>
      </c>
      <c r="K873" s="2">
        <v>2</v>
      </c>
      <c r="L873" s="2">
        <v>11.99</v>
      </c>
      <c r="M873" s="19">
        <f t="shared" si="178"/>
        <v>11.99</v>
      </c>
      <c r="N873" s="2"/>
      <c r="O873" s="2" t="str">
        <f t="shared" si="179"/>
        <v/>
      </c>
      <c r="P873" s="2">
        <v>0</v>
      </c>
      <c r="Q873" s="19">
        <f t="shared" si="180"/>
        <v>0</v>
      </c>
      <c r="R873" s="2" t="str">
        <f t="shared" si="181"/>
        <v>Number</v>
      </c>
      <c r="S873" s="2">
        <v>5.99</v>
      </c>
      <c r="T873" s="19">
        <f t="shared" si="182"/>
        <v>5.99</v>
      </c>
      <c r="U873" s="2">
        <v>29.97</v>
      </c>
      <c r="V873" s="19">
        <f t="shared" si="183"/>
        <v>29.97</v>
      </c>
      <c r="W873" s="19">
        <f t="shared" si="184"/>
        <v>29.97</v>
      </c>
      <c r="X873" s="19" t="str">
        <f t="shared" si="185"/>
        <v>True</v>
      </c>
      <c r="Y873" s="19" t="str">
        <f>IF(OR(W873&lt;'Cleaning Tasks'!$G$18,W873&gt;'Cleaning Tasks'!$H$18),"Outlier","Normal")</f>
        <v>Normal</v>
      </c>
      <c r="Z873" s="2" t="s">
        <v>72</v>
      </c>
      <c r="AA873" s="2" t="s">
        <v>88</v>
      </c>
      <c r="AB873" s="2" t="s">
        <v>96</v>
      </c>
      <c r="AC873" s="2" t="s">
        <v>29</v>
      </c>
      <c r="AD873" s="2" t="s">
        <v>140</v>
      </c>
      <c r="AE873" s="2" t="str">
        <f t="shared" si="186"/>
        <v>Valid</v>
      </c>
      <c r="AF873" s="2" t="s">
        <v>2672</v>
      </c>
    </row>
    <row r="874" spans="1:32" x14ac:dyDescent="0.3">
      <c r="A874" s="2" t="s">
        <v>2673</v>
      </c>
      <c r="B874" s="2">
        <f t="shared" si="176"/>
        <v>1</v>
      </c>
      <c r="C874" s="12">
        <f t="shared" si="187"/>
        <v>46238.584651516197</v>
      </c>
      <c r="D874" s="13">
        <v>46238.584651516197</v>
      </c>
      <c r="E874" s="2" t="s">
        <v>554</v>
      </c>
      <c r="F874" s="2" t="str">
        <f t="shared" si="177"/>
        <v>Email Available</v>
      </c>
      <c r="G874" s="2" t="s">
        <v>45</v>
      </c>
      <c r="H874" s="2" t="s">
        <v>182</v>
      </c>
      <c r="I874" s="2" t="s">
        <v>36</v>
      </c>
      <c r="J874" s="2" t="s">
        <v>183</v>
      </c>
      <c r="K874" s="2">
        <v>1</v>
      </c>
      <c r="L874" s="2">
        <v>11.99</v>
      </c>
      <c r="M874" s="19">
        <f t="shared" si="178"/>
        <v>11.99</v>
      </c>
      <c r="N874" s="2"/>
      <c r="O874" s="2" t="str">
        <f t="shared" si="179"/>
        <v/>
      </c>
      <c r="P874" s="2">
        <v>0</v>
      </c>
      <c r="Q874" s="19">
        <f t="shared" si="180"/>
        <v>0</v>
      </c>
      <c r="R874" s="2" t="str">
        <f t="shared" si="181"/>
        <v>Number</v>
      </c>
      <c r="S874" s="2">
        <v>7.99</v>
      </c>
      <c r="T874" s="19">
        <f t="shared" si="182"/>
        <v>7.99</v>
      </c>
      <c r="U874" s="2">
        <v>19.98</v>
      </c>
      <c r="V874" s="19">
        <f t="shared" si="183"/>
        <v>19.98</v>
      </c>
      <c r="W874" s="19">
        <f t="shared" si="184"/>
        <v>19.98</v>
      </c>
      <c r="X874" s="19" t="str">
        <f t="shared" si="185"/>
        <v>True</v>
      </c>
      <c r="Y874" s="19" t="str">
        <f>IF(OR(W874&lt;'Cleaning Tasks'!$G$18,W874&gt;'Cleaning Tasks'!$H$18),"Outlier","Normal")</f>
        <v>Normal</v>
      </c>
      <c r="Z874" s="2" t="s">
        <v>66</v>
      </c>
      <c r="AA874" s="2" t="s">
        <v>27</v>
      </c>
      <c r="AB874" s="2" t="s">
        <v>50</v>
      </c>
      <c r="AC874" s="2" t="s">
        <v>29</v>
      </c>
      <c r="AD874" s="2" t="s">
        <v>30</v>
      </c>
      <c r="AE874" s="2" t="str">
        <f t="shared" si="186"/>
        <v>Valid</v>
      </c>
      <c r="AF874" s="2" t="s">
        <v>2674</v>
      </c>
    </row>
    <row r="875" spans="1:32" x14ac:dyDescent="0.3">
      <c r="A875" s="2" t="s">
        <v>2675</v>
      </c>
      <c r="B875" s="2">
        <f t="shared" si="176"/>
        <v>1</v>
      </c>
      <c r="C875" s="12">
        <f t="shared" si="187"/>
        <v>46238.585402696757</v>
      </c>
      <c r="D875" s="13">
        <v>46238.585402696757</v>
      </c>
      <c r="E875" s="2" t="s">
        <v>2676</v>
      </c>
      <c r="F875" s="2" t="str">
        <f t="shared" si="177"/>
        <v>Email Available</v>
      </c>
      <c r="G875" s="2" t="s">
        <v>330</v>
      </c>
      <c r="H875" s="2" t="s">
        <v>63</v>
      </c>
      <c r="I875" s="2" t="s">
        <v>47</v>
      </c>
      <c r="J875" s="2" t="s">
        <v>446</v>
      </c>
      <c r="K875" s="2">
        <v>2</v>
      </c>
      <c r="L875" s="2">
        <v>14.99</v>
      </c>
      <c r="M875" s="19">
        <f t="shared" si="178"/>
        <v>14.99</v>
      </c>
      <c r="N875" s="2"/>
      <c r="O875" s="2" t="str">
        <f t="shared" si="179"/>
        <v/>
      </c>
      <c r="P875" s="2">
        <v>0</v>
      </c>
      <c r="Q875" s="19">
        <f t="shared" si="180"/>
        <v>0</v>
      </c>
      <c r="R875" s="2" t="str">
        <f t="shared" si="181"/>
        <v>Number</v>
      </c>
      <c r="S875" s="2">
        <v>5.99</v>
      </c>
      <c r="T875" s="19">
        <f t="shared" si="182"/>
        <v>5.99</v>
      </c>
      <c r="U875" s="2" t="s">
        <v>2677</v>
      </c>
      <c r="V875" s="19">
        <f t="shared" si="183"/>
        <v>35.97</v>
      </c>
      <c r="W875" s="19">
        <f t="shared" si="184"/>
        <v>35.97</v>
      </c>
      <c r="X875" s="19" t="str">
        <f t="shared" si="185"/>
        <v>True</v>
      </c>
      <c r="Y875" s="19" t="str">
        <f>IF(OR(W875&lt;'Cleaning Tasks'!$G$18,W875&gt;'Cleaning Tasks'!$H$18),"Outlier","Normal")</f>
        <v>Normal</v>
      </c>
      <c r="Z875" s="2" t="s">
        <v>66</v>
      </c>
      <c r="AA875" s="2" t="s">
        <v>111</v>
      </c>
      <c r="AB875" s="2" t="s">
        <v>50</v>
      </c>
      <c r="AC875" s="2" t="s">
        <v>331</v>
      </c>
      <c r="AD875" s="2"/>
      <c r="AE875" s="2" t="str">
        <f t="shared" si="186"/>
        <v>Not Required</v>
      </c>
      <c r="AF875" s="2" t="s">
        <v>2678</v>
      </c>
    </row>
    <row r="876" spans="1:32" x14ac:dyDescent="0.3">
      <c r="A876" s="2" t="s">
        <v>2679</v>
      </c>
      <c r="B876" s="2">
        <f t="shared" si="176"/>
        <v>1</v>
      </c>
      <c r="C876" s="12">
        <f t="shared" si="187"/>
        <v>46238</v>
      </c>
      <c r="D876" s="13" t="s">
        <v>143</v>
      </c>
      <c r="E876" s="2" t="s">
        <v>366</v>
      </c>
      <c r="F876" s="2" t="str">
        <f t="shared" si="177"/>
        <v>Email Available</v>
      </c>
      <c r="G876" s="2" t="s">
        <v>367</v>
      </c>
      <c r="H876" s="2" t="s">
        <v>130</v>
      </c>
      <c r="I876" s="2" t="s">
        <v>103</v>
      </c>
      <c r="J876" s="2" t="s">
        <v>131</v>
      </c>
      <c r="K876" s="2">
        <v>1</v>
      </c>
      <c r="L876" s="2">
        <v>16.989999999999998</v>
      </c>
      <c r="M876" s="19">
        <f t="shared" si="178"/>
        <v>16.989999999999998</v>
      </c>
      <c r="N876" s="2"/>
      <c r="O876" s="2" t="str">
        <f t="shared" si="179"/>
        <v/>
      </c>
      <c r="P876" s="2">
        <v>0</v>
      </c>
      <c r="Q876" s="19">
        <f t="shared" si="180"/>
        <v>0</v>
      </c>
      <c r="R876" s="2" t="str">
        <f t="shared" si="181"/>
        <v>Number</v>
      </c>
      <c r="S876" s="2">
        <v>5.99</v>
      </c>
      <c r="T876" s="19">
        <f t="shared" si="182"/>
        <v>5.99</v>
      </c>
      <c r="U876" s="2">
        <v>22.98</v>
      </c>
      <c r="V876" s="19">
        <f t="shared" si="183"/>
        <v>22.98</v>
      </c>
      <c r="W876" s="19">
        <f t="shared" si="184"/>
        <v>22.979999999999997</v>
      </c>
      <c r="X876" s="19" t="str">
        <f t="shared" si="185"/>
        <v>True</v>
      </c>
      <c r="Y876" s="19" t="str">
        <f>IF(OR(W876&lt;'Cleaning Tasks'!$G$18,W876&gt;'Cleaning Tasks'!$H$18),"Outlier","Normal")</f>
        <v>Normal</v>
      </c>
      <c r="Z876" s="2" t="s">
        <v>49</v>
      </c>
      <c r="AA876" s="2" t="s">
        <v>27</v>
      </c>
      <c r="AB876" s="2" t="s">
        <v>50</v>
      </c>
      <c r="AC876" s="2" t="s">
        <v>331</v>
      </c>
      <c r="AD876" s="2"/>
      <c r="AE876" s="2" t="str">
        <f t="shared" si="186"/>
        <v>Not Required</v>
      </c>
      <c r="AF876" s="2" t="s">
        <v>2680</v>
      </c>
    </row>
    <row r="877" spans="1:32" x14ac:dyDescent="0.3">
      <c r="A877" s="2" t="s">
        <v>2681</v>
      </c>
      <c r="B877" s="2">
        <f t="shared" si="176"/>
        <v>1</v>
      </c>
      <c r="C877" s="12">
        <f t="shared" si="187"/>
        <v>46238</v>
      </c>
      <c r="D877" s="13">
        <v>46238</v>
      </c>
      <c r="E877" s="2" t="s">
        <v>2009</v>
      </c>
      <c r="F877" s="2" t="str">
        <f t="shared" si="177"/>
        <v>Email Available</v>
      </c>
      <c r="G877" s="2" t="s">
        <v>2010</v>
      </c>
      <c r="H877" s="2" t="s">
        <v>35</v>
      </c>
      <c r="I877" s="2" t="s">
        <v>36</v>
      </c>
      <c r="J877" s="2" t="s">
        <v>37</v>
      </c>
      <c r="K877" s="2">
        <v>1</v>
      </c>
      <c r="L877" s="2">
        <v>21.99</v>
      </c>
      <c r="M877" s="19">
        <f t="shared" si="178"/>
        <v>21.99</v>
      </c>
      <c r="N877" s="2"/>
      <c r="O877" s="2" t="str">
        <f t="shared" si="179"/>
        <v/>
      </c>
      <c r="P877" s="2">
        <v>0</v>
      </c>
      <c r="Q877" s="19">
        <f t="shared" si="180"/>
        <v>0</v>
      </c>
      <c r="R877" s="2" t="str">
        <f t="shared" si="181"/>
        <v>Number</v>
      </c>
      <c r="S877" s="2">
        <v>4.99</v>
      </c>
      <c r="T877" s="19">
        <f t="shared" si="182"/>
        <v>4.99</v>
      </c>
      <c r="U877" s="2">
        <v>26.98</v>
      </c>
      <c r="V877" s="19">
        <f t="shared" si="183"/>
        <v>26.98</v>
      </c>
      <c r="W877" s="19">
        <f t="shared" si="184"/>
        <v>26.979999999999997</v>
      </c>
      <c r="X877" s="19" t="str">
        <f t="shared" si="185"/>
        <v>True</v>
      </c>
      <c r="Y877" s="19" t="str">
        <f>IF(OR(W877&lt;'Cleaning Tasks'!$G$18,W877&gt;'Cleaning Tasks'!$H$18),"Outlier","Normal")</f>
        <v>Normal</v>
      </c>
      <c r="Z877" s="2" t="s">
        <v>26</v>
      </c>
      <c r="AA877" s="2" t="s">
        <v>88</v>
      </c>
      <c r="AB877" s="2" t="s">
        <v>50</v>
      </c>
      <c r="AC877" s="2" t="s">
        <v>29</v>
      </c>
      <c r="AD877" s="2" t="s">
        <v>112</v>
      </c>
      <c r="AE877" s="2" t="str">
        <f t="shared" si="186"/>
        <v>Valid</v>
      </c>
      <c r="AF877" s="2" t="s">
        <v>2070</v>
      </c>
    </row>
    <row r="878" spans="1:32" x14ac:dyDescent="0.3">
      <c r="A878" s="2" t="s">
        <v>2682</v>
      </c>
      <c r="B878" s="2">
        <f t="shared" si="176"/>
        <v>1</v>
      </c>
      <c r="C878" s="12">
        <f t="shared" si="187"/>
        <v>46238.580592245373</v>
      </c>
      <c r="D878" s="13">
        <v>46238.580592245373</v>
      </c>
      <c r="E878" s="2" t="s">
        <v>2683</v>
      </c>
      <c r="F878" s="2" t="str">
        <f t="shared" si="177"/>
        <v>Email Available</v>
      </c>
      <c r="G878" s="2" t="s">
        <v>2684</v>
      </c>
      <c r="H878" s="2" t="s">
        <v>56</v>
      </c>
      <c r="I878" s="2" t="s">
        <v>22</v>
      </c>
      <c r="J878" s="2" t="s">
        <v>57</v>
      </c>
      <c r="K878" s="2">
        <v>1</v>
      </c>
      <c r="L878" s="2">
        <v>9.99</v>
      </c>
      <c r="M878" s="19">
        <f t="shared" si="178"/>
        <v>9.99</v>
      </c>
      <c r="N878" s="2" t="s">
        <v>24</v>
      </c>
      <c r="O878" s="2" t="str">
        <f t="shared" si="179"/>
        <v>SAVE20</v>
      </c>
      <c r="P878" s="2">
        <v>2</v>
      </c>
      <c r="Q878" s="19">
        <f t="shared" si="180"/>
        <v>2</v>
      </c>
      <c r="R878" s="2" t="str">
        <f t="shared" si="181"/>
        <v>Number</v>
      </c>
      <c r="S878" s="2">
        <v>7.99</v>
      </c>
      <c r="T878" s="19">
        <f t="shared" si="182"/>
        <v>7.99</v>
      </c>
      <c r="U878" s="2">
        <v>15.98</v>
      </c>
      <c r="V878" s="19">
        <f t="shared" si="183"/>
        <v>15.98</v>
      </c>
      <c r="W878" s="19">
        <f t="shared" si="184"/>
        <v>15.98</v>
      </c>
      <c r="X878" s="19" t="str">
        <f t="shared" si="185"/>
        <v>True</v>
      </c>
      <c r="Y878" s="19" t="str">
        <f>IF(OR(W878&lt;'Cleaning Tasks'!$G$18,W878&gt;'Cleaning Tasks'!$H$18),"Outlier","Normal")</f>
        <v>Normal</v>
      </c>
      <c r="Z878" s="2" t="s">
        <v>66</v>
      </c>
      <c r="AA878" s="2" t="s">
        <v>27</v>
      </c>
      <c r="AB878" s="2" t="s">
        <v>28</v>
      </c>
      <c r="AC878" s="2" t="s">
        <v>29</v>
      </c>
      <c r="AD878" s="2" t="s">
        <v>341</v>
      </c>
      <c r="AE878" s="2" t="str">
        <f t="shared" si="186"/>
        <v>Valid</v>
      </c>
      <c r="AF878" s="2" t="s">
        <v>2685</v>
      </c>
    </row>
    <row r="879" spans="1:32" x14ac:dyDescent="0.3">
      <c r="A879" s="2" t="s">
        <v>2686</v>
      </c>
      <c r="B879" s="2">
        <f t="shared" si="176"/>
        <v>1</v>
      </c>
      <c r="C879" s="12">
        <f t="shared" si="187"/>
        <v>46238</v>
      </c>
      <c r="D879" s="13">
        <v>46238</v>
      </c>
      <c r="E879" s="2" t="s">
        <v>1490</v>
      </c>
      <c r="F879" s="2" t="str">
        <f t="shared" si="177"/>
        <v>Email Available</v>
      </c>
      <c r="G879" s="2" t="s">
        <v>1981</v>
      </c>
      <c r="H879" s="2" t="s">
        <v>85</v>
      </c>
      <c r="I879" s="2" t="s">
        <v>86</v>
      </c>
      <c r="J879" s="2" t="s">
        <v>87</v>
      </c>
      <c r="K879" s="2">
        <v>1</v>
      </c>
      <c r="L879" s="2">
        <v>54.99</v>
      </c>
      <c r="M879" s="19">
        <f t="shared" si="178"/>
        <v>54.99</v>
      </c>
      <c r="N879" s="2"/>
      <c r="O879" s="2" t="str">
        <f t="shared" si="179"/>
        <v/>
      </c>
      <c r="P879" s="2" t="s">
        <v>184</v>
      </c>
      <c r="Q879" s="19">
        <f t="shared" si="180"/>
        <v>0</v>
      </c>
      <c r="R879" s="2" t="str">
        <f t="shared" si="181"/>
        <v>Number</v>
      </c>
      <c r="S879" s="2">
        <v>5.99</v>
      </c>
      <c r="T879" s="19">
        <f t="shared" si="182"/>
        <v>5.99</v>
      </c>
      <c r="U879" s="2">
        <v>60.98</v>
      </c>
      <c r="V879" s="19">
        <f t="shared" si="183"/>
        <v>60.98</v>
      </c>
      <c r="W879" s="19">
        <f t="shared" si="184"/>
        <v>60.980000000000004</v>
      </c>
      <c r="X879" s="19" t="str">
        <f t="shared" si="185"/>
        <v>True</v>
      </c>
      <c r="Y879" s="19" t="str">
        <f>IF(OR(W879&lt;'Cleaning Tasks'!$G$18,W879&gt;'Cleaning Tasks'!$H$18),"Outlier","Normal")</f>
        <v>Normal</v>
      </c>
      <c r="Z879" s="2" t="s">
        <v>72</v>
      </c>
      <c r="AA879" s="2" t="s">
        <v>40</v>
      </c>
      <c r="AB879" s="2" t="s">
        <v>50</v>
      </c>
      <c r="AC879" s="2" t="s">
        <v>42</v>
      </c>
      <c r="AD879" s="2"/>
      <c r="AE879" s="2" t="str">
        <f t="shared" si="186"/>
        <v>Not Required</v>
      </c>
      <c r="AF879" s="2" t="s">
        <v>2687</v>
      </c>
    </row>
    <row r="880" spans="1:32" x14ac:dyDescent="0.3">
      <c r="A880" s="2" t="s">
        <v>2688</v>
      </c>
      <c r="B880" s="2">
        <f t="shared" si="176"/>
        <v>1</v>
      </c>
      <c r="C880" s="12">
        <f t="shared" si="187"/>
        <v>46238.58676539352</v>
      </c>
      <c r="D880" s="13">
        <v>46238.58676539352</v>
      </c>
      <c r="E880" s="2" t="s">
        <v>1041</v>
      </c>
      <c r="F880" s="2" t="str">
        <f t="shared" si="177"/>
        <v>Email Available</v>
      </c>
      <c r="G880" s="2" t="s">
        <v>1042</v>
      </c>
      <c r="H880" s="2" t="s">
        <v>146</v>
      </c>
      <c r="I880" s="2" t="s">
        <v>47</v>
      </c>
      <c r="J880" s="2" t="s">
        <v>147</v>
      </c>
      <c r="K880" s="2">
        <v>1</v>
      </c>
      <c r="L880" s="2" t="s">
        <v>340</v>
      </c>
      <c r="M880" s="19">
        <f t="shared" si="178"/>
        <v>34.99</v>
      </c>
      <c r="N880" s="2"/>
      <c r="O880" s="2" t="str">
        <f t="shared" si="179"/>
        <v/>
      </c>
      <c r="P880" s="2">
        <v>0</v>
      </c>
      <c r="Q880" s="19">
        <f t="shared" si="180"/>
        <v>0</v>
      </c>
      <c r="R880" s="2" t="str">
        <f t="shared" si="181"/>
        <v>Number</v>
      </c>
      <c r="S880" s="2">
        <v>5.99</v>
      </c>
      <c r="T880" s="19">
        <f t="shared" si="182"/>
        <v>5.99</v>
      </c>
      <c r="U880" s="2">
        <v>40.98</v>
      </c>
      <c r="V880" s="19">
        <f t="shared" si="183"/>
        <v>40.98</v>
      </c>
      <c r="W880" s="19">
        <f t="shared" si="184"/>
        <v>40.980000000000004</v>
      </c>
      <c r="X880" s="19" t="str">
        <f t="shared" si="185"/>
        <v>True</v>
      </c>
      <c r="Y880" s="19" t="str">
        <f>IF(OR(W880&lt;'Cleaning Tasks'!$G$18,W880&gt;'Cleaning Tasks'!$H$18),"Outlier","Normal")</f>
        <v>Normal</v>
      </c>
      <c r="Z880" s="2" t="s">
        <v>49</v>
      </c>
      <c r="AA880" s="2" t="s">
        <v>40</v>
      </c>
      <c r="AB880" s="2" t="s">
        <v>50</v>
      </c>
      <c r="AC880" s="2" t="s">
        <v>29</v>
      </c>
      <c r="AD880" s="2" t="s">
        <v>243</v>
      </c>
      <c r="AE880" s="2" t="str">
        <f t="shared" si="186"/>
        <v>Valid</v>
      </c>
      <c r="AF880" s="2" t="s">
        <v>2689</v>
      </c>
    </row>
    <row r="881" spans="1:32" x14ac:dyDescent="0.3">
      <c r="A881" s="2" t="s">
        <v>2690</v>
      </c>
      <c r="B881" s="2">
        <f t="shared" si="176"/>
        <v>1</v>
      </c>
      <c r="C881" s="12">
        <f t="shared" si="187"/>
        <v>46238.581495057872</v>
      </c>
      <c r="D881" s="13">
        <v>46238.581495057872</v>
      </c>
      <c r="E881" s="2" t="s">
        <v>561</v>
      </c>
      <c r="F881" s="2" t="str">
        <f t="shared" si="177"/>
        <v>Email Available</v>
      </c>
      <c r="G881" s="2" t="s">
        <v>562</v>
      </c>
      <c r="H881" s="2" t="s">
        <v>261</v>
      </c>
      <c r="I881" s="2" t="s">
        <v>36</v>
      </c>
      <c r="J881" s="2" t="s">
        <v>262</v>
      </c>
      <c r="K881" s="2">
        <v>1</v>
      </c>
      <c r="L881" s="2">
        <v>15.49</v>
      </c>
      <c r="M881" s="19">
        <f t="shared" si="178"/>
        <v>15.49</v>
      </c>
      <c r="N881" s="2" t="s">
        <v>38</v>
      </c>
      <c r="O881" s="2" t="str">
        <f t="shared" si="179"/>
        <v>FREESHIP</v>
      </c>
      <c r="P881" s="2">
        <v>0</v>
      </c>
      <c r="Q881" s="19">
        <f t="shared" si="180"/>
        <v>0</v>
      </c>
      <c r="R881" s="2" t="str">
        <f t="shared" si="181"/>
        <v>Number</v>
      </c>
      <c r="S881" s="2">
        <v>0</v>
      </c>
      <c r="T881" s="19">
        <f t="shared" si="182"/>
        <v>0</v>
      </c>
      <c r="U881" s="2">
        <v>15.49</v>
      </c>
      <c r="V881" s="19">
        <f t="shared" si="183"/>
        <v>15.49</v>
      </c>
      <c r="W881" s="19">
        <f t="shared" si="184"/>
        <v>15.49</v>
      </c>
      <c r="X881" s="19" t="str">
        <f t="shared" si="185"/>
        <v>True</v>
      </c>
      <c r="Y881" s="19" t="str">
        <f>IF(OR(W881&lt;'Cleaning Tasks'!$G$18,W881&gt;'Cleaning Tasks'!$H$18),"Outlier","Normal")</f>
        <v>Normal</v>
      </c>
      <c r="Z881" s="2" t="s">
        <v>26</v>
      </c>
      <c r="AA881" s="2" t="s">
        <v>40</v>
      </c>
      <c r="AB881" s="2" t="s">
        <v>50</v>
      </c>
      <c r="AC881" s="2" t="s">
        <v>331</v>
      </c>
      <c r="AD881" s="2"/>
      <c r="AE881" s="2" t="str">
        <f t="shared" si="186"/>
        <v>Not Required</v>
      </c>
      <c r="AF881" s="2" t="s">
        <v>2691</v>
      </c>
    </row>
    <row r="882" spans="1:32" x14ac:dyDescent="0.3">
      <c r="A882" s="2" t="s">
        <v>2692</v>
      </c>
      <c r="B882" s="2">
        <f t="shared" si="176"/>
        <v>1</v>
      </c>
      <c r="C882" s="12">
        <f t="shared" si="187"/>
        <v>46238.579496967592</v>
      </c>
      <c r="D882" s="13">
        <v>46238.579496967592</v>
      </c>
      <c r="E882" s="2" t="s">
        <v>2693</v>
      </c>
      <c r="F882" s="2" t="str">
        <f t="shared" si="177"/>
        <v>Email Available</v>
      </c>
      <c r="G882" s="2" t="s">
        <v>2694</v>
      </c>
      <c r="H882" s="2" t="s">
        <v>267</v>
      </c>
      <c r="I882" s="2" t="s">
        <v>22</v>
      </c>
      <c r="J882" s="2" t="s">
        <v>268</v>
      </c>
      <c r="K882" s="2">
        <v>1</v>
      </c>
      <c r="L882" s="2">
        <v>18.989999999999998</v>
      </c>
      <c r="M882" s="19">
        <f t="shared" si="178"/>
        <v>18.989999999999998</v>
      </c>
      <c r="N882" s="2" t="s">
        <v>38</v>
      </c>
      <c r="O882" s="2" t="str">
        <f t="shared" si="179"/>
        <v>FREESHIP</v>
      </c>
      <c r="P882" s="2">
        <v>0</v>
      </c>
      <c r="Q882" s="19">
        <f t="shared" si="180"/>
        <v>0</v>
      </c>
      <c r="R882" s="2" t="str">
        <f t="shared" si="181"/>
        <v>Number</v>
      </c>
      <c r="S882" s="2">
        <v>0</v>
      </c>
      <c r="T882" s="19">
        <f t="shared" si="182"/>
        <v>0</v>
      </c>
      <c r="U882" s="2">
        <v>18.989999999999998</v>
      </c>
      <c r="V882" s="19">
        <f t="shared" si="183"/>
        <v>18.989999999999998</v>
      </c>
      <c r="W882" s="19">
        <f t="shared" si="184"/>
        <v>18.989999999999998</v>
      </c>
      <c r="X882" s="19" t="str">
        <f t="shared" si="185"/>
        <v>True</v>
      </c>
      <c r="Y882" s="19" t="str">
        <f>IF(OR(W882&lt;'Cleaning Tasks'!$G$18,W882&gt;'Cleaning Tasks'!$H$18),"Outlier","Normal")</f>
        <v>Normal</v>
      </c>
      <c r="Z882" s="2" t="s">
        <v>72</v>
      </c>
      <c r="AA882" s="2" t="s">
        <v>88</v>
      </c>
      <c r="AB882" s="2" t="s">
        <v>96</v>
      </c>
      <c r="AC882" s="2" t="s">
        <v>29</v>
      </c>
      <c r="AD882" s="2" t="s">
        <v>58</v>
      </c>
      <c r="AE882" s="2" t="str">
        <f t="shared" si="186"/>
        <v>Valid</v>
      </c>
      <c r="AF882" s="2" t="s">
        <v>2695</v>
      </c>
    </row>
    <row r="883" spans="1:32" x14ac:dyDescent="0.3">
      <c r="A883" s="2" t="s">
        <v>2696</v>
      </c>
      <c r="B883" s="2">
        <f t="shared" si="176"/>
        <v>1</v>
      </c>
      <c r="C883" s="12">
        <f t="shared" si="187"/>
        <v>46238.586845127313</v>
      </c>
      <c r="D883" s="13">
        <v>46238.586845127313</v>
      </c>
      <c r="E883" s="2" t="s">
        <v>1836</v>
      </c>
      <c r="F883" s="2" t="str">
        <f t="shared" si="177"/>
        <v>Email Available</v>
      </c>
      <c r="G883" s="2" t="s">
        <v>1837</v>
      </c>
      <c r="H883" s="2" t="s">
        <v>182</v>
      </c>
      <c r="I883" s="2" t="s">
        <v>36</v>
      </c>
      <c r="J883" s="2" t="s">
        <v>183</v>
      </c>
      <c r="K883" s="2">
        <v>1</v>
      </c>
      <c r="L883" s="2">
        <v>11.99</v>
      </c>
      <c r="M883" s="19">
        <f t="shared" si="178"/>
        <v>11.99</v>
      </c>
      <c r="N883" s="2"/>
      <c r="O883" s="2" t="str">
        <f t="shared" si="179"/>
        <v/>
      </c>
      <c r="P883" s="2">
        <v>0</v>
      </c>
      <c r="Q883" s="19">
        <f t="shared" si="180"/>
        <v>0</v>
      </c>
      <c r="R883" s="2" t="str">
        <f t="shared" si="181"/>
        <v>Number</v>
      </c>
      <c r="S883" s="2">
        <v>5.99</v>
      </c>
      <c r="T883" s="19">
        <f t="shared" si="182"/>
        <v>5.99</v>
      </c>
      <c r="U883" s="2">
        <v>17.98</v>
      </c>
      <c r="V883" s="19">
        <f t="shared" si="183"/>
        <v>17.98</v>
      </c>
      <c r="W883" s="19">
        <f t="shared" si="184"/>
        <v>17.98</v>
      </c>
      <c r="X883" s="19" t="str">
        <f t="shared" si="185"/>
        <v>True</v>
      </c>
      <c r="Y883" s="19" t="str">
        <f>IF(OR(W883&lt;'Cleaning Tasks'!$G$18,W883&gt;'Cleaning Tasks'!$H$18),"Outlier","Normal")</f>
        <v>Normal</v>
      </c>
      <c r="Z883" s="2" t="s">
        <v>39</v>
      </c>
      <c r="AA883" s="2" t="s">
        <v>88</v>
      </c>
      <c r="AB883" s="2" t="s">
        <v>50</v>
      </c>
      <c r="AC883" s="2" t="s">
        <v>42</v>
      </c>
      <c r="AD883" s="2"/>
      <c r="AE883" s="2" t="str">
        <f t="shared" si="186"/>
        <v>Not Required</v>
      </c>
      <c r="AF883" s="2" t="s">
        <v>2697</v>
      </c>
    </row>
    <row r="884" spans="1:32" x14ac:dyDescent="0.3">
      <c r="A884" s="2" t="s">
        <v>2698</v>
      </c>
      <c r="B884" s="2">
        <f t="shared" si="176"/>
        <v>1</v>
      </c>
      <c r="C884" s="12">
        <f t="shared" si="187"/>
        <v>46238</v>
      </c>
      <c r="D884" s="13">
        <v>46238</v>
      </c>
      <c r="E884" s="2" t="s">
        <v>581</v>
      </c>
      <c r="F884" s="2" t="str">
        <f t="shared" si="177"/>
        <v>Missing Email</v>
      </c>
      <c r="G884" s="2"/>
      <c r="H884" s="2" t="s">
        <v>85</v>
      </c>
      <c r="I884" s="2" t="s">
        <v>86</v>
      </c>
      <c r="J884" s="2" t="s">
        <v>87</v>
      </c>
      <c r="K884" s="2">
        <v>2</v>
      </c>
      <c r="L884" s="2">
        <v>54.99</v>
      </c>
      <c r="M884" s="19">
        <f t="shared" si="178"/>
        <v>54.99</v>
      </c>
      <c r="N884" s="2" t="s">
        <v>24</v>
      </c>
      <c r="O884" s="2" t="str">
        <f t="shared" si="179"/>
        <v>SAVE20</v>
      </c>
      <c r="P884" s="2">
        <v>22</v>
      </c>
      <c r="Q884" s="19">
        <f t="shared" si="180"/>
        <v>22</v>
      </c>
      <c r="R884" s="2" t="str">
        <f t="shared" si="181"/>
        <v>Number</v>
      </c>
      <c r="S884" s="2">
        <v>0</v>
      </c>
      <c r="T884" s="19">
        <f t="shared" si="182"/>
        <v>0</v>
      </c>
      <c r="U884" s="2" t="s">
        <v>2206</v>
      </c>
      <c r="V884" s="19">
        <f t="shared" si="183"/>
        <v>87.98</v>
      </c>
      <c r="W884" s="19">
        <f t="shared" si="184"/>
        <v>87.98</v>
      </c>
      <c r="X884" s="19" t="str">
        <f t="shared" si="185"/>
        <v>True</v>
      </c>
      <c r="Y884" s="19" t="str">
        <f>IF(OR(W884&lt;'Cleaning Tasks'!$G$18,W884&gt;'Cleaning Tasks'!$H$18),"Outlier","Normal")</f>
        <v>Outlier</v>
      </c>
      <c r="Z884" s="2" t="s">
        <v>66</v>
      </c>
      <c r="AA884" s="2" t="s">
        <v>40</v>
      </c>
      <c r="AB884" s="2" t="s">
        <v>50</v>
      </c>
      <c r="AC884" s="2" t="s">
        <v>29</v>
      </c>
      <c r="AD884" s="22" t="s">
        <v>67</v>
      </c>
      <c r="AE884" s="2" t="str">
        <f t="shared" si="186"/>
        <v>Valid</v>
      </c>
      <c r="AF884" s="2" t="s">
        <v>2699</v>
      </c>
    </row>
    <row r="885" spans="1:32" x14ac:dyDescent="0.3">
      <c r="A885" s="2" t="s">
        <v>2700</v>
      </c>
      <c r="B885" s="2">
        <f t="shared" si="176"/>
        <v>1</v>
      </c>
      <c r="C885" s="12">
        <f t="shared" si="187"/>
        <v>46238.581126064812</v>
      </c>
      <c r="D885" s="13">
        <v>46238.581126064812</v>
      </c>
      <c r="E885" s="2" t="s">
        <v>2701</v>
      </c>
      <c r="F885" s="2" t="str">
        <f t="shared" si="177"/>
        <v>Email Available</v>
      </c>
      <c r="G885" s="2" t="s">
        <v>1350</v>
      </c>
      <c r="H885" s="2" t="s">
        <v>63</v>
      </c>
      <c r="I885" s="2" t="s">
        <v>47</v>
      </c>
      <c r="J885" s="2" t="s">
        <v>64</v>
      </c>
      <c r="K885" s="2">
        <v>1</v>
      </c>
      <c r="L885" s="2">
        <v>14.99</v>
      </c>
      <c r="M885" s="19">
        <f t="shared" si="178"/>
        <v>14.99</v>
      </c>
      <c r="N885" s="2"/>
      <c r="O885" s="2" t="str">
        <f t="shared" si="179"/>
        <v/>
      </c>
      <c r="P885" s="2">
        <v>0</v>
      </c>
      <c r="Q885" s="19">
        <f t="shared" si="180"/>
        <v>0</v>
      </c>
      <c r="R885" s="2" t="str">
        <f t="shared" si="181"/>
        <v>Number</v>
      </c>
      <c r="S885" s="2">
        <v>7.99</v>
      </c>
      <c r="T885" s="19">
        <f t="shared" si="182"/>
        <v>7.99</v>
      </c>
      <c r="U885" s="2">
        <v>22.98</v>
      </c>
      <c r="V885" s="19">
        <f t="shared" si="183"/>
        <v>22.98</v>
      </c>
      <c r="W885" s="19">
        <f t="shared" si="184"/>
        <v>22.98</v>
      </c>
      <c r="X885" s="19" t="str">
        <f t="shared" si="185"/>
        <v>True</v>
      </c>
      <c r="Y885" s="19" t="str">
        <f>IF(OR(W885&lt;'Cleaning Tasks'!$G$18,W885&gt;'Cleaning Tasks'!$H$18),"Outlier","Normal")</f>
        <v>Normal</v>
      </c>
      <c r="Z885" s="2" t="s">
        <v>26</v>
      </c>
      <c r="AA885" s="2" t="s">
        <v>88</v>
      </c>
      <c r="AB885" s="2" t="s">
        <v>50</v>
      </c>
      <c r="AC885" s="2" t="s">
        <v>42</v>
      </c>
      <c r="AD885" s="2"/>
      <c r="AE885" s="2" t="str">
        <f t="shared" si="186"/>
        <v>Not Required</v>
      </c>
      <c r="AF885" s="2" t="s">
        <v>2702</v>
      </c>
    </row>
    <row r="886" spans="1:32" x14ac:dyDescent="0.3">
      <c r="A886" s="2" t="s">
        <v>2703</v>
      </c>
      <c r="B886" s="2">
        <f t="shared" si="176"/>
        <v>1</v>
      </c>
      <c r="C886" s="12">
        <f t="shared" ref="C886:C911" si="188">IF(ISNUMBER(D886),D886,DATEVALUE(SUBSTITUTE(TRIM(D886),CHAR(160)," ")))</f>
        <v>46238.580362141212</v>
      </c>
      <c r="D886" s="13">
        <v>46238.580362141212</v>
      </c>
      <c r="E886" s="2" t="s">
        <v>748</v>
      </c>
      <c r="F886" s="2" t="str">
        <f t="shared" si="177"/>
        <v>Email Available</v>
      </c>
      <c r="G886" s="2" t="s">
        <v>749</v>
      </c>
      <c r="H886" s="2" t="s">
        <v>35</v>
      </c>
      <c r="I886" s="2" t="s">
        <v>36</v>
      </c>
      <c r="J886" s="2" t="s">
        <v>37</v>
      </c>
      <c r="K886" s="2">
        <v>1</v>
      </c>
      <c r="L886" s="2">
        <v>21.99</v>
      </c>
      <c r="M886" s="19">
        <f t="shared" si="178"/>
        <v>21.99</v>
      </c>
      <c r="N886" s="2"/>
      <c r="O886" s="2" t="str">
        <f t="shared" si="179"/>
        <v/>
      </c>
      <c r="P886" s="2">
        <v>0</v>
      </c>
      <c r="Q886" s="19">
        <f t="shared" si="180"/>
        <v>0</v>
      </c>
      <c r="R886" s="2" t="str">
        <f t="shared" si="181"/>
        <v>Number</v>
      </c>
      <c r="S886" s="2">
        <v>7.99</v>
      </c>
      <c r="T886" s="19">
        <f t="shared" si="182"/>
        <v>7.99</v>
      </c>
      <c r="U886" s="2" t="s">
        <v>2219</v>
      </c>
      <c r="V886" s="19">
        <f t="shared" si="183"/>
        <v>29.98</v>
      </c>
      <c r="W886" s="19">
        <f t="shared" si="184"/>
        <v>29.979999999999997</v>
      </c>
      <c r="X886" s="19" t="str">
        <f t="shared" si="185"/>
        <v>True</v>
      </c>
      <c r="Y886" s="19" t="str">
        <f>IF(OR(W886&lt;'Cleaning Tasks'!$G$18,W886&gt;'Cleaning Tasks'!$H$18),"Outlier","Normal")</f>
        <v>Normal</v>
      </c>
      <c r="Z886" s="2" t="s">
        <v>26</v>
      </c>
      <c r="AA886" s="2" t="s">
        <v>27</v>
      </c>
      <c r="AB886" s="2" t="s">
        <v>28</v>
      </c>
      <c r="AC886" s="2" t="s">
        <v>29</v>
      </c>
      <c r="AD886" s="22" t="s">
        <v>140</v>
      </c>
      <c r="AE886" s="2" t="str">
        <f t="shared" si="186"/>
        <v>Valid</v>
      </c>
      <c r="AF886" s="2" t="s">
        <v>2704</v>
      </c>
    </row>
    <row r="887" spans="1:32" x14ac:dyDescent="0.3">
      <c r="A887" s="2" t="s">
        <v>2705</v>
      </c>
      <c r="B887" s="2">
        <f t="shared" si="176"/>
        <v>1</v>
      </c>
      <c r="C887" s="12">
        <f t="shared" si="188"/>
        <v>46238.579044942133</v>
      </c>
      <c r="D887" s="13">
        <v>46238.579044942133</v>
      </c>
      <c r="E887" s="2" t="s">
        <v>581</v>
      </c>
      <c r="F887" s="2" t="str">
        <f t="shared" si="177"/>
        <v>Missing Email</v>
      </c>
      <c r="G887" s="2"/>
      <c r="H887" s="2" t="s">
        <v>309</v>
      </c>
      <c r="I887" s="2" t="s">
        <v>36</v>
      </c>
      <c r="J887" s="2" t="s">
        <v>310</v>
      </c>
      <c r="K887" s="2">
        <v>1</v>
      </c>
      <c r="L887" s="2">
        <v>8.99</v>
      </c>
      <c r="M887" s="19">
        <f t="shared" si="178"/>
        <v>8.99</v>
      </c>
      <c r="N887" s="2"/>
      <c r="O887" s="2" t="str">
        <f t="shared" si="179"/>
        <v/>
      </c>
      <c r="P887" s="2">
        <v>0</v>
      </c>
      <c r="Q887" s="19">
        <f t="shared" si="180"/>
        <v>0</v>
      </c>
      <c r="R887" s="2" t="str">
        <f t="shared" si="181"/>
        <v>Number</v>
      </c>
      <c r="S887" s="2">
        <v>4.99</v>
      </c>
      <c r="T887" s="19">
        <f t="shared" si="182"/>
        <v>4.99</v>
      </c>
      <c r="U887" s="2">
        <v>13.98</v>
      </c>
      <c r="V887" s="19">
        <f t="shared" si="183"/>
        <v>13.98</v>
      </c>
      <c r="W887" s="19">
        <f t="shared" si="184"/>
        <v>13.98</v>
      </c>
      <c r="X887" s="19" t="str">
        <f t="shared" si="185"/>
        <v>True</v>
      </c>
      <c r="Y887" s="19" t="str">
        <f>IF(OR(W887&lt;'Cleaning Tasks'!$G$18,W887&gt;'Cleaning Tasks'!$H$18),"Outlier","Normal")</f>
        <v>Normal</v>
      </c>
      <c r="Z887" s="2" t="s">
        <v>72</v>
      </c>
      <c r="AA887" s="2" t="s">
        <v>27</v>
      </c>
      <c r="AB887" s="2" t="s">
        <v>41</v>
      </c>
      <c r="AC887" s="2" t="s">
        <v>29</v>
      </c>
      <c r="AD887" s="2" t="s">
        <v>67</v>
      </c>
      <c r="AE887" s="2" t="str">
        <f t="shared" si="186"/>
        <v>Valid</v>
      </c>
      <c r="AF887" s="2" t="s">
        <v>2706</v>
      </c>
    </row>
    <row r="888" spans="1:32" x14ac:dyDescent="0.3">
      <c r="A888" s="2" t="s">
        <v>2707</v>
      </c>
      <c r="B888" s="2">
        <f t="shared" si="176"/>
        <v>1</v>
      </c>
      <c r="C888" s="12">
        <f t="shared" si="188"/>
        <v>46238.583871111106</v>
      </c>
      <c r="D888" s="13">
        <v>46238.583871111106</v>
      </c>
      <c r="E888" s="2" t="s">
        <v>629</v>
      </c>
      <c r="F888" s="2" t="str">
        <f t="shared" si="177"/>
        <v>Email Available</v>
      </c>
      <c r="G888" s="2" t="s">
        <v>630</v>
      </c>
      <c r="H888" s="2" t="s">
        <v>146</v>
      </c>
      <c r="I888" s="2" t="s">
        <v>47</v>
      </c>
      <c r="J888" s="2" t="s">
        <v>147</v>
      </c>
      <c r="K888" s="2">
        <v>1</v>
      </c>
      <c r="L888" s="2">
        <v>34.99</v>
      </c>
      <c r="M888" s="19">
        <f t="shared" si="178"/>
        <v>34.99</v>
      </c>
      <c r="N888" s="2"/>
      <c r="O888" s="2" t="str">
        <f t="shared" si="179"/>
        <v/>
      </c>
      <c r="P888" s="2">
        <v>0</v>
      </c>
      <c r="Q888" s="19">
        <f t="shared" si="180"/>
        <v>0</v>
      </c>
      <c r="R888" s="2" t="str">
        <f t="shared" si="181"/>
        <v>Number</v>
      </c>
      <c r="S888" s="2">
        <v>7.99</v>
      </c>
      <c r="T888" s="19">
        <f t="shared" si="182"/>
        <v>7.99</v>
      </c>
      <c r="U888" s="2">
        <v>42.98</v>
      </c>
      <c r="V888" s="19">
        <f t="shared" si="183"/>
        <v>42.98</v>
      </c>
      <c r="W888" s="19">
        <f t="shared" si="184"/>
        <v>42.980000000000004</v>
      </c>
      <c r="X888" s="19" t="str">
        <f t="shared" si="185"/>
        <v>True</v>
      </c>
      <c r="Y888" s="19" t="str">
        <f>IF(OR(W888&lt;'Cleaning Tasks'!$G$18,W888&gt;'Cleaning Tasks'!$H$18),"Outlier","Normal")</f>
        <v>Normal</v>
      </c>
      <c r="Z888" s="2" t="s">
        <v>26</v>
      </c>
      <c r="AA888" s="2" t="s">
        <v>27</v>
      </c>
      <c r="AB888" s="2" t="s">
        <v>50</v>
      </c>
      <c r="AC888" s="2" t="s">
        <v>29</v>
      </c>
      <c r="AD888" s="2" t="s">
        <v>447</v>
      </c>
      <c r="AE888" s="2" t="str">
        <f t="shared" si="186"/>
        <v>Valid</v>
      </c>
      <c r="AF888" s="2" t="s">
        <v>2708</v>
      </c>
    </row>
    <row r="889" spans="1:32" x14ac:dyDescent="0.3">
      <c r="A889" s="2" t="s">
        <v>2709</v>
      </c>
      <c r="B889" s="2">
        <f t="shared" si="176"/>
        <v>1</v>
      </c>
      <c r="C889" s="12">
        <f t="shared" si="188"/>
        <v>46238.587308148148</v>
      </c>
      <c r="D889" s="13">
        <v>46238.587308148148</v>
      </c>
      <c r="E889" s="2" t="s">
        <v>473</v>
      </c>
      <c r="F889" s="2" t="str">
        <f t="shared" si="177"/>
        <v>Email Available</v>
      </c>
      <c r="G889" s="2" t="s">
        <v>474</v>
      </c>
      <c r="H889" s="2" t="s">
        <v>267</v>
      </c>
      <c r="I889" s="2" t="s">
        <v>22</v>
      </c>
      <c r="J889" s="2" t="s">
        <v>268</v>
      </c>
      <c r="K889" s="2">
        <v>1</v>
      </c>
      <c r="L889" s="2">
        <v>18.989999999999998</v>
      </c>
      <c r="M889" s="19">
        <f t="shared" si="178"/>
        <v>18.989999999999998</v>
      </c>
      <c r="N889" s="2"/>
      <c r="O889" s="2" t="str">
        <f t="shared" si="179"/>
        <v/>
      </c>
      <c r="P889" s="2">
        <v>0</v>
      </c>
      <c r="Q889" s="19">
        <f t="shared" si="180"/>
        <v>0</v>
      </c>
      <c r="R889" s="2" t="str">
        <f t="shared" si="181"/>
        <v>Number</v>
      </c>
      <c r="S889" s="2">
        <v>5.99</v>
      </c>
      <c r="T889" s="19">
        <f t="shared" si="182"/>
        <v>5.99</v>
      </c>
      <c r="U889" s="2">
        <v>24.98</v>
      </c>
      <c r="V889" s="19">
        <f t="shared" si="183"/>
        <v>24.98</v>
      </c>
      <c r="W889" s="19">
        <f t="shared" si="184"/>
        <v>24.979999999999997</v>
      </c>
      <c r="X889" s="19" t="str">
        <f t="shared" si="185"/>
        <v>True</v>
      </c>
      <c r="Y889" s="19" t="str">
        <f>IF(OR(W889&lt;'Cleaning Tasks'!$G$18,W889&gt;'Cleaning Tasks'!$H$18),"Outlier","Normal")</f>
        <v>Normal</v>
      </c>
      <c r="Z889" s="2" t="s">
        <v>39</v>
      </c>
      <c r="AA889" s="2" t="s">
        <v>27</v>
      </c>
      <c r="AB889" s="2" t="s">
        <v>50</v>
      </c>
      <c r="AC889" s="2" t="s">
        <v>73</v>
      </c>
      <c r="AD889" s="2"/>
      <c r="AE889" s="2" t="str">
        <f t="shared" si="186"/>
        <v>Not Required</v>
      </c>
      <c r="AF889" s="2" t="s">
        <v>2710</v>
      </c>
    </row>
    <row r="890" spans="1:32" x14ac:dyDescent="0.3">
      <c r="A890" s="2" t="s">
        <v>2711</v>
      </c>
      <c r="B890" s="2">
        <f t="shared" si="176"/>
        <v>1</v>
      </c>
      <c r="C890" s="12">
        <f t="shared" si="188"/>
        <v>46238</v>
      </c>
      <c r="D890" s="13">
        <v>46238</v>
      </c>
      <c r="E890" s="2" t="s">
        <v>1057</v>
      </c>
      <c r="F890" s="2" t="str">
        <f t="shared" si="177"/>
        <v>Email Available</v>
      </c>
      <c r="G890" s="2" t="s">
        <v>1058</v>
      </c>
      <c r="H890" s="2" t="s">
        <v>56</v>
      </c>
      <c r="I890" s="2" t="s">
        <v>22</v>
      </c>
      <c r="J890" s="2" t="s">
        <v>57</v>
      </c>
      <c r="K890" s="2">
        <v>1</v>
      </c>
      <c r="L890" s="2">
        <v>9.99</v>
      </c>
      <c r="M890" s="19">
        <f t="shared" si="178"/>
        <v>9.99</v>
      </c>
      <c r="N890" s="2" t="s">
        <v>203</v>
      </c>
      <c r="O890" s="2" t="str">
        <f t="shared" si="179"/>
        <v>VIP15</v>
      </c>
      <c r="P890" s="2">
        <v>1.5</v>
      </c>
      <c r="Q890" s="19">
        <f t="shared" si="180"/>
        <v>1.5</v>
      </c>
      <c r="R890" s="2" t="str">
        <f t="shared" si="181"/>
        <v>Number</v>
      </c>
      <c r="S890" s="2">
        <v>4.99</v>
      </c>
      <c r="T890" s="19">
        <f t="shared" si="182"/>
        <v>4.99</v>
      </c>
      <c r="U890" s="2">
        <v>13.48</v>
      </c>
      <c r="V890" s="19">
        <f t="shared" si="183"/>
        <v>13.48</v>
      </c>
      <c r="W890" s="19">
        <f t="shared" si="184"/>
        <v>13.48</v>
      </c>
      <c r="X890" s="19" t="str">
        <f t="shared" si="185"/>
        <v>True</v>
      </c>
      <c r="Y890" s="19" t="str">
        <f>IF(OR(W890&lt;'Cleaning Tasks'!$G$18,W890&gt;'Cleaning Tasks'!$H$18),"Outlier","Normal")</f>
        <v>Normal</v>
      </c>
      <c r="Z890" s="2" t="s">
        <v>49</v>
      </c>
      <c r="AA890" s="2" t="s">
        <v>27</v>
      </c>
      <c r="AB890" s="2" t="s">
        <v>50</v>
      </c>
      <c r="AC890" s="2" t="s">
        <v>331</v>
      </c>
      <c r="AD890" s="2"/>
      <c r="AE890" s="2" t="str">
        <f t="shared" si="186"/>
        <v>Not Required</v>
      </c>
      <c r="AF890" s="2" t="s">
        <v>2712</v>
      </c>
    </row>
    <row r="891" spans="1:32" x14ac:dyDescent="0.3">
      <c r="A891" s="2" t="s">
        <v>2713</v>
      </c>
      <c r="B891" s="2">
        <f t="shared" si="176"/>
        <v>1</v>
      </c>
      <c r="C891" s="12">
        <f t="shared" si="188"/>
        <v>46238</v>
      </c>
      <c r="D891" s="13" t="s">
        <v>1186</v>
      </c>
      <c r="E891" s="2" t="s">
        <v>381</v>
      </c>
      <c r="F891" s="2" t="str">
        <f t="shared" si="177"/>
        <v>Email Available</v>
      </c>
      <c r="G891" s="2" t="s">
        <v>382</v>
      </c>
      <c r="H891" s="2" t="s">
        <v>35</v>
      </c>
      <c r="I891" s="2" t="s">
        <v>36</v>
      </c>
      <c r="J891" s="2" t="s">
        <v>37</v>
      </c>
      <c r="K891" s="2">
        <v>1</v>
      </c>
      <c r="L891" s="2">
        <v>21.99</v>
      </c>
      <c r="M891" s="19">
        <f t="shared" si="178"/>
        <v>21.99</v>
      </c>
      <c r="N891" s="2" t="s">
        <v>118</v>
      </c>
      <c r="O891" s="2" t="str">
        <f t="shared" si="179"/>
        <v>BFCM25</v>
      </c>
      <c r="P891" s="2">
        <v>5.5</v>
      </c>
      <c r="Q891" s="19">
        <f t="shared" si="180"/>
        <v>5.5</v>
      </c>
      <c r="R891" s="2" t="str">
        <f t="shared" si="181"/>
        <v>Number</v>
      </c>
      <c r="S891" s="2">
        <v>4.99</v>
      </c>
      <c r="T891" s="19">
        <f t="shared" si="182"/>
        <v>4.99</v>
      </c>
      <c r="U891" s="2">
        <v>21.48</v>
      </c>
      <c r="V891" s="19">
        <f t="shared" si="183"/>
        <v>21.48</v>
      </c>
      <c r="W891" s="19">
        <f t="shared" si="184"/>
        <v>21.479999999999997</v>
      </c>
      <c r="X891" s="19" t="str">
        <f t="shared" si="185"/>
        <v>True</v>
      </c>
      <c r="Y891" s="19" t="str">
        <f>IF(OR(W891&lt;'Cleaning Tasks'!$G$18,W891&gt;'Cleaning Tasks'!$H$18),"Outlier","Normal")</f>
        <v>Normal</v>
      </c>
      <c r="Z891" s="2" t="s">
        <v>66</v>
      </c>
      <c r="AA891" s="2" t="s">
        <v>27</v>
      </c>
      <c r="AB891" s="2" t="s">
        <v>50</v>
      </c>
      <c r="AC891" s="2" t="s">
        <v>29</v>
      </c>
      <c r="AD891" s="22" t="s">
        <v>243</v>
      </c>
      <c r="AE891" s="2" t="str">
        <f t="shared" si="186"/>
        <v>Valid</v>
      </c>
      <c r="AF891" s="2" t="s">
        <v>2714</v>
      </c>
    </row>
    <row r="892" spans="1:32" x14ac:dyDescent="0.3">
      <c r="A892" s="2" t="s">
        <v>2715</v>
      </c>
      <c r="B892" s="2">
        <f t="shared" si="176"/>
        <v>1</v>
      </c>
      <c r="C892" s="12">
        <f t="shared" si="188"/>
        <v>46238.587696284732</v>
      </c>
      <c r="D892" s="13">
        <v>46238.587696284732</v>
      </c>
      <c r="E892" s="2" t="s">
        <v>226</v>
      </c>
      <c r="F892" s="2" t="str">
        <f t="shared" si="177"/>
        <v>Email Available</v>
      </c>
      <c r="G892" s="2" t="s">
        <v>227</v>
      </c>
      <c r="H892" s="2" t="s">
        <v>361</v>
      </c>
      <c r="I892" s="2" t="s">
        <v>86</v>
      </c>
      <c r="J892" s="2" t="s">
        <v>362</v>
      </c>
      <c r="K892" s="2">
        <v>1</v>
      </c>
      <c r="L892" s="2">
        <v>54.99</v>
      </c>
      <c r="M892" s="19">
        <f t="shared" si="178"/>
        <v>54.99</v>
      </c>
      <c r="N892" s="2" t="s">
        <v>65</v>
      </c>
      <c r="O892" s="2" t="str">
        <f t="shared" si="179"/>
        <v>WELCOME10</v>
      </c>
      <c r="P892" s="2">
        <v>5.5</v>
      </c>
      <c r="Q892" s="19">
        <f t="shared" si="180"/>
        <v>5.5</v>
      </c>
      <c r="R892" s="2" t="str">
        <f t="shared" si="181"/>
        <v>Number</v>
      </c>
      <c r="S892" s="2">
        <v>7.99</v>
      </c>
      <c r="T892" s="19">
        <f t="shared" si="182"/>
        <v>7.99</v>
      </c>
      <c r="U892" s="2">
        <v>57.48</v>
      </c>
      <c r="V892" s="19">
        <f t="shared" si="183"/>
        <v>57.48</v>
      </c>
      <c r="W892" s="19">
        <f t="shared" si="184"/>
        <v>57.480000000000004</v>
      </c>
      <c r="X892" s="19" t="str">
        <f t="shared" si="185"/>
        <v>True</v>
      </c>
      <c r="Y892" s="19" t="str">
        <f>IF(OR(W892&lt;'Cleaning Tasks'!$G$18,W892&gt;'Cleaning Tasks'!$H$18),"Outlier","Normal")</f>
        <v>Normal</v>
      </c>
      <c r="Z892" s="2" t="s">
        <v>72</v>
      </c>
      <c r="AA892" s="2" t="s">
        <v>27</v>
      </c>
      <c r="AB892" s="2" t="s">
        <v>50</v>
      </c>
      <c r="AC892" s="2" t="s">
        <v>29</v>
      </c>
      <c r="AD892" s="2" t="s">
        <v>341</v>
      </c>
      <c r="AE892" s="2" t="str">
        <f t="shared" si="186"/>
        <v>Valid</v>
      </c>
      <c r="AF892" s="2" t="s">
        <v>2716</v>
      </c>
    </row>
    <row r="893" spans="1:32" x14ac:dyDescent="0.3">
      <c r="A893" s="2" t="s">
        <v>2717</v>
      </c>
      <c r="B893" s="2">
        <f t="shared" si="176"/>
        <v>1</v>
      </c>
      <c r="C893" s="12">
        <f t="shared" si="188"/>
        <v>46238.584359236113</v>
      </c>
      <c r="D893" s="13">
        <v>46238.584359236113</v>
      </c>
      <c r="E893" s="2" t="s">
        <v>2718</v>
      </c>
      <c r="F893" s="2" t="str">
        <f t="shared" si="177"/>
        <v>Email Available</v>
      </c>
      <c r="G893" s="2" t="s">
        <v>2076</v>
      </c>
      <c r="H893" s="2" t="s">
        <v>166</v>
      </c>
      <c r="I893" s="2" t="s">
        <v>103</v>
      </c>
      <c r="J893" s="2" t="s">
        <v>167</v>
      </c>
      <c r="K893" s="2">
        <v>1</v>
      </c>
      <c r="L893" s="2">
        <v>32.99</v>
      </c>
      <c r="M893" s="19">
        <f t="shared" si="178"/>
        <v>32.99</v>
      </c>
      <c r="N893" s="2"/>
      <c r="O893" s="2" t="str">
        <f t="shared" si="179"/>
        <v/>
      </c>
      <c r="P893" s="2">
        <v>0</v>
      </c>
      <c r="Q893" s="19">
        <f t="shared" si="180"/>
        <v>0</v>
      </c>
      <c r="R893" s="2" t="str">
        <f t="shared" si="181"/>
        <v>Number</v>
      </c>
      <c r="S893" s="2">
        <v>7.99</v>
      </c>
      <c r="T893" s="19">
        <f t="shared" si="182"/>
        <v>7.99</v>
      </c>
      <c r="U893" s="2">
        <v>40.98</v>
      </c>
      <c r="V893" s="19">
        <f t="shared" si="183"/>
        <v>40.98</v>
      </c>
      <c r="W893" s="19">
        <f t="shared" si="184"/>
        <v>40.980000000000004</v>
      </c>
      <c r="X893" s="19" t="str">
        <f t="shared" si="185"/>
        <v>True</v>
      </c>
      <c r="Y893" s="19" t="str">
        <f>IF(OR(W893&lt;'Cleaning Tasks'!$G$18,W893&gt;'Cleaning Tasks'!$H$18),"Outlier","Normal")</f>
        <v>Normal</v>
      </c>
      <c r="Z893" s="2" t="s">
        <v>26</v>
      </c>
      <c r="AA893" s="2" t="s">
        <v>27</v>
      </c>
      <c r="AB893" s="2" t="s">
        <v>41</v>
      </c>
      <c r="AC893" s="2" t="s">
        <v>223</v>
      </c>
      <c r="AD893" s="2"/>
      <c r="AE893" s="2" t="str">
        <f t="shared" si="186"/>
        <v>Not Required</v>
      </c>
      <c r="AF893" s="2" t="s">
        <v>2719</v>
      </c>
    </row>
    <row r="894" spans="1:32" x14ac:dyDescent="0.3">
      <c r="A894" s="2" t="s">
        <v>2720</v>
      </c>
      <c r="B894" s="2">
        <f t="shared" si="176"/>
        <v>1</v>
      </c>
      <c r="C894" s="12">
        <f t="shared" si="188"/>
        <v>46238.588698900458</v>
      </c>
      <c r="D894" s="13">
        <v>46238.588698900458</v>
      </c>
      <c r="E894" s="2" t="s">
        <v>2370</v>
      </c>
      <c r="F894" s="2" t="str">
        <f t="shared" si="177"/>
        <v>Email Available</v>
      </c>
      <c r="G894" s="2" t="s">
        <v>2371</v>
      </c>
      <c r="H894" s="2" t="s">
        <v>201</v>
      </c>
      <c r="I894" s="2" t="s">
        <v>191</v>
      </c>
      <c r="J894" s="2" t="s">
        <v>202</v>
      </c>
      <c r="K894" s="2">
        <v>1</v>
      </c>
      <c r="L894" s="2">
        <v>24.99</v>
      </c>
      <c r="M894" s="19">
        <f t="shared" si="178"/>
        <v>24.99</v>
      </c>
      <c r="N894" s="2"/>
      <c r="O894" s="2" t="str">
        <f t="shared" si="179"/>
        <v/>
      </c>
      <c r="P894" s="2">
        <v>0</v>
      </c>
      <c r="Q894" s="19">
        <f t="shared" si="180"/>
        <v>0</v>
      </c>
      <c r="R894" s="2" t="str">
        <f t="shared" si="181"/>
        <v>Number</v>
      </c>
      <c r="S894" s="2">
        <v>7.99</v>
      </c>
      <c r="T894" s="19">
        <f t="shared" si="182"/>
        <v>7.99</v>
      </c>
      <c r="U894" s="2">
        <v>32.979999999999997</v>
      </c>
      <c r="V894" s="19">
        <f t="shared" si="183"/>
        <v>32.979999999999997</v>
      </c>
      <c r="W894" s="19">
        <f t="shared" si="184"/>
        <v>32.979999999999997</v>
      </c>
      <c r="X894" s="19" t="str">
        <f t="shared" si="185"/>
        <v>True</v>
      </c>
      <c r="Y894" s="19" t="str">
        <f>IF(OR(W894&lt;'Cleaning Tasks'!$G$18,W894&gt;'Cleaning Tasks'!$H$18),"Outlier","Normal")</f>
        <v>Normal</v>
      </c>
      <c r="Z894" s="2" t="s">
        <v>49</v>
      </c>
      <c r="AA894" s="2" t="s">
        <v>27</v>
      </c>
      <c r="AB894" s="2" t="s">
        <v>28</v>
      </c>
      <c r="AC894" s="2" t="s">
        <v>105</v>
      </c>
      <c r="AD894" s="2"/>
      <c r="AE894" s="2" t="str">
        <f t="shared" si="186"/>
        <v>Not Required</v>
      </c>
      <c r="AF894" s="2" t="s">
        <v>2721</v>
      </c>
    </row>
    <row r="895" spans="1:32" x14ac:dyDescent="0.3">
      <c r="A895" s="2" t="s">
        <v>2722</v>
      </c>
      <c r="B895" s="2">
        <f t="shared" si="176"/>
        <v>1</v>
      </c>
      <c r="C895" s="12">
        <f t="shared" si="188"/>
        <v>46238.579209236108</v>
      </c>
      <c r="D895" s="13">
        <v>46238.579209236108</v>
      </c>
      <c r="E895" s="2" t="s">
        <v>2723</v>
      </c>
      <c r="F895" s="2" t="str">
        <f t="shared" si="177"/>
        <v>Email Available</v>
      </c>
      <c r="G895" s="2" t="s">
        <v>1533</v>
      </c>
      <c r="H895" s="2" t="s">
        <v>85</v>
      </c>
      <c r="I895" s="2" t="s">
        <v>86</v>
      </c>
      <c r="J895" s="2" t="s">
        <v>87</v>
      </c>
      <c r="K895" s="2">
        <v>1</v>
      </c>
      <c r="L895" s="2">
        <v>54.99</v>
      </c>
      <c r="M895" s="19">
        <f t="shared" si="178"/>
        <v>54.99</v>
      </c>
      <c r="N895" s="2" t="s">
        <v>65</v>
      </c>
      <c r="O895" s="2" t="str">
        <f t="shared" si="179"/>
        <v>WELCOME10</v>
      </c>
      <c r="P895" s="2">
        <v>5.5</v>
      </c>
      <c r="Q895" s="19">
        <f t="shared" si="180"/>
        <v>5.5</v>
      </c>
      <c r="R895" s="2" t="str">
        <f t="shared" si="181"/>
        <v>Number</v>
      </c>
      <c r="S895" s="2">
        <v>4.99</v>
      </c>
      <c r="T895" s="19">
        <f t="shared" si="182"/>
        <v>4.99</v>
      </c>
      <c r="U895" s="2">
        <v>54.48</v>
      </c>
      <c r="V895" s="19">
        <f t="shared" si="183"/>
        <v>54.48</v>
      </c>
      <c r="W895" s="19">
        <f t="shared" si="184"/>
        <v>54.480000000000004</v>
      </c>
      <c r="X895" s="19" t="str">
        <f t="shared" si="185"/>
        <v>True</v>
      </c>
      <c r="Y895" s="19" t="str">
        <f>IF(OR(W895&lt;'Cleaning Tasks'!$G$18,W895&gt;'Cleaning Tasks'!$H$18),"Outlier","Normal")</f>
        <v>Normal</v>
      </c>
      <c r="Z895" s="2" t="s">
        <v>66</v>
      </c>
      <c r="AA895" s="2" t="s">
        <v>27</v>
      </c>
      <c r="AB895" s="2" t="s">
        <v>96</v>
      </c>
      <c r="AC895" s="2" t="s">
        <v>73</v>
      </c>
      <c r="AD895" s="2"/>
      <c r="AE895" s="2" t="str">
        <f t="shared" si="186"/>
        <v>Not Required</v>
      </c>
      <c r="AF895" s="2" t="s">
        <v>708</v>
      </c>
    </row>
    <row r="896" spans="1:32" x14ac:dyDescent="0.3">
      <c r="A896" s="2" t="s">
        <v>2724</v>
      </c>
      <c r="B896" s="2">
        <f t="shared" si="176"/>
        <v>1</v>
      </c>
      <c r="C896" s="12">
        <f t="shared" si="188"/>
        <v>46238.587751793981</v>
      </c>
      <c r="D896" s="13">
        <v>46238.587751793981</v>
      </c>
      <c r="E896" s="2" t="s">
        <v>2725</v>
      </c>
      <c r="F896" s="2" t="str">
        <f t="shared" si="177"/>
        <v>Email Available</v>
      </c>
      <c r="G896" s="2" t="s">
        <v>2726</v>
      </c>
      <c r="H896" s="2" t="s">
        <v>63</v>
      </c>
      <c r="I896" s="2" t="s">
        <v>47</v>
      </c>
      <c r="J896" s="2" t="s">
        <v>64</v>
      </c>
      <c r="K896" s="2">
        <v>1</v>
      </c>
      <c r="L896" s="2">
        <v>14.99</v>
      </c>
      <c r="M896" s="19">
        <f t="shared" si="178"/>
        <v>14.99</v>
      </c>
      <c r="N896" s="2" t="s">
        <v>38</v>
      </c>
      <c r="O896" s="2" t="str">
        <f t="shared" si="179"/>
        <v>FREESHIP</v>
      </c>
      <c r="P896" s="2">
        <v>0</v>
      </c>
      <c r="Q896" s="19">
        <f t="shared" si="180"/>
        <v>0</v>
      </c>
      <c r="R896" s="2" t="str">
        <f t="shared" si="181"/>
        <v>Number</v>
      </c>
      <c r="S896" s="2">
        <v>0</v>
      </c>
      <c r="T896" s="19">
        <f t="shared" si="182"/>
        <v>0</v>
      </c>
      <c r="U896" s="2" t="s">
        <v>1465</v>
      </c>
      <c r="V896" s="19">
        <f t="shared" si="183"/>
        <v>14.99</v>
      </c>
      <c r="W896" s="19">
        <f t="shared" si="184"/>
        <v>14.99</v>
      </c>
      <c r="X896" s="19" t="str">
        <f t="shared" si="185"/>
        <v>True</v>
      </c>
      <c r="Y896" s="19" t="str">
        <f>IF(OR(W896&lt;'Cleaning Tasks'!$G$18,W896&gt;'Cleaning Tasks'!$H$18),"Outlier","Normal")</f>
        <v>Normal</v>
      </c>
      <c r="Z896" s="2" t="s">
        <v>26</v>
      </c>
      <c r="AA896" s="2" t="s">
        <v>111</v>
      </c>
      <c r="AB896" s="2" t="s">
        <v>50</v>
      </c>
      <c r="AC896" s="2" t="s">
        <v>29</v>
      </c>
      <c r="AD896" s="2" t="s">
        <v>341</v>
      </c>
      <c r="AE896" s="2" t="str">
        <f t="shared" si="186"/>
        <v>Valid</v>
      </c>
      <c r="AF896" s="2" t="s">
        <v>1995</v>
      </c>
    </row>
    <row r="897" spans="1:32" x14ac:dyDescent="0.3">
      <c r="A897" s="2" t="s">
        <v>2727</v>
      </c>
      <c r="B897" s="2">
        <f t="shared" si="176"/>
        <v>1</v>
      </c>
      <c r="C897" s="12">
        <f t="shared" si="188"/>
        <v>46238</v>
      </c>
      <c r="D897" s="13">
        <v>46238</v>
      </c>
      <c r="E897" s="2" t="s">
        <v>275</v>
      </c>
      <c r="F897" s="2" t="str">
        <f t="shared" si="177"/>
        <v>Email Available</v>
      </c>
      <c r="G897" s="2" t="s">
        <v>276</v>
      </c>
      <c r="H897" s="2" t="s">
        <v>102</v>
      </c>
      <c r="I897" s="2" t="s">
        <v>103</v>
      </c>
      <c r="J897" s="2" t="s">
        <v>104</v>
      </c>
      <c r="K897" s="2">
        <v>1</v>
      </c>
      <c r="L897" s="2">
        <v>19.989999999999998</v>
      </c>
      <c r="M897" s="19">
        <f t="shared" si="178"/>
        <v>19.989999999999998</v>
      </c>
      <c r="N897" s="2" t="s">
        <v>118</v>
      </c>
      <c r="O897" s="2" t="str">
        <f t="shared" si="179"/>
        <v>BFCM25</v>
      </c>
      <c r="P897" s="2">
        <v>5</v>
      </c>
      <c r="Q897" s="19">
        <f t="shared" si="180"/>
        <v>5</v>
      </c>
      <c r="R897" s="2" t="str">
        <f t="shared" si="181"/>
        <v>Number</v>
      </c>
      <c r="S897" s="2">
        <v>7.99</v>
      </c>
      <c r="T897" s="19">
        <f t="shared" si="182"/>
        <v>7.99</v>
      </c>
      <c r="U897" s="2">
        <v>22.98</v>
      </c>
      <c r="V897" s="19">
        <f t="shared" si="183"/>
        <v>22.98</v>
      </c>
      <c r="W897" s="19">
        <f t="shared" si="184"/>
        <v>22.979999999999997</v>
      </c>
      <c r="X897" s="19" t="str">
        <f t="shared" si="185"/>
        <v>True</v>
      </c>
      <c r="Y897" s="19" t="str">
        <f>IF(OR(W897&lt;'Cleaning Tasks'!$G$18,W897&gt;'Cleaning Tasks'!$H$18),"Outlier","Normal")</f>
        <v>Normal</v>
      </c>
      <c r="Z897" s="2" t="s">
        <v>49</v>
      </c>
      <c r="AA897" s="2" t="s">
        <v>111</v>
      </c>
      <c r="AB897" s="2" t="s">
        <v>41</v>
      </c>
      <c r="AC897" s="2" t="s">
        <v>73</v>
      </c>
      <c r="AD897" s="2"/>
      <c r="AE897" s="2" t="str">
        <f t="shared" si="186"/>
        <v>Not Required</v>
      </c>
      <c r="AF897" s="2" t="s">
        <v>2728</v>
      </c>
    </row>
    <row r="898" spans="1:32" x14ac:dyDescent="0.3">
      <c r="A898" s="2" t="s">
        <v>2729</v>
      </c>
      <c r="B898" s="2">
        <f t="shared" ref="B898:B961" si="189">COUNTIF($A$2:$A$1993,A898)</f>
        <v>1</v>
      </c>
      <c r="C898" s="12">
        <f t="shared" si="188"/>
        <v>46238.58204267361</v>
      </c>
      <c r="D898" s="13">
        <v>46238.58204267361</v>
      </c>
      <c r="E898" s="2" t="s">
        <v>122</v>
      </c>
      <c r="F898" s="2" t="str">
        <f t="shared" ref="F898:F961" si="190">IF(TRIM(G898)="","Missing Email","Email Available")</f>
        <v>Email Available</v>
      </c>
      <c r="G898" s="2" t="s">
        <v>123</v>
      </c>
      <c r="H898" s="2" t="s">
        <v>279</v>
      </c>
      <c r="I898" s="2" t="s">
        <v>22</v>
      </c>
      <c r="J898" s="2" t="s">
        <v>280</v>
      </c>
      <c r="K898" s="2">
        <v>1</v>
      </c>
      <c r="L898" s="2">
        <v>24.99</v>
      </c>
      <c r="M898" s="19">
        <f t="shared" ref="M898:M961" si="191">IF(ISNUMBER(L898),L898,VALUE(SUBSTITUTE(L898,"$","")))</f>
        <v>24.99</v>
      </c>
      <c r="N898" s="2"/>
      <c r="O898" s="2" t="str">
        <f t="shared" ref="O898:O961" si="192">IF(TRIM(N898)="","",UPPER(TRIM(SUBSTITUTE(N898,CHAR(160)," "))))</f>
        <v/>
      </c>
      <c r="P898" s="2">
        <v>0</v>
      </c>
      <c r="Q898" s="19">
        <f t="shared" ref="Q898:Q961" si="193">IF(ISNUMBER(P898),P898,VALUE(TRIM(SUBSTITUTE(P898,"$",""))))</f>
        <v>0</v>
      </c>
      <c r="R898" s="2" t="str">
        <f t="shared" ref="R898:R961" si="194">IF(ISNUMBER(Q898),"Number","Text")</f>
        <v>Number</v>
      </c>
      <c r="S898" s="2">
        <v>5.99</v>
      </c>
      <c r="T898" s="19">
        <f t="shared" ref="T898:T961" si="195">IF(ISNUMBER(S898),S898,VALUE(TRIM(SUBSTITUTE(S898,"$",""))))</f>
        <v>5.99</v>
      </c>
      <c r="U898" s="2">
        <v>30.98</v>
      </c>
      <c r="V898" s="19">
        <f t="shared" ref="V898:V961" si="196">IF(ISNUMBER(U898),U898,VALUE(TRIM(SUBSTITUTE(U898,"$",""))))</f>
        <v>30.98</v>
      </c>
      <c r="W898" s="19">
        <f t="shared" ref="W898:W961" si="197">((M898*K898)-Q898)+T898</f>
        <v>30.979999999999997</v>
      </c>
      <c r="X898" s="19" t="str">
        <f t="shared" ref="X898:X961" si="198">IF(V898=W898,"True","False")</f>
        <v>True</v>
      </c>
      <c r="Y898" s="19" t="str">
        <f>IF(OR(W898&lt;'Cleaning Tasks'!$G$18,W898&gt;'Cleaning Tasks'!$H$18),"Outlier","Normal")</f>
        <v>Normal</v>
      </c>
      <c r="Z898" s="2" t="s">
        <v>49</v>
      </c>
      <c r="AA898" s="2" t="s">
        <v>88</v>
      </c>
      <c r="AB898" s="2" t="s">
        <v>50</v>
      </c>
      <c r="AC898" s="2" t="s">
        <v>42</v>
      </c>
      <c r="AD898" s="2"/>
      <c r="AE898" s="2" t="str">
        <f t="shared" ref="AE898:AE961" si="199">IF(AND(AC898="United States",AD898=""),"Missing state",IF(AD898="","Not Required","Valid"))</f>
        <v>Not Required</v>
      </c>
      <c r="AF898" s="2" t="s">
        <v>2730</v>
      </c>
    </row>
    <row r="899" spans="1:32" x14ac:dyDescent="0.3">
      <c r="A899" s="2" t="s">
        <v>2731</v>
      </c>
      <c r="B899" s="2">
        <f t="shared" si="189"/>
        <v>1</v>
      </c>
      <c r="C899" s="12">
        <f t="shared" si="188"/>
        <v>46238.584686412039</v>
      </c>
      <c r="D899" s="13">
        <v>46238.584686412039</v>
      </c>
      <c r="E899" s="2" t="s">
        <v>2292</v>
      </c>
      <c r="F899" s="2" t="str">
        <f t="shared" si="190"/>
        <v>Email Available</v>
      </c>
      <c r="G899" s="2" t="s">
        <v>2293</v>
      </c>
      <c r="H899" s="2" t="s">
        <v>102</v>
      </c>
      <c r="I899" s="2" t="s">
        <v>103</v>
      </c>
      <c r="J899" s="2" t="s">
        <v>104</v>
      </c>
      <c r="K899" s="2">
        <v>1</v>
      </c>
      <c r="L899" s="2">
        <v>19.989999999999998</v>
      </c>
      <c r="M899" s="19">
        <f t="shared" si="191"/>
        <v>19.989999999999998</v>
      </c>
      <c r="N899" s="2"/>
      <c r="O899" s="2" t="str">
        <f t="shared" si="192"/>
        <v/>
      </c>
      <c r="P899" s="2">
        <v>0</v>
      </c>
      <c r="Q899" s="19">
        <f t="shared" si="193"/>
        <v>0</v>
      </c>
      <c r="R899" s="2" t="str">
        <f t="shared" si="194"/>
        <v>Number</v>
      </c>
      <c r="S899" s="2">
        <v>5.99</v>
      </c>
      <c r="T899" s="19">
        <f t="shared" si="195"/>
        <v>5.99</v>
      </c>
      <c r="U899" s="2">
        <v>25.98</v>
      </c>
      <c r="V899" s="19">
        <f t="shared" si="196"/>
        <v>25.98</v>
      </c>
      <c r="W899" s="19">
        <f t="shared" si="197"/>
        <v>25.979999999999997</v>
      </c>
      <c r="X899" s="19" t="str">
        <f t="shared" si="198"/>
        <v>True</v>
      </c>
      <c r="Y899" s="19" t="str">
        <f>IF(OR(W899&lt;'Cleaning Tasks'!$G$18,W899&gt;'Cleaning Tasks'!$H$18),"Outlier","Normal")</f>
        <v>Normal</v>
      </c>
      <c r="Z899" s="2" t="s">
        <v>39</v>
      </c>
      <c r="AA899" s="2" t="s">
        <v>88</v>
      </c>
      <c r="AB899" s="2" t="s">
        <v>50</v>
      </c>
      <c r="AC899" s="2" t="s">
        <v>105</v>
      </c>
      <c r="AD899" s="2"/>
      <c r="AE899" s="2" t="str">
        <f t="shared" si="199"/>
        <v>Not Required</v>
      </c>
      <c r="AF899" s="2" t="s">
        <v>2732</v>
      </c>
    </row>
    <row r="900" spans="1:32" x14ac:dyDescent="0.3">
      <c r="A900" s="2" t="s">
        <v>2733</v>
      </c>
      <c r="B900" s="2">
        <f t="shared" si="189"/>
        <v>1</v>
      </c>
      <c r="C900" s="12">
        <f t="shared" si="188"/>
        <v>46238.579873425922</v>
      </c>
      <c r="D900" s="13">
        <v>46238.579873425922</v>
      </c>
      <c r="E900" s="2" t="s">
        <v>454</v>
      </c>
      <c r="F900" s="2" t="str">
        <f t="shared" si="190"/>
        <v>Email Available</v>
      </c>
      <c r="G900" s="2" t="s">
        <v>455</v>
      </c>
      <c r="H900" s="2" t="s">
        <v>166</v>
      </c>
      <c r="I900" s="2" t="s">
        <v>103</v>
      </c>
      <c r="J900" s="2" t="s">
        <v>167</v>
      </c>
      <c r="K900" s="2">
        <v>2</v>
      </c>
      <c r="L900" s="2">
        <v>32.99</v>
      </c>
      <c r="M900" s="19">
        <f t="shared" si="191"/>
        <v>32.99</v>
      </c>
      <c r="N900" s="2" t="s">
        <v>38</v>
      </c>
      <c r="O900" s="2" t="str">
        <f t="shared" si="192"/>
        <v>FREESHIP</v>
      </c>
      <c r="P900" s="2">
        <v>0</v>
      </c>
      <c r="Q900" s="19">
        <f t="shared" si="193"/>
        <v>0</v>
      </c>
      <c r="R900" s="2" t="str">
        <f t="shared" si="194"/>
        <v>Number</v>
      </c>
      <c r="S900" s="2">
        <v>0</v>
      </c>
      <c r="T900" s="19">
        <f t="shared" si="195"/>
        <v>0</v>
      </c>
      <c r="U900" s="2">
        <v>65.98</v>
      </c>
      <c r="V900" s="19">
        <f t="shared" si="196"/>
        <v>65.98</v>
      </c>
      <c r="W900" s="19">
        <f t="shared" si="197"/>
        <v>65.98</v>
      </c>
      <c r="X900" s="19" t="str">
        <f t="shared" si="198"/>
        <v>True</v>
      </c>
      <c r="Y900" s="19" t="str">
        <f>IF(OR(W900&lt;'Cleaning Tasks'!$G$18,W900&gt;'Cleaning Tasks'!$H$18),"Outlier","Normal")</f>
        <v>Normal</v>
      </c>
      <c r="Z900" s="2" t="s">
        <v>72</v>
      </c>
      <c r="AA900" s="2" t="s">
        <v>27</v>
      </c>
      <c r="AB900" s="2" t="s">
        <v>50</v>
      </c>
      <c r="AC900" s="2" t="s">
        <v>331</v>
      </c>
      <c r="AD900" s="2"/>
      <c r="AE900" s="2" t="str">
        <f t="shared" si="199"/>
        <v>Not Required</v>
      </c>
      <c r="AF900" s="2" t="s">
        <v>2734</v>
      </c>
    </row>
    <row r="901" spans="1:32" x14ac:dyDescent="0.3">
      <c r="A901" s="2" t="s">
        <v>2735</v>
      </c>
      <c r="B901" s="2">
        <f t="shared" si="189"/>
        <v>1</v>
      </c>
      <c r="C901" s="12">
        <f t="shared" si="188"/>
        <v>46238</v>
      </c>
      <c r="D901" s="13" t="s">
        <v>2050</v>
      </c>
      <c r="E901" s="2" t="s">
        <v>756</v>
      </c>
      <c r="F901" s="2" t="str">
        <f t="shared" si="190"/>
        <v>Email Available</v>
      </c>
      <c r="G901" s="2" t="s">
        <v>757</v>
      </c>
      <c r="H901" s="2" t="s">
        <v>261</v>
      </c>
      <c r="I901" s="2" t="s">
        <v>36</v>
      </c>
      <c r="J901" s="2" t="s">
        <v>262</v>
      </c>
      <c r="K901" s="2">
        <v>2</v>
      </c>
      <c r="L901" s="2">
        <v>15.49</v>
      </c>
      <c r="M901" s="19">
        <f t="shared" si="191"/>
        <v>15.49</v>
      </c>
      <c r="N901" s="2"/>
      <c r="O901" s="2" t="str">
        <f t="shared" si="192"/>
        <v/>
      </c>
      <c r="P901" s="2">
        <v>0</v>
      </c>
      <c r="Q901" s="19">
        <f t="shared" si="193"/>
        <v>0</v>
      </c>
      <c r="R901" s="2" t="str">
        <f t="shared" si="194"/>
        <v>Number</v>
      </c>
      <c r="S901" s="2">
        <v>4.99</v>
      </c>
      <c r="T901" s="19">
        <f t="shared" si="195"/>
        <v>4.99</v>
      </c>
      <c r="U901" s="2">
        <v>35.97</v>
      </c>
      <c r="V901" s="19">
        <f t="shared" si="196"/>
        <v>35.97</v>
      </c>
      <c r="W901" s="19">
        <f t="shared" si="197"/>
        <v>35.97</v>
      </c>
      <c r="X901" s="19" t="str">
        <f t="shared" si="198"/>
        <v>True</v>
      </c>
      <c r="Y901" s="19" t="str">
        <f>IF(OR(W901&lt;'Cleaning Tasks'!$G$18,W901&gt;'Cleaning Tasks'!$H$18),"Outlier","Normal")</f>
        <v>Normal</v>
      </c>
      <c r="Z901" s="2" t="s">
        <v>39</v>
      </c>
      <c r="AA901" s="2" t="s">
        <v>27</v>
      </c>
      <c r="AB901" s="2" t="s">
        <v>50</v>
      </c>
      <c r="AC901" s="2" t="s">
        <v>29</v>
      </c>
      <c r="AD901" s="2" t="s">
        <v>140</v>
      </c>
      <c r="AE901" s="2" t="str">
        <f t="shared" si="199"/>
        <v>Valid</v>
      </c>
      <c r="AF901" s="2" t="s">
        <v>2736</v>
      </c>
    </row>
    <row r="902" spans="1:32" x14ac:dyDescent="0.3">
      <c r="A902" s="2" t="s">
        <v>2737</v>
      </c>
      <c r="B902" s="2">
        <f t="shared" si="189"/>
        <v>1</v>
      </c>
      <c r="C902" s="12">
        <f t="shared" si="188"/>
        <v>46238</v>
      </c>
      <c r="D902" s="13" t="s">
        <v>143</v>
      </c>
      <c r="E902" s="2" t="s">
        <v>188</v>
      </c>
      <c r="F902" s="2" t="str">
        <f t="shared" si="190"/>
        <v>Email Available</v>
      </c>
      <c r="G902" s="2" t="s">
        <v>189</v>
      </c>
      <c r="H902" s="2" t="s">
        <v>146</v>
      </c>
      <c r="I902" s="2" t="s">
        <v>47</v>
      </c>
      <c r="J902" s="2" t="s">
        <v>147</v>
      </c>
      <c r="K902" s="2">
        <v>1</v>
      </c>
      <c r="L902" s="2">
        <v>34.99</v>
      </c>
      <c r="M902" s="19">
        <f t="shared" si="191"/>
        <v>34.99</v>
      </c>
      <c r="N902" s="2"/>
      <c r="O902" s="2" t="str">
        <f t="shared" si="192"/>
        <v/>
      </c>
      <c r="P902" s="2">
        <v>0</v>
      </c>
      <c r="Q902" s="19">
        <f t="shared" si="193"/>
        <v>0</v>
      </c>
      <c r="R902" s="2" t="str">
        <f t="shared" si="194"/>
        <v>Number</v>
      </c>
      <c r="S902" s="2">
        <v>7.99</v>
      </c>
      <c r="T902" s="19">
        <f t="shared" si="195"/>
        <v>7.99</v>
      </c>
      <c r="U902" s="2">
        <v>42.98</v>
      </c>
      <c r="V902" s="19">
        <f t="shared" si="196"/>
        <v>42.98</v>
      </c>
      <c r="W902" s="19">
        <f t="shared" si="197"/>
        <v>42.980000000000004</v>
      </c>
      <c r="X902" s="19" t="str">
        <f t="shared" si="198"/>
        <v>True</v>
      </c>
      <c r="Y902" s="19" t="str">
        <f>IF(OR(W902&lt;'Cleaning Tasks'!$G$18,W902&gt;'Cleaning Tasks'!$H$18),"Outlier","Normal")</f>
        <v>Normal</v>
      </c>
      <c r="Z902" s="2" t="s">
        <v>26</v>
      </c>
      <c r="AA902" s="2" t="s">
        <v>27</v>
      </c>
      <c r="AB902" s="2" t="s">
        <v>50</v>
      </c>
      <c r="AC902" s="2" t="s">
        <v>29</v>
      </c>
      <c r="AD902" s="2" t="s">
        <v>112</v>
      </c>
      <c r="AE902" s="2" t="str">
        <f t="shared" si="199"/>
        <v>Valid</v>
      </c>
      <c r="AF902" s="2" t="s">
        <v>1432</v>
      </c>
    </row>
    <row r="903" spans="1:32" x14ac:dyDescent="0.3">
      <c r="A903" s="2" t="s">
        <v>2738</v>
      </c>
      <c r="B903" s="2">
        <f t="shared" si="189"/>
        <v>1</v>
      </c>
      <c r="C903" s="12">
        <f t="shared" si="188"/>
        <v>46238.587764780103</v>
      </c>
      <c r="D903" s="13">
        <v>46238.587764780103</v>
      </c>
      <c r="E903" s="2" t="s">
        <v>516</v>
      </c>
      <c r="F903" s="2" t="str">
        <f t="shared" si="190"/>
        <v>Email Available</v>
      </c>
      <c r="G903" s="2" t="s">
        <v>517</v>
      </c>
      <c r="H903" s="2" t="s">
        <v>190</v>
      </c>
      <c r="I903" s="2" t="s">
        <v>191</v>
      </c>
      <c r="J903" s="2" t="s">
        <v>192</v>
      </c>
      <c r="K903" s="2">
        <v>2</v>
      </c>
      <c r="L903" s="2">
        <v>13.49</v>
      </c>
      <c r="M903" s="19">
        <f t="shared" si="191"/>
        <v>13.49</v>
      </c>
      <c r="N903" s="2" t="s">
        <v>38</v>
      </c>
      <c r="O903" s="2" t="str">
        <f t="shared" si="192"/>
        <v>FREESHIP</v>
      </c>
      <c r="P903" s="2">
        <v>0</v>
      </c>
      <c r="Q903" s="19">
        <f t="shared" si="193"/>
        <v>0</v>
      </c>
      <c r="R903" s="2" t="str">
        <f t="shared" si="194"/>
        <v>Number</v>
      </c>
      <c r="S903" s="2">
        <v>0</v>
      </c>
      <c r="T903" s="19">
        <f t="shared" si="195"/>
        <v>0</v>
      </c>
      <c r="U903" s="2">
        <v>26.98</v>
      </c>
      <c r="V903" s="19">
        <f t="shared" si="196"/>
        <v>26.98</v>
      </c>
      <c r="W903" s="19">
        <f t="shared" si="197"/>
        <v>26.98</v>
      </c>
      <c r="X903" s="19" t="str">
        <f t="shared" si="198"/>
        <v>True</v>
      </c>
      <c r="Y903" s="19" t="str">
        <f>IF(OR(W903&lt;'Cleaning Tasks'!$G$18,W903&gt;'Cleaning Tasks'!$H$18),"Outlier","Normal")</f>
        <v>Normal</v>
      </c>
      <c r="Z903" s="2" t="s">
        <v>49</v>
      </c>
      <c r="AA903" s="2" t="s">
        <v>27</v>
      </c>
      <c r="AB903" s="2" t="s">
        <v>96</v>
      </c>
      <c r="AC903" s="2" t="s">
        <v>29</v>
      </c>
      <c r="AD903" s="2" t="s">
        <v>30</v>
      </c>
      <c r="AE903" s="2" t="str">
        <f t="shared" si="199"/>
        <v>Valid</v>
      </c>
      <c r="AF903" s="2" t="s">
        <v>2739</v>
      </c>
    </row>
    <row r="904" spans="1:32" x14ac:dyDescent="0.3">
      <c r="A904" s="2" t="s">
        <v>2740</v>
      </c>
      <c r="B904" s="2">
        <f t="shared" si="189"/>
        <v>1</v>
      </c>
      <c r="C904" s="12">
        <f t="shared" si="188"/>
        <v>46238.587868773153</v>
      </c>
      <c r="D904" s="13">
        <v>46238.587868773153</v>
      </c>
      <c r="E904" s="2" t="s">
        <v>831</v>
      </c>
      <c r="F904" s="2" t="str">
        <f t="shared" si="190"/>
        <v>Email Available</v>
      </c>
      <c r="G904" s="2" t="s">
        <v>832</v>
      </c>
      <c r="H904" s="2" t="s">
        <v>46</v>
      </c>
      <c r="I904" s="2" t="s">
        <v>47</v>
      </c>
      <c r="J904" s="2" t="s">
        <v>48</v>
      </c>
      <c r="K904" s="2">
        <v>1</v>
      </c>
      <c r="L904" s="2">
        <v>39.99</v>
      </c>
      <c r="M904" s="19">
        <f t="shared" si="191"/>
        <v>39.99</v>
      </c>
      <c r="N904" s="2" t="s">
        <v>24</v>
      </c>
      <c r="O904" s="2" t="str">
        <f t="shared" si="192"/>
        <v>SAVE20</v>
      </c>
      <c r="P904" s="2">
        <v>8</v>
      </c>
      <c r="Q904" s="19">
        <f t="shared" si="193"/>
        <v>8</v>
      </c>
      <c r="R904" s="2" t="str">
        <f t="shared" si="194"/>
        <v>Number</v>
      </c>
      <c r="S904" s="2">
        <v>5.99</v>
      </c>
      <c r="T904" s="19">
        <f t="shared" si="195"/>
        <v>5.99</v>
      </c>
      <c r="U904" s="2">
        <v>37.979999999999997</v>
      </c>
      <c r="V904" s="19">
        <f t="shared" si="196"/>
        <v>37.979999999999997</v>
      </c>
      <c r="W904" s="19">
        <f t="shared" si="197"/>
        <v>37.980000000000004</v>
      </c>
      <c r="X904" s="19" t="str">
        <f t="shared" si="198"/>
        <v>True</v>
      </c>
      <c r="Y904" s="19" t="str">
        <f>IF(OR(W904&lt;'Cleaning Tasks'!$G$18,W904&gt;'Cleaning Tasks'!$H$18),"Outlier","Normal")</f>
        <v>Normal</v>
      </c>
      <c r="Z904" s="2" t="s">
        <v>39</v>
      </c>
      <c r="AA904" s="2" t="s">
        <v>27</v>
      </c>
      <c r="AB904" s="2" t="s">
        <v>41</v>
      </c>
      <c r="AC904" s="2" t="s">
        <v>29</v>
      </c>
      <c r="AD904" s="2" t="s">
        <v>140</v>
      </c>
      <c r="AE904" s="2" t="str">
        <f t="shared" si="199"/>
        <v>Valid</v>
      </c>
      <c r="AF904" s="2" t="s">
        <v>2741</v>
      </c>
    </row>
    <row r="905" spans="1:32" x14ac:dyDescent="0.3">
      <c r="A905" s="2" t="s">
        <v>2742</v>
      </c>
      <c r="B905" s="2">
        <f t="shared" si="189"/>
        <v>1</v>
      </c>
      <c r="C905" s="12">
        <f t="shared" si="188"/>
        <v>46238</v>
      </c>
      <c r="D905" s="13">
        <v>46238</v>
      </c>
      <c r="E905" s="2" t="s">
        <v>2743</v>
      </c>
      <c r="F905" s="2" t="str">
        <f t="shared" si="190"/>
        <v>Email Available</v>
      </c>
      <c r="G905" s="2" t="s">
        <v>1279</v>
      </c>
      <c r="H905" s="2" t="s">
        <v>102</v>
      </c>
      <c r="I905" s="2" t="s">
        <v>103</v>
      </c>
      <c r="J905" s="2" t="s">
        <v>104</v>
      </c>
      <c r="K905" s="2">
        <v>1</v>
      </c>
      <c r="L905" s="2">
        <v>19.989999999999998</v>
      </c>
      <c r="M905" s="19">
        <f t="shared" si="191"/>
        <v>19.989999999999998</v>
      </c>
      <c r="N905" s="2"/>
      <c r="O905" s="2" t="str">
        <f t="shared" si="192"/>
        <v/>
      </c>
      <c r="P905" s="2">
        <v>0</v>
      </c>
      <c r="Q905" s="19">
        <f t="shared" si="193"/>
        <v>0</v>
      </c>
      <c r="R905" s="2" t="str">
        <f t="shared" si="194"/>
        <v>Number</v>
      </c>
      <c r="S905" s="2">
        <v>7.99</v>
      </c>
      <c r="T905" s="19">
        <f t="shared" si="195"/>
        <v>7.99</v>
      </c>
      <c r="U905" s="2">
        <v>27.98</v>
      </c>
      <c r="V905" s="19">
        <f t="shared" si="196"/>
        <v>27.98</v>
      </c>
      <c r="W905" s="19">
        <f t="shared" si="197"/>
        <v>27.979999999999997</v>
      </c>
      <c r="X905" s="19" t="str">
        <f t="shared" si="198"/>
        <v>True</v>
      </c>
      <c r="Y905" s="19" t="str">
        <f>IF(OR(W905&lt;'Cleaning Tasks'!$G$18,W905&gt;'Cleaning Tasks'!$H$18),"Outlier","Normal")</f>
        <v>Normal</v>
      </c>
      <c r="Z905" s="2" t="s">
        <v>49</v>
      </c>
      <c r="AA905" s="2" t="s">
        <v>111</v>
      </c>
      <c r="AB905" s="2" t="s">
        <v>50</v>
      </c>
      <c r="AC905" s="2" t="s">
        <v>29</v>
      </c>
      <c r="AD905" s="2" t="s">
        <v>73</v>
      </c>
      <c r="AE905" s="2" t="str">
        <f t="shared" si="199"/>
        <v>Valid</v>
      </c>
      <c r="AF905" s="2" t="s">
        <v>2744</v>
      </c>
    </row>
    <row r="906" spans="1:32" x14ac:dyDescent="0.3">
      <c r="A906" s="2" t="s">
        <v>2745</v>
      </c>
      <c r="B906" s="2">
        <f t="shared" si="189"/>
        <v>1</v>
      </c>
      <c r="C906" s="12">
        <f t="shared" si="188"/>
        <v>46238.58417347222</v>
      </c>
      <c r="D906" s="13">
        <v>46238.58417347222</v>
      </c>
      <c r="E906" s="2" t="s">
        <v>577</v>
      </c>
      <c r="F906" s="2" t="str">
        <f t="shared" si="190"/>
        <v>Email Available</v>
      </c>
      <c r="G906" s="2" t="s">
        <v>578</v>
      </c>
      <c r="H906" s="2" t="s">
        <v>201</v>
      </c>
      <c r="I906" s="2" t="s">
        <v>191</v>
      </c>
      <c r="J906" s="2" t="s">
        <v>202</v>
      </c>
      <c r="K906" s="2">
        <v>1</v>
      </c>
      <c r="L906" s="2">
        <v>24.99</v>
      </c>
      <c r="M906" s="19">
        <f t="shared" si="191"/>
        <v>24.99</v>
      </c>
      <c r="N906" s="2" t="s">
        <v>38</v>
      </c>
      <c r="O906" s="2" t="str">
        <f t="shared" si="192"/>
        <v>FREESHIP</v>
      </c>
      <c r="P906" s="2">
        <v>0</v>
      </c>
      <c r="Q906" s="19">
        <f t="shared" si="193"/>
        <v>0</v>
      </c>
      <c r="R906" s="2" t="str">
        <f t="shared" si="194"/>
        <v>Number</v>
      </c>
      <c r="S906" s="2">
        <v>0</v>
      </c>
      <c r="T906" s="19">
        <f t="shared" si="195"/>
        <v>0</v>
      </c>
      <c r="U906" s="2">
        <v>24.99</v>
      </c>
      <c r="V906" s="19">
        <f t="shared" si="196"/>
        <v>24.99</v>
      </c>
      <c r="W906" s="19">
        <f t="shared" si="197"/>
        <v>24.99</v>
      </c>
      <c r="X906" s="19" t="str">
        <f t="shared" si="198"/>
        <v>True</v>
      </c>
      <c r="Y906" s="19" t="str">
        <f>IF(OR(W906&lt;'Cleaning Tasks'!$G$18,W906&gt;'Cleaning Tasks'!$H$18),"Outlier","Normal")</f>
        <v>Normal</v>
      </c>
      <c r="Z906" s="2" t="s">
        <v>39</v>
      </c>
      <c r="AA906" s="2" t="s">
        <v>27</v>
      </c>
      <c r="AB906" s="2" t="s">
        <v>28</v>
      </c>
      <c r="AC906" s="2" t="s">
        <v>331</v>
      </c>
      <c r="AD906" s="2"/>
      <c r="AE906" s="2" t="str">
        <f t="shared" si="199"/>
        <v>Not Required</v>
      </c>
      <c r="AF906" s="2" t="s">
        <v>2746</v>
      </c>
    </row>
    <row r="907" spans="1:32" x14ac:dyDescent="0.3">
      <c r="A907" s="2" t="s">
        <v>2747</v>
      </c>
      <c r="B907" s="2">
        <f t="shared" si="189"/>
        <v>1</v>
      </c>
      <c r="C907" s="12">
        <f t="shared" si="188"/>
        <v>46238.580359953703</v>
      </c>
      <c r="D907" s="13">
        <v>46238.580359953703</v>
      </c>
      <c r="E907" s="2" t="s">
        <v>516</v>
      </c>
      <c r="F907" s="2" t="str">
        <f t="shared" si="190"/>
        <v>Email Available</v>
      </c>
      <c r="G907" s="2" t="s">
        <v>517</v>
      </c>
      <c r="H907" s="2" t="s">
        <v>63</v>
      </c>
      <c r="I907" s="2" t="s">
        <v>47</v>
      </c>
      <c r="J907" s="2" t="s">
        <v>64</v>
      </c>
      <c r="K907" s="2">
        <v>1</v>
      </c>
      <c r="L907" s="2">
        <v>14.99</v>
      </c>
      <c r="M907" s="19">
        <f t="shared" si="191"/>
        <v>14.99</v>
      </c>
      <c r="N907" s="2"/>
      <c r="O907" s="2" t="str">
        <f t="shared" si="192"/>
        <v/>
      </c>
      <c r="P907" s="2">
        <v>0</v>
      </c>
      <c r="Q907" s="19">
        <f t="shared" si="193"/>
        <v>0</v>
      </c>
      <c r="R907" s="2" t="str">
        <f t="shared" si="194"/>
        <v>Number</v>
      </c>
      <c r="S907" s="2">
        <v>4.99</v>
      </c>
      <c r="T907" s="19">
        <f t="shared" si="195"/>
        <v>4.99</v>
      </c>
      <c r="U907" s="2">
        <v>19.98</v>
      </c>
      <c r="V907" s="19">
        <f t="shared" si="196"/>
        <v>19.98</v>
      </c>
      <c r="W907" s="19">
        <f t="shared" si="197"/>
        <v>19.98</v>
      </c>
      <c r="X907" s="19" t="str">
        <f t="shared" si="198"/>
        <v>True</v>
      </c>
      <c r="Y907" s="19" t="str">
        <f>IF(OR(W907&lt;'Cleaning Tasks'!$G$18,W907&gt;'Cleaning Tasks'!$H$18),"Outlier","Normal")</f>
        <v>Normal</v>
      </c>
      <c r="Z907" s="2" t="s">
        <v>26</v>
      </c>
      <c r="AA907" s="2" t="s">
        <v>27</v>
      </c>
      <c r="AB907" s="2" t="s">
        <v>50</v>
      </c>
      <c r="AC907" s="2" t="s">
        <v>29</v>
      </c>
      <c r="AD907" s="22" t="s">
        <v>51</v>
      </c>
      <c r="AE907" s="2" t="str">
        <f t="shared" si="199"/>
        <v>Valid</v>
      </c>
      <c r="AF907" s="2" t="s">
        <v>2748</v>
      </c>
    </row>
    <row r="908" spans="1:32" x14ac:dyDescent="0.3">
      <c r="A908" s="2" t="s">
        <v>2749</v>
      </c>
      <c r="B908" s="2">
        <f t="shared" si="189"/>
        <v>1</v>
      </c>
      <c r="C908" s="12">
        <f t="shared" si="188"/>
        <v>46238</v>
      </c>
      <c r="D908" s="13" t="s">
        <v>2750</v>
      </c>
      <c r="E908" s="2" t="s">
        <v>176</v>
      </c>
      <c r="F908" s="2" t="str">
        <f t="shared" si="190"/>
        <v>Email Available</v>
      </c>
      <c r="G908" s="2" t="s">
        <v>177</v>
      </c>
      <c r="H908" s="2" t="s">
        <v>201</v>
      </c>
      <c r="I908" s="2" t="s">
        <v>191</v>
      </c>
      <c r="J908" s="2" t="s">
        <v>202</v>
      </c>
      <c r="K908" s="2">
        <v>1</v>
      </c>
      <c r="L908" s="2">
        <v>24.99</v>
      </c>
      <c r="M908" s="19">
        <f t="shared" si="191"/>
        <v>24.99</v>
      </c>
      <c r="N908" s="2" t="s">
        <v>118</v>
      </c>
      <c r="O908" s="2" t="str">
        <f t="shared" si="192"/>
        <v>BFCM25</v>
      </c>
      <c r="P908" s="2">
        <v>6.25</v>
      </c>
      <c r="Q908" s="19">
        <f t="shared" si="193"/>
        <v>6.25</v>
      </c>
      <c r="R908" s="2" t="str">
        <f t="shared" si="194"/>
        <v>Number</v>
      </c>
      <c r="S908" s="2">
        <v>4.99</v>
      </c>
      <c r="T908" s="19">
        <f t="shared" si="195"/>
        <v>4.99</v>
      </c>
      <c r="U908" s="2">
        <v>23.73</v>
      </c>
      <c r="V908" s="19">
        <f t="shared" si="196"/>
        <v>23.73</v>
      </c>
      <c r="W908" s="19">
        <f t="shared" si="197"/>
        <v>23.729999999999997</v>
      </c>
      <c r="X908" s="19" t="str">
        <f t="shared" si="198"/>
        <v>True</v>
      </c>
      <c r="Y908" s="19" t="str">
        <f>IF(OR(W908&lt;'Cleaning Tasks'!$G$18,W908&gt;'Cleaning Tasks'!$H$18),"Outlier","Normal")</f>
        <v>Normal</v>
      </c>
      <c r="Z908" s="2" t="s">
        <v>26</v>
      </c>
      <c r="AA908" s="2" t="s">
        <v>88</v>
      </c>
      <c r="AB908" s="2" t="s">
        <v>50</v>
      </c>
      <c r="AC908" s="2" t="s">
        <v>29</v>
      </c>
      <c r="AD908" s="22" t="s">
        <v>51</v>
      </c>
      <c r="AE908" s="2" t="str">
        <f t="shared" si="199"/>
        <v>Valid</v>
      </c>
      <c r="AF908" s="2" t="s">
        <v>2751</v>
      </c>
    </row>
    <row r="909" spans="1:32" x14ac:dyDescent="0.3">
      <c r="A909" s="2" t="s">
        <v>2752</v>
      </c>
      <c r="B909" s="2">
        <f t="shared" si="189"/>
        <v>1</v>
      </c>
      <c r="C909" s="12">
        <f t="shared" si="188"/>
        <v>46238</v>
      </c>
      <c r="D909" s="13" t="s">
        <v>1123</v>
      </c>
      <c r="E909" s="2" t="s">
        <v>251</v>
      </c>
      <c r="F909" s="2" t="str">
        <f t="shared" si="190"/>
        <v>Email Available</v>
      </c>
      <c r="G909" s="2" t="s">
        <v>344</v>
      </c>
      <c r="H909" s="2" t="s">
        <v>46</v>
      </c>
      <c r="I909" s="2" t="s">
        <v>47</v>
      </c>
      <c r="J909" s="2" t="s">
        <v>48</v>
      </c>
      <c r="K909" s="2">
        <v>1</v>
      </c>
      <c r="L909" s="2">
        <v>39.99</v>
      </c>
      <c r="M909" s="19">
        <f t="shared" si="191"/>
        <v>39.99</v>
      </c>
      <c r="N909" s="2"/>
      <c r="O909" s="2" t="str">
        <f t="shared" si="192"/>
        <v/>
      </c>
      <c r="P909" s="2">
        <v>0</v>
      </c>
      <c r="Q909" s="19">
        <f t="shared" si="193"/>
        <v>0</v>
      </c>
      <c r="R909" s="2" t="str">
        <f t="shared" si="194"/>
        <v>Number</v>
      </c>
      <c r="S909" s="2">
        <v>7.99</v>
      </c>
      <c r="T909" s="19">
        <f t="shared" si="195"/>
        <v>7.99</v>
      </c>
      <c r="U909" s="2">
        <v>47.98</v>
      </c>
      <c r="V909" s="19">
        <f t="shared" si="196"/>
        <v>47.98</v>
      </c>
      <c r="W909" s="19">
        <f t="shared" si="197"/>
        <v>47.980000000000004</v>
      </c>
      <c r="X909" s="19" t="str">
        <f t="shared" si="198"/>
        <v>True</v>
      </c>
      <c r="Y909" s="19" t="str">
        <f>IF(OR(W909&lt;'Cleaning Tasks'!$G$18,W909&gt;'Cleaning Tasks'!$H$18),"Outlier","Normal")</f>
        <v>Normal</v>
      </c>
      <c r="Z909" s="2" t="s">
        <v>66</v>
      </c>
      <c r="AA909" s="2" t="s">
        <v>40</v>
      </c>
      <c r="AB909" s="2" t="s">
        <v>50</v>
      </c>
      <c r="AC909" s="2" t="s">
        <v>29</v>
      </c>
      <c r="AD909" s="2" t="s">
        <v>447</v>
      </c>
      <c r="AE909" s="2" t="str">
        <f t="shared" si="199"/>
        <v>Valid</v>
      </c>
      <c r="AF909" s="2" t="s">
        <v>2753</v>
      </c>
    </row>
    <row r="910" spans="1:32" x14ac:dyDescent="0.3">
      <c r="A910" s="2" t="s">
        <v>2754</v>
      </c>
      <c r="B910" s="2">
        <f t="shared" si="189"/>
        <v>1</v>
      </c>
      <c r="C910" s="12">
        <f t="shared" si="188"/>
        <v>46238.585752754632</v>
      </c>
      <c r="D910" s="13">
        <v>46238.585752754632</v>
      </c>
      <c r="E910" s="2" t="s">
        <v>961</v>
      </c>
      <c r="F910" s="2" t="str">
        <f t="shared" si="190"/>
        <v>Email Available</v>
      </c>
      <c r="G910" s="2" t="s">
        <v>962</v>
      </c>
      <c r="H910" s="2" t="s">
        <v>182</v>
      </c>
      <c r="I910" s="2" t="s">
        <v>36</v>
      </c>
      <c r="J910" s="2" t="s">
        <v>183</v>
      </c>
      <c r="K910" s="2">
        <v>2</v>
      </c>
      <c r="L910" s="2">
        <v>11.99</v>
      </c>
      <c r="M910" s="19">
        <f t="shared" si="191"/>
        <v>11.99</v>
      </c>
      <c r="N910" s="2" t="s">
        <v>118</v>
      </c>
      <c r="O910" s="2" t="str">
        <f t="shared" si="192"/>
        <v>BFCM25</v>
      </c>
      <c r="P910" s="2">
        <v>6</v>
      </c>
      <c r="Q910" s="19">
        <f t="shared" si="193"/>
        <v>6</v>
      </c>
      <c r="R910" s="2" t="str">
        <f t="shared" si="194"/>
        <v>Number</v>
      </c>
      <c r="S910" s="2">
        <v>7.99</v>
      </c>
      <c r="T910" s="19">
        <f t="shared" si="195"/>
        <v>7.99</v>
      </c>
      <c r="U910" s="2">
        <v>25.97</v>
      </c>
      <c r="V910" s="19">
        <f t="shared" si="196"/>
        <v>25.97</v>
      </c>
      <c r="W910" s="19">
        <f t="shared" si="197"/>
        <v>25.97</v>
      </c>
      <c r="X910" s="19" t="str">
        <f t="shared" si="198"/>
        <v>True</v>
      </c>
      <c r="Y910" s="19" t="str">
        <f>IF(OR(W910&lt;'Cleaning Tasks'!$G$18,W910&gt;'Cleaning Tasks'!$H$18),"Outlier","Normal")</f>
        <v>Normal</v>
      </c>
      <c r="Z910" s="2" t="s">
        <v>49</v>
      </c>
      <c r="AA910" s="2" t="s">
        <v>27</v>
      </c>
      <c r="AB910" s="2" t="s">
        <v>50</v>
      </c>
      <c r="AC910" s="2" t="s">
        <v>105</v>
      </c>
      <c r="AD910" s="2"/>
      <c r="AE910" s="2" t="str">
        <f t="shared" si="199"/>
        <v>Not Required</v>
      </c>
      <c r="AF910" s="2" t="s">
        <v>2755</v>
      </c>
    </row>
    <row r="911" spans="1:32" x14ac:dyDescent="0.3">
      <c r="A911" s="2" t="s">
        <v>2756</v>
      </c>
      <c r="B911" s="2">
        <f t="shared" si="189"/>
        <v>1</v>
      </c>
      <c r="C911" s="12">
        <f t="shared" si="188"/>
        <v>46238.586691759258</v>
      </c>
      <c r="D911" s="13">
        <v>46238.586691759258</v>
      </c>
      <c r="E911" s="2" t="s">
        <v>76</v>
      </c>
      <c r="F911" s="2" t="str">
        <f t="shared" si="190"/>
        <v>Email Available</v>
      </c>
      <c r="G911" s="2" t="s">
        <v>77</v>
      </c>
      <c r="H911" s="2" t="s">
        <v>109</v>
      </c>
      <c r="I911" s="2" t="s">
        <v>79</v>
      </c>
      <c r="J911" s="2" t="s">
        <v>110</v>
      </c>
      <c r="K911" s="2">
        <v>3</v>
      </c>
      <c r="L911" s="2">
        <v>22.99</v>
      </c>
      <c r="M911" s="19">
        <f t="shared" si="191"/>
        <v>22.99</v>
      </c>
      <c r="N911" s="2"/>
      <c r="O911" s="2" t="str">
        <f t="shared" si="192"/>
        <v/>
      </c>
      <c r="P911" s="2">
        <v>0</v>
      </c>
      <c r="Q911" s="19">
        <f t="shared" si="193"/>
        <v>0</v>
      </c>
      <c r="R911" s="2" t="str">
        <f t="shared" si="194"/>
        <v>Number</v>
      </c>
      <c r="S911" s="2">
        <v>5.99</v>
      </c>
      <c r="T911" s="19">
        <f t="shared" si="195"/>
        <v>5.99</v>
      </c>
      <c r="U911" s="2" t="s">
        <v>2757</v>
      </c>
      <c r="V911" s="19">
        <f t="shared" si="196"/>
        <v>74.959999999999994</v>
      </c>
      <c r="W911" s="19">
        <f t="shared" si="197"/>
        <v>74.959999999999994</v>
      </c>
      <c r="X911" s="19" t="str">
        <f t="shared" si="198"/>
        <v>True</v>
      </c>
      <c r="Y911" s="19" t="str">
        <f>IF(OR(W911&lt;'Cleaning Tasks'!$G$18,W911&gt;'Cleaning Tasks'!$H$18),"Outlier","Normal")</f>
        <v>Normal</v>
      </c>
      <c r="Z911" s="2" t="s">
        <v>72</v>
      </c>
      <c r="AA911" s="2" t="s">
        <v>111</v>
      </c>
      <c r="AB911" s="2" t="s">
        <v>96</v>
      </c>
      <c r="AC911" s="2" t="s">
        <v>73</v>
      </c>
      <c r="AD911" s="2"/>
      <c r="AE911" s="2" t="str">
        <f t="shared" si="199"/>
        <v>Not Required</v>
      </c>
      <c r="AF911" s="2" t="s">
        <v>2758</v>
      </c>
    </row>
    <row r="912" spans="1:32" x14ac:dyDescent="0.3">
      <c r="A912" s="2" t="s">
        <v>2759</v>
      </c>
      <c r="B912" s="2">
        <f t="shared" si="189"/>
        <v>1</v>
      </c>
      <c r="C912" s="12">
        <f>DATE(VALUE(RIGHT(D912,4)),MATCH(LEFT(D912,3),{"Jan","Feb","Mar","Apr","May","Jun","Jul","Aug","Sep","Oct","Nov","Dec"},0),VALUE(MID(D912,5,2)))</f>
        <v>46238</v>
      </c>
      <c r="D912" s="13" t="s">
        <v>171</v>
      </c>
      <c r="E912" s="2" t="s">
        <v>1913</v>
      </c>
      <c r="F912" s="2" t="str">
        <f t="shared" si="190"/>
        <v>Missing Email</v>
      </c>
      <c r="G912" s="2"/>
      <c r="H912" s="2" t="s">
        <v>35</v>
      </c>
      <c r="I912" s="2" t="s">
        <v>36</v>
      </c>
      <c r="J912" s="2" t="s">
        <v>37</v>
      </c>
      <c r="K912" s="2">
        <v>1</v>
      </c>
      <c r="L912" s="2">
        <v>21.99</v>
      </c>
      <c r="M912" s="19">
        <f t="shared" si="191"/>
        <v>21.99</v>
      </c>
      <c r="N912" s="2"/>
      <c r="O912" s="2" t="str">
        <f t="shared" si="192"/>
        <v/>
      </c>
      <c r="P912" s="2">
        <v>0</v>
      </c>
      <c r="Q912" s="19">
        <f t="shared" si="193"/>
        <v>0</v>
      </c>
      <c r="R912" s="2" t="str">
        <f t="shared" si="194"/>
        <v>Number</v>
      </c>
      <c r="S912" s="2">
        <v>4.99</v>
      </c>
      <c r="T912" s="19">
        <f t="shared" si="195"/>
        <v>4.99</v>
      </c>
      <c r="U912" s="2">
        <v>26.98</v>
      </c>
      <c r="V912" s="19">
        <f t="shared" si="196"/>
        <v>26.98</v>
      </c>
      <c r="W912" s="19">
        <f t="shared" si="197"/>
        <v>26.979999999999997</v>
      </c>
      <c r="X912" s="19" t="str">
        <f t="shared" si="198"/>
        <v>True</v>
      </c>
      <c r="Y912" s="19" t="str">
        <f>IF(OR(W912&lt;'Cleaning Tasks'!$G$18,W912&gt;'Cleaning Tasks'!$H$18),"Outlier","Normal")</f>
        <v>Normal</v>
      </c>
      <c r="Z912" s="2" t="s">
        <v>72</v>
      </c>
      <c r="AA912" s="2" t="s">
        <v>111</v>
      </c>
      <c r="AB912" s="2" t="s">
        <v>96</v>
      </c>
      <c r="AC912" s="2" t="s">
        <v>105</v>
      </c>
      <c r="AD912" s="2"/>
      <c r="AE912" s="2" t="str">
        <f t="shared" si="199"/>
        <v>Not Required</v>
      </c>
      <c r="AF912" s="2" t="s">
        <v>2760</v>
      </c>
    </row>
    <row r="913" spans="1:32" x14ac:dyDescent="0.3">
      <c r="A913" s="2" t="s">
        <v>2761</v>
      </c>
      <c r="B913" s="2">
        <f t="shared" si="189"/>
        <v>1</v>
      </c>
      <c r="C913" s="12">
        <f t="shared" ref="C913:C920" si="200">IF(ISNUMBER(D913),D913,DATEVALUE(SUBSTITUTE(TRIM(D913),CHAR(160)," ")))</f>
        <v>46238.589157187504</v>
      </c>
      <c r="D913" s="13">
        <v>46238.589157187504</v>
      </c>
      <c r="E913" s="2" t="s">
        <v>1989</v>
      </c>
      <c r="F913" s="2" t="str">
        <f t="shared" si="190"/>
        <v>Email Available</v>
      </c>
      <c r="G913" s="2" t="s">
        <v>1990</v>
      </c>
      <c r="H913" s="2" t="s">
        <v>78</v>
      </c>
      <c r="I913" s="2" t="s">
        <v>79</v>
      </c>
      <c r="J913" s="2" t="s">
        <v>80</v>
      </c>
      <c r="K913" s="2">
        <v>1</v>
      </c>
      <c r="L913" s="2">
        <v>89.99</v>
      </c>
      <c r="M913" s="19">
        <f t="shared" si="191"/>
        <v>89.99</v>
      </c>
      <c r="N913" s="2"/>
      <c r="O913" s="2" t="str">
        <f t="shared" si="192"/>
        <v/>
      </c>
      <c r="P913" s="2">
        <v>0</v>
      </c>
      <c r="Q913" s="19">
        <f t="shared" si="193"/>
        <v>0</v>
      </c>
      <c r="R913" s="2" t="str">
        <f t="shared" si="194"/>
        <v>Number</v>
      </c>
      <c r="S913" s="2">
        <v>0</v>
      </c>
      <c r="T913" s="19">
        <f t="shared" si="195"/>
        <v>0</v>
      </c>
      <c r="U913" s="2" t="s">
        <v>571</v>
      </c>
      <c r="V913" s="19">
        <f t="shared" si="196"/>
        <v>89.99</v>
      </c>
      <c r="W913" s="19">
        <f t="shared" si="197"/>
        <v>89.99</v>
      </c>
      <c r="X913" s="19" t="str">
        <f t="shared" si="198"/>
        <v>True</v>
      </c>
      <c r="Y913" s="19" t="str">
        <f>IF(OR(W913&lt;'Cleaning Tasks'!$G$18,W913&gt;'Cleaning Tasks'!$H$18),"Outlier","Normal")</f>
        <v>Outlier</v>
      </c>
      <c r="Z913" s="2" t="s">
        <v>66</v>
      </c>
      <c r="AA913" s="2" t="s">
        <v>40</v>
      </c>
      <c r="AB913" s="2" t="s">
        <v>96</v>
      </c>
      <c r="AC913" s="2" t="s">
        <v>223</v>
      </c>
      <c r="AD913" s="2"/>
      <c r="AE913" s="2" t="str">
        <f t="shared" si="199"/>
        <v>Not Required</v>
      </c>
      <c r="AF913" s="2" t="s">
        <v>2762</v>
      </c>
    </row>
    <row r="914" spans="1:32" x14ac:dyDescent="0.3">
      <c r="A914" s="2" t="s">
        <v>2763</v>
      </c>
      <c r="B914" s="2">
        <f t="shared" si="189"/>
        <v>1</v>
      </c>
      <c r="C914" s="12">
        <f t="shared" si="200"/>
        <v>46238.584108078707</v>
      </c>
      <c r="D914" s="13">
        <v>46238.584108078707</v>
      </c>
      <c r="E914" s="2" t="s">
        <v>554</v>
      </c>
      <c r="F914" s="2" t="str">
        <f t="shared" si="190"/>
        <v>Email Available</v>
      </c>
      <c r="G914" s="2" t="s">
        <v>45</v>
      </c>
      <c r="H914" s="2" t="s">
        <v>152</v>
      </c>
      <c r="I914" s="2" t="s">
        <v>36</v>
      </c>
      <c r="J914" s="2" t="s">
        <v>153</v>
      </c>
      <c r="K914" s="2">
        <v>3</v>
      </c>
      <c r="L914" s="2">
        <v>29.99</v>
      </c>
      <c r="M914" s="19">
        <f t="shared" si="191"/>
        <v>29.99</v>
      </c>
      <c r="N914" s="2"/>
      <c r="O914" s="2" t="str">
        <f t="shared" si="192"/>
        <v/>
      </c>
      <c r="P914" s="2">
        <v>0</v>
      </c>
      <c r="Q914" s="19">
        <f t="shared" si="193"/>
        <v>0</v>
      </c>
      <c r="R914" s="2" t="str">
        <f t="shared" si="194"/>
        <v>Number</v>
      </c>
      <c r="S914" s="2">
        <v>0</v>
      </c>
      <c r="T914" s="19">
        <f t="shared" si="195"/>
        <v>0</v>
      </c>
      <c r="U914" s="2">
        <v>89.97</v>
      </c>
      <c r="V914" s="19">
        <f t="shared" si="196"/>
        <v>89.97</v>
      </c>
      <c r="W914" s="19">
        <f t="shared" si="197"/>
        <v>89.97</v>
      </c>
      <c r="X914" s="19" t="str">
        <f t="shared" si="198"/>
        <v>True</v>
      </c>
      <c r="Y914" s="19" t="str">
        <f>IF(OR(W914&lt;'Cleaning Tasks'!$G$18,W914&gt;'Cleaning Tasks'!$H$18),"Outlier","Normal")</f>
        <v>Outlier</v>
      </c>
      <c r="Z914" s="2" t="s">
        <v>49</v>
      </c>
      <c r="AA914" s="2" t="s">
        <v>111</v>
      </c>
      <c r="AB914" s="2" t="s">
        <v>50</v>
      </c>
      <c r="AC914" s="2" t="s">
        <v>29</v>
      </c>
      <c r="AD914" s="22" t="s">
        <v>243</v>
      </c>
      <c r="AE914" s="2" t="str">
        <f t="shared" si="199"/>
        <v>Valid</v>
      </c>
      <c r="AF914" s="2" t="s">
        <v>2764</v>
      </c>
    </row>
    <row r="915" spans="1:32" x14ac:dyDescent="0.3">
      <c r="A915" s="2" t="s">
        <v>2765</v>
      </c>
      <c r="B915" s="2">
        <f t="shared" si="189"/>
        <v>1</v>
      </c>
      <c r="C915" s="12">
        <f t="shared" si="200"/>
        <v>46238.579124629628</v>
      </c>
      <c r="D915" s="13">
        <v>46238.579124629628</v>
      </c>
      <c r="E915" s="2" t="s">
        <v>536</v>
      </c>
      <c r="F915" s="2" t="str">
        <f t="shared" si="190"/>
        <v>Email Available</v>
      </c>
      <c r="G915" s="2" t="s">
        <v>537</v>
      </c>
      <c r="H915" s="2" t="s">
        <v>130</v>
      </c>
      <c r="I915" s="2" t="s">
        <v>103</v>
      </c>
      <c r="J915" s="2" t="s">
        <v>131</v>
      </c>
      <c r="K915" s="2">
        <v>2</v>
      </c>
      <c r="L915" s="2">
        <v>16.989999999999998</v>
      </c>
      <c r="M915" s="19">
        <f t="shared" si="191"/>
        <v>16.989999999999998</v>
      </c>
      <c r="N915" s="2" t="s">
        <v>65</v>
      </c>
      <c r="O915" s="2" t="str">
        <f t="shared" si="192"/>
        <v>WELCOME10</v>
      </c>
      <c r="P915" s="2">
        <v>3.4</v>
      </c>
      <c r="Q915" s="19">
        <f t="shared" si="193"/>
        <v>3.4</v>
      </c>
      <c r="R915" s="2" t="str">
        <f t="shared" si="194"/>
        <v>Number</v>
      </c>
      <c r="S915" s="2">
        <v>4.99</v>
      </c>
      <c r="T915" s="19">
        <f t="shared" si="195"/>
        <v>4.99</v>
      </c>
      <c r="U915" s="2">
        <v>35.57</v>
      </c>
      <c r="V915" s="19">
        <f t="shared" si="196"/>
        <v>35.57</v>
      </c>
      <c r="W915" s="19">
        <f t="shared" si="197"/>
        <v>35.57</v>
      </c>
      <c r="X915" s="19" t="str">
        <f t="shared" si="198"/>
        <v>True</v>
      </c>
      <c r="Y915" s="19" t="str">
        <f>IF(OR(W915&lt;'Cleaning Tasks'!$G$18,W915&gt;'Cleaning Tasks'!$H$18),"Outlier","Normal")</f>
        <v>Normal</v>
      </c>
      <c r="Z915" s="2" t="s">
        <v>66</v>
      </c>
      <c r="AA915" s="2" t="s">
        <v>40</v>
      </c>
      <c r="AB915" s="2" t="s">
        <v>50</v>
      </c>
      <c r="AC915" s="2" t="s">
        <v>223</v>
      </c>
      <c r="AD915" s="2"/>
      <c r="AE915" s="2" t="str">
        <f t="shared" si="199"/>
        <v>Not Required</v>
      </c>
      <c r="AF915" s="2" t="s">
        <v>2766</v>
      </c>
    </row>
    <row r="916" spans="1:32" x14ac:dyDescent="0.3">
      <c r="A916" s="2" t="s">
        <v>2767</v>
      </c>
      <c r="B916" s="2">
        <f t="shared" si="189"/>
        <v>1</v>
      </c>
      <c r="C916" s="12">
        <f t="shared" si="200"/>
        <v>46238.579255625002</v>
      </c>
      <c r="D916" s="13">
        <v>46238.579255625002</v>
      </c>
      <c r="E916" s="2" t="s">
        <v>2160</v>
      </c>
      <c r="F916" s="2" t="str">
        <f t="shared" si="190"/>
        <v>Email Available</v>
      </c>
      <c r="G916" s="2" t="s">
        <v>2768</v>
      </c>
      <c r="H916" s="2" t="s">
        <v>130</v>
      </c>
      <c r="I916" s="2" t="s">
        <v>103</v>
      </c>
      <c r="J916" s="2" t="s">
        <v>131</v>
      </c>
      <c r="K916" s="2">
        <v>2</v>
      </c>
      <c r="L916" s="2">
        <v>16.989999999999998</v>
      </c>
      <c r="M916" s="19">
        <f t="shared" si="191"/>
        <v>16.989999999999998</v>
      </c>
      <c r="N916" s="2" t="s">
        <v>65</v>
      </c>
      <c r="O916" s="2" t="str">
        <f t="shared" si="192"/>
        <v>WELCOME10</v>
      </c>
      <c r="P916" s="2">
        <v>3.4</v>
      </c>
      <c r="Q916" s="19">
        <f t="shared" si="193"/>
        <v>3.4</v>
      </c>
      <c r="R916" s="2" t="str">
        <f t="shared" si="194"/>
        <v>Number</v>
      </c>
      <c r="S916" s="2">
        <v>4.99</v>
      </c>
      <c r="T916" s="19">
        <f t="shared" si="195"/>
        <v>4.99</v>
      </c>
      <c r="U916" s="2">
        <v>35.57</v>
      </c>
      <c r="V916" s="19">
        <f t="shared" si="196"/>
        <v>35.57</v>
      </c>
      <c r="W916" s="19">
        <f t="shared" si="197"/>
        <v>35.57</v>
      </c>
      <c r="X916" s="19" t="str">
        <f t="shared" si="198"/>
        <v>True</v>
      </c>
      <c r="Y916" s="19" t="str">
        <f>IF(OR(W916&lt;'Cleaning Tasks'!$G$18,W916&gt;'Cleaning Tasks'!$H$18),"Outlier","Normal")</f>
        <v>Normal</v>
      </c>
      <c r="Z916" s="2" t="s">
        <v>49</v>
      </c>
      <c r="AA916" s="2" t="s">
        <v>40</v>
      </c>
      <c r="AB916" s="2" t="s">
        <v>96</v>
      </c>
      <c r="AC916" s="2" t="s">
        <v>29</v>
      </c>
      <c r="AD916" s="2" t="s">
        <v>51</v>
      </c>
      <c r="AE916" s="2" t="str">
        <f t="shared" si="199"/>
        <v>Valid</v>
      </c>
      <c r="AF916" s="2" t="s">
        <v>2769</v>
      </c>
    </row>
    <row r="917" spans="1:32" x14ac:dyDescent="0.3">
      <c r="A917" s="2" t="s">
        <v>2770</v>
      </c>
      <c r="B917" s="2">
        <f t="shared" si="189"/>
        <v>1</v>
      </c>
      <c r="C917" s="12">
        <f t="shared" si="200"/>
        <v>46238.585629259258</v>
      </c>
      <c r="D917" s="13">
        <v>46238.585629259258</v>
      </c>
      <c r="E917" s="2" t="s">
        <v>417</v>
      </c>
      <c r="F917" s="2" t="str">
        <f t="shared" si="190"/>
        <v>Email Available</v>
      </c>
      <c r="G917" s="2" t="s">
        <v>418</v>
      </c>
      <c r="H917" s="2" t="s">
        <v>261</v>
      </c>
      <c r="I917" s="2" t="s">
        <v>36</v>
      </c>
      <c r="J917" s="2" t="s">
        <v>262</v>
      </c>
      <c r="K917" s="2">
        <v>1</v>
      </c>
      <c r="L917" s="2">
        <v>15.49</v>
      </c>
      <c r="M917" s="19">
        <f t="shared" si="191"/>
        <v>15.49</v>
      </c>
      <c r="N917" s="2"/>
      <c r="O917" s="2" t="str">
        <f t="shared" si="192"/>
        <v/>
      </c>
      <c r="P917" s="2">
        <v>0</v>
      </c>
      <c r="Q917" s="19">
        <f t="shared" si="193"/>
        <v>0</v>
      </c>
      <c r="R917" s="2" t="str">
        <f t="shared" si="194"/>
        <v>Number</v>
      </c>
      <c r="S917" s="2">
        <v>7.99</v>
      </c>
      <c r="T917" s="19">
        <f t="shared" si="195"/>
        <v>7.99</v>
      </c>
      <c r="U917" s="2">
        <v>23.48</v>
      </c>
      <c r="V917" s="19">
        <f t="shared" si="196"/>
        <v>23.48</v>
      </c>
      <c r="W917" s="19">
        <f t="shared" si="197"/>
        <v>23.48</v>
      </c>
      <c r="X917" s="19" t="str">
        <f t="shared" si="198"/>
        <v>True</v>
      </c>
      <c r="Y917" s="19" t="str">
        <f>IF(OR(W917&lt;'Cleaning Tasks'!$G$18,W917&gt;'Cleaning Tasks'!$H$18),"Outlier","Normal")</f>
        <v>Normal</v>
      </c>
      <c r="Z917" s="2" t="s">
        <v>66</v>
      </c>
      <c r="AA917" s="2" t="s">
        <v>111</v>
      </c>
      <c r="AB917" s="2" t="s">
        <v>50</v>
      </c>
      <c r="AC917" s="2" t="s">
        <v>29</v>
      </c>
      <c r="AD917" s="2" t="s">
        <v>67</v>
      </c>
      <c r="AE917" s="2" t="str">
        <f t="shared" si="199"/>
        <v>Valid</v>
      </c>
      <c r="AF917" s="2" t="s">
        <v>2771</v>
      </c>
    </row>
    <row r="918" spans="1:32" x14ac:dyDescent="0.3">
      <c r="A918" s="2" t="s">
        <v>2772</v>
      </c>
      <c r="B918" s="2">
        <f t="shared" si="189"/>
        <v>1</v>
      </c>
      <c r="C918" s="12">
        <f t="shared" si="200"/>
        <v>46238.579923460653</v>
      </c>
      <c r="D918" s="13">
        <v>46238.579923460653</v>
      </c>
      <c r="E918" s="2" t="s">
        <v>303</v>
      </c>
      <c r="F918" s="2" t="str">
        <f t="shared" si="190"/>
        <v>Email Available</v>
      </c>
      <c r="G918" s="2" t="s">
        <v>304</v>
      </c>
      <c r="H918" s="2" t="s">
        <v>267</v>
      </c>
      <c r="I918" s="2" t="s">
        <v>22</v>
      </c>
      <c r="J918" s="2" t="s">
        <v>268</v>
      </c>
      <c r="K918" s="2">
        <v>1</v>
      </c>
      <c r="L918" s="2">
        <v>18.989999999999998</v>
      </c>
      <c r="M918" s="19">
        <f t="shared" si="191"/>
        <v>18.989999999999998</v>
      </c>
      <c r="N918" s="2" t="s">
        <v>24</v>
      </c>
      <c r="O918" s="2" t="str">
        <f t="shared" si="192"/>
        <v>SAVE20</v>
      </c>
      <c r="P918" s="2">
        <v>3.8</v>
      </c>
      <c r="Q918" s="19">
        <f t="shared" si="193"/>
        <v>3.8</v>
      </c>
      <c r="R918" s="2" t="str">
        <f t="shared" si="194"/>
        <v>Number</v>
      </c>
      <c r="S918" s="2">
        <v>5.99</v>
      </c>
      <c r="T918" s="19">
        <f t="shared" si="195"/>
        <v>5.99</v>
      </c>
      <c r="U918" s="2" t="s">
        <v>2773</v>
      </c>
      <c r="V918" s="19">
        <f t="shared" si="196"/>
        <v>21.18</v>
      </c>
      <c r="W918" s="19">
        <f t="shared" si="197"/>
        <v>21.18</v>
      </c>
      <c r="X918" s="19" t="str">
        <f t="shared" si="198"/>
        <v>True</v>
      </c>
      <c r="Y918" s="19" t="str">
        <f>IF(OR(W918&lt;'Cleaning Tasks'!$G$18,W918&gt;'Cleaning Tasks'!$H$18),"Outlier","Normal")</f>
        <v>Normal</v>
      </c>
      <c r="Z918" s="2" t="s">
        <v>72</v>
      </c>
      <c r="AA918" s="2" t="s">
        <v>111</v>
      </c>
      <c r="AB918" s="2" t="s">
        <v>28</v>
      </c>
      <c r="AC918" s="2" t="s">
        <v>29</v>
      </c>
      <c r="AD918" s="2" t="s">
        <v>112</v>
      </c>
      <c r="AE918" s="2" t="str">
        <f t="shared" si="199"/>
        <v>Valid</v>
      </c>
      <c r="AF918" s="2" t="s">
        <v>2774</v>
      </c>
    </row>
    <row r="919" spans="1:32" x14ac:dyDescent="0.3">
      <c r="A919" s="2" t="s">
        <v>2775</v>
      </c>
      <c r="B919" s="2">
        <f t="shared" si="189"/>
        <v>1</v>
      </c>
      <c r="C919" s="12">
        <f t="shared" si="200"/>
        <v>46238.585247071758</v>
      </c>
      <c r="D919" s="13">
        <v>46238.585247071758</v>
      </c>
      <c r="E919" s="2" t="s">
        <v>303</v>
      </c>
      <c r="F919" s="2" t="str">
        <f t="shared" si="190"/>
        <v>Email Available</v>
      </c>
      <c r="G919" s="2" t="s">
        <v>304</v>
      </c>
      <c r="H919" s="2" t="s">
        <v>56</v>
      </c>
      <c r="I919" s="2" t="s">
        <v>22</v>
      </c>
      <c r="J919" s="2" t="s">
        <v>57</v>
      </c>
      <c r="K919" s="2">
        <v>1</v>
      </c>
      <c r="L919" s="2">
        <v>9.99</v>
      </c>
      <c r="M919" s="19">
        <f t="shared" si="191"/>
        <v>9.99</v>
      </c>
      <c r="N919" s="2" t="s">
        <v>24</v>
      </c>
      <c r="O919" s="2" t="str">
        <f t="shared" si="192"/>
        <v>SAVE20</v>
      </c>
      <c r="P919" s="2">
        <v>2</v>
      </c>
      <c r="Q919" s="19">
        <f t="shared" si="193"/>
        <v>2</v>
      </c>
      <c r="R919" s="2" t="str">
        <f t="shared" si="194"/>
        <v>Number</v>
      </c>
      <c r="S919" s="2">
        <v>4.99</v>
      </c>
      <c r="T919" s="19">
        <f t="shared" si="195"/>
        <v>4.99</v>
      </c>
      <c r="U919" s="2">
        <v>12.98</v>
      </c>
      <c r="V919" s="19">
        <f t="shared" si="196"/>
        <v>12.98</v>
      </c>
      <c r="W919" s="19">
        <f t="shared" si="197"/>
        <v>12.98</v>
      </c>
      <c r="X919" s="19" t="str">
        <f t="shared" si="198"/>
        <v>True</v>
      </c>
      <c r="Y919" s="19" t="str">
        <f>IF(OR(W919&lt;'Cleaning Tasks'!$G$18,W919&gt;'Cleaning Tasks'!$H$18),"Outlier","Normal")</f>
        <v>Normal</v>
      </c>
      <c r="Z919" s="2" t="s">
        <v>39</v>
      </c>
      <c r="AA919" s="2" t="s">
        <v>27</v>
      </c>
      <c r="AB919" s="2" t="s">
        <v>50</v>
      </c>
      <c r="AC919" s="2" t="s">
        <v>29</v>
      </c>
      <c r="AD919" s="2" t="s">
        <v>341</v>
      </c>
      <c r="AE919" s="2" t="str">
        <f t="shared" si="199"/>
        <v>Valid</v>
      </c>
      <c r="AF919" s="2" t="s">
        <v>2776</v>
      </c>
    </row>
    <row r="920" spans="1:32" x14ac:dyDescent="0.3">
      <c r="A920" s="2" t="s">
        <v>2777</v>
      </c>
      <c r="B920" s="2">
        <f t="shared" si="189"/>
        <v>1</v>
      </c>
      <c r="C920" s="12">
        <f t="shared" si="200"/>
        <v>46238.582728032408</v>
      </c>
      <c r="D920" s="13">
        <v>46238.582728032408</v>
      </c>
      <c r="E920" s="2" t="s">
        <v>2778</v>
      </c>
      <c r="F920" s="2" t="str">
        <f t="shared" si="190"/>
        <v>Email Available</v>
      </c>
      <c r="G920" s="2" t="s">
        <v>2779</v>
      </c>
      <c r="H920" s="2" t="s">
        <v>190</v>
      </c>
      <c r="I920" s="2" t="s">
        <v>191</v>
      </c>
      <c r="J920" s="2" t="s">
        <v>192</v>
      </c>
      <c r="K920" s="2">
        <v>2</v>
      </c>
      <c r="L920" s="2">
        <v>13.49</v>
      </c>
      <c r="M920" s="19">
        <f t="shared" si="191"/>
        <v>13.49</v>
      </c>
      <c r="N920" s="2"/>
      <c r="O920" s="2" t="str">
        <f t="shared" si="192"/>
        <v/>
      </c>
      <c r="P920" s="2">
        <v>0</v>
      </c>
      <c r="Q920" s="19">
        <f t="shared" si="193"/>
        <v>0</v>
      </c>
      <c r="R920" s="2" t="str">
        <f t="shared" si="194"/>
        <v>Number</v>
      </c>
      <c r="S920" s="2">
        <v>4.99</v>
      </c>
      <c r="T920" s="19">
        <f t="shared" si="195"/>
        <v>4.99</v>
      </c>
      <c r="U920" s="2">
        <v>31.97</v>
      </c>
      <c r="V920" s="19">
        <f t="shared" si="196"/>
        <v>31.97</v>
      </c>
      <c r="W920" s="19">
        <f t="shared" si="197"/>
        <v>31.97</v>
      </c>
      <c r="X920" s="19" t="str">
        <f t="shared" si="198"/>
        <v>True</v>
      </c>
      <c r="Y920" s="19" t="str">
        <f>IF(OR(W920&lt;'Cleaning Tasks'!$G$18,W920&gt;'Cleaning Tasks'!$H$18),"Outlier","Normal")</f>
        <v>Normal</v>
      </c>
      <c r="Z920" s="2" t="s">
        <v>49</v>
      </c>
      <c r="AA920" s="2" t="s">
        <v>88</v>
      </c>
      <c r="AB920" s="2" t="s">
        <v>50</v>
      </c>
      <c r="AC920" s="2" t="s">
        <v>105</v>
      </c>
      <c r="AD920" s="2"/>
      <c r="AE920" s="2" t="str">
        <f t="shared" si="199"/>
        <v>Not Required</v>
      </c>
      <c r="AF920" s="2" t="s">
        <v>2780</v>
      </c>
    </row>
    <row r="921" spans="1:32" x14ac:dyDescent="0.3">
      <c r="A921" s="2" t="s">
        <v>2781</v>
      </c>
      <c r="B921" s="2">
        <f t="shared" si="189"/>
        <v>1</v>
      </c>
      <c r="C921" s="12">
        <f>DATE(VALUE(RIGHT(D921,4)),MATCH(LEFT(D921,3),{"Jan","Feb","Mar","Apr","May","Jun","Jul","Aug","Sep","Oct","Nov","Dec"},0),VALUE(MID(D921,5,2)))</f>
        <v>46238</v>
      </c>
      <c r="D921" s="13" t="s">
        <v>171</v>
      </c>
      <c r="E921" s="2" t="s">
        <v>2782</v>
      </c>
      <c r="F921" s="2" t="str">
        <f t="shared" si="190"/>
        <v>Email Available</v>
      </c>
      <c r="G921" s="2" t="s">
        <v>2783</v>
      </c>
      <c r="H921" s="2" t="s">
        <v>201</v>
      </c>
      <c r="I921" s="2" t="s">
        <v>191</v>
      </c>
      <c r="J921" s="2" t="s">
        <v>202</v>
      </c>
      <c r="K921" s="2">
        <v>3</v>
      </c>
      <c r="L921" s="2">
        <v>24.99</v>
      </c>
      <c r="M921" s="19">
        <f t="shared" si="191"/>
        <v>24.99</v>
      </c>
      <c r="N921" s="2" t="s">
        <v>24</v>
      </c>
      <c r="O921" s="2" t="str">
        <f t="shared" si="192"/>
        <v>SAVE20</v>
      </c>
      <c r="P921" s="2">
        <v>14.99</v>
      </c>
      <c r="Q921" s="19">
        <f t="shared" si="193"/>
        <v>14.99</v>
      </c>
      <c r="R921" s="2" t="str">
        <f t="shared" si="194"/>
        <v>Number</v>
      </c>
      <c r="S921" s="2">
        <v>5.99</v>
      </c>
      <c r="T921" s="19">
        <f t="shared" si="195"/>
        <v>5.99</v>
      </c>
      <c r="U921" s="2">
        <v>65.97</v>
      </c>
      <c r="V921" s="19">
        <f t="shared" si="196"/>
        <v>65.97</v>
      </c>
      <c r="W921" s="19">
        <f t="shared" si="197"/>
        <v>65.97</v>
      </c>
      <c r="X921" s="19" t="str">
        <f t="shared" si="198"/>
        <v>True</v>
      </c>
      <c r="Y921" s="19" t="str">
        <f>IF(OR(W921&lt;'Cleaning Tasks'!$G$18,W921&gt;'Cleaning Tasks'!$H$18),"Outlier","Normal")</f>
        <v>Normal</v>
      </c>
      <c r="Z921" s="2" t="s">
        <v>49</v>
      </c>
      <c r="AA921" s="2" t="s">
        <v>111</v>
      </c>
      <c r="AB921" s="2" t="s">
        <v>41</v>
      </c>
      <c r="AC921" s="2" t="s">
        <v>29</v>
      </c>
      <c r="AD921" s="22" t="s">
        <v>140</v>
      </c>
      <c r="AE921" s="2" t="str">
        <f t="shared" si="199"/>
        <v>Valid</v>
      </c>
      <c r="AF921" s="2" t="s">
        <v>2784</v>
      </c>
    </row>
    <row r="922" spans="1:32" x14ac:dyDescent="0.3">
      <c r="A922" s="2" t="s">
        <v>2785</v>
      </c>
      <c r="B922" s="2">
        <f t="shared" si="189"/>
        <v>1</v>
      </c>
      <c r="C922" s="12">
        <f t="shared" ref="C922:C944" si="201">IF(ISNUMBER(D922),D922,DATEVALUE(SUBSTITUTE(TRIM(D922),CHAR(160)," ")))</f>
        <v>46238.578998437501</v>
      </c>
      <c r="D922" s="13">
        <v>46238.578998437501</v>
      </c>
      <c r="E922" s="2" t="s">
        <v>2786</v>
      </c>
      <c r="F922" s="2" t="str">
        <f t="shared" si="190"/>
        <v>Email Available</v>
      </c>
      <c r="G922" s="2" t="s">
        <v>2787</v>
      </c>
      <c r="H922" s="2" t="s">
        <v>109</v>
      </c>
      <c r="I922" s="2" t="s">
        <v>79</v>
      </c>
      <c r="J922" s="2" t="s">
        <v>110</v>
      </c>
      <c r="K922" s="2">
        <v>1</v>
      </c>
      <c r="L922" s="2">
        <v>22.99</v>
      </c>
      <c r="M922" s="19">
        <f t="shared" si="191"/>
        <v>22.99</v>
      </c>
      <c r="N922" s="2"/>
      <c r="O922" s="2" t="str">
        <f t="shared" si="192"/>
        <v/>
      </c>
      <c r="P922" s="2">
        <v>0</v>
      </c>
      <c r="Q922" s="19">
        <f t="shared" si="193"/>
        <v>0</v>
      </c>
      <c r="R922" s="2" t="str">
        <f t="shared" si="194"/>
        <v>Number</v>
      </c>
      <c r="S922" s="2">
        <v>5.99</v>
      </c>
      <c r="T922" s="19">
        <f t="shared" si="195"/>
        <v>5.99</v>
      </c>
      <c r="U922" s="2">
        <v>28.98</v>
      </c>
      <c r="V922" s="19">
        <f t="shared" si="196"/>
        <v>28.98</v>
      </c>
      <c r="W922" s="19">
        <f t="shared" si="197"/>
        <v>28.979999999999997</v>
      </c>
      <c r="X922" s="19" t="str">
        <f t="shared" si="198"/>
        <v>True</v>
      </c>
      <c r="Y922" s="19" t="str">
        <f>IF(OR(W922&lt;'Cleaning Tasks'!$G$18,W922&gt;'Cleaning Tasks'!$H$18),"Outlier","Normal")</f>
        <v>Normal</v>
      </c>
      <c r="Z922" s="2" t="s">
        <v>72</v>
      </c>
      <c r="AA922" s="2" t="s">
        <v>88</v>
      </c>
      <c r="AB922" s="2" t="s">
        <v>28</v>
      </c>
      <c r="AC922" s="2" t="s">
        <v>29</v>
      </c>
      <c r="AD922" s="2" t="s">
        <v>58</v>
      </c>
      <c r="AE922" s="2" t="str">
        <f t="shared" si="199"/>
        <v>Valid</v>
      </c>
      <c r="AF922" s="2" t="s">
        <v>2788</v>
      </c>
    </row>
    <row r="923" spans="1:32" x14ac:dyDescent="0.3">
      <c r="A923" s="2" t="s">
        <v>2789</v>
      </c>
      <c r="B923" s="2">
        <f t="shared" si="189"/>
        <v>1</v>
      </c>
      <c r="C923" s="12">
        <f t="shared" si="201"/>
        <v>46238.585414583336</v>
      </c>
      <c r="D923" s="13">
        <v>46238.585414583336</v>
      </c>
      <c r="E923" s="2" t="s">
        <v>459</v>
      </c>
      <c r="F923" s="2" t="str">
        <f t="shared" si="190"/>
        <v>Email Available</v>
      </c>
      <c r="G923" s="2" t="s">
        <v>460</v>
      </c>
      <c r="H923" s="2" t="s">
        <v>124</v>
      </c>
      <c r="I923" s="2" t="s">
        <v>79</v>
      </c>
      <c r="J923" s="2" t="s">
        <v>125</v>
      </c>
      <c r="K923" s="2">
        <v>1</v>
      </c>
      <c r="L923" s="2">
        <v>13.99</v>
      </c>
      <c r="M923" s="19">
        <f t="shared" si="191"/>
        <v>13.99</v>
      </c>
      <c r="N923" s="2" t="s">
        <v>24</v>
      </c>
      <c r="O923" s="2" t="str">
        <f t="shared" si="192"/>
        <v>SAVE20</v>
      </c>
      <c r="P923" s="2">
        <v>2.8</v>
      </c>
      <c r="Q923" s="19">
        <f t="shared" si="193"/>
        <v>2.8</v>
      </c>
      <c r="R923" s="2" t="str">
        <f t="shared" si="194"/>
        <v>Number</v>
      </c>
      <c r="S923" s="2">
        <v>5.99</v>
      </c>
      <c r="T923" s="19">
        <f t="shared" si="195"/>
        <v>5.99</v>
      </c>
      <c r="U923" s="2" t="s">
        <v>2790</v>
      </c>
      <c r="V923" s="19">
        <f t="shared" si="196"/>
        <v>17.18</v>
      </c>
      <c r="W923" s="19">
        <f t="shared" si="197"/>
        <v>17.18</v>
      </c>
      <c r="X923" s="19" t="str">
        <f t="shared" si="198"/>
        <v>True</v>
      </c>
      <c r="Y923" s="19" t="str">
        <f>IF(OR(W923&lt;'Cleaning Tasks'!$G$18,W923&gt;'Cleaning Tasks'!$H$18),"Outlier","Normal")</f>
        <v>Normal</v>
      </c>
      <c r="Z923" s="2" t="s">
        <v>26</v>
      </c>
      <c r="AA923" s="2" t="s">
        <v>27</v>
      </c>
      <c r="AB923" s="2" t="s">
        <v>28</v>
      </c>
      <c r="AC923" s="2" t="s">
        <v>223</v>
      </c>
      <c r="AD923" s="2"/>
      <c r="AE923" s="2" t="str">
        <f t="shared" si="199"/>
        <v>Not Required</v>
      </c>
      <c r="AF923" s="2" t="s">
        <v>2791</v>
      </c>
    </row>
    <row r="924" spans="1:32" x14ac:dyDescent="0.3">
      <c r="A924" s="2" t="s">
        <v>2792</v>
      </c>
      <c r="B924" s="2">
        <f t="shared" si="189"/>
        <v>1</v>
      </c>
      <c r="C924" s="12">
        <f t="shared" si="201"/>
        <v>46238</v>
      </c>
      <c r="D924" s="13">
        <v>46238</v>
      </c>
      <c r="E924" s="2" t="s">
        <v>904</v>
      </c>
      <c r="F924" s="2" t="str">
        <f t="shared" si="190"/>
        <v>Email Available</v>
      </c>
      <c r="G924" s="2" t="s">
        <v>905</v>
      </c>
      <c r="H924" s="2" t="s">
        <v>78</v>
      </c>
      <c r="I924" s="2" t="s">
        <v>79</v>
      </c>
      <c r="J924" s="2" t="s">
        <v>80</v>
      </c>
      <c r="K924" s="2">
        <v>1</v>
      </c>
      <c r="L924" s="2">
        <v>89.99</v>
      </c>
      <c r="M924" s="19">
        <f t="shared" si="191"/>
        <v>89.99</v>
      </c>
      <c r="N924" s="2"/>
      <c r="O924" s="2" t="str">
        <f t="shared" si="192"/>
        <v/>
      </c>
      <c r="P924" s="2">
        <v>0</v>
      </c>
      <c r="Q924" s="19">
        <f t="shared" si="193"/>
        <v>0</v>
      </c>
      <c r="R924" s="2" t="str">
        <f t="shared" si="194"/>
        <v>Number</v>
      </c>
      <c r="S924" s="2">
        <v>0</v>
      </c>
      <c r="T924" s="19">
        <f t="shared" si="195"/>
        <v>0</v>
      </c>
      <c r="U924" s="2">
        <v>89.99</v>
      </c>
      <c r="V924" s="19">
        <f t="shared" si="196"/>
        <v>89.99</v>
      </c>
      <c r="W924" s="19">
        <f t="shared" si="197"/>
        <v>89.99</v>
      </c>
      <c r="X924" s="19" t="str">
        <f t="shared" si="198"/>
        <v>True</v>
      </c>
      <c r="Y924" s="19" t="str">
        <f>IF(OR(W924&lt;'Cleaning Tasks'!$G$18,W924&gt;'Cleaning Tasks'!$H$18),"Outlier","Normal")</f>
        <v>Outlier</v>
      </c>
      <c r="Z924" s="2" t="s">
        <v>66</v>
      </c>
      <c r="AA924" s="2" t="s">
        <v>27</v>
      </c>
      <c r="AB924" s="2" t="s">
        <v>96</v>
      </c>
      <c r="AC924" s="2" t="s">
        <v>29</v>
      </c>
      <c r="AD924" s="22" t="s">
        <v>51</v>
      </c>
      <c r="AE924" s="2" t="str">
        <f t="shared" si="199"/>
        <v>Valid</v>
      </c>
      <c r="AF924" s="2" t="s">
        <v>2793</v>
      </c>
    </row>
    <row r="925" spans="1:32" x14ac:dyDescent="0.3">
      <c r="A925" s="2" t="s">
        <v>2794</v>
      </c>
      <c r="B925" s="2">
        <f t="shared" si="189"/>
        <v>1</v>
      </c>
      <c r="C925" s="12">
        <f t="shared" si="201"/>
        <v>46238.58811892361</v>
      </c>
      <c r="D925" s="13">
        <v>46238.58811892361</v>
      </c>
      <c r="E925" s="2" t="s">
        <v>740</v>
      </c>
      <c r="F925" s="2" t="str">
        <f t="shared" si="190"/>
        <v>Email Available</v>
      </c>
      <c r="G925" s="2" t="s">
        <v>741</v>
      </c>
      <c r="H925" s="2" t="s">
        <v>56</v>
      </c>
      <c r="I925" s="2" t="s">
        <v>22</v>
      </c>
      <c r="J925" s="2" t="s">
        <v>57</v>
      </c>
      <c r="K925" s="2">
        <v>1</v>
      </c>
      <c r="L925" s="2">
        <v>9.99</v>
      </c>
      <c r="M925" s="19">
        <f t="shared" si="191"/>
        <v>9.99</v>
      </c>
      <c r="N925" s="2" t="s">
        <v>65</v>
      </c>
      <c r="O925" s="2" t="str">
        <f t="shared" si="192"/>
        <v>WELCOME10</v>
      </c>
      <c r="P925" s="2">
        <v>1</v>
      </c>
      <c r="Q925" s="19">
        <f t="shared" si="193"/>
        <v>1</v>
      </c>
      <c r="R925" s="2" t="str">
        <f t="shared" si="194"/>
        <v>Number</v>
      </c>
      <c r="S925" s="2">
        <v>5.99</v>
      </c>
      <c r="T925" s="19">
        <f t="shared" si="195"/>
        <v>5.99</v>
      </c>
      <c r="U925" s="2">
        <v>14.98</v>
      </c>
      <c r="V925" s="19">
        <f t="shared" si="196"/>
        <v>14.98</v>
      </c>
      <c r="W925" s="19">
        <f t="shared" si="197"/>
        <v>14.98</v>
      </c>
      <c r="X925" s="19" t="str">
        <f t="shared" si="198"/>
        <v>True</v>
      </c>
      <c r="Y925" s="19" t="str">
        <f>IF(OR(W925&lt;'Cleaning Tasks'!$G$18,W925&gt;'Cleaning Tasks'!$H$18),"Outlier","Normal")</f>
        <v>Normal</v>
      </c>
      <c r="Z925" s="2" t="s">
        <v>26</v>
      </c>
      <c r="AA925" s="2" t="s">
        <v>27</v>
      </c>
      <c r="AB925" s="2" t="s">
        <v>41</v>
      </c>
      <c r="AC925" s="2" t="s">
        <v>105</v>
      </c>
      <c r="AD925" s="2"/>
      <c r="AE925" s="2" t="str">
        <f t="shared" si="199"/>
        <v>Not Required</v>
      </c>
      <c r="AF925" s="2" t="s">
        <v>2795</v>
      </c>
    </row>
    <row r="926" spans="1:32" x14ac:dyDescent="0.3">
      <c r="A926" s="2" t="s">
        <v>2796</v>
      </c>
      <c r="B926" s="2">
        <f t="shared" si="189"/>
        <v>1</v>
      </c>
      <c r="C926" s="12">
        <f t="shared" si="201"/>
        <v>46238.583406770827</v>
      </c>
      <c r="D926" s="13">
        <v>46238.583406770827</v>
      </c>
      <c r="E926" s="2" t="s">
        <v>1075</v>
      </c>
      <c r="F926" s="2" t="str">
        <f t="shared" si="190"/>
        <v>Email Available</v>
      </c>
      <c r="G926" s="2" t="s">
        <v>587</v>
      </c>
      <c r="H926" s="2" t="s">
        <v>221</v>
      </c>
      <c r="I926" s="2" t="s">
        <v>22</v>
      </c>
      <c r="J926" s="2" t="s">
        <v>222</v>
      </c>
      <c r="K926" s="2">
        <v>1</v>
      </c>
      <c r="L926" s="2">
        <v>17.989999999999998</v>
      </c>
      <c r="M926" s="19">
        <f t="shared" si="191"/>
        <v>17.989999999999998</v>
      </c>
      <c r="N926" s="2" t="s">
        <v>24</v>
      </c>
      <c r="O926" s="2" t="str">
        <f t="shared" si="192"/>
        <v>SAVE20</v>
      </c>
      <c r="P926" s="2" t="s">
        <v>707</v>
      </c>
      <c r="Q926" s="19">
        <f t="shared" si="193"/>
        <v>3.6</v>
      </c>
      <c r="R926" s="2" t="str">
        <f t="shared" si="194"/>
        <v>Number</v>
      </c>
      <c r="S926" s="2">
        <v>4.99</v>
      </c>
      <c r="T926" s="19">
        <f t="shared" si="195"/>
        <v>4.99</v>
      </c>
      <c r="U926" s="2" t="s">
        <v>2797</v>
      </c>
      <c r="V926" s="19">
        <f t="shared" si="196"/>
        <v>19.38</v>
      </c>
      <c r="W926" s="19">
        <f t="shared" si="197"/>
        <v>19.38</v>
      </c>
      <c r="X926" s="19" t="str">
        <f t="shared" si="198"/>
        <v>True</v>
      </c>
      <c r="Y926" s="19" t="str">
        <f>IF(OR(W926&lt;'Cleaning Tasks'!$G$18,W926&gt;'Cleaning Tasks'!$H$18),"Outlier","Normal")</f>
        <v>Normal</v>
      </c>
      <c r="Z926" s="2" t="s">
        <v>72</v>
      </c>
      <c r="AA926" s="2" t="s">
        <v>111</v>
      </c>
      <c r="AB926" s="2" t="s">
        <v>50</v>
      </c>
      <c r="AC926" s="2" t="s">
        <v>29</v>
      </c>
      <c r="AD926" s="2" t="s">
        <v>51</v>
      </c>
      <c r="AE926" s="2" t="str">
        <f t="shared" si="199"/>
        <v>Valid</v>
      </c>
      <c r="AF926" s="2" t="s">
        <v>2798</v>
      </c>
    </row>
    <row r="927" spans="1:32" x14ac:dyDescent="0.3">
      <c r="A927" s="2" t="s">
        <v>2799</v>
      </c>
      <c r="B927" s="2">
        <f t="shared" si="189"/>
        <v>1</v>
      </c>
      <c r="C927" s="12">
        <f t="shared" si="201"/>
        <v>46238.588991550932</v>
      </c>
      <c r="D927" s="13">
        <v>46238.588991550932</v>
      </c>
      <c r="E927" s="2" t="s">
        <v>643</v>
      </c>
      <c r="F927" s="2" t="str">
        <f t="shared" si="190"/>
        <v>Email Available</v>
      </c>
      <c r="G927" s="2" t="s">
        <v>644</v>
      </c>
      <c r="H927" s="2" t="s">
        <v>117</v>
      </c>
      <c r="I927" s="2" t="s">
        <v>22</v>
      </c>
      <c r="J927" s="2" t="s">
        <v>23</v>
      </c>
      <c r="K927" s="2">
        <v>1</v>
      </c>
      <c r="L927" s="2">
        <v>12.99</v>
      </c>
      <c r="M927" s="19">
        <f t="shared" si="191"/>
        <v>12.99</v>
      </c>
      <c r="N927" s="2"/>
      <c r="O927" s="2" t="str">
        <f t="shared" si="192"/>
        <v/>
      </c>
      <c r="P927" s="2">
        <v>0</v>
      </c>
      <c r="Q927" s="19">
        <f t="shared" si="193"/>
        <v>0</v>
      </c>
      <c r="R927" s="2" t="str">
        <f t="shared" si="194"/>
        <v>Number</v>
      </c>
      <c r="S927" s="2">
        <v>7.99</v>
      </c>
      <c r="T927" s="19">
        <f t="shared" si="195"/>
        <v>7.99</v>
      </c>
      <c r="U927" s="2">
        <v>20.98</v>
      </c>
      <c r="V927" s="19">
        <f t="shared" si="196"/>
        <v>20.98</v>
      </c>
      <c r="W927" s="19">
        <f t="shared" si="197"/>
        <v>20.98</v>
      </c>
      <c r="X927" s="19" t="str">
        <f t="shared" si="198"/>
        <v>True</v>
      </c>
      <c r="Y927" s="19" t="str">
        <f>IF(OR(W927&lt;'Cleaning Tasks'!$G$18,W927&gt;'Cleaning Tasks'!$H$18),"Outlier","Normal")</f>
        <v>Normal</v>
      </c>
      <c r="Z927" s="2" t="s">
        <v>66</v>
      </c>
      <c r="AA927" s="2" t="s">
        <v>27</v>
      </c>
      <c r="AB927" s="2" t="s">
        <v>28</v>
      </c>
      <c r="AC927" s="2" t="s">
        <v>29</v>
      </c>
      <c r="AD927" s="2" t="s">
        <v>112</v>
      </c>
      <c r="AE927" s="2" t="str">
        <f t="shared" si="199"/>
        <v>Valid</v>
      </c>
      <c r="AF927" s="2" t="s">
        <v>2800</v>
      </c>
    </row>
    <row r="928" spans="1:32" x14ac:dyDescent="0.3">
      <c r="A928" s="2" t="s">
        <v>2801</v>
      </c>
      <c r="B928" s="2">
        <f t="shared" si="189"/>
        <v>1</v>
      </c>
      <c r="C928" s="12">
        <f t="shared" si="201"/>
        <v>46238.587378807868</v>
      </c>
      <c r="D928" s="13">
        <v>46238.587378807868</v>
      </c>
      <c r="E928" s="2" t="s">
        <v>1625</v>
      </c>
      <c r="F928" s="2" t="str">
        <f t="shared" si="190"/>
        <v>Email Available</v>
      </c>
      <c r="G928" s="2" t="s">
        <v>1533</v>
      </c>
      <c r="H928" s="2" t="s">
        <v>35</v>
      </c>
      <c r="I928" s="2" t="s">
        <v>36</v>
      </c>
      <c r="J928" s="2" t="s">
        <v>37</v>
      </c>
      <c r="K928" s="2">
        <v>2</v>
      </c>
      <c r="L928" s="2">
        <v>21.99</v>
      </c>
      <c r="M928" s="19">
        <f t="shared" si="191"/>
        <v>21.99</v>
      </c>
      <c r="N928" s="2" t="s">
        <v>24</v>
      </c>
      <c r="O928" s="2" t="str">
        <f t="shared" si="192"/>
        <v>SAVE20</v>
      </c>
      <c r="P928" s="2">
        <v>8.8000000000000007</v>
      </c>
      <c r="Q928" s="19">
        <f t="shared" si="193"/>
        <v>8.8000000000000007</v>
      </c>
      <c r="R928" s="2" t="str">
        <f t="shared" si="194"/>
        <v>Number</v>
      </c>
      <c r="S928" s="2">
        <v>5.99</v>
      </c>
      <c r="T928" s="19">
        <f t="shared" si="195"/>
        <v>5.99</v>
      </c>
      <c r="U928" s="2">
        <v>41.17</v>
      </c>
      <c r="V928" s="19">
        <f t="shared" si="196"/>
        <v>41.17</v>
      </c>
      <c r="W928" s="19">
        <f t="shared" si="197"/>
        <v>41.169999999999995</v>
      </c>
      <c r="X928" s="19" t="str">
        <f t="shared" si="198"/>
        <v>True</v>
      </c>
      <c r="Y928" s="19" t="str">
        <f>IF(OR(W928&lt;'Cleaning Tasks'!$G$18,W928&gt;'Cleaning Tasks'!$H$18),"Outlier","Normal")</f>
        <v>Normal</v>
      </c>
      <c r="Z928" s="2" t="s">
        <v>39</v>
      </c>
      <c r="AA928" s="2" t="s">
        <v>88</v>
      </c>
      <c r="AB928" s="2" t="s">
        <v>28</v>
      </c>
      <c r="AC928" s="2" t="s">
        <v>73</v>
      </c>
      <c r="AD928" s="2"/>
      <c r="AE928" s="2" t="str">
        <f t="shared" si="199"/>
        <v>Not Required</v>
      </c>
      <c r="AF928" s="2" t="s">
        <v>2802</v>
      </c>
    </row>
    <row r="929" spans="1:32" x14ac:dyDescent="0.3">
      <c r="A929" s="2" t="s">
        <v>2803</v>
      </c>
      <c r="B929" s="2">
        <f t="shared" si="189"/>
        <v>1</v>
      </c>
      <c r="C929" s="12">
        <f t="shared" si="201"/>
        <v>46238.581965868063</v>
      </c>
      <c r="D929" s="13">
        <v>46238.581965868063</v>
      </c>
      <c r="E929" s="2" t="s">
        <v>577</v>
      </c>
      <c r="F929" s="2" t="str">
        <f t="shared" si="190"/>
        <v>Email Available</v>
      </c>
      <c r="G929" s="2" t="s">
        <v>578</v>
      </c>
      <c r="H929" s="2" t="s">
        <v>201</v>
      </c>
      <c r="I929" s="2" t="s">
        <v>191</v>
      </c>
      <c r="J929" s="2" t="s">
        <v>202</v>
      </c>
      <c r="K929" s="2">
        <v>1</v>
      </c>
      <c r="L929" s="2">
        <v>24.99</v>
      </c>
      <c r="M929" s="19">
        <f t="shared" si="191"/>
        <v>24.99</v>
      </c>
      <c r="N929" s="2"/>
      <c r="O929" s="2" t="str">
        <f t="shared" si="192"/>
        <v/>
      </c>
      <c r="P929" s="2">
        <v>0</v>
      </c>
      <c r="Q929" s="19">
        <f t="shared" si="193"/>
        <v>0</v>
      </c>
      <c r="R929" s="2" t="str">
        <f t="shared" si="194"/>
        <v>Number</v>
      </c>
      <c r="S929" s="2">
        <v>7.99</v>
      </c>
      <c r="T929" s="19">
        <f t="shared" si="195"/>
        <v>7.99</v>
      </c>
      <c r="U929" s="2">
        <v>32.979999999999997</v>
      </c>
      <c r="V929" s="19">
        <f t="shared" si="196"/>
        <v>32.979999999999997</v>
      </c>
      <c r="W929" s="19">
        <f t="shared" si="197"/>
        <v>32.979999999999997</v>
      </c>
      <c r="X929" s="19" t="str">
        <f t="shared" si="198"/>
        <v>True</v>
      </c>
      <c r="Y929" s="19" t="str">
        <f>IF(OR(W929&lt;'Cleaning Tasks'!$G$18,W929&gt;'Cleaning Tasks'!$H$18),"Outlier","Normal")</f>
        <v>Normal</v>
      </c>
      <c r="Z929" s="2" t="s">
        <v>26</v>
      </c>
      <c r="AA929" s="2" t="s">
        <v>40</v>
      </c>
      <c r="AB929" s="2" t="s">
        <v>96</v>
      </c>
      <c r="AC929" s="2" t="s">
        <v>331</v>
      </c>
      <c r="AD929" s="2"/>
      <c r="AE929" s="2" t="str">
        <f t="shared" si="199"/>
        <v>Not Required</v>
      </c>
      <c r="AF929" s="2" t="s">
        <v>2804</v>
      </c>
    </row>
    <row r="930" spans="1:32" x14ac:dyDescent="0.3">
      <c r="A930" s="2" t="s">
        <v>2805</v>
      </c>
      <c r="B930" s="2">
        <f t="shared" si="189"/>
        <v>1</v>
      </c>
      <c r="C930" s="12">
        <f t="shared" si="201"/>
        <v>46238.584404872687</v>
      </c>
      <c r="D930" s="13">
        <v>46238.584404872687</v>
      </c>
      <c r="E930" s="2" t="s">
        <v>1031</v>
      </c>
      <c r="F930" s="2" t="str">
        <f t="shared" si="190"/>
        <v>Email Available</v>
      </c>
      <c r="G930" s="2" t="s">
        <v>1032</v>
      </c>
      <c r="H930" s="2" t="s">
        <v>46</v>
      </c>
      <c r="I930" s="2" t="s">
        <v>47</v>
      </c>
      <c r="J930" s="2" t="s">
        <v>48</v>
      </c>
      <c r="K930" s="2">
        <v>2</v>
      </c>
      <c r="L930" s="2">
        <v>39.99</v>
      </c>
      <c r="M930" s="19">
        <f t="shared" si="191"/>
        <v>39.99</v>
      </c>
      <c r="N930" s="2"/>
      <c r="O930" s="2" t="str">
        <f t="shared" si="192"/>
        <v/>
      </c>
      <c r="P930" s="2">
        <v>0</v>
      </c>
      <c r="Q930" s="19">
        <f t="shared" si="193"/>
        <v>0</v>
      </c>
      <c r="R930" s="2" t="str">
        <f t="shared" si="194"/>
        <v>Number</v>
      </c>
      <c r="S930" s="2">
        <v>0</v>
      </c>
      <c r="T930" s="19">
        <f t="shared" si="195"/>
        <v>0</v>
      </c>
      <c r="U930" s="2">
        <v>79.98</v>
      </c>
      <c r="V930" s="19">
        <f t="shared" si="196"/>
        <v>79.98</v>
      </c>
      <c r="W930" s="19">
        <f t="shared" si="197"/>
        <v>79.98</v>
      </c>
      <c r="X930" s="19" t="str">
        <f t="shared" si="198"/>
        <v>True</v>
      </c>
      <c r="Y930" s="19" t="str">
        <f>IF(OR(W930&lt;'Cleaning Tasks'!$G$18,W930&gt;'Cleaning Tasks'!$H$18),"Outlier","Normal")</f>
        <v>Normal</v>
      </c>
      <c r="Z930" s="2" t="s">
        <v>49</v>
      </c>
      <c r="AA930" s="2" t="s">
        <v>27</v>
      </c>
      <c r="AB930" s="2" t="s">
        <v>50</v>
      </c>
      <c r="AC930" s="2" t="s">
        <v>29</v>
      </c>
      <c r="AD930" s="2" t="s">
        <v>30</v>
      </c>
      <c r="AE930" s="2" t="str">
        <f t="shared" si="199"/>
        <v>Valid</v>
      </c>
      <c r="AF930" s="2" t="s">
        <v>2806</v>
      </c>
    </row>
    <row r="931" spans="1:32" x14ac:dyDescent="0.3">
      <c r="A931" s="2" t="s">
        <v>2807</v>
      </c>
      <c r="B931" s="2">
        <f t="shared" si="189"/>
        <v>1</v>
      </c>
      <c r="C931" s="12">
        <f t="shared" si="201"/>
        <v>46238</v>
      </c>
      <c r="D931" s="13">
        <v>46238</v>
      </c>
      <c r="E931" s="2" t="s">
        <v>1084</v>
      </c>
      <c r="F931" s="2" t="str">
        <f t="shared" si="190"/>
        <v>Email Available</v>
      </c>
      <c r="G931" s="2" t="s">
        <v>1085</v>
      </c>
      <c r="H931" s="2" t="s">
        <v>63</v>
      </c>
      <c r="I931" s="2" t="s">
        <v>47</v>
      </c>
      <c r="J931" s="2" t="s">
        <v>446</v>
      </c>
      <c r="K931" s="2">
        <v>1</v>
      </c>
      <c r="L931" s="2">
        <v>14.99</v>
      </c>
      <c r="M931" s="19">
        <f t="shared" si="191"/>
        <v>14.99</v>
      </c>
      <c r="N931" s="2" t="s">
        <v>203</v>
      </c>
      <c r="O931" s="2" t="str">
        <f t="shared" si="192"/>
        <v>VIP15</v>
      </c>
      <c r="P931" s="2">
        <v>2.25</v>
      </c>
      <c r="Q931" s="19">
        <f t="shared" si="193"/>
        <v>2.25</v>
      </c>
      <c r="R931" s="2" t="str">
        <f t="shared" si="194"/>
        <v>Number</v>
      </c>
      <c r="S931" s="2">
        <v>5.99</v>
      </c>
      <c r="T931" s="19">
        <f t="shared" si="195"/>
        <v>5.99</v>
      </c>
      <c r="U931" s="2">
        <v>18.73</v>
      </c>
      <c r="V931" s="19">
        <f t="shared" si="196"/>
        <v>18.73</v>
      </c>
      <c r="W931" s="19">
        <f t="shared" si="197"/>
        <v>18.73</v>
      </c>
      <c r="X931" s="19" t="str">
        <f t="shared" si="198"/>
        <v>True</v>
      </c>
      <c r="Y931" s="19" t="str">
        <f>IF(OR(W931&lt;'Cleaning Tasks'!$G$18,W931&gt;'Cleaning Tasks'!$H$18),"Outlier","Normal")</f>
        <v>Normal</v>
      </c>
      <c r="Z931" s="2" t="s">
        <v>72</v>
      </c>
      <c r="AA931" s="2" t="s">
        <v>88</v>
      </c>
      <c r="AB931" s="2" t="s">
        <v>50</v>
      </c>
      <c r="AC931" s="2" t="s">
        <v>29</v>
      </c>
      <c r="AD931" s="2" t="s">
        <v>89</v>
      </c>
      <c r="AE931" s="2" t="str">
        <f t="shared" si="199"/>
        <v>Valid</v>
      </c>
      <c r="AF931" s="2" t="s">
        <v>2808</v>
      </c>
    </row>
    <row r="932" spans="1:32" x14ac:dyDescent="0.3">
      <c r="A932" s="2" t="s">
        <v>2809</v>
      </c>
      <c r="B932" s="2">
        <f t="shared" si="189"/>
        <v>1</v>
      </c>
      <c r="C932" s="12">
        <f t="shared" si="201"/>
        <v>46238.589007037037</v>
      </c>
      <c r="D932" s="13">
        <v>46238.589007037037</v>
      </c>
      <c r="E932" s="2" t="s">
        <v>2810</v>
      </c>
      <c r="F932" s="2" t="str">
        <f t="shared" si="190"/>
        <v>Email Available</v>
      </c>
      <c r="G932" s="2" t="s">
        <v>626</v>
      </c>
      <c r="H932" s="2" t="s">
        <v>236</v>
      </c>
      <c r="I932" s="2" t="s">
        <v>237</v>
      </c>
      <c r="J932" s="2" t="s">
        <v>238</v>
      </c>
      <c r="K932" s="2">
        <v>1</v>
      </c>
      <c r="L932" s="2">
        <v>27.99</v>
      </c>
      <c r="M932" s="19">
        <f t="shared" si="191"/>
        <v>27.99</v>
      </c>
      <c r="N932" s="2" t="s">
        <v>118</v>
      </c>
      <c r="O932" s="2" t="str">
        <f t="shared" si="192"/>
        <v>BFCM25</v>
      </c>
      <c r="P932" s="2">
        <v>7</v>
      </c>
      <c r="Q932" s="19">
        <f t="shared" si="193"/>
        <v>7</v>
      </c>
      <c r="R932" s="2" t="str">
        <f t="shared" si="194"/>
        <v>Number</v>
      </c>
      <c r="S932" s="2">
        <v>4.99</v>
      </c>
      <c r="T932" s="19">
        <f t="shared" si="195"/>
        <v>4.99</v>
      </c>
      <c r="U932" s="2">
        <v>25.98</v>
      </c>
      <c r="V932" s="19">
        <f t="shared" si="196"/>
        <v>25.98</v>
      </c>
      <c r="W932" s="19">
        <f t="shared" si="197"/>
        <v>25.979999999999997</v>
      </c>
      <c r="X932" s="19" t="str">
        <f t="shared" si="198"/>
        <v>True</v>
      </c>
      <c r="Y932" s="19" t="str">
        <f>IF(OR(W932&lt;'Cleaning Tasks'!$G$18,W932&gt;'Cleaning Tasks'!$H$18),"Outlier","Normal")</f>
        <v>Normal</v>
      </c>
      <c r="Z932" s="2" t="s">
        <v>49</v>
      </c>
      <c r="AA932" s="2" t="s">
        <v>111</v>
      </c>
      <c r="AB932" s="2" t="s">
        <v>28</v>
      </c>
      <c r="AC932" s="2" t="s">
        <v>29</v>
      </c>
      <c r="AD932" s="2" t="s">
        <v>140</v>
      </c>
      <c r="AE932" s="2" t="str">
        <f t="shared" si="199"/>
        <v>Valid</v>
      </c>
      <c r="AF932" s="2" t="s">
        <v>2811</v>
      </c>
    </row>
    <row r="933" spans="1:32" x14ac:dyDescent="0.3">
      <c r="A933" s="2" t="s">
        <v>2812</v>
      </c>
      <c r="B933" s="2">
        <f t="shared" si="189"/>
        <v>1</v>
      </c>
      <c r="C933" s="12">
        <f t="shared" si="201"/>
        <v>46238.581046331019</v>
      </c>
      <c r="D933" s="13">
        <v>46238.581046331019</v>
      </c>
      <c r="E933" s="2" t="s">
        <v>2813</v>
      </c>
      <c r="F933" s="2" t="str">
        <f t="shared" si="190"/>
        <v>Email Available</v>
      </c>
      <c r="G933" s="2" t="s">
        <v>367</v>
      </c>
      <c r="H933" s="2" t="s">
        <v>63</v>
      </c>
      <c r="I933" s="2" t="s">
        <v>47</v>
      </c>
      <c r="J933" s="2" t="s">
        <v>446</v>
      </c>
      <c r="K933" s="2">
        <v>1</v>
      </c>
      <c r="L933" s="2">
        <v>14.99</v>
      </c>
      <c r="M933" s="19">
        <f t="shared" si="191"/>
        <v>14.99</v>
      </c>
      <c r="N933" s="2" t="s">
        <v>38</v>
      </c>
      <c r="O933" s="2" t="str">
        <f t="shared" si="192"/>
        <v>FREESHIP</v>
      </c>
      <c r="P933" s="2">
        <v>0</v>
      </c>
      <c r="Q933" s="19">
        <f t="shared" si="193"/>
        <v>0</v>
      </c>
      <c r="R933" s="2" t="str">
        <f t="shared" si="194"/>
        <v>Number</v>
      </c>
      <c r="S933" s="2">
        <v>0</v>
      </c>
      <c r="T933" s="19">
        <f t="shared" si="195"/>
        <v>0</v>
      </c>
      <c r="U933" s="2">
        <v>14.99</v>
      </c>
      <c r="V933" s="19">
        <f t="shared" si="196"/>
        <v>14.99</v>
      </c>
      <c r="W933" s="19">
        <f t="shared" si="197"/>
        <v>14.99</v>
      </c>
      <c r="X933" s="19" t="str">
        <f t="shared" si="198"/>
        <v>True</v>
      </c>
      <c r="Y933" s="19" t="str">
        <f>IF(OR(W933&lt;'Cleaning Tasks'!$G$18,W933&gt;'Cleaning Tasks'!$H$18),"Outlier","Normal")</f>
        <v>Normal</v>
      </c>
      <c r="Z933" s="2" t="s">
        <v>72</v>
      </c>
      <c r="AA933" s="2" t="s">
        <v>27</v>
      </c>
      <c r="AB933" s="2" t="s">
        <v>50</v>
      </c>
      <c r="AC933" s="2" t="s">
        <v>331</v>
      </c>
      <c r="AD933" s="2"/>
      <c r="AE933" s="2" t="str">
        <f t="shared" si="199"/>
        <v>Not Required</v>
      </c>
      <c r="AF933" s="2" t="s">
        <v>2814</v>
      </c>
    </row>
    <row r="934" spans="1:32" x14ac:dyDescent="0.3">
      <c r="A934" s="2" t="s">
        <v>2815</v>
      </c>
      <c r="B934" s="2">
        <f t="shared" si="189"/>
        <v>1</v>
      </c>
      <c r="C934" s="12">
        <f t="shared" si="201"/>
        <v>46238.580531805557</v>
      </c>
      <c r="D934" s="13">
        <v>46238.580531805557</v>
      </c>
      <c r="E934" s="2" t="s">
        <v>339</v>
      </c>
      <c r="F934" s="2" t="str">
        <f t="shared" si="190"/>
        <v>Email Available</v>
      </c>
      <c r="G934" s="2" t="s">
        <v>445</v>
      </c>
      <c r="H934" s="2" t="s">
        <v>63</v>
      </c>
      <c r="I934" s="2" t="s">
        <v>47</v>
      </c>
      <c r="J934" s="2" t="s">
        <v>446</v>
      </c>
      <c r="K934" s="2">
        <v>2</v>
      </c>
      <c r="L934" s="2">
        <v>14.99</v>
      </c>
      <c r="M934" s="19">
        <f t="shared" si="191"/>
        <v>14.99</v>
      </c>
      <c r="N934" s="2" t="s">
        <v>203</v>
      </c>
      <c r="O934" s="2" t="str">
        <f t="shared" si="192"/>
        <v>VIP15</v>
      </c>
      <c r="P934" s="2">
        <v>4.5</v>
      </c>
      <c r="Q934" s="19">
        <f t="shared" si="193"/>
        <v>4.5</v>
      </c>
      <c r="R934" s="2" t="str">
        <f t="shared" si="194"/>
        <v>Number</v>
      </c>
      <c r="S934" s="2">
        <v>5.99</v>
      </c>
      <c r="T934" s="19">
        <f t="shared" si="195"/>
        <v>5.99</v>
      </c>
      <c r="U934" s="2">
        <v>31.47</v>
      </c>
      <c r="V934" s="19">
        <f t="shared" si="196"/>
        <v>31.47</v>
      </c>
      <c r="W934" s="19">
        <f t="shared" si="197"/>
        <v>31.47</v>
      </c>
      <c r="X934" s="19" t="str">
        <f t="shared" si="198"/>
        <v>True</v>
      </c>
      <c r="Y934" s="19" t="str">
        <f>IF(OR(W934&lt;'Cleaning Tasks'!$G$18,W934&gt;'Cleaning Tasks'!$H$18),"Outlier","Normal")</f>
        <v>Normal</v>
      </c>
      <c r="Z934" s="2" t="s">
        <v>66</v>
      </c>
      <c r="AA934" s="2" t="s">
        <v>40</v>
      </c>
      <c r="AB934" s="2" t="s">
        <v>96</v>
      </c>
      <c r="AC934" s="2" t="s">
        <v>29</v>
      </c>
      <c r="AD934" s="2" t="s">
        <v>341</v>
      </c>
      <c r="AE934" s="2" t="str">
        <f t="shared" si="199"/>
        <v>Valid</v>
      </c>
      <c r="AF934" s="2" t="s">
        <v>2816</v>
      </c>
    </row>
    <row r="935" spans="1:32" x14ac:dyDescent="0.3">
      <c r="A935" s="2" t="s">
        <v>2817</v>
      </c>
      <c r="B935" s="2">
        <f t="shared" si="189"/>
        <v>1</v>
      </c>
      <c r="C935" s="12">
        <f t="shared" si="201"/>
        <v>46238.584556296293</v>
      </c>
      <c r="D935" s="13">
        <v>46238.584556296293</v>
      </c>
      <c r="E935" s="2" t="s">
        <v>561</v>
      </c>
      <c r="F935" s="2" t="str">
        <f t="shared" si="190"/>
        <v>Email Available</v>
      </c>
      <c r="G935" s="2" t="s">
        <v>562</v>
      </c>
      <c r="H935" s="2" t="s">
        <v>236</v>
      </c>
      <c r="I935" s="2" t="s">
        <v>237</v>
      </c>
      <c r="J935" s="2" t="s">
        <v>238</v>
      </c>
      <c r="K935" s="2">
        <v>1</v>
      </c>
      <c r="L935" s="2">
        <v>27.99</v>
      </c>
      <c r="M935" s="19">
        <f t="shared" si="191"/>
        <v>27.99</v>
      </c>
      <c r="N935" s="2"/>
      <c r="O935" s="2" t="str">
        <f t="shared" si="192"/>
        <v/>
      </c>
      <c r="P935" s="2">
        <v>0</v>
      </c>
      <c r="Q935" s="19">
        <f t="shared" si="193"/>
        <v>0</v>
      </c>
      <c r="R935" s="2" t="str">
        <f t="shared" si="194"/>
        <v>Number</v>
      </c>
      <c r="S935" s="2">
        <v>7.99</v>
      </c>
      <c r="T935" s="19">
        <f t="shared" si="195"/>
        <v>7.99</v>
      </c>
      <c r="U935" s="2">
        <v>35.979999999999997</v>
      </c>
      <c r="V935" s="19">
        <f t="shared" si="196"/>
        <v>35.979999999999997</v>
      </c>
      <c r="W935" s="19">
        <f t="shared" si="197"/>
        <v>35.979999999999997</v>
      </c>
      <c r="X935" s="19" t="str">
        <f t="shared" si="198"/>
        <v>True</v>
      </c>
      <c r="Y935" s="19" t="str">
        <f>IF(OR(W935&lt;'Cleaning Tasks'!$G$18,W935&gt;'Cleaning Tasks'!$H$18),"Outlier","Normal")</f>
        <v>Normal</v>
      </c>
      <c r="Z935" s="2" t="s">
        <v>49</v>
      </c>
      <c r="AA935" s="2" t="s">
        <v>40</v>
      </c>
      <c r="AB935" s="2" t="s">
        <v>50</v>
      </c>
      <c r="AC935" s="2" t="s">
        <v>331</v>
      </c>
      <c r="AD935" s="2"/>
      <c r="AE935" s="2" t="str">
        <f t="shared" si="199"/>
        <v>Not Required</v>
      </c>
      <c r="AF935" s="2" t="s">
        <v>2818</v>
      </c>
    </row>
    <row r="936" spans="1:32" x14ac:dyDescent="0.3">
      <c r="A936" s="2" t="s">
        <v>2819</v>
      </c>
      <c r="B936" s="2">
        <f t="shared" si="189"/>
        <v>1</v>
      </c>
      <c r="C936" s="12">
        <f t="shared" si="201"/>
        <v>46238.582583750002</v>
      </c>
      <c r="D936" s="13">
        <v>46238.582583750002</v>
      </c>
      <c r="E936" s="2" t="s">
        <v>2820</v>
      </c>
      <c r="F936" s="2" t="str">
        <f t="shared" si="190"/>
        <v>Email Available</v>
      </c>
      <c r="G936" s="2" t="s">
        <v>2821</v>
      </c>
      <c r="H936" s="2" t="s">
        <v>182</v>
      </c>
      <c r="I936" s="2" t="s">
        <v>36</v>
      </c>
      <c r="J936" s="2" t="s">
        <v>183</v>
      </c>
      <c r="K936" s="2">
        <v>3</v>
      </c>
      <c r="L936" s="2">
        <v>11.99</v>
      </c>
      <c r="M936" s="19">
        <f t="shared" si="191"/>
        <v>11.99</v>
      </c>
      <c r="N936" s="2"/>
      <c r="O936" s="2" t="str">
        <f t="shared" si="192"/>
        <v/>
      </c>
      <c r="P936" s="2">
        <v>0</v>
      </c>
      <c r="Q936" s="19">
        <f t="shared" si="193"/>
        <v>0</v>
      </c>
      <c r="R936" s="2" t="str">
        <f t="shared" si="194"/>
        <v>Number</v>
      </c>
      <c r="S936" s="2">
        <v>5.99</v>
      </c>
      <c r="T936" s="19">
        <f t="shared" si="195"/>
        <v>5.99</v>
      </c>
      <c r="U936" s="2">
        <v>41.96</v>
      </c>
      <c r="V936" s="19">
        <f t="shared" si="196"/>
        <v>41.96</v>
      </c>
      <c r="W936" s="19">
        <f t="shared" si="197"/>
        <v>41.96</v>
      </c>
      <c r="X936" s="19" t="str">
        <f t="shared" si="198"/>
        <v>True</v>
      </c>
      <c r="Y936" s="19" t="str">
        <f>IF(OR(W936&lt;'Cleaning Tasks'!$G$18,W936&gt;'Cleaning Tasks'!$H$18),"Outlier","Normal")</f>
        <v>Normal</v>
      </c>
      <c r="Z936" s="2" t="s">
        <v>66</v>
      </c>
      <c r="AA936" s="2" t="s">
        <v>27</v>
      </c>
      <c r="AB936" s="2" t="s">
        <v>50</v>
      </c>
      <c r="AC936" s="2" t="s">
        <v>105</v>
      </c>
      <c r="AD936" s="2"/>
      <c r="AE936" s="2" t="str">
        <f t="shared" si="199"/>
        <v>Not Required</v>
      </c>
      <c r="AF936" s="2" t="s">
        <v>2822</v>
      </c>
    </row>
    <row r="937" spans="1:32" x14ac:dyDescent="0.3">
      <c r="A937" s="2" t="s">
        <v>2823</v>
      </c>
      <c r="B937" s="2">
        <f t="shared" si="189"/>
        <v>1</v>
      </c>
      <c r="C937" s="12">
        <f t="shared" si="201"/>
        <v>46238.588335069442</v>
      </c>
      <c r="D937" s="13">
        <v>46238.588335069442</v>
      </c>
      <c r="E937" s="2" t="s">
        <v>843</v>
      </c>
      <c r="F937" s="2" t="str">
        <f t="shared" si="190"/>
        <v>Email Available</v>
      </c>
      <c r="G937" s="2" t="s">
        <v>844</v>
      </c>
      <c r="H937" s="2" t="s">
        <v>361</v>
      </c>
      <c r="I937" s="2" t="s">
        <v>86</v>
      </c>
      <c r="J937" s="2" t="s">
        <v>362</v>
      </c>
      <c r="K937" s="2">
        <v>1</v>
      </c>
      <c r="L937" s="2">
        <v>54.99</v>
      </c>
      <c r="M937" s="19">
        <f t="shared" si="191"/>
        <v>54.99</v>
      </c>
      <c r="N937" s="2" t="s">
        <v>65</v>
      </c>
      <c r="O937" s="2" t="str">
        <f t="shared" si="192"/>
        <v>WELCOME10</v>
      </c>
      <c r="P937" s="2" t="s">
        <v>1504</v>
      </c>
      <c r="Q937" s="19">
        <f t="shared" si="193"/>
        <v>5.5</v>
      </c>
      <c r="R937" s="2" t="str">
        <f t="shared" si="194"/>
        <v>Number</v>
      </c>
      <c r="S937" s="2">
        <v>7.99</v>
      </c>
      <c r="T937" s="19">
        <f t="shared" si="195"/>
        <v>7.99</v>
      </c>
      <c r="U937" s="2">
        <v>57.48</v>
      </c>
      <c r="V937" s="19">
        <f t="shared" si="196"/>
        <v>57.48</v>
      </c>
      <c r="W937" s="19">
        <f t="shared" si="197"/>
        <v>57.480000000000004</v>
      </c>
      <c r="X937" s="19" t="str">
        <f t="shared" si="198"/>
        <v>True</v>
      </c>
      <c r="Y937" s="19" t="str">
        <f>IF(OR(W937&lt;'Cleaning Tasks'!$G$18,W937&gt;'Cleaning Tasks'!$H$18),"Outlier","Normal")</f>
        <v>Normal</v>
      </c>
      <c r="Z937" s="2" t="s">
        <v>39</v>
      </c>
      <c r="AA937" s="2" t="s">
        <v>40</v>
      </c>
      <c r="AB937" s="2" t="s">
        <v>28</v>
      </c>
      <c r="AC937" s="2" t="s">
        <v>29</v>
      </c>
      <c r="AD937" s="2" t="s">
        <v>30</v>
      </c>
      <c r="AE937" s="2" t="str">
        <f t="shared" si="199"/>
        <v>Valid</v>
      </c>
      <c r="AF937" s="2" t="s">
        <v>2824</v>
      </c>
    </row>
    <row r="938" spans="1:32" x14ac:dyDescent="0.3">
      <c r="A938" s="2" t="s">
        <v>2825</v>
      </c>
      <c r="B938" s="2">
        <f t="shared" si="189"/>
        <v>1</v>
      </c>
      <c r="C938" s="12">
        <f t="shared" si="201"/>
        <v>46238.588843148151</v>
      </c>
      <c r="D938" s="13">
        <v>46238.588843148151</v>
      </c>
      <c r="E938" s="2" t="s">
        <v>2826</v>
      </c>
      <c r="F938" s="2" t="str">
        <f t="shared" si="190"/>
        <v>Email Available</v>
      </c>
      <c r="G938" s="2" t="s">
        <v>2827</v>
      </c>
      <c r="H938" s="2" t="s">
        <v>261</v>
      </c>
      <c r="I938" s="2" t="s">
        <v>36</v>
      </c>
      <c r="J938" s="2" t="s">
        <v>262</v>
      </c>
      <c r="K938" s="2">
        <v>1</v>
      </c>
      <c r="L938" s="2">
        <v>15.49</v>
      </c>
      <c r="M938" s="19">
        <f t="shared" si="191"/>
        <v>15.49</v>
      </c>
      <c r="N938" s="2" t="s">
        <v>203</v>
      </c>
      <c r="O938" s="2" t="str">
        <f t="shared" si="192"/>
        <v>VIP15</v>
      </c>
      <c r="P938" s="2">
        <v>2.3199999999999998</v>
      </c>
      <c r="Q938" s="19">
        <f t="shared" si="193"/>
        <v>2.3199999999999998</v>
      </c>
      <c r="R938" s="2" t="str">
        <f t="shared" si="194"/>
        <v>Number</v>
      </c>
      <c r="S938" s="2">
        <v>7.99</v>
      </c>
      <c r="T938" s="19">
        <f t="shared" si="195"/>
        <v>7.99</v>
      </c>
      <c r="U938" s="2">
        <v>21.16</v>
      </c>
      <c r="V938" s="19">
        <f t="shared" si="196"/>
        <v>21.16</v>
      </c>
      <c r="W938" s="19">
        <f t="shared" si="197"/>
        <v>21.16</v>
      </c>
      <c r="X938" s="19" t="str">
        <f t="shared" si="198"/>
        <v>True</v>
      </c>
      <c r="Y938" s="19" t="str">
        <f>IF(OR(W938&lt;'Cleaning Tasks'!$G$18,W938&gt;'Cleaning Tasks'!$H$18),"Outlier","Normal")</f>
        <v>Normal</v>
      </c>
      <c r="Z938" s="2" t="s">
        <v>72</v>
      </c>
      <c r="AA938" s="2" t="s">
        <v>88</v>
      </c>
      <c r="AB938" s="2" t="s">
        <v>50</v>
      </c>
      <c r="AC938" s="2" t="s">
        <v>73</v>
      </c>
      <c r="AD938" s="2"/>
      <c r="AE938" s="2" t="str">
        <f t="shared" si="199"/>
        <v>Not Required</v>
      </c>
      <c r="AF938" s="2" t="s">
        <v>2828</v>
      </c>
    </row>
    <row r="939" spans="1:32" x14ac:dyDescent="0.3">
      <c r="A939" s="2" t="s">
        <v>2829</v>
      </c>
      <c r="B939" s="2">
        <f t="shared" si="189"/>
        <v>1</v>
      </c>
      <c r="C939" s="12">
        <f t="shared" si="201"/>
        <v>46238.585117905102</v>
      </c>
      <c r="D939" s="13">
        <v>46238.585117905102</v>
      </c>
      <c r="E939" s="2" t="s">
        <v>339</v>
      </c>
      <c r="F939" s="2" t="str">
        <f t="shared" si="190"/>
        <v>Email Available</v>
      </c>
      <c r="G939" s="2" t="s">
        <v>445</v>
      </c>
      <c r="H939" s="2" t="s">
        <v>78</v>
      </c>
      <c r="I939" s="2" t="s">
        <v>79</v>
      </c>
      <c r="J939" s="2" t="s">
        <v>80</v>
      </c>
      <c r="K939" s="2">
        <v>1</v>
      </c>
      <c r="L939" s="2">
        <v>89.99</v>
      </c>
      <c r="M939" s="19">
        <f t="shared" si="191"/>
        <v>89.99</v>
      </c>
      <c r="N939" s="2" t="s">
        <v>118</v>
      </c>
      <c r="O939" s="2" t="str">
        <f t="shared" si="192"/>
        <v>BFCM25</v>
      </c>
      <c r="P939" s="2">
        <v>22.5</v>
      </c>
      <c r="Q939" s="19">
        <f t="shared" si="193"/>
        <v>22.5</v>
      </c>
      <c r="R939" s="2" t="str">
        <f t="shared" si="194"/>
        <v>Number</v>
      </c>
      <c r="S939" s="2">
        <v>0</v>
      </c>
      <c r="T939" s="19">
        <f t="shared" si="195"/>
        <v>0</v>
      </c>
      <c r="U939" s="2">
        <v>67.489999999999995</v>
      </c>
      <c r="V939" s="19">
        <f t="shared" si="196"/>
        <v>67.489999999999995</v>
      </c>
      <c r="W939" s="19">
        <f t="shared" si="197"/>
        <v>67.489999999999995</v>
      </c>
      <c r="X939" s="19" t="str">
        <f t="shared" si="198"/>
        <v>True</v>
      </c>
      <c r="Y939" s="19" t="str">
        <f>IF(OR(W939&lt;'Cleaning Tasks'!$G$18,W939&gt;'Cleaning Tasks'!$H$18),"Outlier","Normal")</f>
        <v>Normal</v>
      </c>
      <c r="Z939" s="2" t="s">
        <v>39</v>
      </c>
      <c r="AA939" s="2" t="s">
        <v>27</v>
      </c>
      <c r="AB939" s="2" t="s">
        <v>50</v>
      </c>
      <c r="AC939" s="2" t="s">
        <v>29</v>
      </c>
      <c r="AD939" s="22" t="s">
        <v>140</v>
      </c>
      <c r="AE939" s="2" t="str">
        <f t="shared" si="199"/>
        <v>Valid</v>
      </c>
      <c r="AF939" s="2" t="s">
        <v>2830</v>
      </c>
    </row>
    <row r="940" spans="1:32" x14ac:dyDescent="0.3">
      <c r="A940" s="2" t="s">
        <v>2831</v>
      </c>
      <c r="B940" s="2">
        <f t="shared" si="189"/>
        <v>1</v>
      </c>
      <c r="C940" s="12">
        <f t="shared" si="201"/>
        <v>46238.581144467593</v>
      </c>
      <c r="D940" s="13">
        <v>46238.581144467593</v>
      </c>
      <c r="E940" s="2" t="s">
        <v>557</v>
      </c>
      <c r="F940" s="2" t="str">
        <f t="shared" si="190"/>
        <v>Email Available</v>
      </c>
      <c r="G940" s="2" t="s">
        <v>558</v>
      </c>
      <c r="H940" s="2" t="s">
        <v>221</v>
      </c>
      <c r="I940" s="2" t="s">
        <v>22</v>
      </c>
      <c r="J940" s="2" t="s">
        <v>222</v>
      </c>
      <c r="K940" s="2">
        <v>1</v>
      </c>
      <c r="L940" s="2">
        <v>17.989999999999998</v>
      </c>
      <c r="M940" s="19">
        <f t="shared" si="191"/>
        <v>17.989999999999998</v>
      </c>
      <c r="N940" s="2" t="s">
        <v>203</v>
      </c>
      <c r="O940" s="2" t="str">
        <f t="shared" si="192"/>
        <v>VIP15</v>
      </c>
      <c r="P940" s="2">
        <v>2.7</v>
      </c>
      <c r="Q940" s="19">
        <f t="shared" si="193"/>
        <v>2.7</v>
      </c>
      <c r="R940" s="2" t="str">
        <f t="shared" si="194"/>
        <v>Number</v>
      </c>
      <c r="S940" s="2">
        <v>5.99</v>
      </c>
      <c r="T940" s="19">
        <f t="shared" si="195"/>
        <v>5.99</v>
      </c>
      <c r="U940" s="2">
        <v>21.28</v>
      </c>
      <c r="V940" s="19">
        <f t="shared" si="196"/>
        <v>21.28</v>
      </c>
      <c r="W940" s="19">
        <f t="shared" si="197"/>
        <v>21.28</v>
      </c>
      <c r="X940" s="19" t="str">
        <f t="shared" si="198"/>
        <v>True</v>
      </c>
      <c r="Y940" s="19" t="str">
        <f>IF(OR(W940&lt;'Cleaning Tasks'!$G$18,W940&gt;'Cleaning Tasks'!$H$18),"Outlier","Normal")</f>
        <v>Normal</v>
      </c>
      <c r="Z940" s="2" t="s">
        <v>72</v>
      </c>
      <c r="AA940" s="2" t="s">
        <v>27</v>
      </c>
      <c r="AB940" s="2" t="s">
        <v>50</v>
      </c>
      <c r="AC940" s="2" t="s">
        <v>42</v>
      </c>
      <c r="AD940" s="2"/>
      <c r="AE940" s="2" t="str">
        <f t="shared" si="199"/>
        <v>Not Required</v>
      </c>
      <c r="AF940" s="2" t="s">
        <v>2832</v>
      </c>
    </row>
    <row r="941" spans="1:32" x14ac:dyDescent="0.3">
      <c r="A941" s="2" t="s">
        <v>2833</v>
      </c>
      <c r="B941" s="2">
        <f t="shared" si="189"/>
        <v>1</v>
      </c>
      <c r="C941" s="12">
        <f t="shared" si="201"/>
        <v>46238.586920937501</v>
      </c>
      <c r="D941" s="13">
        <v>46238.586920937501</v>
      </c>
      <c r="E941" s="2" t="s">
        <v>621</v>
      </c>
      <c r="F941" s="2" t="str">
        <f t="shared" si="190"/>
        <v>Email Available</v>
      </c>
      <c r="G941" s="2" t="s">
        <v>622</v>
      </c>
      <c r="H941" s="2" t="s">
        <v>102</v>
      </c>
      <c r="I941" s="2" t="s">
        <v>103</v>
      </c>
      <c r="J941" s="2" t="s">
        <v>104</v>
      </c>
      <c r="K941" s="2">
        <v>1</v>
      </c>
      <c r="L941" s="2">
        <v>19.989999999999998</v>
      </c>
      <c r="M941" s="19">
        <f t="shared" si="191"/>
        <v>19.989999999999998</v>
      </c>
      <c r="N941" s="2" t="s">
        <v>228</v>
      </c>
      <c r="O941" s="2" t="str">
        <f t="shared" si="192"/>
        <v>VIP15</v>
      </c>
      <c r="P941" s="2">
        <v>3</v>
      </c>
      <c r="Q941" s="19">
        <f t="shared" si="193"/>
        <v>3</v>
      </c>
      <c r="R941" s="2" t="str">
        <f t="shared" si="194"/>
        <v>Number</v>
      </c>
      <c r="S941" s="2">
        <v>7.99</v>
      </c>
      <c r="T941" s="19">
        <f t="shared" si="195"/>
        <v>7.99</v>
      </c>
      <c r="U941" s="2">
        <v>24.98</v>
      </c>
      <c r="V941" s="19">
        <f t="shared" si="196"/>
        <v>24.98</v>
      </c>
      <c r="W941" s="19">
        <f t="shared" si="197"/>
        <v>24.979999999999997</v>
      </c>
      <c r="X941" s="19" t="str">
        <f t="shared" si="198"/>
        <v>True</v>
      </c>
      <c r="Y941" s="19" t="str">
        <f>IF(OR(W941&lt;'Cleaning Tasks'!$G$18,W941&gt;'Cleaning Tasks'!$H$18),"Outlier","Normal")</f>
        <v>Normal</v>
      </c>
      <c r="Z941" s="2" t="s">
        <v>26</v>
      </c>
      <c r="AA941" s="2" t="s">
        <v>40</v>
      </c>
      <c r="AB941" s="2" t="s">
        <v>28</v>
      </c>
      <c r="AC941" s="2" t="s">
        <v>29</v>
      </c>
      <c r="AD941" s="2" t="s">
        <v>58</v>
      </c>
      <c r="AE941" s="2" t="str">
        <f t="shared" si="199"/>
        <v>Valid</v>
      </c>
      <c r="AF941" s="2" t="s">
        <v>2834</v>
      </c>
    </row>
    <row r="942" spans="1:32" x14ac:dyDescent="0.3">
      <c r="A942" s="2" t="s">
        <v>2835</v>
      </c>
      <c r="B942" s="2">
        <f t="shared" si="189"/>
        <v>1</v>
      </c>
      <c r="C942" s="12">
        <f t="shared" si="201"/>
        <v>46238.583899178237</v>
      </c>
      <c r="D942" s="13">
        <v>46238.583899178237</v>
      </c>
      <c r="E942" s="2" t="s">
        <v>1826</v>
      </c>
      <c r="F942" s="2" t="str">
        <f t="shared" si="190"/>
        <v>Email Available</v>
      </c>
      <c r="G942" s="2" t="s">
        <v>1827</v>
      </c>
      <c r="H942" s="2" t="s">
        <v>182</v>
      </c>
      <c r="I942" s="2" t="s">
        <v>36</v>
      </c>
      <c r="J942" s="2" t="s">
        <v>183</v>
      </c>
      <c r="K942" s="2">
        <v>2</v>
      </c>
      <c r="L942" s="2">
        <v>11.99</v>
      </c>
      <c r="M942" s="19">
        <f t="shared" si="191"/>
        <v>11.99</v>
      </c>
      <c r="N942" s="2" t="s">
        <v>203</v>
      </c>
      <c r="O942" s="2" t="str">
        <f t="shared" si="192"/>
        <v>VIP15</v>
      </c>
      <c r="P942" s="2">
        <v>3.6</v>
      </c>
      <c r="Q942" s="19">
        <f t="shared" si="193"/>
        <v>3.6</v>
      </c>
      <c r="R942" s="2" t="str">
        <f t="shared" si="194"/>
        <v>Number</v>
      </c>
      <c r="S942" s="2">
        <v>7.99</v>
      </c>
      <c r="T942" s="19">
        <f t="shared" si="195"/>
        <v>7.99</v>
      </c>
      <c r="U942" s="2">
        <v>28.37</v>
      </c>
      <c r="V942" s="19">
        <f t="shared" si="196"/>
        <v>28.37</v>
      </c>
      <c r="W942" s="19">
        <f t="shared" si="197"/>
        <v>28.369999999999997</v>
      </c>
      <c r="X942" s="19" t="str">
        <f t="shared" si="198"/>
        <v>True</v>
      </c>
      <c r="Y942" s="19" t="str">
        <f>IF(OR(W942&lt;'Cleaning Tasks'!$G$18,W942&gt;'Cleaning Tasks'!$H$18),"Outlier","Normal")</f>
        <v>Normal</v>
      </c>
      <c r="Z942" s="2" t="s">
        <v>26</v>
      </c>
      <c r="AA942" s="2" t="s">
        <v>40</v>
      </c>
      <c r="AB942" s="2" t="s">
        <v>50</v>
      </c>
      <c r="AC942" s="2" t="s">
        <v>29</v>
      </c>
      <c r="AD942" s="2" t="s">
        <v>89</v>
      </c>
      <c r="AE942" s="2" t="str">
        <f t="shared" si="199"/>
        <v>Valid</v>
      </c>
      <c r="AF942" s="2" t="s">
        <v>2836</v>
      </c>
    </row>
    <row r="943" spans="1:32" x14ac:dyDescent="0.3">
      <c r="A943" s="2" t="s">
        <v>2837</v>
      </c>
      <c r="B943" s="2">
        <f t="shared" si="189"/>
        <v>1</v>
      </c>
      <c r="C943" s="12">
        <f t="shared" si="201"/>
        <v>46238.586921122682</v>
      </c>
      <c r="D943" s="13">
        <v>46238.586921122682</v>
      </c>
      <c r="E943" s="2" t="s">
        <v>2838</v>
      </c>
      <c r="F943" s="2" t="str">
        <f t="shared" si="190"/>
        <v>Email Available</v>
      </c>
      <c r="G943" s="2" t="s">
        <v>2839</v>
      </c>
      <c r="H943" s="2" t="s">
        <v>182</v>
      </c>
      <c r="I943" s="2" t="s">
        <v>36</v>
      </c>
      <c r="J943" s="2" t="s">
        <v>183</v>
      </c>
      <c r="K943" s="2">
        <v>1</v>
      </c>
      <c r="L943" s="2">
        <v>11.99</v>
      </c>
      <c r="M943" s="19">
        <f t="shared" si="191"/>
        <v>11.99</v>
      </c>
      <c r="N943" s="2"/>
      <c r="O943" s="2" t="str">
        <f t="shared" si="192"/>
        <v/>
      </c>
      <c r="P943" s="2">
        <v>0</v>
      </c>
      <c r="Q943" s="19">
        <f t="shared" si="193"/>
        <v>0</v>
      </c>
      <c r="R943" s="2" t="str">
        <f t="shared" si="194"/>
        <v>Number</v>
      </c>
      <c r="S943" s="2">
        <v>5.99</v>
      </c>
      <c r="T943" s="19">
        <f t="shared" si="195"/>
        <v>5.99</v>
      </c>
      <c r="U943" s="2">
        <v>17.98</v>
      </c>
      <c r="V943" s="19">
        <f t="shared" si="196"/>
        <v>17.98</v>
      </c>
      <c r="W943" s="19">
        <f t="shared" si="197"/>
        <v>17.98</v>
      </c>
      <c r="X943" s="19" t="str">
        <f t="shared" si="198"/>
        <v>True</v>
      </c>
      <c r="Y943" s="19" t="str">
        <f>IF(OR(W943&lt;'Cleaning Tasks'!$G$18,W943&gt;'Cleaning Tasks'!$H$18),"Outlier","Normal")</f>
        <v>Normal</v>
      </c>
      <c r="Z943" s="2" t="s">
        <v>49</v>
      </c>
      <c r="AA943" s="2" t="s">
        <v>111</v>
      </c>
      <c r="AB943" s="2" t="s">
        <v>50</v>
      </c>
      <c r="AC943" s="2" t="s">
        <v>29</v>
      </c>
      <c r="AD943" s="2" t="s">
        <v>67</v>
      </c>
      <c r="AE943" s="2" t="str">
        <f t="shared" si="199"/>
        <v>Valid</v>
      </c>
      <c r="AF943" s="2" t="s">
        <v>2840</v>
      </c>
    </row>
    <row r="944" spans="1:32" x14ac:dyDescent="0.3">
      <c r="A944" s="2" t="s">
        <v>2841</v>
      </c>
      <c r="B944" s="2">
        <f t="shared" si="189"/>
        <v>1</v>
      </c>
      <c r="C944" s="12">
        <f t="shared" si="201"/>
        <v>46238.580335254628</v>
      </c>
      <c r="D944" s="13">
        <v>46238.580335254628</v>
      </c>
      <c r="E944" s="2" t="s">
        <v>2842</v>
      </c>
      <c r="F944" s="2" t="str">
        <f t="shared" si="190"/>
        <v>Email Available</v>
      </c>
      <c r="G944" s="2" t="s">
        <v>2843</v>
      </c>
      <c r="H944" s="2" t="s">
        <v>102</v>
      </c>
      <c r="I944" s="2" t="s">
        <v>103</v>
      </c>
      <c r="J944" s="2" t="s">
        <v>104</v>
      </c>
      <c r="K944" s="2">
        <v>1</v>
      </c>
      <c r="L944" s="2">
        <v>19.989999999999998</v>
      </c>
      <c r="M944" s="19">
        <f t="shared" si="191"/>
        <v>19.989999999999998</v>
      </c>
      <c r="N944" s="2" t="s">
        <v>38</v>
      </c>
      <c r="O944" s="2" t="str">
        <f t="shared" si="192"/>
        <v>FREESHIP</v>
      </c>
      <c r="P944" s="2">
        <v>0</v>
      </c>
      <c r="Q944" s="19">
        <f t="shared" si="193"/>
        <v>0</v>
      </c>
      <c r="R944" s="2" t="str">
        <f t="shared" si="194"/>
        <v>Number</v>
      </c>
      <c r="S944" s="2">
        <v>0</v>
      </c>
      <c r="T944" s="19">
        <f t="shared" si="195"/>
        <v>0</v>
      </c>
      <c r="U944" s="2" t="s">
        <v>451</v>
      </c>
      <c r="V944" s="19">
        <f t="shared" si="196"/>
        <v>19.989999999999998</v>
      </c>
      <c r="W944" s="19">
        <f t="shared" si="197"/>
        <v>19.989999999999998</v>
      </c>
      <c r="X944" s="19" t="str">
        <f t="shared" si="198"/>
        <v>True</v>
      </c>
      <c r="Y944" s="19" t="str">
        <f>IF(OR(W944&lt;'Cleaning Tasks'!$G$18,W944&gt;'Cleaning Tasks'!$H$18),"Outlier","Normal")</f>
        <v>Normal</v>
      </c>
      <c r="Z944" s="2" t="s">
        <v>49</v>
      </c>
      <c r="AA944" s="2" t="s">
        <v>40</v>
      </c>
      <c r="AB944" s="2" t="s">
        <v>28</v>
      </c>
      <c r="AC944" s="2" t="s">
        <v>29</v>
      </c>
      <c r="AD944" s="2" t="s">
        <v>58</v>
      </c>
      <c r="AE944" s="2" t="str">
        <f t="shared" si="199"/>
        <v>Valid</v>
      </c>
      <c r="AF944" s="2" t="s">
        <v>2844</v>
      </c>
    </row>
    <row r="945" spans="1:32" x14ac:dyDescent="0.3">
      <c r="A945" s="2" t="s">
        <v>2845</v>
      </c>
      <c r="B945" s="2">
        <f t="shared" si="189"/>
        <v>1</v>
      </c>
      <c r="C945" s="12">
        <f>DATE(VALUE(RIGHT(D945,4)),MATCH(LEFT(D945,3),{"Jan","Feb","Mar","Apr","May","Jun","Jul","Aug","Sep","Oct","Nov","Dec"},0),VALUE(MID(D945,5,2)))</f>
        <v>46238</v>
      </c>
      <c r="D945" s="13" t="s">
        <v>171</v>
      </c>
      <c r="E945" s="2" t="s">
        <v>2846</v>
      </c>
      <c r="F945" s="2" t="str">
        <f t="shared" si="190"/>
        <v>Email Available</v>
      </c>
      <c r="G945" s="2" t="s">
        <v>2847</v>
      </c>
      <c r="H945" s="2" t="s">
        <v>85</v>
      </c>
      <c r="I945" s="2" t="s">
        <v>86</v>
      </c>
      <c r="J945" s="2" t="s">
        <v>87</v>
      </c>
      <c r="K945" s="2">
        <v>1</v>
      </c>
      <c r="L945" s="2">
        <v>54.99</v>
      </c>
      <c r="M945" s="19">
        <f t="shared" si="191"/>
        <v>54.99</v>
      </c>
      <c r="N945" s="2" t="s">
        <v>118</v>
      </c>
      <c r="O945" s="2" t="str">
        <f t="shared" si="192"/>
        <v>BFCM25</v>
      </c>
      <c r="P945" s="2">
        <v>13.75</v>
      </c>
      <c r="Q945" s="19">
        <f t="shared" si="193"/>
        <v>13.75</v>
      </c>
      <c r="R945" s="2" t="str">
        <f t="shared" si="194"/>
        <v>Number</v>
      </c>
      <c r="S945" s="2">
        <v>5.99</v>
      </c>
      <c r="T945" s="19">
        <f t="shared" si="195"/>
        <v>5.99</v>
      </c>
      <c r="U945" s="2">
        <v>47.23</v>
      </c>
      <c r="V945" s="19">
        <f t="shared" si="196"/>
        <v>47.23</v>
      </c>
      <c r="W945" s="19">
        <f t="shared" si="197"/>
        <v>47.230000000000004</v>
      </c>
      <c r="X945" s="19" t="str">
        <f t="shared" si="198"/>
        <v>True</v>
      </c>
      <c r="Y945" s="19" t="str">
        <f>IF(OR(W945&lt;'Cleaning Tasks'!$G$18,W945&gt;'Cleaning Tasks'!$H$18),"Outlier","Normal")</f>
        <v>Normal</v>
      </c>
      <c r="Z945" s="2" t="s">
        <v>72</v>
      </c>
      <c r="AA945" s="2" t="s">
        <v>40</v>
      </c>
      <c r="AB945" s="2" t="s">
        <v>50</v>
      </c>
      <c r="AC945" s="2" t="s">
        <v>29</v>
      </c>
      <c r="AD945" s="2" t="s">
        <v>58</v>
      </c>
      <c r="AE945" s="2" t="str">
        <f t="shared" si="199"/>
        <v>Valid</v>
      </c>
      <c r="AF945" s="2" t="s">
        <v>2848</v>
      </c>
    </row>
    <row r="946" spans="1:32" x14ac:dyDescent="0.3">
      <c r="A946" s="2" t="s">
        <v>2849</v>
      </c>
      <c r="B946" s="2">
        <f t="shared" si="189"/>
        <v>1</v>
      </c>
      <c r="C946" s="12">
        <f t="shared" ref="C946:C976" si="202">IF(ISNUMBER(D946),D946,DATEVALUE(SUBSTITUTE(TRIM(D946),CHAR(160)," ")))</f>
        <v>46238.583001458333</v>
      </c>
      <c r="D946" s="13">
        <v>46238.583001458333</v>
      </c>
      <c r="E946" s="2" t="s">
        <v>2850</v>
      </c>
      <c r="F946" s="2" t="str">
        <f t="shared" si="190"/>
        <v>Missing Email</v>
      </c>
      <c r="G946" s="2"/>
      <c r="H946" s="2" t="s">
        <v>166</v>
      </c>
      <c r="I946" s="2" t="s">
        <v>103</v>
      </c>
      <c r="J946" s="2" t="s">
        <v>167</v>
      </c>
      <c r="K946" s="2">
        <v>2</v>
      </c>
      <c r="L946" s="2" t="s">
        <v>168</v>
      </c>
      <c r="M946" s="19">
        <f t="shared" si="191"/>
        <v>32.99</v>
      </c>
      <c r="N946" s="2"/>
      <c r="O946" s="2" t="str">
        <f t="shared" si="192"/>
        <v/>
      </c>
      <c r="P946" s="2" t="s">
        <v>184</v>
      </c>
      <c r="Q946" s="19">
        <f t="shared" si="193"/>
        <v>0</v>
      </c>
      <c r="R946" s="2" t="str">
        <f t="shared" si="194"/>
        <v>Number</v>
      </c>
      <c r="S946" s="2">
        <v>4.99</v>
      </c>
      <c r="T946" s="19">
        <f t="shared" si="195"/>
        <v>4.99</v>
      </c>
      <c r="U946" s="2">
        <v>70.97</v>
      </c>
      <c r="V946" s="19">
        <f t="shared" si="196"/>
        <v>70.97</v>
      </c>
      <c r="W946" s="19">
        <f t="shared" si="197"/>
        <v>70.97</v>
      </c>
      <c r="X946" s="19" t="str">
        <f t="shared" si="198"/>
        <v>True</v>
      </c>
      <c r="Y946" s="19" t="str">
        <f>IF(OR(W946&lt;'Cleaning Tasks'!$G$18,W946&gt;'Cleaning Tasks'!$H$18),"Outlier","Normal")</f>
        <v>Normal</v>
      </c>
      <c r="Z946" s="2" t="s">
        <v>49</v>
      </c>
      <c r="AA946" s="2" t="s">
        <v>40</v>
      </c>
      <c r="AB946" s="2" t="s">
        <v>50</v>
      </c>
      <c r="AC946" s="2" t="s">
        <v>29</v>
      </c>
      <c r="AD946" s="2" t="s">
        <v>140</v>
      </c>
      <c r="AE946" s="2" t="str">
        <f t="shared" si="199"/>
        <v>Valid</v>
      </c>
      <c r="AF946" s="2" t="s">
        <v>2276</v>
      </c>
    </row>
    <row r="947" spans="1:32" x14ac:dyDescent="0.3">
      <c r="A947" s="2" t="s">
        <v>2851</v>
      </c>
      <c r="B947" s="2">
        <f t="shared" si="189"/>
        <v>1</v>
      </c>
      <c r="C947" s="12">
        <f t="shared" si="202"/>
        <v>46238.57926554398</v>
      </c>
      <c r="D947" s="13">
        <v>46238.57926554398</v>
      </c>
      <c r="E947" s="2" t="s">
        <v>2826</v>
      </c>
      <c r="F947" s="2" t="str">
        <f t="shared" si="190"/>
        <v>Email Available</v>
      </c>
      <c r="G947" s="2" t="s">
        <v>2827</v>
      </c>
      <c r="H947" s="2" t="s">
        <v>166</v>
      </c>
      <c r="I947" s="2" t="s">
        <v>103</v>
      </c>
      <c r="J947" s="2" t="s">
        <v>167</v>
      </c>
      <c r="K947" s="2">
        <v>1</v>
      </c>
      <c r="L947" s="2">
        <v>32.99</v>
      </c>
      <c r="M947" s="19">
        <f t="shared" si="191"/>
        <v>32.99</v>
      </c>
      <c r="N947" s="2"/>
      <c r="O947" s="2" t="str">
        <f t="shared" si="192"/>
        <v/>
      </c>
      <c r="P947" s="2">
        <v>0</v>
      </c>
      <c r="Q947" s="19">
        <f t="shared" si="193"/>
        <v>0</v>
      </c>
      <c r="R947" s="2" t="str">
        <f t="shared" si="194"/>
        <v>Number</v>
      </c>
      <c r="S947" s="2">
        <v>4.99</v>
      </c>
      <c r="T947" s="19">
        <f t="shared" si="195"/>
        <v>4.99</v>
      </c>
      <c r="U947" s="2">
        <v>37.979999999999997</v>
      </c>
      <c r="V947" s="19">
        <f t="shared" si="196"/>
        <v>37.979999999999997</v>
      </c>
      <c r="W947" s="19">
        <f t="shared" si="197"/>
        <v>37.980000000000004</v>
      </c>
      <c r="X947" s="19" t="str">
        <f t="shared" si="198"/>
        <v>True</v>
      </c>
      <c r="Y947" s="19" t="str">
        <f>IF(OR(W947&lt;'Cleaning Tasks'!$G$18,W947&gt;'Cleaning Tasks'!$H$18),"Outlier","Normal")</f>
        <v>Normal</v>
      </c>
      <c r="Z947" s="2" t="s">
        <v>26</v>
      </c>
      <c r="AA947" s="2" t="s">
        <v>27</v>
      </c>
      <c r="AB947" s="2" t="s">
        <v>50</v>
      </c>
      <c r="AC947" s="2" t="s">
        <v>73</v>
      </c>
      <c r="AD947" s="2"/>
      <c r="AE947" s="2" t="str">
        <f t="shared" si="199"/>
        <v>Not Required</v>
      </c>
      <c r="AF947" s="2" t="s">
        <v>2852</v>
      </c>
    </row>
    <row r="948" spans="1:32" x14ac:dyDescent="0.3">
      <c r="A948" s="2" t="s">
        <v>2853</v>
      </c>
      <c r="B948" s="2">
        <f t="shared" si="189"/>
        <v>1</v>
      </c>
      <c r="C948" s="12">
        <f t="shared" si="202"/>
        <v>46238.581271944437</v>
      </c>
      <c r="D948" s="13">
        <v>46238.581271944437</v>
      </c>
      <c r="E948" s="2" t="s">
        <v>489</v>
      </c>
      <c r="F948" s="2" t="str">
        <f t="shared" si="190"/>
        <v>Email Available</v>
      </c>
      <c r="G948" s="2" t="s">
        <v>490</v>
      </c>
      <c r="H948" s="2" t="s">
        <v>63</v>
      </c>
      <c r="I948" s="2" t="s">
        <v>47</v>
      </c>
      <c r="J948" s="2" t="s">
        <v>64</v>
      </c>
      <c r="K948" s="2">
        <v>2</v>
      </c>
      <c r="L948" s="2">
        <v>14.99</v>
      </c>
      <c r="M948" s="19">
        <f t="shared" si="191"/>
        <v>14.99</v>
      </c>
      <c r="N948" s="2"/>
      <c r="O948" s="2" t="str">
        <f t="shared" si="192"/>
        <v/>
      </c>
      <c r="P948" s="2">
        <v>0</v>
      </c>
      <c r="Q948" s="19">
        <f t="shared" si="193"/>
        <v>0</v>
      </c>
      <c r="R948" s="2" t="str">
        <f t="shared" si="194"/>
        <v>Number</v>
      </c>
      <c r="S948" s="2">
        <v>7.99</v>
      </c>
      <c r="T948" s="19">
        <f t="shared" si="195"/>
        <v>7.99</v>
      </c>
      <c r="U948" s="2">
        <v>37.97</v>
      </c>
      <c r="V948" s="19">
        <f t="shared" si="196"/>
        <v>37.97</v>
      </c>
      <c r="W948" s="19">
        <f t="shared" si="197"/>
        <v>37.97</v>
      </c>
      <c r="X948" s="19" t="str">
        <f t="shared" si="198"/>
        <v>True</v>
      </c>
      <c r="Y948" s="19" t="str">
        <f>IF(OR(W948&lt;'Cleaning Tasks'!$G$18,W948&gt;'Cleaning Tasks'!$H$18),"Outlier","Normal")</f>
        <v>Normal</v>
      </c>
      <c r="Z948" s="2" t="s">
        <v>66</v>
      </c>
      <c r="AA948" s="2" t="s">
        <v>88</v>
      </c>
      <c r="AB948" s="2" t="s">
        <v>41</v>
      </c>
      <c r="AC948" s="2" t="s">
        <v>29</v>
      </c>
      <c r="AD948" s="2" t="s">
        <v>243</v>
      </c>
      <c r="AE948" s="2" t="str">
        <f t="shared" si="199"/>
        <v>Valid</v>
      </c>
      <c r="AF948" s="2" t="s">
        <v>2854</v>
      </c>
    </row>
    <row r="949" spans="1:32" x14ac:dyDescent="0.3">
      <c r="A949" s="2" t="s">
        <v>2855</v>
      </c>
      <c r="B949" s="2">
        <f t="shared" si="189"/>
        <v>1</v>
      </c>
      <c r="C949" s="12">
        <f t="shared" si="202"/>
        <v>46238.581509918979</v>
      </c>
      <c r="D949" s="13">
        <v>46238.581509918979</v>
      </c>
      <c r="E949" s="2" t="s">
        <v>528</v>
      </c>
      <c r="F949" s="2" t="str">
        <f t="shared" si="190"/>
        <v>Email Available</v>
      </c>
      <c r="G949" s="2" t="s">
        <v>529</v>
      </c>
      <c r="H949" s="2" t="s">
        <v>182</v>
      </c>
      <c r="I949" s="2" t="s">
        <v>36</v>
      </c>
      <c r="J949" s="2" t="s">
        <v>183</v>
      </c>
      <c r="K949" s="2">
        <v>1</v>
      </c>
      <c r="L949" s="2">
        <v>11.99</v>
      </c>
      <c r="M949" s="19">
        <f t="shared" si="191"/>
        <v>11.99</v>
      </c>
      <c r="N949" s="2" t="s">
        <v>203</v>
      </c>
      <c r="O949" s="2" t="str">
        <f t="shared" si="192"/>
        <v>VIP15</v>
      </c>
      <c r="P949" s="2">
        <v>1.8</v>
      </c>
      <c r="Q949" s="19">
        <f t="shared" si="193"/>
        <v>1.8</v>
      </c>
      <c r="R949" s="2" t="str">
        <f t="shared" si="194"/>
        <v>Number</v>
      </c>
      <c r="S949" s="2">
        <v>5.99</v>
      </c>
      <c r="T949" s="19">
        <f t="shared" si="195"/>
        <v>5.99</v>
      </c>
      <c r="U949" s="2">
        <v>16.18</v>
      </c>
      <c r="V949" s="19">
        <f t="shared" si="196"/>
        <v>16.18</v>
      </c>
      <c r="W949" s="19">
        <f t="shared" si="197"/>
        <v>16.18</v>
      </c>
      <c r="X949" s="19" t="str">
        <f t="shared" si="198"/>
        <v>True</v>
      </c>
      <c r="Y949" s="19" t="str">
        <f>IF(OR(W949&lt;'Cleaning Tasks'!$G$18,W949&gt;'Cleaning Tasks'!$H$18),"Outlier","Normal")</f>
        <v>Normal</v>
      </c>
      <c r="Z949" s="2" t="s">
        <v>72</v>
      </c>
      <c r="AA949" s="2" t="s">
        <v>27</v>
      </c>
      <c r="AB949" s="2" t="s">
        <v>50</v>
      </c>
      <c r="AC949" s="2" t="s">
        <v>29</v>
      </c>
      <c r="AD949" s="2" t="s">
        <v>67</v>
      </c>
      <c r="AE949" s="2" t="str">
        <f t="shared" si="199"/>
        <v>Valid</v>
      </c>
      <c r="AF949" s="2" t="s">
        <v>2856</v>
      </c>
    </row>
    <row r="950" spans="1:32" x14ac:dyDescent="0.3">
      <c r="A950" s="2" t="s">
        <v>2857</v>
      </c>
      <c r="B950" s="2">
        <f t="shared" si="189"/>
        <v>1</v>
      </c>
      <c r="C950" s="12">
        <f t="shared" si="202"/>
        <v>46238.581296192133</v>
      </c>
      <c r="D950" s="13">
        <v>46238.581296192133</v>
      </c>
      <c r="E950" s="2" t="s">
        <v>138</v>
      </c>
      <c r="F950" s="2" t="str">
        <f t="shared" si="190"/>
        <v>Email Available</v>
      </c>
      <c r="G950" s="2" t="s">
        <v>139</v>
      </c>
      <c r="H950" s="2" t="s">
        <v>221</v>
      </c>
      <c r="I950" s="2" t="s">
        <v>22</v>
      </c>
      <c r="J950" s="2" t="s">
        <v>222</v>
      </c>
      <c r="K950" s="2">
        <v>1</v>
      </c>
      <c r="L950" s="2">
        <v>17.989999999999998</v>
      </c>
      <c r="M950" s="19">
        <f t="shared" si="191"/>
        <v>17.989999999999998</v>
      </c>
      <c r="N950" s="2"/>
      <c r="O950" s="2" t="str">
        <f t="shared" si="192"/>
        <v/>
      </c>
      <c r="P950" s="2">
        <v>0</v>
      </c>
      <c r="Q950" s="19">
        <f t="shared" si="193"/>
        <v>0</v>
      </c>
      <c r="R950" s="2" t="str">
        <f t="shared" si="194"/>
        <v>Number</v>
      </c>
      <c r="S950" s="2">
        <v>4.99</v>
      </c>
      <c r="T950" s="19">
        <f t="shared" si="195"/>
        <v>4.99</v>
      </c>
      <c r="U950" s="2">
        <v>22.98</v>
      </c>
      <c r="V950" s="19">
        <f t="shared" si="196"/>
        <v>22.98</v>
      </c>
      <c r="W950" s="19">
        <f t="shared" si="197"/>
        <v>22.979999999999997</v>
      </c>
      <c r="X950" s="19" t="str">
        <f t="shared" si="198"/>
        <v>True</v>
      </c>
      <c r="Y950" s="19" t="str">
        <f>IF(OR(W950&lt;'Cleaning Tasks'!$G$18,W950&gt;'Cleaning Tasks'!$H$18),"Outlier","Normal")</f>
        <v>Normal</v>
      </c>
      <c r="Z950" s="2" t="s">
        <v>49</v>
      </c>
      <c r="AA950" s="2" t="s">
        <v>88</v>
      </c>
      <c r="AB950" s="2" t="s">
        <v>50</v>
      </c>
      <c r="AC950" s="2" t="s">
        <v>29</v>
      </c>
      <c r="AD950" s="2" t="s">
        <v>341</v>
      </c>
      <c r="AE950" s="2" t="str">
        <f t="shared" si="199"/>
        <v>Valid</v>
      </c>
      <c r="AF950" s="2" t="s">
        <v>2858</v>
      </c>
    </row>
    <row r="951" spans="1:32" x14ac:dyDescent="0.3">
      <c r="A951" s="2" t="s">
        <v>2859</v>
      </c>
      <c r="B951" s="2">
        <f t="shared" si="189"/>
        <v>1</v>
      </c>
      <c r="C951" s="12">
        <f t="shared" si="202"/>
        <v>46238.58057510417</v>
      </c>
      <c r="D951" s="13">
        <v>46238.58057510417</v>
      </c>
      <c r="E951" s="2" t="s">
        <v>613</v>
      </c>
      <c r="F951" s="2" t="str">
        <f t="shared" si="190"/>
        <v>Email Available</v>
      </c>
      <c r="G951" s="2" t="s">
        <v>614</v>
      </c>
      <c r="H951" s="2" t="s">
        <v>182</v>
      </c>
      <c r="I951" s="2" t="s">
        <v>36</v>
      </c>
      <c r="J951" s="2" t="s">
        <v>183</v>
      </c>
      <c r="K951" s="2">
        <v>1</v>
      </c>
      <c r="L951" s="2">
        <v>11.99</v>
      </c>
      <c r="M951" s="19">
        <f t="shared" si="191"/>
        <v>11.99</v>
      </c>
      <c r="N951" s="2"/>
      <c r="O951" s="2" t="str">
        <f t="shared" si="192"/>
        <v/>
      </c>
      <c r="P951" s="2">
        <v>0</v>
      </c>
      <c r="Q951" s="19">
        <f t="shared" si="193"/>
        <v>0</v>
      </c>
      <c r="R951" s="2" t="str">
        <f t="shared" si="194"/>
        <v>Number</v>
      </c>
      <c r="S951" s="2">
        <v>4.99</v>
      </c>
      <c r="T951" s="19">
        <f t="shared" si="195"/>
        <v>4.99</v>
      </c>
      <c r="U951" s="2">
        <v>16.98</v>
      </c>
      <c r="V951" s="19">
        <f t="shared" si="196"/>
        <v>16.98</v>
      </c>
      <c r="W951" s="19">
        <f t="shared" si="197"/>
        <v>16.98</v>
      </c>
      <c r="X951" s="19" t="str">
        <f t="shared" si="198"/>
        <v>True</v>
      </c>
      <c r="Y951" s="19" t="str">
        <f>IF(OR(W951&lt;'Cleaning Tasks'!$G$18,W951&gt;'Cleaning Tasks'!$H$18),"Outlier","Normal")</f>
        <v>Normal</v>
      </c>
      <c r="Z951" s="2" t="s">
        <v>66</v>
      </c>
      <c r="AA951" s="2" t="s">
        <v>40</v>
      </c>
      <c r="AB951" s="2" t="s">
        <v>28</v>
      </c>
      <c r="AC951" s="2" t="s">
        <v>29</v>
      </c>
      <c r="AD951" s="2" t="s">
        <v>89</v>
      </c>
      <c r="AE951" s="2" t="str">
        <f t="shared" si="199"/>
        <v>Valid</v>
      </c>
      <c r="AF951" s="2" t="s">
        <v>2860</v>
      </c>
    </row>
    <row r="952" spans="1:32" x14ac:dyDescent="0.3">
      <c r="A952" s="2" t="s">
        <v>2861</v>
      </c>
      <c r="B952" s="2">
        <f t="shared" si="189"/>
        <v>1</v>
      </c>
      <c r="C952" s="12">
        <f t="shared" si="202"/>
        <v>46238.584372395831</v>
      </c>
      <c r="D952" s="13">
        <v>46238.584372395831</v>
      </c>
      <c r="E952" s="2" t="s">
        <v>339</v>
      </c>
      <c r="F952" s="2" t="str">
        <f t="shared" si="190"/>
        <v>Email Available</v>
      </c>
      <c r="G952" s="2" t="s">
        <v>445</v>
      </c>
      <c r="H952" s="2" t="s">
        <v>201</v>
      </c>
      <c r="I952" s="2" t="s">
        <v>191</v>
      </c>
      <c r="J952" s="2" t="s">
        <v>202</v>
      </c>
      <c r="K952" s="2">
        <v>1</v>
      </c>
      <c r="L952" s="2">
        <v>24.99</v>
      </c>
      <c r="M952" s="19">
        <f t="shared" si="191"/>
        <v>24.99</v>
      </c>
      <c r="N952" s="2" t="s">
        <v>38</v>
      </c>
      <c r="O952" s="2" t="str">
        <f t="shared" si="192"/>
        <v>FREESHIP</v>
      </c>
      <c r="P952" s="2">
        <v>0</v>
      </c>
      <c r="Q952" s="19">
        <f t="shared" si="193"/>
        <v>0</v>
      </c>
      <c r="R952" s="2" t="str">
        <f t="shared" si="194"/>
        <v>Number</v>
      </c>
      <c r="S952" s="2">
        <v>0</v>
      </c>
      <c r="T952" s="19">
        <f t="shared" si="195"/>
        <v>0</v>
      </c>
      <c r="U952" s="2">
        <v>24.99</v>
      </c>
      <c r="V952" s="19">
        <f t="shared" si="196"/>
        <v>24.99</v>
      </c>
      <c r="W952" s="19">
        <f t="shared" si="197"/>
        <v>24.99</v>
      </c>
      <c r="X952" s="19" t="str">
        <f t="shared" si="198"/>
        <v>True</v>
      </c>
      <c r="Y952" s="19" t="str">
        <f>IF(OR(W952&lt;'Cleaning Tasks'!$G$18,W952&gt;'Cleaning Tasks'!$H$18),"Outlier","Normal")</f>
        <v>Normal</v>
      </c>
      <c r="Z952" s="2" t="s">
        <v>49</v>
      </c>
      <c r="AA952" s="2" t="s">
        <v>27</v>
      </c>
      <c r="AB952" s="2" t="s">
        <v>50</v>
      </c>
      <c r="AC952" s="2" t="s">
        <v>29</v>
      </c>
      <c r="AD952" s="2" t="s">
        <v>30</v>
      </c>
      <c r="AE952" s="2" t="str">
        <f t="shared" si="199"/>
        <v>Valid</v>
      </c>
      <c r="AF952" s="2" t="s">
        <v>2862</v>
      </c>
    </row>
    <row r="953" spans="1:32" x14ac:dyDescent="0.3">
      <c r="A953" s="2" t="s">
        <v>2863</v>
      </c>
      <c r="B953" s="2">
        <f t="shared" si="189"/>
        <v>1</v>
      </c>
      <c r="C953" s="12">
        <f t="shared" si="202"/>
        <v>46238.585933298607</v>
      </c>
      <c r="D953" s="13">
        <v>46238.585933298607</v>
      </c>
      <c r="E953" s="2" t="s">
        <v>1424</v>
      </c>
      <c r="F953" s="2" t="str">
        <f t="shared" si="190"/>
        <v>Email Available</v>
      </c>
      <c r="G953" s="2" t="s">
        <v>1425</v>
      </c>
      <c r="H953" s="2" t="s">
        <v>182</v>
      </c>
      <c r="I953" s="2" t="s">
        <v>36</v>
      </c>
      <c r="J953" s="2" t="s">
        <v>183</v>
      </c>
      <c r="K953" s="2">
        <v>1</v>
      </c>
      <c r="L953" s="2">
        <v>11.99</v>
      </c>
      <c r="M953" s="19">
        <f t="shared" si="191"/>
        <v>11.99</v>
      </c>
      <c r="N953" s="2" t="s">
        <v>65</v>
      </c>
      <c r="O953" s="2" t="str">
        <f t="shared" si="192"/>
        <v>WELCOME10</v>
      </c>
      <c r="P953" s="2">
        <v>1.2</v>
      </c>
      <c r="Q953" s="19">
        <f t="shared" si="193"/>
        <v>1.2</v>
      </c>
      <c r="R953" s="2" t="str">
        <f t="shared" si="194"/>
        <v>Number</v>
      </c>
      <c r="S953" s="2">
        <v>7.99</v>
      </c>
      <c r="T953" s="19">
        <f t="shared" si="195"/>
        <v>7.99</v>
      </c>
      <c r="U953" s="2">
        <v>18.78</v>
      </c>
      <c r="V953" s="19">
        <f t="shared" si="196"/>
        <v>18.78</v>
      </c>
      <c r="W953" s="19">
        <f t="shared" si="197"/>
        <v>18.78</v>
      </c>
      <c r="X953" s="19" t="str">
        <f t="shared" si="198"/>
        <v>True</v>
      </c>
      <c r="Y953" s="19" t="str">
        <f>IF(OR(W953&lt;'Cleaning Tasks'!$G$18,W953&gt;'Cleaning Tasks'!$H$18),"Outlier","Normal")</f>
        <v>Normal</v>
      </c>
      <c r="Z953" s="2" t="s">
        <v>49</v>
      </c>
      <c r="AA953" s="2" t="s">
        <v>27</v>
      </c>
      <c r="AB953" s="2" t="s">
        <v>50</v>
      </c>
      <c r="AC953" s="2" t="s">
        <v>29</v>
      </c>
      <c r="AD953" s="2" t="s">
        <v>67</v>
      </c>
      <c r="AE953" s="2" t="str">
        <f t="shared" si="199"/>
        <v>Valid</v>
      </c>
      <c r="AF953" s="2" t="s">
        <v>2864</v>
      </c>
    </row>
    <row r="954" spans="1:32" x14ac:dyDescent="0.3">
      <c r="A954" s="2" t="s">
        <v>2865</v>
      </c>
      <c r="B954" s="2">
        <f t="shared" si="189"/>
        <v>1</v>
      </c>
      <c r="C954" s="12">
        <f t="shared" si="202"/>
        <v>46238.579123784722</v>
      </c>
      <c r="D954" s="13">
        <v>46238.579123784722</v>
      </c>
      <c r="E954" s="2" t="s">
        <v>1400</v>
      </c>
      <c r="F954" s="2" t="str">
        <f t="shared" si="190"/>
        <v>Email Available</v>
      </c>
      <c r="G954" s="2" t="s">
        <v>1401</v>
      </c>
      <c r="H954" s="2" t="s">
        <v>117</v>
      </c>
      <c r="I954" s="2" t="s">
        <v>22</v>
      </c>
      <c r="J954" s="2" t="s">
        <v>23</v>
      </c>
      <c r="K954" s="2">
        <v>1</v>
      </c>
      <c r="L954" s="2">
        <v>12.99</v>
      </c>
      <c r="M954" s="19">
        <f t="shared" si="191"/>
        <v>12.99</v>
      </c>
      <c r="N954" s="2" t="s">
        <v>374</v>
      </c>
      <c r="O954" s="2" t="str">
        <f t="shared" si="192"/>
        <v>FREESHIP</v>
      </c>
      <c r="P954" s="2">
        <v>0</v>
      </c>
      <c r="Q954" s="19">
        <f t="shared" si="193"/>
        <v>0</v>
      </c>
      <c r="R954" s="2" t="str">
        <f t="shared" si="194"/>
        <v>Number</v>
      </c>
      <c r="S954" s="2">
        <v>0</v>
      </c>
      <c r="T954" s="19">
        <f t="shared" si="195"/>
        <v>0</v>
      </c>
      <c r="U954" s="2">
        <v>12.99</v>
      </c>
      <c r="V954" s="19">
        <f t="shared" si="196"/>
        <v>12.99</v>
      </c>
      <c r="W954" s="19">
        <f t="shared" si="197"/>
        <v>12.99</v>
      </c>
      <c r="X954" s="19" t="str">
        <f t="shared" si="198"/>
        <v>True</v>
      </c>
      <c r="Y954" s="19" t="str">
        <f>IF(OR(W954&lt;'Cleaning Tasks'!$G$18,W954&gt;'Cleaning Tasks'!$H$18),"Outlier","Normal")</f>
        <v>Normal</v>
      </c>
      <c r="Z954" s="2" t="s">
        <v>39</v>
      </c>
      <c r="AA954" s="2" t="s">
        <v>27</v>
      </c>
      <c r="AB954" s="2" t="s">
        <v>50</v>
      </c>
      <c r="AC954" s="2" t="s">
        <v>105</v>
      </c>
      <c r="AD954" s="2"/>
      <c r="AE954" s="2" t="str">
        <f t="shared" si="199"/>
        <v>Not Required</v>
      </c>
      <c r="AF954" s="2" t="s">
        <v>2866</v>
      </c>
    </row>
    <row r="955" spans="1:32" x14ac:dyDescent="0.3">
      <c r="A955" s="2" t="s">
        <v>2867</v>
      </c>
      <c r="B955" s="2">
        <f t="shared" si="189"/>
        <v>1</v>
      </c>
      <c r="C955" s="12">
        <f t="shared" si="202"/>
        <v>46238.582453402778</v>
      </c>
      <c r="D955" s="13">
        <v>46238.582453402778</v>
      </c>
      <c r="E955" s="2" t="s">
        <v>1006</v>
      </c>
      <c r="F955" s="2" t="str">
        <f t="shared" si="190"/>
        <v>Email Available</v>
      </c>
      <c r="G955" s="2" t="s">
        <v>1007</v>
      </c>
      <c r="H955" s="2" t="s">
        <v>361</v>
      </c>
      <c r="I955" s="2" t="s">
        <v>86</v>
      </c>
      <c r="J955" s="2" t="s">
        <v>362</v>
      </c>
      <c r="K955" s="2">
        <v>1</v>
      </c>
      <c r="L955" s="2">
        <v>54.99</v>
      </c>
      <c r="M955" s="19">
        <f t="shared" si="191"/>
        <v>54.99</v>
      </c>
      <c r="N955" s="2" t="s">
        <v>65</v>
      </c>
      <c r="O955" s="2" t="str">
        <f t="shared" si="192"/>
        <v>WELCOME10</v>
      </c>
      <c r="P955" s="2">
        <v>5.5</v>
      </c>
      <c r="Q955" s="19">
        <f t="shared" si="193"/>
        <v>5.5</v>
      </c>
      <c r="R955" s="2" t="str">
        <f t="shared" si="194"/>
        <v>Number</v>
      </c>
      <c r="S955" s="2">
        <v>4.99</v>
      </c>
      <c r="T955" s="19">
        <f t="shared" si="195"/>
        <v>4.99</v>
      </c>
      <c r="U955" s="2">
        <v>54.48</v>
      </c>
      <c r="V955" s="19">
        <f t="shared" si="196"/>
        <v>54.48</v>
      </c>
      <c r="W955" s="19">
        <f t="shared" si="197"/>
        <v>54.480000000000004</v>
      </c>
      <c r="X955" s="19" t="str">
        <f t="shared" si="198"/>
        <v>True</v>
      </c>
      <c r="Y955" s="19" t="str">
        <f>IF(OR(W955&lt;'Cleaning Tasks'!$G$18,W955&gt;'Cleaning Tasks'!$H$18),"Outlier","Normal")</f>
        <v>Normal</v>
      </c>
      <c r="Z955" s="2" t="s">
        <v>72</v>
      </c>
      <c r="AA955" s="2" t="s">
        <v>40</v>
      </c>
      <c r="AB955" s="2" t="s">
        <v>50</v>
      </c>
      <c r="AC955" s="2" t="s">
        <v>29</v>
      </c>
      <c r="AD955" s="2" t="s">
        <v>89</v>
      </c>
      <c r="AE955" s="2" t="str">
        <f t="shared" si="199"/>
        <v>Valid</v>
      </c>
      <c r="AF955" s="2" t="s">
        <v>2868</v>
      </c>
    </row>
    <row r="956" spans="1:32" x14ac:dyDescent="0.3">
      <c r="A956" s="2" t="s">
        <v>2869</v>
      </c>
      <c r="B956" s="2">
        <f t="shared" si="189"/>
        <v>1</v>
      </c>
      <c r="C956" s="12">
        <f t="shared" si="202"/>
        <v>46238.582513287038</v>
      </c>
      <c r="D956" s="13">
        <v>46238.582513287038</v>
      </c>
      <c r="E956" s="2" t="s">
        <v>283</v>
      </c>
      <c r="F956" s="2" t="str">
        <f t="shared" si="190"/>
        <v>Email Available</v>
      </c>
      <c r="G956" s="2" t="s">
        <v>284</v>
      </c>
      <c r="H956" s="2" t="s">
        <v>361</v>
      </c>
      <c r="I956" s="2" t="s">
        <v>86</v>
      </c>
      <c r="J956" s="2" t="s">
        <v>362</v>
      </c>
      <c r="K956" s="2">
        <v>1</v>
      </c>
      <c r="L956" s="2">
        <v>54.99</v>
      </c>
      <c r="M956" s="19">
        <f t="shared" si="191"/>
        <v>54.99</v>
      </c>
      <c r="N956" s="2"/>
      <c r="O956" s="2" t="str">
        <f t="shared" si="192"/>
        <v/>
      </c>
      <c r="P956" s="2">
        <v>0</v>
      </c>
      <c r="Q956" s="19">
        <f t="shared" si="193"/>
        <v>0</v>
      </c>
      <c r="R956" s="2" t="str">
        <f t="shared" si="194"/>
        <v>Number</v>
      </c>
      <c r="S956" s="2">
        <v>5.99</v>
      </c>
      <c r="T956" s="19">
        <f t="shared" si="195"/>
        <v>5.99</v>
      </c>
      <c r="U956" s="2">
        <v>60.98</v>
      </c>
      <c r="V956" s="19">
        <f t="shared" si="196"/>
        <v>60.98</v>
      </c>
      <c r="W956" s="19">
        <f t="shared" si="197"/>
        <v>60.980000000000004</v>
      </c>
      <c r="X956" s="19" t="str">
        <f t="shared" si="198"/>
        <v>True</v>
      </c>
      <c r="Y956" s="19" t="str">
        <f>IF(OR(W956&lt;'Cleaning Tasks'!$G$18,W956&gt;'Cleaning Tasks'!$H$18),"Outlier","Normal")</f>
        <v>Normal</v>
      </c>
      <c r="Z956" s="2" t="s">
        <v>49</v>
      </c>
      <c r="AA956" s="2" t="s">
        <v>27</v>
      </c>
      <c r="AB956" s="2" t="s">
        <v>50</v>
      </c>
      <c r="AC956" s="2" t="s">
        <v>29</v>
      </c>
      <c r="AD956" s="2" t="s">
        <v>30</v>
      </c>
      <c r="AE956" s="2" t="str">
        <f t="shared" si="199"/>
        <v>Valid</v>
      </c>
      <c r="AF956" s="2" t="s">
        <v>2870</v>
      </c>
    </row>
    <row r="957" spans="1:32" x14ac:dyDescent="0.3">
      <c r="A957" s="2" t="s">
        <v>2871</v>
      </c>
      <c r="B957" s="2">
        <f t="shared" si="189"/>
        <v>1</v>
      </c>
      <c r="C957" s="12">
        <f t="shared" si="202"/>
        <v>46238.580976122677</v>
      </c>
      <c r="D957" s="13">
        <v>46238.580976122677</v>
      </c>
      <c r="E957" s="2" t="s">
        <v>2872</v>
      </c>
      <c r="F957" s="2" t="str">
        <f t="shared" si="190"/>
        <v>Email Available</v>
      </c>
      <c r="G957" s="2" t="s">
        <v>2873</v>
      </c>
      <c r="H957" s="2" t="s">
        <v>124</v>
      </c>
      <c r="I957" s="2" t="s">
        <v>79</v>
      </c>
      <c r="J957" s="2" t="s">
        <v>125</v>
      </c>
      <c r="K957" s="2">
        <v>3</v>
      </c>
      <c r="L957" s="2">
        <v>13.99</v>
      </c>
      <c r="M957" s="19">
        <f t="shared" si="191"/>
        <v>13.99</v>
      </c>
      <c r="N957" s="2"/>
      <c r="O957" s="2" t="str">
        <f t="shared" si="192"/>
        <v/>
      </c>
      <c r="P957" s="2">
        <v>0</v>
      </c>
      <c r="Q957" s="19">
        <f t="shared" si="193"/>
        <v>0</v>
      </c>
      <c r="R957" s="2" t="str">
        <f t="shared" si="194"/>
        <v>Number</v>
      </c>
      <c r="S957" s="2">
        <v>7.99</v>
      </c>
      <c r="T957" s="19">
        <f t="shared" si="195"/>
        <v>7.99</v>
      </c>
      <c r="U957" s="2">
        <v>49.96</v>
      </c>
      <c r="V957" s="19">
        <f t="shared" si="196"/>
        <v>49.96</v>
      </c>
      <c r="W957" s="19">
        <f t="shared" si="197"/>
        <v>49.96</v>
      </c>
      <c r="X957" s="19" t="str">
        <f t="shared" si="198"/>
        <v>True</v>
      </c>
      <c r="Y957" s="19" t="str">
        <f>IF(OR(W957&lt;'Cleaning Tasks'!$G$18,W957&gt;'Cleaning Tasks'!$H$18),"Outlier","Normal")</f>
        <v>Normal</v>
      </c>
      <c r="Z957" s="2" t="s">
        <v>49</v>
      </c>
      <c r="AA957" s="2" t="s">
        <v>27</v>
      </c>
      <c r="AB957" s="2" t="s">
        <v>50</v>
      </c>
      <c r="AC957" s="2" t="s">
        <v>29</v>
      </c>
      <c r="AD957" s="2" t="s">
        <v>243</v>
      </c>
      <c r="AE957" s="2" t="str">
        <f t="shared" si="199"/>
        <v>Valid</v>
      </c>
      <c r="AF957" s="2" t="s">
        <v>2874</v>
      </c>
    </row>
    <row r="958" spans="1:32" x14ac:dyDescent="0.3">
      <c r="A958" s="2" t="s">
        <v>2875</v>
      </c>
      <c r="B958" s="2">
        <f t="shared" si="189"/>
        <v>1</v>
      </c>
      <c r="C958" s="12">
        <f t="shared" si="202"/>
        <v>46238.579405150464</v>
      </c>
      <c r="D958" s="13">
        <v>46238.579405150464</v>
      </c>
      <c r="E958" s="2" t="s">
        <v>2876</v>
      </c>
      <c r="F958" s="2" t="str">
        <f t="shared" si="190"/>
        <v>Email Available</v>
      </c>
      <c r="G958" s="2" t="s">
        <v>2877</v>
      </c>
      <c r="H958" s="2" t="s">
        <v>78</v>
      </c>
      <c r="I958" s="2" t="s">
        <v>79</v>
      </c>
      <c r="J958" s="2" t="s">
        <v>80</v>
      </c>
      <c r="K958" s="2">
        <v>1</v>
      </c>
      <c r="L958" s="2">
        <v>89.99</v>
      </c>
      <c r="M958" s="19">
        <f t="shared" si="191"/>
        <v>89.99</v>
      </c>
      <c r="N958" s="2"/>
      <c r="O958" s="2" t="str">
        <f t="shared" si="192"/>
        <v/>
      </c>
      <c r="P958" s="2">
        <v>0</v>
      </c>
      <c r="Q958" s="19">
        <f t="shared" si="193"/>
        <v>0</v>
      </c>
      <c r="R958" s="2" t="str">
        <f t="shared" si="194"/>
        <v>Number</v>
      </c>
      <c r="S958" s="2">
        <v>0</v>
      </c>
      <c r="T958" s="19">
        <f t="shared" si="195"/>
        <v>0</v>
      </c>
      <c r="U958" s="2">
        <v>89.99</v>
      </c>
      <c r="V958" s="19">
        <f t="shared" si="196"/>
        <v>89.99</v>
      </c>
      <c r="W958" s="19">
        <f t="shared" si="197"/>
        <v>89.99</v>
      </c>
      <c r="X958" s="19" t="str">
        <f t="shared" si="198"/>
        <v>True</v>
      </c>
      <c r="Y958" s="19" t="str">
        <f>IF(OR(W958&lt;'Cleaning Tasks'!$G$18,W958&gt;'Cleaning Tasks'!$H$18),"Outlier","Normal")</f>
        <v>Outlier</v>
      </c>
      <c r="Z958" s="2" t="s">
        <v>39</v>
      </c>
      <c r="AA958" s="2" t="s">
        <v>111</v>
      </c>
      <c r="AB958" s="2" t="s">
        <v>50</v>
      </c>
      <c r="AC958" s="2" t="s">
        <v>29</v>
      </c>
      <c r="AD958" s="22" t="s">
        <v>243</v>
      </c>
      <c r="AE958" s="2" t="str">
        <f t="shared" si="199"/>
        <v>Valid</v>
      </c>
      <c r="AF958" s="2" t="s">
        <v>2878</v>
      </c>
    </row>
    <row r="959" spans="1:32" x14ac:dyDescent="0.3">
      <c r="A959" s="2" t="s">
        <v>2879</v>
      </c>
      <c r="B959" s="2">
        <f t="shared" si="189"/>
        <v>1</v>
      </c>
      <c r="C959" s="12">
        <f t="shared" si="202"/>
        <v>46238.579639918979</v>
      </c>
      <c r="D959" s="13">
        <v>46238.579639918979</v>
      </c>
      <c r="E959" s="2" t="s">
        <v>176</v>
      </c>
      <c r="F959" s="2" t="str">
        <f t="shared" si="190"/>
        <v>Email Available</v>
      </c>
      <c r="G959" s="2" t="s">
        <v>177</v>
      </c>
      <c r="H959" s="2" t="s">
        <v>279</v>
      </c>
      <c r="I959" s="2" t="s">
        <v>22</v>
      </c>
      <c r="J959" s="2" t="s">
        <v>280</v>
      </c>
      <c r="K959" s="2">
        <v>2</v>
      </c>
      <c r="L959" s="2">
        <v>24.99</v>
      </c>
      <c r="M959" s="19">
        <f t="shared" si="191"/>
        <v>24.99</v>
      </c>
      <c r="N959" s="2" t="s">
        <v>38</v>
      </c>
      <c r="O959" s="2" t="str">
        <f t="shared" si="192"/>
        <v>FREESHIP</v>
      </c>
      <c r="P959" s="2">
        <v>0</v>
      </c>
      <c r="Q959" s="19">
        <f t="shared" si="193"/>
        <v>0</v>
      </c>
      <c r="R959" s="2" t="str">
        <f t="shared" si="194"/>
        <v>Number</v>
      </c>
      <c r="S959" s="2">
        <v>0</v>
      </c>
      <c r="T959" s="19">
        <f t="shared" si="195"/>
        <v>0</v>
      </c>
      <c r="U959" s="2">
        <v>49.98</v>
      </c>
      <c r="V959" s="19">
        <f t="shared" si="196"/>
        <v>49.98</v>
      </c>
      <c r="W959" s="19">
        <f t="shared" si="197"/>
        <v>49.98</v>
      </c>
      <c r="X959" s="19" t="str">
        <f t="shared" si="198"/>
        <v>True</v>
      </c>
      <c r="Y959" s="19" t="str">
        <f>IF(OR(W959&lt;'Cleaning Tasks'!$G$18,W959&gt;'Cleaning Tasks'!$H$18),"Outlier","Normal")</f>
        <v>Normal</v>
      </c>
      <c r="Z959" s="2" t="s">
        <v>49</v>
      </c>
      <c r="AA959" s="2" t="s">
        <v>111</v>
      </c>
      <c r="AB959" s="2" t="s">
        <v>50</v>
      </c>
      <c r="AC959" s="2" t="s">
        <v>29</v>
      </c>
      <c r="AD959" s="22" t="s">
        <v>51</v>
      </c>
      <c r="AE959" s="2" t="str">
        <f t="shared" si="199"/>
        <v>Valid</v>
      </c>
      <c r="AF959" s="2" t="s">
        <v>2880</v>
      </c>
    </row>
    <row r="960" spans="1:32" x14ac:dyDescent="0.3">
      <c r="A960" s="2" t="s">
        <v>2881</v>
      </c>
      <c r="B960" s="2">
        <f t="shared" si="189"/>
        <v>1</v>
      </c>
      <c r="C960" s="12">
        <f t="shared" si="202"/>
        <v>46238</v>
      </c>
      <c r="D960" s="13">
        <v>46238</v>
      </c>
      <c r="E960" s="2" t="s">
        <v>2395</v>
      </c>
      <c r="F960" s="2" t="str">
        <f t="shared" si="190"/>
        <v>Email Available</v>
      </c>
      <c r="G960" s="2" t="s">
        <v>2396</v>
      </c>
      <c r="H960" s="2" t="s">
        <v>361</v>
      </c>
      <c r="I960" s="2" t="s">
        <v>86</v>
      </c>
      <c r="J960" s="2" t="s">
        <v>362</v>
      </c>
      <c r="K960" s="2">
        <v>2</v>
      </c>
      <c r="L960" s="2">
        <v>54.99</v>
      </c>
      <c r="M960" s="19">
        <f t="shared" si="191"/>
        <v>54.99</v>
      </c>
      <c r="N960" s="2"/>
      <c r="O960" s="2" t="str">
        <f t="shared" si="192"/>
        <v/>
      </c>
      <c r="P960" s="2">
        <v>0</v>
      </c>
      <c r="Q960" s="19">
        <f t="shared" si="193"/>
        <v>0</v>
      </c>
      <c r="R960" s="2" t="str">
        <f t="shared" si="194"/>
        <v>Number</v>
      </c>
      <c r="S960" s="2">
        <v>0</v>
      </c>
      <c r="T960" s="19">
        <f t="shared" si="195"/>
        <v>0</v>
      </c>
      <c r="U960" s="2">
        <v>109.98</v>
      </c>
      <c r="V960" s="19">
        <f t="shared" si="196"/>
        <v>109.98</v>
      </c>
      <c r="W960" s="19">
        <f t="shared" si="197"/>
        <v>109.98</v>
      </c>
      <c r="X960" s="19" t="str">
        <f t="shared" si="198"/>
        <v>True</v>
      </c>
      <c r="Y960" s="19" t="str">
        <f>IF(OR(W960&lt;'Cleaning Tasks'!$G$18,W960&gt;'Cleaning Tasks'!$H$18),"Outlier","Normal")</f>
        <v>Outlier</v>
      </c>
      <c r="Z960" s="2" t="s">
        <v>26</v>
      </c>
      <c r="AA960" s="2" t="s">
        <v>27</v>
      </c>
      <c r="AB960" s="2" t="s">
        <v>50</v>
      </c>
      <c r="AC960" s="2" t="s">
        <v>223</v>
      </c>
      <c r="AD960" s="2"/>
      <c r="AE960" s="2" t="str">
        <f t="shared" si="199"/>
        <v>Not Required</v>
      </c>
      <c r="AF960" s="2" t="s">
        <v>2882</v>
      </c>
    </row>
    <row r="961" spans="1:32" x14ac:dyDescent="0.3">
      <c r="A961" s="2" t="s">
        <v>2883</v>
      </c>
      <c r="B961" s="2">
        <f t="shared" si="189"/>
        <v>1</v>
      </c>
      <c r="C961" s="12">
        <f t="shared" si="202"/>
        <v>46238.588065324067</v>
      </c>
      <c r="D961" s="13">
        <v>46238.588065324067</v>
      </c>
      <c r="E961" s="2" t="s">
        <v>489</v>
      </c>
      <c r="F961" s="2" t="str">
        <f t="shared" si="190"/>
        <v>Email Available</v>
      </c>
      <c r="G961" s="2" t="s">
        <v>490</v>
      </c>
      <c r="H961" s="2" t="s">
        <v>78</v>
      </c>
      <c r="I961" s="2" t="s">
        <v>79</v>
      </c>
      <c r="J961" s="2" t="s">
        <v>80</v>
      </c>
      <c r="K961" s="2">
        <v>2</v>
      </c>
      <c r="L961" s="2">
        <v>89.99</v>
      </c>
      <c r="M961" s="19">
        <f t="shared" si="191"/>
        <v>89.99</v>
      </c>
      <c r="N961" s="2"/>
      <c r="O961" s="2" t="str">
        <f t="shared" si="192"/>
        <v/>
      </c>
      <c r="P961" s="2">
        <v>0</v>
      </c>
      <c r="Q961" s="19">
        <f t="shared" si="193"/>
        <v>0</v>
      </c>
      <c r="R961" s="2" t="str">
        <f t="shared" si="194"/>
        <v>Number</v>
      </c>
      <c r="S961" s="2">
        <v>0</v>
      </c>
      <c r="T961" s="19">
        <f t="shared" si="195"/>
        <v>0</v>
      </c>
      <c r="U961" s="2">
        <v>179.98</v>
      </c>
      <c r="V961" s="19">
        <f t="shared" si="196"/>
        <v>179.98</v>
      </c>
      <c r="W961" s="19">
        <f t="shared" si="197"/>
        <v>179.98</v>
      </c>
      <c r="X961" s="19" t="str">
        <f t="shared" si="198"/>
        <v>True</v>
      </c>
      <c r="Y961" s="19" t="str">
        <f>IF(OR(W961&lt;'Cleaning Tasks'!$G$18,W961&gt;'Cleaning Tasks'!$H$18),"Outlier","Normal")</f>
        <v>Outlier</v>
      </c>
      <c r="Z961" s="2" t="s">
        <v>26</v>
      </c>
      <c r="AA961" s="2" t="s">
        <v>40</v>
      </c>
      <c r="AB961" s="2" t="s">
        <v>50</v>
      </c>
      <c r="AC961" s="2" t="s">
        <v>29</v>
      </c>
      <c r="AD961" s="2" t="s">
        <v>58</v>
      </c>
      <c r="AE961" s="2" t="str">
        <f t="shared" si="199"/>
        <v>Valid</v>
      </c>
      <c r="AF961" s="2" t="s">
        <v>2884</v>
      </c>
    </row>
    <row r="962" spans="1:32" x14ac:dyDescent="0.3">
      <c r="A962" s="2" t="s">
        <v>2885</v>
      </c>
      <c r="B962" s="2">
        <f t="shared" ref="B962:B1025" si="203">COUNTIF($A$2:$A$1993,A962)</f>
        <v>1</v>
      </c>
      <c r="C962" s="12">
        <f t="shared" si="202"/>
        <v>46238.588677291656</v>
      </c>
      <c r="D962" s="13">
        <v>46238.588677291656</v>
      </c>
      <c r="E962" s="2" t="s">
        <v>2820</v>
      </c>
      <c r="F962" s="2" t="str">
        <f t="shared" ref="F962:F1025" si="204">IF(TRIM(G962)="","Missing Email","Email Available")</f>
        <v>Email Available</v>
      </c>
      <c r="G962" s="2" t="s">
        <v>2821</v>
      </c>
      <c r="H962" s="2" t="s">
        <v>261</v>
      </c>
      <c r="I962" s="2" t="s">
        <v>36</v>
      </c>
      <c r="J962" s="2" t="s">
        <v>262</v>
      </c>
      <c r="K962" s="2">
        <v>1</v>
      </c>
      <c r="L962" s="2" t="s">
        <v>318</v>
      </c>
      <c r="M962" s="19">
        <f t="shared" ref="M962:M1025" si="205">IF(ISNUMBER(L962),L962,VALUE(SUBSTITUTE(L962,"$","")))</f>
        <v>15.49</v>
      </c>
      <c r="N962" s="2" t="s">
        <v>24</v>
      </c>
      <c r="O962" s="2" t="str">
        <f t="shared" ref="O962:O1025" si="206">IF(TRIM(N962)="","",UPPER(TRIM(SUBSTITUTE(N962,CHAR(160)," "))))</f>
        <v>SAVE20</v>
      </c>
      <c r="P962" s="2">
        <v>3.1</v>
      </c>
      <c r="Q962" s="19">
        <f t="shared" ref="Q962:Q1025" si="207">IF(ISNUMBER(P962),P962,VALUE(TRIM(SUBSTITUTE(P962,"$",""))))</f>
        <v>3.1</v>
      </c>
      <c r="R962" s="2" t="str">
        <f t="shared" ref="R962:R1025" si="208">IF(ISNUMBER(Q962),"Number","Text")</f>
        <v>Number</v>
      </c>
      <c r="S962" s="2">
        <v>5.99</v>
      </c>
      <c r="T962" s="19">
        <f t="shared" ref="T962:T1025" si="209">IF(ISNUMBER(S962),S962,VALUE(TRIM(SUBSTITUTE(S962,"$",""))))</f>
        <v>5.99</v>
      </c>
      <c r="U962" s="2">
        <v>18.38</v>
      </c>
      <c r="V962" s="19">
        <f t="shared" ref="V962:V1025" si="210">IF(ISNUMBER(U962),U962,VALUE(TRIM(SUBSTITUTE(U962,"$",""))))</f>
        <v>18.38</v>
      </c>
      <c r="W962" s="19">
        <f t="shared" ref="W962:W1025" si="211">((M962*K962)-Q962)+T962</f>
        <v>18.380000000000003</v>
      </c>
      <c r="X962" s="19" t="str">
        <f t="shared" ref="X962:X1025" si="212">IF(V962=W962,"True","False")</f>
        <v>True</v>
      </c>
      <c r="Y962" s="19" t="str">
        <f>IF(OR(W962&lt;'Cleaning Tasks'!$G$18,W962&gt;'Cleaning Tasks'!$H$18),"Outlier","Normal")</f>
        <v>Normal</v>
      </c>
      <c r="Z962" s="2" t="s">
        <v>49</v>
      </c>
      <c r="AA962" s="2" t="s">
        <v>27</v>
      </c>
      <c r="AB962" s="2" t="s">
        <v>96</v>
      </c>
      <c r="AC962" s="2" t="s">
        <v>105</v>
      </c>
      <c r="AD962" s="2"/>
      <c r="AE962" s="2" t="str">
        <f t="shared" ref="AE962:AE1025" si="213">IF(AND(AC962="United States",AD962=""),"Missing state",IF(AD962="","Not Required","Valid"))</f>
        <v>Not Required</v>
      </c>
      <c r="AF962" s="2" t="s">
        <v>2886</v>
      </c>
    </row>
    <row r="963" spans="1:32" x14ac:dyDescent="0.3">
      <c r="A963" s="2" t="s">
        <v>2887</v>
      </c>
      <c r="B963" s="2">
        <f t="shared" si="203"/>
        <v>1</v>
      </c>
      <c r="C963" s="12">
        <f t="shared" si="202"/>
        <v>46238.584830821761</v>
      </c>
      <c r="D963" s="13">
        <v>46238.584830821761</v>
      </c>
      <c r="E963" s="2" t="s">
        <v>226</v>
      </c>
      <c r="F963" s="2" t="str">
        <f t="shared" si="204"/>
        <v>Email Available</v>
      </c>
      <c r="G963" s="2" t="s">
        <v>227</v>
      </c>
      <c r="H963" s="2" t="s">
        <v>261</v>
      </c>
      <c r="I963" s="2" t="s">
        <v>36</v>
      </c>
      <c r="J963" s="2" t="s">
        <v>262</v>
      </c>
      <c r="K963" s="2">
        <v>1</v>
      </c>
      <c r="L963" s="2">
        <v>15.49</v>
      </c>
      <c r="M963" s="19">
        <f t="shared" si="205"/>
        <v>15.49</v>
      </c>
      <c r="N963" s="2" t="s">
        <v>118</v>
      </c>
      <c r="O963" s="2" t="str">
        <f t="shared" si="206"/>
        <v>BFCM25</v>
      </c>
      <c r="P963" s="2">
        <v>3.87</v>
      </c>
      <c r="Q963" s="19">
        <f t="shared" si="207"/>
        <v>3.87</v>
      </c>
      <c r="R963" s="2" t="str">
        <f t="shared" si="208"/>
        <v>Number</v>
      </c>
      <c r="S963" s="2">
        <v>5.99</v>
      </c>
      <c r="T963" s="19">
        <f t="shared" si="209"/>
        <v>5.99</v>
      </c>
      <c r="U963" s="2">
        <v>17.61</v>
      </c>
      <c r="V963" s="19">
        <f t="shared" si="210"/>
        <v>17.61</v>
      </c>
      <c r="W963" s="19">
        <f t="shared" si="211"/>
        <v>17.61</v>
      </c>
      <c r="X963" s="19" t="str">
        <f t="shared" si="212"/>
        <v>True</v>
      </c>
      <c r="Y963" s="19" t="str">
        <f>IF(OR(W963&lt;'Cleaning Tasks'!$G$18,W963&gt;'Cleaning Tasks'!$H$18),"Outlier","Normal")</f>
        <v>Normal</v>
      </c>
      <c r="Z963" s="2" t="s">
        <v>72</v>
      </c>
      <c r="AA963" s="2" t="s">
        <v>88</v>
      </c>
      <c r="AB963" s="2" t="s">
        <v>50</v>
      </c>
      <c r="AC963" s="2" t="s">
        <v>29</v>
      </c>
      <c r="AD963" s="2" t="s">
        <v>243</v>
      </c>
      <c r="AE963" s="2" t="str">
        <f t="shared" si="213"/>
        <v>Valid</v>
      </c>
      <c r="AF963" s="2" t="s">
        <v>2830</v>
      </c>
    </row>
    <row r="964" spans="1:32" x14ac:dyDescent="0.3">
      <c r="A964" s="2" t="s">
        <v>2888</v>
      </c>
      <c r="B964" s="2">
        <f t="shared" si="203"/>
        <v>1</v>
      </c>
      <c r="C964" s="12">
        <f t="shared" si="202"/>
        <v>46238.58217173611</v>
      </c>
      <c r="D964" s="13">
        <v>46238.58217173611</v>
      </c>
      <c r="E964" s="2" t="s">
        <v>725</v>
      </c>
      <c r="F964" s="2" t="str">
        <f t="shared" si="204"/>
        <v>Email Available</v>
      </c>
      <c r="G964" s="2" t="s">
        <v>726</v>
      </c>
      <c r="H964" s="2" t="s">
        <v>109</v>
      </c>
      <c r="I964" s="2" t="s">
        <v>79</v>
      </c>
      <c r="J964" s="2" t="s">
        <v>110</v>
      </c>
      <c r="K964" s="2">
        <v>1</v>
      </c>
      <c r="L964" s="2">
        <v>22.99</v>
      </c>
      <c r="M964" s="19">
        <f t="shared" si="205"/>
        <v>22.99</v>
      </c>
      <c r="N964" s="2" t="s">
        <v>203</v>
      </c>
      <c r="O964" s="2" t="str">
        <f t="shared" si="206"/>
        <v>VIP15</v>
      </c>
      <c r="P964" s="2">
        <v>3.45</v>
      </c>
      <c r="Q964" s="19">
        <f t="shared" si="207"/>
        <v>3.45</v>
      </c>
      <c r="R964" s="2" t="str">
        <f t="shared" si="208"/>
        <v>Number</v>
      </c>
      <c r="S964" s="2">
        <v>7.99</v>
      </c>
      <c r="T964" s="19">
        <f t="shared" si="209"/>
        <v>7.99</v>
      </c>
      <c r="U964" s="2">
        <v>27.53</v>
      </c>
      <c r="V964" s="19">
        <f t="shared" si="210"/>
        <v>27.53</v>
      </c>
      <c r="W964" s="19">
        <f t="shared" si="211"/>
        <v>27.53</v>
      </c>
      <c r="X964" s="19" t="str">
        <f t="shared" si="212"/>
        <v>True</v>
      </c>
      <c r="Y964" s="19" t="str">
        <f>IF(OR(W964&lt;'Cleaning Tasks'!$G$18,W964&gt;'Cleaning Tasks'!$H$18),"Outlier","Normal")</f>
        <v>Normal</v>
      </c>
      <c r="Z964" s="2" t="s">
        <v>49</v>
      </c>
      <c r="AA964" s="2" t="s">
        <v>27</v>
      </c>
      <c r="AB964" s="2" t="s">
        <v>50</v>
      </c>
      <c r="AC964" s="2" t="s">
        <v>105</v>
      </c>
      <c r="AD964" s="2"/>
      <c r="AE964" s="2" t="str">
        <f t="shared" si="213"/>
        <v>Not Required</v>
      </c>
      <c r="AF964" s="2" t="s">
        <v>2890</v>
      </c>
    </row>
    <row r="965" spans="1:32" x14ac:dyDescent="0.3">
      <c r="A965" s="2" t="s">
        <v>2891</v>
      </c>
      <c r="B965" s="2">
        <f t="shared" si="203"/>
        <v>1</v>
      </c>
      <c r="C965" s="12">
        <f t="shared" si="202"/>
        <v>46238.585986064812</v>
      </c>
      <c r="D965" s="13">
        <v>46238.585986064812</v>
      </c>
      <c r="E965" s="2" t="s">
        <v>473</v>
      </c>
      <c r="F965" s="2" t="str">
        <f t="shared" si="204"/>
        <v>Email Available</v>
      </c>
      <c r="G965" s="2" t="s">
        <v>474</v>
      </c>
      <c r="H965" s="2" t="s">
        <v>279</v>
      </c>
      <c r="I965" s="2" t="s">
        <v>22</v>
      </c>
      <c r="J965" s="2" t="s">
        <v>280</v>
      </c>
      <c r="K965" s="2">
        <v>1</v>
      </c>
      <c r="L965" s="2">
        <v>24.99</v>
      </c>
      <c r="M965" s="19">
        <f t="shared" si="205"/>
        <v>24.99</v>
      </c>
      <c r="N965" s="2" t="s">
        <v>65</v>
      </c>
      <c r="O965" s="2" t="str">
        <f t="shared" si="206"/>
        <v>WELCOME10</v>
      </c>
      <c r="P965" s="2">
        <v>2.5</v>
      </c>
      <c r="Q965" s="19">
        <f t="shared" si="207"/>
        <v>2.5</v>
      </c>
      <c r="R965" s="2" t="str">
        <f t="shared" si="208"/>
        <v>Number</v>
      </c>
      <c r="S965" s="2">
        <v>4.99</v>
      </c>
      <c r="T965" s="19">
        <f t="shared" si="209"/>
        <v>4.99</v>
      </c>
      <c r="U965" s="2">
        <v>27.48</v>
      </c>
      <c r="V965" s="19">
        <f t="shared" si="210"/>
        <v>27.48</v>
      </c>
      <c r="W965" s="19">
        <f t="shared" si="211"/>
        <v>27.479999999999997</v>
      </c>
      <c r="X965" s="19" t="str">
        <f t="shared" si="212"/>
        <v>True</v>
      </c>
      <c r="Y965" s="19" t="str">
        <f>IF(OR(W965&lt;'Cleaning Tasks'!$G$18,W965&gt;'Cleaning Tasks'!$H$18),"Outlier","Normal")</f>
        <v>Normal</v>
      </c>
      <c r="Z965" s="2" t="s">
        <v>49</v>
      </c>
      <c r="AA965" s="2" t="s">
        <v>27</v>
      </c>
      <c r="AB965" s="2" t="s">
        <v>28</v>
      </c>
      <c r="AC965" s="2" t="s">
        <v>73</v>
      </c>
      <c r="AD965" s="2"/>
      <c r="AE965" s="2" t="str">
        <f t="shared" si="213"/>
        <v>Not Required</v>
      </c>
      <c r="AF965" s="2" t="s">
        <v>2892</v>
      </c>
    </row>
    <row r="966" spans="1:32" x14ac:dyDescent="0.3">
      <c r="A966" s="2" t="s">
        <v>2893</v>
      </c>
      <c r="B966" s="2">
        <f t="shared" si="203"/>
        <v>1</v>
      </c>
      <c r="C966" s="12">
        <f t="shared" si="202"/>
        <v>46238.582924050927</v>
      </c>
      <c r="D966" s="13">
        <v>46238.582924050927</v>
      </c>
      <c r="E966" s="2" t="s">
        <v>2009</v>
      </c>
      <c r="F966" s="2" t="str">
        <f t="shared" si="204"/>
        <v>Email Available</v>
      </c>
      <c r="G966" s="2" t="s">
        <v>2010</v>
      </c>
      <c r="H966" s="2" t="s">
        <v>152</v>
      </c>
      <c r="I966" s="2" t="s">
        <v>36</v>
      </c>
      <c r="J966" s="2" t="s">
        <v>153</v>
      </c>
      <c r="K966" s="2">
        <v>2</v>
      </c>
      <c r="L966" s="2">
        <v>29.99</v>
      </c>
      <c r="M966" s="19">
        <f t="shared" si="205"/>
        <v>29.99</v>
      </c>
      <c r="N966" s="2"/>
      <c r="O966" s="2" t="str">
        <f t="shared" si="206"/>
        <v/>
      </c>
      <c r="P966" s="2">
        <v>0</v>
      </c>
      <c r="Q966" s="19">
        <f t="shared" si="207"/>
        <v>0</v>
      </c>
      <c r="R966" s="2" t="str">
        <f t="shared" si="208"/>
        <v>Number</v>
      </c>
      <c r="S966" s="2">
        <v>7.99</v>
      </c>
      <c r="T966" s="19">
        <f t="shared" si="209"/>
        <v>7.99</v>
      </c>
      <c r="U966" s="2">
        <v>67.97</v>
      </c>
      <c r="V966" s="19">
        <f t="shared" si="210"/>
        <v>67.97</v>
      </c>
      <c r="W966" s="19">
        <f t="shared" si="211"/>
        <v>67.97</v>
      </c>
      <c r="X966" s="19" t="str">
        <f t="shared" si="212"/>
        <v>True</v>
      </c>
      <c r="Y966" s="19" t="str">
        <f>IF(OR(W966&lt;'Cleaning Tasks'!$G$18,W966&gt;'Cleaning Tasks'!$H$18),"Outlier","Normal")</f>
        <v>Normal</v>
      </c>
      <c r="Z966" s="2" t="s">
        <v>72</v>
      </c>
      <c r="AA966" s="2" t="s">
        <v>27</v>
      </c>
      <c r="AB966" s="2" t="s">
        <v>41</v>
      </c>
      <c r="AC966" s="2" t="s">
        <v>29</v>
      </c>
      <c r="AD966" s="2" t="s">
        <v>67</v>
      </c>
      <c r="AE966" s="2" t="str">
        <f t="shared" si="213"/>
        <v>Valid</v>
      </c>
      <c r="AF966" s="2" t="s">
        <v>497</v>
      </c>
    </row>
    <row r="967" spans="1:32" x14ac:dyDescent="0.3">
      <c r="A967" s="2" t="s">
        <v>2894</v>
      </c>
      <c r="B967" s="2">
        <f t="shared" si="203"/>
        <v>1</v>
      </c>
      <c r="C967" s="12">
        <f t="shared" si="202"/>
        <v>46238.583876597222</v>
      </c>
      <c r="D967" s="13">
        <v>46238.583876597222</v>
      </c>
      <c r="E967" s="2" t="s">
        <v>2895</v>
      </c>
      <c r="F967" s="2" t="str">
        <f t="shared" si="204"/>
        <v>Missing Email</v>
      </c>
      <c r="G967" s="2"/>
      <c r="H967" s="2" t="s">
        <v>166</v>
      </c>
      <c r="I967" s="2" t="s">
        <v>103</v>
      </c>
      <c r="J967" s="2" t="s">
        <v>167</v>
      </c>
      <c r="K967" s="2">
        <v>1</v>
      </c>
      <c r="L967" s="2">
        <v>32.99</v>
      </c>
      <c r="M967" s="19">
        <f t="shared" si="205"/>
        <v>32.99</v>
      </c>
      <c r="N967" s="2"/>
      <c r="O967" s="2" t="str">
        <f t="shared" si="206"/>
        <v/>
      </c>
      <c r="P967" s="2">
        <v>0</v>
      </c>
      <c r="Q967" s="19">
        <f t="shared" si="207"/>
        <v>0</v>
      </c>
      <c r="R967" s="2" t="str">
        <f t="shared" si="208"/>
        <v>Number</v>
      </c>
      <c r="S967" s="2">
        <v>4.99</v>
      </c>
      <c r="T967" s="19">
        <f t="shared" si="209"/>
        <v>4.99</v>
      </c>
      <c r="U967" s="2">
        <v>37.979999999999997</v>
      </c>
      <c r="V967" s="19">
        <f t="shared" si="210"/>
        <v>37.979999999999997</v>
      </c>
      <c r="W967" s="19">
        <f t="shared" si="211"/>
        <v>37.980000000000004</v>
      </c>
      <c r="X967" s="19" t="str">
        <f t="shared" si="212"/>
        <v>True</v>
      </c>
      <c r="Y967" s="19" t="str">
        <f>IF(OR(W967&lt;'Cleaning Tasks'!$G$18,W967&gt;'Cleaning Tasks'!$H$18),"Outlier","Normal")</f>
        <v>Normal</v>
      </c>
      <c r="Z967" s="2" t="s">
        <v>39</v>
      </c>
      <c r="AA967" s="2" t="s">
        <v>27</v>
      </c>
      <c r="AB967" s="2" t="s">
        <v>50</v>
      </c>
      <c r="AC967" s="2" t="s">
        <v>29</v>
      </c>
      <c r="AD967" s="2" t="s">
        <v>140</v>
      </c>
      <c r="AE967" s="2" t="str">
        <f t="shared" si="213"/>
        <v>Valid</v>
      </c>
      <c r="AF967" s="2" t="s">
        <v>2896</v>
      </c>
    </row>
    <row r="968" spans="1:32" x14ac:dyDescent="0.3">
      <c r="A968" s="2" t="s">
        <v>2897</v>
      </c>
      <c r="B968" s="2">
        <f t="shared" si="203"/>
        <v>1</v>
      </c>
      <c r="C968" s="12">
        <f t="shared" si="202"/>
        <v>46238.582926319446</v>
      </c>
      <c r="D968" s="13">
        <v>46238.582926319446</v>
      </c>
      <c r="E968" s="2" t="s">
        <v>2786</v>
      </c>
      <c r="F968" s="2" t="str">
        <f t="shared" si="204"/>
        <v>Email Available</v>
      </c>
      <c r="G968" s="2" t="s">
        <v>2787</v>
      </c>
      <c r="H968" s="2" t="s">
        <v>201</v>
      </c>
      <c r="I968" s="2" t="s">
        <v>191</v>
      </c>
      <c r="J968" s="2" t="s">
        <v>202</v>
      </c>
      <c r="K968" s="2">
        <v>2</v>
      </c>
      <c r="L968" s="2" t="s">
        <v>1212</v>
      </c>
      <c r="M968" s="19">
        <f t="shared" si="205"/>
        <v>24.99</v>
      </c>
      <c r="N968" s="2" t="s">
        <v>65</v>
      </c>
      <c r="O968" s="2" t="str">
        <f t="shared" si="206"/>
        <v>WELCOME10</v>
      </c>
      <c r="P968" s="2">
        <v>5</v>
      </c>
      <c r="Q968" s="19">
        <f t="shared" si="207"/>
        <v>5</v>
      </c>
      <c r="R968" s="2" t="str">
        <f t="shared" si="208"/>
        <v>Number</v>
      </c>
      <c r="S968" s="2">
        <v>4.99</v>
      </c>
      <c r="T968" s="19">
        <f t="shared" si="209"/>
        <v>4.99</v>
      </c>
      <c r="U968" s="2">
        <v>49.97</v>
      </c>
      <c r="V968" s="19">
        <f t="shared" si="210"/>
        <v>49.97</v>
      </c>
      <c r="W968" s="19">
        <f t="shared" si="211"/>
        <v>49.97</v>
      </c>
      <c r="X968" s="19" t="str">
        <f t="shared" si="212"/>
        <v>True</v>
      </c>
      <c r="Y968" s="19" t="str">
        <f>IF(OR(W968&lt;'Cleaning Tasks'!$G$18,W968&gt;'Cleaning Tasks'!$H$18),"Outlier","Normal")</f>
        <v>Normal</v>
      </c>
      <c r="Z968" s="2" t="s">
        <v>66</v>
      </c>
      <c r="AA968" s="2" t="s">
        <v>111</v>
      </c>
      <c r="AB968" s="2" t="s">
        <v>96</v>
      </c>
      <c r="AC968" s="2" t="s">
        <v>29</v>
      </c>
      <c r="AD968" s="2" t="s">
        <v>30</v>
      </c>
      <c r="AE968" s="2" t="str">
        <f t="shared" si="213"/>
        <v>Valid</v>
      </c>
      <c r="AF968" s="2" t="s">
        <v>2898</v>
      </c>
    </row>
    <row r="969" spans="1:32" x14ac:dyDescent="0.3">
      <c r="A969" s="2" t="s">
        <v>2899</v>
      </c>
      <c r="B969" s="2">
        <f t="shared" si="203"/>
        <v>1</v>
      </c>
      <c r="C969" s="12">
        <f t="shared" si="202"/>
        <v>46238.584921562498</v>
      </c>
      <c r="D969" s="13">
        <v>46238.584921562498</v>
      </c>
      <c r="E969" s="2" t="s">
        <v>164</v>
      </c>
      <c r="F969" s="2" t="str">
        <f t="shared" si="204"/>
        <v>Email Available</v>
      </c>
      <c r="G969" s="2" t="s">
        <v>165</v>
      </c>
      <c r="H969" s="2" t="s">
        <v>152</v>
      </c>
      <c r="I969" s="2" t="s">
        <v>36</v>
      </c>
      <c r="J969" s="2" t="s">
        <v>153</v>
      </c>
      <c r="K969" s="2">
        <v>1</v>
      </c>
      <c r="L969" s="2">
        <v>29.99</v>
      </c>
      <c r="M969" s="19">
        <f t="shared" si="205"/>
        <v>29.99</v>
      </c>
      <c r="N969" s="2" t="s">
        <v>38</v>
      </c>
      <c r="O969" s="2" t="str">
        <f t="shared" si="206"/>
        <v>FREESHIP</v>
      </c>
      <c r="P969" s="2">
        <v>0</v>
      </c>
      <c r="Q969" s="19">
        <f t="shared" si="207"/>
        <v>0</v>
      </c>
      <c r="R969" s="2" t="str">
        <f t="shared" si="208"/>
        <v>Number</v>
      </c>
      <c r="S969" s="2">
        <v>0</v>
      </c>
      <c r="T969" s="19">
        <f t="shared" si="209"/>
        <v>0</v>
      </c>
      <c r="U969" s="2">
        <v>29.99</v>
      </c>
      <c r="V969" s="19">
        <f t="shared" si="210"/>
        <v>29.99</v>
      </c>
      <c r="W969" s="19">
        <f t="shared" si="211"/>
        <v>29.99</v>
      </c>
      <c r="X969" s="19" t="str">
        <f t="shared" si="212"/>
        <v>True</v>
      </c>
      <c r="Y969" s="19" t="str">
        <f>IF(OR(W969&lt;'Cleaning Tasks'!$G$18,W969&gt;'Cleaning Tasks'!$H$18),"Outlier","Normal")</f>
        <v>Normal</v>
      </c>
      <c r="Z969" s="2" t="s">
        <v>39</v>
      </c>
      <c r="AA969" s="2" t="s">
        <v>111</v>
      </c>
      <c r="AB969" s="2" t="s">
        <v>50</v>
      </c>
      <c r="AC969" s="2" t="s">
        <v>105</v>
      </c>
      <c r="AD969" s="2"/>
      <c r="AE969" s="2" t="str">
        <f t="shared" si="213"/>
        <v>Not Required</v>
      </c>
      <c r="AF969" s="2" t="s">
        <v>2900</v>
      </c>
    </row>
    <row r="970" spans="1:32" x14ac:dyDescent="0.3">
      <c r="A970" s="2" t="s">
        <v>2901</v>
      </c>
      <c r="B970" s="2">
        <f t="shared" si="203"/>
        <v>1</v>
      </c>
      <c r="C970" s="12">
        <f t="shared" si="202"/>
        <v>46238.587533344908</v>
      </c>
      <c r="D970" s="13">
        <v>46238.587533344908</v>
      </c>
      <c r="E970" s="2" t="s">
        <v>2072</v>
      </c>
      <c r="F970" s="2" t="str">
        <f t="shared" si="204"/>
        <v>Email Available</v>
      </c>
      <c r="G970" s="2" t="s">
        <v>2442</v>
      </c>
      <c r="H970" s="2" t="s">
        <v>56</v>
      </c>
      <c r="I970" s="2" t="s">
        <v>22</v>
      </c>
      <c r="J970" s="2" t="s">
        <v>57</v>
      </c>
      <c r="K970" s="2">
        <v>2</v>
      </c>
      <c r="L970" s="2">
        <v>9.99</v>
      </c>
      <c r="M970" s="19">
        <f t="shared" si="205"/>
        <v>9.99</v>
      </c>
      <c r="N970" s="2" t="s">
        <v>118</v>
      </c>
      <c r="O970" s="2" t="str">
        <f t="shared" si="206"/>
        <v>BFCM25</v>
      </c>
      <c r="P970" s="2">
        <v>5</v>
      </c>
      <c r="Q970" s="19">
        <f t="shared" si="207"/>
        <v>5</v>
      </c>
      <c r="R970" s="2" t="str">
        <f t="shared" si="208"/>
        <v>Number</v>
      </c>
      <c r="S970" s="2">
        <v>4.99</v>
      </c>
      <c r="T970" s="19">
        <f t="shared" si="209"/>
        <v>4.99</v>
      </c>
      <c r="U970" s="2">
        <v>19.97</v>
      </c>
      <c r="V970" s="19">
        <f t="shared" si="210"/>
        <v>19.97</v>
      </c>
      <c r="W970" s="19">
        <f t="shared" si="211"/>
        <v>19.97</v>
      </c>
      <c r="X970" s="19" t="str">
        <f t="shared" si="212"/>
        <v>True</v>
      </c>
      <c r="Y970" s="19" t="str">
        <f>IF(OR(W970&lt;'Cleaning Tasks'!$G$18,W970&gt;'Cleaning Tasks'!$H$18),"Outlier","Normal")</f>
        <v>Normal</v>
      </c>
      <c r="Z970" s="2" t="s">
        <v>26</v>
      </c>
      <c r="AA970" s="2" t="s">
        <v>27</v>
      </c>
      <c r="AB970" s="2" t="s">
        <v>96</v>
      </c>
      <c r="AC970" s="2" t="s">
        <v>73</v>
      </c>
      <c r="AD970" s="2"/>
      <c r="AE970" s="2" t="str">
        <f t="shared" si="213"/>
        <v>Not Required</v>
      </c>
      <c r="AF970" s="2" t="s">
        <v>2902</v>
      </c>
    </row>
    <row r="971" spans="1:32" x14ac:dyDescent="0.3">
      <c r="A971" s="2" t="s">
        <v>2903</v>
      </c>
      <c r="B971" s="2">
        <f t="shared" si="203"/>
        <v>1</v>
      </c>
      <c r="C971" s="12">
        <f t="shared" si="202"/>
        <v>46238.583274166667</v>
      </c>
      <c r="D971" s="13">
        <v>46238.583274166667</v>
      </c>
      <c r="E971" s="2" t="s">
        <v>532</v>
      </c>
      <c r="F971" s="2" t="str">
        <f t="shared" si="204"/>
        <v>Email Available</v>
      </c>
      <c r="G971" s="2" t="s">
        <v>533</v>
      </c>
      <c r="H971" s="2" t="s">
        <v>63</v>
      </c>
      <c r="I971" s="2" t="s">
        <v>47</v>
      </c>
      <c r="J971" s="2" t="s">
        <v>446</v>
      </c>
      <c r="K971" s="2">
        <v>1</v>
      </c>
      <c r="L971" s="2">
        <v>14.99</v>
      </c>
      <c r="M971" s="19">
        <f t="shared" si="205"/>
        <v>14.99</v>
      </c>
      <c r="N971" s="2"/>
      <c r="O971" s="2" t="str">
        <f t="shared" si="206"/>
        <v/>
      </c>
      <c r="P971" s="2">
        <v>0</v>
      </c>
      <c r="Q971" s="19">
        <f t="shared" si="207"/>
        <v>0</v>
      </c>
      <c r="R971" s="2" t="str">
        <f t="shared" si="208"/>
        <v>Number</v>
      </c>
      <c r="S971" s="2">
        <v>5.99</v>
      </c>
      <c r="T971" s="19">
        <f t="shared" si="209"/>
        <v>5.99</v>
      </c>
      <c r="U971" s="2">
        <v>20.98</v>
      </c>
      <c r="V971" s="19">
        <f t="shared" si="210"/>
        <v>20.98</v>
      </c>
      <c r="W971" s="19">
        <f t="shared" si="211"/>
        <v>20.98</v>
      </c>
      <c r="X971" s="19" t="str">
        <f t="shared" si="212"/>
        <v>True</v>
      </c>
      <c r="Y971" s="19" t="str">
        <f>IF(OR(W971&lt;'Cleaning Tasks'!$G$18,W971&gt;'Cleaning Tasks'!$H$18),"Outlier","Normal")</f>
        <v>Normal</v>
      </c>
      <c r="Z971" s="2" t="s">
        <v>39</v>
      </c>
      <c r="AA971" s="2" t="s">
        <v>40</v>
      </c>
      <c r="AB971" s="2" t="s">
        <v>50</v>
      </c>
      <c r="AC971" s="2" t="s">
        <v>73</v>
      </c>
      <c r="AD971" s="2"/>
      <c r="AE971" s="2" t="str">
        <f t="shared" si="213"/>
        <v>Not Required</v>
      </c>
      <c r="AF971" s="2" t="s">
        <v>2904</v>
      </c>
    </row>
    <row r="972" spans="1:32" x14ac:dyDescent="0.3">
      <c r="A972" s="2" t="s">
        <v>2905</v>
      </c>
      <c r="B972" s="2">
        <f t="shared" si="203"/>
        <v>1</v>
      </c>
      <c r="C972" s="12">
        <f t="shared" si="202"/>
        <v>46238</v>
      </c>
      <c r="D972" s="13" t="s">
        <v>2750</v>
      </c>
      <c r="E972" s="2" t="s">
        <v>2021</v>
      </c>
      <c r="F972" s="2" t="str">
        <f t="shared" si="204"/>
        <v>Email Available</v>
      </c>
      <c r="G972" s="2" t="s">
        <v>2022</v>
      </c>
      <c r="H972" s="2" t="s">
        <v>124</v>
      </c>
      <c r="I972" s="2" t="s">
        <v>79</v>
      </c>
      <c r="J972" s="2" t="s">
        <v>125</v>
      </c>
      <c r="K972" s="2">
        <v>1</v>
      </c>
      <c r="L972" s="2">
        <v>13.99</v>
      </c>
      <c r="M972" s="19">
        <f t="shared" si="205"/>
        <v>13.99</v>
      </c>
      <c r="N972" s="2" t="s">
        <v>24</v>
      </c>
      <c r="O972" s="2" t="str">
        <f t="shared" si="206"/>
        <v>SAVE20</v>
      </c>
      <c r="P972" s="2">
        <v>2.8</v>
      </c>
      <c r="Q972" s="19">
        <f t="shared" si="207"/>
        <v>2.8</v>
      </c>
      <c r="R972" s="2" t="str">
        <f t="shared" si="208"/>
        <v>Number</v>
      </c>
      <c r="S972" s="2">
        <v>7.99</v>
      </c>
      <c r="T972" s="19">
        <f t="shared" si="209"/>
        <v>7.99</v>
      </c>
      <c r="U972" s="2">
        <v>19.18</v>
      </c>
      <c r="V972" s="19">
        <f t="shared" si="210"/>
        <v>19.18</v>
      </c>
      <c r="W972" s="19">
        <f t="shared" si="211"/>
        <v>19.18</v>
      </c>
      <c r="X972" s="19" t="str">
        <f t="shared" si="212"/>
        <v>True</v>
      </c>
      <c r="Y972" s="19" t="str">
        <f>IF(OR(W972&lt;'Cleaning Tasks'!$G$18,W972&gt;'Cleaning Tasks'!$H$18),"Outlier","Normal")</f>
        <v>Normal</v>
      </c>
      <c r="Z972" s="2" t="s">
        <v>66</v>
      </c>
      <c r="AA972" s="2" t="s">
        <v>111</v>
      </c>
      <c r="AB972" s="2" t="s">
        <v>50</v>
      </c>
      <c r="AC972" s="2" t="s">
        <v>105</v>
      </c>
      <c r="AD972" s="2"/>
      <c r="AE972" s="2" t="str">
        <f t="shared" si="213"/>
        <v>Not Required</v>
      </c>
      <c r="AF972" s="2" t="s">
        <v>2906</v>
      </c>
    </row>
    <row r="973" spans="1:32" x14ac:dyDescent="0.3">
      <c r="A973" s="2" t="s">
        <v>2907</v>
      </c>
      <c r="B973" s="2">
        <f t="shared" si="203"/>
        <v>1</v>
      </c>
      <c r="C973" s="12">
        <f t="shared" si="202"/>
        <v>46238.584946967603</v>
      </c>
      <c r="D973" s="13">
        <v>46238.584946967603</v>
      </c>
      <c r="E973" s="2" t="s">
        <v>677</v>
      </c>
      <c r="F973" s="2" t="str">
        <f t="shared" si="204"/>
        <v>Email Available</v>
      </c>
      <c r="G973" s="2" t="s">
        <v>478</v>
      </c>
      <c r="H973" s="2" t="s">
        <v>124</v>
      </c>
      <c r="I973" s="2" t="s">
        <v>79</v>
      </c>
      <c r="J973" s="2" t="s">
        <v>125</v>
      </c>
      <c r="K973" s="2">
        <v>1</v>
      </c>
      <c r="L973" s="2">
        <v>13.99</v>
      </c>
      <c r="M973" s="19">
        <f t="shared" si="205"/>
        <v>13.99</v>
      </c>
      <c r="N973" s="2" t="s">
        <v>203</v>
      </c>
      <c r="O973" s="2" t="str">
        <f t="shared" si="206"/>
        <v>VIP15</v>
      </c>
      <c r="P973" s="2">
        <v>2.1</v>
      </c>
      <c r="Q973" s="19">
        <f t="shared" si="207"/>
        <v>2.1</v>
      </c>
      <c r="R973" s="2" t="str">
        <f t="shared" si="208"/>
        <v>Number</v>
      </c>
      <c r="S973" s="2">
        <v>4.99</v>
      </c>
      <c r="T973" s="19">
        <f t="shared" si="209"/>
        <v>4.99</v>
      </c>
      <c r="U973" s="2">
        <v>16.88</v>
      </c>
      <c r="V973" s="19">
        <f t="shared" si="210"/>
        <v>16.88</v>
      </c>
      <c r="W973" s="19">
        <f t="shared" si="211"/>
        <v>16.880000000000003</v>
      </c>
      <c r="X973" s="19" t="str">
        <f t="shared" si="212"/>
        <v>True</v>
      </c>
      <c r="Y973" s="19" t="str">
        <f>IF(OR(W973&lt;'Cleaning Tasks'!$G$18,W973&gt;'Cleaning Tasks'!$H$18),"Outlier","Normal")</f>
        <v>Normal</v>
      </c>
      <c r="Z973" s="2" t="s">
        <v>26</v>
      </c>
      <c r="AA973" s="2" t="s">
        <v>27</v>
      </c>
      <c r="AB973" s="2" t="s">
        <v>50</v>
      </c>
      <c r="AC973" s="2" t="s">
        <v>29</v>
      </c>
      <c r="AD973" s="2" t="s">
        <v>112</v>
      </c>
      <c r="AE973" s="2" t="str">
        <f t="shared" si="213"/>
        <v>Valid</v>
      </c>
      <c r="AF973" s="2" t="s">
        <v>2908</v>
      </c>
    </row>
    <row r="974" spans="1:32" x14ac:dyDescent="0.3">
      <c r="A974" s="2" t="s">
        <v>2909</v>
      </c>
      <c r="B974" s="2">
        <f t="shared" si="203"/>
        <v>1</v>
      </c>
      <c r="C974" s="12">
        <f t="shared" si="202"/>
        <v>46238.580323368064</v>
      </c>
      <c r="D974" s="13">
        <v>46238.580323368064</v>
      </c>
      <c r="E974" s="2" t="s">
        <v>2467</v>
      </c>
      <c r="F974" s="2" t="str">
        <f t="shared" si="204"/>
        <v>Email Available</v>
      </c>
      <c r="G974" s="2" t="s">
        <v>84</v>
      </c>
      <c r="H974" s="2" t="s">
        <v>109</v>
      </c>
      <c r="I974" s="2" t="s">
        <v>79</v>
      </c>
      <c r="J974" s="2" t="s">
        <v>110</v>
      </c>
      <c r="K974" s="2">
        <v>3</v>
      </c>
      <c r="L974" s="2">
        <v>22.99</v>
      </c>
      <c r="M974" s="19">
        <f t="shared" si="205"/>
        <v>22.99</v>
      </c>
      <c r="N974" s="2" t="s">
        <v>38</v>
      </c>
      <c r="O974" s="2" t="str">
        <f t="shared" si="206"/>
        <v>FREESHIP</v>
      </c>
      <c r="P974" s="2">
        <v>0</v>
      </c>
      <c r="Q974" s="19">
        <f t="shared" si="207"/>
        <v>0</v>
      </c>
      <c r="R974" s="2" t="str">
        <f t="shared" si="208"/>
        <v>Number</v>
      </c>
      <c r="S974" s="2">
        <v>0</v>
      </c>
      <c r="T974" s="19">
        <f t="shared" si="209"/>
        <v>0</v>
      </c>
      <c r="U974" s="2">
        <v>68.97</v>
      </c>
      <c r="V974" s="19">
        <f t="shared" si="210"/>
        <v>68.97</v>
      </c>
      <c r="W974" s="19">
        <f t="shared" si="211"/>
        <v>68.97</v>
      </c>
      <c r="X974" s="19" t="str">
        <f t="shared" si="212"/>
        <v>True</v>
      </c>
      <c r="Y974" s="19" t="str">
        <f>IF(OR(W974&lt;'Cleaning Tasks'!$G$18,W974&gt;'Cleaning Tasks'!$H$18),"Outlier","Normal")</f>
        <v>Normal</v>
      </c>
      <c r="Z974" s="2" t="s">
        <v>72</v>
      </c>
      <c r="AA974" s="2" t="s">
        <v>27</v>
      </c>
      <c r="AB974" s="2" t="s">
        <v>50</v>
      </c>
      <c r="AC974" s="2" t="s">
        <v>29</v>
      </c>
      <c r="AD974" s="22" t="s">
        <v>243</v>
      </c>
      <c r="AE974" s="2" t="str">
        <f t="shared" si="213"/>
        <v>Valid</v>
      </c>
      <c r="AF974" s="2" t="s">
        <v>2910</v>
      </c>
    </row>
    <row r="975" spans="1:32" x14ac:dyDescent="0.3">
      <c r="A975" s="2" t="s">
        <v>2911</v>
      </c>
      <c r="B975" s="2">
        <f t="shared" si="203"/>
        <v>1</v>
      </c>
      <c r="C975" s="12">
        <f t="shared" si="202"/>
        <v>46238.579758645843</v>
      </c>
      <c r="D975" s="13">
        <v>46238.579758645843</v>
      </c>
      <c r="E975" s="2" t="s">
        <v>2912</v>
      </c>
      <c r="F975" s="2" t="str">
        <f t="shared" si="204"/>
        <v>Email Available</v>
      </c>
      <c r="G975" s="2" t="s">
        <v>2913</v>
      </c>
      <c r="H975" s="2" t="s">
        <v>63</v>
      </c>
      <c r="I975" s="2" t="s">
        <v>47</v>
      </c>
      <c r="J975" s="2" t="s">
        <v>64</v>
      </c>
      <c r="K975" s="2">
        <v>1</v>
      </c>
      <c r="L975" s="2">
        <v>14.99</v>
      </c>
      <c r="M975" s="19">
        <f t="shared" si="205"/>
        <v>14.99</v>
      </c>
      <c r="N975" s="2" t="s">
        <v>65</v>
      </c>
      <c r="O975" s="2" t="str">
        <f t="shared" si="206"/>
        <v>WELCOME10</v>
      </c>
      <c r="P975" s="2">
        <v>1.5</v>
      </c>
      <c r="Q975" s="19">
        <f t="shared" si="207"/>
        <v>1.5</v>
      </c>
      <c r="R975" s="2" t="str">
        <f t="shared" si="208"/>
        <v>Number</v>
      </c>
      <c r="S975" s="2">
        <v>5.99</v>
      </c>
      <c r="T975" s="19">
        <f t="shared" si="209"/>
        <v>5.99</v>
      </c>
      <c r="U975" s="2">
        <v>19.48</v>
      </c>
      <c r="V975" s="19">
        <f t="shared" si="210"/>
        <v>19.48</v>
      </c>
      <c r="W975" s="19">
        <f t="shared" si="211"/>
        <v>19.48</v>
      </c>
      <c r="X975" s="19" t="str">
        <f t="shared" si="212"/>
        <v>True</v>
      </c>
      <c r="Y975" s="19" t="str">
        <f>IF(OR(W975&lt;'Cleaning Tasks'!$G$18,W975&gt;'Cleaning Tasks'!$H$18),"Outlier","Normal")</f>
        <v>Normal</v>
      </c>
      <c r="Z975" s="2" t="s">
        <v>39</v>
      </c>
      <c r="AA975" s="2" t="s">
        <v>27</v>
      </c>
      <c r="AB975" s="2" t="s">
        <v>50</v>
      </c>
      <c r="AC975" s="2" t="s">
        <v>331</v>
      </c>
      <c r="AD975" s="2"/>
      <c r="AE975" s="2" t="str">
        <f t="shared" si="213"/>
        <v>Not Required</v>
      </c>
      <c r="AF975" s="2" t="s">
        <v>2914</v>
      </c>
    </row>
    <row r="976" spans="1:32" x14ac:dyDescent="0.3">
      <c r="A976" s="2" t="s">
        <v>2915</v>
      </c>
      <c r="B976" s="2">
        <f t="shared" si="203"/>
        <v>1</v>
      </c>
      <c r="C976" s="12">
        <f t="shared" si="202"/>
        <v>46238.583783217589</v>
      </c>
      <c r="D976" s="13">
        <v>46238.583783217589</v>
      </c>
      <c r="E976" s="2" t="s">
        <v>554</v>
      </c>
      <c r="F976" s="2" t="str">
        <f t="shared" si="204"/>
        <v>Email Available</v>
      </c>
      <c r="G976" s="2" t="s">
        <v>45</v>
      </c>
      <c r="H976" s="2" t="s">
        <v>190</v>
      </c>
      <c r="I976" s="2" t="s">
        <v>191</v>
      </c>
      <c r="J976" s="2" t="s">
        <v>192</v>
      </c>
      <c r="K976" s="2">
        <v>1</v>
      </c>
      <c r="L976" s="2">
        <v>13.49</v>
      </c>
      <c r="M976" s="19">
        <f t="shared" si="205"/>
        <v>13.49</v>
      </c>
      <c r="N976" s="2" t="s">
        <v>118</v>
      </c>
      <c r="O976" s="2" t="str">
        <f t="shared" si="206"/>
        <v>BFCM25</v>
      </c>
      <c r="P976" s="2">
        <v>3.37</v>
      </c>
      <c r="Q976" s="19">
        <f t="shared" si="207"/>
        <v>3.37</v>
      </c>
      <c r="R976" s="2" t="str">
        <f t="shared" si="208"/>
        <v>Number</v>
      </c>
      <c r="S976" s="2">
        <v>7.99</v>
      </c>
      <c r="T976" s="19">
        <f t="shared" si="209"/>
        <v>7.99</v>
      </c>
      <c r="U976" s="2">
        <v>18.11</v>
      </c>
      <c r="V976" s="19">
        <f t="shared" si="210"/>
        <v>18.11</v>
      </c>
      <c r="W976" s="19">
        <f t="shared" si="211"/>
        <v>18.11</v>
      </c>
      <c r="X976" s="19" t="str">
        <f t="shared" si="212"/>
        <v>True</v>
      </c>
      <c r="Y976" s="19" t="str">
        <f>IF(OR(W976&lt;'Cleaning Tasks'!$G$18,W976&gt;'Cleaning Tasks'!$H$18),"Outlier","Normal")</f>
        <v>Normal</v>
      </c>
      <c r="Z976" s="2" t="s">
        <v>66</v>
      </c>
      <c r="AA976" s="2" t="s">
        <v>27</v>
      </c>
      <c r="AB976" s="2" t="s">
        <v>41</v>
      </c>
      <c r="AC976" s="2" t="s">
        <v>29</v>
      </c>
      <c r="AD976" s="2" t="s">
        <v>447</v>
      </c>
      <c r="AE976" s="2" t="str">
        <f t="shared" si="213"/>
        <v>Valid</v>
      </c>
      <c r="AF976" s="2" t="s">
        <v>2916</v>
      </c>
    </row>
    <row r="977" spans="1:32" x14ac:dyDescent="0.3">
      <c r="A977" s="2" t="s">
        <v>2917</v>
      </c>
      <c r="B977" s="2">
        <f t="shared" si="203"/>
        <v>1</v>
      </c>
      <c r="C977" s="12">
        <f>DATE(VALUE(RIGHT(D977,4)),MATCH(LEFT(D977,3),{"Jan","Feb","Mar","Apr","May","Jun","Jul","Aug","Sep","Oct","Nov","Dec"},0),VALUE(MID(D977,5,2)))</f>
        <v>46238</v>
      </c>
      <c r="D977" s="13" t="s">
        <v>171</v>
      </c>
      <c r="E977" s="2" t="s">
        <v>2918</v>
      </c>
      <c r="F977" s="2" t="str">
        <f t="shared" si="204"/>
        <v>Email Available</v>
      </c>
      <c r="G977" s="2" t="s">
        <v>2919</v>
      </c>
      <c r="H977" s="2" t="s">
        <v>361</v>
      </c>
      <c r="I977" s="2" t="s">
        <v>86</v>
      </c>
      <c r="J977" s="2" t="s">
        <v>362</v>
      </c>
      <c r="K977" s="2">
        <v>3</v>
      </c>
      <c r="L977" s="2">
        <v>54.99</v>
      </c>
      <c r="M977" s="19">
        <f t="shared" si="205"/>
        <v>54.99</v>
      </c>
      <c r="N977" s="2"/>
      <c r="O977" s="2" t="str">
        <f t="shared" si="206"/>
        <v/>
      </c>
      <c r="P977" s="2">
        <v>0</v>
      </c>
      <c r="Q977" s="19">
        <f t="shared" si="207"/>
        <v>0</v>
      </c>
      <c r="R977" s="2" t="str">
        <f t="shared" si="208"/>
        <v>Number</v>
      </c>
      <c r="S977" s="2">
        <v>0</v>
      </c>
      <c r="T977" s="19">
        <f t="shared" si="209"/>
        <v>0</v>
      </c>
      <c r="U977" s="2">
        <v>164.97</v>
      </c>
      <c r="V977" s="19">
        <f t="shared" si="210"/>
        <v>164.97</v>
      </c>
      <c r="W977" s="19">
        <f t="shared" si="211"/>
        <v>164.97</v>
      </c>
      <c r="X977" s="19" t="str">
        <f t="shared" si="212"/>
        <v>True</v>
      </c>
      <c r="Y977" s="19" t="str">
        <f>IF(OR(W977&lt;'Cleaning Tasks'!$G$18,W977&gt;'Cleaning Tasks'!$H$18),"Outlier","Normal")</f>
        <v>Outlier</v>
      </c>
      <c r="Z977" s="2" t="s">
        <v>26</v>
      </c>
      <c r="AA977" s="2" t="s">
        <v>27</v>
      </c>
      <c r="AB977" s="2" t="s">
        <v>50</v>
      </c>
      <c r="AC977" s="2" t="s">
        <v>331</v>
      </c>
      <c r="AD977" s="2"/>
      <c r="AE977" s="2" t="str">
        <f t="shared" si="213"/>
        <v>Not Required</v>
      </c>
      <c r="AF977" s="2" t="s">
        <v>2920</v>
      </c>
    </row>
    <row r="978" spans="1:32" x14ac:dyDescent="0.3">
      <c r="A978" s="2" t="s">
        <v>2921</v>
      </c>
      <c r="B978" s="2">
        <f t="shared" si="203"/>
        <v>1</v>
      </c>
      <c r="C978" s="12">
        <f t="shared" ref="C978:C1009" si="214">IF(ISNUMBER(D978),D978,DATEVALUE(SUBSTITUTE(TRIM(D978),CHAR(160)," ")))</f>
        <v>46238.581684675934</v>
      </c>
      <c r="D978" s="13">
        <v>46238.581684675934</v>
      </c>
      <c r="E978" s="2" t="s">
        <v>2922</v>
      </c>
      <c r="F978" s="2" t="str">
        <f t="shared" si="204"/>
        <v>Email Available</v>
      </c>
      <c r="G978" s="2" t="s">
        <v>2923</v>
      </c>
      <c r="H978" s="2" t="s">
        <v>267</v>
      </c>
      <c r="I978" s="2" t="s">
        <v>22</v>
      </c>
      <c r="J978" s="2" t="s">
        <v>268</v>
      </c>
      <c r="K978" s="2">
        <v>2</v>
      </c>
      <c r="L978" s="2">
        <v>18.989999999999998</v>
      </c>
      <c r="M978" s="19">
        <f t="shared" si="205"/>
        <v>18.989999999999998</v>
      </c>
      <c r="N978" s="2" t="s">
        <v>24</v>
      </c>
      <c r="O978" s="2" t="str">
        <f t="shared" si="206"/>
        <v>SAVE20</v>
      </c>
      <c r="P978" s="2" t="s">
        <v>2924</v>
      </c>
      <c r="Q978" s="19">
        <f t="shared" si="207"/>
        <v>7.6</v>
      </c>
      <c r="R978" s="2" t="str">
        <f t="shared" si="208"/>
        <v>Number</v>
      </c>
      <c r="S978" s="2">
        <v>4.99</v>
      </c>
      <c r="T978" s="19">
        <f t="shared" si="209"/>
        <v>4.99</v>
      </c>
      <c r="U978" s="2">
        <v>35.369999999999997</v>
      </c>
      <c r="V978" s="19">
        <f t="shared" si="210"/>
        <v>35.369999999999997</v>
      </c>
      <c r="W978" s="19">
        <f t="shared" si="211"/>
        <v>35.369999999999997</v>
      </c>
      <c r="X978" s="19" t="str">
        <f t="shared" si="212"/>
        <v>True</v>
      </c>
      <c r="Y978" s="19" t="str">
        <f>IF(OR(W978&lt;'Cleaning Tasks'!$G$18,W978&gt;'Cleaning Tasks'!$H$18),"Outlier","Normal")</f>
        <v>Normal</v>
      </c>
      <c r="Z978" s="2" t="s">
        <v>66</v>
      </c>
      <c r="AA978" s="2" t="s">
        <v>27</v>
      </c>
      <c r="AB978" s="2" t="s">
        <v>50</v>
      </c>
      <c r="AC978" s="2" t="s">
        <v>42</v>
      </c>
      <c r="AD978" s="2"/>
      <c r="AE978" s="2" t="str">
        <f t="shared" si="213"/>
        <v>Not Required</v>
      </c>
      <c r="AF978" s="2" t="s">
        <v>2925</v>
      </c>
    </row>
    <row r="979" spans="1:32" x14ac:dyDescent="0.3">
      <c r="A979" s="2" t="s">
        <v>2926</v>
      </c>
      <c r="B979" s="2">
        <f t="shared" si="203"/>
        <v>1</v>
      </c>
      <c r="C979" s="12">
        <f t="shared" si="214"/>
        <v>46238.580320763889</v>
      </c>
      <c r="D979" s="13">
        <v>46238.580320763889</v>
      </c>
      <c r="E979" s="2" t="s">
        <v>1019</v>
      </c>
      <c r="F979" s="2" t="str">
        <f t="shared" si="204"/>
        <v>Email Available</v>
      </c>
      <c r="G979" s="2" t="s">
        <v>1020</v>
      </c>
      <c r="H979" s="2" t="s">
        <v>221</v>
      </c>
      <c r="I979" s="2" t="s">
        <v>22</v>
      </c>
      <c r="J979" s="2" t="s">
        <v>222</v>
      </c>
      <c r="K979" s="2">
        <v>2</v>
      </c>
      <c r="L979" s="2">
        <v>17.989999999999998</v>
      </c>
      <c r="M979" s="19">
        <f t="shared" si="205"/>
        <v>17.989999999999998</v>
      </c>
      <c r="N979" s="2" t="s">
        <v>24</v>
      </c>
      <c r="O979" s="2" t="str">
        <f t="shared" si="206"/>
        <v>SAVE20</v>
      </c>
      <c r="P979" s="2">
        <v>7.2</v>
      </c>
      <c r="Q979" s="19">
        <f t="shared" si="207"/>
        <v>7.2</v>
      </c>
      <c r="R979" s="2" t="str">
        <f t="shared" si="208"/>
        <v>Number</v>
      </c>
      <c r="S979" s="2">
        <v>4.99</v>
      </c>
      <c r="T979" s="19">
        <f t="shared" si="209"/>
        <v>4.99</v>
      </c>
      <c r="U979" s="2">
        <v>33.770000000000003</v>
      </c>
      <c r="V979" s="19">
        <f t="shared" si="210"/>
        <v>33.770000000000003</v>
      </c>
      <c r="W979" s="19">
        <f t="shared" si="211"/>
        <v>33.769999999999996</v>
      </c>
      <c r="X979" s="19" t="str">
        <f t="shared" si="212"/>
        <v>True</v>
      </c>
      <c r="Y979" s="19" t="str">
        <f>IF(OR(W979&lt;'Cleaning Tasks'!$G$18,W979&gt;'Cleaning Tasks'!$H$18),"Outlier","Normal")</f>
        <v>Normal</v>
      </c>
      <c r="Z979" s="2" t="s">
        <v>72</v>
      </c>
      <c r="AA979" s="2" t="s">
        <v>27</v>
      </c>
      <c r="AB979" s="2" t="s">
        <v>28</v>
      </c>
      <c r="AC979" s="2" t="s">
        <v>29</v>
      </c>
      <c r="AD979" s="22" t="s">
        <v>243</v>
      </c>
      <c r="AE979" s="2" t="str">
        <f t="shared" si="213"/>
        <v>Valid</v>
      </c>
      <c r="AF979" s="2" t="s">
        <v>1725</v>
      </c>
    </row>
    <row r="980" spans="1:32" x14ac:dyDescent="0.3">
      <c r="A980" s="2" t="s">
        <v>2927</v>
      </c>
      <c r="B980" s="2">
        <f t="shared" si="203"/>
        <v>1</v>
      </c>
      <c r="C980" s="12">
        <f t="shared" si="214"/>
        <v>46238.585100856479</v>
      </c>
      <c r="D980" s="13">
        <v>46238.585100856479</v>
      </c>
      <c r="E980" s="2" t="s">
        <v>1287</v>
      </c>
      <c r="F980" s="2" t="str">
        <f t="shared" si="204"/>
        <v>Email Available</v>
      </c>
      <c r="G980" s="2" t="s">
        <v>1288</v>
      </c>
      <c r="H980" s="2" t="s">
        <v>190</v>
      </c>
      <c r="I980" s="2" t="s">
        <v>191</v>
      </c>
      <c r="J980" s="2" t="s">
        <v>192</v>
      </c>
      <c r="K980" s="2">
        <v>1</v>
      </c>
      <c r="L980" s="2">
        <v>13.49</v>
      </c>
      <c r="M980" s="19">
        <f t="shared" si="205"/>
        <v>13.49</v>
      </c>
      <c r="N980" s="2" t="s">
        <v>24</v>
      </c>
      <c r="O980" s="2" t="str">
        <f t="shared" si="206"/>
        <v>SAVE20</v>
      </c>
      <c r="P980" s="2">
        <v>2.7</v>
      </c>
      <c r="Q980" s="19">
        <f t="shared" si="207"/>
        <v>2.7</v>
      </c>
      <c r="R980" s="2" t="str">
        <f t="shared" si="208"/>
        <v>Number</v>
      </c>
      <c r="S980" s="2">
        <v>5.99</v>
      </c>
      <c r="T980" s="19">
        <f t="shared" si="209"/>
        <v>5.99</v>
      </c>
      <c r="U980" s="2" t="s">
        <v>2928</v>
      </c>
      <c r="V980" s="19">
        <f t="shared" si="210"/>
        <v>16.78</v>
      </c>
      <c r="W980" s="19">
        <f t="shared" si="211"/>
        <v>16.78</v>
      </c>
      <c r="X980" s="19" t="str">
        <f t="shared" si="212"/>
        <v>True</v>
      </c>
      <c r="Y980" s="19" t="str">
        <f>IF(OR(W980&lt;'Cleaning Tasks'!$G$18,W980&gt;'Cleaning Tasks'!$H$18),"Outlier","Normal")</f>
        <v>Normal</v>
      </c>
      <c r="Z980" s="2" t="s">
        <v>49</v>
      </c>
      <c r="AA980" s="2" t="s">
        <v>40</v>
      </c>
      <c r="AB980" s="2" t="s">
        <v>50</v>
      </c>
      <c r="AC980" s="2" t="s">
        <v>73</v>
      </c>
      <c r="AD980" s="2"/>
      <c r="AE980" s="2" t="str">
        <f t="shared" si="213"/>
        <v>Not Required</v>
      </c>
      <c r="AF980" s="2" t="s">
        <v>2929</v>
      </c>
    </row>
    <row r="981" spans="1:32" x14ac:dyDescent="0.3">
      <c r="A981" s="2" t="s">
        <v>2930</v>
      </c>
      <c r="B981" s="2">
        <f t="shared" si="203"/>
        <v>1</v>
      </c>
      <c r="C981" s="12">
        <f t="shared" si="214"/>
        <v>46238.580472268521</v>
      </c>
      <c r="D981" s="13">
        <v>46238.580472268521</v>
      </c>
      <c r="E981" s="2" t="s">
        <v>1500</v>
      </c>
      <c r="F981" s="2" t="str">
        <f t="shared" si="204"/>
        <v>Email Available</v>
      </c>
      <c r="G981" s="2" t="s">
        <v>1501</v>
      </c>
      <c r="H981" s="2" t="s">
        <v>56</v>
      </c>
      <c r="I981" s="2" t="s">
        <v>22</v>
      </c>
      <c r="J981" s="2" t="s">
        <v>57</v>
      </c>
      <c r="K981" s="2">
        <v>1</v>
      </c>
      <c r="L981" s="2">
        <v>9.99</v>
      </c>
      <c r="M981" s="19">
        <f t="shared" si="205"/>
        <v>9.99</v>
      </c>
      <c r="N981" s="2"/>
      <c r="O981" s="2" t="str">
        <f t="shared" si="206"/>
        <v/>
      </c>
      <c r="P981" s="2">
        <v>0</v>
      </c>
      <c r="Q981" s="19">
        <f t="shared" si="207"/>
        <v>0</v>
      </c>
      <c r="R981" s="2" t="str">
        <f t="shared" si="208"/>
        <v>Number</v>
      </c>
      <c r="S981" s="2">
        <v>5.99</v>
      </c>
      <c r="T981" s="19">
        <f t="shared" si="209"/>
        <v>5.99</v>
      </c>
      <c r="U981" s="2">
        <v>15.98</v>
      </c>
      <c r="V981" s="19">
        <f t="shared" si="210"/>
        <v>15.98</v>
      </c>
      <c r="W981" s="19">
        <f t="shared" si="211"/>
        <v>15.98</v>
      </c>
      <c r="X981" s="19" t="str">
        <f t="shared" si="212"/>
        <v>True</v>
      </c>
      <c r="Y981" s="19" t="str">
        <f>IF(OR(W981&lt;'Cleaning Tasks'!$G$18,W981&gt;'Cleaning Tasks'!$H$18),"Outlier","Normal")</f>
        <v>Normal</v>
      </c>
      <c r="Z981" s="2" t="s">
        <v>72</v>
      </c>
      <c r="AA981" s="2" t="s">
        <v>40</v>
      </c>
      <c r="AB981" s="2" t="s">
        <v>50</v>
      </c>
      <c r="AC981" s="2" t="s">
        <v>29</v>
      </c>
      <c r="AD981" s="2" t="s">
        <v>243</v>
      </c>
      <c r="AE981" s="2" t="str">
        <f t="shared" si="213"/>
        <v>Valid</v>
      </c>
      <c r="AF981" s="2" t="s">
        <v>2931</v>
      </c>
    </row>
    <row r="982" spans="1:32" x14ac:dyDescent="0.3">
      <c r="A982" s="2" t="s">
        <v>2932</v>
      </c>
      <c r="B982" s="2">
        <f t="shared" si="203"/>
        <v>1</v>
      </c>
      <c r="C982" s="12">
        <f t="shared" si="214"/>
        <v>46238.586642696762</v>
      </c>
      <c r="D982" s="13">
        <v>46238.586642696762</v>
      </c>
      <c r="E982" s="2" t="s">
        <v>413</v>
      </c>
      <c r="F982" s="2" t="str">
        <f t="shared" si="204"/>
        <v>Email Available</v>
      </c>
      <c r="G982" s="2" t="s">
        <v>414</v>
      </c>
      <c r="H982" s="2" t="s">
        <v>221</v>
      </c>
      <c r="I982" s="2" t="s">
        <v>22</v>
      </c>
      <c r="J982" s="2" t="s">
        <v>222</v>
      </c>
      <c r="K982" s="2">
        <v>1</v>
      </c>
      <c r="L982" s="2">
        <v>17.989999999999998</v>
      </c>
      <c r="M982" s="19">
        <f t="shared" si="205"/>
        <v>17.989999999999998</v>
      </c>
      <c r="N982" s="2" t="s">
        <v>2933</v>
      </c>
      <c r="O982" s="2" t="str">
        <f t="shared" si="206"/>
        <v>SAVE20</v>
      </c>
      <c r="P982" s="2">
        <v>3.6</v>
      </c>
      <c r="Q982" s="19">
        <f t="shared" si="207"/>
        <v>3.6</v>
      </c>
      <c r="R982" s="2" t="str">
        <f t="shared" si="208"/>
        <v>Number</v>
      </c>
      <c r="S982" s="2">
        <v>5.99</v>
      </c>
      <c r="T982" s="19">
        <f t="shared" si="209"/>
        <v>5.99</v>
      </c>
      <c r="U982" s="2">
        <v>20.38</v>
      </c>
      <c r="V982" s="19">
        <f t="shared" si="210"/>
        <v>20.38</v>
      </c>
      <c r="W982" s="19">
        <f t="shared" si="211"/>
        <v>20.38</v>
      </c>
      <c r="X982" s="19" t="str">
        <f t="shared" si="212"/>
        <v>True</v>
      </c>
      <c r="Y982" s="19" t="str">
        <f>IF(OR(W982&lt;'Cleaning Tasks'!$G$18,W982&gt;'Cleaning Tasks'!$H$18),"Outlier","Normal")</f>
        <v>Normal</v>
      </c>
      <c r="Z982" s="2" t="s">
        <v>39</v>
      </c>
      <c r="AA982" s="2" t="s">
        <v>27</v>
      </c>
      <c r="AB982" s="2" t="s">
        <v>41</v>
      </c>
      <c r="AC982" s="2" t="s">
        <v>331</v>
      </c>
      <c r="AD982" s="2"/>
      <c r="AE982" s="2" t="str">
        <f t="shared" si="213"/>
        <v>Not Required</v>
      </c>
      <c r="AF982" s="2" t="s">
        <v>2934</v>
      </c>
    </row>
    <row r="983" spans="1:32" x14ac:dyDescent="0.3">
      <c r="A983" s="2" t="s">
        <v>2935</v>
      </c>
      <c r="B983" s="2">
        <f t="shared" si="203"/>
        <v>1</v>
      </c>
      <c r="C983" s="12">
        <f t="shared" si="214"/>
        <v>46238.582053472222</v>
      </c>
      <c r="D983" s="13">
        <v>46238.582053472222</v>
      </c>
      <c r="E983" s="2" t="s">
        <v>195</v>
      </c>
      <c r="F983" s="2" t="str">
        <f t="shared" si="204"/>
        <v>Email Available</v>
      </c>
      <c r="G983" s="2" t="s">
        <v>196</v>
      </c>
      <c r="H983" s="2" t="s">
        <v>309</v>
      </c>
      <c r="I983" s="2" t="s">
        <v>36</v>
      </c>
      <c r="J983" s="2" t="s">
        <v>310</v>
      </c>
      <c r="K983" s="2">
        <v>1</v>
      </c>
      <c r="L983" s="2">
        <v>8.99</v>
      </c>
      <c r="M983" s="19">
        <f t="shared" si="205"/>
        <v>8.99</v>
      </c>
      <c r="N983" s="2" t="s">
        <v>38</v>
      </c>
      <c r="O983" s="2" t="str">
        <f t="shared" si="206"/>
        <v>FREESHIP</v>
      </c>
      <c r="P983" s="2">
        <v>0</v>
      </c>
      <c r="Q983" s="19">
        <f t="shared" si="207"/>
        <v>0</v>
      </c>
      <c r="R983" s="2" t="str">
        <f t="shared" si="208"/>
        <v>Number</v>
      </c>
      <c r="S983" s="2">
        <v>0</v>
      </c>
      <c r="T983" s="19">
        <f t="shared" si="209"/>
        <v>0</v>
      </c>
      <c r="U983" s="2">
        <v>8.99</v>
      </c>
      <c r="V983" s="19">
        <f t="shared" si="210"/>
        <v>8.99</v>
      </c>
      <c r="W983" s="19">
        <f t="shared" si="211"/>
        <v>8.99</v>
      </c>
      <c r="X983" s="19" t="str">
        <f t="shared" si="212"/>
        <v>True</v>
      </c>
      <c r="Y983" s="19" t="str">
        <f>IF(OR(W983&lt;'Cleaning Tasks'!$G$18,W983&gt;'Cleaning Tasks'!$H$18),"Outlier","Normal")</f>
        <v>Normal</v>
      </c>
      <c r="Z983" s="2" t="s">
        <v>26</v>
      </c>
      <c r="AA983" s="2" t="s">
        <v>88</v>
      </c>
      <c r="AB983" s="2" t="s">
        <v>50</v>
      </c>
      <c r="AC983" s="2" t="s">
        <v>29</v>
      </c>
      <c r="AD983" s="2" t="s">
        <v>51</v>
      </c>
      <c r="AE983" s="2" t="str">
        <f t="shared" si="213"/>
        <v>Valid</v>
      </c>
      <c r="AF983" s="2" t="s">
        <v>2936</v>
      </c>
    </row>
    <row r="984" spans="1:32" x14ac:dyDescent="0.3">
      <c r="A984" s="2" t="s">
        <v>2937</v>
      </c>
      <c r="B984" s="2">
        <f t="shared" si="203"/>
        <v>1</v>
      </c>
      <c r="C984" s="12">
        <f t="shared" si="214"/>
        <v>46238.586377962973</v>
      </c>
      <c r="D984" s="13">
        <v>46238.586377962973</v>
      </c>
      <c r="E984" s="2" t="s">
        <v>516</v>
      </c>
      <c r="F984" s="2" t="str">
        <f t="shared" si="204"/>
        <v>Missing Email</v>
      </c>
      <c r="G984" s="2"/>
      <c r="H984" s="2" t="s">
        <v>201</v>
      </c>
      <c r="I984" s="2" t="s">
        <v>191</v>
      </c>
      <c r="J984" s="2" t="s">
        <v>202</v>
      </c>
      <c r="K984" s="2">
        <v>1</v>
      </c>
      <c r="L984" s="2">
        <v>24.99</v>
      </c>
      <c r="M984" s="19">
        <f t="shared" si="205"/>
        <v>24.99</v>
      </c>
      <c r="N984" s="2" t="s">
        <v>118</v>
      </c>
      <c r="O984" s="2" t="str">
        <f t="shared" si="206"/>
        <v>BFCM25</v>
      </c>
      <c r="P984" s="2">
        <v>6.25</v>
      </c>
      <c r="Q984" s="19">
        <f t="shared" si="207"/>
        <v>6.25</v>
      </c>
      <c r="R984" s="2" t="str">
        <f t="shared" si="208"/>
        <v>Number</v>
      </c>
      <c r="S984" s="2">
        <v>5.99</v>
      </c>
      <c r="T984" s="19">
        <f t="shared" si="209"/>
        <v>5.99</v>
      </c>
      <c r="U984" s="2">
        <v>24.73</v>
      </c>
      <c r="V984" s="19">
        <f t="shared" si="210"/>
        <v>24.73</v>
      </c>
      <c r="W984" s="19">
        <f t="shared" si="211"/>
        <v>24.729999999999997</v>
      </c>
      <c r="X984" s="19" t="str">
        <f t="shared" si="212"/>
        <v>True</v>
      </c>
      <c r="Y984" s="19" t="str">
        <f>IF(OR(W984&lt;'Cleaning Tasks'!$G$18,W984&gt;'Cleaning Tasks'!$H$18),"Outlier","Normal")</f>
        <v>Normal</v>
      </c>
      <c r="Z984" s="2" t="s">
        <v>39</v>
      </c>
      <c r="AA984" s="2" t="s">
        <v>27</v>
      </c>
      <c r="AB984" s="2" t="s">
        <v>50</v>
      </c>
      <c r="AC984" s="2" t="s">
        <v>29</v>
      </c>
      <c r="AD984" s="2" t="s">
        <v>112</v>
      </c>
      <c r="AE984" s="2" t="str">
        <f t="shared" si="213"/>
        <v>Valid</v>
      </c>
      <c r="AF984" s="2" t="s">
        <v>2938</v>
      </c>
    </row>
    <row r="985" spans="1:32" x14ac:dyDescent="0.3">
      <c r="A985" s="2" t="s">
        <v>2939</v>
      </c>
      <c r="B985" s="2">
        <f t="shared" si="203"/>
        <v>1</v>
      </c>
      <c r="C985" s="12">
        <f t="shared" si="214"/>
        <v>46238.582257928239</v>
      </c>
      <c r="D985" s="13">
        <v>46238.582257928239</v>
      </c>
      <c r="E985" s="2" t="s">
        <v>993</v>
      </c>
      <c r="F985" s="2" t="str">
        <f t="shared" si="204"/>
        <v>Email Available</v>
      </c>
      <c r="G985" s="2" t="s">
        <v>994</v>
      </c>
      <c r="H985" s="2" t="s">
        <v>146</v>
      </c>
      <c r="I985" s="2" t="s">
        <v>47</v>
      </c>
      <c r="J985" s="2" t="s">
        <v>147</v>
      </c>
      <c r="K985" s="2">
        <v>4</v>
      </c>
      <c r="L985" s="2">
        <v>34.99</v>
      </c>
      <c r="M985" s="19">
        <f t="shared" si="205"/>
        <v>34.99</v>
      </c>
      <c r="N985" s="2" t="s">
        <v>24</v>
      </c>
      <c r="O985" s="2" t="str">
        <f t="shared" si="206"/>
        <v>SAVE20</v>
      </c>
      <c r="P985" s="2">
        <v>27.99</v>
      </c>
      <c r="Q985" s="19">
        <f t="shared" si="207"/>
        <v>27.99</v>
      </c>
      <c r="R985" s="2" t="str">
        <f t="shared" si="208"/>
        <v>Number</v>
      </c>
      <c r="S985" s="2">
        <v>0</v>
      </c>
      <c r="T985" s="19">
        <f t="shared" si="209"/>
        <v>0</v>
      </c>
      <c r="U985" s="2">
        <v>111.97</v>
      </c>
      <c r="V985" s="19">
        <f t="shared" si="210"/>
        <v>111.97</v>
      </c>
      <c r="W985" s="19">
        <f t="shared" si="211"/>
        <v>111.97000000000001</v>
      </c>
      <c r="X985" s="19" t="str">
        <f t="shared" si="212"/>
        <v>True</v>
      </c>
      <c r="Y985" s="19" t="str">
        <f>IF(OR(W985&lt;'Cleaning Tasks'!$G$18,W985&gt;'Cleaning Tasks'!$H$18),"Outlier","Normal")</f>
        <v>Outlier</v>
      </c>
      <c r="Z985" s="2" t="s">
        <v>39</v>
      </c>
      <c r="AA985" s="2" t="s">
        <v>88</v>
      </c>
      <c r="AB985" s="2" t="s">
        <v>50</v>
      </c>
      <c r="AC985" s="2" t="s">
        <v>42</v>
      </c>
      <c r="AD985" s="2"/>
      <c r="AE985" s="2" t="str">
        <f t="shared" si="213"/>
        <v>Not Required</v>
      </c>
      <c r="AF985" s="2" t="s">
        <v>2940</v>
      </c>
    </row>
    <row r="986" spans="1:32" x14ac:dyDescent="0.3">
      <c r="A986" s="2" t="s">
        <v>2941</v>
      </c>
      <c r="B986" s="2">
        <f t="shared" si="203"/>
        <v>1</v>
      </c>
      <c r="C986" s="12">
        <f t="shared" si="214"/>
        <v>46238.588448182869</v>
      </c>
      <c r="D986" s="13">
        <v>46238.588448182869</v>
      </c>
      <c r="E986" s="2" t="s">
        <v>2035</v>
      </c>
      <c r="F986" s="2" t="str">
        <f t="shared" si="204"/>
        <v>Email Available</v>
      </c>
      <c r="G986" s="2" t="s">
        <v>2154</v>
      </c>
      <c r="H986" s="2" t="s">
        <v>124</v>
      </c>
      <c r="I986" s="2" t="s">
        <v>79</v>
      </c>
      <c r="J986" s="2" t="s">
        <v>125</v>
      </c>
      <c r="K986" s="2">
        <v>1</v>
      </c>
      <c r="L986" s="2">
        <v>13.99</v>
      </c>
      <c r="M986" s="19">
        <f t="shared" si="205"/>
        <v>13.99</v>
      </c>
      <c r="N986" s="2"/>
      <c r="O986" s="2" t="str">
        <f t="shared" si="206"/>
        <v/>
      </c>
      <c r="P986" s="2">
        <v>0</v>
      </c>
      <c r="Q986" s="19">
        <f t="shared" si="207"/>
        <v>0</v>
      </c>
      <c r="R986" s="2" t="str">
        <f t="shared" si="208"/>
        <v>Number</v>
      </c>
      <c r="S986" s="2">
        <v>7.99</v>
      </c>
      <c r="T986" s="19">
        <f t="shared" si="209"/>
        <v>7.99</v>
      </c>
      <c r="U986" s="2">
        <v>21.98</v>
      </c>
      <c r="V986" s="19">
        <f t="shared" si="210"/>
        <v>21.98</v>
      </c>
      <c r="W986" s="19">
        <f t="shared" si="211"/>
        <v>21.98</v>
      </c>
      <c r="X986" s="19" t="str">
        <f t="shared" si="212"/>
        <v>True</v>
      </c>
      <c r="Y986" s="19" t="str">
        <f>IF(OR(W986&lt;'Cleaning Tasks'!$G$18,W986&gt;'Cleaning Tasks'!$H$18),"Outlier","Normal")</f>
        <v>Normal</v>
      </c>
      <c r="Z986" s="2" t="s">
        <v>39</v>
      </c>
      <c r="AA986" s="2" t="s">
        <v>27</v>
      </c>
      <c r="AB986" s="2" t="s">
        <v>50</v>
      </c>
      <c r="AC986" s="2" t="s">
        <v>29</v>
      </c>
      <c r="AD986" s="2" t="s">
        <v>30</v>
      </c>
      <c r="AE986" s="2" t="str">
        <f t="shared" si="213"/>
        <v>Valid</v>
      </c>
      <c r="AF986" s="2" t="s">
        <v>2942</v>
      </c>
    </row>
    <row r="987" spans="1:32" x14ac:dyDescent="0.3">
      <c r="A987" s="2" t="s">
        <v>2943</v>
      </c>
      <c r="B987" s="2">
        <f t="shared" si="203"/>
        <v>1</v>
      </c>
      <c r="C987" s="12">
        <f t="shared" si="214"/>
        <v>46238</v>
      </c>
      <c r="D987" s="13">
        <v>46238</v>
      </c>
      <c r="E987" s="2" t="s">
        <v>2236</v>
      </c>
      <c r="F987" s="2" t="str">
        <f t="shared" si="204"/>
        <v>Email Available</v>
      </c>
      <c r="G987" s="2" t="s">
        <v>2237</v>
      </c>
      <c r="H987" s="2" t="s">
        <v>190</v>
      </c>
      <c r="I987" s="2" t="s">
        <v>191</v>
      </c>
      <c r="J987" s="2" t="s">
        <v>192</v>
      </c>
      <c r="K987" s="2">
        <v>1</v>
      </c>
      <c r="L987" s="2">
        <v>13.49</v>
      </c>
      <c r="M987" s="19">
        <f t="shared" si="205"/>
        <v>13.49</v>
      </c>
      <c r="N987" s="2" t="s">
        <v>65</v>
      </c>
      <c r="O987" s="2" t="str">
        <f t="shared" si="206"/>
        <v>WELCOME10</v>
      </c>
      <c r="P987" s="2">
        <v>1.35</v>
      </c>
      <c r="Q987" s="19">
        <f t="shared" si="207"/>
        <v>1.35</v>
      </c>
      <c r="R987" s="2" t="str">
        <f t="shared" si="208"/>
        <v>Number</v>
      </c>
      <c r="S987" s="2">
        <v>7.99</v>
      </c>
      <c r="T987" s="19">
        <f t="shared" si="209"/>
        <v>7.99</v>
      </c>
      <c r="U987" s="2">
        <v>20.13</v>
      </c>
      <c r="V987" s="19">
        <f t="shared" si="210"/>
        <v>20.13</v>
      </c>
      <c r="W987" s="19">
        <f t="shared" si="211"/>
        <v>20.130000000000003</v>
      </c>
      <c r="X987" s="19" t="str">
        <f t="shared" si="212"/>
        <v>True</v>
      </c>
      <c r="Y987" s="19" t="str">
        <f>IF(OR(W987&lt;'Cleaning Tasks'!$G$18,W987&gt;'Cleaning Tasks'!$H$18),"Outlier","Normal")</f>
        <v>Normal</v>
      </c>
      <c r="Z987" s="2" t="s">
        <v>49</v>
      </c>
      <c r="AA987" s="2" t="s">
        <v>111</v>
      </c>
      <c r="AB987" s="2" t="s">
        <v>50</v>
      </c>
      <c r="AC987" s="2" t="s">
        <v>73</v>
      </c>
      <c r="AD987" s="2"/>
      <c r="AE987" s="2" t="str">
        <f t="shared" si="213"/>
        <v>Not Required</v>
      </c>
      <c r="AF987" s="2" t="s">
        <v>2944</v>
      </c>
    </row>
    <row r="988" spans="1:32" x14ac:dyDescent="0.3">
      <c r="A988" s="2" t="s">
        <v>2945</v>
      </c>
      <c r="B988" s="2">
        <f t="shared" si="203"/>
        <v>1</v>
      </c>
      <c r="C988" s="12">
        <f t="shared" si="214"/>
        <v>46238.584408402778</v>
      </c>
      <c r="D988" s="13">
        <v>46238.584408402778</v>
      </c>
      <c r="E988" s="2" t="s">
        <v>1283</v>
      </c>
      <c r="F988" s="2" t="str">
        <f t="shared" si="204"/>
        <v>Email Available</v>
      </c>
      <c r="G988" s="2" t="s">
        <v>1284</v>
      </c>
      <c r="H988" s="2" t="s">
        <v>152</v>
      </c>
      <c r="I988" s="2" t="s">
        <v>36</v>
      </c>
      <c r="J988" s="2" t="s">
        <v>153</v>
      </c>
      <c r="K988" s="2">
        <v>1</v>
      </c>
      <c r="L988" s="2">
        <v>29.99</v>
      </c>
      <c r="M988" s="19">
        <f t="shared" si="205"/>
        <v>29.99</v>
      </c>
      <c r="N988" s="2" t="s">
        <v>65</v>
      </c>
      <c r="O988" s="2" t="str">
        <f t="shared" si="206"/>
        <v>WELCOME10</v>
      </c>
      <c r="P988" s="2">
        <v>3</v>
      </c>
      <c r="Q988" s="19">
        <f t="shared" si="207"/>
        <v>3</v>
      </c>
      <c r="R988" s="2" t="str">
        <f t="shared" si="208"/>
        <v>Number</v>
      </c>
      <c r="S988" s="2">
        <v>7.99</v>
      </c>
      <c r="T988" s="19">
        <f t="shared" si="209"/>
        <v>7.99</v>
      </c>
      <c r="U988" s="2">
        <v>34.979999999999997</v>
      </c>
      <c r="V988" s="19">
        <f t="shared" si="210"/>
        <v>34.979999999999997</v>
      </c>
      <c r="W988" s="19">
        <f t="shared" si="211"/>
        <v>34.979999999999997</v>
      </c>
      <c r="X988" s="19" t="str">
        <f t="shared" si="212"/>
        <v>True</v>
      </c>
      <c r="Y988" s="19" t="str">
        <f>IF(OR(W988&lt;'Cleaning Tasks'!$G$18,W988&gt;'Cleaning Tasks'!$H$18),"Outlier","Normal")</f>
        <v>Normal</v>
      </c>
      <c r="Z988" s="2" t="s">
        <v>39</v>
      </c>
      <c r="AA988" s="2" t="s">
        <v>27</v>
      </c>
      <c r="AB988" s="2" t="s">
        <v>50</v>
      </c>
      <c r="AC988" s="2" t="s">
        <v>42</v>
      </c>
      <c r="AD988" s="2"/>
      <c r="AE988" s="2" t="str">
        <f t="shared" si="213"/>
        <v>Not Required</v>
      </c>
      <c r="AF988" s="2" t="s">
        <v>2946</v>
      </c>
    </row>
    <row r="989" spans="1:32" x14ac:dyDescent="0.3">
      <c r="A989" s="2" t="s">
        <v>2947</v>
      </c>
      <c r="B989" s="2">
        <f t="shared" si="203"/>
        <v>1</v>
      </c>
      <c r="C989" s="12">
        <f t="shared" si="214"/>
        <v>46238.58172021991</v>
      </c>
      <c r="D989" s="13">
        <v>46238.58172021991</v>
      </c>
      <c r="E989" s="2" t="s">
        <v>2272</v>
      </c>
      <c r="F989" s="2" t="str">
        <f t="shared" si="204"/>
        <v>Email Available</v>
      </c>
      <c r="G989" s="2" t="s">
        <v>2273</v>
      </c>
      <c r="H989" s="2" t="s">
        <v>46</v>
      </c>
      <c r="I989" s="2" t="s">
        <v>47</v>
      </c>
      <c r="J989" s="2" t="s">
        <v>48</v>
      </c>
      <c r="K989" s="2">
        <v>1</v>
      </c>
      <c r="L989" s="2">
        <v>39.99</v>
      </c>
      <c r="M989" s="19">
        <f t="shared" si="205"/>
        <v>39.99</v>
      </c>
      <c r="N989" s="2"/>
      <c r="O989" s="2" t="str">
        <f t="shared" si="206"/>
        <v/>
      </c>
      <c r="P989" s="2">
        <v>0</v>
      </c>
      <c r="Q989" s="19">
        <f t="shared" si="207"/>
        <v>0</v>
      </c>
      <c r="R989" s="2" t="str">
        <f t="shared" si="208"/>
        <v>Number</v>
      </c>
      <c r="S989" s="2">
        <v>7.99</v>
      </c>
      <c r="T989" s="19">
        <f t="shared" si="209"/>
        <v>7.99</v>
      </c>
      <c r="U989" s="2">
        <v>47.98</v>
      </c>
      <c r="V989" s="19">
        <f t="shared" si="210"/>
        <v>47.98</v>
      </c>
      <c r="W989" s="19">
        <f t="shared" si="211"/>
        <v>47.980000000000004</v>
      </c>
      <c r="X989" s="19" t="str">
        <f t="shared" si="212"/>
        <v>True</v>
      </c>
      <c r="Y989" s="19" t="str">
        <f>IF(OR(W989&lt;'Cleaning Tasks'!$G$18,W989&gt;'Cleaning Tasks'!$H$18),"Outlier","Normal")</f>
        <v>Normal</v>
      </c>
      <c r="Z989" s="2" t="s">
        <v>49</v>
      </c>
      <c r="AA989" s="2" t="s">
        <v>88</v>
      </c>
      <c r="AB989" s="2" t="s">
        <v>50</v>
      </c>
      <c r="AC989" s="2" t="s">
        <v>29</v>
      </c>
      <c r="AD989" s="2" t="s">
        <v>140</v>
      </c>
      <c r="AE989" s="2" t="str">
        <f t="shared" si="213"/>
        <v>Valid</v>
      </c>
      <c r="AF989" s="2" t="s">
        <v>2948</v>
      </c>
    </row>
    <row r="990" spans="1:32" x14ac:dyDescent="0.3">
      <c r="A990" s="2" t="s">
        <v>2949</v>
      </c>
      <c r="B990" s="2">
        <f t="shared" si="203"/>
        <v>1</v>
      </c>
      <c r="C990" s="12">
        <f t="shared" si="214"/>
        <v>46238.579020196761</v>
      </c>
      <c r="D990" s="13">
        <v>46238.579020196761</v>
      </c>
      <c r="E990" s="2" t="s">
        <v>339</v>
      </c>
      <c r="F990" s="2" t="str">
        <f t="shared" si="204"/>
        <v>Email Available</v>
      </c>
      <c r="G990" s="2" t="s">
        <v>445</v>
      </c>
      <c r="H990" s="2" t="s">
        <v>279</v>
      </c>
      <c r="I990" s="2" t="s">
        <v>22</v>
      </c>
      <c r="J990" s="2" t="s">
        <v>280</v>
      </c>
      <c r="K990" s="2">
        <v>2</v>
      </c>
      <c r="L990" s="2">
        <v>24.99</v>
      </c>
      <c r="M990" s="19">
        <f t="shared" si="205"/>
        <v>24.99</v>
      </c>
      <c r="N990" s="2" t="s">
        <v>38</v>
      </c>
      <c r="O990" s="2" t="str">
        <f t="shared" si="206"/>
        <v>FREESHIP</v>
      </c>
      <c r="P990" s="2">
        <v>0</v>
      </c>
      <c r="Q990" s="19">
        <f t="shared" si="207"/>
        <v>0</v>
      </c>
      <c r="R990" s="2" t="str">
        <f t="shared" si="208"/>
        <v>Number</v>
      </c>
      <c r="S990" s="2">
        <v>0</v>
      </c>
      <c r="T990" s="19">
        <f t="shared" si="209"/>
        <v>0</v>
      </c>
      <c r="U990" s="2" t="s">
        <v>2950</v>
      </c>
      <c r="V990" s="19">
        <f t="shared" si="210"/>
        <v>49.98</v>
      </c>
      <c r="W990" s="19">
        <f t="shared" si="211"/>
        <v>49.98</v>
      </c>
      <c r="X990" s="19" t="str">
        <f t="shared" si="212"/>
        <v>True</v>
      </c>
      <c r="Y990" s="19" t="str">
        <f>IF(OR(W990&lt;'Cleaning Tasks'!$G$18,W990&gt;'Cleaning Tasks'!$H$18),"Outlier","Normal")</f>
        <v>Normal</v>
      </c>
      <c r="Z990" s="2" t="s">
        <v>26</v>
      </c>
      <c r="AA990" s="2" t="s">
        <v>40</v>
      </c>
      <c r="AB990" s="2" t="s">
        <v>50</v>
      </c>
      <c r="AC990" s="2" t="s">
        <v>29</v>
      </c>
      <c r="AD990" s="2" t="s">
        <v>58</v>
      </c>
      <c r="AE990" s="2" t="str">
        <f t="shared" si="213"/>
        <v>Valid</v>
      </c>
      <c r="AF990" s="2" t="s">
        <v>2951</v>
      </c>
    </row>
    <row r="991" spans="1:32" x14ac:dyDescent="0.3">
      <c r="A991" s="2" t="s">
        <v>2952</v>
      </c>
      <c r="B991" s="2">
        <f t="shared" si="203"/>
        <v>1</v>
      </c>
      <c r="C991" s="12">
        <f t="shared" si="214"/>
        <v>46238.582601516202</v>
      </c>
      <c r="D991" s="13">
        <v>46238.582601516202</v>
      </c>
      <c r="E991" s="2" t="s">
        <v>377</v>
      </c>
      <c r="F991" s="2" t="str">
        <f t="shared" si="204"/>
        <v>Email Available</v>
      </c>
      <c r="G991" s="2" t="s">
        <v>378</v>
      </c>
      <c r="H991" s="2" t="s">
        <v>182</v>
      </c>
      <c r="I991" s="2" t="s">
        <v>36</v>
      </c>
      <c r="J991" s="2" t="s">
        <v>183</v>
      </c>
      <c r="K991" s="2">
        <v>1</v>
      </c>
      <c r="L991" s="2" t="s">
        <v>402</v>
      </c>
      <c r="M991" s="19">
        <f t="shared" si="205"/>
        <v>11.99</v>
      </c>
      <c r="N991" s="2"/>
      <c r="O991" s="2" t="str">
        <f t="shared" si="206"/>
        <v/>
      </c>
      <c r="P991" s="2">
        <v>0</v>
      </c>
      <c r="Q991" s="19">
        <f t="shared" si="207"/>
        <v>0</v>
      </c>
      <c r="R991" s="2" t="str">
        <f t="shared" si="208"/>
        <v>Number</v>
      </c>
      <c r="S991" s="2">
        <v>7.99</v>
      </c>
      <c r="T991" s="19">
        <f t="shared" si="209"/>
        <v>7.99</v>
      </c>
      <c r="U991" s="2">
        <v>19.98</v>
      </c>
      <c r="V991" s="19">
        <f t="shared" si="210"/>
        <v>19.98</v>
      </c>
      <c r="W991" s="19">
        <f t="shared" si="211"/>
        <v>19.98</v>
      </c>
      <c r="X991" s="19" t="str">
        <f t="shared" si="212"/>
        <v>True</v>
      </c>
      <c r="Y991" s="19" t="str">
        <f>IF(OR(W991&lt;'Cleaning Tasks'!$G$18,W991&gt;'Cleaning Tasks'!$H$18),"Outlier","Normal")</f>
        <v>Normal</v>
      </c>
      <c r="Z991" s="2" t="s">
        <v>66</v>
      </c>
      <c r="AA991" s="2" t="s">
        <v>27</v>
      </c>
      <c r="AB991" s="2" t="s">
        <v>96</v>
      </c>
      <c r="AC991" s="2" t="s">
        <v>73</v>
      </c>
      <c r="AD991" s="2"/>
      <c r="AE991" s="2" t="str">
        <f t="shared" si="213"/>
        <v>Not Required</v>
      </c>
      <c r="AF991" s="2" t="s">
        <v>2953</v>
      </c>
    </row>
    <row r="992" spans="1:32" x14ac:dyDescent="0.3">
      <c r="A992" s="2" t="s">
        <v>2954</v>
      </c>
      <c r="B992" s="2">
        <f t="shared" si="203"/>
        <v>1</v>
      </c>
      <c r="C992" s="12">
        <f t="shared" si="214"/>
        <v>46238</v>
      </c>
      <c r="D992" s="13" t="s">
        <v>250</v>
      </c>
      <c r="E992" s="2" t="s">
        <v>2955</v>
      </c>
      <c r="F992" s="2" t="str">
        <f t="shared" si="204"/>
        <v>Email Available</v>
      </c>
      <c r="G992" s="2" t="s">
        <v>2956</v>
      </c>
      <c r="H992" s="2" t="s">
        <v>63</v>
      </c>
      <c r="I992" s="2" t="s">
        <v>47</v>
      </c>
      <c r="J992" s="2" t="s">
        <v>446</v>
      </c>
      <c r="K992" s="2">
        <v>1</v>
      </c>
      <c r="L992" s="2">
        <v>14.99</v>
      </c>
      <c r="M992" s="19">
        <f t="shared" si="205"/>
        <v>14.99</v>
      </c>
      <c r="N992" s="2" t="s">
        <v>203</v>
      </c>
      <c r="O992" s="2" t="str">
        <f t="shared" si="206"/>
        <v>VIP15</v>
      </c>
      <c r="P992" s="2" t="s">
        <v>2287</v>
      </c>
      <c r="Q992" s="19">
        <f t="shared" si="207"/>
        <v>2.25</v>
      </c>
      <c r="R992" s="2" t="str">
        <f t="shared" si="208"/>
        <v>Number</v>
      </c>
      <c r="S992" s="2">
        <v>4.99</v>
      </c>
      <c r="T992" s="19">
        <f t="shared" si="209"/>
        <v>4.99</v>
      </c>
      <c r="U992" s="2">
        <v>17.73</v>
      </c>
      <c r="V992" s="19">
        <f t="shared" si="210"/>
        <v>17.73</v>
      </c>
      <c r="W992" s="19">
        <f t="shared" si="211"/>
        <v>17.73</v>
      </c>
      <c r="X992" s="19" t="str">
        <f t="shared" si="212"/>
        <v>True</v>
      </c>
      <c r="Y992" s="19" t="str">
        <f>IF(OR(W992&lt;'Cleaning Tasks'!$G$18,W992&gt;'Cleaning Tasks'!$H$18),"Outlier","Normal")</f>
        <v>Normal</v>
      </c>
      <c r="Z992" s="2" t="s">
        <v>66</v>
      </c>
      <c r="AA992" s="2" t="s">
        <v>111</v>
      </c>
      <c r="AB992" s="2" t="s">
        <v>41</v>
      </c>
      <c r="AC992" s="2" t="s">
        <v>29</v>
      </c>
      <c r="AD992" s="2" t="s">
        <v>140</v>
      </c>
      <c r="AE992" s="2" t="str">
        <f t="shared" si="213"/>
        <v>Valid</v>
      </c>
      <c r="AF992" s="2" t="s">
        <v>2957</v>
      </c>
    </row>
    <row r="993" spans="1:32" x14ac:dyDescent="0.3">
      <c r="A993" s="2" t="s">
        <v>2958</v>
      </c>
      <c r="B993" s="2">
        <f t="shared" si="203"/>
        <v>1</v>
      </c>
      <c r="C993" s="12">
        <f t="shared" si="214"/>
        <v>46238</v>
      </c>
      <c r="D993" s="13" t="s">
        <v>143</v>
      </c>
      <c r="E993" s="2" t="s">
        <v>2959</v>
      </c>
      <c r="F993" s="2" t="str">
        <f t="shared" si="204"/>
        <v>Email Available</v>
      </c>
      <c r="G993" s="2" t="s">
        <v>2960</v>
      </c>
      <c r="H993" s="2" t="s">
        <v>182</v>
      </c>
      <c r="I993" s="2" t="s">
        <v>36</v>
      </c>
      <c r="J993" s="2" t="s">
        <v>183</v>
      </c>
      <c r="K993" s="2">
        <v>2</v>
      </c>
      <c r="L993" s="2">
        <v>11.99</v>
      </c>
      <c r="M993" s="19">
        <f t="shared" si="205"/>
        <v>11.99</v>
      </c>
      <c r="N993" s="2" t="s">
        <v>65</v>
      </c>
      <c r="O993" s="2" t="str">
        <f t="shared" si="206"/>
        <v>WELCOME10</v>
      </c>
      <c r="P993" s="2">
        <v>2.4</v>
      </c>
      <c r="Q993" s="19">
        <f t="shared" si="207"/>
        <v>2.4</v>
      </c>
      <c r="R993" s="2" t="str">
        <f t="shared" si="208"/>
        <v>Number</v>
      </c>
      <c r="S993" s="2">
        <v>5.99</v>
      </c>
      <c r="T993" s="19">
        <f t="shared" si="209"/>
        <v>5.99</v>
      </c>
      <c r="U993" s="2">
        <v>27.57</v>
      </c>
      <c r="V993" s="19">
        <f t="shared" si="210"/>
        <v>27.57</v>
      </c>
      <c r="W993" s="19">
        <f t="shared" si="211"/>
        <v>27.57</v>
      </c>
      <c r="X993" s="19" t="str">
        <f t="shared" si="212"/>
        <v>True</v>
      </c>
      <c r="Y993" s="19" t="str">
        <f>IF(OR(W993&lt;'Cleaning Tasks'!$G$18,W993&gt;'Cleaning Tasks'!$H$18),"Outlier","Normal")</f>
        <v>Normal</v>
      </c>
      <c r="Z993" s="2" t="s">
        <v>39</v>
      </c>
      <c r="AA993" s="2" t="s">
        <v>27</v>
      </c>
      <c r="AB993" s="2" t="s">
        <v>50</v>
      </c>
      <c r="AC993" s="2" t="s">
        <v>29</v>
      </c>
      <c r="AD993" s="2" t="s">
        <v>51</v>
      </c>
      <c r="AE993" s="2" t="str">
        <f t="shared" si="213"/>
        <v>Valid</v>
      </c>
      <c r="AF993" s="2" t="s">
        <v>2961</v>
      </c>
    </row>
    <row r="994" spans="1:32" x14ac:dyDescent="0.3">
      <c r="A994" s="2" t="s">
        <v>2962</v>
      </c>
      <c r="B994" s="2">
        <f t="shared" si="203"/>
        <v>1</v>
      </c>
      <c r="C994" s="12">
        <f t="shared" si="214"/>
        <v>46238</v>
      </c>
      <c r="D994" s="13" t="s">
        <v>338</v>
      </c>
      <c r="E994" s="2" t="s">
        <v>1177</v>
      </c>
      <c r="F994" s="2" t="str">
        <f t="shared" si="204"/>
        <v>Email Available</v>
      </c>
      <c r="G994" s="2" t="s">
        <v>1178</v>
      </c>
      <c r="H994" s="2" t="s">
        <v>109</v>
      </c>
      <c r="I994" s="2" t="s">
        <v>79</v>
      </c>
      <c r="J994" s="2" t="s">
        <v>110</v>
      </c>
      <c r="K994" s="2">
        <v>3</v>
      </c>
      <c r="L994" s="2">
        <v>22.99</v>
      </c>
      <c r="M994" s="19">
        <f t="shared" si="205"/>
        <v>22.99</v>
      </c>
      <c r="N994" s="2" t="s">
        <v>118</v>
      </c>
      <c r="O994" s="2" t="str">
        <f t="shared" si="206"/>
        <v>BFCM25</v>
      </c>
      <c r="P994" s="2">
        <v>17.239999999999998</v>
      </c>
      <c r="Q994" s="19">
        <f t="shared" si="207"/>
        <v>17.239999999999998</v>
      </c>
      <c r="R994" s="2" t="str">
        <f t="shared" si="208"/>
        <v>Number</v>
      </c>
      <c r="S994" s="2">
        <v>4.99</v>
      </c>
      <c r="T994" s="19">
        <f t="shared" si="209"/>
        <v>4.99</v>
      </c>
      <c r="U994" s="2">
        <v>56.72</v>
      </c>
      <c r="V994" s="19">
        <f t="shared" si="210"/>
        <v>56.72</v>
      </c>
      <c r="W994" s="19">
        <f t="shared" si="211"/>
        <v>56.720000000000006</v>
      </c>
      <c r="X994" s="19" t="str">
        <f t="shared" si="212"/>
        <v>True</v>
      </c>
      <c r="Y994" s="19" t="str">
        <f>IF(OR(W994&lt;'Cleaning Tasks'!$G$18,W994&gt;'Cleaning Tasks'!$H$18),"Outlier","Normal")</f>
        <v>Normal</v>
      </c>
      <c r="Z994" s="2" t="s">
        <v>39</v>
      </c>
      <c r="AA994" s="2" t="s">
        <v>27</v>
      </c>
      <c r="AB994" s="2" t="s">
        <v>50</v>
      </c>
      <c r="AC994" s="2" t="s">
        <v>29</v>
      </c>
      <c r="AD994" s="22" t="s">
        <v>30</v>
      </c>
      <c r="AE994" s="2" t="str">
        <f t="shared" si="213"/>
        <v>Valid</v>
      </c>
      <c r="AF994" s="2" t="s">
        <v>2963</v>
      </c>
    </row>
    <row r="995" spans="1:32" x14ac:dyDescent="0.3">
      <c r="A995" s="2" t="s">
        <v>2964</v>
      </c>
      <c r="B995" s="2">
        <f t="shared" si="203"/>
        <v>1</v>
      </c>
      <c r="C995" s="12">
        <f t="shared" si="214"/>
        <v>46238.584735486111</v>
      </c>
      <c r="D995" s="13">
        <v>46238.584735486111</v>
      </c>
      <c r="E995" s="2" t="s">
        <v>2965</v>
      </c>
      <c r="F995" s="2" t="str">
        <f t="shared" si="204"/>
        <v>Email Available</v>
      </c>
      <c r="G995" s="2" t="s">
        <v>2237</v>
      </c>
      <c r="H995" s="2" t="s">
        <v>117</v>
      </c>
      <c r="I995" s="2" t="s">
        <v>22</v>
      </c>
      <c r="J995" s="2" t="s">
        <v>23</v>
      </c>
      <c r="K995" s="2">
        <v>2</v>
      </c>
      <c r="L995" s="2">
        <v>12.99</v>
      </c>
      <c r="M995" s="19">
        <f t="shared" si="205"/>
        <v>12.99</v>
      </c>
      <c r="N995" s="2"/>
      <c r="O995" s="2" t="str">
        <f t="shared" si="206"/>
        <v/>
      </c>
      <c r="P995" s="2">
        <v>0</v>
      </c>
      <c r="Q995" s="19">
        <f t="shared" si="207"/>
        <v>0</v>
      </c>
      <c r="R995" s="2" t="str">
        <f t="shared" si="208"/>
        <v>Number</v>
      </c>
      <c r="S995" s="2">
        <v>5.99</v>
      </c>
      <c r="T995" s="19">
        <f t="shared" si="209"/>
        <v>5.99</v>
      </c>
      <c r="U995" s="2">
        <v>31.97</v>
      </c>
      <c r="V995" s="19">
        <f t="shared" si="210"/>
        <v>31.97</v>
      </c>
      <c r="W995" s="19">
        <f t="shared" si="211"/>
        <v>31.97</v>
      </c>
      <c r="X995" s="19" t="str">
        <f t="shared" si="212"/>
        <v>True</v>
      </c>
      <c r="Y995" s="19" t="str">
        <f>IF(OR(W995&lt;'Cleaning Tasks'!$G$18,W995&gt;'Cleaning Tasks'!$H$18),"Outlier","Normal")</f>
        <v>Normal</v>
      </c>
      <c r="Z995" s="2" t="s">
        <v>49</v>
      </c>
      <c r="AA995" s="2" t="s">
        <v>27</v>
      </c>
      <c r="AB995" s="2" t="s">
        <v>41</v>
      </c>
      <c r="AC995" s="2" t="s">
        <v>73</v>
      </c>
      <c r="AD995" s="2"/>
      <c r="AE995" s="2" t="str">
        <f t="shared" si="213"/>
        <v>Not Required</v>
      </c>
      <c r="AF995" s="2" t="s">
        <v>2800</v>
      </c>
    </row>
    <row r="996" spans="1:32" x14ac:dyDescent="0.3">
      <c r="A996" s="2" t="s">
        <v>2966</v>
      </c>
      <c r="B996" s="2">
        <f t="shared" si="203"/>
        <v>1</v>
      </c>
      <c r="C996" s="12">
        <f t="shared" si="214"/>
        <v>46238.586066736112</v>
      </c>
      <c r="D996" s="13">
        <v>46238.586066736112</v>
      </c>
      <c r="E996" s="2" t="s">
        <v>353</v>
      </c>
      <c r="F996" s="2" t="str">
        <f t="shared" si="204"/>
        <v>Email Available</v>
      </c>
      <c r="G996" s="2" t="s">
        <v>354</v>
      </c>
      <c r="H996" s="2" t="s">
        <v>182</v>
      </c>
      <c r="I996" s="2" t="s">
        <v>36</v>
      </c>
      <c r="J996" s="2" t="s">
        <v>183</v>
      </c>
      <c r="K996" s="2">
        <v>2</v>
      </c>
      <c r="L996" s="2">
        <v>11.99</v>
      </c>
      <c r="M996" s="19">
        <f t="shared" si="205"/>
        <v>11.99</v>
      </c>
      <c r="N996" s="2" t="s">
        <v>65</v>
      </c>
      <c r="O996" s="2" t="str">
        <f t="shared" si="206"/>
        <v>WELCOME10</v>
      </c>
      <c r="P996" s="2">
        <v>2.4</v>
      </c>
      <c r="Q996" s="19">
        <f t="shared" si="207"/>
        <v>2.4</v>
      </c>
      <c r="R996" s="2" t="str">
        <f t="shared" si="208"/>
        <v>Number</v>
      </c>
      <c r="S996" s="2">
        <v>5.99</v>
      </c>
      <c r="T996" s="19">
        <f t="shared" si="209"/>
        <v>5.99</v>
      </c>
      <c r="U996" s="2">
        <v>27.57</v>
      </c>
      <c r="V996" s="19">
        <f t="shared" si="210"/>
        <v>27.57</v>
      </c>
      <c r="W996" s="19">
        <f t="shared" si="211"/>
        <v>27.57</v>
      </c>
      <c r="X996" s="19" t="str">
        <f t="shared" si="212"/>
        <v>True</v>
      </c>
      <c r="Y996" s="19" t="str">
        <f>IF(OR(W996&lt;'Cleaning Tasks'!$G$18,W996&gt;'Cleaning Tasks'!$H$18),"Outlier","Normal")</f>
        <v>Normal</v>
      </c>
      <c r="Z996" s="2" t="s">
        <v>49</v>
      </c>
      <c r="AA996" s="2" t="s">
        <v>88</v>
      </c>
      <c r="AB996" s="2" t="s">
        <v>50</v>
      </c>
      <c r="AC996" s="2" t="s">
        <v>223</v>
      </c>
      <c r="AD996" s="2"/>
      <c r="AE996" s="2" t="str">
        <f t="shared" si="213"/>
        <v>Not Required</v>
      </c>
      <c r="AF996" s="2" t="s">
        <v>2967</v>
      </c>
    </row>
    <row r="997" spans="1:32" x14ac:dyDescent="0.3">
      <c r="A997" s="2" t="s">
        <v>2968</v>
      </c>
      <c r="B997" s="2">
        <f t="shared" si="203"/>
        <v>1</v>
      </c>
      <c r="C997" s="12">
        <f t="shared" si="214"/>
        <v>46238.580351504628</v>
      </c>
      <c r="D997" s="13">
        <v>46238.580351504628</v>
      </c>
      <c r="E997" s="2" t="s">
        <v>1320</v>
      </c>
      <c r="F997" s="2" t="str">
        <f t="shared" si="204"/>
        <v>Email Available</v>
      </c>
      <c r="G997" s="2" t="s">
        <v>1321</v>
      </c>
      <c r="H997" s="2" t="s">
        <v>267</v>
      </c>
      <c r="I997" s="2" t="s">
        <v>22</v>
      </c>
      <c r="J997" s="2" t="s">
        <v>268</v>
      </c>
      <c r="K997" s="2">
        <v>2</v>
      </c>
      <c r="L997" s="2">
        <v>18.989999999999998</v>
      </c>
      <c r="M997" s="19">
        <f t="shared" si="205"/>
        <v>18.989999999999998</v>
      </c>
      <c r="N997" s="2"/>
      <c r="O997" s="2" t="str">
        <f t="shared" si="206"/>
        <v/>
      </c>
      <c r="P997" s="2">
        <v>0</v>
      </c>
      <c r="Q997" s="19">
        <f t="shared" si="207"/>
        <v>0</v>
      </c>
      <c r="R997" s="2" t="str">
        <f t="shared" si="208"/>
        <v>Number</v>
      </c>
      <c r="S997" s="2">
        <v>5.99</v>
      </c>
      <c r="T997" s="19">
        <f t="shared" si="209"/>
        <v>5.99</v>
      </c>
      <c r="U997" s="2">
        <v>43.97</v>
      </c>
      <c r="V997" s="19">
        <f t="shared" si="210"/>
        <v>43.97</v>
      </c>
      <c r="W997" s="19">
        <f t="shared" si="211"/>
        <v>43.97</v>
      </c>
      <c r="X997" s="19" t="str">
        <f t="shared" si="212"/>
        <v>True</v>
      </c>
      <c r="Y997" s="19" t="str">
        <f>IF(OR(W997&lt;'Cleaning Tasks'!$G$18,W997&gt;'Cleaning Tasks'!$H$18),"Outlier","Normal")</f>
        <v>Normal</v>
      </c>
      <c r="Z997" s="2" t="s">
        <v>49</v>
      </c>
      <c r="AA997" s="2" t="s">
        <v>27</v>
      </c>
      <c r="AB997" s="2" t="s">
        <v>50</v>
      </c>
      <c r="AC997" s="2" t="s">
        <v>42</v>
      </c>
      <c r="AD997" s="2"/>
      <c r="AE997" s="2" t="str">
        <f t="shared" si="213"/>
        <v>Not Required</v>
      </c>
      <c r="AF997" s="2" t="s">
        <v>2969</v>
      </c>
    </row>
    <row r="998" spans="1:32" x14ac:dyDescent="0.3">
      <c r="A998" s="2" t="s">
        <v>2970</v>
      </c>
      <c r="B998" s="2">
        <f t="shared" si="203"/>
        <v>1</v>
      </c>
      <c r="C998" s="12">
        <f t="shared" si="214"/>
        <v>46238</v>
      </c>
      <c r="D998" s="13" t="s">
        <v>1193</v>
      </c>
      <c r="E998" s="2" t="s">
        <v>2971</v>
      </c>
      <c r="F998" s="2" t="str">
        <f t="shared" si="204"/>
        <v>Email Available</v>
      </c>
      <c r="G998" s="2" t="s">
        <v>1924</v>
      </c>
      <c r="H998" s="2" t="s">
        <v>166</v>
      </c>
      <c r="I998" s="2" t="s">
        <v>103</v>
      </c>
      <c r="J998" s="2" t="s">
        <v>167</v>
      </c>
      <c r="K998" s="2">
        <v>1</v>
      </c>
      <c r="L998" s="2">
        <v>32.99</v>
      </c>
      <c r="M998" s="19">
        <f t="shared" si="205"/>
        <v>32.99</v>
      </c>
      <c r="N998" s="2" t="s">
        <v>24</v>
      </c>
      <c r="O998" s="2" t="str">
        <f t="shared" si="206"/>
        <v>SAVE20</v>
      </c>
      <c r="P998" s="2">
        <v>6.6</v>
      </c>
      <c r="Q998" s="19">
        <f t="shared" si="207"/>
        <v>6.6</v>
      </c>
      <c r="R998" s="2" t="str">
        <f t="shared" si="208"/>
        <v>Number</v>
      </c>
      <c r="S998" s="2">
        <v>7.99</v>
      </c>
      <c r="T998" s="19">
        <f t="shared" si="209"/>
        <v>7.99</v>
      </c>
      <c r="U998" s="2">
        <v>34.380000000000003</v>
      </c>
      <c r="V998" s="19">
        <f t="shared" si="210"/>
        <v>34.380000000000003</v>
      </c>
      <c r="W998" s="19">
        <f t="shared" si="211"/>
        <v>34.380000000000003</v>
      </c>
      <c r="X998" s="19" t="str">
        <f t="shared" si="212"/>
        <v>True</v>
      </c>
      <c r="Y998" s="19" t="str">
        <f>IF(OR(W998&lt;'Cleaning Tasks'!$G$18,W998&gt;'Cleaning Tasks'!$H$18),"Outlier","Normal")</f>
        <v>Normal</v>
      </c>
      <c r="Z998" s="2" t="s">
        <v>72</v>
      </c>
      <c r="AA998" s="2" t="s">
        <v>111</v>
      </c>
      <c r="AB998" s="2" t="s">
        <v>50</v>
      </c>
      <c r="AC998" s="2" t="s">
        <v>29</v>
      </c>
      <c r="AD998" s="2" t="s">
        <v>447</v>
      </c>
      <c r="AE998" s="2" t="str">
        <f t="shared" si="213"/>
        <v>Valid</v>
      </c>
      <c r="AF998" s="2" t="s">
        <v>2972</v>
      </c>
    </row>
    <row r="999" spans="1:32" x14ac:dyDescent="0.3">
      <c r="A999" s="2" t="s">
        <v>2973</v>
      </c>
      <c r="B999" s="2">
        <f t="shared" si="203"/>
        <v>1</v>
      </c>
      <c r="C999" s="12">
        <f t="shared" si="214"/>
        <v>46238.585960578697</v>
      </c>
      <c r="D999" s="13">
        <v>46238.585960578697</v>
      </c>
      <c r="E999" s="2" t="s">
        <v>1084</v>
      </c>
      <c r="F999" s="2" t="str">
        <f t="shared" si="204"/>
        <v>Email Available</v>
      </c>
      <c r="G999" s="2" t="s">
        <v>1085</v>
      </c>
      <c r="H999" s="2" t="s">
        <v>109</v>
      </c>
      <c r="I999" s="2" t="s">
        <v>79</v>
      </c>
      <c r="J999" s="2" t="s">
        <v>110</v>
      </c>
      <c r="K999" s="2">
        <v>1</v>
      </c>
      <c r="L999" s="2">
        <v>22.99</v>
      </c>
      <c r="M999" s="19">
        <f t="shared" si="205"/>
        <v>22.99</v>
      </c>
      <c r="N999" s="2"/>
      <c r="O999" s="2" t="str">
        <f t="shared" si="206"/>
        <v/>
      </c>
      <c r="P999" s="2">
        <v>0</v>
      </c>
      <c r="Q999" s="19">
        <f t="shared" si="207"/>
        <v>0</v>
      </c>
      <c r="R999" s="2" t="str">
        <f t="shared" si="208"/>
        <v>Number</v>
      </c>
      <c r="S999" s="2">
        <v>5.99</v>
      </c>
      <c r="T999" s="19">
        <f t="shared" si="209"/>
        <v>5.99</v>
      </c>
      <c r="U999" s="2">
        <v>28.98</v>
      </c>
      <c r="V999" s="19">
        <f t="shared" si="210"/>
        <v>28.98</v>
      </c>
      <c r="W999" s="19">
        <f t="shared" si="211"/>
        <v>28.979999999999997</v>
      </c>
      <c r="X999" s="19" t="str">
        <f t="shared" si="212"/>
        <v>True</v>
      </c>
      <c r="Y999" s="19" t="str">
        <f>IF(OR(W999&lt;'Cleaning Tasks'!$G$18,W999&gt;'Cleaning Tasks'!$H$18),"Outlier","Normal")</f>
        <v>Normal</v>
      </c>
      <c r="Z999" s="2" t="s">
        <v>49</v>
      </c>
      <c r="AA999" s="2" t="s">
        <v>27</v>
      </c>
      <c r="AB999" s="2" t="s">
        <v>96</v>
      </c>
      <c r="AC999" s="2" t="s">
        <v>29</v>
      </c>
      <c r="AD999" s="22" t="s">
        <v>140</v>
      </c>
      <c r="AE999" s="2" t="str">
        <f t="shared" si="213"/>
        <v>Valid</v>
      </c>
      <c r="AF999" s="2" t="s">
        <v>2974</v>
      </c>
    </row>
    <row r="1000" spans="1:32" x14ac:dyDescent="0.3">
      <c r="A1000" s="2" t="s">
        <v>2975</v>
      </c>
      <c r="B1000" s="2">
        <f t="shared" si="203"/>
        <v>1</v>
      </c>
      <c r="C1000" s="12">
        <f t="shared" si="214"/>
        <v>46238.579964699071</v>
      </c>
      <c r="D1000" s="13">
        <v>46238.579964699071</v>
      </c>
      <c r="E1000" s="2" t="s">
        <v>321</v>
      </c>
      <c r="F1000" s="2" t="str">
        <f t="shared" si="204"/>
        <v>Email Available</v>
      </c>
      <c r="G1000" s="2" t="s">
        <v>322</v>
      </c>
      <c r="H1000" s="2" t="s">
        <v>267</v>
      </c>
      <c r="I1000" s="2" t="s">
        <v>22</v>
      </c>
      <c r="J1000" s="2" t="s">
        <v>268</v>
      </c>
      <c r="K1000" s="2">
        <v>1</v>
      </c>
      <c r="L1000" s="2" t="s">
        <v>631</v>
      </c>
      <c r="M1000" s="19">
        <f t="shared" si="205"/>
        <v>18.989999999999998</v>
      </c>
      <c r="N1000" s="2"/>
      <c r="O1000" s="2" t="str">
        <f t="shared" si="206"/>
        <v/>
      </c>
      <c r="P1000" s="2">
        <v>0</v>
      </c>
      <c r="Q1000" s="19">
        <f t="shared" si="207"/>
        <v>0</v>
      </c>
      <c r="R1000" s="2" t="str">
        <f t="shared" si="208"/>
        <v>Number</v>
      </c>
      <c r="S1000" s="2">
        <v>7.99</v>
      </c>
      <c r="T1000" s="19">
        <f t="shared" si="209"/>
        <v>7.99</v>
      </c>
      <c r="U1000" s="2">
        <v>26.98</v>
      </c>
      <c r="V1000" s="19">
        <f t="shared" si="210"/>
        <v>26.98</v>
      </c>
      <c r="W1000" s="19">
        <f t="shared" si="211"/>
        <v>26.979999999999997</v>
      </c>
      <c r="X1000" s="19" t="str">
        <f t="shared" si="212"/>
        <v>True</v>
      </c>
      <c r="Y1000" s="19" t="str">
        <f>IF(OR(W1000&lt;'Cleaning Tasks'!$G$18,W1000&gt;'Cleaning Tasks'!$H$18),"Outlier","Normal")</f>
        <v>Normal</v>
      </c>
      <c r="Z1000" s="2" t="s">
        <v>39</v>
      </c>
      <c r="AA1000" s="2" t="s">
        <v>27</v>
      </c>
      <c r="AB1000" s="2" t="s">
        <v>50</v>
      </c>
      <c r="AC1000" s="2" t="s">
        <v>223</v>
      </c>
      <c r="AD1000" s="2"/>
      <c r="AE1000" s="2" t="str">
        <f t="shared" si="213"/>
        <v>Not Required</v>
      </c>
      <c r="AF1000" s="2" t="s">
        <v>2976</v>
      </c>
    </row>
    <row r="1001" spans="1:32" x14ac:dyDescent="0.3">
      <c r="A1001" s="2" t="s">
        <v>2977</v>
      </c>
      <c r="B1001" s="2">
        <f t="shared" si="203"/>
        <v>1</v>
      </c>
      <c r="C1001" s="12">
        <f t="shared" si="214"/>
        <v>46238.588906238423</v>
      </c>
      <c r="D1001" s="13">
        <v>46238.588906238423</v>
      </c>
      <c r="E1001" s="2" t="s">
        <v>1544</v>
      </c>
      <c r="F1001" s="2" t="str">
        <f t="shared" si="204"/>
        <v>Email Available</v>
      </c>
      <c r="G1001" s="2" t="s">
        <v>1545</v>
      </c>
      <c r="H1001" s="2" t="s">
        <v>130</v>
      </c>
      <c r="I1001" s="2" t="s">
        <v>103</v>
      </c>
      <c r="J1001" s="2" t="s">
        <v>131</v>
      </c>
      <c r="K1001" s="2">
        <v>1</v>
      </c>
      <c r="L1001" s="2">
        <v>16.989999999999998</v>
      </c>
      <c r="M1001" s="19">
        <f t="shared" si="205"/>
        <v>16.989999999999998</v>
      </c>
      <c r="N1001" s="2" t="s">
        <v>38</v>
      </c>
      <c r="O1001" s="2" t="str">
        <f t="shared" si="206"/>
        <v>FREESHIP</v>
      </c>
      <c r="P1001" s="2">
        <v>0</v>
      </c>
      <c r="Q1001" s="19">
        <f t="shared" si="207"/>
        <v>0</v>
      </c>
      <c r="R1001" s="2" t="str">
        <f t="shared" si="208"/>
        <v>Number</v>
      </c>
      <c r="S1001" s="2">
        <v>0</v>
      </c>
      <c r="T1001" s="19">
        <f t="shared" si="209"/>
        <v>0</v>
      </c>
      <c r="U1001" s="2">
        <v>16.989999999999998</v>
      </c>
      <c r="V1001" s="19">
        <f t="shared" si="210"/>
        <v>16.989999999999998</v>
      </c>
      <c r="W1001" s="19">
        <f t="shared" si="211"/>
        <v>16.989999999999998</v>
      </c>
      <c r="X1001" s="19" t="str">
        <f t="shared" si="212"/>
        <v>True</v>
      </c>
      <c r="Y1001" s="19" t="str">
        <f>IF(OR(W1001&lt;'Cleaning Tasks'!$G$18,W1001&gt;'Cleaning Tasks'!$H$18),"Outlier","Normal")</f>
        <v>Normal</v>
      </c>
      <c r="Z1001" s="2" t="s">
        <v>66</v>
      </c>
      <c r="AA1001" s="2" t="s">
        <v>88</v>
      </c>
      <c r="AB1001" s="2" t="s">
        <v>50</v>
      </c>
      <c r="AC1001" s="2" t="s">
        <v>29</v>
      </c>
      <c r="AD1001" s="2" t="s">
        <v>89</v>
      </c>
      <c r="AE1001" s="2" t="str">
        <f t="shared" si="213"/>
        <v>Valid</v>
      </c>
      <c r="AF1001" s="2" t="s">
        <v>2978</v>
      </c>
    </row>
    <row r="1002" spans="1:32" x14ac:dyDescent="0.3">
      <c r="A1002" s="2" t="s">
        <v>2979</v>
      </c>
      <c r="B1002" s="2">
        <f t="shared" si="203"/>
        <v>1</v>
      </c>
      <c r="C1002" s="12">
        <f t="shared" si="214"/>
        <v>46238.586876388887</v>
      </c>
      <c r="D1002" s="13">
        <v>46238.586876388887</v>
      </c>
      <c r="E1002" s="2" t="s">
        <v>234</v>
      </c>
      <c r="F1002" s="2" t="str">
        <f t="shared" si="204"/>
        <v>Email Available</v>
      </c>
      <c r="G1002" s="2" t="s">
        <v>235</v>
      </c>
      <c r="H1002" s="2" t="s">
        <v>63</v>
      </c>
      <c r="I1002" s="2" t="s">
        <v>47</v>
      </c>
      <c r="J1002" s="2" t="s">
        <v>446</v>
      </c>
      <c r="K1002" s="2">
        <v>1</v>
      </c>
      <c r="L1002" s="2">
        <v>14.99</v>
      </c>
      <c r="M1002" s="19">
        <f t="shared" si="205"/>
        <v>14.99</v>
      </c>
      <c r="N1002" s="2"/>
      <c r="O1002" s="2" t="str">
        <f t="shared" si="206"/>
        <v/>
      </c>
      <c r="P1002" s="2">
        <v>0</v>
      </c>
      <c r="Q1002" s="19">
        <f t="shared" si="207"/>
        <v>0</v>
      </c>
      <c r="R1002" s="2" t="str">
        <f t="shared" si="208"/>
        <v>Number</v>
      </c>
      <c r="S1002" s="2">
        <v>7.99</v>
      </c>
      <c r="T1002" s="19">
        <f t="shared" si="209"/>
        <v>7.99</v>
      </c>
      <c r="U1002" s="2">
        <v>22.98</v>
      </c>
      <c r="V1002" s="19">
        <f t="shared" si="210"/>
        <v>22.98</v>
      </c>
      <c r="W1002" s="19">
        <f t="shared" si="211"/>
        <v>22.98</v>
      </c>
      <c r="X1002" s="19" t="str">
        <f t="shared" si="212"/>
        <v>True</v>
      </c>
      <c r="Y1002" s="19" t="str">
        <f>IF(OR(W1002&lt;'Cleaning Tasks'!$G$18,W1002&gt;'Cleaning Tasks'!$H$18),"Outlier","Normal")</f>
        <v>Normal</v>
      </c>
      <c r="Z1002" s="2" t="s">
        <v>72</v>
      </c>
      <c r="AA1002" s="2" t="s">
        <v>27</v>
      </c>
      <c r="AB1002" s="2" t="s">
        <v>28</v>
      </c>
      <c r="AC1002" s="2" t="s">
        <v>73</v>
      </c>
      <c r="AD1002" s="2"/>
      <c r="AE1002" s="2" t="str">
        <f t="shared" si="213"/>
        <v>Not Required</v>
      </c>
      <c r="AF1002" s="2" t="s">
        <v>2980</v>
      </c>
    </row>
    <row r="1003" spans="1:32" x14ac:dyDescent="0.3">
      <c r="A1003" s="2" t="s">
        <v>2981</v>
      </c>
      <c r="B1003" s="2">
        <f t="shared" si="203"/>
        <v>1</v>
      </c>
      <c r="C1003" s="12">
        <f t="shared" si="214"/>
        <v>46238.585030868053</v>
      </c>
      <c r="D1003" s="13">
        <v>46238.585030868053</v>
      </c>
      <c r="E1003" s="2" t="s">
        <v>1222</v>
      </c>
      <c r="F1003" s="2" t="str">
        <f t="shared" si="204"/>
        <v>Email Available</v>
      </c>
      <c r="G1003" s="2" t="s">
        <v>1223</v>
      </c>
      <c r="H1003" s="2" t="s">
        <v>152</v>
      </c>
      <c r="I1003" s="2" t="s">
        <v>36</v>
      </c>
      <c r="J1003" s="2" t="s">
        <v>153</v>
      </c>
      <c r="K1003" s="2">
        <v>1</v>
      </c>
      <c r="L1003" s="2">
        <v>29.99</v>
      </c>
      <c r="M1003" s="19">
        <f t="shared" si="205"/>
        <v>29.99</v>
      </c>
      <c r="N1003" s="2" t="s">
        <v>203</v>
      </c>
      <c r="O1003" s="2" t="str">
        <f t="shared" si="206"/>
        <v>VIP15</v>
      </c>
      <c r="P1003" s="2">
        <v>4.5</v>
      </c>
      <c r="Q1003" s="19">
        <f t="shared" si="207"/>
        <v>4.5</v>
      </c>
      <c r="R1003" s="2" t="str">
        <f t="shared" si="208"/>
        <v>Number</v>
      </c>
      <c r="S1003" s="2">
        <v>5.99</v>
      </c>
      <c r="T1003" s="19">
        <f t="shared" si="209"/>
        <v>5.99</v>
      </c>
      <c r="U1003" s="2">
        <v>31.48</v>
      </c>
      <c r="V1003" s="19">
        <f t="shared" si="210"/>
        <v>31.48</v>
      </c>
      <c r="W1003" s="19">
        <f t="shared" si="211"/>
        <v>31.479999999999997</v>
      </c>
      <c r="X1003" s="19" t="str">
        <f t="shared" si="212"/>
        <v>True</v>
      </c>
      <c r="Y1003" s="19" t="str">
        <f>IF(OR(W1003&lt;'Cleaning Tasks'!$G$18,W1003&gt;'Cleaning Tasks'!$H$18),"Outlier","Normal")</f>
        <v>Normal</v>
      </c>
      <c r="Z1003" s="2" t="s">
        <v>49</v>
      </c>
      <c r="AA1003" s="2" t="s">
        <v>40</v>
      </c>
      <c r="AB1003" s="2" t="s">
        <v>50</v>
      </c>
      <c r="AC1003" s="2" t="s">
        <v>29</v>
      </c>
      <c r="AD1003" s="2" t="s">
        <v>89</v>
      </c>
      <c r="AE1003" s="2" t="str">
        <f t="shared" si="213"/>
        <v>Valid</v>
      </c>
      <c r="AF1003" s="2" t="s">
        <v>2982</v>
      </c>
    </row>
    <row r="1004" spans="1:32" x14ac:dyDescent="0.3">
      <c r="A1004" s="2" t="s">
        <v>2983</v>
      </c>
      <c r="B1004" s="2">
        <f t="shared" si="203"/>
        <v>1</v>
      </c>
      <c r="C1004" s="12">
        <f t="shared" si="214"/>
        <v>46238.585142870368</v>
      </c>
      <c r="D1004" s="13">
        <v>46238.585142870368</v>
      </c>
      <c r="E1004" s="2" t="s">
        <v>398</v>
      </c>
      <c r="F1004" s="2" t="str">
        <f t="shared" si="204"/>
        <v>Email Available</v>
      </c>
      <c r="G1004" s="2" t="s">
        <v>399</v>
      </c>
      <c r="H1004" s="2" t="s">
        <v>166</v>
      </c>
      <c r="I1004" s="2" t="s">
        <v>103</v>
      </c>
      <c r="J1004" s="2" t="s">
        <v>167</v>
      </c>
      <c r="K1004" s="2">
        <v>1</v>
      </c>
      <c r="L1004" s="2">
        <v>32.99</v>
      </c>
      <c r="M1004" s="19">
        <f t="shared" si="205"/>
        <v>32.99</v>
      </c>
      <c r="N1004" s="2"/>
      <c r="O1004" s="2" t="str">
        <f t="shared" si="206"/>
        <v/>
      </c>
      <c r="P1004" s="2" t="s">
        <v>184</v>
      </c>
      <c r="Q1004" s="19">
        <f t="shared" si="207"/>
        <v>0</v>
      </c>
      <c r="R1004" s="2" t="str">
        <f t="shared" si="208"/>
        <v>Number</v>
      </c>
      <c r="S1004" s="2">
        <v>5.99</v>
      </c>
      <c r="T1004" s="19">
        <f t="shared" si="209"/>
        <v>5.99</v>
      </c>
      <c r="U1004" s="2">
        <v>38.979999999999997</v>
      </c>
      <c r="V1004" s="19">
        <f t="shared" si="210"/>
        <v>38.979999999999997</v>
      </c>
      <c r="W1004" s="19">
        <f t="shared" si="211"/>
        <v>38.980000000000004</v>
      </c>
      <c r="X1004" s="19" t="str">
        <f t="shared" si="212"/>
        <v>True</v>
      </c>
      <c r="Y1004" s="19" t="str">
        <f>IF(OR(W1004&lt;'Cleaning Tasks'!$G$18,W1004&gt;'Cleaning Tasks'!$H$18),"Outlier","Normal")</f>
        <v>Normal</v>
      </c>
      <c r="Z1004" s="2" t="s">
        <v>26</v>
      </c>
      <c r="AA1004" s="2" t="s">
        <v>88</v>
      </c>
      <c r="AB1004" s="2" t="s">
        <v>28</v>
      </c>
      <c r="AC1004" s="2" t="s">
        <v>29</v>
      </c>
      <c r="AD1004" s="2" t="s">
        <v>243</v>
      </c>
      <c r="AE1004" s="2" t="str">
        <f t="shared" si="213"/>
        <v>Valid</v>
      </c>
      <c r="AF1004" s="2" t="s">
        <v>2984</v>
      </c>
    </row>
    <row r="1005" spans="1:32" x14ac:dyDescent="0.3">
      <c r="A1005" s="2" t="s">
        <v>2985</v>
      </c>
      <c r="B1005" s="2">
        <f t="shared" si="203"/>
        <v>1</v>
      </c>
      <c r="C1005" s="12">
        <f t="shared" si="214"/>
        <v>46238</v>
      </c>
      <c r="D1005" s="13" t="s">
        <v>2050</v>
      </c>
      <c r="E1005" s="2" t="s">
        <v>283</v>
      </c>
      <c r="F1005" s="2" t="str">
        <f t="shared" si="204"/>
        <v>Email Available</v>
      </c>
      <c r="G1005" s="2" t="s">
        <v>284</v>
      </c>
      <c r="H1005" s="2" t="s">
        <v>221</v>
      </c>
      <c r="I1005" s="2" t="s">
        <v>22</v>
      </c>
      <c r="J1005" s="2" t="s">
        <v>222</v>
      </c>
      <c r="K1005" s="2">
        <v>1</v>
      </c>
      <c r="L1005" s="2">
        <v>17.989999999999998</v>
      </c>
      <c r="M1005" s="19">
        <f t="shared" si="205"/>
        <v>17.989999999999998</v>
      </c>
      <c r="N1005" s="2" t="s">
        <v>24</v>
      </c>
      <c r="O1005" s="2" t="str">
        <f t="shared" si="206"/>
        <v>SAVE20</v>
      </c>
      <c r="P1005" s="2">
        <v>3.6</v>
      </c>
      <c r="Q1005" s="19">
        <f t="shared" si="207"/>
        <v>3.6</v>
      </c>
      <c r="R1005" s="2" t="str">
        <f t="shared" si="208"/>
        <v>Number</v>
      </c>
      <c r="S1005" s="2">
        <v>7.99</v>
      </c>
      <c r="T1005" s="19">
        <f t="shared" si="209"/>
        <v>7.99</v>
      </c>
      <c r="U1005" s="2">
        <v>22.38</v>
      </c>
      <c r="V1005" s="19">
        <f t="shared" si="210"/>
        <v>22.38</v>
      </c>
      <c r="W1005" s="19">
        <f t="shared" si="211"/>
        <v>22.38</v>
      </c>
      <c r="X1005" s="19" t="str">
        <f t="shared" si="212"/>
        <v>True</v>
      </c>
      <c r="Y1005" s="19" t="str">
        <f>IF(OR(W1005&lt;'Cleaning Tasks'!$G$18,W1005&gt;'Cleaning Tasks'!$H$18),"Outlier","Normal")</f>
        <v>Normal</v>
      </c>
      <c r="Z1005" s="2" t="s">
        <v>72</v>
      </c>
      <c r="AA1005" s="2" t="s">
        <v>27</v>
      </c>
      <c r="AB1005" s="2" t="s">
        <v>50</v>
      </c>
      <c r="AC1005" s="2" t="s">
        <v>29</v>
      </c>
      <c r="AD1005" s="2" t="s">
        <v>112</v>
      </c>
      <c r="AE1005" s="2" t="str">
        <f t="shared" si="213"/>
        <v>Valid</v>
      </c>
      <c r="AF1005" s="2" t="s">
        <v>2986</v>
      </c>
    </row>
    <row r="1006" spans="1:32" x14ac:dyDescent="0.3">
      <c r="A1006" s="2" t="s">
        <v>2987</v>
      </c>
      <c r="B1006" s="2">
        <f t="shared" si="203"/>
        <v>1</v>
      </c>
      <c r="C1006" s="12">
        <f t="shared" si="214"/>
        <v>46238</v>
      </c>
      <c r="D1006" s="13" t="s">
        <v>143</v>
      </c>
      <c r="E1006" s="2" t="s">
        <v>2988</v>
      </c>
      <c r="F1006" s="2" t="str">
        <f t="shared" si="204"/>
        <v>Email Available</v>
      </c>
      <c r="G1006" s="2" t="s">
        <v>2989</v>
      </c>
      <c r="H1006" s="2" t="s">
        <v>201</v>
      </c>
      <c r="I1006" s="2" t="s">
        <v>191</v>
      </c>
      <c r="J1006" s="2" t="s">
        <v>202</v>
      </c>
      <c r="K1006" s="2">
        <v>1</v>
      </c>
      <c r="L1006" s="2">
        <v>24.99</v>
      </c>
      <c r="M1006" s="19">
        <f t="shared" si="205"/>
        <v>24.99</v>
      </c>
      <c r="N1006" s="2" t="s">
        <v>203</v>
      </c>
      <c r="O1006" s="2" t="str">
        <f t="shared" si="206"/>
        <v>VIP15</v>
      </c>
      <c r="P1006" s="2">
        <v>3.75</v>
      </c>
      <c r="Q1006" s="19">
        <f t="shared" si="207"/>
        <v>3.75</v>
      </c>
      <c r="R1006" s="2" t="str">
        <f t="shared" si="208"/>
        <v>Number</v>
      </c>
      <c r="S1006" s="2">
        <v>7.99</v>
      </c>
      <c r="T1006" s="19">
        <f t="shared" si="209"/>
        <v>7.99</v>
      </c>
      <c r="U1006" s="2">
        <v>29.23</v>
      </c>
      <c r="V1006" s="19">
        <f t="shared" si="210"/>
        <v>29.23</v>
      </c>
      <c r="W1006" s="19">
        <f t="shared" si="211"/>
        <v>29.229999999999997</v>
      </c>
      <c r="X1006" s="19" t="str">
        <f t="shared" si="212"/>
        <v>True</v>
      </c>
      <c r="Y1006" s="19" t="str">
        <f>IF(OR(W1006&lt;'Cleaning Tasks'!$G$18,W1006&gt;'Cleaning Tasks'!$H$18),"Outlier","Normal")</f>
        <v>Normal</v>
      </c>
      <c r="Z1006" s="2" t="s">
        <v>66</v>
      </c>
      <c r="AA1006" s="2" t="s">
        <v>27</v>
      </c>
      <c r="AB1006" s="2" t="s">
        <v>96</v>
      </c>
      <c r="AC1006" s="2" t="s">
        <v>105</v>
      </c>
      <c r="AD1006" s="2"/>
      <c r="AE1006" s="2" t="str">
        <f t="shared" si="213"/>
        <v>Not Required</v>
      </c>
      <c r="AF1006" s="2" t="s">
        <v>2990</v>
      </c>
    </row>
    <row r="1007" spans="1:32" x14ac:dyDescent="0.3">
      <c r="A1007" s="2" t="s">
        <v>2991</v>
      </c>
      <c r="B1007" s="2">
        <f t="shared" si="203"/>
        <v>1</v>
      </c>
      <c r="C1007" s="12">
        <f t="shared" si="214"/>
        <v>46238</v>
      </c>
      <c r="D1007" s="13">
        <v>46238</v>
      </c>
      <c r="E1007" s="2" t="s">
        <v>2992</v>
      </c>
      <c r="F1007" s="2" t="str">
        <f t="shared" si="204"/>
        <v>Email Available</v>
      </c>
      <c r="G1007" s="2" t="s">
        <v>2993</v>
      </c>
      <c r="H1007" s="2" t="s">
        <v>166</v>
      </c>
      <c r="I1007" s="2" t="s">
        <v>103</v>
      </c>
      <c r="J1007" s="2" t="s">
        <v>167</v>
      </c>
      <c r="K1007" s="2">
        <v>1</v>
      </c>
      <c r="L1007" s="2">
        <v>32.99</v>
      </c>
      <c r="M1007" s="19">
        <f t="shared" si="205"/>
        <v>32.99</v>
      </c>
      <c r="N1007" s="2"/>
      <c r="O1007" s="2" t="str">
        <f t="shared" si="206"/>
        <v/>
      </c>
      <c r="P1007" s="2">
        <v>0</v>
      </c>
      <c r="Q1007" s="19">
        <f t="shared" si="207"/>
        <v>0</v>
      </c>
      <c r="R1007" s="2" t="str">
        <f t="shared" si="208"/>
        <v>Number</v>
      </c>
      <c r="S1007" s="2">
        <v>5.99</v>
      </c>
      <c r="T1007" s="19">
        <f t="shared" si="209"/>
        <v>5.99</v>
      </c>
      <c r="U1007" s="2" t="s">
        <v>2994</v>
      </c>
      <c r="V1007" s="19">
        <f t="shared" si="210"/>
        <v>38.979999999999997</v>
      </c>
      <c r="W1007" s="19">
        <f t="shared" si="211"/>
        <v>38.980000000000004</v>
      </c>
      <c r="X1007" s="19" t="str">
        <f t="shared" si="212"/>
        <v>True</v>
      </c>
      <c r="Y1007" s="19" t="str">
        <f>IF(OR(W1007&lt;'Cleaning Tasks'!$G$18,W1007&gt;'Cleaning Tasks'!$H$18),"Outlier","Normal")</f>
        <v>Normal</v>
      </c>
      <c r="Z1007" s="2" t="s">
        <v>49</v>
      </c>
      <c r="AA1007" s="2" t="s">
        <v>27</v>
      </c>
      <c r="AB1007" s="2" t="s">
        <v>50</v>
      </c>
      <c r="AC1007" s="2" t="s">
        <v>331</v>
      </c>
      <c r="AD1007" s="2"/>
      <c r="AE1007" s="2" t="str">
        <f t="shared" si="213"/>
        <v>Not Required</v>
      </c>
      <c r="AF1007" s="2" t="s">
        <v>2995</v>
      </c>
    </row>
    <row r="1008" spans="1:32" x14ac:dyDescent="0.3">
      <c r="A1008" s="2" t="s">
        <v>2996</v>
      </c>
      <c r="B1008" s="2">
        <f t="shared" si="203"/>
        <v>1</v>
      </c>
      <c r="C1008" s="12">
        <f t="shared" si="214"/>
        <v>46238.583610196758</v>
      </c>
      <c r="D1008" s="13">
        <v>46238.583610196758</v>
      </c>
      <c r="E1008" s="2" t="s">
        <v>574</v>
      </c>
      <c r="F1008" s="2" t="str">
        <f t="shared" si="204"/>
        <v>Missing Email</v>
      </c>
      <c r="G1008" s="2"/>
      <c r="H1008" s="2" t="s">
        <v>63</v>
      </c>
      <c r="I1008" s="2" t="s">
        <v>47</v>
      </c>
      <c r="J1008" s="2" t="s">
        <v>64</v>
      </c>
      <c r="K1008" s="2">
        <v>1</v>
      </c>
      <c r="L1008" s="2">
        <v>14.99</v>
      </c>
      <c r="M1008" s="19">
        <f t="shared" si="205"/>
        <v>14.99</v>
      </c>
      <c r="N1008" s="2" t="s">
        <v>38</v>
      </c>
      <c r="O1008" s="2" t="str">
        <f t="shared" si="206"/>
        <v>FREESHIP</v>
      </c>
      <c r="P1008" s="2">
        <v>0</v>
      </c>
      <c r="Q1008" s="19">
        <f t="shared" si="207"/>
        <v>0</v>
      </c>
      <c r="R1008" s="2" t="str">
        <f t="shared" si="208"/>
        <v>Number</v>
      </c>
      <c r="S1008" s="2">
        <v>0</v>
      </c>
      <c r="T1008" s="19">
        <f t="shared" si="209"/>
        <v>0</v>
      </c>
      <c r="U1008" s="2">
        <v>14.99</v>
      </c>
      <c r="V1008" s="19">
        <f t="shared" si="210"/>
        <v>14.99</v>
      </c>
      <c r="W1008" s="19">
        <f t="shared" si="211"/>
        <v>14.99</v>
      </c>
      <c r="X1008" s="19" t="str">
        <f t="shared" si="212"/>
        <v>True</v>
      </c>
      <c r="Y1008" s="19" t="str">
        <f>IF(OR(W1008&lt;'Cleaning Tasks'!$G$18,W1008&gt;'Cleaning Tasks'!$H$18),"Outlier","Normal")</f>
        <v>Normal</v>
      </c>
      <c r="Z1008" s="2" t="s">
        <v>39</v>
      </c>
      <c r="AA1008" s="2" t="s">
        <v>27</v>
      </c>
      <c r="AB1008" s="2" t="s">
        <v>28</v>
      </c>
      <c r="AC1008" s="2" t="s">
        <v>29</v>
      </c>
      <c r="AD1008" s="2" t="s">
        <v>58</v>
      </c>
      <c r="AE1008" s="2" t="str">
        <f t="shared" si="213"/>
        <v>Valid</v>
      </c>
      <c r="AF1008" s="2" t="s">
        <v>2997</v>
      </c>
    </row>
    <row r="1009" spans="1:32" x14ac:dyDescent="0.3">
      <c r="A1009" s="2" t="s">
        <v>2998</v>
      </c>
      <c r="B1009" s="2">
        <f t="shared" si="203"/>
        <v>1</v>
      </c>
      <c r="C1009" s="12">
        <f t="shared" si="214"/>
        <v>46238.588931527767</v>
      </c>
      <c r="D1009" s="13">
        <v>46238.588931527767</v>
      </c>
      <c r="E1009" s="2" t="s">
        <v>2872</v>
      </c>
      <c r="F1009" s="2" t="str">
        <f t="shared" si="204"/>
        <v>Email Available</v>
      </c>
      <c r="G1009" s="2" t="s">
        <v>2873</v>
      </c>
      <c r="H1009" s="2" t="s">
        <v>63</v>
      </c>
      <c r="I1009" s="2" t="s">
        <v>47</v>
      </c>
      <c r="J1009" s="2" t="s">
        <v>446</v>
      </c>
      <c r="K1009" s="2">
        <v>2</v>
      </c>
      <c r="L1009" s="2">
        <v>14.99</v>
      </c>
      <c r="M1009" s="19">
        <f t="shared" si="205"/>
        <v>14.99</v>
      </c>
      <c r="N1009" s="2"/>
      <c r="O1009" s="2" t="str">
        <f t="shared" si="206"/>
        <v/>
      </c>
      <c r="P1009" s="2">
        <v>0</v>
      </c>
      <c r="Q1009" s="19">
        <f t="shared" si="207"/>
        <v>0</v>
      </c>
      <c r="R1009" s="2" t="str">
        <f t="shared" si="208"/>
        <v>Number</v>
      </c>
      <c r="S1009" s="2">
        <v>4.99</v>
      </c>
      <c r="T1009" s="19">
        <f t="shared" si="209"/>
        <v>4.99</v>
      </c>
      <c r="U1009" s="2">
        <v>34.97</v>
      </c>
      <c r="V1009" s="19">
        <f t="shared" si="210"/>
        <v>34.97</v>
      </c>
      <c r="W1009" s="19">
        <f t="shared" si="211"/>
        <v>34.97</v>
      </c>
      <c r="X1009" s="19" t="str">
        <f t="shared" si="212"/>
        <v>True</v>
      </c>
      <c r="Y1009" s="19" t="str">
        <f>IF(OR(W1009&lt;'Cleaning Tasks'!$G$18,W1009&gt;'Cleaning Tasks'!$H$18),"Outlier","Normal")</f>
        <v>Normal</v>
      </c>
      <c r="Z1009" s="2" t="s">
        <v>39</v>
      </c>
      <c r="AA1009" s="2" t="s">
        <v>27</v>
      </c>
      <c r="AB1009" s="2" t="s">
        <v>50</v>
      </c>
      <c r="AC1009" s="2" t="s">
        <v>29</v>
      </c>
      <c r="AD1009" s="2" t="s">
        <v>51</v>
      </c>
      <c r="AE1009" s="2" t="str">
        <f t="shared" si="213"/>
        <v>Valid</v>
      </c>
      <c r="AF1009" s="2" t="s">
        <v>2999</v>
      </c>
    </row>
    <row r="1010" spans="1:32" x14ac:dyDescent="0.3">
      <c r="A1010" s="2" t="s">
        <v>3000</v>
      </c>
      <c r="B1010" s="2">
        <f t="shared" si="203"/>
        <v>1</v>
      </c>
      <c r="C1010" s="12">
        <f t="shared" ref="C1010:C1041" si="215">IF(ISNUMBER(D1010),D1010,DATEVALUE(SUBSTITUTE(TRIM(D1010),CHAR(160)," ")))</f>
        <v>46238.585138750001</v>
      </c>
      <c r="D1010" s="13">
        <v>46238.585138750001</v>
      </c>
      <c r="E1010" s="2" t="s">
        <v>3001</v>
      </c>
      <c r="F1010" s="2" t="str">
        <f t="shared" si="204"/>
        <v>Email Available</v>
      </c>
      <c r="G1010" s="2" t="s">
        <v>3002</v>
      </c>
      <c r="H1010" s="2" t="s">
        <v>221</v>
      </c>
      <c r="I1010" s="2" t="s">
        <v>22</v>
      </c>
      <c r="J1010" s="2" t="s">
        <v>222</v>
      </c>
      <c r="K1010" s="2">
        <v>1</v>
      </c>
      <c r="L1010" s="2">
        <v>17.989999999999998</v>
      </c>
      <c r="M1010" s="19">
        <f t="shared" si="205"/>
        <v>17.989999999999998</v>
      </c>
      <c r="N1010" s="2"/>
      <c r="O1010" s="2" t="str">
        <f t="shared" si="206"/>
        <v/>
      </c>
      <c r="P1010" s="2">
        <v>0</v>
      </c>
      <c r="Q1010" s="19">
        <f t="shared" si="207"/>
        <v>0</v>
      </c>
      <c r="R1010" s="2" t="str">
        <f t="shared" si="208"/>
        <v>Number</v>
      </c>
      <c r="S1010" s="2">
        <v>5.99</v>
      </c>
      <c r="T1010" s="19">
        <f t="shared" si="209"/>
        <v>5.99</v>
      </c>
      <c r="U1010" s="2">
        <v>23.98</v>
      </c>
      <c r="V1010" s="19">
        <f t="shared" si="210"/>
        <v>23.98</v>
      </c>
      <c r="W1010" s="19">
        <f t="shared" si="211"/>
        <v>23.979999999999997</v>
      </c>
      <c r="X1010" s="19" t="str">
        <f t="shared" si="212"/>
        <v>True</v>
      </c>
      <c r="Y1010" s="19" t="str">
        <f>IF(OR(W1010&lt;'Cleaning Tasks'!$G$18,W1010&gt;'Cleaning Tasks'!$H$18),"Outlier","Normal")</f>
        <v>Normal</v>
      </c>
      <c r="Z1010" s="2" t="s">
        <v>39</v>
      </c>
      <c r="AA1010" s="2" t="s">
        <v>88</v>
      </c>
      <c r="AB1010" s="2" t="s">
        <v>96</v>
      </c>
      <c r="AC1010" s="2" t="s">
        <v>29</v>
      </c>
      <c r="AD1010" s="22" t="s">
        <v>243</v>
      </c>
      <c r="AE1010" s="2" t="str">
        <f t="shared" si="213"/>
        <v>Valid</v>
      </c>
      <c r="AF1010" s="2" t="s">
        <v>3003</v>
      </c>
    </row>
    <row r="1011" spans="1:32" x14ac:dyDescent="0.3">
      <c r="A1011" s="2" t="s">
        <v>3004</v>
      </c>
      <c r="B1011" s="2">
        <f t="shared" si="203"/>
        <v>1</v>
      </c>
      <c r="C1011" s="12">
        <f t="shared" si="215"/>
        <v>46238.580235254631</v>
      </c>
      <c r="D1011" s="13">
        <v>46238.580235254631</v>
      </c>
      <c r="E1011" s="2" t="s">
        <v>819</v>
      </c>
      <c r="F1011" s="2" t="str">
        <f t="shared" si="204"/>
        <v>Email Available</v>
      </c>
      <c r="G1011" s="2" t="s">
        <v>820</v>
      </c>
      <c r="H1011" s="2" t="s">
        <v>236</v>
      </c>
      <c r="I1011" s="2" t="s">
        <v>237</v>
      </c>
      <c r="J1011" s="2" t="s">
        <v>238</v>
      </c>
      <c r="K1011" s="2">
        <v>1</v>
      </c>
      <c r="L1011" s="2">
        <v>27.99</v>
      </c>
      <c r="M1011" s="19">
        <f t="shared" si="205"/>
        <v>27.99</v>
      </c>
      <c r="N1011" s="2" t="s">
        <v>65</v>
      </c>
      <c r="O1011" s="2" t="str">
        <f t="shared" si="206"/>
        <v>WELCOME10</v>
      </c>
      <c r="P1011" s="2" t="s">
        <v>2663</v>
      </c>
      <c r="Q1011" s="19">
        <f t="shared" si="207"/>
        <v>2.8</v>
      </c>
      <c r="R1011" s="2" t="str">
        <f t="shared" si="208"/>
        <v>Number</v>
      </c>
      <c r="S1011" s="2">
        <v>7.99</v>
      </c>
      <c r="T1011" s="19">
        <f t="shared" si="209"/>
        <v>7.99</v>
      </c>
      <c r="U1011" s="2">
        <v>33.18</v>
      </c>
      <c r="V1011" s="19">
        <f t="shared" si="210"/>
        <v>33.18</v>
      </c>
      <c r="W1011" s="19">
        <f t="shared" si="211"/>
        <v>33.18</v>
      </c>
      <c r="X1011" s="19" t="str">
        <f t="shared" si="212"/>
        <v>True</v>
      </c>
      <c r="Y1011" s="19" t="str">
        <f>IF(OR(W1011&lt;'Cleaning Tasks'!$G$18,W1011&gt;'Cleaning Tasks'!$H$18),"Outlier","Normal")</f>
        <v>Normal</v>
      </c>
      <c r="Z1011" s="2" t="s">
        <v>72</v>
      </c>
      <c r="AA1011" s="2" t="s">
        <v>27</v>
      </c>
      <c r="AB1011" s="2" t="s">
        <v>28</v>
      </c>
      <c r="AC1011" s="2" t="s">
        <v>29</v>
      </c>
      <c r="AD1011" s="22" t="s">
        <v>51</v>
      </c>
      <c r="AE1011" s="2" t="str">
        <f t="shared" si="213"/>
        <v>Valid</v>
      </c>
      <c r="AF1011" s="2" t="s">
        <v>3005</v>
      </c>
    </row>
    <row r="1012" spans="1:32" x14ac:dyDescent="0.3">
      <c r="A1012" s="2" t="s">
        <v>3006</v>
      </c>
      <c r="B1012" s="2">
        <f t="shared" si="203"/>
        <v>1</v>
      </c>
      <c r="C1012" s="12">
        <f t="shared" si="215"/>
        <v>46238.580859953698</v>
      </c>
      <c r="D1012" s="13">
        <v>46238.580859953698</v>
      </c>
      <c r="E1012" s="2" t="s">
        <v>176</v>
      </c>
      <c r="F1012" s="2" t="str">
        <f t="shared" si="204"/>
        <v>Email Available</v>
      </c>
      <c r="G1012" s="2" t="s">
        <v>177</v>
      </c>
      <c r="H1012" s="2" t="s">
        <v>182</v>
      </c>
      <c r="I1012" s="2" t="s">
        <v>36</v>
      </c>
      <c r="J1012" s="2" t="s">
        <v>183</v>
      </c>
      <c r="K1012" s="2">
        <v>1</v>
      </c>
      <c r="L1012" s="2">
        <v>11.99</v>
      </c>
      <c r="M1012" s="19">
        <f t="shared" si="205"/>
        <v>11.99</v>
      </c>
      <c r="N1012" s="2" t="s">
        <v>65</v>
      </c>
      <c r="O1012" s="2" t="str">
        <f t="shared" si="206"/>
        <v>WELCOME10</v>
      </c>
      <c r="P1012" s="2">
        <v>1.2</v>
      </c>
      <c r="Q1012" s="19">
        <f t="shared" si="207"/>
        <v>1.2</v>
      </c>
      <c r="R1012" s="2" t="str">
        <f t="shared" si="208"/>
        <v>Number</v>
      </c>
      <c r="S1012" s="2">
        <v>5.99</v>
      </c>
      <c r="T1012" s="19">
        <f t="shared" si="209"/>
        <v>5.99</v>
      </c>
      <c r="U1012" s="2">
        <v>16.78</v>
      </c>
      <c r="V1012" s="19">
        <f t="shared" si="210"/>
        <v>16.78</v>
      </c>
      <c r="W1012" s="19">
        <f t="shared" si="211"/>
        <v>16.78</v>
      </c>
      <c r="X1012" s="19" t="str">
        <f t="shared" si="212"/>
        <v>True</v>
      </c>
      <c r="Y1012" s="19" t="str">
        <f>IF(OR(W1012&lt;'Cleaning Tasks'!$G$18,W1012&gt;'Cleaning Tasks'!$H$18),"Outlier","Normal")</f>
        <v>Normal</v>
      </c>
      <c r="Z1012" s="2" t="s">
        <v>26</v>
      </c>
      <c r="AA1012" s="2" t="s">
        <v>27</v>
      </c>
      <c r="AB1012" s="2" t="s">
        <v>41</v>
      </c>
      <c r="AC1012" s="2" t="s">
        <v>29</v>
      </c>
      <c r="AD1012" s="2" t="s">
        <v>140</v>
      </c>
      <c r="AE1012" s="2" t="str">
        <f t="shared" si="213"/>
        <v>Valid</v>
      </c>
      <c r="AF1012" s="2" t="s">
        <v>3007</v>
      </c>
    </row>
    <row r="1013" spans="1:32" x14ac:dyDescent="0.3">
      <c r="A1013" s="2" t="s">
        <v>3008</v>
      </c>
      <c r="B1013" s="2">
        <f t="shared" si="203"/>
        <v>1</v>
      </c>
      <c r="C1013" s="12">
        <f t="shared" si="215"/>
        <v>46238.58768744213</v>
      </c>
      <c r="D1013" s="13">
        <v>46238.58768744213</v>
      </c>
      <c r="E1013" s="2" t="s">
        <v>1510</v>
      </c>
      <c r="F1013" s="2" t="str">
        <f t="shared" si="204"/>
        <v>Email Available</v>
      </c>
      <c r="G1013" s="2" t="s">
        <v>1511</v>
      </c>
      <c r="H1013" s="2" t="s">
        <v>56</v>
      </c>
      <c r="I1013" s="2" t="s">
        <v>22</v>
      </c>
      <c r="J1013" s="2" t="s">
        <v>57</v>
      </c>
      <c r="K1013" s="2">
        <v>1</v>
      </c>
      <c r="L1013" s="2">
        <v>9.99</v>
      </c>
      <c r="M1013" s="19">
        <f t="shared" si="205"/>
        <v>9.99</v>
      </c>
      <c r="N1013" s="2"/>
      <c r="O1013" s="2" t="str">
        <f t="shared" si="206"/>
        <v/>
      </c>
      <c r="P1013" s="2" t="s">
        <v>184</v>
      </c>
      <c r="Q1013" s="19">
        <f t="shared" si="207"/>
        <v>0</v>
      </c>
      <c r="R1013" s="2" t="str">
        <f t="shared" si="208"/>
        <v>Number</v>
      </c>
      <c r="S1013" s="2">
        <v>5.99</v>
      </c>
      <c r="T1013" s="19">
        <f t="shared" si="209"/>
        <v>5.99</v>
      </c>
      <c r="U1013" s="2">
        <v>15.98</v>
      </c>
      <c r="V1013" s="19">
        <f t="shared" si="210"/>
        <v>15.98</v>
      </c>
      <c r="W1013" s="19">
        <f t="shared" si="211"/>
        <v>15.98</v>
      </c>
      <c r="X1013" s="19" t="str">
        <f t="shared" si="212"/>
        <v>True</v>
      </c>
      <c r="Y1013" s="19" t="str">
        <f>IF(OR(W1013&lt;'Cleaning Tasks'!$G$18,W1013&gt;'Cleaning Tasks'!$H$18),"Outlier","Normal")</f>
        <v>Normal</v>
      </c>
      <c r="Z1013" s="2" t="s">
        <v>66</v>
      </c>
      <c r="AA1013" s="2" t="s">
        <v>27</v>
      </c>
      <c r="AB1013" s="2" t="s">
        <v>96</v>
      </c>
      <c r="AC1013" s="2" t="s">
        <v>42</v>
      </c>
      <c r="AD1013" s="2"/>
      <c r="AE1013" s="2" t="str">
        <f t="shared" si="213"/>
        <v>Not Required</v>
      </c>
      <c r="AF1013" s="2" t="s">
        <v>1548</v>
      </c>
    </row>
    <row r="1014" spans="1:32" x14ac:dyDescent="0.3">
      <c r="A1014" s="2" t="s">
        <v>3009</v>
      </c>
      <c r="B1014" s="2">
        <f t="shared" si="203"/>
        <v>1</v>
      </c>
      <c r="C1014" s="12">
        <f t="shared" si="215"/>
        <v>46238.580247962956</v>
      </c>
      <c r="D1014" s="13">
        <v>46238.580247962956</v>
      </c>
      <c r="E1014" s="2" t="s">
        <v>979</v>
      </c>
      <c r="F1014" s="2" t="str">
        <f t="shared" si="204"/>
        <v>Email Available</v>
      </c>
      <c r="G1014" s="2" t="s">
        <v>670</v>
      </c>
      <c r="H1014" s="2" t="s">
        <v>267</v>
      </c>
      <c r="I1014" s="2" t="s">
        <v>22</v>
      </c>
      <c r="J1014" s="2" t="s">
        <v>268</v>
      </c>
      <c r="K1014" s="2">
        <v>2</v>
      </c>
      <c r="L1014" s="2">
        <v>18.989999999999998</v>
      </c>
      <c r="M1014" s="19">
        <f t="shared" si="205"/>
        <v>18.989999999999998</v>
      </c>
      <c r="N1014" s="2"/>
      <c r="O1014" s="2" t="str">
        <f t="shared" si="206"/>
        <v/>
      </c>
      <c r="P1014" s="2">
        <v>0</v>
      </c>
      <c r="Q1014" s="19">
        <f t="shared" si="207"/>
        <v>0</v>
      </c>
      <c r="R1014" s="2" t="str">
        <f t="shared" si="208"/>
        <v>Number</v>
      </c>
      <c r="S1014" s="2">
        <v>4.99</v>
      </c>
      <c r="T1014" s="19">
        <f t="shared" si="209"/>
        <v>4.99</v>
      </c>
      <c r="U1014" s="2">
        <v>42.97</v>
      </c>
      <c r="V1014" s="19">
        <f t="shared" si="210"/>
        <v>42.97</v>
      </c>
      <c r="W1014" s="19">
        <f t="shared" si="211"/>
        <v>42.97</v>
      </c>
      <c r="X1014" s="19" t="str">
        <f t="shared" si="212"/>
        <v>True</v>
      </c>
      <c r="Y1014" s="19" t="str">
        <f>IF(OR(W1014&lt;'Cleaning Tasks'!$G$18,W1014&gt;'Cleaning Tasks'!$H$18),"Outlier","Normal")</f>
        <v>Normal</v>
      </c>
      <c r="Z1014" s="2" t="s">
        <v>66</v>
      </c>
      <c r="AA1014" s="2" t="s">
        <v>27</v>
      </c>
      <c r="AB1014" s="2" t="s">
        <v>50</v>
      </c>
      <c r="AC1014" s="2" t="s">
        <v>29</v>
      </c>
      <c r="AD1014" s="2" t="s">
        <v>243</v>
      </c>
      <c r="AE1014" s="2" t="str">
        <f t="shared" si="213"/>
        <v>Valid</v>
      </c>
      <c r="AF1014" s="2" t="s">
        <v>3010</v>
      </c>
    </row>
    <row r="1015" spans="1:32" x14ac:dyDescent="0.3">
      <c r="A1015" s="2" t="s">
        <v>3011</v>
      </c>
      <c r="B1015" s="2">
        <f t="shared" si="203"/>
        <v>1</v>
      </c>
      <c r="C1015" s="12">
        <f t="shared" si="215"/>
        <v>46238.583211493053</v>
      </c>
      <c r="D1015" s="13">
        <v>46238.583211493053</v>
      </c>
      <c r="E1015" s="2" t="s">
        <v>3012</v>
      </c>
      <c r="F1015" s="2" t="str">
        <f t="shared" si="204"/>
        <v>Email Available</v>
      </c>
      <c r="G1015" s="2" t="s">
        <v>3013</v>
      </c>
      <c r="H1015" s="2" t="s">
        <v>261</v>
      </c>
      <c r="I1015" s="2" t="s">
        <v>36</v>
      </c>
      <c r="J1015" s="2" t="s">
        <v>262</v>
      </c>
      <c r="K1015" s="2">
        <v>1</v>
      </c>
      <c r="L1015" s="2">
        <v>15.49</v>
      </c>
      <c r="M1015" s="19">
        <f t="shared" si="205"/>
        <v>15.49</v>
      </c>
      <c r="N1015" s="2" t="s">
        <v>24</v>
      </c>
      <c r="O1015" s="2" t="str">
        <f t="shared" si="206"/>
        <v>SAVE20</v>
      </c>
      <c r="P1015" s="2">
        <v>3.1</v>
      </c>
      <c r="Q1015" s="19">
        <f t="shared" si="207"/>
        <v>3.1</v>
      </c>
      <c r="R1015" s="2" t="str">
        <f t="shared" si="208"/>
        <v>Number</v>
      </c>
      <c r="S1015" s="2">
        <v>5.99</v>
      </c>
      <c r="T1015" s="19">
        <f t="shared" si="209"/>
        <v>5.99</v>
      </c>
      <c r="U1015" s="2">
        <v>18.38</v>
      </c>
      <c r="V1015" s="19">
        <f t="shared" si="210"/>
        <v>18.38</v>
      </c>
      <c r="W1015" s="19">
        <f t="shared" si="211"/>
        <v>18.380000000000003</v>
      </c>
      <c r="X1015" s="19" t="str">
        <f t="shared" si="212"/>
        <v>True</v>
      </c>
      <c r="Y1015" s="19" t="str">
        <f>IF(OR(W1015&lt;'Cleaning Tasks'!$G$18,W1015&gt;'Cleaning Tasks'!$H$18),"Outlier","Normal")</f>
        <v>Normal</v>
      </c>
      <c r="Z1015" s="2" t="s">
        <v>26</v>
      </c>
      <c r="AA1015" s="2" t="s">
        <v>88</v>
      </c>
      <c r="AB1015" s="2" t="s">
        <v>28</v>
      </c>
      <c r="AC1015" s="2" t="s">
        <v>29</v>
      </c>
      <c r="AD1015" s="22" t="s">
        <v>140</v>
      </c>
      <c r="AE1015" s="2" t="str">
        <f t="shared" si="213"/>
        <v>Valid</v>
      </c>
      <c r="AF1015" s="2" t="s">
        <v>3014</v>
      </c>
    </row>
    <row r="1016" spans="1:32" x14ac:dyDescent="0.3">
      <c r="A1016" s="2" t="s">
        <v>3015</v>
      </c>
      <c r="B1016" s="2">
        <f t="shared" si="203"/>
        <v>1</v>
      </c>
      <c r="C1016" s="12">
        <f t="shared" si="215"/>
        <v>46238.58036417824</v>
      </c>
      <c r="D1016" s="13">
        <v>46238.58036417824</v>
      </c>
      <c r="E1016" s="2" t="s">
        <v>725</v>
      </c>
      <c r="F1016" s="2" t="str">
        <f t="shared" si="204"/>
        <v>Email Available</v>
      </c>
      <c r="G1016" s="2" t="s">
        <v>726</v>
      </c>
      <c r="H1016" s="2" t="s">
        <v>261</v>
      </c>
      <c r="I1016" s="2" t="s">
        <v>36</v>
      </c>
      <c r="J1016" s="2" t="s">
        <v>262</v>
      </c>
      <c r="K1016" s="2">
        <v>1</v>
      </c>
      <c r="L1016" s="2">
        <v>15.49</v>
      </c>
      <c r="M1016" s="19">
        <f t="shared" si="205"/>
        <v>15.49</v>
      </c>
      <c r="N1016" s="2" t="s">
        <v>38</v>
      </c>
      <c r="O1016" s="2" t="str">
        <f t="shared" si="206"/>
        <v>FREESHIP</v>
      </c>
      <c r="P1016" s="2">
        <v>0</v>
      </c>
      <c r="Q1016" s="19">
        <f t="shared" si="207"/>
        <v>0</v>
      </c>
      <c r="R1016" s="2" t="str">
        <f t="shared" si="208"/>
        <v>Number</v>
      </c>
      <c r="S1016" s="2">
        <v>0</v>
      </c>
      <c r="T1016" s="19">
        <f t="shared" si="209"/>
        <v>0</v>
      </c>
      <c r="U1016" s="2">
        <v>15.49</v>
      </c>
      <c r="V1016" s="19">
        <f t="shared" si="210"/>
        <v>15.49</v>
      </c>
      <c r="W1016" s="19">
        <f t="shared" si="211"/>
        <v>15.49</v>
      </c>
      <c r="X1016" s="19" t="str">
        <f t="shared" si="212"/>
        <v>True</v>
      </c>
      <c r="Y1016" s="19" t="str">
        <f>IF(OR(W1016&lt;'Cleaning Tasks'!$G$18,W1016&gt;'Cleaning Tasks'!$H$18),"Outlier","Normal")</f>
        <v>Normal</v>
      </c>
      <c r="Z1016" s="2" t="s">
        <v>26</v>
      </c>
      <c r="AA1016" s="2" t="s">
        <v>111</v>
      </c>
      <c r="AB1016" s="2" t="s">
        <v>41</v>
      </c>
      <c r="AC1016" s="2" t="s">
        <v>105</v>
      </c>
      <c r="AD1016" s="2"/>
      <c r="AE1016" s="2" t="str">
        <f t="shared" si="213"/>
        <v>Not Required</v>
      </c>
      <c r="AF1016" s="2" t="s">
        <v>3016</v>
      </c>
    </row>
    <row r="1017" spans="1:32" x14ac:dyDescent="0.3">
      <c r="A1017" s="2" t="s">
        <v>3017</v>
      </c>
      <c r="B1017" s="2">
        <f t="shared" si="203"/>
        <v>1</v>
      </c>
      <c r="C1017" s="12">
        <f t="shared" si="215"/>
        <v>46238</v>
      </c>
      <c r="D1017" s="13">
        <v>46238</v>
      </c>
      <c r="E1017" s="2" t="s">
        <v>566</v>
      </c>
      <c r="F1017" s="2" t="str">
        <f t="shared" si="204"/>
        <v>Email Available</v>
      </c>
      <c r="G1017" s="2" t="s">
        <v>567</v>
      </c>
      <c r="H1017" s="2" t="s">
        <v>182</v>
      </c>
      <c r="I1017" s="2" t="s">
        <v>36</v>
      </c>
      <c r="J1017" s="2" t="s">
        <v>183</v>
      </c>
      <c r="K1017" s="2">
        <v>2</v>
      </c>
      <c r="L1017" s="2">
        <v>11.99</v>
      </c>
      <c r="M1017" s="19">
        <f t="shared" si="205"/>
        <v>11.99</v>
      </c>
      <c r="N1017" s="2" t="s">
        <v>65</v>
      </c>
      <c r="O1017" s="2" t="str">
        <f t="shared" si="206"/>
        <v>WELCOME10</v>
      </c>
      <c r="P1017" s="2">
        <v>2.4</v>
      </c>
      <c r="Q1017" s="19">
        <f t="shared" si="207"/>
        <v>2.4</v>
      </c>
      <c r="R1017" s="2" t="str">
        <f t="shared" si="208"/>
        <v>Number</v>
      </c>
      <c r="S1017" s="2">
        <v>5.99</v>
      </c>
      <c r="T1017" s="19">
        <f t="shared" si="209"/>
        <v>5.99</v>
      </c>
      <c r="U1017" s="2">
        <v>27.57</v>
      </c>
      <c r="V1017" s="19">
        <f t="shared" si="210"/>
        <v>27.57</v>
      </c>
      <c r="W1017" s="19">
        <f t="shared" si="211"/>
        <v>27.57</v>
      </c>
      <c r="X1017" s="19" t="str">
        <f t="shared" si="212"/>
        <v>True</v>
      </c>
      <c r="Y1017" s="19" t="str">
        <f>IF(OR(W1017&lt;'Cleaning Tasks'!$G$18,W1017&gt;'Cleaning Tasks'!$H$18),"Outlier","Normal")</f>
        <v>Normal</v>
      </c>
      <c r="Z1017" s="2" t="s">
        <v>66</v>
      </c>
      <c r="AA1017" s="2" t="s">
        <v>88</v>
      </c>
      <c r="AB1017" s="2" t="s">
        <v>50</v>
      </c>
      <c r="AC1017" s="2" t="s">
        <v>105</v>
      </c>
      <c r="AD1017" s="2"/>
      <c r="AE1017" s="2" t="str">
        <f t="shared" si="213"/>
        <v>Not Required</v>
      </c>
      <c r="AF1017" s="2" t="s">
        <v>3018</v>
      </c>
    </row>
    <row r="1018" spans="1:32" x14ac:dyDescent="0.3">
      <c r="A1018" s="2" t="s">
        <v>3019</v>
      </c>
      <c r="B1018" s="2">
        <f t="shared" si="203"/>
        <v>1</v>
      </c>
      <c r="C1018" s="12">
        <f t="shared" si="215"/>
        <v>46238</v>
      </c>
      <c r="D1018" s="13" t="s">
        <v>143</v>
      </c>
      <c r="E1018" s="2" t="s">
        <v>979</v>
      </c>
      <c r="F1018" s="2" t="str">
        <f t="shared" si="204"/>
        <v>Email Available</v>
      </c>
      <c r="G1018" s="2" t="s">
        <v>670</v>
      </c>
      <c r="H1018" s="2" t="s">
        <v>261</v>
      </c>
      <c r="I1018" s="2" t="s">
        <v>36</v>
      </c>
      <c r="J1018" s="2" t="s">
        <v>262</v>
      </c>
      <c r="K1018" s="2">
        <v>1</v>
      </c>
      <c r="L1018" s="2">
        <v>15.49</v>
      </c>
      <c r="M1018" s="19">
        <f t="shared" si="205"/>
        <v>15.49</v>
      </c>
      <c r="N1018" s="2" t="s">
        <v>24</v>
      </c>
      <c r="O1018" s="2" t="str">
        <f t="shared" si="206"/>
        <v>SAVE20</v>
      </c>
      <c r="P1018" s="2">
        <v>3.1</v>
      </c>
      <c r="Q1018" s="19">
        <f t="shared" si="207"/>
        <v>3.1</v>
      </c>
      <c r="R1018" s="2" t="str">
        <f t="shared" si="208"/>
        <v>Number</v>
      </c>
      <c r="S1018" s="2">
        <v>7.99</v>
      </c>
      <c r="T1018" s="19">
        <f t="shared" si="209"/>
        <v>7.99</v>
      </c>
      <c r="U1018" s="2">
        <v>20.38</v>
      </c>
      <c r="V1018" s="19">
        <f t="shared" si="210"/>
        <v>20.38</v>
      </c>
      <c r="W1018" s="19">
        <f t="shared" si="211"/>
        <v>20.380000000000003</v>
      </c>
      <c r="X1018" s="19" t="str">
        <f t="shared" si="212"/>
        <v>True</v>
      </c>
      <c r="Y1018" s="19" t="str">
        <f>IF(OR(W1018&lt;'Cleaning Tasks'!$G$18,W1018&gt;'Cleaning Tasks'!$H$18),"Outlier","Normal")</f>
        <v>Normal</v>
      </c>
      <c r="Z1018" s="2" t="s">
        <v>26</v>
      </c>
      <c r="AA1018" s="2" t="s">
        <v>40</v>
      </c>
      <c r="AB1018" s="2" t="s">
        <v>96</v>
      </c>
      <c r="AC1018" s="2" t="s">
        <v>29</v>
      </c>
      <c r="AD1018" s="2" t="s">
        <v>243</v>
      </c>
      <c r="AE1018" s="2" t="str">
        <f t="shared" si="213"/>
        <v>Valid</v>
      </c>
      <c r="AF1018" s="2" t="s">
        <v>3020</v>
      </c>
    </row>
    <row r="1019" spans="1:32" x14ac:dyDescent="0.3">
      <c r="A1019" s="2" t="s">
        <v>3021</v>
      </c>
      <c r="B1019" s="2">
        <f t="shared" si="203"/>
        <v>1</v>
      </c>
      <c r="C1019" s="12">
        <f t="shared" si="215"/>
        <v>46238.581128726852</v>
      </c>
      <c r="D1019" s="13">
        <v>46238.581128726852</v>
      </c>
      <c r="E1019" s="2" t="s">
        <v>76</v>
      </c>
      <c r="F1019" s="2" t="str">
        <f t="shared" si="204"/>
        <v>Email Available</v>
      </c>
      <c r="G1019" s="2" t="s">
        <v>77</v>
      </c>
      <c r="H1019" s="2" t="s">
        <v>130</v>
      </c>
      <c r="I1019" s="2" t="s">
        <v>103</v>
      </c>
      <c r="J1019" s="2" t="s">
        <v>131</v>
      </c>
      <c r="K1019" s="2">
        <v>1</v>
      </c>
      <c r="L1019" s="2">
        <v>16.989999999999998</v>
      </c>
      <c r="M1019" s="19">
        <f t="shared" si="205"/>
        <v>16.989999999999998</v>
      </c>
      <c r="N1019" s="2" t="s">
        <v>38</v>
      </c>
      <c r="O1019" s="2" t="str">
        <f t="shared" si="206"/>
        <v>FREESHIP</v>
      </c>
      <c r="P1019" s="2">
        <v>0</v>
      </c>
      <c r="Q1019" s="19">
        <f t="shared" si="207"/>
        <v>0</v>
      </c>
      <c r="R1019" s="2" t="str">
        <f t="shared" si="208"/>
        <v>Number</v>
      </c>
      <c r="S1019" s="2">
        <v>0</v>
      </c>
      <c r="T1019" s="19">
        <f t="shared" si="209"/>
        <v>0</v>
      </c>
      <c r="U1019" s="2" t="s">
        <v>985</v>
      </c>
      <c r="V1019" s="19">
        <f t="shared" si="210"/>
        <v>16.989999999999998</v>
      </c>
      <c r="W1019" s="19">
        <f t="shared" si="211"/>
        <v>16.989999999999998</v>
      </c>
      <c r="X1019" s="19" t="str">
        <f t="shared" si="212"/>
        <v>True</v>
      </c>
      <c r="Y1019" s="19" t="str">
        <f>IF(OR(W1019&lt;'Cleaning Tasks'!$G$18,W1019&gt;'Cleaning Tasks'!$H$18),"Outlier","Normal")</f>
        <v>Normal</v>
      </c>
      <c r="Z1019" s="2" t="s">
        <v>39</v>
      </c>
      <c r="AA1019" s="2" t="s">
        <v>111</v>
      </c>
      <c r="AB1019" s="2" t="s">
        <v>28</v>
      </c>
      <c r="AC1019" s="2" t="s">
        <v>73</v>
      </c>
      <c r="AD1019" s="2"/>
      <c r="AE1019" s="2" t="str">
        <f t="shared" si="213"/>
        <v>Not Required</v>
      </c>
      <c r="AF1019" s="2" t="s">
        <v>3022</v>
      </c>
    </row>
    <row r="1020" spans="1:32" x14ac:dyDescent="0.3">
      <c r="A1020" s="2" t="s">
        <v>3023</v>
      </c>
      <c r="B1020" s="2">
        <f t="shared" si="203"/>
        <v>1</v>
      </c>
      <c r="C1020" s="12">
        <f t="shared" si="215"/>
        <v>46238.589184699071</v>
      </c>
      <c r="D1020" s="13">
        <v>46238.589184699071</v>
      </c>
      <c r="E1020" s="2" t="s">
        <v>347</v>
      </c>
      <c r="F1020" s="2" t="str">
        <f t="shared" si="204"/>
        <v>Email Available</v>
      </c>
      <c r="G1020" s="2" t="s">
        <v>348</v>
      </c>
      <c r="H1020" s="2" t="s">
        <v>78</v>
      </c>
      <c r="I1020" s="2" t="s">
        <v>79</v>
      </c>
      <c r="J1020" s="2" t="s">
        <v>80</v>
      </c>
      <c r="K1020" s="2">
        <v>2</v>
      </c>
      <c r="L1020" s="2">
        <v>89.99</v>
      </c>
      <c r="M1020" s="19">
        <f t="shared" si="205"/>
        <v>89.99</v>
      </c>
      <c r="N1020" s="2"/>
      <c r="O1020" s="2" t="str">
        <f t="shared" si="206"/>
        <v/>
      </c>
      <c r="P1020" s="2">
        <v>0</v>
      </c>
      <c r="Q1020" s="19">
        <f t="shared" si="207"/>
        <v>0</v>
      </c>
      <c r="R1020" s="2" t="str">
        <f t="shared" si="208"/>
        <v>Number</v>
      </c>
      <c r="S1020" s="2">
        <v>0</v>
      </c>
      <c r="T1020" s="19">
        <f t="shared" si="209"/>
        <v>0</v>
      </c>
      <c r="U1020" s="2">
        <v>179.98</v>
      </c>
      <c r="V1020" s="19">
        <f t="shared" si="210"/>
        <v>179.98</v>
      </c>
      <c r="W1020" s="19">
        <f t="shared" si="211"/>
        <v>179.98</v>
      </c>
      <c r="X1020" s="19" t="str">
        <f t="shared" si="212"/>
        <v>True</v>
      </c>
      <c r="Y1020" s="19" t="str">
        <f>IF(OR(W1020&lt;'Cleaning Tasks'!$G$18,W1020&gt;'Cleaning Tasks'!$H$18),"Outlier","Normal")</f>
        <v>Outlier</v>
      </c>
      <c r="Z1020" s="2" t="s">
        <v>49</v>
      </c>
      <c r="AA1020" s="2" t="s">
        <v>111</v>
      </c>
      <c r="AB1020" s="2" t="s">
        <v>41</v>
      </c>
      <c r="AC1020" s="2" t="s">
        <v>223</v>
      </c>
      <c r="AD1020" s="2"/>
      <c r="AE1020" s="2" t="str">
        <f t="shared" si="213"/>
        <v>Not Required</v>
      </c>
      <c r="AF1020" s="2" t="s">
        <v>3024</v>
      </c>
    </row>
    <row r="1021" spans="1:32" x14ac:dyDescent="0.3">
      <c r="A1021" s="2" t="s">
        <v>3025</v>
      </c>
      <c r="B1021" s="2">
        <f t="shared" si="203"/>
        <v>1</v>
      </c>
      <c r="C1021" s="12">
        <f t="shared" si="215"/>
        <v>46238.581189074073</v>
      </c>
      <c r="D1021" s="13">
        <v>46238.581189074073</v>
      </c>
      <c r="E1021" s="2" t="s">
        <v>164</v>
      </c>
      <c r="F1021" s="2" t="str">
        <f t="shared" si="204"/>
        <v>Email Available</v>
      </c>
      <c r="G1021" s="2" t="s">
        <v>165</v>
      </c>
      <c r="H1021" s="2" t="s">
        <v>85</v>
      </c>
      <c r="I1021" s="2" t="s">
        <v>86</v>
      </c>
      <c r="J1021" s="2" t="s">
        <v>87</v>
      </c>
      <c r="K1021" s="2">
        <v>2</v>
      </c>
      <c r="L1021" s="2">
        <v>54.99</v>
      </c>
      <c r="M1021" s="19">
        <f t="shared" si="205"/>
        <v>54.99</v>
      </c>
      <c r="N1021" s="2"/>
      <c r="O1021" s="2" t="str">
        <f t="shared" si="206"/>
        <v/>
      </c>
      <c r="P1021" s="2" t="s">
        <v>184</v>
      </c>
      <c r="Q1021" s="19">
        <f t="shared" si="207"/>
        <v>0</v>
      </c>
      <c r="R1021" s="2" t="str">
        <f t="shared" si="208"/>
        <v>Number</v>
      </c>
      <c r="S1021" s="2">
        <v>0</v>
      </c>
      <c r="T1021" s="19">
        <f t="shared" si="209"/>
        <v>0</v>
      </c>
      <c r="U1021" s="2">
        <v>109.98</v>
      </c>
      <c r="V1021" s="19">
        <f t="shared" si="210"/>
        <v>109.98</v>
      </c>
      <c r="W1021" s="19">
        <f t="shared" si="211"/>
        <v>109.98</v>
      </c>
      <c r="X1021" s="19" t="str">
        <f t="shared" si="212"/>
        <v>True</v>
      </c>
      <c r="Y1021" s="19" t="str">
        <f>IF(OR(W1021&lt;'Cleaning Tasks'!$G$18,W1021&gt;'Cleaning Tasks'!$H$18),"Outlier","Normal")</f>
        <v>Outlier</v>
      </c>
      <c r="Z1021" s="2" t="s">
        <v>66</v>
      </c>
      <c r="AA1021" s="2" t="s">
        <v>27</v>
      </c>
      <c r="AB1021" s="2" t="s">
        <v>50</v>
      </c>
      <c r="AC1021" s="2" t="s">
        <v>105</v>
      </c>
      <c r="AD1021" s="2"/>
      <c r="AE1021" s="2" t="str">
        <f t="shared" si="213"/>
        <v>Not Required</v>
      </c>
      <c r="AF1021" s="2" t="s">
        <v>3026</v>
      </c>
    </row>
    <row r="1022" spans="1:32" x14ac:dyDescent="0.3">
      <c r="A1022" s="2" t="s">
        <v>3027</v>
      </c>
      <c r="B1022" s="2">
        <f t="shared" si="203"/>
        <v>1</v>
      </c>
      <c r="C1022" s="12">
        <f t="shared" si="215"/>
        <v>46238.579763159723</v>
      </c>
      <c r="D1022" s="13">
        <v>46238.579763159723</v>
      </c>
      <c r="E1022" s="2" t="s">
        <v>3028</v>
      </c>
      <c r="F1022" s="2" t="str">
        <f t="shared" si="204"/>
        <v>Email Available</v>
      </c>
      <c r="G1022" s="2" t="s">
        <v>161</v>
      </c>
      <c r="H1022" s="2" t="s">
        <v>78</v>
      </c>
      <c r="I1022" s="2" t="s">
        <v>79</v>
      </c>
      <c r="J1022" s="2" t="s">
        <v>80</v>
      </c>
      <c r="K1022" s="2">
        <v>1</v>
      </c>
      <c r="L1022" s="2">
        <v>89.99</v>
      </c>
      <c r="M1022" s="19">
        <f t="shared" si="205"/>
        <v>89.99</v>
      </c>
      <c r="N1022" s="2"/>
      <c r="O1022" s="2" t="str">
        <f t="shared" si="206"/>
        <v/>
      </c>
      <c r="P1022" s="2">
        <v>0</v>
      </c>
      <c r="Q1022" s="19">
        <f t="shared" si="207"/>
        <v>0</v>
      </c>
      <c r="R1022" s="2" t="str">
        <f t="shared" si="208"/>
        <v>Number</v>
      </c>
      <c r="S1022" s="2">
        <v>0</v>
      </c>
      <c r="T1022" s="19">
        <f t="shared" si="209"/>
        <v>0</v>
      </c>
      <c r="U1022" s="2">
        <v>89.99</v>
      </c>
      <c r="V1022" s="19">
        <f t="shared" si="210"/>
        <v>89.99</v>
      </c>
      <c r="W1022" s="19">
        <f t="shared" si="211"/>
        <v>89.99</v>
      </c>
      <c r="X1022" s="19" t="str">
        <f t="shared" si="212"/>
        <v>True</v>
      </c>
      <c r="Y1022" s="19" t="str">
        <f>IF(OR(W1022&lt;'Cleaning Tasks'!$G$18,W1022&gt;'Cleaning Tasks'!$H$18),"Outlier","Normal")</f>
        <v>Outlier</v>
      </c>
      <c r="Z1022" s="2" t="s">
        <v>72</v>
      </c>
      <c r="AA1022" s="2" t="s">
        <v>27</v>
      </c>
      <c r="AB1022" s="2" t="s">
        <v>96</v>
      </c>
      <c r="AC1022" s="2" t="s">
        <v>29</v>
      </c>
      <c r="AD1022" s="2" t="s">
        <v>140</v>
      </c>
      <c r="AE1022" s="2" t="str">
        <f t="shared" si="213"/>
        <v>Valid</v>
      </c>
      <c r="AF1022" s="2" t="s">
        <v>3029</v>
      </c>
    </row>
    <row r="1023" spans="1:32" x14ac:dyDescent="0.3">
      <c r="A1023" s="2" t="s">
        <v>3030</v>
      </c>
      <c r="B1023" s="2">
        <f t="shared" si="203"/>
        <v>1</v>
      </c>
      <c r="C1023" s="12">
        <f t="shared" si="215"/>
        <v>46238.579308136577</v>
      </c>
      <c r="D1023" s="13">
        <v>46238.579308136577</v>
      </c>
      <c r="E1023" s="2" t="s">
        <v>3031</v>
      </c>
      <c r="F1023" s="2" t="str">
        <f t="shared" si="204"/>
        <v>Email Available</v>
      </c>
      <c r="G1023" s="2" t="s">
        <v>3032</v>
      </c>
      <c r="H1023" s="2" t="s">
        <v>152</v>
      </c>
      <c r="I1023" s="2" t="s">
        <v>36</v>
      </c>
      <c r="J1023" s="2" t="s">
        <v>153</v>
      </c>
      <c r="K1023" s="2">
        <v>2</v>
      </c>
      <c r="L1023" s="2">
        <v>29.99</v>
      </c>
      <c r="M1023" s="19">
        <f t="shared" si="205"/>
        <v>29.99</v>
      </c>
      <c r="N1023" s="2"/>
      <c r="O1023" s="2" t="str">
        <f t="shared" si="206"/>
        <v/>
      </c>
      <c r="P1023" s="2">
        <v>0</v>
      </c>
      <c r="Q1023" s="19">
        <f t="shared" si="207"/>
        <v>0</v>
      </c>
      <c r="R1023" s="2" t="str">
        <f t="shared" si="208"/>
        <v>Number</v>
      </c>
      <c r="S1023" s="2">
        <v>7.99</v>
      </c>
      <c r="T1023" s="19">
        <f t="shared" si="209"/>
        <v>7.99</v>
      </c>
      <c r="U1023" s="2">
        <v>67.97</v>
      </c>
      <c r="V1023" s="19">
        <f t="shared" si="210"/>
        <v>67.97</v>
      </c>
      <c r="W1023" s="19">
        <f t="shared" si="211"/>
        <v>67.97</v>
      </c>
      <c r="X1023" s="19" t="str">
        <f t="shared" si="212"/>
        <v>True</v>
      </c>
      <c r="Y1023" s="19" t="str">
        <f>IF(OR(W1023&lt;'Cleaning Tasks'!$G$18,W1023&gt;'Cleaning Tasks'!$H$18),"Outlier","Normal")</f>
        <v>Normal</v>
      </c>
      <c r="Z1023" s="2" t="s">
        <v>72</v>
      </c>
      <c r="AA1023" s="2" t="s">
        <v>27</v>
      </c>
      <c r="AB1023" s="2" t="s">
        <v>50</v>
      </c>
      <c r="AC1023" s="2" t="s">
        <v>29</v>
      </c>
      <c r="AD1023" s="2" t="s">
        <v>51</v>
      </c>
      <c r="AE1023" s="2" t="str">
        <f t="shared" si="213"/>
        <v>Valid</v>
      </c>
      <c r="AF1023" s="2" t="s">
        <v>3033</v>
      </c>
    </row>
    <row r="1024" spans="1:32" x14ac:dyDescent="0.3">
      <c r="A1024" s="2" t="s">
        <v>3034</v>
      </c>
      <c r="B1024" s="2">
        <f t="shared" si="203"/>
        <v>1</v>
      </c>
      <c r="C1024" s="12">
        <f t="shared" si="215"/>
        <v>46238</v>
      </c>
      <c r="D1024" s="13" t="s">
        <v>143</v>
      </c>
      <c r="E1024" s="2" t="s">
        <v>1349</v>
      </c>
      <c r="F1024" s="2" t="str">
        <f t="shared" si="204"/>
        <v>Email Available</v>
      </c>
      <c r="G1024" s="2" t="s">
        <v>1350</v>
      </c>
      <c r="H1024" s="2" t="s">
        <v>309</v>
      </c>
      <c r="I1024" s="2" t="s">
        <v>36</v>
      </c>
      <c r="J1024" s="2" t="s">
        <v>310</v>
      </c>
      <c r="K1024" s="2">
        <v>1</v>
      </c>
      <c r="L1024" s="2" t="s">
        <v>2242</v>
      </c>
      <c r="M1024" s="19">
        <f t="shared" si="205"/>
        <v>8.99</v>
      </c>
      <c r="N1024" s="2" t="s">
        <v>118</v>
      </c>
      <c r="O1024" s="2" t="str">
        <f t="shared" si="206"/>
        <v>BFCM25</v>
      </c>
      <c r="P1024" s="2">
        <v>2.25</v>
      </c>
      <c r="Q1024" s="19">
        <f t="shared" si="207"/>
        <v>2.25</v>
      </c>
      <c r="R1024" s="2" t="str">
        <f t="shared" si="208"/>
        <v>Number</v>
      </c>
      <c r="S1024" s="2">
        <v>5.99</v>
      </c>
      <c r="T1024" s="19">
        <f t="shared" si="209"/>
        <v>5.99</v>
      </c>
      <c r="U1024" s="2">
        <v>12.73</v>
      </c>
      <c r="V1024" s="19">
        <f t="shared" si="210"/>
        <v>12.73</v>
      </c>
      <c r="W1024" s="19">
        <f t="shared" si="211"/>
        <v>12.73</v>
      </c>
      <c r="X1024" s="19" t="str">
        <f t="shared" si="212"/>
        <v>True</v>
      </c>
      <c r="Y1024" s="19" t="str">
        <f>IF(OR(W1024&lt;'Cleaning Tasks'!$G$18,W1024&gt;'Cleaning Tasks'!$H$18),"Outlier","Normal")</f>
        <v>Normal</v>
      </c>
      <c r="Z1024" s="2" t="s">
        <v>49</v>
      </c>
      <c r="AA1024" s="2" t="s">
        <v>88</v>
      </c>
      <c r="AB1024" s="2" t="s">
        <v>50</v>
      </c>
      <c r="AC1024" s="2" t="s">
        <v>42</v>
      </c>
      <c r="AD1024" s="2"/>
      <c r="AE1024" s="2" t="str">
        <f t="shared" si="213"/>
        <v>Not Required</v>
      </c>
      <c r="AF1024" s="2" t="s">
        <v>3035</v>
      </c>
    </row>
    <row r="1025" spans="1:32" x14ac:dyDescent="0.3">
      <c r="A1025" s="2" t="s">
        <v>3036</v>
      </c>
      <c r="B1025" s="2">
        <f t="shared" si="203"/>
        <v>1</v>
      </c>
      <c r="C1025" s="12">
        <f t="shared" si="215"/>
        <v>46238</v>
      </c>
      <c r="D1025" s="13">
        <v>46238</v>
      </c>
      <c r="E1025" s="2" t="s">
        <v>115</v>
      </c>
      <c r="F1025" s="2" t="str">
        <f t="shared" si="204"/>
        <v>Email Available</v>
      </c>
      <c r="G1025" s="2" t="s">
        <v>116</v>
      </c>
      <c r="H1025" s="2" t="s">
        <v>152</v>
      </c>
      <c r="I1025" s="2" t="s">
        <v>36</v>
      </c>
      <c r="J1025" s="2" t="s">
        <v>153</v>
      </c>
      <c r="K1025" s="2">
        <v>1</v>
      </c>
      <c r="L1025" s="2">
        <v>29.99</v>
      </c>
      <c r="M1025" s="19">
        <f t="shared" si="205"/>
        <v>29.99</v>
      </c>
      <c r="N1025" s="2" t="s">
        <v>24</v>
      </c>
      <c r="O1025" s="2" t="str">
        <f t="shared" si="206"/>
        <v>SAVE20</v>
      </c>
      <c r="P1025" s="2">
        <v>6</v>
      </c>
      <c r="Q1025" s="19">
        <f t="shared" si="207"/>
        <v>6</v>
      </c>
      <c r="R1025" s="2" t="str">
        <f t="shared" si="208"/>
        <v>Number</v>
      </c>
      <c r="S1025" s="2">
        <v>5.99</v>
      </c>
      <c r="T1025" s="19">
        <f t="shared" si="209"/>
        <v>5.99</v>
      </c>
      <c r="U1025" s="2">
        <v>29.98</v>
      </c>
      <c r="V1025" s="19">
        <f t="shared" si="210"/>
        <v>29.98</v>
      </c>
      <c r="W1025" s="19">
        <f t="shared" si="211"/>
        <v>29.979999999999997</v>
      </c>
      <c r="X1025" s="19" t="str">
        <f t="shared" si="212"/>
        <v>True</v>
      </c>
      <c r="Y1025" s="19" t="str">
        <f>IF(OR(W1025&lt;'Cleaning Tasks'!$G$18,W1025&gt;'Cleaning Tasks'!$H$18),"Outlier","Normal")</f>
        <v>Normal</v>
      </c>
      <c r="Z1025" s="2" t="s">
        <v>26</v>
      </c>
      <c r="AA1025" s="2" t="s">
        <v>27</v>
      </c>
      <c r="AB1025" s="2" t="s">
        <v>41</v>
      </c>
      <c r="AC1025" s="2" t="s">
        <v>105</v>
      </c>
      <c r="AD1025" s="2"/>
      <c r="AE1025" s="2" t="str">
        <f t="shared" si="213"/>
        <v>Not Required</v>
      </c>
      <c r="AF1025" s="2" t="s">
        <v>3037</v>
      </c>
    </row>
    <row r="1026" spans="1:32" x14ac:dyDescent="0.3">
      <c r="A1026" s="2" t="s">
        <v>3038</v>
      </c>
      <c r="B1026" s="2">
        <f t="shared" ref="B1026:B1089" si="216">COUNTIF($A$2:$A$1993,A1026)</f>
        <v>1</v>
      </c>
      <c r="C1026" s="12">
        <f t="shared" si="215"/>
        <v>46238.581997754627</v>
      </c>
      <c r="D1026" s="13">
        <v>46238.581997754627</v>
      </c>
      <c r="E1026" s="2" t="s">
        <v>1306</v>
      </c>
      <c r="F1026" s="2" t="str">
        <f t="shared" ref="F1026:F1089" si="217">IF(TRIM(G1026)="","Missing Email","Email Available")</f>
        <v>Email Available</v>
      </c>
      <c r="G1026" s="2" t="s">
        <v>1307</v>
      </c>
      <c r="H1026" s="2" t="s">
        <v>35</v>
      </c>
      <c r="I1026" s="2" t="s">
        <v>36</v>
      </c>
      <c r="J1026" s="2" t="s">
        <v>37</v>
      </c>
      <c r="K1026" s="2">
        <v>1</v>
      </c>
      <c r="L1026" s="2">
        <v>21.99</v>
      </c>
      <c r="M1026" s="19">
        <f t="shared" ref="M1026:M1089" si="218">IF(ISNUMBER(L1026),L1026,VALUE(SUBSTITUTE(L1026,"$","")))</f>
        <v>21.99</v>
      </c>
      <c r="N1026" s="2" t="s">
        <v>65</v>
      </c>
      <c r="O1026" s="2" t="str">
        <f t="shared" ref="O1026:O1089" si="219">IF(TRIM(N1026)="","",UPPER(TRIM(SUBSTITUTE(N1026,CHAR(160)," "))))</f>
        <v>WELCOME10</v>
      </c>
      <c r="P1026" s="2" t="s">
        <v>3039</v>
      </c>
      <c r="Q1026" s="19">
        <f t="shared" ref="Q1026:Q1089" si="220">IF(ISNUMBER(P1026),P1026,VALUE(TRIM(SUBSTITUTE(P1026,"$",""))))</f>
        <v>2.2000000000000002</v>
      </c>
      <c r="R1026" s="2" t="str">
        <f t="shared" ref="R1026:R1089" si="221">IF(ISNUMBER(Q1026),"Number","Text")</f>
        <v>Number</v>
      </c>
      <c r="S1026" s="2">
        <v>7.99</v>
      </c>
      <c r="T1026" s="19">
        <f t="shared" ref="T1026:T1089" si="222">IF(ISNUMBER(S1026),S1026,VALUE(TRIM(SUBSTITUTE(S1026,"$",""))))</f>
        <v>7.99</v>
      </c>
      <c r="U1026" s="2">
        <v>27.78</v>
      </c>
      <c r="V1026" s="19">
        <f t="shared" ref="V1026:V1089" si="223">IF(ISNUMBER(U1026),U1026,VALUE(TRIM(SUBSTITUTE(U1026,"$",""))))</f>
        <v>27.78</v>
      </c>
      <c r="W1026" s="19">
        <f t="shared" ref="W1026:W1089" si="224">((M1026*K1026)-Q1026)+T1026</f>
        <v>27.78</v>
      </c>
      <c r="X1026" s="19" t="str">
        <f t="shared" ref="X1026:X1089" si="225">IF(V1026=W1026,"True","False")</f>
        <v>True</v>
      </c>
      <c r="Y1026" s="19" t="str">
        <f>IF(OR(W1026&lt;'Cleaning Tasks'!$G$18,W1026&gt;'Cleaning Tasks'!$H$18),"Outlier","Normal")</f>
        <v>Normal</v>
      </c>
      <c r="Z1026" s="2" t="s">
        <v>26</v>
      </c>
      <c r="AA1026" s="2" t="s">
        <v>40</v>
      </c>
      <c r="AB1026" s="2" t="s">
        <v>50</v>
      </c>
      <c r="AC1026" s="2" t="s">
        <v>29</v>
      </c>
      <c r="AD1026" s="2" t="s">
        <v>447</v>
      </c>
      <c r="AE1026" s="2" t="str">
        <f t="shared" ref="AE1026:AE1089" si="226">IF(AND(AC1026="United States",AD1026=""),"Missing state",IF(AD1026="","Not Required","Valid"))</f>
        <v>Valid</v>
      </c>
      <c r="AF1026" s="2" t="s">
        <v>3040</v>
      </c>
    </row>
    <row r="1027" spans="1:32" x14ac:dyDescent="0.3">
      <c r="A1027" s="2" t="s">
        <v>3041</v>
      </c>
      <c r="B1027" s="2">
        <f t="shared" si="216"/>
        <v>1</v>
      </c>
      <c r="C1027" s="12">
        <f t="shared" si="215"/>
        <v>46238.58124172454</v>
      </c>
      <c r="D1027" s="13">
        <v>46238.58124172454</v>
      </c>
      <c r="E1027" s="2"/>
      <c r="F1027" s="2" t="str">
        <f t="shared" si="217"/>
        <v>Missing Email</v>
      </c>
      <c r="G1027" s="2"/>
      <c r="H1027" s="2" t="s">
        <v>35</v>
      </c>
      <c r="I1027" s="2" t="s">
        <v>36</v>
      </c>
      <c r="J1027" s="2" t="s">
        <v>37</v>
      </c>
      <c r="K1027" s="2">
        <v>1</v>
      </c>
      <c r="L1027" s="2">
        <v>21.99</v>
      </c>
      <c r="M1027" s="19">
        <f t="shared" si="218"/>
        <v>21.99</v>
      </c>
      <c r="N1027" s="2" t="s">
        <v>374</v>
      </c>
      <c r="O1027" s="2" t="str">
        <f t="shared" si="219"/>
        <v>FREESHIP</v>
      </c>
      <c r="P1027" s="2">
        <v>0</v>
      </c>
      <c r="Q1027" s="19">
        <f t="shared" si="220"/>
        <v>0</v>
      </c>
      <c r="R1027" s="2" t="str">
        <f t="shared" si="221"/>
        <v>Number</v>
      </c>
      <c r="S1027" s="2">
        <v>0</v>
      </c>
      <c r="T1027" s="19">
        <f t="shared" si="222"/>
        <v>0</v>
      </c>
      <c r="U1027" s="2">
        <v>21.99</v>
      </c>
      <c r="V1027" s="19">
        <f t="shared" si="223"/>
        <v>21.99</v>
      </c>
      <c r="W1027" s="19">
        <f t="shared" si="224"/>
        <v>21.99</v>
      </c>
      <c r="X1027" s="19" t="str">
        <f t="shared" si="225"/>
        <v>True</v>
      </c>
      <c r="Y1027" s="19" t="str">
        <f>IF(OR(W1027&lt;'Cleaning Tasks'!$G$18,W1027&gt;'Cleaning Tasks'!$H$18),"Outlier","Normal")</f>
        <v>Normal</v>
      </c>
      <c r="Z1027" s="2" t="s">
        <v>66</v>
      </c>
      <c r="AA1027" s="2" t="s">
        <v>111</v>
      </c>
      <c r="AB1027" s="2" t="s">
        <v>50</v>
      </c>
      <c r="AC1027" s="2" t="s">
        <v>29</v>
      </c>
      <c r="AD1027" s="2" t="s">
        <v>447</v>
      </c>
      <c r="AE1027" s="2" t="str">
        <f t="shared" si="226"/>
        <v>Valid</v>
      </c>
      <c r="AF1027" s="2" t="s">
        <v>3042</v>
      </c>
    </row>
    <row r="1028" spans="1:32" x14ac:dyDescent="0.3">
      <c r="A1028" s="2" t="s">
        <v>3043</v>
      </c>
      <c r="B1028" s="2">
        <f t="shared" si="216"/>
        <v>1</v>
      </c>
      <c r="C1028" s="12">
        <f t="shared" si="215"/>
        <v>46238.582639074077</v>
      </c>
      <c r="D1028" s="13">
        <v>46238.582639074077</v>
      </c>
      <c r="E1028" s="2" t="s">
        <v>3044</v>
      </c>
      <c r="F1028" s="2" t="str">
        <f t="shared" si="217"/>
        <v>Email Available</v>
      </c>
      <c r="G1028" s="2" t="s">
        <v>418</v>
      </c>
      <c r="H1028" s="2" t="s">
        <v>56</v>
      </c>
      <c r="I1028" s="2" t="s">
        <v>22</v>
      </c>
      <c r="J1028" s="2" t="s">
        <v>57</v>
      </c>
      <c r="K1028" s="2">
        <v>2</v>
      </c>
      <c r="L1028" s="2">
        <v>9.99</v>
      </c>
      <c r="M1028" s="19">
        <f t="shared" si="218"/>
        <v>9.99</v>
      </c>
      <c r="N1028" s="2"/>
      <c r="O1028" s="2" t="str">
        <f t="shared" si="219"/>
        <v/>
      </c>
      <c r="P1028" s="2">
        <v>0</v>
      </c>
      <c r="Q1028" s="19">
        <f t="shared" si="220"/>
        <v>0</v>
      </c>
      <c r="R1028" s="2" t="str">
        <f t="shared" si="221"/>
        <v>Number</v>
      </c>
      <c r="S1028" s="2">
        <v>4.99</v>
      </c>
      <c r="T1028" s="19">
        <f t="shared" si="222"/>
        <v>4.99</v>
      </c>
      <c r="U1028" s="2" t="s">
        <v>2613</v>
      </c>
      <c r="V1028" s="19">
        <f t="shared" si="223"/>
        <v>24.97</v>
      </c>
      <c r="W1028" s="19">
        <f t="shared" si="224"/>
        <v>24.97</v>
      </c>
      <c r="X1028" s="19" t="str">
        <f t="shared" si="225"/>
        <v>True</v>
      </c>
      <c r="Y1028" s="19" t="str">
        <f>IF(OR(W1028&lt;'Cleaning Tasks'!$G$18,W1028&gt;'Cleaning Tasks'!$H$18),"Outlier","Normal")</f>
        <v>Normal</v>
      </c>
      <c r="Z1028" s="2" t="s">
        <v>66</v>
      </c>
      <c r="AA1028" s="2" t="s">
        <v>27</v>
      </c>
      <c r="AB1028" s="2" t="s">
        <v>50</v>
      </c>
      <c r="AC1028" s="2" t="s">
        <v>29</v>
      </c>
      <c r="AD1028" s="2" t="s">
        <v>447</v>
      </c>
      <c r="AE1028" s="2" t="str">
        <f t="shared" si="226"/>
        <v>Valid</v>
      </c>
      <c r="AF1028" s="2" t="s">
        <v>3045</v>
      </c>
    </row>
    <row r="1029" spans="1:32" x14ac:dyDescent="0.3">
      <c r="A1029" s="2" t="s">
        <v>3046</v>
      </c>
      <c r="B1029" s="2">
        <f t="shared" si="216"/>
        <v>1</v>
      </c>
      <c r="C1029" s="12">
        <f t="shared" si="215"/>
        <v>46238.583674386573</v>
      </c>
      <c r="D1029" s="13">
        <v>46238.583674386573</v>
      </c>
      <c r="E1029" s="2" t="s">
        <v>3047</v>
      </c>
      <c r="F1029" s="2" t="str">
        <f t="shared" si="217"/>
        <v>Email Available</v>
      </c>
      <c r="G1029" s="2" t="s">
        <v>3048</v>
      </c>
      <c r="H1029" s="2" t="s">
        <v>146</v>
      </c>
      <c r="I1029" s="2" t="s">
        <v>47</v>
      </c>
      <c r="J1029" s="2" t="s">
        <v>147</v>
      </c>
      <c r="K1029" s="2">
        <v>1</v>
      </c>
      <c r="L1029" s="2">
        <v>34.99</v>
      </c>
      <c r="M1029" s="19">
        <f t="shared" si="218"/>
        <v>34.99</v>
      </c>
      <c r="N1029" s="2"/>
      <c r="O1029" s="2" t="str">
        <f t="shared" si="219"/>
        <v/>
      </c>
      <c r="P1029" s="2">
        <v>0</v>
      </c>
      <c r="Q1029" s="19">
        <f t="shared" si="220"/>
        <v>0</v>
      </c>
      <c r="R1029" s="2" t="str">
        <f t="shared" si="221"/>
        <v>Number</v>
      </c>
      <c r="S1029" s="2">
        <v>4.99</v>
      </c>
      <c r="T1029" s="19">
        <f t="shared" si="222"/>
        <v>4.99</v>
      </c>
      <c r="U1029" s="2">
        <v>39.979999999999997</v>
      </c>
      <c r="V1029" s="19">
        <f t="shared" si="223"/>
        <v>39.979999999999997</v>
      </c>
      <c r="W1029" s="19">
        <f t="shared" si="224"/>
        <v>39.980000000000004</v>
      </c>
      <c r="X1029" s="19" t="str">
        <f t="shared" si="225"/>
        <v>True</v>
      </c>
      <c r="Y1029" s="19" t="str">
        <f>IF(OR(W1029&lt;'Cleaning Tasks'!$G$18,W1029&gt;'Cleaning Tasks'!$H$18),"Outlier","Normal")</f>
        <v>Normal</v>
      </c>
      <c r="Z1029" s="2" t="s">
        <v>49</v>
      </c>
      <c r="AA1029" s="2" t="s">
        <v>27</v>
      </c>
      <c r="AB1029" s="2" t="s">
        <v>50</v>
      </c>
      <c r="AC1029" s="2" t="s">
        <v>105</v>
      </c>
      <c r="AD1029" s="2"/>
      <c r="AE1029" s="2" t="str">
        <f t="shared" si="226"/>
        <v>Not Required</v>
      </c>
      <c r="AF1029" s="2" t="s">
        <v>3049</v>
      </c>
    </row>
    <row r="1030" spans="1:32" x14ac:dyDescent="0.3">
      <c r="A1030" s="2" t="s">
        <v>3050</v>
      </c>
      <c r="B1030" s="2">
        <f t="shared" si="216"/>
        <v>1</v>
      </c>
      <c r="C1030" s="12">
        <f t="shared" si="215"/>
        <v>46238.581698923612</v>
      </c>
      <c r="D1030" s="13">
        <v>46238.581698923612</v>
      </c>
      <c r="E1030" s="2" t="s">
        <v>2421</v>
      </c>
      <c r="F1030" s="2" t="str">
        <f t="shared" si="217"/>
        <v>Email Available</v>
      </c>
      <c r="G1030" s="2" t="s">
        <v>2422</v>
      </c>
      <c r="H1030" s="2" t="s">
        <v>63</v>
      </c>
      <c r="I1030" s="2" t="s">
        <v>47</v>
      </c>
      <c r="J1030" s="2" t="s">
        <v>446</v>
      </c>
      <c r="K1030" s="2">
        <v>1</v>
      </c>
      <c r="L1030" s="2">
        <v>14.99</v>
      </c>
      <c r="M1030" s="19">
        <f t="shared" si="218"/>
        <v>14.99</v>
      </c>
      <c r="N1030" s="2" t="s">
        <v>118</v>
      </c>
      <c r="O1030" s="2" t="str">
        <f t="shared" si="219"/>
        <v>BFCM25</v>
      </c>
      <c r="P1030" s="2">
        <v>3.75</v>
      </c>
      <c r="Q1030" s="19">
        <f t="shared" si="220"/>
        <v>3.75</v>
      </c>
      <c r="R1030" s="2" t="str">
        <f t="shared" si="221"/>
        <v>Number</v>
      </c>
      <c r="S1030" s="2">
        <v>4.99</v>
      </c>
      <c r="T1030" s="19">
        <f t="shared" si="222"/>
        <v>4.99</v>
      </c>
      <c r="U1030" s="2" t="s">
        <v>3051</v>
      </c>
      <c r="V1030" s="19">
        <f t="shared" si="223"/>
        <v>16.23</v>
      </c>
      <c r="W1030" s="19">
        <f t="shared" si="224"/>
        <v>16.23</v>
      </c>
      <c r="X1030" s="19" t="str">
        <f t="shared" si="225"/>
        <v>True</v>
      </c>
      <c r="Y1030" s="19" t="str">
        <f>IF(OR(W1030&lt;'Cleaning Tasks'!$G$18,W1030&gt;'Cleaning Tasks'!$H$18),"Outlier","Normal")</f>
        <v>Normal</v>
      </c>
      <c r="Z1030" s="2" t="s">
        <v>39</v>
      </c>
      <c r="AA1030" s="2" t="s">
        <v>88</v>
      </c>
      <c r="AB1030" s="2" t="s">
        <v>50</v>
      </c>
      <c r="AC1030" s="2" t="s">
        <v>29</v>
      </c>
      <c r="AD1030" s="2" t="s">
        <v>51</v>
      </c>
      <c r="AE1030" s="2" t="str">
        <f t="shared" si="226"/>
        <v>Valid</v>
      </c>
      <c r="AF1030" s="2" t="s">
        <v>3052</v>
      </c>
    </row>
    <row r="1031" spans="1:32" x14ac:dyDescent="0.3">
      <c r="A1031" s="2" t="s">
        <v>3053</v>
      </c>
      <c r="B1031" s="2">
        <f t="shared" si="216"/>
        <v>1</v>
      </c>
      <c r="C1031" s="12">
        <f t="shared" si="215"/>
        <v>46238.580601226851</v>
      </c>
      <c r="D1031" s="13">
        <v>46238.580601226851</v>
      </c>
      <c r="E1031" s="2" t="s">
        <v>1099</v>
      </c>
      <c r="F1031" s="2" t="str">
        <f t="shared" si="217"/>
        <v>Email Available</v>
      </c>
      <c r="G1031" s="2" t="s">
        <v>1100</v>
      </c>
      <c r="H1031" s="2" t="s">
        <v>102</v>
      </c>
      <c r="I1031" s="2" t="s">
        <v>103</v>
      </c>
      <c r="J1031" s="2" t="s">
        <v>104</v>
      </c>
      <c r="K1031" s="2">
        <v>2</v>
      </c>
      <c r="L1031" s="2">
        <v>19.989999999999998</v>
      </c>
      <c r="M1031" s="19">
        <f t="shared" si="218"/>
        <v>19.989999999999998</v>
      </c>
      <c r="N1031" s="2"/>
      <c r="O1031" s="2" t="str">
        <f t="shared" si="219"/>
        <v/>
      </c>
      <c r="P1031" s="2">
        <v>0</v>
      </c>
      <c r="Q1031" s="19">
        <f t="shared" si="220"/>
        <v>0</v>
      </c>
      <c r="R1031" s="2" t="str">
        <f t="shared" si="221"/>
        <v>Number</v>
      </c>
      <c r="S1031" s="2">
        <v>5.99</v>
      </c>
      <c r="T1031" s="19">
        <f t="shared" si="222"/>
        <v>5.99</v>
      </c>
      <c r="U1031" s="2">
        <v>45.97</v>
      </c>
      <c r="V1031" s="19">
        <f t="shared" si="223"/>
        <v>45.97</v>
      </c>
      <c r="W1031" s="19">
        <f t="shared" si="224"/>
        <v>45.97</v>
      </c>
      <c r="X1031" s="19" t="str">
        <f t="shared" si="225"/>
        <v>True</v>
      </c>
      <c r="Y1031" s="19" t="str">
        <f>IF(OR(W1031&lt;'Cleaning Tasks'!$G$18,W1031&gt;'Cleaning Tasks'!$H$18),"Outlier","Normal")</f>
        <v>Normal</v>
      </c>
      <c r="Z1031" s="2" t="s">
        <v>26</v>
      </c>
      <c r="AA1031" s="2" t="s">
        <v>27</v>
      </c>
      <c r="AB1031" s="2" t="s">
        <v>50</v>
      </c>
      <c r="AC1031" s="2" t="s">
        <v>29</v>
      </c>
      <c r="AD1031" s="2" t="s">
        <v>89</v>
      </c>
      <c r="AE1031" s="2" t="str">
        <f t="shared" si="226"/>
        <v>Valid</v>
      </c>
      <c r="AF1031" s="2" t="s">
        <v>3054</v>
      </c>
    </row>
    <row r="1032" spans="1:32" x14ac:dyDescent="0.3">
      <c r="A1032" s="2" t="s">
        <v>3055</v>
      </c>
      <c r="B1032" s="2">
        <f t="shared" si="216"/>
        <v>1</v>
      </c>
      <c r="C1032" s="12">
        <f t="shared" si="215"/>
        <v>46238.579333935188</v>
      </c>
      <c r="D1032" s="13">
        <v>46238.579333935188</v>
      </c>
      <c r="E1032" s="2" t="s">
        <v>473</v>
      </c>
      <c r="F1032" s="2" t="str">
        <f t="shared" si="217"/>
        <v>Email Available</v>
      </c>
      <c r="G1032" s="2" t="s">
        <v>474</v>
      </c>
      <c r="H1032" s="2" t="s">
        <v>35</v>
      </c>
      <c r="I1032" s="2" t="s">
        <v>36</v>
      </c>
      <c r="J1032" s="2" t="s">
        <v>37</v>
      </c>
      <c r="K1032" s="2">
        <v>2</v>
      </c>
      <c r="L1032" s="2">
        <v>21.99</v>
      </c>
      <c r="M1032" s="19">
        <f t="shared" si="218"/>
        <v>21.99</v>
      </c>
      <c r="N1032" s="2" t="s">
        <v>203</v>
      </c>
      <c r="O1032" s="2" t="str">
        <f t="shared" si="219"/>
        <v>VIP15</v>
      </c>
      <c r="P1032" s="2">
        <v>6.6</v>
      </c>
      <c r="Q1032" s="19">
        <f t="shared" si="220"/>
        <v>6.6</v>
      </c>
      <c r="R1032" s="2" t="str">
        <f t="shared" si="221"/>
        <v>Number</v>
      </c>
      <c r="S1032" s="2">
        <v>7.99</v>
      </c>
      <c r="T1032" s="19">
        <f t="shared" si="222"/>
        <v>7.99</v>
      </c>
      <c r="U1032" s="2">
        <v>45.37</v>
      </c>
      <c r="V1032" s="19">
        <f t="shared" si="223"/>
        <v>45.37</v>
      </c>
      <c r="W1032" s="19">
        <f t="shared" si="224"/>
        <v>45.37</v>
      </c>
      <c r="X1032" s="19" t="str">
        <f t="shared" si="225"/>
        <v>True</v>
      </c>
      <c r="Y1032" s="19" t="str">
        <f>IF(OR(W1032&lt;'Cleaning Tasks'!$G$18,W1032&gt;'Cleaning Tasks'!$H$18),"Outlier","Normal")</f>
        <v>Normal</v>
      </c>
      <c r="Z1032" s="2" t="s">
        <v>39</v>
      </c>
      <c r="AA1032" s="2" t="s">
        <v>27</v>
      </c>
      <c r="AB1032" s="2" t="s">
        <v>50</v>
      </c>
      <c r="AC1032" s="2" t="s">
        <v>73</v>
      </c>
      <c r="AD1032" s="2"/>
      <c r="AE1032" s="2" t="str">
        <f t="shared" si="226"/>
        <v>Not Required</v>
      </c>
      <c r="AF1032" s="2" t="s">
        <v>3056</v>
      </c>
    </row>
    <row r="1033" spans="1:32" x14ac:dyDescent="0.3">
      <c r="A1033" s="2" t="s">
        <v>3057</v>
      </c>
      <c r="B1033" s="2">
        <f t="shared" si="216"/>
        <v>1</v>
      </c>
      <c r="C1033" s="12">
        <f t="shared" si="215"/>
        <v>46238.583780381938</v>
      </c>
      <c r="D1033" s="13">
        <v>46238.583780381938</v>
      </c>
      <c r="E1033" s="2" t="s">
        <v>1343</v>
      </c>
      <c r="F1033" s="2" t="str">
        <f t="shared" si="217"/>
        <v>Email Available</v>
      </c>
      <c r="G1033" s="2" t="s">
        <v>1344</v>
      </c>
      <c r="H1033" s="2" t="s">
        <v>124</v>
      </c>
      <c r="I1033" s="2" t="s">
        <v>79</v>
      </c>
      <c r="J1033" s="2" t="s">
        <v>125</v>
      </c>
      <c r="K1033" s="2">
        <v>1</v>
      </c>
      <c r="L1033" s="2">
        <v>13.99</v>
      </c>
      <c r="M1033" s="19">
        <f t="shared" si="218"/>
        <v>13.99</v>
      </c>
      <c r="N1033" s="2" t="s">
        <v>24</v>
      </c>
      <c r="O1033" s="2" t="str">
        <f t="shared" si="219"/>
        <v>SAVE20</v>
      </c>
      <c r="P1033" s="2">
        <v>2.8</v>
      </c>
      <c r="Q1033" s="19">
        <f t="shared" si="220"/>
        <v>2.8</v>
      </c>
      <c r="R1033" s="2" t="str">
        <f t="shared" si="221"/>
        <v>Number</v>
      </c>
      <c r="S1033" s="2">
        <v>4.99</v>
      </c>
      <c r="T1033" s="19">
        <f t="shared" si="222"/>
        <v>4.99</v>
      </c>
      <c r="U1033" s="2">
        <v>16.18</v>
      </c>
      <c r="V1033" s="19">
        <f t="shared" si="223"/>
        <v>16.18</v>
      </c>
      <c r="W1033" s="19">
        <f t="shared" si="224"/>
        <v>16.18</v>
      </c>
      <c r="X1033" s="19" t="str">
        <f t="shared" si="225"/>
        <v>True</v>
      </c>
      <c r="Y1033" s="19" t="str">
        <f>IF(OR(W1033&lt;'Cleaning Tasks'!$G$18,W1033&gt;'Cleaning Tasks'!$H$18),"Outlier","Normal")</f>
        <v>Normal</v>
      </c>
      <c r="Z1033" s="2" t="s">
        <v>49</v>
      </c>
      <c r="AA1033" s="2" t="s">
        <v>27</v>
      </c>
      <c r="AB1033" s="2" t="s">
        <v>50</v>
      </c>
      <c r="AC1033" s="2" t="s">
        <v>29</v>
      </c>
      <c r="AD1033" s="2" t="s">
        <v>243</v>
      </c>
      <c r="AE1033" s="2" t="str">
        <f t="shared" si="226"/>
        <v>Valid</v>
      </c>
      <c r="AF1033" s="2" t="s">
        <v>3058</v>
      </c>
    </row>
    <row r="1034" spans="1:32" x14ac:dyDescent="0.3">
      <c r="A1034" s="2" t="s">
        <v>3059</v>
      </c>
      <c r="B1034" s="2">
        <f t="shared" si="216"/>
        <v>1</v>
      </c>
      <c r="C1034" s="12">
        <f t="shared" si="215"/>
        <v>46238.583201828696</v>
      </c>
      <c r="D1034" s="13">
        <v>46238.583201828696</v>
      </c>
      <c r="E1034" s="2" t="s">
        <v>2292</v>
      </c>
      <c r="F1034" s="2" t="str">
        <f t="shared" si="217"/>
        <v>Email Available</v>
      </c>
      <c r="G1034" s="2" t="s">
        <v>2293</v>
      </c>
      <c r="H1034" s="2" t="s">
        <v>221</v>
      </c>
      <c r="I1034" s="2" t="s">
        <v>22</v>
      </c>
      <c r="J1034" s="2" t="s">
        <v>222</v>
      </c>
      <c r="K1034" s="2">
        <v>2</v>
      </c>
      <c r="L1034" s="2">
        <v>17.989999999999998</v>
      </c>
      <c r="M1034" s="19">
        <f t="shared" si="218"/>
        <v>17.989999999999998</v>
      </c>
      <c r="N1034" s="2"/>
      <c r="O1034" s="2" t="str">
        <f t="shared" si="219"/>
        <v/>
      </c>
      <c r="P1034" s="2">
        <v>0</v>
      </c>
      <c r="Q1034" s="19">
        <f t="shared" si="220"/>
        <v>0</v>
      </c>
      <c r="R1034" s="2" t="str">
        <f t="shared" si="221"/>
        <v>Number</v>
      </c>
      <c r="S1034" s="2">
        <v>7.99</v>
      </c>
      <c r="T1034" s="19">
        <f t="shared" si="222"/>
        <v>7.99</v>
      </c>
      <c r="U1034" s="2">
        <v>43.97</v>
      </c>
      <c r="V1034" s="19">
        <f t="shared" si="223"/>
        <v>43.97</v>
      </c>
      <c r="W1034" s="19">
        <f t="shared" si="224"/>
        <v>43.97</v>
      </c>
      <c r="X1034" s="19" t="str">
        <f t="shared" si="225"/>
        <v>True</v>
      </c>
      <c r="Y1034" s="19" t="str">
        <f>IF(OR(W1034&lt;'Cleaning Tasks'!$G$18,W1034&gt;'Cleaning Tasks'!$H$18),"Outlier","Normal")</f>
        <v>Normal</v>
      </c>
      <c r="Z1034" s="2" t="s">
        <v>49</v>
      </c>
      <c r="AA1034" s="2" t="s">
        <v>40</v>
      </c>
      <c r="AB1034" s="2" t="s">
        <v>50</v>
      </c>
      <c r="AC1034" s="2" t="s">
        <v>105</v>
      </c>
      <c r="AD1034" s="2"/>
      <c r="AE1034" s="2" t="str">
        <f t="shared" si="226"/>
        <v>Not Required</v>
      </c>
      <c r="AF1034" s="2" t="s">
        <v>3060</v>
      </c>
    </row>
    <row r="1035" spans="1:32" x14ac:dyDescent="0.3">
      <c r="A1035" s="2" t="s">
        <v>3061</v>
      </c>
      <c r="B1035" s="2">
        <f t="shared" si="216"/>
        <v>1</v>
      </c>
      <c r="C1035" s="12">
        <f t="shared" si="215"/>
        <v>46238.588347337973</v>
      </c>
      <c r="D1035" s="13">
        <v>46238.588347337973</v>
      </c>
      <c r="E1035" s="2" t="s">
        <v>2292</v>
      </c>
      <c r="F1035" s="2" t="str">
        <f t="shared" si="217"/>
        <v>Email Available</v>
      </c>
      <c r="G1035" s="2" t="s">
        <v>2293</v>
      </c>
      <c r="H1035" s="2" t="s">
        <v>130</v>
      </c>
      <c r="I1035" s="2" t="s">
        <v>103</v>
      </c>
      <c r="J1035" s="2" t="s">
        <v>131</v>
      </c>
      <c r="K1035" s="2">
        <v>1</v>
      </c>
      <c r="L1035" s="2">
        <v>16.989999999999998</v>
      </c>
      <c r="M1035" s="19">
        <f t="shared" si="218"/>
        <v>16.989999999999998</v>
      </c>
      <c r="N1035" s="2"/>
      <c r="O1035" s="2" t="str">
        <f t="shared" si="219"/>
        <v/>
      </c>
      <c r="P1035" s="2">
        <v>0</v>
      </c>
      <c r="Q1035" s="19">
        <f t="shared" si="220"/>
        <v>0</v>
      </c>
      <c r="R1035" s="2" t="str">
        <f t="shared" si="221"/>
        <v>Number</v>
      </c>
      <c r="S1035" s="2">
        <v>5.99</v>
      </c>
      <c r="T1035" s="19">
        <f t="shared" si="222"/>
        <v>5.99</v>
      </c>
      <c r="U1035" s="2">
        <v>22.98</v>
      </c>
      <c r="V1035" s="19">
        <f t="shared" si="223"/>
        <v>22.98</v>
      </c>
      <c r="W1035" s="19">
        <f t="shared" si="224"/>
        <v>22.979999999999997</v>
      </c>
      <c r="X1035" s="19" t="str">
        <f t="shared" si="225"/>
        <v>True</v>
      </c>
      <c r="Y1035" s="19" t="str">
        <f>IF(OR(W1035&lt;'Cleaning Tasks'!$G$18,W1035&gt;'Cleaning Tasks'!$H$18),"Outlier","Normal")</f>
        <v>Normal</v>
      </c>
      <c r="Z1035" s="2" t="s">
        <v>26</v>
      </c>
      <c r="AA1035" s="2" t="s">
        <v>27</v>
      </c>
      <c r="AB1035" s="2" t="s">
        <v>96</v>
      </c>
      <c r="AC1035" s="2" t="s">
        <v>105</v>
      </c>
      <c r="AD1035" s="2"/>
      <c r="AE1035" s="2" t="str">
        <f t="shared" si="226"/>
        <v>Not Required</v>
      </c>
      <c r="AF1035" s="2" t="s">
        <v>3062</v>
      </c>
    </row>
    <row r="1036" spans="1:32" x14ac:dyDescent="0.3">
      <c r="A1036" s="2" t="s">
        <v>3063</v>
      </c>
      <c r="B1036" s="2">
        <f t="shared" si="216"/>
        <v>1</v>
      </c>
      <c r="C1036" s="12">
        <f t="shared" si="215"/>
        <v>46238.586757349527</v>
      </c>
      <c r="D1036" s="13">
        <v>46238.586757349527</v>
      </c>
      <c r="E1036" s="2" t="s">
        <v>1786</v>
      </c>
      <c r="F1036" s="2" t="str">
        <f t="shared" si="217"/>
        <v>Email Available</v>
      </c>
      <c r="G1036" s="2" t="s">
        <v>1787</v>
      </c>
      <c r="H1036" s="2" t="s">
        <v>117</v>
      </c>
      <c r="I1036" s="2" t="s">
        <v>22</v>
      </c>
      <c r="J1036" s="2" t="s">
        <v>23</v>
      </c>
      <c r="K1036" s="2">
        <v>1</v>
      </c>
      <c r="L1036" s="2">
        <v>12.99</v>
      </c>
      <c r="M1036" s="19">
        <f t="shared" si="218"/>
        <v>12.99</v>
      </c>
      <c r="N1036" s="2"/>
      <c r="O1036" s="2" t="str">
        <f t="shared" si="219"/>
        <v/>
      </c>
      <c r="P1036" s="2">
        <v>0</v>
      </c>
      <c r="Q1036" s="19">
        <f t="shared" si="220"/>
        <v>0</v>
      </c>
      <c r="R1036" s="2" t="str">
        <f t="shared" si="221"/>
        <v>Number</v>
      </c>
      <c r="S1036" s="2">
        <v>5.99</v>
      </c>
      <c r="T1036" s="19">
        <f t="shared" si="222"/>
        <v>5.99</v>
      </c>
      <c r="U1036" s="2">
        <v>18.98</v>
      </c>
      <c r="V1036" s="19">
        <f t="shared" si="223"/>
        <v>18.98</v>
      </c>
      <c r="W1036" s="19">
        <f t="shared" si="224"/>
        <v>18.98</v>
      </c>
      <c r="X1036" s="19" t="str">
        <f t="shared" si="225"/>
        <v>True</v>
      </c>
      <c r="Y1036" s="19" t="str">
        <f>IF(OR(W1036&lt;'Cleaning Tasks'!$G$18,W1036&gt;'Cleaning Tasks'!$H$18),"Outlier","Normal")</f>
        <v>Normal</v>
      </c>
      <c r="Z1036" s="2" t="s">
        <v>49</v>
      </c>
      <c r="AA1036" s="2" t="s">
        <v>88</v>
      </c>
      <c r="AB1036" s="2" t="s">
        <v>50</v>
      </c>
      <c r="AC1036" s="2" t="s">
        <v>29</v>
      </c>
      <c r="AD1036" s="2" t="s">
        <v>447</v>
      </c>
      <c r="AE1036" s="2" t="str">
        <f t="shared" si="226"/>
        <v>Valid</v>
      </c>
      <c r="AF1036" s="2" t="s">
        <v>3064</v>
      </c>
    </row>
    <row r="1037" spans="1:32" x14ac:dyDescent="0.3">
      <c r="A1037" s="2" t="s">
        <v>3065</v>
      </c>
      <c r="B1037" s="2">
        <f t="shared" si="216"/>
        <v>1</v>
      </c>
      <c r="C1037" s="12">
        <f t="shared" si="215"/>
        <v>46238.581669409723</v>
      </c>
      <c r="D1037" s="13">
        <v>46238.581669409723</v>
      </c>
      <c r="E1037" s="2" t="s">
        <v>602</v>
      </c>
      <c r="F1037" s="2" t="str">
        <f t="shared" si="217"/>
        <v>Email Available</v>
      </c>
      <c r="G1037" s="2" t="s">
        <v>603</v>
      </c>
      <c r="H1037" s="2" t="s">
        <v>117</v>
      </c>
      <c r="I1037" s="2" t="s">
        <v>22</v>
      </c>
      <c r="J1037" s="2" t="s">
        <v>23</v>
      </c>
      <c r="K1037" s="2">
        <v>1</v>
      </c>
      <c r="L1037" s="2">
        <v>12.99</v>
      </c>
      <c r="M1037" s="19">
        <f t="shared" si="218"/>
        <v>12.99</v>
      </c>
      <c r="N1037" s="2" t="s">
        <v>24</v>
      </c>
      <c r="O1037" s="2" t="str">
        <f t="shared" si="219"/>
        <v>SAVE20</v>
      </c>
      <c r="P1037" s="2">
        <v>2.6</v>
      </c>
      <c r="Q1037" s="19">
        <f t="shared" si="220"/>
        <v>2.6</v>
      </c>
      <c r="R1037" s="2" t="str">
        <f t="shared" si="221"/>
        <v>Number</v>
      </c>
      <c r="S1037" s="2">
        <v>4.99</v>
      </c>
      <c r="T1037" s="19">
        <f t="shared" si="222"/>
        <v>4.99</v>
      </c>
      <c r="U1037" s="2" t="s">
        <v>433</v>
      </c>
      <c r="V1037" s="19">
        <f t="shared" si="223"/>
        <v>15.38</v>
      </c>
      <c r="W1037" s="19">
        <f t="shared" si="224"/>
        <v>15.38</v>
      </c>
      <c r="X1037" s="19" t="str">
        <f t="shared" si="225"/>
        <v>True</v>
      </c>
      <c r="Y1037" s="19" t="str">
        <f>IF(OR(W1037&lt;'Cleaning Tasks'!$G$18,W1037&gt;'Cleaning Tasks'!$H$18),"Outlier","Normal")</f>
        <v>Normal</v>
      </c>
      <c r="Z1037" s="2" t="s">
        <v>39</v>
      </c>
      <c r="AA1037" s="2" t="s">
        <v>88</v>
      </c>
      <c r="AB1037" s="2" t="s">
        <v>28</v>
      </c>
      <c r="AC1037" s="2" t="s">
        <v>42</v>
      </c>
      <c r="AD1037" s="2"/>
      <c r="AE1037" s="2" t="str">
        <f t="shared" si="226"/>
        <v>Not Required</v>
      </c>
      <c r="AF1037" s="2" t="s">
        <v>3066</v>
      </c>
    </row>
    <row r="1038" spans="1:32" x14ac:dyDescent="0.3">
      <c r="A1038" s="2" t="s">
        <v>3067</v>
      </c>
      <c r="B1038" s="2">
        <f t="shared" si="216"/>
        <v>1</v>
      </c>
      <c r="C1038" s="12">
        <f t="shared" si="215"/>
        <v>46238.583893645831</v>
      </c>
      <c r="D1038" s="13">
        <v>46238.583893645831</v>
      </c>
      <c r="E1038" s="2" t="s">
        <v>92</v>
      </c>
      <c r="F1038" s="2" t="str">
        <f t="shared" si="217"/>
        <v>Email Available</v>
      </c>
      <c r="G1038" s="2" t="s">
        <v>93</v>
      </c>
      <c r="H1038" s="2" t="s">
        <v>146</v>
      </c>
      <c r="I1038" s="2" t="s">
        <v>47</v>
      </c>
      <c r="J1038" s="2" t="s">
        <v>147</v>
      </c>
      <c r="K1038" s="2">
        <v>1</v>
      </c>
      <c r="L1038" s="2">
        <v>34.99</v>
      </c>
      <c r="M1038" s="19">
        <f t="shared" si="218"/>
        <v>34.99</v>
      </c>
      <c r="N1038" s="2" t="s">
        <v>38</v>
      </c>
      <c r="O1038" s="2" t="str">
        <f t="shared" si="219"/>
        <v>FREESHIP</v>
      </c>
      <c r="P1038" s="2">
        <v>0</v>
      </c>
      <c r="Q1038" s="19">
        <f t="shared" si="220"/>
        <v>0</v>
      </c>
      <c r="R1038" s="2" t="str">
        <f t="shared" si="221"/>
        <v>Number</v>
      </c>
      <c r="S1038" s="2">
        <v>0</v>
      </c>
      <c r="T1038" s="19">
        <f t="shared" si="222"/>
        <v>0</v>
      </c>
      <c r="U1038" s="2">
        <v>34.99</v>
      </c>
      <c r="V1038" s="19">
        <f t="shared" si="223"/>
        <v>34.99</v>
      </c>
      <c r="W1038" s="19">
        <f t="shared" si="224"/>
        <v>34.99</v>
      </c>
      <c r="X1038" s="19" t="str">
        <f t="shared" si="225"/>
        <v>True</v>
      </c>
      <c r="Y1038" s="19" t="str">
        <f>IF(OR(W1038&lt;'Cleaning Tasks'!$G$18,W1038&gt;'Cleaning Tasks'!$H$18),"Outlier","Normal")</f>
        <v>Normal</v>
      </c>
      <c r="Z1038" s="2" t="s">
        <v>66</v>
      </c>
      <c r="AA1038" s="2" t="s">
        <v>88</v>
      </c>
      <c r="AB1038" s="2" t="s">
        <v>50</v>
      </c>
      <c r="AC1038" s="2" t="s">
        <v>42</v>
      </c>
      <c r="AD1038" s="2"/>
      <c r="AE1038" s="2" t="str">
        <f t="shared" si="226"/>
        <v>Not Required</v>
      </c>
      <c r="AF1038" s="2" t="s">
        <v>3068</v>
      </c>
    </row>
    <row r="1039" spans="1:32" x14ac:dyDescent="0.3">
      <c r="A1039" s="2" t="s">
        <v>3069</v>
      </c>
      <c r="B1039" s="2">
        <f t="shared" si="216"/>
        <v>1</v>
      </c>
      <c r="C1039" s="12">
        <f t="shared" si="215"/>
        <v>46238.582908668977</v>
      </c>
      <c r="D1039" s="13">
        <v>46238.582908668977</v>
      </c>
      <c r="E1039" s="2" t="s">
        <v>347</v>
      </c>
      <c r="F1039" s="2" t="str">
        <f t="shared" si="217"/>
        <v>Email Available</v>
      </c>
      <c r="G1039" s="2" t="s">
        <v>348</v>
      </c>
      <c r="H1039" s="2" t="s">
        <v>279</v>
      </c>
      <c r="I1039" s="2" t="s">
        <v>22</v>
      </c>
      <c r="J1039" s="2" t="s">
        <v>280</v>
      </c>
      <c r="K1039" s="2">
        <v>3</v>
      </c>
      <c r="L1039" s="2">
        <v>24.99</v>
      </c>
      <c r="M1039" s="19">
        <f t="shared" si="218"/>
        <v>24.99</v>
      </c>
      <c r="N1039" s="2"/>
      <c r="O1039" s="2" t="str">
        <f t="shared" si="219"/>
        <v/>
      </c>
      <c r="P1039" s="2">
        <v>0</v>
      </c>
      <c r="Q1039" s="19">
        <f t="shared" si="220"/>
        <v>0</v>
      </c>
      <c r="R1039" s="2" t="str">
        <f t="shared" si="221"/>
        <v>Number</v>
      </c>
      <c r="S1039" s="2">
        <v>7.99</v>
      </c>
      <c r="T1039" s="19">
        <f t="shared" si="222"/>
        <v>7.99</v>
      </c>
      <c r="U1039" s="2">
        <v>82.96</v>
      </c>
      <c r="V1039" s="19">
        <f t="shared" si="223"/>
        <v>82.96</v>
      </c>
      <c r="W1039" s="19">
        <f t="shared" si="224"/>
        <v>82.96</v>
      </c>
      <c r="X1039" s="19" t="str">
        <f t="shared" si="225"/>
        <v>True</v>
      </c>
      <c r="Y1039" s="19" t="str">
        <f>IF(OR(W1039&lt;'Cleaning Tasks'!$G$18,W1039&gt;'Cleaning Tasks'!$H$18),"Outlier","Normal")</f>
        <v>Outlier</v>
      </c>
      <c r="Z1039" s="2" t="s">
        <v>26</v>
      </c>
      <c r="AA1039" s="2" t="s">
        <v>88</v>
      </c>
      <c r="AB1039" s="2" t="s">
        <v>50</v>
      </c>
      <c r="AC1039" s="2" t="s">
        <v>223</v>
      </c>
      <c r="AD1039" s="2"/>
      <c r="AE1039" s="2" t="str">
        <f t="shared" si="226"/>
        <v>Not Required</v>
      </c>
      <c r="AF1039" s="2" t="s">
        <v>3070</v>
      </c>
    </row>
    <row r="1040" spans="1:32" x14ac:dyDescent="0.3">
      <c r="A1040" s="2" t="s">
        <v>3071</v>
      </c>
      <c r="B1040" s="2">
        <f t="shared" si="216"/>
        <v>1</v>
      </c>
      <c r="C1040" s="12">
        <f t="shared" si="215"/>
        <v>46238.585368842592</v>
      </c>
      <c r="D1040" s="13">
        <v>46238.585368842592</v>
      </c>
      <c r="E1040" s="2" t="s">
        <v>3072</v>
      </c>
      <c r="F1040" s="2" t="str">
        <f t="shared" si="217"/>
        <v>Email Available</v>
      </c>
      <c r="G1040" s="2" t="s">
        <v>3073</v>
      </c>
      <c r="H1040" s="2" t="s">
        <v>56</v>
      </c>
      <c r="I1040" s="2" t="s">
        <v>22</v>
      </c>
      <c r="J1040" s="2" t="s">
        <v>57</v>
      </c>
      <c r="K1040" s="2">
        <v>1</v>
      </c>
      <c r="L1040" s="2">
        <v>9.99</v>
      </c>
      <c r="M1040" s="19">
        <f t="shared" si="218"/>
        <v>9.99</v>
      </c>
      <c r="N1040" s="2"/>
      <c r="O1040" s="2" t="str">
        <f t="shared" si="219"/>
        <v/>
      </c>
      <c r="P1040" s="2">
        <v>0</v>
      </c>
      <c r="Q1040" s="19">
        <f t="shared" si="220"/>
        <v>0</v>
      </c>
      <c r="R1040" s="2" t="str">
        <f t="shared" si="221"/>
        <v>Number</v>
      </c>
      <c r="S1040" s="2">
        <v>4.99</v>
      </c>
      <c r="T1040" s="19">
        <f t="shared" si="222"/>
        <v>4.99</v>
      </c>
      <c r="U1040" s="2">
        <v>14.98</v>
      </c>
      <c r="V1040" s="19">
        <f t="shared" si="223"/>
        <v>14.98</v>
      </c>
      <c r="W1040" s="19">
        <f t="shared" si="224"/>
        <v>14.98</v>
      </c>
      <c r="X1040" s="19" t="str">
        <f t="shared" si="225"/>
        <v>True</v>
      </c>
      <c r="Y1040" s="19" t="str">
        <f>IF(OR(W1040&lt;'Cleaning Tasks'!$G$18,W1040&gt;'Cleaning Tasks'!$H$18),"Outlier","Normal")</f>
        <v>Normal</v>
      </c>
      <c r="Z1040" s="2" t="s">
        <v>49</v>
      </c>
      <c r="AA1040" s="2" t="s">
        <v>27</v>
      </c>
      <c r="AB1040" s="2" t="s">
        <v>50</v>
      </c>
      <c r="AC1040" s="2" t="s">
        <v>29</v>
      </c>
      <c r="AD1040" s="2" t="s">
        <v>89</v>
      </c>
      <c r="AE1040" s="2" t="str">
        <f t="shared" si="226"/>
        <v>Valid</v>
      </c>
      <c r="AF1040" s="2" t="s">
        <v>3074</v>
      </c>
    </row>
    <row r="1041" spans="1:32" x14ac:dyDescent="0.3">
      <c r="A1041" s="2" t="s">
        <v>3075</v>
      </c>
      <c r="B1041" s="2">
        <f t="shared" si="216"/>
        <v>1</v>
      </c>
      <c r="C1041" s="12">
        <f t="shared" si="215"/>
        <v>46238.579189293981</v>
      </c>
      <c r="D1041" s="13">
        <v>46238.579189293981</v>
      </c>
      <c r="E1041" s="2" t="s">
        <v>725</v>
      </c>
      <c r="F1041" s="2" t="str">
        <f t="shared" si="217"/>
        <v>Email Available</v>
      </c>
      <c r="G1041" s="2" t="s">
        <v>726</v>
      </c>
      <c r="H1041" s="2" t="s">
        <v>117</v>
      </c>
      <c r="I1041" s="2" t="s">
        <v>22</v>
      </c>
      <c r="J1041" s="2" t="s">
        <v>23</v>
      </c>
      <c r="K1041" s="2">
        <v>1</v>
      </c>
      <c r="L1041" s="2">
        <v>12.99</v>
      </c>
      <c r="M1041" s="19">
        <f t="shared" si="218"/>
        <v>12.99</v>
      </c>
      <c r="N1041" s="2" t="s">
        <v>203</v>
      </c>
      <c r="O1041" s="2" t="str">
        <f t="shared" si="219"/>
        <v>VIP15</v>
      </c>
      <c r="P1041" s="2">
        <v>1.95</v>
      </c>
      <c r="Q1041" s="19">
        <f t="shared" si="220"/>
        <v>1.95</v>
      </c>
      <c r="R1041" s="2" t="str">
        <f t="shared" si="221"/>
        <v>Number</v>
      </c>
      <c r="S1041" s="2">
        <v>7.99</v>
      </c>
      <c r="T1041" s="19">
        <f t="shared" si="222"/>
        <v>7.99</v>
      </c>
      <c r="U1041" s="2">
        <v>19.03</v>
      </c>
      <c r="V1041" s="19">
        <f t="shared" si="223"/>
        <v>19.03</v>
      </c>
      <c r="W1041" s="19">
        <f t="shared" si="224"/>
        <v>19.03</v>
      </c>
      <c r="X1041" s="19" t="str">
        <f t="shared" si="225"/>
        <v>True</v>
      </c>
      <c r="Y1041" s="19" t="str">
        <f>IF(OR(W1041&lt;'Cleaning Tasks'!$G$18,W1041&gt;'Cleaning Tasks'!$H$18),"Outlier","Normal")</f>
        <v>Normal</v>
      </c>
      <c r="Z1041" s="2" t="s">
        <v>72</v>
      </c>
      <c r="AA1041" s="2" t="s">
        <v>40</v>
      </c>
      <c r="AB1041" s="2" t="s">
        <v>50</v>
      </c>
      <c r="AC1041" s="2" t="s">
        <v>105</v>
      </c>
      <c r="AD1041" s="2"/>
      <c r="AE1041" s="2" t="str">
        <f t="shared" si="226"/>
        <v>Not Required</v>
      </c>
      <c r="AF1041" s="2" t="s">
        <v>3076</v>
      </c>
    </row>
    <row r="1042" spans="1:32" x14ac:dyDescent="0.3">
      <c r="A1042" s="2" t="s">
        <v>3077</v>
      </c>
      <c r="B1042" s="2">
        <f t="shared" si="216"/>
        <v>1</v>
      </c>
      <c r="C1042" s="12">
        <f t="shared" ref="C1042:C1073" si="227">IF(ISNUMBER(D1042),D1042,DATEVALUE(SUBSTITUTE(TRIM(D1042),CHAR(160)," ")))</f>
        <v>46238.57964207176</v>
      </c>
      <c r="D1042" s="13">
        <v>46238.57964207176</v>
      </c>
      <c r="E1042" s="2" t="s">
        <v>3078</v>
      </c>
      <c r="F1042" s="2" t="str">
        <f t="shared" si="217"/>
        <v>Email Available</v>
      </c>
      <c r="G1042" s="2" t="s">
        <v>2956</v>
      </c>
      <c r="H1042" s="2" t="s">
        <v>267</v>
      </c>
      <c r="I1042" s="2" t="s">
        <v>22</v>
      </c>
      <c r="J1042" s="2" t="s">
        <v>268</v>
      </c>
      <c r="K1042" s="2">
        <v>1</v>
      </c>
      <c r="L1042" s="2">
        <v>18.989999999999998</v>
      </c>
      <c r="M1042" s="19">
        <f t="shared" si="218"/>
        <v>18.989999999999998</v>
      </c>
      <c r="N1042" s="2" t="s">
        <v>203</v>
      </c>
      <c r="O1042" s="2" t="str">
        <f t="shared" si="219"/>
        <v>VIP15</v>
      </c>
      <c r="P1042" s="2">
        <v>2.85</v>
      </c>
      <c r="Q1042" s="19">
        <f t="shared" si="220"/>
        <v>2.85</v>
      </c>
      <c r="R1042" s="2" t="str">
        <f t="shared" si="221"/>
        <v>Number</v>
      </c>
      <c r="S1042" s="2">
        <v>7.99</v>
      </c>
      <c r="T1042" s="19">
        <f t="shared" si="222"/>
        <v>7.99</v>
      </c>
      <c r="U1042" s="2">
        <v>24.13</v>
      </c>
      <c r="V1042" s="19">
        <f t="shared" si="223"/>
        <v>24.13</v>
      </c>
      <c r="W1042" s="19">
        <f t="shared" si="224"/>
        <v>24.129999999999995</v>
      </c>
      <c r="X1042" s="19" t="str">
        <f t="shared" si="225"/>
        <v>True</v>
      </c>
      <c r="Y1042" s="19" t="str">
        <f>IF(OR(W1042&lt;'Cleaning Tasks'!$G$18,W1042&gt;'Cleaning Tasks'!$H$18),"Outlier","Normal")</f>
        <v>Normal</v>
      </c>
      <c r="Z1042" s="2" t="s">
        <v>39</v>
      </c>
      <c r="AA1042" s="2" t="s">
        <v>27</v>
      </c>
      <c r="AB1042" s="2" t="s">
        <v>96</v>
      </c>
      <c r="AC1042" s="2" t="s">
        <v>29</v>
      </c>
      <c r="AD1042" s="2" t="s">
        <v>30</v>
      </c>
      <c r="AE1042" s="2" t="str">
        <f t="shared" si="226"/>
        <v>Valid</v>
      </c>
      <c r="AF1042" s="2" t="s">
        <v>3079</v>
      </c>
    </row>
    <row r="1043" spans="1:32" x14ac:dyDescent="0.3">
      <c r="A1043" s="2" t="s">
        <v>3080</v>
      </c>
      <c r="B1043" s="2">
        <f t="shared" si="216"/>
        <v>1</v>
      </c>
      <c r="C1043" s="12">
        <f t="shared" si="227"/>
        <v>46238.581477175932</v>
      </c>
      <c r="D1043" s="13">
        <v>46238.581477175932</v>
      </c>
      <c r="E1043" s="2" t="s">
        <v>459</v>
      </c>
      <c r="F1043" s="2" t="str">
        <f t="shared" si="217"/>
        <v>Email Available</v>
      </c>
      <c r="G1043" s="2" t="s">
        <v>460</v>
      </c>
      <c r="H1043" s="2" t="s">
        <v>267</v>
      </c>
      <c r="I1043" s="2" t="s">
        <v>22</v>
      </c>
      <c r="J1043" s="2" t="s">
        <v>268</v>
      </c>
      <c r="K1043" s="2">
        <v>1</v>
      </c>
      <c r="L1043" s="2">
        <v>18.989999999999998</v>
      </c>
      <c r="M1043" s="19">
        <f t="shared" si="218"/>
        <v>18.989999999999998</v>
      </c>
      <c r="N1043" s="2"/>
      <c r="O1043" s="2" t="str">
        <f t="shared" si="219"/>
        <v/>
      </c>
      <c r="P1043" s="2" t="s">
        <v>184</v>
      </c>
      <c r="Q1043" s="19">
        <f t="shared" si="220"/>
        <v>0</v>
      </c>
      <c r="R1043" s="2" t="str">
        <f t="shared" si="221"/>
        <v>Number</v>
      </c>
      <c r="S1043" s="2">
        <v>7.99</v>
      </c>
      <c r="T1043" s="19">
        <f t="shared" si="222"/>
        <v>7.99</v>
      </c>
      <c r="U1043" s="2">
        <v>26.98</v>
      </c>
      <c r="V1043" s="19">
        <f t="shared" si="223"/>
        <v>26.98</v>
      </c>
      <c r="W1043" s="19">
        <f t="shared" si="224"/>
        <v>26.979999999999997</v>
      </c>
      <c r="X1043" s="19" t="str">
        <f t="shared" si="225"/>
        <v>True</v>
      </c>
      <c r="Y1043" s="19" t="str">
        <f>IF(OR(W1043&lt;'Cleaning Tasks'!$G$18,W1043&gt;'Cleaning Tasks'!$H$18),"Outlier","Normal")</f>
        <v>Normal</v>
      </c>
      <c r="Z1043" s="2" t="s">
        <v>66</v>
      </c>
      <c r="AA1043" s="2" t="s">
        <v>88</v>
      </c>
      <c r="AB1043" s="2" t="s">
        <v>50</v>
      </c>
      <c r="AC1043" s="2" t="s">
        <v>223</v>
      </c>
      <c r="AD1043" s="2"/>
      <c r="AE1043" s="2" t="str">
        <f t="shared" si="226"/>
        <v>Not Required</v>
      </c>
      <c r="AF1043" s="2" t="s">
        <v>3081</v>
      </c>
    </row>
    <row r="1044" spans="1:32" x14ac:dyDescent="0.3">
      <c r="A1044" s="2" t="s">
        <v>3082</v>
      </c>
      <c r="B1044" s="2">
        <f t="shared" si="216"/>
        <v>1</v>
      </c>
      <c r="C1044" s="12">
        <f t="shared" si="227"/>
        <v>46238.578802777767</v>
      </c>
      <c r="D1044" s="13">
        <v>46238.578802777767</v>
      </c>
      <c r="E1044" s="2" t="s">
        <v>1099</v>
      </c>
      <c r="F1044" s="2" t="str">
        <f t="shared" si="217"/>
        <v>Email Available</v>
      </c>
      <c r="G1044" s="2" t="s">
        <v>1100</v>
      </c>
      <c r="H1044" s="2" t="s">
        <v>309</v>
      </c>
      <c r="I1044" s="2" t="s">
        <v>36</v>
      </c>
      <c r="J1044" s="2" t="s">
        <v>310</v>
      </c>
      <c r="K1044" s="2">
        <v>2</v>
      </c>
      <c r="L1044" s="2">
        <v>8.99</v>
      </c>
      <c r="M1044" s="19">
        <f t="shared" si="218"/>
        <v>8.99</v>
      </c>
      <c r="N1044" s="2"/>
      <c r="O1044" s="2" t="str">
        <f t="shared" si="219"/>
        <v/>
      </c>
      <c r="P1044" s="2" t="s">
        <v>184</v>
      </c>
      <c r="Q1044" s="19">
        <f t="shared" si="220"/>
        <v>0</v>
      </c>
      <c r="R1044" s="2" t="str">
        <f t="shared" si="221"/>
        <v>Number</v>
      </c>
      <c r="S1044" s="2">
        <v>5.99</v>
      </c>
      <c r="T1044" s="19">
        <f t="shared" si="222"/>
        <v>5.99</v>
      </c>
      <c r="U1044" s="2">
        <v>23.97</v>
      </c>
      <c r="V1044" s="19">
        <f t="shared" si="223"/>
        <v>23.97</v>
      </c>
      <c r="W1044" s="19">
        <f t="shared" si="224"/>
        <v>23.97</v>
      </c>
      <c r="X1044" s="19" t="str">
        <f t="shared" si="225"/>
        <v>True</v>
      </c>
      <c r="Y1044" s="19" t="str">
        <f>IF(OR(W1044&lt;'Cleaning Tasks'!$G$18,W1044&gt;'Cleaning Tasks'!$H$18),"Outlier","Normal")</f>
        <v>Normal</v>
      </c>
      <c r="Z1044" s="2" t="s">
        <v>72</v>
      </c>
      <c r="AA1044" s="2" t="s">
        <v>88</v>
      </c>
      <c r="AB1044" s="2" t="s">
        <v>50</v>
      </c>
      <c r="AC1044" s="2" t="s">
        <v>29</v>
      </c>
      <c r="AD1044" s="2" t="s">
        <v>112</v>
      </c>
      <c r="AE1044" s="2" t="str">
        <f t="shared" si="226"/>
        <v>Valid</v>
      </c>
      <c r="AF1044" s="2" t="s">
        <v>3083</v>
      </c>
    </row>
    <row r="1045" spans="1:32" x14ac:dyDescent="0.3">
      <c r="A1045" s="2" t="s">
        <v>3084</v>
      </c>
      <c r="B1045" s="2">
        <f t="shared" si="216"/>
        <v>1</v>
      </c>
      <c r="C1045" s="12">
        <f t="shared" si="227"/>
        <v>46238.579367812497</v>
      </c>
      <c r="D1045" s="13">
        <v>46238.579367812497</v>
      </c>
      <c r="E1045" s="2" t="s">
        <v>195</v>
      </c>
      <c r="F1045" s="2" t="str">
        <f t="shared" si="217"/>
        <v>Email Available</v>
      </c>
      <c r="G1045" s="2" t="s">
        <v>196</v>
      </c>
      <c r="H1045" s="2" t="s">
        <v>267</v>
      </c>
      <c r="I1045" s="2" t="s">
        <v>22</v>
      </c>
      <c r="J1045" s="2" t="s">
        <v>268</v>
      </c>
      <c r="K1045" s="2">
        <v>1</v>
      </c>
      <c r="L1045" s="2">
        <v>18.989999999999998</v>
      </c>
      <c r="M1045" s="19">
        <f t="shared" si="218"/>
        <v>18.989999999999998</v>
      </c>
      <c r="N1045" s="2"/>
      <c r="O1045" s="2" t="str">
        <f t="shared" si="219"/>
        <v/>
      </c>
      <c r="P1045" s="2">
        <v>0</v>
      </c>
      <c r="Q1045" s="19">
        <f t="shared" si="220"/>
        <v>0</v>
      </c>
      <c r="R1045" s="2" t="str">
        <f t="shared" si="221"/>
        <v>Number</v>
      </c>
      <c r="S1045" s="2">
        <v>5.99</v>
      </c>
      <c r="T1045" s="19">
        <f t="shared" si="222"/>
        <v>5.99</v>
      </c>
      <c r="U1045" s="2" t="s">
        <v>941</v>
      </c>
      <c r="V1045" s="19">
        <f t="shared" si="223"/>
        <v>24.98</v>
      </c>
      <c r="W1045" s="19">
        <f t="shared" si="224"/>
        <v>24.979999999999997</v>
      </c>
      <c r="X1045" s="19" t="str">
        <f t="shared" si="225"/>
        <v>True</v>
      </c>
      <c r="Y1045" s="19" t="str">
        <f>IF(OR(W1045&lt;'Cleaning Tasks'!$G$18,W1045&gt;'Cleaning Tasks'!$H$18),"Outlier","Normal")</f>
        <v>Normal</v>
      </c>
      <c r="Z1045" s="2" t="s">
        <v>26</v>
      </c>
      <c r="AA1045" s="2" t="s">
        <v>27</v>
      </c>
      <c r="AB1045" s="2" t="s">
        <v>50</v>
      </c>
      <c r="AC1045" s="2" t="s">
        <v>29</v>
      </c>
      <c r="AD1045" s="2" t="s">
        <v>89</v>
      </c>
      <c r="AE1045" s="2" t="str">
        <f t="shared" si="226"/>
        <v>Valid</v>
      </c>
      <c r="AF1045" s="2" t="s">
        <v>3085</v>
      </c>
    </row>
    <row r="1046" spans="1:32" x14ac:dyDescent="0.3">
      <c r="A1046" s="2" t="s">
        <v>3086</v>
      </c>
      <c r="B1046" s="2">
        <f t="shared" si="216"/>
        <v>1</v>
      </c>
      <c r="C1046" s="12">
        <f t="shared" si="227"/>
        <v>46238.582186481479</v>
      </c>
      <c r="D1046" s="13">
        <v>46238.582186481479</v>
      </c>
      <c r="E1046" s="2" t="s">
        <v>815</v>
      </c>
      <c r="F1046" s="2" t="str">
        <f t="shared" si="217"/>
        <v>Email Available</v>
      </c>
      <c r="G1046" s="2" t="s">
        <v>816</v>
      </c>
      <c r="H1046" s="2" t="s">
        <v>109</v>
      </c>
      <c r="I1046" s="2" t="s">
        <v>79</v>
      </c>
      <c r="J1046" s="2" t="s">
        <v>110</v>
      </c>
      <c r="K1046" s="2">
        <v>1</v>
      </c>
      <c r="L1046" s="2">
        <v>22.99</v>
      </c>
      <c r="M1046" s="19">
        <f t="shared" si="218"/>
        <v>22.99</v>
      </c>
      <c r="N1046" s="2"/>
      <c r="O1046" s="2" t="str">
        <f t="shared" si="219"/>
        <v/>
      </c>
      <c r="P1046" s="2">
        <v>0</v>
      </c>
      <c r="Q1046" s="19">
        <f t="shared" si="220"/>
        <v>0</v>
      </c>
      <c r="R1046" s="2" t="str">
        <f t="shared" si="221"/>
        <v>Number</v>
      </c>
      <c r="S1046" s="2">
        <v>7.99</v>
      </c>
      <c r="T1046" s="19">
        <f t="shared" si="222"/>
        <v>7.99</v>
      </c>
      <c r="U1046" s="2">
        <v>30.98</v>
      </c>
      <c r="V1046" s="19">
        <f t="shared" si="223"/>
        <v>30.98</v>
      </c>
      <c r="W1046" s="19">
        <f t="shared" si="224"/>
        <v>30.979999999999997</v>
      </c>
      <c r="X1046" s="19" t="str">
        <f t="shared" si="225"/>
        <v>True</v>
      </c>
      <c r="Y1046" s="19" t="str">
        <f>IF(OR(W1046&lt;'Cleaning Tasks'!$G$18,W1046&gt;'Cleaning Tasks'!$H$18),"Outlier","Normal")</f>
        <v>Normal</v>
      </c>
      <c r="Z1046" s="2" t="s">
        <v>66</v>
      </c>
      <c r="AA1046" s="2" t="s">
        <v>88</v>
      </c>
      <c r="AB1046" s="2" t="s">
        <v>50</v>
      </c>
      <c r="AC1046" s="2" t="s">
        <v>73</v>
      </c>
      <c r="AD1046" s="2"/>
      <c r="AE1046" s="2" t="str">
        <f t="shared" si="226"/>
        <v>Not Required</v>
      </c>
      <c r="AF1046" s="2" t="s">
        <v>3087</v>
      </c>
    </row>
    <row r="1047" spans="1:32" x14ac:dyDescent="0.3">
      <c r="A1047" s="2" t="s">
        <v>3088</v>
      </c>
      <c r="B1047" s="2">
        <f t="shared" si="216"/>
        <v>1</v>
      </c>
      <c r="C1047" s="12">
        <f t="shared" si="227"/>
        <v>46238</v>
      </c>
      <c r="D1047" s="13" t="s">
        <v>1193</v>
      </c>
      <c r="E1047" s="2" t="s">
        <v>199</v>
      </c>
      <c r="F1047" s="2" t="str">
        <f t="shared" si="217"/>
        <v>Email Available</v>
      </c>
      <c r="G1047" s="2" t="s">
        <v>200</v>
      </c>
      <c r="H1047" s="2" t="s">
        <v>56</v>
      </c>
      <c r="I1047" s="2" t="s">
        <v>22</v>
      </c>
      <c r="J1047" s="2" t="s">
        <v>57</v>
      </c>
      <c r="K1047" s="2">
        <v>2</v>
      </c>
      <c r="L1047" s="2">
        <v>9.99</v>
      </c>
      <c r="M1047" s="19">
        <f t="shared" si="218"/>
        <v>9.99</v>
      </c>
      <c r="N1047" s="2" t="s">
        <v>38</v>
      </c>
      <c r="O1047" s="2" t="str">
        <f t="shared" si="219"/>
        <v>FREESHIP</v>
      </c>
      <c r="P1047" s="2">
        <v>0</v>
      </c>
      <c r="Q1047" s="19">
        <f t="shared" si="220"/>
        <v>0</v>
      </c>
      <c r="R1047" s="2" t="str">
        <f t="shared" si="221"/>
        <v>Number</v>
      </c>
      <c r="S1047" s="2">
        <v>0</v>
      </c>
      <c r="T1047" s="19">
        <f t="shared" si="222"/>
        <v>0</v>
      </c>
      <c r="U1047" s="2">
        <v>19.98</v>
      </c>
      <c r="V1047" s="19">
        <f t="shared" si="223"/>
        <v>19.98</v>
      </c>
      <c r="W1047" s="19">
        <f t="shared" si="224"/>
        <v>19.98</v>
      </c>
      <c r="X1047" s="19" t="str">
        <f t="shared" si="225"/>
        <v>True</v>
      </c>
      <c r="Y1047" s="19" t="str">
        <f>IF(OR(W1047&lt;'Cleaning Tasks'!$G$18,W1047&gt;'Cleaning Tasks'!$H$18),"Outlier","Normal")</f>
        <v>Normal</v>
      </c>
      <c r="Z1047" s="2" t="s">
        <v>49</v>
      </c>
      <c r="AA1047" s="2" t="s">
        <v>27</v>
      </c>
      <c r="AB1047" s="2" t="s">
        <v>28</v>
      </c>
      <c r="AC1047" s="2" t="s">
        <v>73</v>
      </c>
      <c r="AD1047" s="2"/>
      <c r="AE1047" s="2" t="str">
        <f t="shared" si="226"/>
        <v>Not Required</v>
      </c>
      <c r="AF1047" s="2" t="s">
        <v>3089</v>
      </c>
    </row>
    <row r="1048" spans="1:32" x14ac:dyDescent="0.3">
      <c r="A1048" s="2" t="s">
        <v>3090</v>
      </c>
      <c r="B1048" s="2">
        <f t="shared" si="216"/>
        <v>1</v>
      </c>
      <c r="C1048" s="12">
        <f t="shared" si="227"/>
        <v>46238</v>
      </c>
      <c r="D1048" s="13" t="s">
        <v>143</v>
      </c>
      <c r="E1048" s="2" t="s">
        <v>654</v>
      </c>
      <c r="F1048" s="2" t="str">
        <f t="shared" si="217"/>
        <v>Email Available</v>
      </c>
      <c r="G1048" s="2" t="s">
        <v>655</v>
      </c>
      <c r="H1048" s="2" t="s">
        <v>124</v>
      </c>
      <c r="I1048" s="2" t="s">
        <v>79</v>
      </c>
      <c r="J1048" s="2" t="s">
        <v>125</v>
      </c>
      <c r="K1048" s="2">
        <v>2</v>
      </c>
      <c r="L1048" s="2">
        <v>13.99</v>
      </c>
      <c r="M1048" s="19">
        <f t="shared" si="218"/>
        <v>13.99</v>
      </c>
      <c r="N1048" s="2" t="s">
        <v>203</v>
      </c>
      <c r="O1048" s="2" t="str">
        <f t="shared" si="219"/>
        <v>VIP15</v>
      </c>
      <c r="P1048" s="2">
        <v>4.2</v>
      </c>
      <c r="Q1048" s="19">
        <f t="shared" si="220"/>
        <v>4.2</v>
      </c>
      <c r="R1048" s="2" t="str">
        <f t="shared" si="221"/>
        <v>Number</v>
      </c>
      <c r="S1048" s="2">
        <v>7.99</v>
      </c>
      <c r="T1048" s="19">
        <f t="shared" si="222"/>
        <v>7.99</v>
      </c>
      <c r="U1048" s="2">
        <v>31.77</v>
      </c>
      <c r="V1048" s="19">
        <f t="shared" si="223"/>
        <v>31.77</v>
      </c>
      <c r="W1048" s="19">
        <f t="shared" si="224"/>
        <v>31.770000000000003</v>
      </c>
      <c r="X1048" s="19" t="str">
        <f t="shared" si="225"/>
        <v>True</v>
      </c>
      <c r="Y1048" s="19" t="str">
        <f>IF(OR(W1048&lt;'Cleaning Tasks'!$G$18,W1048&gt;'Cleaning Tasks'!$H$18),"Outlier","Normal")</f>
        <v>Normal</v>
      </c>
      <c r="Z1048" s="2" t="s">
        <v>66</v>
      </c>
      <c r="AA1048" s="2" t="s">
        <v>27</v>
      </c>
      <c r="AB1048" s="2" t="s">
        <v>96</v>
      </c>
      <c r="AC1048" s="2" t="s">
        <v>29</v>
      </c>
      <c r="AD1048" s="2" t="s">
        <v>341</v>
      </c>
      <c r="AE1048" s="2" t="str">
        <f t="shared" si="226"/>
        <v>Valid</v>
      </c>
      <c r="AF1048" s="2" t="s">
        <v>3091</v>
      </c>
    </row>
    <row r="1049" spans="1:32" x14ac:dyDescent="0.3">
      <c r="A1049" s="2" t="s">
        <v>3092</v>
      </c>
      <c r="B1049" s="2">
        <f t="shared" si="216"/>
        <v>1</v>
      </c>
      <c r="C1049" s="12">
        <f t="shared" si="227"/>
        <v>46238</v>
      </c>
      <c r="D1049" s="13" t="s">
        <v>143</v>
      </c>
      <c r="E1049" s="2" t="s">
        <v>188</v>
      </c>
      <c r="F1049" s="2" t="str">
        <f t="shared" si="217"/>
        <v>Email Available</v>
      </c>
      <c r="G1049" s="2" t="s">
        <v>189</v>
      </c>
      <c r="H1049" s="2" t="s">
        <v>221</v>
      </c>
      <c r="I1049" s="2" t="s">
        <v>22</v>
      </c>
      <c r="J1049" s="2" t="s">
        <v>222</v>
      </c>
      <c r="K1049" s="2">
        <v>1</v>
      </c>
      <c r="L1049" s="2">
        <v>17.989999999999998</v>
      </c>
      <c r="M1049" s="19">
        <f t="shared" si="218"/>
        <v>17.989999999999998</v>
      </c>
      <c r="N1049" s="2"/>
      <c r="O1049" s="2" t="str">
        <f t="shared" si="219"/>
        <v/>
      </c>
      <c r="P1049" s="2">
        <v>0</v>
      </c>
      <c r="Q1049" s="19">
        <f t="shared" si="220"/>
        <v>0</v>
      </c>
      <c r="R1049" s="2" t="str">
        <f t="shared" si="221"/>
        <v>Number</v>
      </c>
      <c r="S1049" s="2">
        <v>5.99</v>
      </c>
      <c r="T1049" s="19">
        <f t="shared" si="222"/>
        <v>5.99</v>
      </c>
      <c r="U1049" s="2">
        <v>23.98</v>
      </c>
      <c r="V1049" s="19">
        <f t="shared" si="223"/>
        <v>23.98</v>
      </c>
      <c r="W1049" s="19">
        <f t="shared" si="224"/>
        <v>23.979999999999997</v>
      </c>
      <c r="X1049" s="19" t="str">
        <f t="shared" si="225"/>
        <v>True</v>
      </c>
      <c r="Y1049" s="19" t="str">
        <f>IF(OR(W1049&lt;'Cleaning Tasks'!$G$18,W1049&gt;'Cleaning Tasks'!$H$18),"Outlier","Normal")</f>
        <v>Normal</v>
      </c>
      <c r="Z1049" s="2" t="s">
        <v>26</v>
      </c>
      <c r="AA1049" s="2" t="s">
        <v>27</v>
      </c>
      <c r="AB1049" s="2" t="s">
        <v>50</v>
      </c>
      <c r="AC1049" s="2" t="s">
        <v>29</v>
      </c>
      <c r="AD1049" s="2" t="s">
        <v>89</v>
      </c>
      <c r="AE1049" s="2" t="str">
        <f t="shared" si="226"/>
        <v>Valid</v>
      </c>
      <c r="AF1049" s="2" t="s">
        <v>3093</v>
      </c>
    </row>
    <row r="1050" spans="1:32" x14ac:dyDescent="0.3">
      <c r="A1050" s="2" t="s">
        <v>3094</v>
      </c>
      <c r="B1050" s="2">
        <f t="shared" si="216"/>
        <v>1</v>
      </c>
      <c r="C1050" s="12">
        <f t="shared" si="227"/>
        <v>46238.586415069447</v>
      </c>
      <c r="D1050" s="13">
        <v>46238.586415069447</v>
      </c>
      <c r="E1050" s="2" t="s">
        <v>441</v>
      </c>
      <c r="F1050" s="2" t="str">
        <f t="shared" si="217"/>
        <v>Email Available</v>
      </c>
      <c r="G1050" s="2" t="s">
        <v>442</v>
      </c>
      <c r="H1050" s="2" t="s">
        <v>56</v>
      </c>
      <c r="I1050" s="2" t="s">
        <v>22</v>
      </c>
      <c r="J1050" s="2" t="s">
        <v>57</v>
      </c>
      <c r="K1050" s="2">
        <v>1</v>
      </c>
      <c r="L1050" s="2">
        <v>9.99</v>
      </c>
      <c r="M1050" s="19">
        <f t="shared" si="218"/>
        <v>9.99</v>
      </c>
      <c r="N1050" s="2" t="s">
        <v>203</v>
      </c>
      <c r="O1050" s="2" t="str">
        <f t="shared" si="219"/>
        <v>VIP15</v>
      </c>
      <c r="P1050" s="2">
        <v>1.5</v>
      </c>
      <c r="Q1050" s="19">
        <f t="shared" si="220"/>
        <v>1.5</v>
      </c>
      <c r="R1050" s="2" t="str">
        <f t="shared" si="221"/>
        <v>Number</v>
      </c>
      <c r="S1050" s="2">
        <v>5.99</v>
      </c>
      <c r="T1050" s="19">
        <f t="shared" si="222"/>
        <v>5.99</v>
      </c>
      <c r="U1050" s="2">
        <v>14.48</v>
      </c>
      <c r="V1050" s="19">
        <f t="shared" si="223"/>
        <v>14.48</v>
      </c>
      <c r="W1050" s="19">
        <f t="shared" si="224"/>
        <v>14.48</v>
      </c>
      <c r="X1050" s="19" t="str">
        <f t="shared" si="225"/>
        <v>True</v>
      </c>
      <c r="Y1050" s="19" t="str">
        <f>IF(OR(W1050&lt;'Cleaning Tasks'!$G$18,W1050&gt;'Cleaning Tasks'!$H$18),"Outlier","Normal")</f>
        <v>Normal</v>
      </c>
      <c r="Z1050" s="2" t="s">
        <v>39</v>
      </c>
      <c r="AA1050" s="2" t="s">
        <v>27</v>
      </c>
      <c r="AB1050" s="2" t="s">
        <v>50</v>
      </c>
      <c r="AC1050" s="2" t="s">
        <v>29</v>
      </c>
      <c r="AD1050" s="2" t="s">
        <v>58</v>
      </c>
      <c r="AE1050" s="2" t="str">
        <f t="shared" si="226"/>
        <v>Valid</v>
      </c>
      <c r="AF1050" s="2" t="s">
        <v>3095</v>
      </c>
    </row>
    <row r="1051" spans="1:32" x14ac:dyDescent="0.3">
      <c r="A1051" s="2" t="s">
        <v>3096</v>
      </c>
      <c r="B1051" s="2">
        <f t="shared" si="216"/>
        <v>1</v>
      </c>
      <c r="C1051" s="12">
        <f t="shared" si="227"/>
        <v>46238.582141226849</v>
      </c>
      <c r="D1051" s="13">
        <v>46238.582141226849</v>
      </c>
      <c r="E1051" s="2" t="s">
        <v>303</v>
      </c>
      <c r="F1051" s="2" t="str">
        <f t="shared" si="217"/>
        <v>Email Available</v>
      </c>
      <c r="G1051" s="2" t="s">
        <v>304</v>
      </c>
      <c r="H1051" s="2" t="s">
        <v>152</v>
      </c>
      <c r="I1051" s="2" t="s">
        <v>36</v>
      </c>
      <c r="J1051" s="2" t="s">
        <v>153</v>
      </c>
      <c r="K1051" s="2">
        <v>1</v>
      </c>
      <c r="L1051" s="2">
        <v>29.99</v>
      </c>
      <c r="M1051" s="19">
        <f t="shared" si="218"/>
        <v>29.99</v>
      </c>
      <c r="N1051" s="2"/>
      <c r="O1051" s="2" t="str">
        <f t="shared" si="219"/>
        <v/>
      </c>
      <c r="P1051" s="2">
        <v>0</v>
      </c>
      <c r="Q1051" s="19">
        <f t="shared" si="220"/>
        <v>0</v>
      </c>
      <c r="R1051" s="2" t="str">
        <f t="shared" si="221"/>
        <v>Number</v>
      </c>
      <c r="S1051" s="2">
        <v>5.99</v>
      </c>
      <c r="T1051" s="19">
        <f t="shared" si="222"/>
        <v>5.99</v>
      </c>
      <c r="U1051" s="2">
        <v>35.979999999999997</v>
      </c>
      <c r="V1051" s="19">
        <f t="shared" si="223"/>
        <v>35.979999999999997</v>
      </c>
      <c r="W1051" s="19">
        <f t="shared" si="224"/>
        <v>35.979999999999997</v>
      </c>
      <c r="X1051" s="19" t="str">
        <f t="shared" si="225"/>
        <v>True</v>
      </c>
      <c r="Y1051" s="19" t="str">
        <f>IF(OR(W1051&lt;'Cleaning Tasks'!$G$18,W1051&gt;'Cleaning Tasks'!$H$18),"Outlier","Normal")</f>
        <v>Normal</v>
      </c>
      <c r="Z1051" s="2" t="s">
        <v>66</v>
      </c>
      <c r="AA1051" s="2" t="s">
        <v>88</v>
      </c>
      <c r="AB1051" s="2" t="s">
        <v>41</v>
      </c>
      <c r="AC1051" s="2" t="s">
        <v>29</v>
      </c>
      <c r="AD1051" s="22" t="s">
        <v>140</v>
      </c>
      <c r="AE1051" s="2" t="str">
        <f t="shared" si="226"/>
        <v>Valid</v>
      </c>
      <c r="AF1051" s="2" t="s">
        <v>3097</v>
      </c>
    </row>
    <row r="1052" spans="1:32" x14ac:dyDescent="0.3">
      <c r="A1052" s="2" t="s">
        <v>3098</v>
      </c>
      <c r="B1052" s="2">
        <f t="shared" si="216"/>
        <v>1</v>
      </c>
      <c r="C1052" s="12">
        <f t="shared" si="227"/>
        <v>46238.58233513889</v>
      </c>
      <c r="D1052" s="13">
        <v>46238.58233513889</v>
      </c>
      <c r="E1052" s="2" t="s">
        <v>922</v>
      </c>
      <c r="F1052" s="2" t="str">
        <f t="shared" si="217"/>
        <v>Email Available</v>
      </c>
      <c r="G1052" s="2" t="s">
        <v>923</v>
      </c>
      <c r="H1052" s="2" t="s">
        <v>182</v>
      </c>
      <c r="I1052" s="2" t="s">
        <v>36</v>
      </c>
      <c r="J1052" s="2" t="s">
        <v>183</v>
      </c>
      <c r="K1052" s="2">
        <v>1</v>
      </c>
      <c r="L1052" s="2" t="s">
        <v>402</v>
      </c>
      <c r="M1052" s="19">
        <f t="shared" si="218"/>
        <v>11.99</v>
      </c>
      <c r="N1052" s="2"/>
      <c r="O1052" s="2" t="str">
        <f t="shared" si="219"/>
        <v/>
      </c>
      <c r="P1052" s="2">
        <v>0</v>
      </c>
      <c r="Q1052" s="19">
        <f t="shared" si="220"/>
        <v>0</v>
      </c>
      <c r="R1052" s="2" t="str">
        <f t="shared" si="221"/>
        <v>Number</v>
      </c>
      <c r="S1052" s="2">
        <v>5.99</v>
      </c>
      <c r="T1052" s="19">
        <f t="shared" si="222"/>
        <v>5.99</v>
      </c>
      <c r="U1052" s="2">
        <v>17.98</v>
      </c>
      <c r="V1052" s="19">
        <f t="shared" si="223"/>
        <v>17.98</v>
      </c>
      <c r="W1052" s="19">
        <f t="shared" si="224"/>
        <v>17.98</v>
      </c>
      <c r="X1052" s="19" t="str">
        <f t="shared" si="225"/>
        <v>True</v>
      </c>
      <c r="Y1052" s="19" t="str">
        <f>IF(OR(W1052&lt;'Cleaning Tasks'!$G$18,W1052&gt;'Cleaning Tasks'!$H$18),"Outlier","Normal")</f>
        <v>Normal</v>
      </c>
      <c r="Z1052" s="2" t="s">
        <v>26</v>
      </c>
      <c r="AA1052" s="2" t="s">
        <v>40</v>
      </c>
      <c r="AB1052" s="2" t="s">
        <v>50</v>
      </c>
      <c r="AC1052" s="2" t="s">
        <v>29</v>
      </c>
      <c r="AD1052" s="2" t="s">
        <v>447</v>
      </c>
      <c r="AE1052" s="2" t="str">
        <f t="shared" si="226"/>
        <v>Valid</v>
      </c>
      <c r="AF1052" s="2" t="s">
        <v>3099</v>
      </c>
    </row>
    <row r="1053" spans="1:32" x14ac:dyDescent="0.3">
      <c r="A1053" s="2" t="s">
        <v>3100</v>
      </c>
      <c r="B1053" s="2">
        <f t="shared" si="216"/>
        <v>1</v>
      </c>
      <c r="C1053" s="12">
        <f t="shared" si="227"/>
        <v>46238.582026655087</v>
      </c>
      <c r="D1053" s="13">
        <v>46238.582026655087</v>
      </c>
      <c r="E1053" s="2" t="s">
        <v>485</v>
      </c>
      <c r="F1053" s="2" t="str">
        <f t="shared" si="217"/>
        <v>Email Available</v>
      </c>
      <c r="G1053" s="2" t="s">
        <v>486</v>
      </c>
      <c r="H1053" s="2" t="s">
        <v>221</v>
      </c>
      <c r="I1053" s="2" t="s">
        <v>22</v>
      </c>
      <c r="J1053" s="2" t="s">
        <v>222</v>
      </c>
      <c r="K1053" s="2">
        <v>1</v>
      </c>
      <c r="L1053" s="2">
        <v>17.989999999999998</v>
      </c>
      <c r="M1053" s="19">
        <f t="shared" si="218"/>
        <v>17.989999999999998</v>
      </c>
      <c r="N1053" s="2"/>
      <c r="O1053" s="2" t="str">
        <f t="shared" si="219"/>
        <v/>
      </c>
      <c r="P1053" s="2" t="s">
        <v>184</v>
      </c>
      <c r="Q1053" s="19">
        <f t="shared" si="220"/>
        <v>0</v>
      </c>
      <c r="R1053" s="2" t="str">
        <f t="shared" si="221"/>
        <v>Number</v>
      </c>
      <c r="S1053" s="2">
        <v>5.99</v>
      </c>
      <c r="T1053" s="19">
        <f t="shared" si="222"/>
        <v>5.99</v>
      </c>
      <c r="U1053" s="2">
        <v>23.98</v>
      </c>
      <c r="V1053" s="19">
        <f t="shared" si="223"/>
        <v>23.98</v>
      </c>
      <c r="W1053" s="19">
        <f t="shared" si="224"/>
        <v>23.979999999999997</v>
      </c>
      <c r="X1053" s="19" t="str">
        <f t="shared" si="225"/>
        <v>True</v>
      </c>
      <c r="Y1053" s="19" t="str">
        <f>IF(OR(W1053&lt;'Cleaning Tasks'!$G$18,W1053&gt;'Cleaning Tasks'!$H$18),"Outlier","Normal")</f>
        <v>Normal</v>
      </c>
      <c r="Z1053" s="2" t="s">
        <v>26</v>
      </c>
      <c r="AA1053" s="2" t="s">
        <v>40</v>
      </c>
      <c r="AB1053" s="2" t="s">
        <v>50</v>
      </c>
      <c r="AC1053" s="2" t="s">
        <v>73</v>
      </c>
      <c r="AD1053" s="2"/>
      <c r="AE1053" s="2" t="str">
        <f t="shared" si="226"/>
        <v>Not Required</v>
      </c>
      <c r="AF1053" s="2" t="s">
        <v>3101</v>
      </c>
    </row>
    <row r="1054" spans="1:32" x14ac:dyDescent="0.3">
      <c r="A1054" s="2" t="s">
        <v>3102</v>
      </c>
      <c r="B1054" s="2">
        <f t="shared" si="216"/>
        <v>1</v>
      </c>
      <c r="C1054" s="12">
        <f t="shared" si="227"/>
        <v>46238.583233217592</v>
      </c>
      <c r="D1054" s="13">
        <v>46238.583233217592</v>
      </c>
      <c r="E1054" s="2" t="s">
        <v>1084</v>
      </c>
      <c r="F1054" s="2" t="str">
        <f t="shared" si="217"/>
        <v>Email Available</v>
      </c>
      <c r="G1054" s="2" t="s">
        <v>1085</v>
      </c>
      <c r="H1054" s="2" t="s">
        <v>35</v>
      </c>
      <c r="I1054" s="2" t="s">
        <v>36</v>
      </c>
      <c r="J1054" s="2" t="s">
        <v>37</v>
      </c>
      <c r="K1054" s="2">
        <v>1</v>
      </c>
      <c r="L1054" s="2">
        <v>21.99</v>
      </c>
      <c r="M1054" s="19">
        <f t="shared" si="218"/>
        <v>21.99</v>
      </c>
      <c r="N1054" s="2"/>
      <c r="O1054" s="2" t="str">
        <f t="shared" si="219"/>
        <v/>
      </c>
      <c r="P1054" s="2" t="s">
        <v>184</v>
      </c>
      <c r="Q1054" s="19">
        <f t="shared" si="220"/>
        <v>0</v>
      </c>
      <c r="R1054" s="2" t="str">
        <f t="shared" si="221"/>
        <v>Number</v>
      </c>
      <c r="S1054" s="2">
        <v>7.99</v>
      </c>
      <c r="T1054" s="19">
        <f t="shared" si="222"/>
        <v>7.99</v>
      </c>
      <c r="U1054" s="2">
        <v>29.98</v>
      </c>
      <c r="V1054" s="19">
        <f t="shared" si="223"/>
        <v>29.98</v>
      </c>
      <c r="W1054" s="19">
        <f t="shared" si="224"/>
        <v>29.979999999999997</v>
      </c>
      <c r="X1054" s="19" t="str">
        <f t="shared" si="225"/>
        <v>True</v>
      </c>
      <c r="Y1054" s="19" t="str">
        <f>IF(OR(W1054&lt;'Cleaning Tasks'!$G$18,W1054&gt;'Cleaning Tasks'!$H$18),"Outlier","Normal")</f>
        <v>Normal</v>
      </c>
      <c r="Z1054" s="2" t="s">
        <v>39</v>
      </c>
      <c r="AA1054" s="2" t="s">
        <v>27</v>
      </c>
      <c r="AB1054" s="2" t="s">
        <v>50</v>
      </c>
      <c r="AC1054" s="2" t="s">
        <v>29</v>
      </c>
      <c r="AD1054" s="2" t="s">
        <v>30</v>
      </c>
      <c r="AE1054" s="2" t="str">
        <f t="shared" si="226"/>
        <v>Valid</v>
      </c>
      <c r="AF1054" s="2" t="s">
        <v>3103</v>
      </c>
    </row>
    <row r="1055" spans="1:32" x14ac:dyDescent="0.3">
      <c r="A1055" s="2" t="s">
        <v>3104</v>
      </c>
      <c r="B1055" s="2">
        <f t="shared" si="216"/>
        <v>1</v>
      </c>
      <c r="C1055" s="12">
        <f t="shared" si="227"/>
        <v>46238.585669178239</v>
      </c>
      <c r="D1055" s="13">
        <v>46238.585669178239</v>
      </c>
      <c r="E1055" s="2" t="s">
        <v>3105</v>
      </c>
      <c r="F1055" s="2" t="str">
        <f t="shared" si="217"/>
        <v>Email Available</v>
      </c>
      <c r="G1055" s="2" t="s">
        <v>3106</v>
      </c>
      <c r="H1055" s="2" t="s">
        <v>261</v>
      </c>
      <c r="I1055" s="2" t="s">
        <v>36</v>
      </c>
      <c r="J1055" s="2" t="s">
        <v>262</v>
      </c>
      <c r="K1055" s="2">
        <v>2</v>
      </c>
      <c r="L1055" s="2">
        <v>15.49</v>
      </c>
      <c r="M1055" s="19">
        <f t="shared" si="218"/>
        <v>15.49</v>
      </c>
      <c r="N1055" s="2" t="s">
        <v>24</v>
      </c>
      <c r="O1055" s="2" t="str">
        <f t="shared" si="219"/>
        <v>SAVE20</v>
      </c>
      <c r="P1055" s="2">
        <v>6.2</v>
      </c>
      <c r="Q1055" s="19">
        <f t="shared" si="220"/>
        <v>6.2</v>
      </c>
      <c r="R1055" s="2" t="str">
        <f t="shared" si="221"/>
        <v>Number</v>
      </c>
      <c r="S1055" s="2">
        <v>7.99</v>
      </c>
      <c r="T1055" s="19">
        <f t="shared" si="222"/>
        <v>7.99</v>
      </c>
      <c r="U1055" s="2">
        <v>32.770000000000003</v>
      </c>
      <c r="V1055" s="19">
        <f t="shared" si="223"/>
        <v>32.770000000000003</v>
      </c>
      <c r="W1055" s="19">
        <f t="shared" si="224"/>
        <v>32.770000000000003</v>
      </c>
      <c r="X1055" s="19" t="str">
        <f t="shared" si="225"/>
        <v>True</v>
      </c>
      <c r="Y1055" s="19" t="str">
        <f>IF(OR(W1055&lt;'Cleaning Tasks'!$G$18,W1055&gt;'Cleaning Tasks'!$H$18),"Outlier","Normal")</f>
        <v>Normal</v>
      </c>
      <c r="Z1055" s="2" t="s">
        <v>39</v>
      </c>
      <c r="AA1055" s="2" t="s">
        <v>40</v>
      </c>
      <c r="AB1055" s="2" t="s">
        <v>50</v>
      </c>
      <c r="AC1055" s="2" t="s">
        <v>29</v>
      </c>
      <c r="AD1055" s="22" t="s">
        <v>243</v>
      </c>
      <c r="AE1055" s="2" t="str">
        <f t="shared" si="226"/>
        <v>Valid</v>
      </c>
      <c r="AF1055" s="2" t="s">
        <v>3107</v>
      </c>
    </row>
    <row r="1056" spans="1:32" x14ac:dyDescent="0.3">
      <c r="A1056" s="2" t="s">
        <v>3108</v>
      </c>
      <c r="B1056" s="2">
        <f t="shared" si="216"/>
        <v>1</v>
      </c>
      <c r="C1056" s="12">
        <f t="shared" si="227"/>
        <v>46238.582075115737</v>
      </c>
      <c r="D1056" s="13">
        <v>46238.582075115737</v>
      </c>
      <c r="E1056" s="2" t="s">
        <v>3109</v>
      </c>
      <c r="F1056" s="2" t="str">
        <f t="shared" si="217"/>
        <v>Email Available</v>
      </c>
      <c r="G1056" s="2" t="s">
        <v>1020</v>
      </c>
      <c r="H1056" s="2" t="s">
        <v>361</v>
      </c>
      <c r="I1056" s="2" t="s">
        <v>86</v>
      </c>
      <c r="J1056" s="2" t="s">
        <v>362</v>
      </c>
      <c r="K1056" s="2">
        <v>1</v>
      </c>
      <c r="L1056" s="2">
        <v>54.99</v>
      </c>
      <c r="M1056" s="19">
        <f t="shared" si="218"/>
        <v>54.99</v>
      </c>
      <c r="N1056" s="2" t="s">
        <v>24</v>
      </c>
      <c r="O1056" s="2" t="str">
        <f t="shared" si="219"/>
        <v>SAVE20</v>
      </c>
      <c r="P1056" s="2">
        <v>11</v>
      </c>
      <c r="Q1056" s="19">
        <f t="shared" si="220"/>
        <v>11</v>
      </c>
      <c r="R1056" s="2" t="str">
        <f t="shared" si="221"/>
        <v>Number</v>
      </c>
      <c r="S1056" s="2">
        <v>7.99</v>
      </c>
      <c r="T1056" s="19">
        <f t="shared" si="222"/>
        <v>7.99</v>
      </c>
      <c r="U1056" s="2">
        <v>51.98</v>
      </c>
      <c r="V1056" s="19">
        <f t="shared" si="223"/>
        <v>51.98</v>
      </c>
      <c r="W1056" s="19">
        <f t="shared" si="224"/>
        <v>51.980000000000004</v>
      </c>
      <c r="X1056" s="19" t="str">
        <f t="shared" si="225"/>
        <v>True</v>
      </c>
      <c r="Y1056" s="19" t="str">
        <f>IF(OR(W1056&lt;'Cleaning Tasks'!$G$18,W1056&gt;'Cleaning Tasks'!$H$18),"Outlier","Normal")</f>
        <v>Normal</v>
      </c>
      <c r="Z1056" s="2" t="s">
        <v>26</v>
      </c>
      <c r="AA1056" s="2" t="s">
        <v>88</v>
      </c>
      <c r="AB1056" s="2" t="s">
        <v>50</v>
      </c>
      <c r="AC1056" s="2" t="s">
        <v>29</v>
      </c>
      <c r="AD1056" s="2" t="s">
        <v>58</v>
      </c>
      <c r="AE1056" s="2" t="str">
        <f t="shared" si="226"/>
        <v>Valid</v>
      </c>
      <c r="AF1056" s="2" t="s">
        <v>3110</v>
      </c>
    </row>
    <row r="1057" spans="1:32" x14ac:dyDescent="0.3">
      <c r="A1057" s="2" t="s">
        <v>3111</v>
      </c>
      <c r="B1057" s="2">
        <f t="shared" si="216"/>
        <v>1</v>
      </c>
      <c r="C1057" s="12">
        <f t="shared" si="227"/>
        <v>46238.585170601851</v>
      </c>
      <c r="D1057" s="13">
        <v>46238.585170601851</v>
      </c>
      <c r="E1057" s="2"/>
      <c r="F1057" s="2" t="str">
        <f t="shared" si="217"/>
        <v>Email Available</v>
      </c>
      <c r="G1057" s="2" t="s">
        <v>1728</v>
      </c>
      <c r="H1057" s="2" t="s">
        <v>361</v>
      </c>
      <c r="I1057" s="2" t="s">
        <v>86</v>
      </c>
      <c r="J1057" s="2" t="s">
        <v>362</v>
      </c>
      <c r="K1057" s="2">
        <v>1</v>
      </c>
      <c r="L1057" s="2">
        <v>54.99</v>
      </c>
      <c r="M1057" s="19">
        <f t="shared" si="218"/>
        <v>54.99</v>
      </c>
      <c r="N1057" s="2"/>
      <c r="O1057" s="2" t="str">
        <f t="shared" si="219"/>
        <v/>
      </c>
      <c r="P1057" s="2">
        <v>0</v>
      </c>
      <c r="Q1057" s="19">
        <f t="shared" si="220"/>
        <v>0</v>
      </c>
      <c r="R1057" s="2" t="str">
        <f t="shared" si="221"/>
        <v>Number</v>
      </c>
      <c r="S1057" s="2">
        <v>4.99</v>
      </c>
      <c r="T1057" s="19">
        <f t="shared" si="222"/>
        <v>4.99</v>
      </c>
      <c r="U1057" s="2" t="s">
        <v>3112</v>
      </c>
      <c r="V1057" s="19">
        <f t="shared" si="223"/>
        <v>59.98</v>
      </c>
      <c r="W1057" s="19">
        <f t="shared" si="224"/>
        <v>59.980000000000004</v>
      </c>
      <c r="X1057" s="19" t="str">
        <f t="shared" si="225"/>
        <v>True</v>
      </c>
      <c r="Y1057" s="19" t="str">
        <f>IF(OR(W1057&lt;'Cleaning Tasks'!$G$18,W1057&gt;'Cleaning Tasks'!$H$18),"Outlier","Normal")</f>
        <v>Normal</v>
      </c>
      <c r="Z1057" s="2" t="s">
        <v>66</v>
      </c>
      <c r="AA1057" s="2" t="s">
        <v>111</v>
      </c>
      <c r="AB1057" s="2" t="s">
        <v>28</v>
      </c>
      <c r="AC1057" s="2" t="s">
        <v>29</v>
      </c>
      <c r="AD1057" s="2" t="s">
        <v>341</v>
      </c>
      <c r="AE1057" s="2" t="str">
        <f t="shared" si="226"/>
        <v>Valid</v>
      </c>
      <c r="AF1057" s="2" t="s">
        <v>3113</v>
      </c>
    </row>
    <row r="1058" spans="1:32" x14ac:dyDescent="0.3">
      <c r="A1058" s="2" t="s">
        <v>3114</v>
      </c>
      <c r="B1058" s="2">
        <f t="shared" si="216"/>
        <v>1</v>
      </c>
      <c r="C1058" s="12">
        <f t="shared" si="227"/>
        <v>46238.579640451389</v>
      </c>
      <c r="D1058" s="13">
        <v>46238.579640451389</v>
      </c>
      <c r="E1058" s="2" t="s">
        <v>3115</v>
      </c>
      <c r="F1058" s="2" t="str">
        <f t="shared" si="217"/>
        <v>Email Available</v>
      </c>
      <c r="G1058" s="2" t="s">
        <v>260</v>
      </c>
      <c r="H1058" s="2" t="s">
        <v>117</v>
      </c>
      <c r="I1058" s="2" t="s">
        <v>22</v>
      </c>
      <c r="J1058" s="2" t="s">
        <v>23</v>
      </c>
      <c r="K1058" s="2">
        <v>4</v>
      </c>
      <c r="L1058" s="2">
        <v>12.99</v>
      </c>
      <c r="M1058" s="19">
        <f t="shared" si="218"/>
        <v>12.99</v>
      </c>
      <c r="N1058" s="2"/>
      <c r="O1058" s="2" t="str">
        <f t="shared" si="219"/>
        <v/>
      </c>
      <c r="P1058" s="2" t="s">
        <v>184</v>
      </c>
      <c r="Q1058" s="19">
        <f t="shared" si="220"/>
        <v>0</v>
      </c>
      <c r="R1058" s="2" t="str">
        <f t="shared" si="221"/>
        <v>Number</v>
      </c>
      <c r="S1058" s="2">
        <v>5.99</v>
      </c>
      <c r="T1058" s="19">
        <f t="shared" si="222"/>
        <v>5.99</v>
      </c>
      <c r="U1058" s="2" t="s">
        <v>3116</v>
      </c>
      <c r="V1058" s="19">
        <f t="shared" si="223"/>
        <v>57.95</v>
      </c>
      <c r="W1058" s="19">
        <f t="shared" si="224"/>
        <v>57.95</v>
      </c>
      <c r="X1058" s="19" t="str">
        <f t="shared" si="225"/>
        <v>True</v>
      </c>
      <c r="Y1058" s="19" t="str">
        <f>IF(OR(W1058&lt;'Cleaning Tasks'!$G$18,W1058&gt;'Cleaning Tasks'!$H$18),"Outlier","Normal")</f>
        <v>Normal</v>
      </c>
      <c r="Z1058" s="2" t="s">
        <v>66</v>
      </c>
      <c r="AA1058" s="2" t="s">
        <v>27</v>
      </c>
      <c r="AB1058" s="2" t="s">
        <v>50</v>
      </c>
      <c r="AC1058" s="2" t="s">
        <v>29</v>
      </c>
      <c r="AD1058" s="2" t="s">
        <v>447</v>
      </c>
      <c r="AE1058" s="2" t="str">
        <f t="shared" si="226"/>
        <v>Valid</v>
      </c>
      <c r="AF1058" s="2" t="s">
        <v>3117</v>
      </c>
    </row>
    <row r="1059" spans="1:32" x14ac:dyDescent="0.3">
      <c r="A1059" s="2" t="s">
        <v>3118</v>
      </c>
      <c r="B1059" s="2">
        <f t="shared" si="216"/>
        <v>1</v>
      </c>
      <c r="C1059" s="12">
        <f t="shared" si="227"/>
        <v>46238.583240636573</v>
      </c>
      <c r="D1059" s="13">
        <v>46238.583240636573</v>
      </c>
      <c r="E1059" s="2" t="s">
        <v>666</v>
      </c>
      <c r="F1059" s="2" t="str">
        <f t="shared" si="217"/>
        <v>Email Available</v>
      </c>
      <c r="G1059" s="2" t="s">
        <v>667</v>
      </c>
      <c r="H1059" s="2" t="s">
        <v>46</v>
      </c>
      <c r="I1059" s="2" t="s">
        <v>47</v>
      </c>
      <c r="J1059" s="2" t="s">
        <v>48</v>
      </c>
      <c r="K1059" s="2">
        <v>1</v>
      </c>
      <c r="L1059" s="2">
        <v>39.99</v>
      </c>
      <c r="M1059" s="19">
        <f t="shared" si="218"/>
        <v>39.99</v>
      </c>
      <c r="N1059" s="2"/>
      <c r="O1059" s="2" t="str">
        <f t="shared" si="219"/>
        <v/>
      </c>
      <c r="P1059" s="2">
        <v>0</v>
      </c>
      <c r="Q1059" s="19">
        <f t="shared" si="220"/>
        <v>0</v>
      </c>
      <c r="R1059" s="2" t="str">
        <f t="shared" si="221"/>
        <v>Number</v>
      </c>
      <c r="S1059" s="2">
        <v>7.99</v>
      </c>
      <c r="T1059" s="19">
        <f t="shared" si="222"/>
        <v>7.99</v>
      </c>
      <c r="U1059" s="2">
        <v>47.98</v>
      </c>
      <c r="V1059" s="19">
        <f t="shared" si="223"/>
        <v>47.98</v>
      </c>
      <c r="W1059" s="19">
        <f t="shared" si="224"/>
        <v>47.980000000000004</v>
      </c>
      <c r="X1059" s="19" t="str">
        <f t="shared" si="225"/>
        <v>True</v>
      </c>
      <c r="Y1059" s="19" t="str">
        <f>IF(OR(W1059&lt;'Cleaning Tasks'!$G$18,W1059&gt;'Cleaning Tasks'!$H$18),"Outlier","Normal")</f>
        <v>Normal</v>
      </c>
      <c r="Z1059" s="2" t="s">
        <v>39</v>
      </c>
      <c r="AA1059" s="2" t="s">
        <v>27</v>
      </c>
      <c r="AB1059" s="2" t="s">
        <v>50</v>
      </c>
      <c r="AC1059" s="2" t="s">
        <v>223</v>
      </c>
      <c r="AD1059" s="2"/>
      <c r="AE1059" s="2" t="str">
        <f t="shared" si="226"/>
        <v>Not Required</v>
      </c>
      <c r="AF1059" s="2" t="s">
        <v>3119</v>
      </c>
    </row>
    <row r="1060" spans="1:32" x14ac:dyDescent="0.3">
      <c r="A1060" s="2" t="s">
        <v>3120</v>
      </c>
      <c r="B1060" s="2">
        <f t="shared" si="216"/>
        <v>1</v>
      </c>
      <c r="C1060" s="12">
        <f t="shared" si="227"/>
        <v>46238.583823414352</v>
      </c>
      <c r="D1060" s="13">
        <v>46238.583823414352</v>
      </c>
      <c r="E1060" s="2" t="s">
        <v>677</v>
      </c>
      <c r="F1060" s="2" t="str">
        <f t="shared" si="217"/>
        <v>Email Available</v>
      </c>
      <c r="G1060" s="2" t="s">
        <v>478</v>
      </c>
      <c r="H1060" s="2" t="s">
        <v>261</v>
      </c>
      <c r="I1060" s="2" t="s">
        <v>36</v>
      </c>
      <c r="J1060" s="2" t="s">
        <v>262</v>
      </c>
      <c r="K1060" s="2">
        <v>2</v>
      </c>
      <c r="L1060" s="2">
        <v>15.49</v>
      </c>
      <c r="M1060" s="19">
        <f t="shared" si="218"/>
        <v>15.49</v>
      </c>
      <c r="N1060" s="2" t="s">
        <v>38</v>
      </c>
      <c r="O1060" s="2" t="str">
        <f t="shared" si="219"/>
        <v>FREESHIP</v>
      </c>
      <c r="P1060" s="2">
        <v>0</v>
      </c>
      <c r="Q1060" s="19">
        <f t="shared" si="220"/>
        <v>0</v>
      </c>
      <c r="R1060" s="2" t="str">
        <f t="shared" si="221"/>
        <v>Number</v>
      </c>
      <c r="S1060" s="2">
        <v>0</v>
      </c>
      <c r="T1060" s="19">
        <f t="shared" si="222"/>
        <v>0</v>
      </c>
      <c r="U1060" s="2">
        <v>30.98</v>
      </c>
      <c r="V1060" s="19">
        <f t="shared" si="223"/>
        <v>30.98</v>
      </c>
      <c r="W1060" s="19">
        <f t="shared" si="224"/>
        <v>30.98</v>
      </c>
      <c r="X1060" s="19" t="str">
        <f t="shared" si="225"/>
        <v>True</v>
      </c>
      <c r="Y1060" s="19" t="str">
        <f>IF(OR(W1060&lt;'Cleaning Tasks'!$G$18,W1060&gt;'Cleaning Tasks'!$H$18),"Outlier","Normal")</f>
        <v>Normal</v>
      </c>
      <c r="Z1060" s="2" t="s">
        <v>72</v>
      </c>
      <c r="AA1060" s="2" t="s">
        <v>88</v>
      </c>
      <c r="AB1060" s="2" t="s">
        <v>96</v>
      </c>
      <c r="AC1060" s="2" t="s">
        <v>29</v>
      </c>
      <c r="AD1060" s="2" t="s">
        <v>140</v>
      </c>
      <c r="AE1060" s="2" t="str">
        <f t="shared" si="226"/>
        <v>Valid</v>
      </c>
      <c r="AF1060" s="2" t="s">
        <v>1949</v>
      </c>
    </row>
    <row r="1061" spans="1:32" x14ac:dyDescent="0.3">
      <c r="A1061" s="2" t="s">
        <v>3121</v>
      </c>
      <c r="B1061" s="2">
        <f t="shared" si="216"/>
        <v>1</v>
      </c>
      <c r="C1061" s="12">
        <f t="shared" si="227"/>
        <v>46238.583608067129</v>
      </c>
      <c r="D1061" s="13">
        <v>46238.583608067129</v>
      </c>
      <c r="E1061" s="2" t="s">
        <v>441</v>
      </c>
      <c r="F1061" s="2" t="str">
        <f t="shared" si="217"/>
        <v>Email Available</v>
      </c>
      <c r="G1061" s="2" t="s">
        <v>442</v>
      </c>
      <c r="H1061" s="2" t="s">
        <v>221</v>
      </c>
      <c r="I1061" s="2" t="s">
        <v>22</v>
      </c>
      <c r="J1061" s="2" t="s">
        <v>222</v>
      </c>
      <c r="K1061" s="2">
        <v>1</v>
      </c>
      <c r="L1061" s="2">
        <v>17.989999999999998</v>
      </c>
      <c r="M1061" s="19">
        <f t="shared" si="218"/>
        <v>17.989999999999998</v>
      </c>
      <c r="N1061" s="2"/>
      <c r="O1061" s="2" t="str">
        <f t="shared" si="219"/>
        <v/>
      </c>
      <c r="P1061" s="2" t="s">
        <v>184</v>
      </c>
      <c r="Q1061" s="19">
        <f t="shared" si="220"/>
        <v>0</v>
      </c>
      <c r="R1061" s="2" t="str">
        <f t="shared" si="221"/>
        <v>Number</v>
      </c>
      <c r="S1061" s="2">
        <v>5.99</v>
      </c>
      <c r="T1061" s="19">
        <f t="shared" si="222"/>
        <v>5.99</v>
      </c>
      <c r="U1061" s="2" t="s">
        <v>3122</v>
      </c>
      <c r="V1061" s="19">
        <f t="shared" si="223"/>
        <v>23.98</v>
      </c>
      <c r="W1061" s="19">
        <f t="shared" si="224"/>
        <v>23.979999999999997</v>
      </c>
      <c r="X1061" s="19" t="str">
        <f t="shared" si="225"/>
        <v>True</v>
      </c>
      <c r="Y1061" s="19" t="str">
        <f>IF(OR(W1061&lt;'Cleaning Tasks'!$G$18,W1061&gt;'Cleaning Tasks'!$H$18),"Outlier","Normal")</f>
        <v>Normal</v>
      </c>
      <c r="Z1061" s="2" t="s">
        <v>49</v>
      </c>
      <c r="AA1061" s="2" t="s">
        <v>88</v>
      </c>
      <c r="AB1061" s="2" t="s">
        <v>28</v>
      </c>
      <c r="AC1061" s="2" t="s">
        <v>29</v>
      </c>
      <c r="AD1061" s="2" t="s">
        <v>67</v>
      </c>
      <c r="AE1061" s="2" t="str">
        <f t="shared" si="226"/>
        <v>Valid</v>
      </c>
      <c r="AF1061" s="2" t="s">
        <v>3123</v>
      </c>
    </row>
    <row r="1062" spans="1:32" x14ac:dyDescent="0.3">
      <c r="A1062" s="2" t="s">
        <v>3124</v>
      </c>
      <c r="B1062" s="2">
        <f t="shared" si="216"/>
        <v>1</v>
      </c>
      <c r="C1062" s="12">
        <f t="shared" si="227"/>
        <v>46238.582422013889</v>
      </c>
      <c r="D1062" s="13">
        <v>46238.582422013889</v>
      </c>
      <c r="E1062" s="2" t="s">
        <v>639</v>
      </c>
      <c r="F1062" s="2" t="str">
        <f t="shared" si="217"/>
        <v>Email Available</v>
      </c>
      <c r="G1062" s="2" t="s">
        <v>640</v>
      </c>
      <c r="H1062" s="2" t="s">
        <v>201</v>
      </c>
      <c r="I1062" s="2" t="s">
        <v>191</v>
      </c>
      <c r="J1062" s="2" t="s">
        <v>202</v>
      </c>
      <c r="K1062" s="2">
        <v>2</v>
      </c>
      <c r="L1062" s="2">
        <v>24.99</v>
      </c>
      <c r="M1062" s="19">
        <f t="shared" si="218"/>
        <v>24.99</v>
      </c>
      <c r="N1062" s="2" t="s">
        <v>24</v>
      </c>
      <c r="O1062" s="2" t="str">
        <f t="shared" si="219"/>
        <v>SAVE20</v>
      </c>
      <c r="P1062" s="2">
        <v>10</v>
      </c>
      <c r="Q1062" s="19">
        <f t="shared" si="220"/>
        <v>10</v>
      </c>
      <c r="R1062" s="2" t="str">
        <f t="shared" si="221"/>
        <v>Number</v>
      </c>
      <c r="S1062" s="2">
        <v>4.99</v>
      </c>
      <c r="T1062" s="19">
        <f t="shared" si="222"/>
        <v>4.99</v>
      </c>
      <c r="U1062" s="2">
        <v>44.97</v>
      </c>
      <c r="V1062" s="19">
        <f t="shared" si="223"/>
        <v>44.97</v>
      </c>
      <c r="W1062" s="19">
        <f t="shared" si="224"/>
        <v>44.97</v>
      </c>
      <c r="X1062" s="19" t="str">
        <f t="shared" si="225"/>
        <v>True</v>
      </c>
      <c r="Y1062" s="19" t="str">
        <f>IF(OR(W1062&lt;'Cleaning Tasks'!$G$18,W1062&gt;'Cleaning Tasks'!$H$18),"Outlier","Normal")</f>
        <v>Normal</v>
      </c>
      <c r="Z1062" s="2" t="s">
        <v>72</v>
      </c>
      <c r="AA1062" s="2" t="s">
        <v>88</v>
      </c>
      <c r="AB1062" s="2" t="s">
        <v>50</v>
      </c>
      <c r="AC1062" s="2" t="s">
        <v>29</v>
      </c>
      <c r="AD1062" s="2" t="s">
        <v>30</v>
      </c>
      <c r="AE1062" s="2" t="str">
        <f t="shared" si="226"/>
        <v>Valid</v>
      </c>
      <c r="AF1062" s="2" t="s">
        <v>3125</v>
      </c>
    </row>
    <row r="1063" spans="1:32" x14ac:dyDescent="0.3">
      <c r="A1063" s="2" t="s">
        <v>3126</v>
      </c>
      <c r="B1063" s="2">
        <f t="shared" si="216"/>
        <v>1</v>
      </c>
      <c r="C1063" s="12">
        <f t="shared" si="227"/>
        <v>46238.587695555558</v>
      </c>
      <c r="D1063" s="13">
        <v>46238.587695555558</v>
      </c>
      <c r="E1063" s="2" t="s">
        <v>473</v>
      </c>
      <c r="F1063" s="2" t="str">
        <f t="shared" si="217"/>
        <v>Email Available</v>
      </c>
      <c r="G1063" s="2" t="s">
        <v>474</v>
      </c>
      <c r="H1063" s="2" t="s">
        <v>146</v>
      </c>
      <c r="I1063" s="2" t="s">
        <v>47</v>
      </c>
      <c r="J1063" s="2" t="s">
        <v>147</v>
      </c>
      <c r="K1063" s="2">
        <v>1</v>
      </c>
      <c r="L1063" s="2" t="s">
        <v>340</v>
      </c>
      <c r="M1063" s="19">
        <f t="shared" si="218"/>
        <v>34.99</v>
      </c>
      <c r="N1063" s="2" t="s">
        <v>65</v>
      </c>
      <c r="O1063" s="2" t="str">
        <f t="shared" si="219"/>
        <v>WELCOME10</v>
      </c>
      <c r="P1063" s="2">
        <v>3.5</v>
      </c>
      <c r="Q1063" s="19">
        <f t="shared" si="220"/>
        <v>3.5</v>
      </c>
      <c r="R1063" s="2" t="str">
        <f t="shared" si="221"/>
        <v>Number</v>
      </c>
      <c r="S1063" s="2">
        <v>5.99</v>
      </c>
      <c r="T1063" s="19">
        <f t="shared" si="222"/>
        <v>5.99</v>
      </c>
      <c r="U1063" s="2">
        <v>37.479999999999997</v>
      </c>
      <c r="V1063" s="19">
        <f t="shared" si="223"/>
        <v>37.479999999999997</v>
      </c>
      <c r="W1063" s="19">
        <f t="shared" si="224"/>
        <v>37.480000000000004</v>
      </c>
      <c r="X1063" s="19" t="str">
        <f t="shared" si="225"/>
        <v>True</v>
      </c>
      <c r="Y1063" s="19" t="str">
        <f>IF(OR(W1063&lt;'Cleaning Tasks'!$G$18,W1063&gt;'Cleaning Tasks'!$H$18),"Outlier","Normal")</f>
        <v>Normal</v>
      </c>
      <c r="Z1063" s="2" t="s">
        <v>66</v>
      </c>
      <c r="AA1063" s="2" t="s">
        <v>88</v>
      </c>
      <c r="AB1063" s="2" t="s">
        <v>50</v>
      </c>
      <c r="AC1063" s="2" t="s">
        <v>73</v>
      </c>
      <c r="AD1063" s="2"/>
      <c r="AE1063" s="2" t="str">
        <f t="shared" si="226"/>
        <v>Not Required</v>
      </c>
      <c r="AF1063" s="2" t="s">
        <v>3127</v>
      </c>
    </row>
    <row r="1064" spans="1:32" x14ac:dyDescent="0.3">
      <c r="A1064" s="2" t="s">
        <v>3128</v>
      </c>
      <c r="B1064" s="2">
        <f t="shared" si="216"/>
        <v>1</v>
      </c>
      <c r="C1064" s="12">
        <f t="shared" si="227"/>
        <v>46238</v>
      </c>
      <c r="D1064" s="13" t="s">
        <v>1193</v>
      </c>
      <c r="E1064" s="2" t="s">
        <v>213</v>
      </c>
      <c r="F1064" s="2" t="str">
        <f t="shared" si="217"/>
        <v>Email Available</v>
      </c>
      <c r="G1064" s="2" t="s">
        <v>214</v>
      </c>
      <c r="H1064" s="2" t="s">
        <v>85</v>
      </c>
      <c r="I1064" s="2" t="s">
        <v>86</v>
      </c>
      <c r="J1064" s="2" t="s">
        <v>87</v>
      </c>
      <c r="K1064" s="2">
        <v>1</v>
      </c>
      <c r="L1064" s="2">
        <v>54.99</v>
      </c>
      <c r="M1064" s="19">
        <f t="shared" si="218"/>
        <v>54.99</v>
      </c>
      <c r="N1064" s="2"/>
      <c r="O1064" s="2" t="str">
        <f t="shared" si="219"/>
        <v/>
      </c>
      <c r="P1064" s="2">
        <v>0</v>
      </c>
      <c r="Q1064" s="19">
        <f t="shared" si="220"/>
        <v>0</v>
      </c>
      <c r="R1064" s="2" t="str">
        <f t="shared" si="221"/>
        <v>Number</v>
      </c>
      <c r="S1064" s="2">
        <v>4.99</v>
      </c>
      <c r="T1064" s="19">
        <f t="shared" si="222"/>
        <v>4.99</v>
      </c>
      <c r="U1064" s="2">
        <v>59.98</v>
      </c>
      <c r="V1064" s="19">
        <f t="shared" si="223"/>
        <v>59.98</v>
      </c>
      <c r="W1064" s="19">
        <f t="shared" si="224"/>
        <v>59.980000000000004</v>
      </c>
      <c r="X1064" s="19" t="str">
        <f t="shared" si="225"/>
        <v>True</v>
      </c>
      <c r="Y1064" s="19" t="str">
        <f>IF(OR(W1064&lt;'Cleaning Tasks'!$G$18,W1064&gt;'Cleaning Tasks'!$H$18),"Outlier","Normal")</f>
        <v>Normal</v>
      </c>
      <c r="Z1064" s="2" t="s">
        <v>66</v>
      </c>
      <c r="AA1064" s="2" t="s">
        <v>40</v>
      </c>
      <c r="AB1064" s="2" t="s">
        <v>28</v>
      </c>
      <c r="AC1064" s="2" t="s">
        <v>29</v>
      </c>
      <c r="AD1064" s="2" t="s">
        <v>341</v>
      </c>
      <c r="AE1064" s="2" t="str">
        <f t="shared" si="226"/>
        <v>Valid</v>
      </c>
      <c r="AF1064" s="2" t="s">
        <v>3129</v>
      </c>
    </row>
    <row r="1065" spans="1:32" x14ac:dyDescent="0.3">
      <c r="A1065" s="2" t="s">
        <v>3130</v>
      </c>
      <c r="B1065" s="2">
        <f t="shared" si="216"/>
        <v>1</v>
      </c>
      <c r="C1065" s="12">
        <f t="shared" si="227"/>
        <v>46238.579982916657</v>
      </c>
      <c r="D1065" s="13">
        <v>46238.579982916657</v>
      </c>
      <c r="E1065" s="2" t="s">
        <v>1203</v>
      </c>
      <c r="F1065" s="2" t="str">
        <f t="shared" si="217"/>
        <v>Email Available</v>
      </c>
      <c r="G1065" s="2" t="s">
        <v>1204</v>
      </c>
      <c r="H1065" s="2" t="s">
        <v>146</v>
      </c>
      <c r="I1065" s="2" t="s">
        <v>47</v>
      </c>
      <c r="J1065" s="2" t="s">
        <v>147</v>
      </c>
      <c r="K1065" s="2">
        <v>1</v>
      </c>
      <c r="L1065" s="2">
        <v>34.99</v>
      </c>
      <c r="M1065" s="19">
        <f t="shared" si="218"/>
        <v>34.99</v>
      </c>
      <c r="N1065" s="2"/>
      <c r="O1065" s="2" t="str">
        <f t="shared" si="219"/>
        <v/>
      </c>
      <c r="P1065" s="2">
        <v>0</v>
      </c>
      <c r="Q1065" s="19">
        <f t="shared" si="220"/>
        <v>0</v>
      </c>
      <c r="R1065" s="2" t="str">
        <f t="shared" si="221"/>
        <v>Number</v>
      </c>
      <c r="S1065" s="2">
        <v>5.99</v>
      </c>
      <c r="T1065" s="19">
        <f t="shared" si="222"/>
        <v>5.99</v>
      </c>
      <c r="U1065" s="2">
        <v>40.98</v>
      </c>
      <c r="V1065" s="19">
        <f t="shared" si="223"/>
        <v>40.98</v>
      </c>
      <c r="W1065" s="19">
        <f t="shared" si="224"/>
        <v>40.980000000000004</v>
      </c>
      <c r="X1065" s="19" t="str">
        <f t="shared" si="225"/>
        <v>True</v>
      </c>
      <c r="Y1065" s="19" t="str">
        <f>IF(OR(W1065&lt;'Cleaning Tasks'!$G$18,W1065&gt;'Cleaning Tasks'!$H$18),"Outlier","Normal")</f>
        <v>Normal</v>
      </c>
      <c r="Z1065" s="2" t="s">
        <v>72</v>
      </c>
      <c r="AA1065" s="2" t="s">
        <v>88</v>
      </c>
      <c r="AB1065" s="2" t="s">
        <v>50</v>
      </c>
      <c r="AC1065" s="2" t="s">
        <v>73</v>
      </c>
      <c r="AD1065" s="2"/>
      <c r="AE1065" s="2" t="str">
        <f t="shared" si="226"/>
        <v>Not Required</v>
      </c>
      <c r="AF1065" s="2" t="s">
        <v>3131</v>
      </c>
    </row>
    <row r="1066" spans="1:32" x14ac:dyDescent="0.3">
      <c r="A1066" s="2" t="s">
        <v>3132</v>
      </c>
      <c r="B1066" s="2">
        <f t="shared" si="216"/>
        <v>1</v>
      </c>
      <c r="C1066" s="12">
        <f t="shared" si="227"/>
        <v>46238.587461655086</v>
      </c>
      <c r="D1066" s="13">
        <v>46238.587461655086</v>
      </c>
      <c r="E1066" s="2" t="s">
        <v>1727</v>
      </c>
      <c r="F1066" s="2" t="str">
        <f t="shared" si="217"/>
        <v>Email Available</v>
      </c>
      <c r="G1066" s="2" t="s">
        <v>1728</v>
      </c>
      <c r="H1066" s="2" t="s">
        <v>63</v>
      </c>
      <c r="I1066" s="2" t="s">
        <v>47</v>
      </c>
      <c r="J1066" s="2" t="s">
        <v>64</v>
      </c>
      <c r="K1066" s="2">
        <v>1</v>
      </c>
      <c r="L1066" s="2">
        <v>14.99</v>
      </c>
      <c r="M1066" s="19">
        <f t="shared" si="218"/>
        <v>14.99</v>
      </c>
      <c r="N1066" s="2" t="s">
        <v>38</v>
      </c>
      <c r="O1066" s="2" t="str">
        <f t="shared" si="219"/>
        <v>FREESHIP</v>
      </c>
      <c r="P1066" s="2">
        <v>0</v>
      </c>
      <c r="Q1066" s="19">
        <f t="shared" si="220"/>
        <v>0</v>
      </c>
      <c r="R1066" s="2" t="str">
        <f t="shared" si="221"/>
        <v>Number</v>
      </c>
      <c r="S1066" s="2">
        <v>0</v>
      </c>
      <c r="T1066" s="19">
        <f t="shared" si="222"/>
        <v>0</v>
      </c>
      <c r="U1066" s="2">
        <v>14.99</v>
      </c>
      <c r="V1066" s="19">
        <f t="shared" si="223"/>
        <v>14.99</v>
      </c>
      <c r="W1066" s="19">
        <f t="shared" si="224"/>
        <v>14.99</v>
      </c>
      <c r="X1066" s="19" t="str">
        <f t="shared" si="225"/>
        <v>True</v>
      </c>
      <c r="Y1066" s="19" t="str">
        <f>IF(OR(W1066&lt;'Cleaning Tasks'!$G$18,W1066&gt;'Cleaning Tasks'!$H$18),"Outlier","Normal")</f>
        <v>Normal</v>
      </c>
      <c r="Z1066" s="2" t="s">
        <v>66</v>
      </c>
      <c r="AA1066" s="2" t="s">
        <v>27</v>
      </c>
      <c r="AB1066" s="2" t="s">
        <v>50</v>
      </c>
      <c r="AC1066" s="2" t="s">
        <v>29</v>
      </c>
      <c r="AD1066" s="2" t="s">
        <v>67</v>
      </c>
      <c r="AE1066" s="2" t="str">
        <f t="shared" si="226"/>
        <v>Valid</v>
      </c>
      <c r="AF1066" s="2" t="s">
        <v>3133</v>
      </c>
    </row>
    <row r="1067" spans="1:32" x14ac:dyDescent="0.3">
      <c r="A1067" s="2" t="s">
        <v>3134</v>
      </c>
      <c r="B1067" s="2">
        <f t="shared" si="216"/>
        <v>1</v>
      </c>
      <c r="C1067" s="12">
        <f t="shared" si="227"/>
        <v>46238.583147233803</v>
      </c>
      <c r="D1067" s="13">
        <v>46238.583147233803</v>
      </c>
      <c r="E1067" s="2" t="s">
        <v>1611</v>
      </c>
      <c r="F1067" s="2" t="str">
        <f t="shared" si="217"/>
        <v>Email Available</v>
      </c>
      <c r="G1067" s="2" t="s">
        <v>1612</v>
      </c>
      <c r="H1067" s="2" t="s">
        <v>261</v>
      </c>
      <c r="I1067" s="2" t="s">
        <v>36</v>
      </c>
      <c r="J1067" s="2" t="s">
        <v>262</v>
      </c>
      <c r="K1067" s="2">
        <v>2</v>
      </c>
      <c r="L1067" s="2">
        <v>15.49</v>
      </c>
      <c r="M1067" s="19">
        <f t="shared" si="218"/>
        <v>15.49</v>
      </c>
      <c r="N1067" s="2" t="s">
        <v>24</v>
      </c>
      <c r="O1067" s="2" t="str">
        <f t="shared" si="219"/>
        <v>SAVE20</v>
      </c>
      <c r="P1067" s="2">
        <v>6.2</v>
      </c>
      <c r="Q1067" s="19">
        <f t="shared" si="220"/>
        <v>6.2</v>
      </c>
      <c r="R1067" s="2" t="str">
        <f t="shared" si="221"/>
        <v>Number</v>
      </c>
      <c r="S1067" s="2">
        <v>4.99</v>
      </c>
      <c r="T1067" s="19">
        <f t="shared" si="222"/>
        <v>4.99</v>
      </c>
      <c r="U1067" s="2">
        <v>29.77</v>
      </c>
      <c r="V1067" s="19">
        <f t="shared" si="223"/>
        <v>29.77</v>
      </c>
      <c r="W1067" s="19">
        <f t="shared" si="224"/>
        <v>29.770000000000003</v>
      </c>
      <c r="X1067" s="19" t="str">
        <f t="shared" si="225"/>
        <v>True</v>
      </c>
      <c r="Y1067" s="19" t="str">
        <f>IF(OR(W1067&lt;'Cleaning Tasks'!$G$18,W1067&gt;'Cleaning Tasks'!$H$18),"Outlier","Normal")</f>
        <v>Normal</v>
      </c>
      <c r="Z1067" s="2" t="s">
        <v>72</v>
      </c>
      <c r="AA1067" s="2" t="s">
        <v>40</v>
      </c>
      <c r="AB1067" s="2" t="s">
        <v>96</v>
      </c>
      <c r="AC1067" s="2" t="s">
        <v>29</v>
      </c>
      <c r="AD1067" s="2" t="s">
        <v>30</v>
      </c>
      <c r="AE1067" s="2" t="str">
        <f t="shared" si="226"/>
        <v>Valid</v>
      </c>
      <c r="AF1067" s="2" t="s">
        <v>3135</v>
      </c>
    </row>
    <row r="1068" spans="1:32" x14ac:dyDescent="0.3">
      <c r="A1068" s="2" t="s">
        <v>3136</v>
      </c>
      <c r="B1068" s="2">
        <f t="shared" si="216"/>
        <v>1</v>
      </c>
      <c r="C1068" s="12">
        <f t="shared" si="227"/>
        <v>46238.588200578713</v>
      </c>
      <c r="D1068" s="13">
        <v>46238.588200578713</v>
      </c>
      <c r="E1068" s="2" t="s">
        <v>1650</v>
      </c>
      <c r="F1068" s="2" t="str">
        <f t="shared" si="217"/>
        <v>Email Available</v>
      </c>
      <c r="G1068" s="2" t="s">
        <v>1651</v>
      </c>
      <c r="H1068" s="2" t="s">
        <v>166</v>
      </c>
      <c r="I1068" s="2" t="s">
        <v>103</v>
      </c>
      <c r="J1068" s="2" t="s">
        <v>167</v>
      </c>
      <c r="K1068" s="2">
        <v>1</v>
      </c>
      <c r="L1068" s="2">
        <v>32.99</v>
      </c>
      <c r="M1068" s="19">
        <f t="shared" si="218"/>
        <v>32.99</v>
      </c>
      <c r="N1068" s="2" t="s">
        <v>24</v>
      </c>
      <c r="O1068" s="2" t="str">
        <f t="shared" si="219"/>
        <v>SAVE20</v>
      </c>
      <c r="P1068" s="2">
        <v>6.6</v>
      </c>
      <c r="Q1068" s="19">
        <f t="shared" si="220"/>
        <v>6.6</v>
      </c>
      <c r="R1068" s="2" t="str">
        <f t="shared" si="221"/>
        <v>Number</v>
      </c>
      <c r="S1068" s="2">
        <v>5.99</v>
      </c>
      <c r="T1068" s="19">
        <f t="shared" si="222"/>
        <v>5.99</v>
      </c>
      <c r="U1068" s="2" t="s">
        <v>3137</v>
      </c>
      <c r="V1068" s="19">
        <f t="shared" si="223"/>
        <v>32.380000000000003</v>
      </c>
      <c r="W1068" s="19">
        <f t="shared" si="224"/>
        <v>32.380000000000003</v>
      </c>
      <c r="X1068" s="19" t="str">
        <f t="shared" si="225"/>
        <v>True</v>
      </c>
      <c r="Y1068" s="19" t="str">
        <f>IF(OR(W1068&lt;'Cleaning Tasks'!$G$18,W1068&gt;'Cleaning Tasks'!$H$18),"Outlier","Normal")</f>
        <v>Normal</v>
      </c>
      <c r="Z1068" s="2" t="s">
        <v>39</v>
      </c>
      <c r="AA1068" s="2" t="s">
        <v>40</v>
      </c>
      <c r="AB1068" s="2" t="s">
        <v>50</v>
      </c>
      <c r="AC1068" s="2" t="s">
        <v>29</v>
      </c>
      <c r="AD1068" s="2" t="s">
        <v>112</v>
      </c>
      <c r="AE1068" s="2" t="str">
        <f t="shared" si="226"/>
        <v>Valid</v>
      </c>
      <c r="AF1068" s="2" t="s">
        <v>3138</v>
      </c>
    </row>
    <row r="1069" spans="1:32" x14ac:dyDescent="0.3">
      <c r="A1069" s="2" t="s">
        <v>3139</v>
      </c>
      <c r="B1069" s="2">
        <f t="shared" si="216"/>
        <v>1</v>
      </c>
      <c r="C1069" s="12">
        <f t="shared" si="227"/>
        <v>46238.589159108793</v>
      </c>
      <c r="D1069" s="13">
        <v>46238.589159108793</v>
      </c>
      <c r="E1069" s="2" t="s">
        <v>61</v>
      </c>
      <c r="F1069" s="2" t="str">
        <f t="shared" si="217"/>
        <v>Email Available</v>
      </c>
      <c r="G1069" s="2" t="s">
        <v>62</v>
      </c>
      <c r="H1069" s="2" t="s">
        <v>261</v>
      </c>
      <c r="I1069" s="2" t="s">
        <v>36</v>
      </c>
      <c r="J1069" s="2" t="s">
        <v>262</v>
      </c>
      <c r="K1069" s="2">
        <v>1</v>
      </c>
      <c r="L1069" s="2">
        <v>15.49</v>
      </c>
      <c r="M1069" s="19">
        <f t="shared" si="218"/>
        <v>15.49</v>
      </c>
      <c r="N1069" s="2"/>
      <c r="O1069" s="2" t="str">
        <f t="shared" si="219"/>
        <v/>
      </c>
      <c r="P1069" s="2">
        <v>0</v>
      </c>
      <c r="Q1069" s="19">
        <f t="shared" si="220"/>
        <v>0</v>
      </c>
      <c r="R1069" s="2" t="str">
        <f t="shared" si="221"/>
        <v>Number</v>
      </c>
      <c r="S1069" s="2">
        <v>7.99</v>
      </c>
      <c r="T1069" s="19">
        <f t="shared" si="222"/>
        <v>7.99</v>
      </c>
      <c r="U1069" s="2">
        <v>23.48</v>
      </c>
      <c r="V1069" s="19">
        <f t="shared" si="223"/>
        <v>23.48</v>
      </c>
      <c r="W1069" s="19">
        <f t="shared" si="224"/>
        <v>23.48</v>
      </c>
      <c r="X1069" s="19" t="str">
        <f t="shared" si="225"/>
        <v>True</v>
      </c>
      <c r="Y1069" s="19" t="str">
        <f>IF(OR(W1069&lt;'Cleaning Tasks'!$G$18,W1069&gt;'Cleaning Tasks'!$H$18),"Outlier","Normal")</f>
        <v>Normal</v>
      </c>
      <c r="Z1069" s="2" t="s">
        <v>66</v>
      </c>
      <c r="AA1069" s="2" t="s">
        <v>27</v>
      </c>
      <c r="AB1069" s="2" t="s">
        <v>41</v>
      </c>
      <c r="AC1069" s="2" t="s">
        <v>29</v>
      </c>
      <c r="AD1069" s="2" t="s">
        <v>89</v>
      </c>
      <c r="AE1069" s="2" t="str">
        <f t="shared" si="226"/>
        <v>Valid</v>
      </c>
      <c r="AF1069" s="2" t="s">
        <v>3140</v>
      </c>
    </row>
    <row r="1070" spans="1:32" x14ac:dyDescent="0.3">
      <c r="A1070" s="2" t="s">
        <v>3141</v>
      </c>
      <c r="B1070" s="2">
        <f t="shared" si="216"/>
        <v>1</v>
      </c>
      <c r="C1070" s="12">
        <f t="shared" si="227"/>
        <v>46238.58349247685</v>
      </c>
      <c r="D1070" s="13">
        <v>46238.58349247685</v>
      </c>
      <c r="E1070" s="2" t="s">
        <v>3142</v>
      </c>
      <c r="F1070" s="2" t="str">
        <f t="shared" si="217"/>
        <v>Email Available</v>
      </c>
      <c r="G1070" s="2" t="s">
        <v>3143</v>
      </c>
      <c r="H1070" s="2" t="s">
        <v>35</v>
      </c>
      <c r="I1070" s="2" t="s">
        <v>36</v>
      </c>
      <c r="J1070" s="2" t="s">
        <v>37</v>
      </c>
      <c r="K1070" s="2">
        <v>1</v>
      </c>
      <c r="L1070" s="2">
        <v>21.99</v>
      </c>
      <c r="M1070" s="19">
        <f t="shared" si="218"/>
        <v>21.99</v>
      </c>
      <c r="N1070" s="2" t="s">
        <v>203</v>
      </c>
      <c r="O1070" s="2" t="str">
        <f t="shared" si="219"/>
        <v>VIP15</v>
      </c>
      <c r="P1070" s="2">
        <v>3.3</v>
      </c>
      <c r="Q1070" s="19">
        <f t="shared" si="220"/>
        <v>3.3</v>
      </c>
      <c r="R1070" s="2" t="str">
        <f t="shared" si="221"/>
        <v>Number</v>
      </c>
      <c r="S1070" s="2">
        <v>4.99</v>
      </c>
      <c r="T1070" s="19">
        <f t="shared" si="222"/>
        <v>4.99</v>
      </c>
      <c r="U1070" s="2">
        <v>23.68</v>
      </c>
      <c r="V1070" s="19">
        <f t="shared" si="223"/>
        <v>23.68</v>
      </c>
      <c r="W1070" s="19">
        <f t="shared" si="224"/>
        <v>23.68</v>
      </c>
      <c r="X1070" s="19" t="str">
        <f t="shared" si="225"/>
        <v>True</v>
      </c>
      <c r="Y1070" s="19" t="str">
        <f>IF(OR(W1070&lt;'Cleaning Tasks'!$G$18,W1070&gt;'Cleaning Tasks'!$H$18),"Outlier","Normal")</f>
        <v>Normal</v>
      </c>
      <c r="Z1070" s="2" t="s">
        <v>26</v>
      </c>
      <c r="AA1070" s="2" t="s">
        <v>88</v>
      </c>
      <c r="AB1070" s="2" t="s">
        <v>50</v>
      </c>
      <c r="AC1070" s="2" t="s">
        <v>42</v>
      </c>
      <c r="AD1070" s="2"/>
      <c r="AE1070" s="2" t="str">
        <f t="shared" si="226"/>
        <v>Not Required</v>
      </c>
      <c r="AF1070" s="2" t="s">
        <v>3144</v>
      </c>
    </row>
    <row r="1071" spans="1:32" x14ac:dyDescent="0.3">
      <c r="A1071" s="2" t="s">
        <v>3145</v>
      </c>
      <c r="B1071" s="2">
        <f t="shared" si="216"/>
        <v>1</v>
      </c>
      <c r="C1071" s="12">
        <f t="shared" si="227"/>
        <v>46238</v>
      </c>
      <c r="D1071" s="13" t="s">
        <v>143</v>
      </c>
      <c r="E1071" s="2" t="s">
        <v>441</v>
      </c>
      <c r="F1071" s="2" t="str">
        <f t="shared" si="217"/>
        <v>Email Available</v>
      </c>
      <c r="G1071" s="2" t="s">
        <v>442</v>
      </c>
      <c r="H1071" s="2" t="s">
        <v>236</v>
      </c>
      <c r="I1071" s="2" t="s">
        <v>237</v>
      </c>
      <c r="J1071" s="2" t="s">
        <v>238</v>
      </c>
      <c r="K1071" s="2">
        <v>1</v>
      </c>
      <c r="L1071" s="2">
        <v>27.99</v>
      </c>
      <c r="M1071" s="19">
        <f t="shared" si="218"/>
        <v>27.99</v>
      </c>
      <c r="N1071" s="2"/>
      <c r="O1071" s="2" t="str">
        <f t="shared" si="219"/>
        <v/>
      </c>
      <c r="P1071" s="2">
        <v>0</v>
      </c>
      <c r="Q1071" s="19">
        <f t="shared" si="220"/>
        <v>0</v>
      </c>
      <c r="R1071" s="2" t="str">
        <f t="shared" si="221"/>
        <v>Number</v>
      </c>
      <c r="S1071" s="2">
        <v>7.99</v>
      </c>
      <c r="T1071" s="19">
        <f t="shared" si="222"/>
        <v>7.99</v>
      </c>
      <c r="U1071" s="2">
        <v>35.979999999999997</v>
      </c>
      <c r="V1071" s="19">
        <f t="shared" si="223"/>
        <v>35.979999999999997</v>
      </c>
      <c r="W1071" s="19">
        <f t="shared" si="224"/>
        <v>35.979999999999997</v>
      </c>
      <c r="X1071" s="19" t="str">
        <f t="shared" si="225"/>
        <v>True</v>
      </c>
      <c r="Y1071" s="19" t="str">
        <f>IF(OR(W1071&lt;'Cleaning Tasks'!$G$18,W1071&gt;'Cleaning Tasks'!$H$18),"Outlier","Normal")</f>
        <v>Normal</v>
      </c>
      <c r="Z1071" s="2" t="s">
        <v>66</v>
      </c>
      <c r="AA1071" s="2" t="s">
        <v>27</v>
      </c>
      <c r="AB1071" s="2" t="s">
        <v>28</v>
      </c>
      <c r="AC1071" s="2" t="s">
        <v>29</v>
      </c>
      <c r="AD1071" s="2" t="s">
        <v>58</v>
      </c>
      <c r="AE1071" s="2" t="str">
        <f t="shared" si="226"/>
        <v>Valid</v>
      </c>
      <c r="AF1071" s="2" t="s">
        <v>2254</v>
      </c>
    </row>
    <row r="1072" spans="1:32" x14ac:dyDescent="0.3">
      <c r="A1072" s="2" t="s">
        <v>3146</v>
      </c>
      <c r="B1072" s="2">
        <f t="shared" si="216"/>
        <v>1</v>
      </c>
      <c r="C1072" s="12">
        <f t="shared" si="227"/>
        <v>46238.584629050929</v>
      </c>
      <c r="D1072" s="13">
        <v>46238.584629050929</v>
      </c>
      <c r="E1072" s="2" t="s">
        <v>2160</v>
      </c>
      <c r="F1072" s="2" t="str">
        <f t="shared" si="217"/>
        <v>Email Available</v>
      </c>
      <c r="G1072" s="2" t="s">
        <v>2768</v>
      </c>
      <c r="H1072" s="2" t="s">
        <v>201</v>
      </c>
      <c r="I1072" s="2" t="s">
        <v>191</v>
      </c>
      <c r="J1072" s="2" t="s">
        <v>202</v>
      </c>
      <c r="K1072" s="2">
        <v>1</v>
      </c>
      <c r="L1072" s="2">
        <v>24.99</v>
      </c>
      <c r="M1072" s="19">
        <f t="shared" si="218"/>
        <v>24.99</v>
      </c>
      <c r="N1072" s="2" t="s">
        <v>118</v>
      </c>
      <c r="O1072" s="2" t="str">
        <f t="shared" si="219"/>
        <v>BFCM25</v>
      </c>
      <c r="P1072" s="2">
        <v>6.25</v>
      </c>
      <c r="Q1072" s="19">
        <f t="shared" si="220"/>
        <v>6.25</v>
      </c>
      <c r="R1072" s="2" t="str">
        <f t="shared" si="221"/>
        <v>Number</v>
      </c>
      <c r="S1072" s="2">
        <v>5.99</v>
      </c>
      <c r="T1072" s="19">
        <f t="shared" si="222"/>
        <v>5.99</v>
      </c>
      <c r="U1072" s="2">
        <v>24.73</v>
      </c>
      <c r="V1072" s="19">
        <f t="shared" si="223"/>
        <v>24.73</v>
      </c>
      <c r="W1072" s="19">
        <f t="shared" si="224"/>
        <v>24.729999999999997</v>
      </c>
      <c r="X1072" s="19" t="str">
        <f t="shared" si="225"/>
        <v>True</v>
      </c>
      <c r="Y1072" s="19" t="str">
        <f>IF(OR(W1072&lt;'Cleaning Tasks'!$G$18,W1072&gt;'Cleaning Tasks'!$H$18),"Outlier","Normal")</f>
        <v>Normal</v>
      </c>
      <c r="Z1072" s="2" t="s">
        <v>26</v>
      </c>
      <c r="AA1072" s="2" t="s">
        <v>27</v>
      </c>
      <c r="AB1072" s="2" t="s">
        <v>96</v>
      </c>
      <c r="AC1072" s="2" t="s">
        <v>29</v>
      </c>
      <c r="AD1072" s="2" t="s">
        <v>140</v>
      </c>
      <c r="AE1072" s="2" t="str">
        <f t="shared" si="226"/>
        <v>Valid</v>
      </c>
      <c r="AF1072" s="2" t="s">
        <v>3147</v>
      </c>
    </row>
    <row r="1073" spans="1:32" x14ac:dyDescent="0.3">
      <c r="A1073" s="2" t="s">
        <v>3148</v>
      </c>
      <c r="B1073" s="2">
        <f t="shared" si="216"/>
        <v>1</v>
      </c>
      <c r="C1073" s="12">
        <f t="shared" si="227"/>
        <v>46238.584347488417</v>
      </c>
      <c r="D1073" s="13">
        <v>46238.584347488417</v>
      </c>
      <c r="E1073" s="2" t="s">
        <v>283</v>
      </c>
      <c r="F1073" s="2" t="str">
        <f t="shared" si="217"/>
        <v>Email Available</v>
      </c>
      <c r="G1073" s="2" t="s">
        <v>284</v>
      </c>
      <c r="H1073" s="2" t="s">
        <v>78</v>
      </c>
      <c r="I1073" s="2" t="s">
        <v>79</v>
      </c>
      <c r="J1073" s="2" t="s">
        <v>80</v>
      </c>
      <c r="K1073" s="2">
        <v>2</v>
      </c>
      <c r="L1073" s="2">
        <v>89.99</v>
      </c>
      <c r="M1073" s="19">
        <f t="shared" si="218"/>
        <v>89.99</v>
      </c>
      <c r="N1073" s="2" t="s">
        <v>203</v>
      </c>
      <c r="O1073" s="2" t="str">
        <f t="shared" si="219"/>
        <v>VIP15</v>
      </c>
      <c r="P1073" s="2">
        <v>27</v>
      </c>
      <c r="Q1073" s="19">
        <f t="shared" si="220"/>
        <v>27</v>
      </c>
      <c r="R1073" s="2" t="str">
        <f t="shared" si="221"/>
        <v>Number</v>
      </c>
      <c r="S1073" s="2">
        <v>0</v>
      </c>
      <c r="T1073" s="19">
        <f t="shared" si="222"/>
        <v>0</v>
      </c>
      <c r="U1073" s="2">
        <v>152.97999999999999</v>
      </c>
      <c r="V1073" s="19">
        <f t="shared" si="223"/>
        <v>152.97999999999999</v>
      </c>
      <c r="W1073" s="19">
        <f t="shared" si="224"/>
        <v>152.97999999999999</v>
      </c>
      <c r="X1073" s="19" t="str">
        <f t="shared" si="225"/>
        <v>True</v>
      </c>
      <c r="Y1073" s="19" t="str">
        <f>IF(OR(W1073&lt;'Cleaning Tasks'!$G$18,W1073&gt;'Cleaning Tasks'!$H$18),"Outlier","Normal")</f>
        <v>Outlier</v>
      </c>
      <c r="Z1073" s="2" t="s">
        <v>39</v>
      </c>
      <c r="AA1073" s="2" t="s">
        <v>88</v>
      </c>
      <c r="AB1073" s="2" t="s">
        <v>96</v>
      </c>
      <c r="AC1073" s="2" t="s">
        <v>29</v>
      </c>
      <c r="AD1073" s="2" t="s">
        <v>341</v>
      </c>
      <c r="AE1073" s="2" t="str">
        <f t="shared" si="226"/>
        <v>Valid</v>
      </c>
      <c r="AF1073" s="2" t="s">
        <v>3149</v>
      </c>
    </row>
    <row r="1074" spans="1:32" x14ac:dyDescent="0.3">
      <c r="A1074" s="2" t="s">
        <v>3150</v>
      </c>
      <c r="B1074" s="2">
        <f t="shared" si="216"/>
        <v>1</v>
      </c>
      <c r="C1074" s="12">
        <f t="shared" ref="C1074:C1105" si="228">IF(ISNUMBER(D1074),D1074,DATEVALUE(SUBSTITUTE(TRIM(D1074),CHAR(160)," ")))</f>
        <v>46238.589042766202</v>
      </c>
      <c r="D1074" s="13">
        <v>46238.589042766202</v>
      </c>
      <c r="E1074" s="2" t="s">
        <v>2031</v>
      </c>
      <c r="F1074" s="2" t="str">
        <f t="shared" si="217"/>
        <v>Email Available</v>
      </c>
      <c r="G1074" s="2" t="s">
        <v>2032</v>
      </c>
      <c r="H1074" s="2" t="s">
        <v>35</v>
      </c>
      <c r="I1074" s="2" t="s">
        <v>36</v>
      </c>
      <c r="J1074" s="2" t="s">
        <v>37</v>
      </c>
      <c r="K1074" s="2">
        <v>2</v>
      </c>
      <c r="L1074" s="2">
        <v>21.99</v>
      </c>
      <c r="M1074" s="19">
        <f t="shared" si="218"/>
        <v>21.99</v>
      </c>
      <c r="N1074" s="2"/>
      <c r="O1074" s="2" t="str">
        <f t="shared" si="219"/>
        <v/>
      </c>
      <c r="P1074" s="2">
        <v>0</v>
      </c>
      <c r="Q1074" s="19">
        <f t="shared" si="220"/>
        <v>0</v>
      </c>
      <c r="R1074" s="2" t="str">
        <f t="shared" si="221"/>
        <v>Number</v>
      </c>
      <c r="S1074" s="2">
        <v>7.99</v>
      </c>
      <c r="T1074" s="19">
        <f t="shared" si="222"/>
        <v>7.99</v>
      </c>
      <c r="U1074" s="2">
        <v>51.97</v>
      </c>
      <c r="V1074" s="19">
        <f t="shared" si="223"/>
        <v>51.97</v>
      </c>
      <c r="W1074" s="19">
        <f t="shared" si="224"/>
        <v>51.97</v>
      </c>
      <c r="X1074" s="19" t="str">
        <f t="shared" si="225"/>
        <v>True</v>
      </c>
      <c r="Y1074" s="19" t="str">
        <f>IF(OR(W1074&lt;'Cleaning Tasks'!$G$18,W1074&gt;'Cleaning Tasks'!$H$18),"Outlier","Normal")</f>
        <v>Normal</v>
      </c>
      <c r="Z1074" s="2" t="s">
        <v>39</v>
      </c>
      <c r="AA1074" s="2" t="s">
        <v>88</v>
      </c>
      <c r="AB1074" s="2" t="s">
        <v>96</v>
      </c>
      <c r="AC1074" s="2" t="s">
        <v>29</v>
      </c>
      <c r="AD1074" s="2" t="s">
        <v>140</v>
      </c>
      <c r="AE1074" s="2" t="str">
        <f t="shared" si="226"/>
        <v>Valid</v>
      </c>
      <c r="AF1074" s="2" t="s">
        <v>3151</v>
      </c>
    </row>
    <row r="1075" spans="1:32" x14ac:dyDescent="0.3">
      <c r="A1075" s="2" t="s">
        <v>3152</v>
      </c>
      <c r="B1075" s="2">
        <f t="shared" si="216"/>
        <v>1</v>
      </c>
      <c r="C1075" s="12">
        <f t="shared" si="228"/>
        <v>46238.588521296297</v>
      </c>
      <c r="D1075" s="13">
        <v>46238.588521296297</v>
      </c>
      <c r="E1075" s="2" t="s">
        <v>835</v>
      </c>
      <c r="F1075" s="2" t="str">
        <f t="shared" si="217"/>
        <v>Email Available</v>
      </c>
      <c r="G1075" s="2" t="s">
        <v>836</v>
      </c>
      <c r="H1075" s="2" t="s">
        <v>102</v>
      </c>
      <c r="I1075" s="2" t="s">
        <v>103</v>
      </c>
      <c r="J1075" s="2" t="s">
        <v>104</v>
      </c>
      <c r="K1075" s="2">
        <v>1</v>
      </c>
      <c r="L1075" s="2">
        <v>19.989999999999998</v>
      </c>
      <c r="M1075" s="19">
        <f t="shared" si="218"/>
        <v>19.989999999999998</v>
      </c>
      <c r="N1075" s="2"/>
      <c r="O1075" s="2" t="str">
        <f t="shared" si="219"/>
        <v/>
      </c>
      <c r="P1075" s="2">
        <v>0</v>
      </c>
      <c r="Q1075" s="19">
        <f t="shared" si="220"/>
        <v>0</v>
      </c>
      <c r="R1075" s="2" t="str">
        <f t="shared" si="221"/>
        <v>Number</v>
      </c>
      <c r="S1075" s="2">
        <v>5.99</v>
      </c>
      <c r="T1075" s="19">
        <f t="shared" si="222"/>
        <v>5.99</v>
      </c>
      <c r="U1075" s="2">
        <v>25.98</v>
      </c>
      <c r="V1075" s="19">
        <f t="shared" si="223"/>
        <v>25.98</v>
      </c>
      <c r="W1075" s="19">
        <f t="shared" si="224"/>
        <v>25.979999999999997</v>
      </c>
      <c r="X1075" s="19" t="str">
        <f t="shared" si="225"/>
        <v>True</v>
      </c>
      <c r="Y1075" s="19" t="str">
        <f>IF(OR(W1075&lt;'Cleaning Tasks'!$G$18,W1075&gt;'Cleaning Tasks'!$H$18),"Outlier","Normal")</f>
        <v>Normal</v>
      </c>
      <c r="Z1075" s="2" t="s">
        <v>26</v>
      </c>
      <c r="AA1075" s="2" t="s">
        <v>27</v>
      </c>
      <c r="AB1075" s="2" t="s">
        <v>50</v>
      </c>
      <c r="AC1075" s="2" t="s">
        <v>29</v>
      </c>
      <c r="AD1075" s="2" t="s">
        <v>67</v>
      </c>
      <c r="AE1075" s="2" t="str">
        <f t="shared" si="226"/>
        <v>Valid</v>
      </c>
      <c r="AF1075" s="2" t="s">
        <v>3153</v>
      </c>
    </row>
    <row r="1076" spans="1:32" x14ac:dyDescent="0.3">
      <c r="A1076" s="2" t="s">
        <v>3154</v>
      </c>
      <c r="B1076" s="2">
        <f t="shared" si="216"/>
        <v>1</v>
      </c>
      <c r="C1076" s="12">
        <f t="shared" si="228"/>
        <v>46238.586629583333</v>
      </c>
      <c r="D1076" s="13">
        <v>46238.586629583333</v>
      </c>
      <c r="E1076" s="2" t="s">
        <v>516</v>
      </c>
      <c r="F1076" s="2" t="str">
        <f t="shared" si="217"/>
        <v>Email Available</v>
      </c>
      <c r="G1076" s="2" t="s">
        <v>517</v>
      </c>
      <c r="H1076" s="2" t="s">
        <v>182</v>
      </c>
      <c r="I1076" s="2" t="s">
        <v>36</v>
      </c>
      <c r="J1076" s="2" t="s">
        <v>183</v>
      </c>
      <c r="K1076" s="2">
        <v>1</v>
      </c>
      <c r="L1076" s="2">
        <v>11.99</v>
      </c>
      <c r="M1076" s="19">
        <f t="shared" si="218"/>
        <v>11.99</v>
      </c>
      <c r="N1076" s="2"/>
      <c r="O1076" s="2" t="str">
        <f t="shared" si="219"/>
        <v/>
      </c>
      <c r="P1076" s="2">
        <v>0</v>
      </c>
      <c r="Q1076" s="19">
        <f t="shared" si="220"/>
        <v>0</v>
      </c>
      <c r="R1076" s="2" t="str">
        <f t="shared" si="221"/>
        <v>Number</v>
      </c>
      <c r="S1076" s="2">
        <v>5.99</v>
      </c>
      <c r="T1076" s="19">
        <f t="shared" si="222"/>
        <v>5.99</v>
      </c>
      <c r="U1076" s="2">
        <v>17.98</v>
      </c>
      <c r="V1076" s="19">
        <f t="shared" si="223"/>
        <v>17.98</v>
      </c>
      <c r="W1076" s="19">
        <f t="shared" si="224"/>
        <v>17.98</v>
      </c>
      <c r="X1076" s="19" t="str">
        <f t="shared" si="225"/>
        <v>True</v>
      </c>
      <c r="Y1076" s="19" t="str">
        <f>IF(OR(W1076&lt;'Cleaning Tasks'!$G$18,W1076&gt;'Cleaning Tasks'!$H$18),"Outlier","Normal")</f>
        <v>Normal</v>
      </c>
      <c r="Z1076" s="2" t="s">
        <v>39</v>
      </c>
      <c r="AA1076" s="2" t="s">
        <v>27</v>
      </c>
      <c r="AB1076" s="2" t="s">
        <v>50</v>
      </c>
      <c r="AC1076" s="2" t="s">
        <v>29</v>
      </c>
      <c r="AD1076" s="2" t="s">
        <v>341</v>
      </c>
      <c r="AE1076" s="2" t="str">
        <f t="shared" si="226"/>
        <v>Valid</v>
      </c>
      <c r="AF1076" s="2" t="s">
        <v>3155</v>
      </c>
    </row>
    <row r="1077" spans="1:32" x14ac:dyDescent="0.3">
      <c r="A1077" s="2" t="s">
        <v>3156</v>
      </c>
      <c r="B1077" s="2">
        <f t="shared" si="216"/>
        <v>1</v>
      </c>
      <c r="C1077" s="12">
        <f t="shared" si="228"/>
        <v>46238.586273553243</v>
      </c>
      <c r="D1077" s="13">
        <v>46238.586273553243</v>
      </c>
      <c r="E1077" s="2" t="s">
        <v>3157</v>
      </c>
      <c r="F1077" s="2" t="str">
        <f t="shared" si="217"/>
        <v>Missing Email</v>
      </c>
      <c r="G1077" s="2"/>
      <c r="H1077" s="2" t="s">
        <v>267</v>
      </c>
      <c r="I1077" s="2" t="s">
        <v>22</v>
      </c>
      <c r="J1077" s="2" t="s">
        <v>268</v>
      </c>
      <c r="K1077" s="2">
        <v>1</v>
      </c>
      <c r="L1077" s="2">
        <v>18.989999999999998</v>
      </c>
      <c r="M1077" s="19">
        <f t="shared" si="218"/>
        <v>18.989999999999998</v>
      </c>
      <c r="N1077" s="2" t="s">
        <v>65</v>
      </c>
      <c r="O1077" s="2" t="str">
        <f t="shared" si="219"/>
        <v>WELCOME10</v>
      </c>
      <c r="P1077" s="2">
        <v>1.9</v>
      </c>
      <c r="Q1077" s="19">
        <f t="shared" si="220"/>
        <v>1.9</v>
      </c>
      <c r="R1077" s="2" t="str">
        <f t="shared" si="221"/>
        <v>Number</v>
      </c>
      <c r="S1077" s="2">
        <v>4.99</v>
      </c>
      <c r="T1077" s="19">
        <f t="shared" si="222"/>
        <v>4.99</v>
      </c>
      <c r="U1077" s="2" t="s">
        <v>3158</v>
      </c>
      <c r="V1077" s="19">
        <f t="shared" si="223"/>
        <v>22.08</v>
      </c>
      <c r="W1077" s="19">
        <f t="shared" si="224"/>
        <v>22.08</v>
      </c>
      <c r="X1077" s="19" t="str">
        <f t="shared" si="225"/>
        <v>True</v>
      </c>
      <c r="Y1077" s="19" t="str">
        <f>IF(OR(W1077&lt;'Cleaning Tasks'!$G$18,W1077&gt;'Cleaning Tasks'!$H$18),"Outlier","Normal")</f>
        <v>Normal</v>
      </c>
      <c r="Z1077" s="2" t="s">
        <v>66</v>
      </c>
      <c r="AA1077" s="2" t="s">
        <v>27</v>
      </c>
      <c r="AB1077" s="2" t="s">
        <v>50</v>
      </c>
      <c r="AC1077" s="2" t="s">
        <v>29</v>
      </c>
      <c r="AD1077" s="2" t="s">
        <v>89</v>
      </c>
      <c r="AE1077" s="2" t="str">
        <f t="shared" si="226"/>
        <v>Valid</v>
      </c>
      <c r="AF1077" s="2" t="s">
        <v>1991</v>
      </c>
    </row>
    <row r="1078" spans="1:32" x14ac:dyDescent="0.3">
      <c r="A1078" s="2" t="s">
        <v>3159</v>
      </c>
      <c r="B1078" s="2">
        <f t="shared" si="216"/>
        <v>1</v>
      </c>
      <c r="C1078" s="12">
        <f t="shared" si="228"/>
        <v>46238.584586053243</v>
      </c>
      <c r="D1078" s="13">
        <v>46238.584586053243</v>
      </c>
      <c r="E1078" s="2" t="s">
        <v>677</v>
      </c>
      <c r="F1078" s="2" t="str">
        <f t="shared" si="217"/>
        <v>Email Available</v>
      </c>
      <c r="G1078" s="2" t="s">
        <v>478</v>
      </c>
      <c r="H1078" s="2" t="s">
        <v>109</v>
      </c>
      <c r="I1078" s="2" t="s">
        <v>79</v>
      </c>
      <c r="J1078" s="2" t="s">
        <v>110</v>
      </c>
      <c r="K1078" s="2">
        <v>1</v>
      </c>
      <c r="L1078" s="2">
        <v>22.99</v>
      </c>
      <c r="M1078" s="19">
        <f t="shared" si="218"/>
        <v>22.99</v>
      </c>
      <c r="N1078" s="2" t="s">
        <v>24</v>
      </c>
      <c r="O1078" s="2" t="str">
        <f t="shared" si="219"/>
        <v>SAVE20</v>
      </c>
      <c r="P1078" s="2">
        <v>4.5999999999999996</v>
      </c>
      <c r="Q1078" s="19">
        <f t="shared" si="220"/>
        <v>4.5999999999999996</v>
      </c>
      <c r="R1078" s="2" t="str">
        <f t="shared" si="221"/>
        <v>Number</v>
      </c>
      <c r="S1078" s="2">
        <v>5.99</v>
      </c>
      <c r="T1078" s="19">
        <f t="shared" si="222"/>
        <v>5.99</v>
      </c>
      <c r="U1078" s="2">
        <v>24.38</v>
      </c>
      <c r="V1078" s="19">
        <f t="shared" si="223"/>
        <v>24.38</v>
      </c>
      <c r="W1078" s="19">
        <f t="shared" si="224"/>
        <v>24.380000000000003</v>
      </c>
      <c r="X1078" s="19" t="str">
        <f t="shared" si="225"/>
        <v>True</v>
      </c>
      <c r="Y1078" s="19" t="str">
        <f>IF(OR(W1078&lt;'Cleaning Tasks'!$G$18,W1078&gt;'Cleaning Tasks'!$H$18),"Outlier","Normal")</f>
        <v>Normal</v>
      </c>
      <c r="Z1078" s="2" t="s">
        <v>49</v>
      </c>
      <c r="AA1078" s="2" t="s">
        <v>111</v>
      </c>
      <c r="AB1078" s="2" t="s">
        <v>28</v>
      </c>
      <c r="AC1078" s="2" t="s">
        <v>29</v>
      </c>
      <c r="AD1078" s="2" t="s">
        <v>89</v>
      </c>
      <c r="AE1078" s="2" t="str">
        <f t="shared" si="226"/>
        <v>Valid</v>
      </c>
      <c r="AF1078" s="2" t="s">
        <v>3160</v>
      </c>
    </row>
    <row r="1079" spans="1:32" x14ac:dyDescent="0.3">
      <c r="A1079" s="2" t="s">
        <v>3161</v>
      </c>
      <c r="B1079" s="2">
        <f t="shared" si="216"/>
        <v>1</v>
      </c>
      <c r="C1079" s="12">
        <f t="shared" si="228"/>
        <v>46238.580865601849</v>
      </c>
      <c r="D1079" s="13">
        <v>46238.580865601849</v>
      </c>
      <c r="E1079" s="2" t="s">
        <v>2045</v>
      </c>
      <c r="F1079" s="2" t="str">
        <f t="shared" si="217"/>
        <v>Email Available</v>
      </c>
      <c r="G1079" s="2" t="s">
        <v>3162</v>
      </c>
      <c r="H1079" s="2" t="s">
        <v>63</v>
      </c>
      <c r="I1079" s="2" t="s">
        <v>47</v>
      </c>
      <c r="J1079" s="2" t="s">
        <v>446</v>
      </c>
      <c r="K1079" s="2">
        <v>2</v>
      </c>
      <c r="L1079" s="2" t="s">
        <v>1465</v>
      </c>
      <c r="M1079" s="19">
        <f t="shared" si="218"/>
        <v>14.99</v>
      </c>
      <c r="N1079" s="2" t="s">
        <v>118</v>
      </c>
      <c r="O1079" s="2" t="str">
        <f t="shared" si="219"/>
        <v>BFCM25</v>
      </c>
      <c r="P1079" s="2">
        <v>7.5</v>
      </c>
      <c r="Q1079" s="19">
        <f t="shared" si="220"/>
        <v>7.5</v>
      </c>
      <c r="R1079" s="2" t="str">
        <f t="shared" si="221"/>
        <v>Number</v>
      </c>
      <c r="S1079" s="2">
        <v>4.99</v>
      </c>
      <c r="T1079" s="19">
        <f t="shared" si="222"/>
        <v>4.99</v>
      </c>
      <c r="U1079" s="2">
        <v>27.47</v>
      </c>
      <c r="V1079" s="19">
        <f t="shared" si="223"/>
        <v>27.47</v>
      </c>
      <c r="W1079" s="19">
        <f t="shared" si="224"/>
        <v>27.47</v>
      </c>
      <c r="X1079" s="19" t="str">
        <f t="shared" si="225"/>
        <v>True</v>
      </c>
      <c r="Y1079" s="19" t="str">
        <f>IF(OR(W1079&lt;'Cleaning Tasks'!$G$18,W1079&gt;'Cleaning Tasks'!$H$18),"Outlier","Normal")</f>
        <v>Normal</v>
      </c>
      <c r="Z1079" s="2" t="s">
        <v>26</v>
      </c>
      <c r="AA1079" s="2" t="s">
        <v>27</v>
      </c>
      <c r="AB1079" s="2" t="s">
        <v>41</v>
      </c>
      <c r="AC1079" s="2" t="s">
        <v>105</v>
      </c>
      <c r="AD1079" s="2"/>
      <c r="AE1079" s="2" t="str">
        <f t="shared" si="226"/>
        <v>Not Required</v>
      </c>
      <c r="AF1079" s="2" t="s">
        <v>3163</v>
      </c>
    </row>
    <row r="1080" spans="1:32" x14ac:dyDescent="0.3">
      <c r="A1080" s="2" t="s">
        <v>3164</v>
      </c>
      <c r="B1080" s="2">
        <f t="shared" si="216"/>
        <v>1</v>
      </c>
      <c r="C1080" s="12">
        <f t="shared" si="228"/>
        <v>46238.580691099538</v>
      </c>
      <c r="D1080" s="13">
        <v>46238.580691099538</v>
      </c>
      <c r="E1080" s="2" t="s">
        <v>815</v>
      </c>
      <c r="F1080" s="2" t="str">
        <f t="shared" si="217"/>
        <v>Email Available</v>
      </c>
      <c r="G1080" s="2" t="s">
        <v>816</v>
      </c>
      <c r="H1080" s="2" t="s">
        <v>267</v>
      </c>
      <c r="I1080" s="2" t="s">
        <v>22</v>
      </c>
      <c r="J1080" s="2" t="s">
        <v>268</v>
      </c>
      <c r="K1080" s="2">
        <v>1</v>
      </c>
      <c r="L1080" s="2">
        <v>18.989999999999998</v>
      </c>
      <c r="M1080" s="19">
        <f t="shared" si="218"/>
        <v>18.989999999999998</v>
      </c>
      <c r="N1080" s="2" t="s">
        <v>118</v>
      </c>
      <c r="O1080" s="2" t="str">
        <f t="shared" si="219"/>
        <v>BFCM25</v>
      </c>
      <c r="P1080" s="2">
        <v>4.75</v>
      </c>
      <c r="Q1080" s="19">
        <f t="shared" si="220"/>
        <v>4.75</v>
      </c>
      <c r="R1080" s="2" t="str">
        <f t="shared" si="221"/>
        <v>Number</v>
      </c>
      <c r="S1080" s="2">
        <v>7.99</v>
      </c>
      <c r="T1080" s="19">
        <f t="shared" si="222"/>
        <v>7.99</v>
      </c>
      <c r="U1080" s="2">
        <v>22.23</v>
      </c>
      <c r="V1080" s="19">
        <f t="shared" si="223"/>
        <v>22.23</v>
      </c>
      <c r="W1080" s="19">
        <f t="shared" si="224"/>
        <v>22.229999999999997</v>
      </c>
      <c r="X1080" s="19" t="str">
        <f t="shared" si="225"/>
        <v>True</v>
      </c>
      <c r="Y1080" s="19" t="str">
        <f>IF(OR(W1080&lt;'Cleaning Tasks'!$G$18,W1080&gt;'Cleaning Tasks'!$H$18),"Outlier","Normal")</f>
        <v>Normal</v>
      </c>
      <c r="Z1080" s="2" t="s">
        <v>49</v>
      </c>
      <c r="AA1080" s="2" t="s">
        <v>27</v>
      </c>
      <c r="AB1080" s="2" t="s">
        <v>50</v>
      </c>
      <c r="AC1080" s="2" t="s">
        <v>73</v>
      </c>
      <c r="AD1080" s="2"/>
      <c r="AE1080" s="2" t="str">
        <f t="shared" si="226"/>
        <v>Not Required</v>
      </c>
      <c r="AF1080" s="2" t="s">
        <v>3165</v>
      </c>
    </row>
    <row r="1081" spans="1:32" x14ac:dyDescent="0.3">
      <c r="A1081" s="2" t="s">
        <v>3166</v>
      </c>
      <c r="B1081" s="2">
        <f t="shared" si="216"/>
        <v>1</v>
      </c>
      <c r="C1081" s="12">
        <f t="shared" si="228"/>
        <v>46238.58432361111</v>
      </c>
      <c r="D1081" s="13">
        <v>46238.58432361111</v>
      </c>
      <c r="E1081" s="2" t="s">
        <v>516</v>
      </c>
      <c r="F1081" s="2" t="str">
        <f t="shared" si="217"/>
        <v>Email Available</v>
      </c>
      <c r="G1081" s="2" t="s">
        <v>517</v>
      </c>
      <c r="H1081" s="2" t="s">
        <v>78</v>
      </c>
      <c r="I1081" s="2" t="s">
        <v>79</v>
      </c>
      <c r="J1081" s="2" t="s">
        <v>80</v>
      </c>
      <c r="K1081" s="2">
        <v>1</v>
      </c>
      <c r="L1081" s="2" t="s">
        <v>571</v>
      </c>
      <c r="M1081" s="19">
        <f t="shared" si="218"/>
        <v>89.99</v>
      </c>
      <c r="N1081" s="2" t="s">
        <v>203</v>
      </c>
      <c r="O1081" s="2" t="str">
        <f t="shared" si="219"/>
        <v>VIP15</v>
      </c>
      <c r="P1081" s="2">
        <v>13.5</v>
      </c>
      <c r="Q1081" s="19">
        <f t="shared" si="220"/>
        <v>13.5</v>
      </c>
      <c r="R1081" s="2" t="str">
        <f t="shared" si="221"/>
        <v>Number</v>
      </c>
      <c r="S1081" s="2">
        <v>0</v>
      </c>
      <c r="T1081" s="19">
        <f t="shared" si="222"/>
        <v>0</v>
      </c>
      <c r="U1081" s="2">
        <v>76.489999999999995</v>
      </c>
      <c r="V1081" s="19">
        <f t="shared" si="223"/>
        <v>76.489999999999995</v>
      </c>
      <c r="W1081" s="19">
        <f t="shared" si="224"/>
        <v>76.489999999999995</v>
      </c>
      <c r="X1081" s="19" t="str">
        <f t="shared" si="225"/>
        <v>True</v>
      </c>
      <c r="Y1081" s="19" t="str">
        <f>IF(OR(W1081&lt;'Cleaning Tasks'!$G$18,W1081&gt;'Cleaning Tasks'!$H$18),"Outlier","Normal")</f>
        <v>Normal</v>
      </c>
      <c r="Z1081" s="2" t="s">
        <v>66</v>
      </c>
      <c r="AA1081" s="2" t="s">
        <v>27</v>
      </c>
      <c r="AB1081" s="2" t="s">
        <v>96</v>
      </c>
      <c r="AC1081" s="2" t="s">
        <v>29</v>
      </c>
      <c r="AD1081" s="22" t="s">
        <v>67</v>
      </c>
      <c r="AE1081" s="2" t="str">
        <f t="shared" si="226"/>
        <v>Valid</v>
      </c>
      <c r="AF1081" s="2" t="s">
        <v>3167</v>
      </c>
    </row>
    <row r="1082" spans="1:32" x14ac:dyDescent="0.3">
      <c r="A1082" s="2" t="s">
        <v>3168</v>
      </c>
      <c r="B1082" s="2">
        <f t="shared" si="216"/>
        <v>1</v>
      </c>
      <c r="C1082" s="12">
        <f t="shared" si="228"/>
        <v>46238.585607731482</v>
      </c>
      <c r="D1082" s="13">
        <v>46238.585607731482</v>
      </c>
      <c r="E1082" s="2" t="s">
        <v>2192</v>
      </c>
      <c r="F1082" s="2" t="str">
        <f t="shared" si="217"/>
        <v>Email Available</v>
      </c>
      <c r="G1082" s="2" t="s">
        <v>1855</v>
      </c>
      <c r="H1082" s="2" t="s">
        <v>221</v>
      </c>
      <c r="I1082" s="2" t="s">
        <v>22</v>
      </c>
      <c r="J1082" s="2" t="s">
        <v>222</v>
      </c>
      <c r="K1082" s="2">
        <v>1</v>
      </c>
      <c r="L1082" s="2">
        <v>17.989999999999998</v>
      </c>
      <c r="M1082" s="19">
        <f t="shared" si="218"/>
        <v>17.989999999999998</v>
      </c>
      <c r="N1082" s="2"/>
      <c r="O1082" s="2" t="str">
        <f t="shared" si="219"/>
        <v/>
      </c>
      <c r="P1082" s="2">
        <v>0</v>
      </c>
      <c r="Q1082" s="19">
        <f t="shared" si="220"/>
        <v>0</v>
      </c>
      <c r="R1082" s="2" t="str">
        <f t="shared" si="221"/>
        <v>Number</v>
      </c>
      <c r="S1082" s="2">
        <v>5.99</v>
      </c>
      <c r="T1082" s="19">
        <f t="shared" si="222"/>
        <v>5.99</v>
      </c>
      <c r="U1082" s="2">
        <v>23.98</v>
      </c>
      <c r="V1082" s="19">
        <f t="shared" si="223"/>
        <v>23.98</v>
      </c>
      <c r="W1082" s="19">
        <f t="shared" si="224"/>
        <v>23.979999999999997</v>
      </c>
      <c r="X1082" s="19" t="str">
        <f t="shared" si="225"/>
        <v>True</v>
      </c>
      <c r="Y1082" s="19" t="str">
        <f>IF(OR(W1082&lt;'Cleaning Tasks'!$G$18,W1082&gt;'Cleaning Tasks'!$H$18),"Outlier","Normal")</f>
        <v>Normal</v>
      </c>
      <c r="Z1082" s="2" t="s">
        <v>49</v>
      </c>
      <c r="AA1082" s="2" t="s">
        <v>40</v>
      </c>
      <c r="AB1082" s="2" t="s">
        <v>50</v>
      </c>
      <c r="AC1082" s="2" t="s">
        <v>331</v>
      </c>
      <c r="AD1082" s="2"/>
      <c r="AE1082" s="2" t="str">
        <f t="shared" si="226"/>
        <v>Not Required</v>
      </c>
      <c r="AF1082" s="2" t="s">
        <v>3169</v>
      </c>
    </row>
    <row r="1083" spans="1:32" x14ac:dyDescent="0.3">
      <c r="A1083" s="2" t="s">
        <v>3170</v>
      </c>
      <c r="B1083" s="2">
        <f t="shared" si="216"/>
        <v>1</v>
      </c>
      <c r="C1083" s="12">
        <f t="shared" si="228"/>
        <v>46238.584258229173</v>
      </c>
      <c r="D1083" s="13">
        <v>46238.584258229173</v>
      </c>
      <c r="E1083" s="2" t="s">
        <v>2508</v>
      </c>
      <c r="F1083" s="2" t="str">
        <f t="shared" si="217"/>
        <v>Email Available</v>
      </c>
      <c r="G1083" s="2" t="s">
        <v>2509</v>
      </c>
      <c r="H1083" s="2" t="s">
        <v>309</v>
      </c>
      <c r="I1083" s="2" t="s">
        <v>36</v>
      </c>
      <c r="J1083" s="2" t="s">
        <v>310</v>
      </c>
      <c r="K1083" s="2">
        <v>1</v>
      </c>
      <c r="L1083" s="2">
        <v>8.99</v>
      </c>
      <c r="M1083" s="19">
        <f t="shared" si="218"/>
        <v>8.99</v>
      </c>
      <c r="N1083" s="2"/>
      <c r="O1083" s="2" t="str">
        <f t="shared" si="219"/>
        <v/>
      </c>
      <c r="P1083" s="2">
        <v>0</v>
      </c>
      <c r="Q1083" s="19">
        <f t="shared" si="220"/>
        <v>0</v>
      </c>
      <c r="R1083" s="2" t="str">
        <f t="shared" si="221"/>
        <v>Number</v>
      </c>
      <c r="S1083" s="2">
        <v>5.99</v>
      </c>
      <c r="T1083" s="19">
        <f t="shared" si="222"/>
        <v>5.99</v>
      </c>
      <c r="U1083" s="2">
        <v>14.98</v>
      </c>
      <c r="V1083" s="19">
        <f t="shared" si="223"/>
        <v>14.98</v>
      </c>
      <c r="W1083" s="19">
        <f t="shared" si="224"/>
        <v>14.98</v>
      </c>
      <c r="X1083" s="19" t="str">
        <f t="shared" si="225"/>
        <v>True</v>
      </c>
      <c r="Y1083" s="19" t="str">
        <f>IF(OR(W1083&lt;'Cleaning Tasks'!$G$18,W1083&gt;'Cleaning Tasks'!$H$18),"Outlier","Normal")</f>
        <v>Normal</v>
      </c>
      <c r="Z1083" s="2" t="s">
        <v>26</v>
      </c>
      <c r="AA1083" s="2" t="s">
        <v>27</v>
      </c>
      <c r="AB1083" s="2" t="s">
        <v>50</v>
      </c>
      <c r="AC1083" s="2" t="s">
        <v>42</v>
      </c>
      <c r="AD1083" s="2"/>
      <c r="AE1083" s="2" t="str">
        <f t="shared" si="226"/>
        <v>Not Required</v>
      </c>
      <c r="AF1083" s="2" t="s">
        <v>3171</v>
      </c>
    </row>
    <row r="1084" spans="1:32" x14ac:dyDescent="0.3">
      <c r="A1084" s="2" t="s">
        <v>3172</v>
      </c>
      <c r="B1084" s="2">
        <f t="shared" si="216"/>
        <v>1</v>
      </c>
      <c r="C1084" s="12">
        <f t="shared" si="228"/>
        <v>46238.58725478009</v>
      </c>
      <c r="D1084" s="13">
        <v>46238.58725478009</v>
      </c>
      <c r="E1084" s="2" t="s">
        <v>524</v>
      </c>
      <c r="F1084" s="2" t="str">
        <f t="shared" si="217"/>
        <v>Email Available</v>
      </c>
      <c r="G1084" s="2" t="s">
        <v>525</v>
      </c>
      <c r="H1084" s="2" t="s">
        <v>201</v>
      </c>
      <c r="I1084" s="2" t="s">
        <v>191</v>
      </c>
      <c r="J1084" s="2" t="s">
        <v>202</v>
      </c>
      <c r="K1084" s="2">
        <v>1</v>
      </c>
      <c r="L1084" s="2">
        <v>24.99</v>
      </c>
      <c r="M1084" s="19">
        <f t="shared" si="218"/>
        <v>24.99</v>
      </c>
      <c r="N1084" s="2"/>
      <c r="O1084" s="2" t="str">
        <f t="shared" si="219"/>
        <v/>
      </c>
      <c r="P1084" s="2">
        <v>0</v>
      </c>
      <c r="Q1084" s="19">
        <f t="shared" si="220"/>
        <v>0</v>
      </c>
      <c r="R1084" s="2" t="str">
        <f t="shared" si="221"/>
        <v>Number</v>
      </c>
      <c r="S1084" s="2">
        <v>4.99</v>
      </c>
      <c r="T1084" s="19">
        <f t="shared" si="222"/>
        <v>4.99</v>
      </c>
      <c r="U1084" s="2">
        <v>29.98</v>
      </c>
      <c r="V1084" s="19">
        <f t="shared" si="223"/>
        <v>29.98</v>
      </c>
      <c r="W1084" s="19">
        <f t="shared" si="224"/>
        <v>29.979999999999997</v>
      </c>
      <c r="X1084" s="19" t="str">
        <f t="shared" si="225"/>
        <v>True</v>
      </c>
      <c r="Y1084" s="19" t="str">
        <f>IF(OR(W1084&lt;'Cleaning Tasks'!$G$18,W1084&gt;'Cleaning Tasks'!$H$18),"Outlier","Normal")</f>
        <v>Normal</v>
      </c>
      <c r="Z1084" s="2" t="s">
        <v>49</v>
      </c>
      <c r="AA1084" s="2" t="s">
        <v>27</v>
      </c>
      <c r="AB1084" s="2" t="s">
        <v>50</v>
      </c>
      <c r="AC1084" s="2" t="s">
        <v>223</v>
      </c>
      <c r="AD1084" s="2"/>
      <c r="AE1084" s="2" t="str">
        <f t="shared" si="226"/>
        <v>Not Required</v>
      </c>
      <c r="AF1084" s="2" t="s">
        <v>3173</v>
      </c>
    </row>
    <row r="1085" spans="1:32" x14ac:dyDescent="0.3">
      <c r="A1085" s="2" t="s">
        <v>3174</v>
      </c>
      <c r="B1085" s="2">
        <f t="shared" si="216"/>
        <v>1</v>
      </c>
      <c r="C1085" s="12">
        <f t="shared" si="228"/>
        <v>46238.585187546298</v>
      </c>
      <c r="D1085" s="13">
        <v>46238.585187546298</v>
      </c>
      <c r="E1085" s="2" t="s">
        <v>2820</v>
      </c>
      <c r="F1085" s="2" t="str">
        <f t="shared" si="217"/>
        <v>Email Available</v>
      </c>
      <c r="G1085" s="2" t="s">
        <v>2821</v>
      </c>
      <c r="H1085" s="2" t="s">
        <v>124</v>
      </c>
      <c r="I1085" s="2" t="s">
        <v>79</v>
      </c>
      <c r="J1085" s="2" t="s">
        <v>125</v>
      </c>
      <c r="K1085" s="2">
        <v>3</v>
      </c>
      <c r="L1085" s="2">
        <v>13.99</v>
      </c>
      <c r="M1085" s="19">
        <f t="shared" si="218"/>
        <v>13.99</v>
      </c>
      <c r="N1085" s="2" t="s">
        <v>24</v>
      </c>
      <c r="O1085" s="2" t="str">
        <f t="shared" si="219"/>
        <v>SAVE20</v>
      </c>
      <c r="P1085" s="2">
        <v>8.39</v>
      </c>
      <c r="Q1085" s="19">
        <f t="shared" si="220"/>
        <v>8.39</v>
      </c>
      <c r="R1085" s="2" t="str">
        <f t="shared" si="221"/>
        <v>Number</v>
      </c>
      <c r="S1085" s="2">
        <v>7.99</v>
      </c>
      <c r="T1085" s="19">
        <f t="shared" si="222"/>
        <v>7.99</v>
      </c>
      <c r="U1085" s="2">
        <v>41.57</v>
      </c>
      <c r="V1085" s="19">
        <f t="shared" si="223"/>
        <v>41.57</v>
      </c>
      <c r="W1085" s="19">
        <f t="shared" si="224"/>
        <v>41.57</v>
      </c>
      <c r="X1085" s="19" t="str">
        <f t="shared" si="225"/>
        <v>True</v>
      </c>
      <c r="Y1085" s="19" t="str">
        <f>IF(OR(W1085&lt;'Cleaning Tasks'!$G$18,W1085&gt;'Cleaning Tasks'!$H$18),"Outlier","Normal")</f>
        <v>Normal</v>
      </c>
      <c r="Z1085" s="2" t="s">
        <v>49</v>
      </c>
      <c r="AA1085" s="2" t="s">
        <v>88</v>
      </c>
      <c r="AB1085" s="2" t="s">
        <v>50</v>
      </c>
      <c r="AC1085" s="2" t="s">
        <v>105</v>
      </c>
      <c r="AD1085" s="2"/>
      <c r="AE1085" s="2" t="str">
        <f t="shared" si="226"/>
        <v>Not Required</v>
      </c>
      <c r="AF1085" s="2" t="s">
        <v>3175</v>
      </c>
    </row>
    <row r="1086" spans="1:32" x14ac:dyDescent="0.3">
      <c r="A1086" s="2" t="s">
        <v>3176</v>
      </c>
      <c r="B1086" s="2">
        <f t="shared" si="216"/>
        <v>1</v>
      </c>
      <c r="C1086" s="12">
        <f t="shared" si="228"/>
        <v>46238.581857627323</v>
      </c>
      <c r="D1086" s="13">
        <v>46238.581857627323</v>
      </c>
      <c r="E1086" s="2" t="s">
        <v>473</v>
      </c>
      <c r="F1086" s="2" t="str">
        <f t="shared" si="217"/>
        <v>Email Available</v>
      </c>
      <c r="G1086" s="2" t="s">
        <v>474</v>
      </c>
      <c r="H1086" s="2" t="s">
        <v>166</v>
      </c>
      <c r="I1086" s="2" t="s">
        <v>103</v>
      </c>
      <c r="J1086" s="2" t="s">
        <v>167</v>
      </c>
      <c r="K1086" s="2">
        <v>1</v>
      </c>
      <c r="L1086" s="2">
        <v>32.99</v>
      </c>
      <c r="M1086" s="19">
        <f t="shared" si="218"/>
        <v>32.99</v>
      </c>
      <c r="N1086" s="2"/>
      <c r="O1086" s="2" t="str">
        <f t="shared" si="219"/>
        <v/>
      </c>
      <c r="P1086" s="2">
        <v>0</v>
      </c>
      <c r="Q1086" s="19">
        <f t="shared" si="220"/>
        <v>0</v>
      </c>
      <c r="R1086" s="2" t="str">
        <f t="shared" si="221"/>
        <v>Number</v>
      </c>
      <c r="S1086" s="2">
        <v>7.99</v>
      </c>
      <c r="T1086" s="19">
        <f t="shared" si="222"/>
        <v>7.99</v>
      </c>
      <c r="U1086" s="2">
        <v>40.98</v>
      </c>
      <c r="V1086" s="19">
        <f t="shared" si="223"/>
        <v>40.98</v>
      </c>
      <c r="W1086" s="19">
        <f t="shared" si="224"/>
        <v>40.980000000000004</v>
      </c>
      <c r="X1086" s="19" t="str">
        <f t="shared" si="225"/>
        <v>True</v>
      </c>
      <c r="Y1086" s="19" t="str">
        <f>IF(OR(W1086&lt;'Cleaning Tasks'!$G$18,W1086&gt;'Cleaning Tasks'!$H$18),"Outlier","Normal")</f>
        <v>Normal</v>
      </c>
      <c r="Z1086" s="2" t="s">
        <v>49</v>
      </c>
      <c r="AA1086" s="2" t="s">
        <v>40</v>
      </c>
      <c r="AB1086" s="2" t="s">
        <v>50</v>
      </c>
      <c r="AC1086" s="2" t="s">
        <v>73</v>
      </c>
      <c r="AD1086" s="2"/>
      <c r="AE1086" s="2" t="str">
        <f t="shared" si="226"/>
        <v>Not Required</v>
      </c>
      <c r="AF1086" s="2" t="s">
        <v>3177</v>
      </c>
    </row>
    <row r="1087" spans="1:32" x14ac:dyDescent="0.3">
      <c r="A1087" s="2" t="s">
        <v>3178</v>
      </c>
      <c r="B1087" s="2">
        <f t="shared" si="216"/>
        <v>1</v>
      </c>
      <c r="C1087" s="12">
        <f t="shared" si="228"/>
        <v>46238.587196319437</v>
      </c>
      <c r="D1087" s="13">
        <v>46238.587196319437</v>
      </c>
      <c r="E1087" s="2" t="s">
        <v>2826</v>
      </c>
      <c r="F1087" s="2" t="str">
        <f t="shared" si="217"/>
        <v>Email Available</v>
      </c>
      <c r="G1087" s="2" t="s">
        <v>2827</v>
      </c>
      <c r="H1087" s="2" t="s">
        <v>267</v>
      </c>
      <c r="I1087" s="2" t="s">
        <v>22</v>
      </c>
      <c r="J1087" s="2" t="s">
        <v>268</v>
      </c>
      <c r="K1087" s="2">
        <v>1</v>
      </c>
      <c r="L1087" s="2">
        <v>18.989999999999998</v>
      </c>
      <c r="M1087" s="19">
        <f t="shared" si="218"/>
        <v>18.989999999999998</v>
      </c>
      <c r="N1087" s="2" t="s">
        <v>118</v>
      </c>
      <c r="O1087" s="2" t="str">
        <f t="shared" si="219"/>
        <v>BFCM25</v>
      </c>
      <c r="P1087" s="2">
        <v>4.75</v>
      </c>
      <c r="Q1087" s="19">
        <f t="shared" si="220"/>
        <v>4.75</v>
      </c>
      <c r="R1087" s="2" t="str">
        <f t="shared" si="221"/>
        <v>Number</v>
      </c>
      <c r="S1087" s="2">
        <v>4.99</v>
      </c>
      <c r="T1087" s="19">
        <f t="shared" si="222"/>
        <v>4.99</v>
      </c>
      <c r="U1087" s="2">
        <v>19.23</v>
      </c>
      <c r="V1087" s="19">
        <f t="shared" si="223"/>
        <v>19.23</v>
      </c>
      <c r="W1087" s="19">
        <f t="shared" si="224"/>
        <v>19.229999999999997</v>
      </c>
      <c r="X1087" s="19" t="str">
        <f t="shared" si="225"/>
        <v>True</v>
      </c>
      <c r="Y1087" s="19" t="str">
        <f>IF(OR(W1087&lt;'Cleaning Tasks'!$G$18,W1087&gt;'Cleaning Tasks'!$H$18),"Outlier","Normal")</f>
        <v>Normal</v>
      </c>
      <c r="Z1087" s="2" t="s">
        <v>49</v>
      </c>
      <c r="AA1087" s="2" t="s">
        <v>27</v>
      </c>
      <c r="AB1087" s="2" t="s">
        <v>96</v>
      </c>
      <c r="AC1087" s="2" t="s">
        <v>73</v>
      </c>
      <c r="AD1087" s="2"/>
      <c r="AE1087" s="2" t="str">
        <f t="shared" si="226"/>
        <v>Not Required</v>
      </c>
      <c r="AF1087" s="2" t="s">
        <v>305</v>
      </c>
    </row>
    <row r="1088" spans="1:32" x14ac:dyDescent="0.3">
      <c r="A1088" s="2" t="s">
        <v>3179</v>
      </c>
      <c r="B1088" s="2">
        <f t="shared" si="216"/>
        <v>1</v>
      </c>
      <c r="C1088" s="12">
        <f t="shared" si="228"/>
        <v>46238.587809525467</v>
      </c>
      <c r="D1088" s="13">
        <v>46238.587809525467</v>
      </c>
      <c r="E1088" s="2" t="s">
        <v>188</v>
      </c>
      <c r="F1088" s="2" t="str">
        <f t="shared" si="217"/>
        <v>Email Available</v>
      </c>
      <c r="G1088" s="2" t="s">
        <v>189</v>
      </c>
      <c r="H1088" s="2" t="s">
        <v>261</v>
      </c>
      <c r="I1088" s="2" t="s">
        <v>36</v>
      </c>
      <c r="J1088" s="2" t="s">
        <v>262</v>
      </c>
      <c r="K1088" s="2">
        <v>2</v>
      </c>
      <c r="L1088" s="2">
        <v>15.49</v>
      </c>
      <c r="M1088" s="19">
        <f t="shared" si="218"/>
        <v>15.49</v>
      </c>
      <c r="N1088" s="2" t="s">
        <v>38</v>
      </c>
      <c r="O1088" s="2" t="str">
        <f t="shared" si="219"/>
        <v>FREESHIP</v>
      </c>
      <c r="P1088" s="2">
        <v>0</v>
      </c>
      <c r="Q1088" s="19">
        <f t="shared" si="220"/>
        <v>0</v>
      </c>
      <c r="R1088" s="2" t="str">
        <f t="shared" si="221"/>
        <v>Number</v>
      </c>
      <c r="S1088" s="2">
        <v>0</v>
      </c>
      <c r="T1088" s="19">
        <f t="shared" si="222"/>
        <v>0</v>
      </c>
      <c r="U1088" s="2">
        <v>30.98</v>
      </c>
      <c r="V1088" s="19">
        <f t="shared" si="223"/>
        <v>30.98</v>
      </c>
      <c r="W1088" s="19">
        <f t="shared" si="224"/>
        <v>30.98</v>
      </c>
      <c r="X1088" s="19" t="str">
        <f t="shared" si="225"/>
        <v>True</v>
      </c>
      <c r="Y1088" s="19" t="str">
        <f>IF(OR(W1088&lt;'Cleaning Tasks'!$G$18,W1088&gt;'Cleaning Tasks'!$H$18),"Outlier","Normal")</f>
        <v>Normal</v>
      </c>
      <c r="Z1088" s="2" t="s">
        <v>66</v>
      </c>
      <c r="AA1088" s="2" t="s">
        <v>40</v>
      </c>
      <c r="AB1088" s="2" t="s">
        <v>41</v>
      </c>
      <c r="AC1088" s="2" t="s">
        <v>29</v>
      </c>
      <c r="AD1088" s="2" t="s">
        <v>73</v>
      </c>
      <c r="AE1088" s="2" t="str">
        <f t="shared" si="226"/>
        <v>Valid</v>
      </c>
      <c r="AF1088" s="2" t="s">
        <v>3180</v>
      </c>
    </row>
    <row r="1089" spans="1:32" x14ac:dyDescent="0.3">
      <c r="A1089" s="2" t="s">
        <v>3181</v>
      </c>
      <c r="B1089" s="2">
        <f t="shared" si="216"/>
        <v>1</v>
      </c>
      <c r="C1089" s="12">
        <f t="shared" si="228"/>
        <v>46238.588910856481</v>
      </c>
      <c r="D1089" s="13">
        <v>46238.588910856481</v>
      </c>
      <c r="E1089" s="2" t="s">
        <v>1283</v>
      </c>
      <c r="F1089" s="2" t="str">
        <f t="shared" si="217"/>
        <v>Email Available</v>
      </c>
      <c r="G1089" s="2" t="s">
        <v>1284</v>
      </c>
      <c r="H1089" s="2" t="s">
        <v>78</v>
      </c>
      <c r="I1089" s="2" t="s">
        <v>79</v>
      </c>
      <c r="J1089" s="2" t="s">
        <v>80</v>
      </c>
      <c r="K1089" s="2">
        <v>1</v>
      </c>
      <c r="L1089" s="2">
        <v>89.99</v>
      </c>
      <c r="M1089" s="19">
        <f t="shared" si="218"/>
        <v>89.99</v>
      </c>
      <c r="N1089" s="2" t="s">
        <v>65</v>
      </c>
      <c r="O1089" s="2" t="str">
        <f t="shared" si="219"/>
        <v>WELCOME10</v>
      </c>
      <c r="P1089" s="2">
        <v>9</v>
      </c>
      <c r="Q1089" s="19">
        <f t="shared" si="220"/>
        <v>9</v>
      </c>
      <c r="R1089" s="2" t="str">
        <f t="shared" si="221"/>
        <v>Number</v>
      </c>
      <c r="S1089" s="2">
        <v>0</v>
      </c>
      <c r="T1089" s="19">
        <f t="shared" si="222"/>
        <v>0</v>
      </c>
      <c r="U1089" s="2">
        <v>80.989999999999995</v>
      </c>
      <c r="V1089" s="19">
        <f t="shared" si="223"/>
        <v>80.989999999999995</v>
      </c>
      <c r="W1089" s="19">
        <f t="shared" si="224"/>
        <v>80.989999999999995</v>
      </c>
      <c r="X1089" s="19" t="str">
        <f t="shared" si="225"/>
        <v>True</v>
      </c>
      <c r="Y1089" s="19" t="str">
        <f>IF(OR(W1089&lt;'Cleaning Tasks'!$G$18,W1089&gt;'Cleaning Tasks'!$H$18),"Outlier","Normal")</f>
        <v>Normal</v>
      </c>
      <c r="Z1089" s="2" t="s">
        <v>72</v>
      </c>
      <c r="AA1089" s="2" t="s">
        <v>88</v>
      </c>
      <c r="AB1089" s="2" t="s">
        <v>96</v>
      </c>
      <c r="AC1089" s="2" t="s">
        <v>42</v>
      </c>
      <c r="AD1089" s="2"/>
      <c r="AE1089" s="2" t="str">
        <f t="shared" si="226"/>
        <v>Not Required</v>
      </c>
      <c r="AF1089" s="2" t="s">
        <v>3182</v>
      </c>
    </row>
    <row r="1090" spans="1:32" x14ac:dyDescent="0.3">
      <c r="A1090" s="2" t="s">
        <v>3183</v>
      </c>
      <c r="B1090" s="2">
        <f t="shared" ref="B1090:B1153" si="229">COUNTIF($A$2:$A$1993,A1090)</f>
        <v>1</v>
      </c>
      <c r="C1090" s="12">
        <f t="shared" si="228"/>
        <v>46238.579368483799</v>
      </c>
      <c r="D1090" s="13">
        <v>46238.579368483799</v>
      </c>
      <c r="E1090" s="2" t="s">
        <v>377</v>
      </c>
      <c r="F1090" s="2" t="str">
        <f t="shared" ref="F1090:F1153" si="230">IF(TRIM(G1090)="","Missing Email","Email Available")</f>
        <v>Email Available</v>
      </c>
      <c r="G1090" s="2" t="s">
        <v>378</v>
      </c>
      <c r="H1090" s="2" t="s">
        <v>166</v>
      </c>
      <c r="I1090" s="2" t="s">
        <v>103</v>
      </c>
      <c r="J1090" s="2" t="s">
        <v>167</v>
      </c>
      <c r="K1090" s="2">
        <v>2</v>
      </c>
      <c r="L1090" s="2">
        <v>32.99</v>
      </c>
      <c r="M1090" s="19">
        <f t="shared" ref="M1090:M1153" si="231">IF(ISNUMBER(L1090),L1090,VALUE(SUBSTITUTE(L1090,"$","")))</f>
        <v>32.99</v>
      </c>
      <c r="N1090" s="2" t="s">
        <v>38</v>
      </c>
      <c r="O1090" s="2" t="str">
        <f t="shared" ref="O1090:O1153" si="232">IF(TRIM(N1090)="","",UPPER(TRIM(SUBSTITUTE(N1090,CHAR(160)," "))))</f>
        <v>FREESHIP</v>
      </c>
      <c r="P1090" s="2">
        <v>0</v>
      </c>
      <c r="Q1090" s="19">
        <f t="shared" ref="Q1090:Q1153" si="233">IF(ISNUMBER(P1090),P1090,VALUE(TRIM(SUBSTITUTE(P1090,"$",""))))</f>
        <v>0</v>
      </c>
      <c r="R1090" s="2" t="str">
        <f t="shared" ref="R1090:R1153" si="234">IF(ISNUMBER(Q1090),"Number","Text")</f>
        <v>Number</v>
      </c>
      <c r="S1090" s="2">
        <v>0</v>
      </c>
      <c r="T1090" s="19">
        <f t="shared" ref="T1090:T1153" si="235">IF(ISNUMBER(S1090),S1090,VALUE(TRIM(SUBSTITUTE(S1090,"$",""))))</f>
        <v>0</v>
      </c>
      <c r="U1090" s="2">
        <v>65.98</v>
      </c>
      <c r="V1090" s="19">
        <f t="shared" ref="V1090:V1153" si="236">IF(ISNUMBER(U1090),U1090,VALUE(TRIM(SUBSTITUTE(U1090,"$",""))))</f>
        <v>65.98</v>
      </c>
      <c r="W1090" s="19">
        <f t="shared" ref="W1090:W1153" si="237">((M1090*K1090)-Q1090)+T1090</f>
        <v>65.98</v>
      </c>
      <c r="X1090" s="19" t="str">
        <f t="shared" ref="X1090:X1153" si="238">IF(V1090=W1090,"True","False")</f>
        <v>True</v>
      </c>
      <c r="Y1090" s="19" t="str">
        <f>IF(OR(W1090&lt;'Cleaning Tasks'!$G$18,W1090&gt;'Cleaning Tasks'!$H$18),"Outlier","Normal")</f>
        <v>Normal</v>
      </c>
      <c r="Z1090" s="2" t="s">
        <v>72</v>
      </c>
      <c r="AA1090" s="2" t="s">
        <v>27</v>
      </c>
      <c r="AB1090" s="2" t="s">
        <v>41</v>
      </c>
      <c r="AC1090" s="2" t="s">
        <v>73</v>
      </c>
      <c r="AD1090" s="2"/>
      <c r="AE1090" s="2" t="str">
        <f t="shared" ref="AE1090:AE1153" si="239">IF(AND(AC1090="United States",AD1090=""),"Missing state",IF(AD1090="","Not Required","Valid"))</f>
        <v>Not Required</v>
      </c>
      <c r="AF1090" s="2" t="s">
        <v>3184</v>
      </c>
    </row>
    <row r="1091" spans="1:32" x14ac:dyDescent="0.3">
      <c r="A1091" s="2" t="s">
        <v>3185</v>
      </c>
      <c r="B1091" s="2">
        <f t="shared" si="229"/>
        <v>1</v>
      </c>
      <c r="C1091" s="12">
        <f t="shared" si="228"/>
        <v>46238.586487071763</v>
      </c>
      <c r="D1091" s="13">
        <v>46238.586487071763</v>
      </c>
      <c r="E1091" s="2" t="s">
        <v>3186</v>
      </c>
      <c r="F1091" s="2" t="str">
        <f t="shared" si="230"/>
        <v>Email Available</v>
      </c>
      <c r="G1091" s="2" t="s">
        <v>3143</v>
      </c>
      <c r="H1091" s="2" t="s">
        <v>117</v>
      </c>
      <c r="I1091" s="2" t="s">
        <v>22</v>
      </c>
      <c r="J1091" s="2" t="s">
        <v>23</v>
      </c>
      <c r="K1091" s="2">
        <v>1</v>
      </c>
      <c r="L1091" s="2">
        <v>12.99</v>
      </c>
      <c r="M1091" s="19">
        <f t="shared" si="231"/>
        <v>12.99</v>
      </c>
      <c r="N1091" s="2"/>
      <c r="O1091" s="2" t="str">
        <f t="shared" si="232"/>
        <v/>
      </c>
      <c r="P1091" s="2">
        <v>0</v>
      </c>
      <c r="Q1091" s="19">
        <f t="shared" si="233"/>
        <v>0</v>
      </c>
      <c r="R1091" s="2" t="str">
        <f t="shared" si="234"/>
        <v>Number</v>
      </c>
      <c r="S1091" s="2">
        <v>5.99</v>
      </c>
      <c r="T1091" s="19">
        <f t="shared" si="235"/>
        <v>5.99</v>
      </c>
      <c r="U1091" s="2">
        <v>18.98</v>
      </c>
      <c r="V1091" s="19">
        <f t="shared" si="236"/>
        <v>18.98</v>
      </c>
      <c r="W1091" s="19">
        <f t="shared" si="237"/>
        <v>18.98</v>
      </c>
      <c r="X1091" s="19" t="str">
        <f t="shared" si="238"/>
        <v>True</v>
      </c>
      <c r="Y1091" s="19" t="str">
        <f>IF(OR(W1091&lt;'Cleaning Tasks'!$G$18,W1091&gt;'Cleaning Tasks'!$H$18),"Outlier","Normal")</f>
        <v>Normal</v>
      </c>
      <c r="Z1091" s="2" t="s">
        <v>72</v>
      </c>
      <c r="AA1091" s="2" t="s">
        <v>111</v>
      </c>
      <c r="AB1091" s="2" t="s">
        <v>41</v>
      </c>
      <c r="AC1091" s="2" t="s">
        <v>42</v>
      </c>
      <c r="AD1091" s="2"/>
      <c r="AE1091" s="2" t="str">
        <f t="shared" si="239"/>
        <v>Not Required</v>
      </c>
      <c r="AF1091" s="2" t="s">
        <v>3187</v>
      </c>
    </row>
    <row r="1092" spans="1:32" x14ac:dyDescent="0.3">
      <c r="A1092" s="2" t="s">
        <v>3188</v>
      </c>
      <c r="B1092" s="2">
        <f t="shared" si="229"/>
        <v>1</v>
      </c>
      <c r="C1092" s="12">
        <f t="shared" si="228"/>
        <v>46238</v>
      </c>
      <c r="D1092" s="13" t="s">
        <v>143</v>
      </c>
      <c r="E1092" s="2" t="s">
        <v>528</v>
      </c>
      <c r="F1092" s="2" t="str">
        <f t="shared" si="230"/>
        <v>Email Available</v>
      </c>
      <c r="G1092" s="2" t="s">
        <v>529</v>
      </c>
      <c r="H1092" s="2" t="s">
        <v>56</v>
      </c>
      <c r="I1092" s="2" t="s">
        <v>22</v>
      </c>
      <c r="J1092" s="2" t="s">
        <v>57</v>
      </c>
      <c r="K1092" s="2">
        <v>1</v>
      </c>
      <c r="L1092" s="2">
        <v>9.99</v>
      </c>
      <c r="M1092" s="19">
        <f t="shared" si="231"/>
        <v>9.99</v>
      </c>
      <c r="N1092" s="2"/>
      <c r="O1092" s="2" t="str">
        <f t="shared" si="232"/>
        <v/>
      </c>
      <c r="P1092" s="2">
        <v>0</v>
      </c>
      <c r="Q1092" s="19">
        <f t="shared" si="233"/>
        <v>0</v>
      </c>
      <c r="R1092" s="2" t="str">
        <f t="shared" si="234"/>
        <v>Number</v>
      </c>
      <c r="S1092" s="2">
        <v>4.99</v>
      </c>
      <c r="T1092" s="19">
        <f t="shared" si="235"/>
        <v>4.99</v>
      </c>
      <c r="U1092" s="2">
        <v>14.98</v>
      </c>
      <c r="V1092" s="19">
        <f t="shared" si="236"/>
        <v>14.98</v>
      </c>
      <c r="W1092" s="19">
        <f t="shared" si="237"/>
        <v>14.98</v>
      </c>
      <c r="X1092" s="19" t="str">
        <f t="shared" si="238"/>
        <v>True</v>
      </c>
      <c r="Y1092" s="19" t="str">
        <f>IF(OR(W1092&lt;'Cleaning Tasks'!$G$18,W1092&gt;'Cleaning Tasks'!$H$18),"Outlier","Normal")</f>
        <v>Normal</v>
      </c>
      <c r="Z1092" s="2" t="s">
        <v>72</v>
      </c>
      <c r="AA1092" s="2" t="s">
        <v>27</v>
      </c>
      <c r="AB1092" s="2" t="s">
        <v>50</v>
      </c>
      <c r="AC1092" s="2" t="s">
        <v>29</v>
      </c>
      <c r="AD1092" s="2" t="s">
        <v>140</v>
      </c>
      <c r="AE1092" s="2" t="str">
        <f t="shared" si="239"/>
        <v>Valid</v>
      </c>
      <c r="AF1092" s="2" t="s">
        <v>3189</v>
      </c>
    </row>
    <row r="1093" spans="1:32" x14ac:dyDescent="0.3">
      <c r="A1093" s="2" t="s">
        <v>3190</v>
      </c>
      <c r="B1093" s="2">
        <f t="shared" si="229"/>
        <v>1</v>
      </c>
      <c r="C1093" s="12">
        <f t="shared" si="228"/>
        <v>46238.581986354169</v>
      </c>
      <c r="D1093" s="13">
        <v>46238.581986354169</v>
      </c>
      <c r="E1093" s="2" t="s">
        <v>760</v>
      </c>
      <c r="F1093" s="2" t="str">
        <f t="shared" si="230"/>
        <v>Missing Email</v>
      </c>
      <c r="G1093" s="2"/>
      <c r="H1093" s="2" t="s">
        <v>236</v>
      </c>
      <c r="I1093" s="2" t="s">
        <v>237</v>
      </c>
      <c r="J1093" s="2" t="s">
        <v>238</v>
      </c>
      <c r="K1093" s="2">
        <v>1</v>
      </c>
      <c r="L1093" s="2">
        <v>27.99</v>
      </c>
      <c r="M1093" s="19">
        <f t="shared" si="231"/>
        <v>27.99</v>
      </c>
      <c r="N1093" s="2" t="s">
        <v>24</v>
      </c>
      <c r="O1093" s="2" t="str">
        <f t="shared" si="232"/>
        <v>SAVE20</v>
      </c>
      <c r="P1093" s="2">
        <v>5.6</v>
      </c>
      <c r="Q1093" s="19">
        <f t="shared" si="233"/>
        <v>5.6</v>
      </c>
      <c r="R1093" s="2" t="str">
        <f t="shared" si="234"/>
        <v>Number</v>
      </c>
      <c r="S1093" s="2">
        <v>4.99</v>
      </c>
      <c r="T1093" s="19">
        <f t="shared" si="235"/>
        <v>4.99</v>
      </c>
      <c r="U1093" s="2">
        <v>27.38</v>
      </c>
      <c r="V1093" s="19">
        <f t="shared" si="236"/>
        <v>27.38</v>
      </c>
      <c r="W1093" s="19">
        <f t="shared" si="237"/>
        <v>27.380000000000003</v>
      </c>
      <c r="X1093" s="19" t="str">
        <f t="shared" si="238"/>
        <v>True</v>
      </c>
      <c r="Y1093" s="19" t="str">
        <f>IF(OR(W1093&lt;'Cleaning Tasks'!$G$18,W1093&gt;'Cleaning Tasks'!$H$18),"Outlier","Normal")</f>
        <v>Normal</v>
      </c>
      <c r="Z1093" s="2" t="s">
        <v>49</v>
      </c>
      <c r="AA1093" s="2" t="s">
        <v>88</v>
      </c>
      <c r="AB1093" s="2" t="s">
        <v>28</v>
      </c>
      <c r="AC1093" s="2" t="s">
        <v>29</v>
      </c>
      <c r="AD1093" s="2" t="s">
        <v>30</v>
      </c>
      <c r="AE1093" s="2" t="str">
        <f t="shared" si="239"/>
        <v>Valid</v>
      </c>
      <c r="AF1093" s="2" t="s">
        <v>3191</v>
      </c>
    </row>
    <row r="1094" spans="1:32" x14ac:dyDescent="0.3">
      <c r="A1094" s="2" t="s">
        <v>3192</v>
      </c>
      <c r="B1094" s="2">
        <f t="shared" si="229"/>
        <v>1</v>
      </c>
      <c r="C1094" s="12">
        <f t="shared" si="228"/>
        <v>46238</v>
      </c>
      <c r="D1094" s="13">
        <v>46238</v>
      </c>
      <c r="E1094" s="2" t="s">
        <v>1019</v>
      </c>
      <c r="F1094" s="2" t="str">
        <f t="shared" si="230"/>
        <v>Email Available</v>
      </c>
      <c r="G1094" s="2" t="s">
        <v>1020</v>
      </c>
      <c r="H1094" s="2" t="s">
        <v>236</v>
      </c>
      <c r="I1094" s="2" t="s">
        <v>237</v>
      </c>
      <c r="J1094" s="2" t="s">
        <v>238</v>
      </c>
      <c r="K1094" s="2">
        <v>2</v>
      </c>
      <c r="L1094" s="2">
        <v>27.99</v>
      </c>
      <c r="M1094" s="19">
        <f t="shared" si="231"/>
        <v>27.99</v>
      </c>
      <c r="N1094" s="2"/>
      <c r="O1094" s="2" t="str">
        <f t="shared" si="232"/>
        <v/>
      </c>
      <c r="P1094" s="2">
        <v>0</v>
      </c>
      <c r="Q1094" s="19">
        <f t="shared" si="233"/>
        <v>0</v>
      </c>
      <c r="R1094" s="2" t="str">
        <f t="shared" si="234"/>
        <v>Number</v>
      </c>
      <c r="S1094" s="2">
        <v>4.99</v>
      </c>
      <c r="T1094" s="19">
        <f t="shared" si="235"/>
        <v>4.99</v>
      </c>
      <c r="U1094" s="2">
        <v>60.97</v>
      </c>
      <c r="V1094" s="19">
        <f t="shared" si="236"/>
        <v>60.97</v>
      </c>
      <c r="W1094" s="19">
        <f t="shared" si="237"/>
        <v>60.97</v>
      </c>
      <c r="X1094" s="19" t="str">
        <f t="shared" si="238"/>
        <v>True</v>
      </c>
      <c r="Y1094" s="19" t="str">
        <f>IF(OR(W1094&lt;'Cleaning Tasks'!$G$18,W1094&gt;'Cleaning Tasks'!$H$18),"Outlier","Normal")</f>
        <v>Normal</v>
      </c>
      <c r="Z1094" s="2" t="s">
        <v>66</v>
      </c>
      <c r="AA1094" s="2" t="s">
        <v>111</v>
      </c>
      <c r="AB1094" s="2" t="s">
        <v>41</v>
      </c>
      <c r="AC1094" s="2" t="s">
        <v>29</v>
      </c>
      <c r="AD1094" s="2" t="s">
        <v>447</v>
      </c>
      <c r="AE1094" s="2" t="str">
        <f t="shared" si="239"/>
        <v>Valid</v>
      </c>
      <c r="AF1094" s="2" t="s">
        <v>3193</v>
      </c>
    </row>
    <row r="1095" spans="1:32" x14ac:dyDescent="0.3">
      <c r="A1095" s="2" t="s">
        <v>3194</v>
      </c>
      <c r="B1095" s="2">
        <f t="shared" si="229"/>
        <v>1</v>
      </c>
      <c r="C1095" s="12">
        <f t="shared" si="228"/>
        <v>46238.584611516213</v>
      </c>
      <c r="D1095" s="13">
        <v>46238.584611516213</v>
      </c>
      <c r="E1095" s="2" t="s">
        <v>459</v>
      </c>
      <c r="F1095" s="2" t="str">
        <f t="shared" si="230"/>
        <v>Email Available</v>
      </c>
      <c r="G1095" s="2" t="s">
        <v>460</v>
      </c>
      <c r="H1095" s="2" t="s">
        <v>236</v>
      </c>
      <c r="I1095" s="2" t="s">
        <v>237</v>
      </c>
      <c r="J1095" s="2" t="s">
        <v>238</v>
      </c>
      <c r="K1095" s="2">
        <v>1</v>
      </c>
      <c r="L1095" s="2">
        <v>27.99</v>
      </c>
      <c r="M1095" s="19">
        <f t="shared" si="231"/>
        <v>27.99</v>
      </c>
      <c r="N1095" s="2" t="s">
        <v>38</v>
      </c>
      <c r="O1095" s="2" t="str">
        <f t="shared" si="232"/>
        <v>FREESHIP</v>
      </c>
      <c r="P1095" s="2">
        <v>0</v>
      </c>
      <c r="Q1095" s="19">
        <f t="shared" si="233"/>
        <v>0</v>
      </c>
      <c r="R1095" s="2" t="str">
        <f t="shared" si="234"/>
        <v>Number</v>
      </c>
      <c r="S1095" s="2">
        <v>0</v>
      </c>
      <c r="T1095" s="19">
        <f t="shared" si="235"/>
        <v>0</v>
      </c>
      <c r="U1095" s="2">
        <v>27.99</v>
      </c>
      <c r="V1095" s="19">
        <f t="shared" si="236"/>
        <v>27.99</v>
      </c>
      <c r="W1095" s="19">
        <f t="shared" si="237"/>
        <v>27.99</v>
      </c>
      <c r="X1095" s="19" t="str">
        <f t="shared" si="238"/>
        <v>True</v>
      </c>
      <c r="Y1095" s="19" t="str">
        <f>IF(OR(W1095&lt;'Cleaning Tasks'!$G$18,W1095&gt;'Cleaning Tasks'!$H$18),"Outlier","Normal")</f>
        <v>Normal</v>
      </c>
      <c r="Z1095" s="2" t="s">
        <v>72</v>
      </c>
      <c r="AA1095" s="2" t="s">
        <v>27</v>
      </c>
      <c r="AB1095" s="2" t="s">
        <v>28</v>
      </c>
      <c r="AC1095" s="2" t="s">
        <v>223</v>
      </c>
      <c r="AD1095" s="2"/>
      <c r="AE1095" s="2" t="str">
        <f t="shared" si="239"/>
        <v>Not Required</v>
      </c>
      <c r="AF1095" s="2" t="s">
        <v>3195</v>
      </c>
    </row>
    <row r="1096" spans="1:32" x14ac:dyDescent="0.3">
      <c r="A1096" s="2" t="s">
        <v>3196</v>
      </c>
      <c r="B1096" s="2">
        <f t="shared" si="229"/>
        <v>1</v>
      </c>
      <c r="C1096" s="12">
        <f t="shared" si="228"/>
        <v>46238.586211539347</v>
      </c>
      <c r="D1096" s="13">
        <v>46238.586211539347</v>
      </c>
      <c r="E1096" s="2" t="s">
        <v>321</v>
      </c>
      <c r="F1096" s="2" t="str">
        <f t="shared" si="230"/>
        <v>Email Available</v>
      </c>
      <c r="G1096" s="2" t="s">
        <v>322</v>
      </c>
      <c r="H1096" s="2" t="s">
        <v>236</v>
      </c>
      <c r="I1096" s="2" t="s">
        <v>237</v>
      </c>
      <c r="J1096" s="2" t="s">
        <v>238</v>
      </c>
      <c r="K1096" s="2">
        <v>1</v>
      </c>
      <c r="L1096" s="2">
        <v>27.99</v>
      </c>
      <c r="M1096" s="19">
        <f t="shared" si="231"/>
        <v>27.99</v>
      </c>
      <c r="N1096" s="2" t="s">
        <v>65</v>
      </c>
      <c r="O1096" s="2" t="str">
        <f t="shared" si="232"/>
        <v>WELCOME10</v>
      </c>
      <c r="P1096" s="2">
        <v>2.8</v>
      </c>
      <c r="Q1096" s="19">
        <f t="shared" si="233"/>
        <v>2.8</v>
      </c>
      <c r="R1096" s="2" t="str">
        <f t="shared" si="234"/>
        <v>Number</v>
      </c>
      <c r="S1096" s="2">
        <v>5.99</v>
      </c>
      <c r="T1096" s="19">
        <f t="shared" si="235"/>
        <v>5.99</v>
      </c>
      <c r="U1096" s="2">
        <v>31.18</v>
      </c>
      <c r="V1096" s="19">
        <f t="shared" si="236"/>
        <v>31.18</v>
      </c>
      <c r="W1096" s="19">
        <f t="shared" si="237"/>
        <v>31.18</v>
      </c>
      <c r="X1096" s="19" t="str">
        <f t="shared" si="238"/>
        <v>True</v>
      </c>
      <c r="Y1096" s="19" t="str">
        <f>IF(OR(W1096&lt;'Cleaning Tasks'!$G$18,W1096&gt;'Cleaning Tasks'!$H$18),"Outlier","Normal")</f>
        <v>Normal</v>
      </c>
      <c r="Z1096" s="2" t="s">
        <v>39</v>
      </c>
      <c r="AA1096" s="2" t="s">
        <v>40</v>
      </c>
      <c r="AB1096" s="2" t="s">
        <v>41</v>
      </c>
      <c r="AC1096" s="2" t="s">
        <v>223</v>
      </c>
      <c r="AD1096" s="2"/>
      <c r="AE1096" s="2" t="str">
        <f t="shared" si="239"/>
        <v>Not Required</v>
      </c>
      <c r="AF1096" s="2" t="s">
        <v>3197</v>
      </c>
    </row>
    <row r="1097" spans="1:32" x14ac:dyDescent="0.3">
      <c r="A1097" s="2" t="s">
        <v>3198</v>
      </c>
      <c r="B1097" s="2">
        <f t="shared" si="229"/>
        <v>1</v>
      </c>
      <c r="C1097" s="12">
        <f t="shared" si="228"/>
        <v>46238</v>
      </c>
      <c r="D1097" s="13">
        <v>46238</v>
      </c>
      <c r="E1097" s="2" t="s">
        <v>3199</v>
      </c>
      <c r="F1097" s="2" t="str">
        <f t="shared" si="230"/>
        <v>Email Available</v>
      </c>
      <c r="G1097" s="2" t="s">
        <v>3200</v>
      </c>
      <c r="H1097" s="2" t="s">
        <v>102</v>
      </c>
      <c r="I1097" s="2" t="s">
        <v>103</v>
      </c>
      <c r="J1097" s="2" t="s">
        <v>104</v>
      </c>
      <c r="K1097" s="2">
        <v>2</v>
      </c>
      <c r="L1097" s="2">
        <v>19.989999999999998</v>
      </c>
      <c r="M1097" s="19">
        <f t="shared" si="231"/>
        <v>19.989999999999998</v>
      </c>
      <c r="N1097" s="2"/>
      <c r="O1097" s="2" t="str">
        <f t="shared" si="232"/>
        <v/>
      </c>
      <c r="P1097" s="2">
        <v>0</v>
      </c>
      <c r="Q1097" s="19">
        <f t="shared" si="233"/>
        <v>0</v>
      </c>
      <c r="R1097" s="2" t="str">
        <f t="shared" si="234"/>
        <v>Number</v>
      </c>
      <c r="S1097" s="2">
        <v>7.99</v>
      </c>
      <c r="T1097" s="19">
        <f t="shared" si="235"/>
        <v>7.99</v>
      </c>
      <c r="U1097" s="2">
        <v>47.97</v>
      </c>
      <c r="V1097" s="19">
        <f t="shared" si="236"/>
        <v>47.97</v>
      </c>
      <c r="W1097" s="19">
        <f t="shared" si="237"/>
        <v>47.97</v>
      </c>
      <c r="X1097" s="19" t="str">
        <f t="shared" si="238"/>
        <v>True</v>
      </c>
      <c r="Y1097" s="19" t="str">
        <f>IF(OR(W1097&lt;'Cleaning Tasks'!$G$18,W1097&gt;'Cleaning Tasks'!$H$18),"Outlier","Normal")</f>
        <v>Normal</v>
      </c>
      <c r="Z1097" s="2" t="s">
        <v>49</v>
      </c>
      <c r="AA1097" s="2" t="s">
        <v>27</v>
      </c>
      <c r="AB1097" s="2" t="s">
        <v>50</v>
      </c>
      <c r="AC1097" s="2" t="s">
        <v>29</v>
      </c>
      <c r="AD1097" s="2" t="s">
        <v>67</v>
      </c>
      <c r="AE1097" s="2" t="str">
        <f t="shared" si="239"/>
        <v>Valid</v>
      </c>
      <c r="AF1097" s="2" t="s">
        <v>3201</v>
      </c>
    </row>
    <row r="1098" spans="1:32" x14ac:dyDescent="0.3">
      <c r="A1098" s="2" t="s">
        <v>3202</v>
      </c>
      <c r="B1098" s="2">
        <f t="shared" si="229"/>
        <v>1</v>
      </c>
      <c r="C1098" s="12">
        <f t="shared" si="228"/>
        <v>46238.584043576389</v>
      </c>
      <c r="D1098" s="13">
        <v>46238.584043576389</v>
      </c>
      <c r="E1098" s="2" t="s">
        <v>234</v>
      </c>
      <c r="F1098" s="2" t="str">
        <f t="shared" si="230"/>
        <v>Email Available</v>
      </c>
      <c r="G1098" s="2" t="s">
        <v>235</v>
      </c>
      <c r="H1098" s="2" t="s">
        <v>221</v>
      </c>
      <c r="I1098" s="2" t="s">
        <v>22</v>
      </c>
      <c r="J1098" s="2" t="s">
        <v>222</v>
      </c>
      <c r="K1098" s="2">
        <v>1</v>
      </c>
      <c r="L1098" s="2">
        <v>17.989999999999998</v>
      </c>
      <c r="M1098" s="19">
        <f t="shared" si="231"/>
        <v>17.989999999999998</v>
      </c>
      <c r="N1098" s="2"/>
      <c r="O1098" s="2" t="str">
        <f t="shared" si="232"/>
        <v/>
      </c>
      <c r="P1098" s="2">
        <v>0</v>
      </c>
      <c r="Q1098" s="19">
        <f t="shared" si="233"/>
        <v>0</v>
      </c>
      <c r="R1098" s="2" t="str">
        <f t="shared" si="234"/>
        <v>Number</v>
      </c>
      <c r="S1098" s="2">
        <v>5.99</v>
      </c>
      <c r="T1098" s="19">
        <f t="shared" si="235"/>
        <v>5.99</v>
      </c>
      <c r="U1098" s="2">
        <v>23.98</v>
      </c>
      <c r="V1098" s="19">
        <f t="shared" si="236"/>
        <v>23.98</v>
      </c>
      <c r="W1098" s="19">
        <f t="shared" si="237"/>
        <v>23.979999999999997</v>
      </c>
      <c r="X1098" s="19" t="str">
        <f t="shared" si="238"/>
        <v>True</v>
      </c>
      <c r="Y1098" s="19" t="str">
        <f>IF(OR(W1098&lt;'Cleaning Tasks'!$G$18,W1098&gt;'Cleaning Tasks'!$H$18),"Outlier","Normal")</f>
        <v>Normal</v>
      </c>
      <c r="Z1098" s="2" t="s">
        <v>49</v>
      </c>
      <c r="AA1098" s="2" t="s">
        <v>111</v>
      </c>
      <c r="AB1098" s="2" t="s">
        <v>41</v>
      </c>
      <c r="AC1098" s="2" t="s">
        <v>73</v>
      </c>
      <c r="AD1098" s="2"/>
      <c r="AE1098" s="2" t="str">
        <f t="shared" si="239"/>
        <v>Not Required</v>
      </c>
      <c r="AF1098" s="2" t="s">
        <v>3203</v>
      </c>
    </row>
    <row r="1099" spans="1:32" x14ac:dyDescent="0.3">
      <c r="A1099" s="2" t="s">
        <v>3204</v>
      </c>
      <c r="B1099" s="2">
        <f t="shared" si="229"/>
        <v>1</v>
      </c>
      <c r="C1099" s="12">
        <f t="shared" si="228"/>
        <v>46238.581516030092</v>
      </c>
      <c r="D1099" s="13">
        <v>46238.581516030092</v>
      </c>
      <c r="E1099" s="2" t="s">
        <v>639</v>
      </c>
      <c r="F1099" s="2" t="str">
        <f t="shared" si="230"/>
        <v>Email Available</v>
      </c>
      <c r="G1099" s="2" t="s">
        <v>640</v>
      </c>
      <c r="H1099" s="2" t="s">
        <v>85</v>
      </c>
      <c r="I1099" s="2" t="s">
        <v>86</v>
      </c>
      <c r="J1099" s="2" t="s">
        <v>87</v>
      </c>
      <c r="K1099" s="2">
        <v>1</v>
      </c>
      <c r="L1099" s="2">
        <v>54.99</v>
      </c>
      <c r="M1099" s="19">
        <f t="shared" si="231"/>
        <v>54.99</v>
      </c>
      <c r="N1099" s="2"/>
      <c r="O1099" s="2" t="str">
        <f t="shared" si="232"/>
        <v/>
      </c>
      <c r="P1099" s="2">
        <v>0</v>
      </c>
      <c r="Q1099" s="19">
        <f t="shared" si="233"/>
        <v>0</v>
      </c>
      <c r="R1099" s="2" t="str">
        <f t="shared" si="234"/>
        <v>Number</v>
      </c>
      <c r="S1099" s="2">
        <v>7.99</v>
      </c>
      <c r="T1099" s="19">
        <f t="shared" si="235"/>
        <v>7.99</v>
      </c>
      <c r="U1099" s="2">
        <v>62.98</v>
      </c>
      <c r="V1099" s="19">
        <f t="shared" si="236"/>
        <v>62.98</v>
      </c>
      <c r="W1099" s="19">
        <f t="shared" si="237"/>
        <v>62.980000000000004</v>
      </c>
      <c r="X1099" s="19" t="str">
        <f t="shared" si="238"/>
        <v>True</v>
      </c>
      <c r="Y1099" s="19" t="str">
        <f>IF(OR(W1099&lt;'Cleaning Tasks'!$G$18,W1099&gt;'Cleaning Tasks'!$H$18),"Outlier","Normal")</f>
        <v>Normal</v>
      </c>
      <c r="Z1099" s="2" t="s">
        <v>66</v>
      </c>
      <c r="AA1099" s="2" t="s">
        <v>40</v>
      </c>
      <c r="AB1099" s="2" t="s">
        <v>28</v>
      </c>
      <c r="AC1099" s="2" t="s">
        <v>29</v>
      </c>
      <c r="AD1099" s="2" t="s">
        <v>447</v>
      </c>
      <c r="AE1099" s="2" t="str">
        <f t="shared" si="239"/>
        <v>Valid</v>
      </c>
      <c r="AF1099" s="2" t="s">
        <v>3205</v>
      </c>
    </row>
    <row r="1100" spans="1:32" x14ac:dyDescent="0.3">
      <c r="A1100" s="2" t="s">
        <v>3206</v>
      </c>
      <c r="B1100" s="2">
        <f t="shared" si="229"/>
        <v>1</v>
      </c>
      <c r="C1100" s="12">
        <f t="shared" si="228"/>
        <v>46238.580643182868</v>
      </c>
      <c r="D1100" s="13">
        <v>46238.580643182868</v>
      </c>
      <c r="E1100" s="2" t="s">
        <v>3207</v>
      </c>
      <c r="F1100" s="2" t="str">
        <f t="shared" si="230"/>
        <v>Email Available</v>
      </c>
      <c r="G1100" s="2" t="s">
        <v>3208</v>
      </c>
      <c r="H1100" s="2" t="s">
        <v>190</v>
      </c>
      <c r="I1100" s="2" t="s">
        <v>191</v>
      </c>
      <c r="J1100" s="2" t="s">
        <v>192</v>
      </c>
      <c r="K1100" s="2">
        <v>1</v>
      </c>
      <c r="L1100" s="2">
        <v>13.49</v>
      </c>
      <c r="M1100" s="19">
        <f t="shared" si="231"/>
        <v>13.49</v>
      </c>
      <c r="N1100" s="2"/>
      <c r="O1100" s="2" t="str">
        <f t="shared" si="232"/>
        <v/>
      </c>
      <c r="P1100" s="2">
        <v>0</v>
      </c>
      <c r="Q1100" s="19">
        <f t="shared" si="233"/>
        <v>0</v>
      </c>
      <c r="R1100" s="2" t="str">
        <f t="shared" si="234"/>
        <v>Number</v>
      </c>
      <c r="S1100" s="2">
        <v>5.99</v>
      </c>
      <c r="T1100" s="19">
        <f t="shared" si="235"/>
        <v>5.99</v>
      </c>
      <c r="U1100" s="2">
        <v>19.48</v>
      </c>
      <c r="V1100" s="19">
        <f t="shared" si="236"/>
        <v>19.48</v>
      </c>
      <c r="W1100" s="19">
        <f t="shared" si="237"/>
        <v>19.48</v>
      </c>
      <c r="X1100" s="19" t="str">
        <f t="shared" si="238"/>
        <v>True</v>
      </c>
      <c r="Y1100" s="19" t="str">
        <f>IF(OR(W1100&lt;'Cleaning Tasks'!$G$18,W1100&gt;'Cleaning Tasks'!$H$18),"Outlier","Normal")</f>
        <v>Normal</v>
      </c>
      <c r="Z1100" s="2" t="s">
        <v>66</v>
      </c>
      <c r="AA1100" s="2" t="s">
        <v>111</v>
      </c>
      <c r="AB1100" s="2" t="s">
        <v>50</v>
      </c>
      <c r="AC1100" s="2" t="s">
        <v>105</v>
      </c>
      <c r="AD1100" s="2"/>
      <c r="AE1100" s="2" t="str">
        <f t="shared" si="239"/>
        <v>Not Required</v>
      </c>
      <c r="AF1100" s="2" t="s">
        <v>3209</v>
      </c>
    </row>
    <row r="1101" spans="1:32" x14ac:dyDescent="0.3">
      <c r="A1101" s="2" t="s">
        <v>3210</v>
      </c>
      <c r="B1101" s="2">
        <f t="shared" si="229"/>
        <v>1</v>
      </c>
      <c r="C1101" s="12">
        <f t="shared" si="228"/>
        <v>46238.58528738426</v>
      </c>
      <c r="D1101" s="13">
        <v>46238.58528738426</v>
      </c>
      <c r="E1101" s="2" t="s">
        <v>313</v>
      </c>
      <c r="F1101" s="2" t="str">
        <f t="shared" si="230"/>
        <v>Email Available</v>
      </c>
      <c r="G1101" s="2" t="s">
        <v>314</v>
      </c>
      <c r="H1101" s="2" t="s">
        <v>78</v>
      </c>
      <c r="I1101" s="2" t="s">
        <v>79</v>
      </c>
      <c r="J1101" s="2" t="s">
        <v>80</v>
      </c>
      <c r="K1101" s="2">
        <v>1</v>
      </c>
      <c r="L1101" s="2">
        <v>89.99</v>
      </c>
      <c r="M1101" s="19">
        <f t="shared" si="231"/>
        <v>89.99</v>
      </c>
      <c r="N1101" s="2" t="s">
        <v>38</v>
      </c>
      <c r="O1101" s="2" t="str">
        <f t="shared" si="232"/>
        <v>FREESHIP</v>
      </c>
      <c r="P1101" s="2">
        <v>0</v>
      </c>
      <c r="Q1101" s="19">
        <f t="shared" si="233"/>
        <v>0</v>
      </c>
      <c r="R1101" s="2" t="str">
        <f t="shared" si="234"/>
        <v>Number</v>
      </c>
      <c r="S1101" s="2">
        <v>0</v>
      </c>
      <c r="T1101" s="19">
        <f t="shared" si="235"/>
        <v>0</v>
      </c>
      <c r="U1101" s="2">
        <v>89.99</v>
      </c>
      <c r="V1101" s="19">
        <f t="shared" si="236"/>
        <v>89.99</v>
      </c>
      <c r="W1101" s="19">
        <f t="shared" si="237"/>
        <v>89.99</v>
      </c>
      <c r="X1101" s="19" t="str">
        <f t="shared" si="238"/>
        <v>True</v>
      </c>
      <c r="Y1101" s="19" t="str">
        <f>IF(OR(W1101&lt;'Cleaning Tasks'!$G$18,W1101&gt;'Cleaning Tasks'!$H$18),"Outlier","Normal")</f>
        <v>Outlier</v>
      </c>
      <c r="Z1101" s="2" t="s">
        <v>39</v>
      </c>
      <c r="AA1101" s="2" t="s">
        <v>27</v>
      </c>
      <c r="AB1101" s="2" t="s">
        <v>41</v>
      </c>
      <c r="AC1101" s="2" t="s">
        <v>73</v>
      </c>
      <c r="AD1101" s="2"/>
      <c r="AE1101" s="2" t="str">
        <f t="shared" si="239"/>
        <v>Not Required</v>
      </c>
      <c r="AF1101" s="2" t="s">
        <v>3211</v>
      </c>
    </row>
    <row r="1102" spans="1:32" x14ac:dyDescent="0.3">
      <c r="A1102" s="2" t="s">
        <v>3212</v>
      </c>
      <c r="B1102" s="2">
        <f t="shared" si="229"/>
        <v>1</v>
      </c>
      <c r="C1102" s="12">
        <f t="shared" si="228"/>
        <v>46238.580368726849</v>
      </c>
      <c r="D1102" s="13">
        <v>46238.580368726849</v>
      </c>
      <c r="E1102" s="2" t="s">
        <v>3213</v>
      </c>
      <c r="F1102" s="2" t="str">
        <f t="shared" si="230"/>
        <v>Email Available</v>
      </c>
      <c r="G1102" s="2" t="s">
        <v>2779</v>
      </c>
      <c r="H1102" s="2" t="s">
        <v>182</v>
      </c>
      <c r="I1102" s="2" t="s">
        <v>36</v>
      </c>
      <c r="J1102" s="2" t="s">
        <v>183</v>
      </c>
      <c r="K1102" s="2">
        <v>1</v>
      </c>
      <c r="L1102" s="2">
        <v>11.99</v>
      </c>
      <c r="M1102" s="19">
        <f t="shared" si="231"/>
        <v>11.99</v>
      </c>
      <c r="N1102" s="2" t="s">
        <v>38</v>
      </c>
      <c r="O1102" s="2" t="str">
        <f t="shared" si="232"/>
        <v>FREESHIP</v>
      </c>
      <c r="P1102" s="2">
        <v>0</v>
      </c>
      <c r="Q1102" s="19">
        <f t="shared" si="233"/>
        <v>0</v>
      </c>
      <c r="R1102" s="2" t="str">
        <f t="shared" si="234"/>
        <v>Number</v>
      </c>
      <c r="S1102" s="2">
        <v>0</v>
      </c>
      <c r="T1102" s="19">
        <f t="shared" si="235"/>
        <v>0</v>
      </c>
      <c r="U1102" s="2">
        <v>11.99</v>
      </c>
      <c r="V1102" s="19">
        <f t="shared" si="236"/>
        <v>11.99</v>
      </c>
      <c r="W1102" s="19">
        <f t="shared" si="237"/>
        <v>11.99</v>
      </c>
      <c r="X1102" s="19" t="str">
        <f t="shared" si="238"/>
        <v>True</v>
      </c>
      <c r="Y1102" s="19" t="str">
        <f>IF(OR(W1102&lt;'Cleaning Tasks'!$G$18,W1102&gt;'Cleaning Tasks'!$H$18),"Outlier","Normal")</f>
        <v>Normal</v>
      </c>
      <c r="Z1102" s="2" t="s">
        <v>26</v>
      </c>
      <c r="AA1102" s="2" t="s">
        <v>40</v>
      </c>
      <c r="AB1102" s="2" t="s">
        <v>41</v>
      </c>
      <c r="AC1102" s="2" t="s">
        <v>105</v>
      </c>
      <c r="AD1102" s="2"/>
      <c r="AE1102" s="2" t="str">
        <f t="shared" si="239"/>
        <v>Not Required</v>
      </c>
      <c r="AF1102" s="2" t="s">
        <v>3214</v>
      </c>
    </row>
    <row r="1103" spans="1:32" x14ac:dyDescent="0.3">
      <c r="A1103" s="2" t="s">
        <v>3215</v>
      </c>
      <c r="B1103" s="2">
        <f t="shared" si="229"/>
        <v>1</v>
      </c>
      <c r="C1103" s="12">
        <f t="shared" si="228"/>
        <v>46238</v>
      </c>
      <c r="D1103" s="13">
        <v>46238</v>
      </c>
      <c r="E1103" s="2" t="s">
        <v>3216</v>
      </c>
      <c r="F1103" s="2" t="str">
        <f t="shared" si="230"/>
        <v>Email Available</v>
      </c>
      <c r="G1103" s="2" t="s">
        <v>3217</v>
      </c>
      <c r="H1103" s="2" t="s">
        <v>46</v>
      </c>
      <c r="I1103" s="2" t="s">
        <v>47</v>
      </c>
      <c r="J1103" s="2" t="s">
        <v>48</v>
      </c>
      <c r="K1103" s="2">
        <v>2</v>
      </c>
      <c r="L1103" s="2">
        <v>39.99</v>
      </c>
      <c r="M1103" s="19">
        <f t="shared" si="231"/>
        <v>39.99</v>
      </c>
      <c r="N1103" s="2"/>
      <c r="O1103" s="2" t="str">
        <f t="shared" si="232"/>
        <v/>
      </c>
      <c r="P1103" s="2">
        <v>0</v>
      </c>
      <c r="Q1103" s="19">
        <f t="shared" si="233"/>
        <v>0</v>
      </c>
      <c r="R1103" s="2" t="str">
        <f t="shared" si="234"/>
        <v>Number</v>
      </c>
      <c r="S1103" s="2">
        <v>0</v>
      </c>
      <c r="T1103" s="19">
        <f t="shared" si="235"/>
        <v>0</v>
      </c>
      <c r="U1103" s="2">
        <v>79.98</v>
      </c>
      <c r="V1103" s="19">
        <f t="shared" si="236"/>
        <v>79.98</v>
      </c>
      <c r="W1103" s="19">
        <f t="shared" si="237"/>
        <v>79.98</v>
      </c>
      <c r="X1103" s="19" t="str">
        <f t="shared" si="238"/>
        <v>True</v>
      </c>
      <c r="Y1103" s="19" t="str">
        <f>IF(OR(W1103&lt;'Cleaning Tasks'!$G$18,W1103&gt;'Cleaning Tasks'!$H$18),"Outlier","Normal")</f>
        <v>Normal</v>
      </c>
      <c r="Z1103" s="2" t="s">
        <v>26</v>
      </c>
      <c r="AA1103" s="2" t="s">
        <v>40</v>
      </c>
      <c r="AB1103" s="2" t="s">
        <v>28</v>
      </c>
      <c r="AC1103" s="2" t="s">
        <v>29</v>
      </c>
      <c r="AD1103" s="2" t="s">
        <v>140</v>
      </c>
      <c r="AE1103" s="2" t="str">
        <f t="shared" si="239"/>
        <v>Valid</v>
      </c>
      <c r="AF1103" s="2" t="s">
        <v>3218</v>
      </c>
    </row>
    <row r="1104" spans="1:32" x14ac:dyDescent="0.3">
      <c r="A1104" s="2" t="s">
        <v>3219</v>
      </c>
      <c r="B1104" s="2">
        <f t="shared" si="229"/>
        <v>1</v>
      </c>
      <c r="C1104" s="12">
        <f t="shared" si="228"/>
        <v>46238.584017442132</v>
      </c>
      <c r="D1104" s="13">
        <v>46238.584017442132</v>
      </c>
      <c r="E1104" s="2" t="s">
        <v>1084</v>
      </c>
      <c r="F1104" s="2" t="str">
        <f t="shared" si="230"/>
        <v>Missing Email</v>
      </c>
      <c r="G1104" s="2"/>
      <c r="H1104" s="2" t="s">
        <v>267</v>
      </c>
      <c r="I1104" s="2" t="s">
        <v>22</v>
      </c>
      <c r="J1104" s="2" t="s">
        <v>268</v>
      </c>
      <c r="K1104" s="2">
        <v>2</v>
      </c>
      <c r="L1104" s="2">
        <v>18.989999999999998</v>
      </c>
      <c r="M1104" s="19">
        <f t="shared" si="231"/>
        <v>18.989999999999998</v>
      </c>
      <c r="N1104" s="2" t="s">
        <v>203</v>
      </c>
      <c r="O1104" s="2" t="str">
        <f t="shared" si="232"/>
        <v>VIP15</v>
      </c>
      <c r="P1104" s="2">
        <v>5.7</v>
      </c>
      <c r="Q1104" s="19">
        <f t="shared" si="233"/>
        <v>5.7</v>
      </c>
      <c r="R1104" s="2" t="str">
        <f t="shared" si="234"/>
        <v>Number</v>
      </c>
      <c r="S1104" s="2">
        <v>5.99</v>
      </c>
      <c r="T1104" s="19">
        <f t="shared" si="235"/>
        <v>5.99</v>
      </c>
      <c r="U1104" s="2">
        <v>38.270000000000003</v>
      </c>
      <c r="V1104" s="19">
        <f t="shared" si="236"/>
        <v>38.270000000000003</v>
      </c>
      <c r="W1104" s="19">
        <f t="shared" si="237"/>
        <v>38.269999999999996</v>
      </c>
      <c r="X1104" s="19" t="str">
        <f t="shared" si="238"/>
        <v>True</v>
      </c>
      <c r="Y1104" s="19" t="str">
        <f>IF(OR(W1104&lt;'Cleaning Tasks'!$G$18,W1104&gt;'Cleaning Tasks'!$H$18),"Outlier","Normal")</f>
        <v>Normal</v>
      </c>
      <c r="Z1104" s="2" t="s">
        <v>26</v>
      </c>
      <c r="AA1104" s="2" t="s">
        <v>27</v>
      </c>
      <c r="AB1104" s="2" t="s">
        <v>50</v>
      </c>
      <c r="AC1104" s="2" t="s">
        <v>29</v>
      </c>
      <c r="AD1104" s="2" t="s">
        <v>243</v>
      </c>
      <c r="AE1104" s="2" t="str">
        <f t="shared" si="239"/>
        <v>Valid</v>
      </c>
      <c r="AF1104" s="2" t="s">
        <v>3220</v>
      </c>
    </row>
    <row r="1105" spans="1:32" x14ac:dyDescent="0.3">
      <c r="A1105" s="2" t="s">
        <v>3221</v>
      </c>
      <c r="B1105" s="2">
        <f t="shared" si="229"/>
        <v>1</v>
      </c>
      <c r="C1105" s="12">
        <f t="shared" si="228"/>
        <v>46238.586769189817</v>
      </c>
      <c r="D1105" s="13">
        <v>46238.586769189817</v>
      </c>
      <c r="E1105" s="2" t="s">
        <v>417</v>
      </c>
      <c r="F1105" s="2" t="str">
        <f t="shared" si="230"/>
        <v>Email Available</v>
      </c>
      <c r="G1105" s="2" t="s">
        <v>418</v>
      </c>
      <c r="H1105" s="2" t="s">
        <v>267</v>
      </c>
      <c r="I1105" s="2" t="s">
        <v>22</v>
      </c>
      <c r="J1105" s="2" t="s">
        <v>268</v>
      </c>
      <c r="K1105" s="2">
        <v>1</v>
      </c>
      <c r="L1105" s="2">
        <v>18.989999999999998</v>
      </c>
      <c r="M1105" s="19">
        <f t="shared" si="231"/>
        <v>18.989999999999998</v>
      </c>
      <c r="N1105" s="2"/>
      <c r="O1105" s="2" t="str">
        <f t="shared" si="232"/>
        <v/>
      </c>
      <c r="P1105" s="2">
        <v>0</v>
      </c>
      <c r="Q1105" s="19">
        <f t="shared" si="233"/>
        <v>0</v>
      </c>
      <c r="R1105" s="2" t="str">
        <f t="shared" si="234"/>
        <v>Number</v>
      </c>
      <c r="S1105" s="2">
        <v>5.99</v>
      </c>
      <c r="T1105" s="19">
        <f t="shared" si="235"/>
        <v>5.99</v>
      </c>
      <c r="U1105" s="2">
        <v>24.98</v>
      </c>
      <c r="V1105" s="19">
        <f t="shared" si="236"/>
        <v>24.98</v>
      </c>
      <c r="W1105" s="19">
        <f t="shared" si="237"/>
        <v>24.979999999999997</v>
      </c>
      <c r="X1105" s="19" t="str">
        <f t="shared" si="238"/>
        <v>True</v>
      </c>
      <c r="Y1105" s="19" t="str">
        <f>IF(OR(W1105&lt;'Cleaning Tasks'!$G$18,W1105&gt;'Cleaning Tasks'!$H$18),"Outlier","Normal")</f>
        <v>Normal</v>
      </c>
      <c r="Z1105" s="2" t="s">
        <v>26</v>
      </c>
      <c r="AA1105" s="2" t="s">
        <v>88</v>
      </c>
      <c r="AB1105" s="2" t="s">
        <v>50</v>
      </c>
      <c r="AC1105" s="2" t="s">
        <v>29</v>
      </c>
      <c r="AD1105" s="2" t="s">
        <v>243</v>
      </c>
      <c r="AE1105" s="2" t="str">
        <f t="shared" si="239"/>
        <v>Valid</v>
      </c>
      <c r="AF1105" s="2" t="s">
        <v>3222</v>
      </c>
    </row>
    <row r="1106" spans="1:32" x14ac:dyDescent="0.3">
      <c r="A1106" s="2" t="s">
        <v>3223</v>
      </c>
      <c r="B1106" s="2">
        <f t="shared" si="229"/>
        <v>1</v>
      </c>
      <c r="C1106" s="12">
        <f t="shared" ref="C1106:C1119" si="240">IF(ISNUMBER(D1106),D1106,DATEVALUE(SUBSTITUTE(TRIM(D1106),CHAR(160)," ")))</f>
        <v>46238.582713703698</v>
      </c>
      <c r="D1106" s="13">
        <v>46238.582713703698</v>
      </c>
      <c r="E1106" s="2" t="s">
        <v>760</v>
      </c>
      <c r="F1106" s="2" t="str">
        <f t="shared" si="230"/>
        <v>Email Available</v>
      </c>
      <c r="G1106" s="2" t="s">
        <v>761</v>
      </c>
      <c r="H1106" s="2" t="s">
        <v>46</v>
      </c>
      <c r="I1106" s="2" t="s">
        <v>47</v>
      </c>
      <c r="J1106" s="2" t="s">
        <v>48</v>
      </c>
      <c r="K1106" s="2">
        <v>2</v>
      </c>
      <c r="L1106" s="2">
        <v>39.99</v>
      </c>
      <c r="M1106" s="19">
        <f t="shared" si="231"/>
        <v>39.99</v>
      </c>
      <c r="N1106" s="2"/>
      <c r="O1106" s="2" t="str">
        <f t="shared" si="232"/>
        <v/>
      </c>
      <c r="P1106" s="2">
        <v>0</v>
      </c>
      <c r="Q1106" s="19">
        <f t="shared" si="233"/>
        <v>0</v>
      </c>
      <c r="R1106" s="2" t="str">
        <f t="shared" si="234"/>
        <v>Number</v>
      </c>
      <c r="S1106" s="2">
        <v>0</v>
      </c>
      <c r="T1106" s="19">
        <f t="shared" si="235"/>
        <v>0</v>
      </c>
      <c r="U1106" s="2">
        <v>79.98</v>
      </c>
      <c r="V1106" s="19">
        <f t="shared" si="236"/>
        <v>79.98</v>
      </c>
      <c r="W1106" s="19">
        <f t="shared" si="237"/>
        <v>79.98</v>
      </c>
      <c r="X1106" s="19" t="str">
        <f t="shared" si="238"/>
        <v>True</v>
      </c>
      <c r="Y1106" s="19" t="str">
        <f>IF(OR(W1106&lt;'Cleaning Tasks'!$G$18,W1106&gt;'Cleaning Tasks'!$H$18),"Outlier","Normal")</f>
        <v>Normal</v>
      </c>
      <c r="Z1106" s="2" t="s">
        <v>72</v>
      </c>
      <c r="AA1106" s="2" t="s">
        <v>40</v>
      </c>
      <c r="AB1106" s="2" t="s">
        <v>50</v>
      </c>
      <c r="AC1106" s="2" t="s">
        <v>29</v>
      </c>
      <c r="AD1106" s="2" t="s">
        <v>447</v>
      </c>
      <c r="AE1106" s="2" t="str">
        <f t="shared" si="239"/>
        <v>Valid</v>
      </c>
      <c r="AF1106" s="2" t="s">
        <v>3224</v>
      </c>
    </row>
    <row r="1107" spans="1:32" x14ac:dyDescent="0.3">
      <c r="A1107" s="2" t="s">
        <v>3225</v>
      </c>
      <c r="B1107" s="2">
        <f t="shared" si="229"/>
        <v>1</v>
      </c>
      <c r="C1107" s="12">
        <f t="shared" si="240"/>
        <v>46238.587768680547</v>
      </c>
      <c r="D1107" s="13">
        <v>46238.587768680547</v>
      </c>
      <c r="E1107" s="2" t="s">
        <v>2309</v>
      </c>
      <c r="F1107" s="2" t="str">
        <f t="shared" si="230"/>
        <v>Email Available</v>
      </c>
      <c r="G1107" s="2" t="s">
        <v>2310</v>
      </c>
      <c r="H1107" s="2" t="s">
        <v>85</v>
      </c>
      <c r="I1107" s="2" t="s">
        <v>86</v>
      </c>
      <c r="J1107" s="2" t="s">
        <v>87</v>
      </c>
      <c r="K1107" s="2">
        <v>1</v>
      </c>
      <c r="L1107" s="2">
        <v>54.99</v>
      </c>
      <c r="M1107" s="19">
        <f t="shared" si="231"/>
        <v>54.99</v>
      </c>
      <c r="N1107" s="2" t="s">
        <v>203</v>
      </c>
      <c r="O1107" s="2" t="str">
        <f t="shared" si="232"/>
        <v>VIP15</v>
      </c>
      <c r="P1107" s="2">
        <v>8.25</v>
      </c>
      <c r="Q1107" s="19">
        <f t="shared" si="233"/>
        <v>8.25</v>
      </c>
      <c r="R1107" s="2" t="str">
        <f t="shared" si="234"/>
        <v>Number</v>
      </c>
      <c r="S1107" s="2">
        <v>5.99</v>
      </c>
      <c r="T1107" s="19">
        <f t="shared" si="235"/>
        <v>5.99</v>
      </c>
      <c r="U1107" s="2">
        <v>52.73</v>
      </c>
      <c r="V1107" s="19">
        <f t="shared" si="236"/>
        <v>52.73</v>
      </c>
      <c r="W1107" s="19">
        <f t="shared" si="237"/>
        <v>52.730000000000004</v>
      </c>
      <c r="X1107" s="19" t="str">
        <f t="shared" si="238"/>
        <v>True</v>
      </c>
      <c r="Y1107" s="19" t="str">
        <f>IF(OR(W1107&lt;'Cleaning Tasks'!$G$18,W1107&gt;'Cleaning Tasks'!$H$18),"Outlier","Normal")</f>
        <v>Normal</v>
      </c>
      <c r="Z1107" s="2" t="s">
        <v>26</v>
      </c>
      <c r="AA1107" s="2" t="s">
        <v>27</v>
      </c>
      <c r="AB1107" s="2" t="s">
        <v>50</v>
      </c>
      <c r="AC1107" s="2" t="s">
        <v>29</v>
      </c>
      <c r="AD1107" s="22" t="s">
        <v>89</v>
      </c>
      <c r="AE1107" s="2" t="str">
        <f t="shared" si="239"/>
        <v>Valid</v>
      </c>
      <c r="AF1107" s="2" t="s">
        <v>3226</v>
      </c>
    </row>
    <row r="1108" spans="1:32" x14ac:dyDescent="0.3">
      <c r="A1108" s="2" t="s">
        <v>3227</v>
      </c>
      <c r="B1108" s="2">
        <f t="shared" si="229"/>
        <v>1</v>
      </c>
      <c r="C1108" s="12">
        <f t="shared" si="240"/>
        <v>46238.5881375463</v>
      </c>
      <c r="D1108" s="13">
        <v>46238.5881375463</v>
      </c>
      <c r="E1108" s="2" t="s">
        <v>528</v>
      </c>
      <c r="F1108" s="2" t="str">
        <f t="shared" si="230"/>
        <v>Email Available</v>
      </c>
      <c r="G1108" s="2" t="s">
        <v>529</v>
      </c>
      <c r="H1108" s="2" t="s">
        <v>152</v>
      </c>
      <c r="I1108" s="2" t="s">
        <v>36</v>
      </c>
      <c r="J1108" s="2" t="s">
        <v>153</v>
      </c>
      <c r="K1108" s="2">
        <v>1</v>
      </c>
      <c r="L1108" s="2">
        <v>29.99</v>
      </c>
      <c r="M1108" s="19">
        <f t="shared" si="231"/>
        <v>29.99</v>
      </c>
      <c r="N1108" s="2" t="s">
        <v>38</v>
      </c>
      <c r="O1108" s="2" t="str">
        <f t="shared" si="232"/>
        <v>FREESHIP</v>
      </c>
      <c r="P1108" s="2">
        <v>0</v>
      </c>
      <c r="Q1108" s="19">
        <f t="shared" si="233"/>
        <v>0</v>
      </c>
      <c r="R1108" s="2" t="str">
        <f t="shared" si="234"/>
        <v>Number</v>
      </c>
      <c r="S1108" s="2">
        <v>0</v>
      </c>
      <c r="T1108" s="19">
        <f t="shared" si="235"/>
        <v>0</v>
      </c>
      <c r="U1108" s="2" t="s">
        <v>610</v>
      </c>
      <c r="V1108" s="19">
        <f t="shared" si="236"/>
        <v>29.99</v>
      </c>
      <c r="W1108" s="19">
        <f t="shared" si="237"/>
        <v>29.99</v>
      </c>
      <c r="X1108" s="19" t="str">
        <f t="shared" si="238"/>
        <v>True</v>
      </c>
      <c r="Y1108" s="19" t="str">
        <f>IF(OR(W1108&lt;'Cleaning Tasks'!$G$18,W1108&gt;'Cleaning Tasks'!$H$18),"Outlier","Normal")</f>
        <v>Normal</v>
      </c>
      <c r="Z1108" s="2" t="s">
        <v>39</v>
      </c>
      <c r="AA1108" s="2" t="s">
        <v>40</v>
      </c>
      <c r="AB1108" s="2" t="s">
        <v>50</v>
      </c>
      <c r="AC1108" s="2" t="s">
        <v>29</v>
      </c>
      <c r="AD1108" s="22" t="s">
        <v>89</v>
      </c>
      <c r="AE1108" s="2" t="str">
        <f t="shared" si="239"/>
        <v>Valid</v>
      </c>
      <c r="AF1108" s="2" t="s">
        <v>3228</v>
      </c>
    </row>
    <row r="1109" spans="1:32" x14ac:dyDescent="0.3">
      <c r="A1109" s="2" t="s">
        <v>3229</v>
      </c>
      <c r="B1109" s="2">
        <f t="shared" si="229"/>
        <v>1</v>
      </c>
      <c r="C1109" s="12">
        <f t="shared" si="240"/>
        <v>46238.585160543982</v>
      </c>
      <c r="D1109" s="13">
        <v>46238.585160543982</v>
      </c>
      <c r="E1109" s="2" t="s">
        <v>686</v>
      </c>
      <c r="F1109" s="2" t="str">
        <f t="shared" si="230"/>
        <v>Email Available</v>
      </c>
      <c r="G1109" s="2" t="s">
        <v>687</v>
      </c>
      <c r="H1109" s="2" t="s">
        <v>63</v>
      </c>
      <c r="I1109" s="2" t="s">
        <v>47</v>
      </c>
      <c r="J1109" s="2" t="s">
        <v>446</v>
      </c>
      <c r="K1109" s="2">
        <v>1</v>
      </c>
      <c r="L1109" s="2" t="s">
        <v>1465</v>
      </c>
      <c r="M1109" s="19">
        <f t="shared" si="231"/>
        <v>14.99</v>
      </c>
      <c r="N1109" s="2"/>
      <c r="O1109" s="2" t="str">
        <f t="shared" si="232"/>
        <v/>
      </c>
      <c r="P1109" s="2">
        <v>0</v>
      </c>
      <c r="Q1109" s="19">
        <f t="shared" si="233"/>
        <v>0</v>
      </c>
      <c r="R1109" s="2" t="str">
        <f t="shared" si="234"/>
        <v>Number</v>
      </c>
      <c r="S1109" s="2">
        <v>4.99</v>
      </c>
      <c r="T1109" s="19">
        <f t="shared" si="235"/>
        <v>4.99</v>
      </c>
      <c r="U1109" s="2">
        <v>19.98</v>
      </c>
      <c r="V1109" s="19">
        <f t="shared" si="236"/>
        <v>19.98</v>
      </c>
      <c r="W1109" s="19">
        <f t="shared" si="237"/>
        <v>19.98</v>
      </c>
      <c r="X1109" s="19" t="str">
        <f t="shared" si="238"/>
        <v>True</v>
      </c>
      <c r="Y1109" s="19" t="str">
        <f>IF(OR(W1109&lt;'Cleaning Tasks'!$G$18,W1109&gt;'Cleaning Tasks'!$H$18),"Outlier","Normal")</f>
        <v>Normal</v>
      </c>
      <c r="Z1109" s="2" t="s">
        <v>26</v>
      </c>
      <c r="AA1109" s="2" t="s">
        <v>27</v>
      </c>
      <c r="AB1109" s="2" t="s">
        <v>50</v>
      </c>
      <c r="AC1109" s="2" t="s">
        <v>29</v>
      </c>
      <c r="AD1109" s="2" t="s">
        <v>447</v>
      </c>
      <c r="AE1109" s="2" t="str">
        <f t="shared" si="239"/>
        <v>Valid</v>
      </c>
      <c r="AF1109" s="2" t="s">
        <v>3230</v>
      </c>
    </row>
    <row r="1110" spans="1:32" x14ac:dyDescent="0.3">
      <c r="A1110" s="2" t="s">
        <v>3231</v>
      </c>
      <c r="B1110" s="2">
        <f t="shared" si="229"/>
        <v>1</v>
      </c>
      <c r="C1110" s="12">
        <f t="shared" si="240"/>
        <v>46238.583463229174</v>
      </c>
      <c r="D1110" s="13">
        <v>46238.583463229174</v>
      </c>
      <c r="E1110" s="2" t="s">
        <v>92</v>
      </c>
      <c r="F1110" s="2" t="str">
        <f t="shared" si="230"/>
        <v>Email Available</v>
      </c>
      <c r="G1110" s="2" t="s">
        <v>93</v>
      </c>
      <c r="H1110" s="2" t="s">
        <v>56</v>
      </c>
      <c r="I1110" s="2" t="s">
        <v>22</v>
      </c>
      <c r="J1110" s="2" t="s">
        <v>57</v>
      </c>
      <c r="K1110" s="2">
        <v>1</v>
      </c>
      <c r="L1110" s="2">
        <v>9.99</v>
      </c>
      <c r="M1110" s="19">
        <f t="shared" si="231"/>
        <v>9.99</v>
      </c>
      <c r="N1110" s="2"/>
      <c r="O1110" s="2" t="str">
        <f t="shared" si="232"/>
        <v/>
      </c>
      <c r="P1110" s="2">
        <v>0</v>
      </c>
      <c r="Q1110" s="19">
        <f t="shared" si="233"/>
        <v>0</v>
      </c>
      <c r="R1110" s="2" t="str">
        <f t="shared" si="234"/>
        <v>Number</v>
      </c>
      <c r="S1110" s="2">
        <v>4.99</v>
      </c>
      <c r="T1110" s="19">
        <f t="shared" si="235"/>
        <v>4.99</v>
      </c>
      <c r="U1110" s="2">
        <v>14.98</v>
      </c>
      <c r="V1110" s="19">
        <f t="shared" si="236"/>
        <v>14.98</v>
      </c>
      <c r="W1110" s="19">
        <f t="shared" si="237"/>
        <v>14.98</v>
      </c>
      <c r="X1110" s="19" t="str">
        <f t="shared" si="238"/>
        <v>True</v>
      </c>
      <c r="Y1110" s="19" t="str">
        <f>IF(OR(W1110&lt;'Cleaning Tasks'!$G$18,W1110&gt;'Cleaning Tasks'!$H$18),"Outlier","Normal")</f>
        <v>Normal</v>
      </c>
      <c r="Z1110" s="2" t="s">
        <v>26</v>
      </c>
      <c r="AA1110" s="2" t="s">
        <v>40</v>
      </c>
      <c r="AB1110" s="2" t="s">
        <v>50</v>
      </c>
      <c r="AC1110" s="2" t="s">
        <v>42</v>
      </c>
      <c r="AD1110" s="2"/>
      <c r="AE1110" s="2" t="str">
        <f t="shared" si="239"/>
        <v>Not Required</v>
      </c>
      <c r="AF1110" s="2" t="s">
        <v>3232</v>
      </c>
    </row>
    <row r="1111" spans="1:32" x14ac:dyDescent="0.3">
      <c r="A1111" s="2" t="s">
        <v>3233</v>
      </c>
      <c r="B1111" s="2">
        <f t="shared" si="229"/>
        <v>1</v>
      </c>
      <c r="C1111" s="12">
        <f t="shared" si="240"/>
        <v>46238.583861574072</v>
      </c>
      <c r="D1111" s="13">
        <v>46238.583861574072</v>
      </c>
      <c r="E1111" s="2" t="s">
        <v>904</v>
      </c>
      <c r="F1111" s="2" t="str">
        <f t="shared" si="230"/>
        <v>Email Available</v>
      </c>
      <c r="G1111" s="2" t="s">
        <v>905</v>
      </c>
      <c r="H1111" s="2" t="s">
        <v>279</v>
      </c>
      <c r="I1111" s="2" t="s">
        <v>22</v>
      </c>
      <c r="J1111" s="2" t="s">
        <v>280</v>
      </c>
      <c r="K1111" s="2">
        <v>1</v>
      </c>
      <c r="L1111" s="2">
        <v>24.99</v>
      </c>
      <c r="M1111" s="19">
        <f t="shared" si="231"/>
        <v>24.99</v>
      </c>
      <c r="N1111" s="2" t="s">
        <v>118</v>
      </c>
      <c r="O1111" s="2" t="str">
        <f t="shared" si="232"/>
        <v>BFCM25</v>
      </c>
      <c r="P1111" s="2">
        <v>6.25</v>
      </c>
      <c r="Q1111" s="19">
        <f t="shared" si="233"/>
        <v>6.25</v>
      </c>
      <c r="R1111" s="2" t="str">
        <f t="shared" si="234"/>
        <v>Number</v>
      </c>
      <c r="S1111" s="2">
        <v>4.99</v>
      </c>
      <c r="T1111" s="19">
        <f t="shared" si="235"/>
        <v>4.99</v>
      </c>
      <c r="U1111" s="2">
        <v>23.73</v>
      </c>
      <c r="V1111" s="19">
        <f t="shared" si="236"/>
        <v>23.73</v>
      </c>
      <c r="W1111" s="19">
        <f t="shared" si="237"/>
        <v>23.729999999999997</v>
      </c>
      <c r="X1111" s="19" t="str">
        <f t="shared" si="238"/>
        <v>True</v>
      </c>
      <c r="Y1111" s="19" t="str">
        <f>IF(OR(W1111&lt;'Cleaning Tasks'!$G$18,W1111&gt;'Cleaning Tasks'!$H$18),"Outlier","Normal")</f>
        <v>Normal</v>
      </c>
      <c r="Z1111" s="2" t="s">
        <v>66</v>
      </c>
      <c r="AA1111" s="2" t="s">
        <v>40</v>
      </c>
      <c r="AB1111" s="2" t="s">
        <v>28</v>
      </c>
      <c r="AC1111" s="2" t="s">
        <v>29</v>
      </c>
      <c r="AD1111" s="22" t="s">
        <v>243</v>
      </c>
      <c r="AE1111" s="2" t="str">
        <f t="shared" si="239"/>
        <v>Valid</v>
      </c>
      <c r="AF1111" s="2" t="s">
        <v>3234</v>
      </c>
    </row>
    <row r="1112" spans="1:32" x14ac:dyDescent="0.3">
      <c r="A1112" s="2" t="s">
        <v>3235</v>
      </c>
      <c r="B1112" s="2">
        <f t="shared" si="229"/>
        <v>1</v>
      </c>
      <c r="C1112" s="12">
        <f t="shared" si="240"/>
        <v>46238.585970902779</v>
      </c>
      <c r="D1112" s="13">
        <v>46238.585970902779</v>
      </c>
      <c r="E1112" s="2" t="s">
        <v>2395</v>
      </c>
      <c r="F1112" s="2" t="str">
        <f t="shared" si="230"/>
        <v>Email Available</v>
      </c>
      <c r="G1112" s="2" t="s">
        <v>2396</v>
      </c>
      <c r="H1112" s="2" t="s">
        <v>221</v>
      </c>
      <c r="I1112" s="2" t="s">
        <v>22</v>
      </c>
      <c r="J1112" s="2" t="s">
        <v>222</v>
      </c>
      <c r="K1112" s="2">
        <v>2</v>
      </c>
      <c r="L1112" s="2">
        <v>17.989999999999998</v>
      </c>
      <c r="M1112" s="19">
        <f t="shared" si="231"/>
        <v>17.989999999999998</v>
      </c>
      <c r="N1112" s="2"/>
      <c r="O1112" s="2" t="str">
        <f t="shared" si="232"/>
        <v/>
      </c>
      <c r="P1112" s="2">
        <v>0</v>
      </c>
      <c r="Q1112" s="19">
        <f t="shared" si="233"/>
        <v>0</v>
      </c>
      <c r="R1112" s="2" t="str">
        <f t="shared" si="234"/>
        <v>Number</v>
      </c>
      <c r="S1112" s="2">
        <v>5.99</v>
      </c>
      <c r="T1112" s="19">
        <f t="shared" si="235"/>
        <v>5.99</v>
      </c>
      <c r="U1112" s="2">
        <v>41.97</v>
      </c>
      <c r="V1112" s="19">
        <f t="shared" si="236"/>
        <v>41.97</v>
      </c>
      <c r="W1112" s="19">
        <f t="shared" si="237"/>
        <v>41.97</v>
      </c>
      <c r="X1112" s="19" t="str">
        <f t="shared" si="238"/>
        <v>True</v>
      </c>
      <c r="Y1112" s="19" t="str">
        <f>IF(OR(W1112&lt;'Cleaning Tasks'!$G$18,W1112&gt;'Cleaning Tasks'!$H$18),"Outlier","Normal")</f>
        <v>Normal</v>
      </c>
      <c r="Z1112" s="2" t="s">
        <v>72</v>
      </c>
      <c r="AA1112" s="2" t="s">
        <v>27</v>
      </c>
      <c r="AB1112" s="2" t="s">
        <v>50</v>
      </c>
      <c r="AC1112" s="2" t="s">
        <v>223</v>
      </c>
      <c r="AD1112" s="2"/>
      <c r="AE1112" s="2" t="str">
        <f t="shared" si="239"/>
        <v>Not Required</v>
      </c>
      <c r="AF1112" s="2" t="s">
        <v>3236</v>
      </c>
    </row>
    <row r="1113" spans="1:32" x14ac:dyDescent="0.3">
      <c r="A1113" s="2" t="s">
        <v>3237</v>
      </c>
      <c r="B1113" s="2">
        <f t="shared" si="229"/>
        <v>1</v>
      </c>
      <c r="C1113" s="12">
        <f t="shared" si="240"/>
        <v>46238.585499687499</v>
      </c>
      <c r="D1113" s="13">
        <v>46238.585499687499</v>
      </c>
      <c r="E1113" s="2" t="s">
        <v>843</v>
      </c>
      <c r="F1113" s="2" t="str">
        <f t="shared" si="230"/>
        <v>Email Available</v>
      </c>
      <c r="G1113" s="2" t="s">
        <v>844</v>
      </c>
      <c r="H1113" s="2" t="s">
        <v>46</v>
      </c>
      <c r="I1113" s="2" t="s">
        <v>47</v>
      </c>
      <c r="J1113" s="2" t="s">
        <v>48</v>
      </c>
      <c r="K1113" s="2">
        <v>1</v>
      </c>
      <c r="L1113" s="2">
        <v>39.99</v>
      </c>
      <c r="M1113" s="19">
        <f t="shared" si="231"/>
        <v>39.99</v>
      </c>
      <c r="N1113" s="2" t="s">
        <v>24</v>
      </c>
      <c r="O1113" s="2" t="str">
        <f t="shared" si="232"/>
        <v>SAVE20</v>
      </c>
      <c r="P1113" s="2">
        <v>8</v>
      </c>
      <c r="Q1113" s="19">
        <f t="shared" si="233"/>
        <v>8</v>
      </c>
      <c r="R1113" s="2" t="str">
        <f t="shared" si="234"/>
        <v>Number</v>
      </c>
      <c r="S1113" s="2">
        <v>7.99</v>
      </c>
      <c r="T1113" s="19">
        <f t="shared" si="235"/>
        <v>7.99</v>
      </c>
      <c r="U1113" s="2">
        <v>39.979999999999997</v>
      </c>
      <c r="V1113" s="19">
        <f t="shared" si="236"/>
        <v>39.979999999999997</v>
      </c>
      <c r="W1113" s="19">
        <f t="shared" si="237"/>
        <v>39.980000000000004</v>
      </c>
      <c r="X1113" s="19" t="str">
        <f t="shared" si="238"/>
        <v>True</v>
      </c>
      <c r="Y1113" s="19" t="str">
        <f>IF(OR(W1113&lt;'Cleaning Tasks'!$G$18,W1113&gt;'Cleaning Tasks'!$H$18),"Outlier","Normal")</f>
        <v>Normal</v>
      </c>
      <c r="Z1113" s="2" t="s">
        <v>26</v>
      </c>
      <c r="AA1113" s="2" t="s">
        <v>27</v>
      </c>
      <c r="AB1113" s="2" t="s">
        <v>50</v>
      </c>
      <c r="AC1113" s="2" t="s">
        <v>29</v>
      </c>
      <c r="AD1113" s="2" t="s">
        <v>447</v>
      </c>
      <c r="AE1113" s="2" t="str">
        <f t="shared" si="239"/>
        <v>Valid</v>
      </c>
      <c r="AF1113" s="2" t="s">
        <v>3238</v>
      </c>
    </row>
    <row r="1114" spans="1:32" x14ac:dyDescent="0.3">
      <c r="A1114" s="2" t="s">
        <v>3239</v>
      </c>
      <c r="B1114" s="2">
        <f t="shared" si="229"/>
        <v>1</v>
      </c>
      <c r="C1114" s="12">
        <f t="shared" si="240"/>
        <v>46238.580235266207</v>
      </c>
      <c r="D1114" s="13">
        <v>46238.580235266207</v>
      </c>
      <c r="E1114" s="2" t="s">
        <v>1913</v>
      </c>
      <c r="F1114" s="2" t="str">
        <f t="shared" si="230"/>
        <v>Email Available</v>
      </c>
      <c r="G1114" s="2" t="s">
        <v>1914</v>
      </c>
      <c r="H1114" s="2" t="s">
        <v>267</v>
      </c>
      <c r="I1114" s="2" t="s">
        <v>22</v>
      </c>
      <c r="J1114" s="2" t="s">
        <v>268</v>
      </c>
      <c r="K1114" s="2">
        <v>1</v>
      </c>
      <c r="L1114" s="2">
        <v>18.989999999999998</v>
      </c>
      <c r="M1114" s="19">
        <f t="shared" si="231"/>
        <v>18.989999999999998</v>
      </c>
      <c r="N1114" s="2" t="s">
        <v>38</v>
      </c>
      <c r="O1114" s="2" t="str">
        <f t="shared" si="232"/>
        <v>FREESHIP</v>
      </c>
      <c r="P1114" s="2">
        <v>0</v>
      </c>
      <c r="Q1114" s="19">
        <f t="shared" si="233"/>
        <v>0</v>
      </c>
      <c r="R1114" s="2" t="str">
        <f t="shared" si="234"/>
        <v>Number</v>
      </c>
      <c r="S1114" s="2">
        <v>0</v>
      </c>
      <c r="T1114" s="19">
        <f t="shared" si="235"/>
        <v>0</v>
      </c>
      <c r="U1114" s="2">
        <v>18.989999999999998</v>
      </c>
      <c r="V1114" s="19">
        <f t="shared" si="236"/>
        <v>18.989999999999998</v>
      </c>
      <c r="W1114" s="19">
        <f t="shared" si="237"/>
        <v>18.989999999999998</v>
      </c>
      <c r="X1114" s="19" t="str">
        <f t="shared" si="238"/>
        <v>True</v>
      </c>
      <c r="Y1114" s="19" t="str">
        <f>IF(OR(W1114&lt;'Cleaning Tasks'!$G$18,W1114&gt;'Cleaning Tasks'!$H$18),"Outlier","Normal")</f>
        <v>Normal</v>
      </c>
      <c r="Z1114" s="2" t="s">
        <v>26</v>
      </c>
      <c r="AA1114" s="2" t="s">
        <v>111</v>
      </c>
      <c r="AB1114" s="2" t="s">
        <v>50</v>
      </c>
      <c r="AC1114" s="2" t="s">
        <v>105</v>
      </c>
      <c r="AD1114" s="2"/>
      <c r="AE1114" s="2" t="str">
        <f t="shared" si="239"/>
        <v>Not Required</v>
      </c>
      <c r="AF1114" s="2" t="s">
        <v>3240</v>
      </c>
    </row>
    <row r="1115" spans="1:32" x14ac:dyDescent="0.3">
      <c r="A1115" s="2" t="s">
        <v>3241</v>
      </c>
      <c r="B1115" s="2">
        <f t="shared" si="229"/>
        <v>1</v>
      </c>
      <c r="C1115" s="12">
        <f t="shared" si="240"/>
        <v>46238.584115636571</v>
      </c>
      <c r="D1115" s="13">
        <v>46238.584115636571</v>
      </c>
      <c r="E1115" s="2" t="s">
        <v>1031</v>
      </c>
      <c r="F1115" s="2" t="str">
        <f t="shared" si="230"/>
        <v>Email Available</v>
      </c>
      <c r="G1115" s="2" t="s">
        <v>1032</v>
      </c>
      <c r="H1115" s="2" t="s">
        <v>261</v>
      </c>
      <c r="I1115" s="2" t="s">
        <v>36</v>
      </c>
      <c r="J1115" s="2" t="s">
        <v>262</v>
      </c>
      <c r="K1115" s="2">
        <v>2</v>
      </c>
      <c r="L1115" s="2">
        <v>15.49</v>
      </c>
      <c r="M1115" s="19">
        <f t="shared" si="231"/>
        <v>15.49</v>
      </c>
      <c r="N1115" s="2" t="s">
        <v>118</v>
      </c>
      <c r="O1115" s="2" t="str">
        <f t="shared" si="232"/>
        <v>BFCM25</v>
      </c>
      <c r="P1115" s="2">
        <v>7.75</v>
      </c>
      <c r="Q1115" s="19">
        <f t="shared" si="233"/>
        <v>7.75</v>
      </c>
      <c r="R1115" s="2" t="str">
        <f t="shared" si="234"/>
        <v>Number</v>
      </c>
      <c r="S1115" s="2">
        <v>5.99</v>
      </c>
      <c r="T1115" s="19">
        <f t="shared" si="235"/>
        <v>5.99</v>
      </c>
      <c r="U1115" s="2">
        <v>29.22</v>
      </c>
      <c r="V1115" s="19">
        <f t="shared" si="236"/>
        <v>29.22</v>
      </c>
      <c r="W1115" s="19">
        <f t="shared" si="237"/>
        <v>29.22</v>
      </c>
      <c r="X1115" s="19" t="str">
        <f t="shared" si="238"/>
        <v>True</v>
      </c>
      <c r="Y1115" s="19" t="str">
        <f>IF(OR(W1115&lt;'Cleaning Tasks'!$G$18,W1115&gt;'Cleaning Tasks'!$H$18),"Outlier","Normal")</f>
        <v>Normal</v>
      </c>
      <c r="Z1115" s="2" t="s">
        <v>39</v>
      </c>
      <c r="AA1115" s="2" t="s">
        <v>27</v>
      </c>
      <c r="AB1115" s="2" t="s">
        <v>50</v>
      </c>
      <c r="AC1115" s="2" t="s">
        <v>29</v>
      </c>
      <c r="AD1115" s="2" t="s">
        <v>447</v>
      </c>
      <c r="AE1115" s="2" t="str">
        <f t="shared" si="239"/>
        <v>Valid</v>
      </c>
      <c r="AF1115" s="2" t="s">
        <v>3242</v>
      </c>
    </row>
    <row r="1116" spans="1:32" x14ac:dyDescent="0.3">
      <c r="A1116" s="2" t="s">
        <v>3243</v>
      </c>
      <c r="B1116" s="2">
        <f t="shared" si="229"/>
        <v>1</v>
      </c>
      <c r="C1116" s="12">
        <f t="shared" si="240"/>
        <v>46238.579249733797</v>
      </c>
      <c r="D1116" s="13">
        <v>46238.579249733797</v>
      </c>
      <c r="E1116" s="2" t="s">
        <v>3078</v>
      </c>
      <c r="F1116" s="2" t="str">
        <f t="shared" si="230"/>
        <v>Email Available</v>
      </c>
      <c r="G1116" s="2" t="s">
        <v>2956</v>
      </c>
      <c r="H1116" s="2" t="s">
        <v>221</v>
      </c>
      <c r="I1116" s="2" t="s">
        <v>22</v>
      </c>
      <c r="J1116" s="2" t="s">
        <v>222</v>
      </c>
      <c r="K1116" s="2">
        <v>1</v>
      </c>
      <c r="L1116" s="2">
        <v>17.989999999999998</v>
      </c>
      <c r="M1116" s="19">
        <f t="shared" si="231"/>
        <v>17.989999999999998</v>
      </c>
      <c r="N1116" s="2"/>
      <c r="O1116" s="2" t="str">
        <f t="shared" si="232"/>
        <v/>
      </c>
      <c r="P1116" s="2">
        <v>0</v>
      </c>
      <c r="Q1116" s="19">
        <f t="shared" si="233"/>
        <v>0</v>
      </c>
      <c r="R1116" s="2" t="str">
        <f t="shared" si="234"/>
        <v>Number</v>
      </c>
      <c r="S1116" s="2">
        <v>4.99</v>
      </c>
      <c r="T1116" s="19">
        <f t="shared" si="235"/>
        <v>4.99</v>
      </c>
      <c r="U1116" s="2">
        <v>22.98</v>
      </c>
      <c r="V1116" s="19">
        <f t="shared" si="236"/>
        <v>22.98</v>
      </c>
      <c r="W1116" s="19">
        <f t="shared" si="237"/>
        <v>22.979999999999997</v>
      </c>
      <c r="X1116" s="19" t="str">
        <f t="shared" si="238"/>
        <v>True</v>
      </c>
      <c r="Y1116" s="19" t="str">
        <f>IF(OR(W1116&lt;'Cleaning Tasks'!$G$18,W1116&gt;'Cleaning Tasks'!$H$18),"Outlier","Normal")</f>
        <v>Normal</v>
      </c>
      <c r="Z1116" s="2" t="s">
        <v>26</v>
      </c>
      <c r="AA1116" s="2" t="s">
        <v>27</v>
      </c>
      <c r="AB1116" s="2" t="s">
        <v>41</v>
      </c>
      <c r="AC1116" s="2" t="s">
        <v>29</v>
      </c>
      <c r="AD1116" s="2" t="s">
        <v>67</v>
      </c>
      <c r="AE1116" s="2" t="str">
        <f t="shared" si="239"/>
        <v>Valid</v>
      </c>
      <c r="AF1116" s="2" t="s">
        <v>3244</v>
      </c>
    </row>
    <row r="1117" spans="1:32" x14ac:dyDescent="0.3">
      <c r="A1117" s="2" t="s">
        <v>3245</v>
      </c>
      <c r="B1117" s="2">
        <f t="shared" si="229"/>
        <v>1</v>
      </c>
      <c r="C1117" s="12">
        <f t="shared" si="240"/>
        <v>46238.580856898137</v>
      </c>
      <c r="D1117" s="13">
        <v>46238.580856898137</v>
      </c>
      <c r="E1117" s="2" t="s">
        <v>213</v>
      </c>
      <c r="F1117" s="2" t="str">
        <f t="shared" si="230"/>
        <v>Email Available</v>
      </c>
      <c r="G1117" s="2" t="s">
        <v>214</v>
      </c>
      <c r="H1117" s="2" t="s">
        <v>152</v>
      </c>
      <c r="I1117" s="2" t="s">
        <v>36</v>
      </c>
      <c r="J1117" s="2" t="s">
        <v>153</v>
      </c>
      <c r="K1117" s="2">
        <v>1</v>
      </c>
      <c r="L1117" s="2">
        <v>29.99</v>
      </c>
      <c r="M1117" s="19">
        <f t="shared" si="231"/>
        <v>29.99</v>
      </c>
      <c r="N1117" s="2" t="s">
        <v>118</v>
      </c>
      <c r="O1117" s="2" t="str">
        <f t="shared" si="232"/>
        <v>BFCM25</v>
      </c>
      <c r="P1117" s="2">
        <v>7.5</v>
      </c>
      <c r="Q1117" s="19">
        <f t="shared" si="233"/>
        <v>7.5</v>
      </c>
      <c r="R1117" s="2" t="str">
        <f t="shared" si="234"/>
        <v>Number</v>
      </c>
      <c r="S1117" s="2">
        <v>7.99</v>
      </c>
      <c r="T1117" s="19">
        <f t="shared" si="235"/>
        <v>7.99</v>
      </c>
      <c r="U1117" s="2">
        <v>30.48</v>
      </c>
      <c r="V1117" s="19">
        <f t="shared" si="236"/>
        <v>30.48</v>
      </c>
      <c r="W1117" s="19">
        <f t="shared" si="237"/>
        <v>30.479999999999997</v>
      </c>
      <c r="X1117" s="19" t="str">
        <f t="shared" si="238"/>
        <v>True</v>
      </c>
      <c r="Y1117" s="19" t="str">
        <f>IF(OR(W1117&lt;'Cleaning Tasks'!$G$18,W1117&gt;'Cleaning Tasks'!$H$18),"Outlier","Normal")</f>
        <v>Normal</v>
      </c>
      <c r="Z1117" s="2" t="s">
        <v>39</v>
      </c>
      <c r="AA1117" s="2" t="s">
        <v>27</v>
      </c>
      <c r="AB1117" s="2" t="s">
        <v>50</v>
      </c>
      <c r="AC1117" s="2" t="s">
        <v>29</v>
      </c>
      <c r="AD1117" s="2" t="s">
        <v>30</v>
      </c>
      <c r="AE1117" s="2" t="str">
        <f t="shared" si="239"/>
        <v>Valid</v>
      </c>
      <c r="AF1117" s="2" t="s">
        <v>3246</v>
      </c>
    </row>
    <row r="1118" spans="1:32" x14ac:dyDescent="0.3">
      <c r="A1118" s="2" t="s">
        <v>3247</v>
      </c>
      <c r="B1118" s="2">
        <f t="shared" si="229"/>
        <v>1</v>
      </c>
      <c r="C1118" s="12">
        <f t="shared" si="240"/>
        <v>46238.582414826393</v>
      </c>
      <c r="D1118" s="13">
        <v>46238.582414826393</v>
      </c>
      <c r="E1118" s="2" t="s">
        <v>3248</v>
      </c>
      <c r="F1118" s="2" t="str">
        <f t="shared" si="230"/>
        <v>Email Available</v>
      </c>
      <c r="G1118" s="2" t="s">
        <v>414</v>
      </c>
      <c r="H1118" s="2" t="s">
        <v>130</v>
      </c>
      <c r="I1118" s="2" t="s">
        <v>103</v>
      </c>
      <c r="J1118" s="2" t="s">
        <v>131</v>
      </c>
      <c r="K1118" s="2">
        <v>3</v>
      </c>
      <c r="L1118" s="2">
        <v>16.989999999999998</v>
      </c>
      <c r="M1118" s="19">
        <f t="shared" si="231"/>
        <v>16.989999999999998</v>
      </c>
      <c r="N1118" s="2"/>
      <c r="O1118" s="2" t="str">
        <f t="shared" si="232"/>
        <v/>
      </c>
      <c r="P1118" s="2">
        <v>0</v>
      </c>
      <c r="Q1118" s="19">
        <f t="shared" si="233"/>
        <v>0</v>
      </c>
      <c r="R1118" s="2" t="str">
        <f t="shared" si="234"/>
        <v>Number</v>
      </c>
      <c r="S1118" s="2">
        <v>4.99</v>
      </c>
      <c r="T1118" s="19">
        <f t="shared" si="235"/>
        <v>4.99</v>
      </c>
      <c r="U1118" s="2">
        <v>55.96</v>
      </c>
      <c r="V1118" s="19">
        <f t="shared" si="236"/>
        <v>55.96</v>
      </c>
      <c r="W1118" s="19">
        <f t="shared" si="237"/>
        <v>55.96</v>
      </c>
      <c r="X1118" s="19" t="str">
        <f t="shared" si="238"/>
        <v>True</v>
      </c>
      <c r="Y1118" s="19" t="str">
        <f>IF(OR(W1118&lt;'Cleaning Tasks'!$G$18,W1118&gt;'Cleaning Tasks'!$H$18),"Outlier","Normal")</f>
        <v>Normal</v>
      </c>
      <c r="Z1118" s="2" t="s">
        <v>66</v>
      </c>
      <c r="AA1118" s="2" t="s">
        <v>27</v>
      </c>
      <c r="AB1118" s="2" t="s">
        <v>50</v>
      </c>
      <c r="AC1118" s="2" t="s">
        <v>331</v>
      </c>
      <c r="AD1118" s="2"/>
      <c r="AE1118" s="2" t="str">
        <f t="shared" si="239"/>
        <v>Not Required</v>
      </c>
      <c r="AF1118" s="2" t="s">
        <v>3249</v>
      </c>
    </row>
    <row r="1119" spans="1:32" x14ac:dyDescent="0.3">
      <c r="A1119" s="2" t="s">
        <v>3250</v>
      </c>
      <c r="B1119" s="2">
        <f t="shared" si="229"/>
        <v>1</v>
      </c>
      <c r="C1119" s="12">
        <f t="shared" si="240"/>
        <v>46238</v>
      </c>
      <c r="D1119" s="13" t="s">
        <v>1147</v>
      </c>
      <c r="E1119" s="2" t="s">
        <v>377</v>
      </c>
      <c r="F1119" s="2" t="str">
        <f t="shared" si="230"/>
        <v>Email Available</v>
      </c>
      <c r="G1119" s="2" t="s">
        <v>378</v>
      </c>
      <c r="H1119" s="2" t="s">
        <v>124</v>
      </c>
      <c r="I1119" s="2" t="s">
        <v>79</v>
      </c>
      <c r="J1119" s="2" t="s">
        <v>125</v>
      </c>
      <c r="K1119" s="2">
        <v>1</v>
      </c>
      <c r="L1119" s="2">
        <v>13.99</v>
      </c>
      <c r="M1119" s="19">
        <f t="shared" si="231"/>
        <v>13.99</v>
      </c>
      <c r="N1119" s="2" t="s">
        <v>203</v>
      </c>
      <c r="O1119" s="2" t="str">
        <f t="shared" si="232"/>
        <v>VIP15</v>
      </c>
      <c r="P1119" s="2">
        <v>2.1</v>
      </c>
      <c r="Q1119" s="19">
        <f t="shared" si="233"/>
        <v>2.1</v>
      </c>
      <c r="R1119" s="2" t="str">
        <f t="shared" si="234"/>
        <v>Number</v>
      </c>
      <c r="S1119" s="2">
        <v>5.99</v>
      </c>
      <c r="T1119" s="19">
        <f t="shared" si="235"/>
        <v>5.99</v>
      </c>
      <c r="U1119" s="2">
        <v>17.88</v>
      </c>
      <c r="V1119" s="19">
        <f t="shared" si="236"/>
        <v>17.88</v>
      </c>
      <c r="W1119" s="19">
        <f t="shared" si="237"/>
        <v>17.880000000000003</v>
      </c>
      <c r="X1119" s="19" t="str">
        <f t="shared" si="238"/>
        <v>True</v>
      </c>
      <c r="Y1119" s="19" t="str">
        <f>IF(OR(W1119&lt;'Cleaning Tasks'!$G$18,W1119&gt;'Cleaning Tasks'!$H$18),"Outlier","Normal")</f>
        <v>Normal</v>
      </c>
      <c r="Z1119" s="2" t="s">
        <v>39</v>
      </c>
      <c r="AA1119" s="2" t="s">
        <v>40</v>
      </c>
      <c r="AB1119" s="2" t="s">
        <v>50</v>
      </c>
      <c r="AC1119" s="2" t="s">
        <v>73</v>
      </c>
      <c r="AD1119" s="2"/>
      <c r="AE1119" s="2" t="str">
        <f t="shared" si="239"/>
        <v>Not Required</v>
      </c>
      <c r="AF1119" s="2" t="s">
        <v>3251</v>
      </c>
    </row>
    <row r="1120" spans="1:32" x14ac:dyDescent="0.3">
      <c r="A1120" s="2" t="s">
        <v>3252</v>
      </c>
      <c r="B1120" s="2">
        <f t="shared" si="229"/>
        <v>1</v>
      </c>
      <c r="C1120" s="12">
        <f>DATE(VALUE(RIGHT(D1120,4)),MATCH(LEFT(D1120,3),{"Jan","Feb","Mar","Apr","May","Jun","Jul","Aug","Sep","Oct","Nov","Dec"},0),VALUE(MID(D1120,5,2)))</f>
        <v>46238</v>
      </c>
      <c r="D1120" s="13" t="s">
        <v>171</v>
      </c>
      <c r="E1120" s="2" t="s">
        <v>740</v>
      </c>
      <c r="F1120" s="2" t="str">
        <f t="shared" si="230"/>
        <v>Email Available</v>
      </c>
      <c r="G1120" s="2" t="s">
        <v>741</v>
      </c>
      <c r="H1120" s="2" t="s">
        <v>201</v>
      </c>
      <c r="I1120" s="2" t="s">
        <v>191</v>
      </c>
      <c r="J1120" s="2" t="s">
        <v>202</v>
      </c>
      <c r="K1120" s="2">
        <v>1</v>
      </c>
      <c r="L1120" s="2">
        <v>24.99</v>
      </c>
      <c r="M1120" s="19">
        <f t="shared" si="231"/>
        <v>24.99</v>
      </c>
      <c r="N1120" s="2" t="s">
        <v>24</v>
      </c>
      <c r="O1120" s="2" t="str">
        <f t="shared" si="232"/>
        <v>SAVE20</v>
      </c>
      <c r="P1120" s="2">
        <v>5</v>
      </c>
      <c r="Q1120" s="19">
        <f t="shared" si="233"/>
        <v>5</v>
      </c>
      <c r="R1120" s="2" t="str">
        <f t="shared" si="234"/>
        <v>Number</v>
      </c>
      <c r="S1120" s="2">
        <v>7.99</v>
      </c>
      <c r="T1120" s="19">
        <f t="shared" si="235"/>
        <v>7.99</v>
      </c>
      <c r="U1120" s="2">
        <v>27.98</v>
      </c>
      <c r="V1120" s="19">
        <f t="shared" si="236"/>
        <v>27.98</v>
      </c>
      <c r="W1120" s="19">
        <f t="shared" si="237"/>
        <v>27.979999999999997</v>
      </c>
      <c r="X1120" s="19" t="str">
        <f t="shared" si="238"/>
        <v>True</v>
      </c>
      <c r="Y1120" s="19" t="str">
        <f>IF(OR(W1120&lt;'Cleaning Tasks'!$G$18,W1120&gt;'Cleaning Tasks'!$H$18),"Outlier","Normal")</f>
        <v>Normal</v>
      </c>
      <c r="Z1120" s="2" t="s">
        <v>39</v>
      </c>
      <c r="AA1120" s="2" t="s">
        <v>27</v>
      </c>
      <c r="AB1120" s="2" t="s">
        <v>96</v>
      </c>
      <c r="AC1120" s="2" t="s">
        <v>105</v>
      </c>
      <c r="AD1120" s="2"/>
      <c r="AE1120" s="2" t="str">
        <f t="shared" si="239"/>
        <v>Not Required</v>
      </c>
      <c r="AF1120" s="2" t="s">
        <v>3253</v>
      </c>
    </row>
    <row r="1121" spans="1:32" x14ac:dyDescent="0.3">
      <c r="A1121" s="2" t="s">
        <v>3254</v>
      </c>
      <c r="B1121" s="2">
        <f t="shared" si="229"/>
        <v>1</v>
      </c>
      <c r="C1121" s="12">
        <f t="shared" ref="C1121:C1152" si="241">IF(ISNUMBER(D1121),D1121,DATEVALUE(SUBSTITUTE(TRIM(D1121),CHAR(160)," ")))</f>
        <v>46238</v>
      </c>
      <c r="D1121" s="13">
        <v>46238</v>
      </c>
      <c r="E1121" s="2" t="s">
        <v>643</v>
      </c>
      <c r="F1121" s="2" t="str">
        <f t="shared" si="230"/>
        <v>Email Available</v>
      </c>
      <c r="G1121" s="2" t="s">
        <v>644</v>
      </c>
      <c r="H1121" s="2" t="s">
        <v>182</v>
      </c>
      <c r="I1121" s="2" t="s">
        <v>36</v>
      </c>
      <c r="J1121" s="2" t="s">
        <v>183</v>
      </c>
      <c r="K1121" s="2">
        <v>1</v>
      </c>
      <c r="L1121" s="2" t="s">
        <v>402</v>
      </c>
      <c r="M1121" s="19">
        <f t="shared" si="231"/>
        <v>11.99</v>
      </c>
      <c r="N1121" s="2" t="s">
        <v>38</v>
      </c>
      <c r="O1121" s="2" t="str">
        <f t="shared" si="232"/>
        <v>FREESHIP</v>
      </c>
      <c r="P1121" s="2">
        <v>0</v>
      </c>
      <c r="Q1121" s="19">
        <f t="shared" si="233"/>
        <v>0</v>
      </c>
      <c r="R1121" s="2" t="str">
        <f t="shared" si="234"/>
        <v>Number</v>
      </c>
      <c r="S1121" s="2">
        <v>0</v>
      </c>
      <c r="T1121" s="19">
        <f t="shared" si="235"/>
        <v>0</v>
      </c>
      <c r="U1121" s="2">
        <v>11.99</v>
      </c>
      <c r="V1121" s="19">
        <f t="shared" si="236"/>
        <v>11.99</v>
      </c>
      <c r="W1121" s="19">
        <f t="shared" si="237"/>
        <v>11.99</v>
      </c>
      <c r="X1121" s="19" t="str">
        <f t="shared" si="238"/>
        <v>True</v>
      </c>
      <c r="Y1121" s="19" t="str">
        <f>IF(OR(W1121&lt;'Cleaning Tasks'!$G$18,W1121&gt;'Cleaning Tasks'!$H$18),"Outlier","Normal")</f>
        <v>Normal</v>
      </c>
      <c r="Z1121" s="2" t="s">
        <v>66</v>
      </c>
      <c r="AA1121" s="2" t="s">
        <v>27</v>
      </c>
      <c r="AB1121" s="2" t="s">
        <v>41</v>
      </c>
      <c r="AC1121" s="2" t="s">
        <v>29</v>
      </c>
      <c r="AD1121" s="2" t="s">
        <v>89</v>
      </c>
      <c r="AE1121" s="2" t="str">
        <f t="shared" si="239"/>
        <v>Valid</v>
      </c>
      <c r="AF1121" s="2" t="s">
        <v>3255</v>
      </c>
    </row>
    <row r="1122" spans="1:32" x14ac:dyDescent="0.3">
      <c r="A1122" s="2" t="s">
        <v>3256</v>
      </c>
      <c r="B1122" s="2">
        <f t="shared" si="229"/>
        <v>1</v>
      </c>
      <c r="C1122" s="12">
        <f t="shared" si="241"/>
        <v>46238.583241134264</v>
      </c>
      <c r="D1122" s="13">
        <v>46238.583241134264</v>
      </c>
      <c r="E1122" s="2" t="s">
        <v>1550</v>
      </c>
      <c r="F1122" s="2" t="str">
        <f t="shared" si="230"/>
        <v>Email Available</v>
      </c>
      <c r="G1122" s="2" t="s">
        <v>1551</v>
      </c>
      <c r="H1122" s="2" t="s">
        <v>182</v>
      </c>
      <c r="I1122" s="2" t="s">
        <v>36</v>
      </c>
      <c r="J1122" s="2" t="s">
        <v>183</v>
      </c>
      <c r="K1122" s="2">
        <v>1</v>
      </c>
      <c r="L1122" s="2">
        <v>11.99</v>
      </c>
      <c r="M1122" s="19">
        <f t="shared" si="231"/>
        <v>11.99</v>
      </c>
      <c r="N1122" s="2" t="s">
        <v>203</v>
      </c>
      <c r="O1122" s="2" t="str">
        <f t="shared" si="232"/>
        <v>VIP15</v>
      </c>
      <c r="P1122" s="2">
        <v>1.8</v>
      </c>
      <c r="Q1122" s="19">
        <f t="shared" si="233"/>
        <v>1.8</v>
      </c>
      <c r="R1122" s="2" t="str">
        <f t="shared" si="234"/>
        <v>Number</v>
      </c>
      <c r="S1122" s="2">
        <v>7.99</v>
      </c>
      <c r="T1122" s="19">
        <f t="shared" si="235"/>
        <v>7.99</v>
      </c>
      <c r="U1122" s="2">
        <v>18.18</v>
      </c>
      <c r="V1122" s="19">
        <f t="shared" si="236"/>
        <v>18.18</v>
      </c>
      <c r="W1122" s="19">
        <f t="shared" si="237"/>
        <v>18.18</v>
      </c>
      <c r="X1122" s="19" t="str">
        <f t="shared" si="238"/>
        <v>True</v>
      </c>
      <c r="Y1122" s="19" t="str">
        <f>IF(OR(W1122&lt;'Cleaning Tasks'!$G$18,W1122&gt;'Cleaning Tasks'!$H$18),"Outlier","Normal")</f>
        <v>Normal</v>
      </c>
      <c r="Z1122" s="2" t="s">
        <v>39</v>
      </c>
      <c r="AA1122" s="2" t="s">
        <v>27</v>
      </c>
      <c r="AB1122" s="2" t="s">
        <v>96</v>
      </c>
      <c r="AC1122" s="2" t="s">
        <v>42</v>
      </c>
      <c r="AD1122" s="2"/>
      <c r="AE1122" s="2" t="str">
        <f t="shared" si="239"/>
        <v>Not Required</v>
      </c>
      <c r="AF1122" s="2" t="s">
        <v>3257</v>
      </c>
    </row>
    <row r="1123" spans="1:32" x14ac:dyDescent="0.3">
      <c r="A1123" s="2" t="s">
        <v>3258</v>
      </c>
      <c r="B1123" s="2">
        <f t="shared" si="229"/>
        <v>1</v>
      </c>
      <c r="C1123" s="12">
        <f t="shared" si="241"/>
        <v>46238.583157986111</v>
      </c>
      <c r="D1123" s="13">
        <v>46238.583157986111</v>
      </c>
      <c r="E1123" s="2" t="s">
        <v>557</v>
      </c>
      <c r="F1123" s="2" t="str">
        <f t="shared" si="230"/>
        <v>Email Available</v>
      </c>
      <c r="G1123" s="2" t="s">
        <v>558</v>
      </c>
      <c r="H1123" s="2" t="s">
        <v>117</v>
      </c>
      <c r="I1123" s="2" t="s">
        <v>22</v>
      </c>
      <c r="J1123" s="2" t="s">
        <v>23</v>
      </c>
      <c r="K1123" s="2">
        <v>1</v>
      </c>
      <c r="L1123" s="2">
        <v>12.99</v>
      </c>
      <c r="M1123" s="19">
        <f t="shared" si="231"/>
        <v>12.99</v>
      </c>
      <c r="N1123" s="2"/>
      <c r="O1123" s="2" t="str">
        <f t="shared" si="232"/>
        <v/>
      </c>
      <c r="P1123" s="2">
        <v>0</v>
      </c>
      <c r="Q1123" s="19">
        <f t="shared" si="233"/>
        <v>0</v>
      </c>
      <c r="R1123" s="2" t="str">
        <f t="shared" si="234"/>
        <v>Number</v>
      </c>
      <c r="S1123" s="2">
        <v>4.99</v>
      </c>
      <c r="T1123" s="19">
        <f t="shared" si="235"/>
        <v>4.99</v>
      </c>
      <c r="U1123" s="2">
        <v>17.98</v>
      </c>
      <c r="V1123" s="19">
        <f t="shared" si="236"/>
        <v>17.98</v>
      </c>
      <c r="W1123" s="19">
        <f t="shared" si="237"/>
        <v>17.98</v>
      </c>
      <c r="X1123" s="19" t="str">
        <f t="shared" si="238"/>
        <v>True</v>
      </c>
      <c r="Y1123" s="19" t="str">
        <f>IF(OR(W1123&lt;'Cleaning Tasks'!$G$18,W1123&gt;'Cleaning Tasks'!$H$18),"Outlier","Normal")</f>
        <v>Normal</v>
      </c>
      <c r="Z1123" s="2" t="s">
        <v>66</v>
      </c>
      <c r="AA1123" s="2" t="s">
        <v>111</v>
      </c>
      <c r="AB1123" s="2" t="s">
        <v>96</v>
      </c>
      <c r="AC1123" s="2" t="s">
        <v>42</v>
      </c>
      <c r="AD1123" s="2"/>
      <c r="AE1123" s="2" t="str">
        <f t="shared" si="239"/>
        <v>Not Required</v>
      </c>
      <c r="AF1123" s="2" t="s">
        <v>3259</v>
      </c>
    </row>
    <row r="1124" spans="1:32" x14ac:dyDescent="0.3">
      <c r="A1124" s="2" t="s">
        <v>3260</v>
      </c>
      <c r="B1124" s="2">
        <f t="shared" si="229"/>
        <v>1</v>
      </c>
      <c r="C1124" s="12">
        <f t="shared" si="241"/>
        <v>46238.587113379632</v>
      </c>
      <c r="D1124" s="13">
        <v>46238.587113379632</v>
      </c>
      <c r="E1124" s="2" t="s">
        <v>188</v>
      </c>
      <c r="F1124" s="2" t="str">
        <f t="shared" si="230"/>
        <v>Email Available</v>
      </c>
      <c r="G1124" s="2" t="s">
        <v>189</v>
      </c>
      <c r="H1124" s="2" t="s">
        <v>267</v>
      </c>
      <c r="I1124" s="2" t="s">
        <v>22</v>
      </c>
      <c r="J1124" s="2" t="s">
        <v>268</v>
      </c>
      <c r="K1124" s="2">
        <v>1</v>
      </c>
      <c r="L1124" s="2">
        <v>18.989999999999998</v>
      </c>
      <c r="M1124" s="19">
        <f t="shared" si="231"/>
        <v>18.989999999999998</v>
      </c>
      <c r="N1124" s="2" t="s">
        <v>118</v>
      </c>
      <c r="O1124" s="2" t="str">
        <f t="shared" si="232"/>
        <v>BFCM25</v>
      </c>
      <c r="P1124" s="2" t="s">
        <v>3261</v>
      </c>
      <c r="Q1124" s="19">
        <f t="shared" si="233"/>
        <v>4.75</v>
      </c>
      <c r="R1124" s="2" t="str">
        <f t="shared" si="234"/>
        <v>Number</v>
      </c>
      <c r="S1124" s="2">
        <v>4.99</v>
      </c>
      <c r="T1124" s="19">
        <f t="shared" si="235"/>
        <v>4.99</v>
      </c>
      <c r="U1124" s="2">
        <v>19.23</v>
      </c>
      <c r="V1124" s="19">
        <f t="shared" si="236"/>
        <v>19.23</v>
      </c>
      <c r="W1124" s="19">
        <f t="shared" si="237"/>
        <v>19.229999999999997</v>
      </c>
      <c r="X1124" s="19" t="str">
        <f t="shared" si="238"/>
        <v>True</v>
      </c>
      <c r="Y1124" s="19" t="str">
        <f>IF(OR(W1124&lt;'Cleaning Tasks'!$G$18,W1124&gt;'Cleaning Tasks'!$H$18),"Outlier","Normal")</f>
        <v>Normal</v>
      </c>
      <c r="Z1124" s="2" t="s">
        <v>72</v>
      </c>
      <c r="AA1124" s="2" t="s">
        <v>111</v>
      </c>
      <c r="AB1124" s="2" t="s">
        <v>96</v>
      </c>
      <c r="AC1124" s="2" t="s">
        <v>29</v>
      </c>
      <c r="AD1124" s="2" t="s">
        <v>51</v>
      </c>
      <c r="AE1124" s="2" t="str">
        <f t="shared" si="239"/>
        <v>Valid</v>
      </c>
      <c r="AF1124" s="2" t="s">
        <v>3262</v>
      </c>
    </row>
    <row r="1125" spans="1:32" x14ac:dyDescent="0.3">
      <c r="A1125" s="2" t="s">
        <v>3263</v>
      </c>
      <c r="B1125" s="2">
        <f t="shared" si="229"/>
        <v>1</v>
      </c>
      <c r="C1125" s="12">
        <f t="shared" si="241"/>
        <v>46238</v>
      </c>
      <c r="D1125" s="13">
        <v>46238</v>
      </c>
      <c r="E1125" s="2" t="s">
        <v>2718</v>
      </c>
      <c r="F1125" s="2" t="str">
        <f t="shared" si="230"/>
        <v>Email Available</v>
      </c>
      <c r="G1125" s="2" t="s">
        <v>2076</v>
      </c>
      <c r="H1125" s="2" t="s">
        <v>78</v>
      </c>
      <c r="I1125" s="2" t="s">
        <v>79</v>
      </c>
      <c r="J1125" s="2" t="s">
        <v>80</v>
      </c>
      <c r="K1125" s="2">
        <v>3</v>
      </c>
      <c r="L1125" s="2" t="s">
        <v>571</v>
      </c>
      <c r="M1125" s="19">
        <f t="shared" si="231"/>
        <v>89.99</v>
      </c>
      <c r="N1125" s="2"/>
      <c r="O1125" s="2" t="str">
        <f t="shared" si="232"/>
        <v/>
      </c>
      <c r="P1125" s="2">
        <v>0</v>
      </c>
      <c r="Q1125" s="19">
        <f t="shared" si="233"/>
        <v>0</v>
      </c>
      <c r="R1125" s="2" t="str">
        <f t="shared" si="234"/>
        <v>Number</v>
      </c>
      <c r="S1125" s="2">
        <v>0</v>
      </c>
      <c r="T1125" s="19">
        <f t="shared" si="235"/>
        <v>0</v>
      </c>
      <c r="U1125" s="2">
        <v>269.97000000000003</v>
      </c>
      <c r="V1125" s="19">
        <f t="shared" si="236"/>
        <v>269.97000000000003</v>
      </c>
      <c r="W1125" s="19">
        <f t="shared" si="237"/>
        <v>269.96999999999997</v>
      </c>
      <c r="X1125" s="19" t="str">
        <f t="shared" si="238"/>
        <v>True</v>
      </c>
      <c r="Y1125" s="19" t="str">
        <f>IF(OR(W1125&lt;'Cleaning Tasks'!$G$18,W1125&gt;'Cleaning Tasks'!$H$18),"Outlier","Normal")</f>
        <v>Outlier</v>
      </c>
      <c r="Z1125" s="2" t="s">
        <v>26</v>
      </c>
      <c r="AA1125" s="2" t="s">
        <v>27</v>
      </c>
      <c r="AB1125" s="2" t="s">
        <v>50</v>
      </c>
      <c r="AC1125" s="2" t="s">
        <v>223</v>
      </c>
      <c r="AD1125" s="2"/>
      <c r="AE1125" s="2" t="str">
        <f t="shared" si="239"/>
        <v>Not Required</v>
      </c>
      <c r="AF1125" s="2" t="s">
        <v>3264</v>
      </c>
    </row>
    <row r="1126" spans="1:32" x14ac:dyDescent="0.3">
      <c r="A1126" s="2" t="s">
        <v>3265</v>
      </c>
      <c r="B1126" s="2">
        <f t="shared" si="229"/>
        <v>1</v>
      </c>
      <c r="C1126" s="12">
        <f t="shared" si="241"/>
        <v>46238.578782974539</v>
      </c>
      <c r="D1126" s="13">
        <v>46238.578782974539</v>
      </c>
      <c r="E1126" s="2" t="s">
        <v>172</v>
      </c>
      <c r="F1126" s="2" t="str">
        <f t="shared" si="230"/>
        <v>Email Available</v>
      </c>
      <c r="G1126" s="2" t="s">
        <v>173</v>
      </c>
      <c r="H1126" s="2" t="s">
        <v>152</v>
      </c>
      <c r="I1126" s="2" t="s">
        <v>36</v>
      </c>
      <c r="J1126" s="2" t="s">
        <v>153</v>
      </c>
      <c r="K1126" s="2">
        <v>2</v>
      </c>
      <c r="L1126" s="2">
        <v>29.99</v>
      </c>
      <c r="M1126" s="19">
        <f t="shared" si="231"/>
        <v>29.99</v>
      </c>
      <c r="N1126" s="2"/>
      <c r="O1126" s="2" t="str">
        <f t="shared" si="232"/>
        <v/>
      </c>
      <c r="P1126" s="2" t="s">
        <v>184</v>
      </c>
      <c r="Q1126" s="19">
        <f t="shared" si="233"/>
        <v>0</v>
      </c>
      <c r="R1126" s="2" t="str">
        <f t="shared" si="234"/>
        <v>Number</v>
      </c>
      <c r="S1126" s="2">
        <v>4.99</v>
      </c>
      <c r="T1126" s="19">
        <f t="shared" si="235"/>
        <v>4.99</v>
      </c>
      <c r="U1126" s="2">
        <v>64.97</v>
      </c>
      <c r="V1126" s="19">
        <f t="shared" si="236"/>
        <v>64.97</v>
      </c>
      <c r="W1126" s="19">
        <f t="shared" si="237"/>
        <v>64.97</v>
      </c>
      <c r="X1126" s="19" t="str">
        <f t="shared" si="238"/>
        <v>True</v>
      </c>
      <c r="Y1126" s="19" t="str">
        <f>IF(OR(W1126&lt;'Cleaning Tasks'!$G$18,W1126&gt;'Cleaning Tasks'!$H$18),"Outlier","Normal")</f>
        <v>Normal</v>
      </c>
      <c r="Z1126" s="2" t="s">
        <v>49</v>
      </c>
      <c r="AA1126" s="2" t="s">
        <v>40</v>
      </c>
      <c r="AB1126" s="2" t="s">
        <v>41</v>
      </c>
      <c r="AC1126" s="2" t="s">
        <v>29</v>
      </c>
      <c r="AD1126" s="2" t="s">
        <v>112</v>
      </c>
      <c r="AE1126" s="2" t="str">
        <f t="shared" si="239"/>
        <v>Valid</v>
      </c>
      <c r="AF1126" s="2" t="s">
        <v>3266</v>
      </c>
    </row>
    <row r="1127" spans="1:32" x14ac:dyDescent="0.3">
      <c r="A1127" s="2" t="s">
        <v>3267</v>
      </c>
      <c r="B1127" s="2">
        <f t="shared" si="229"/>
        <v>1</v>
      </c>
      <c r="C1127" s="12">
        <f t="shared" si="241"/>
        <v>46238.578849305559</v>
      </c>
      <c r="D1127" s="13">
        <v>46238.578849305559</v>
      </c>
      <c r="E1127" s="2" t="s">
        <v>867</v>
      </c>
      <c r="F1127" s="2" t="str">
        <f t="shared" si="230"/>
        <v>Email Available</v>
      </c>
      <c r="G1127" s="2" t="s">
        <v>868</v>
      </c>
      <c r="H1127" s="2" t="s">
        <v>190</v>
      </c>
      <c r="I1127" s="2" t="s">
        <v>191</v>
      </c>
      <c r="J1127" s="2" t="s">
        <v>192</v>
      </c>
      <c r="K1127" s="2">
        <v>1</v>
      </c>
      <c r="L1127" s="2">
        <v>13.49</v>
      </c>
      <c r="M1127" s="19">
        <f t="shared" si="231"/>
        <v>13.49</v>
      </c>
      <c r="N1127" s="2"/>
      <c r="O1127" s="2" t="str">
        <f t="shared" si="232"/>
        <v/>
      </c>
      <c r="P1127" s="2">
        <v>0</v>
      </c>
      <c r="Q1127" s="19">
        <f t="shared" si="233"/>
        <v>0</v>
      </c>
      <c r="R1127" s="2" t="str">
        <f t="shared" si="234"/>
        <v>Number</v>
      </c>
      <c r="S1127" s="2">
        <v>4.99</v>
      </c>
      <c r="T1127" s="19">
        <f t="shared" si="235"/>
        <v>4.99</v>
      </c>
      <c r="U1127" s="2">
        <v>18.48</v>
      </c>
      <c r="V1127" s="19">
        <f t="shared" si="236"/>
        <v>18.48</v>
      </c>
      <c r="W1127" s="19">
        <f t="shared" si="237"/>
        <v>18.48</v>
      </c>
      <c r="X1127" s="19" t="str">
        <f t="shared" si="238"/>
        <v>True</v>
      </c>
      <c r="Y1127" s="19" t="str">
        <f>IF(OR(W1127&lt;'Cleaning Tasks'!$G$18,W1127&gt;'Cleaning Tasks'!$H$18),"Outlier","Normal")</f>
        <v>Normal</v>
      </c>
      <c r="Z1127" s="2" t="s">
        <v>49</v>
      </c>
      <c r="AA1127" s="2" t="s">
        <v>27</v>
      </c>
      <c r="AB1127" s="2" t="s">
        <v>50</v>
      </c>
      <c r="AC1127" s="2" t="s">
        <v>73</v>
      </c>
      <c r="AD1127" s="2"/>
      <c r="AE1127" s="2" t="str">
        <f t="shared" si="239"/>
        <v>Not Required</v>
      </c>
      <c r="AF1127" s="2" t="s">
        <v>3268</v>
      </c>
    </row>
    <row r="1128" spans="1:32" x14ac:dyDescent="0.3">
      <c r="A1128" s="2" t="s">
        <v>3269</v>
      </c>
      <c r="B1128" s="2">
        <f t="shared" si="229"/>
        <v>1</v>
      </c>
      <c r="C1128" s="12">
        <f t="shared" si="241"/>
        <v>46238.580862650473</v>
      </c>
      <c r="D1128" s="13">
        <v>46238.580862650473</v>
      </c>
      <c r="E1128" s="2" t="s">
        <v>398</v>
      </c>
      <c r="F1128" s="2" t="str">
        <f t="shared" si="230"/>
        <v>Email Available</v>
      </c>
      <c r="G1128" s="2" t="s">
        <v>399</v>
      </c>
      <c r="H1128" s="2" t="s">
        <v>109</v>
      </c>
      <c r="I1128" s="2" t="s">
        <v>79</v>
      </c>
      <c r="J1128" s="2" t="s">
        <v>110</v>
      </c>
      <c r="K1128" s="2">
        <v>1</v>
      </c>
      <c r="L1128" s="2">
        <v>22.99</v>
      </c>
      <c r="M1128" s="19">
        <f t="shared" si="231"/>
        <v>22.99</v>
      </c>
      <c r="N1128" s="2"/>
      <c r="O1128" s="2" t="str">
        <f t="shared" si="232"/>
        <v/>
      </c>
      <c r="P1128" s="2">
        <v>0</v>
      </c>
      <c r="Q1128" s="19">
        <f t="shared" si="233"/>
        <v>0</v>
      </c>
      <c r="R1128" s="2" t="str">
        <f t="shared" si="234"/>
        <v>Number</v>
      </c>
      <c r="S1128" s="2">
        <v>4.99</v>
      </c>
      <c r="T1128" s="19">
        <f t="shared" si="235"/>
        <v>4.99</v>
      </c>
      <c r="U1128" s="2">
        <v>27.98</v>
      </c>
      <c r="V1128" s="19">
        <f t="shared" si="236"/>
        <v>27.98</v>
      </c>
      <c r="W1128" s="19">
        <f t="shared" si="237"/>
        <v>27.979999999999997</v>
      </c>
      <c r="X1128" s="19" t="str">
        <f t="shared" si="238"/>
        <v>True</v>
      </c>
      <c r="Y1128" s="19" t="str">
        <f>IF(OR(W1128&lt;'Cleaning Tasks'!$G$18,W1128&gt;'Cleaning Tasks'!$H$18),"Outlier","Normal")</f>
        <v>Normal</v>
      </c>
      <c r="Z1128" s="2" t="s">
        <v>39</v>
      </c>
      <c r="AA1128" s="2" t="s">
        <v>27</v>
      </c>
      <c r="AB1128" s="2" t="s">
        <v>50</v>
      </c>
      <c r="AC1128" s="2" t="s">
        <v>29</v>
      </c>
      <c r="AD1128" s="2" t="s">
        <v>112</v>
      </c>
      <c r="AE1128" s="2" t="str">
        <f t="shared" si="239"/>
        <v>Valid</v>
      </c>
      <c r="AF1128" s="2" t="s">
        <v>3270</v>
      </c>
    </row>
    <row r="1129" spans="1:32" x14ac:dyDescent="0.3">
      <c r="A1129" s="2" t="s">
        <v>3271</v>
      </c>
      <c r="B1129" s="2">
        <f t="shared" si="229"/>
        <v>1</v>
      </c>
      <c r="C1129" s="12">
        <f t="shared" si="241"/>
        <v>46238.584277245369</v>
      </c>
      <c r="D1129" s="13">
        <v>46238.584277245369</v>
      </c>
      <c r="E1129" s="2" t="s">
        <v>1210</v>
      </c>
      <c r="F1129" s="2" t="str">
        <f t="shared" si="230"/>
        <v>Email Available</v>
      </c>
      <c r="G1129" s="2" t="s">
        <v>1211</v>
      </c>
      <c r="H1129" s="2" t="s">
        <v>109</v>
      </c>
      <c r="I1129" s="2" t="s">
        <v>79</v>
      </c>
      <c r="J1129" s="2" t="s">
        <v>110</v>
      </c>
      <c r="K1129" s="2">
        <v>1</v>
      </c>
      <c r="L1129" s="2">
        <v>22.99</v>
      </c>
      <c r="M1129" s="19">
        <f t="shared" si="231"/>
        <v>22.99</v>
      </c>
      <c r="N1129" s="2"/>
      <c r="O1129" s="2" t="str">
        <f t="shared" si="232"/>
        <v/>
      </c>
      <c r="P1129" s="2">
        <v>0</v>
      </c>
      <c r="Q1129" s="19">
        <f t="shared" si="233"/>
        <v>0</v>
      </c>
      <c r="R1129" s="2" t="str">
        <f t="shared" si="234"/>
        <v>Number</v>
      </c>
      <c r="S1129" s="2">
        <v>7.99</v>
      </c>
      <c r="T1129" s="19">
        <f t="shared" si="235"/>
        <v>7.99</v>
      </c>
      <c r="U1129" s="2">
        <v>30.98</v>
      </c>
      <c r="V1129" s="19">
        <f t="shared" si="236"/>
        <v>30.98</v>
      </c>
      <c r="W1129" s="19">
        <f t="shared" si="237"/>
        <v>30.979999999999997</v>
      </c>
      <c r="X1129" s="19" t="str">
        <f t="shared" si="238"/>
        <v>True</v>
      </c>
      <c r="Y1129" s="19" t="str">
        <f>IF(OR(W1129&lt;'Cleaning Tasks'!$G$18,W1129&gt;'Cleaning Tasks'!$H$18),"Outlier","Normal")</f>
        <v>Normal</v>
      </c>
      <c r="Z1129" s="2" t="s">
        <v>39</v>
      </c>
      <c r="AA1129" s="2" t="s">
        <v>88</v>
      </c>
      <c r="AB1129" s="2" t="s">
        <v>96</v>
      </c>
      <c r="AC1129" s="2" t="s">
        <v>29</v>
      </c>
      <c r="AD1129" s="2" t="s">
        <v>30</v>
      </c>
      <c r="AE1129" s="2" t="str">
        <f t="shared" si="239"/>
        <v>Valid</v>
      </c>
      <c r="AF1129" s="2" t="s">
        <v>3272</v>
      </c>
    </row>
    <row r="1130" spans="1:32" x14ac:dyDescent="0.3">
      <c r="A1130" s="2" t="s">
        <v>3273</v>
      </c>
      <c r="B1130" s="2">
        <f t="shared" si="229"/>
        <v>1</v>
      </c>
      <c r="C1130" s="12">
        <f t="shared" si="241"/>
        <v>46238.585945555547</v>
      </c>
      <c r="D1130" s="13">
        <v>46238.585945555547</v>
      </c>
      <c r="E1130" s="2" t="s">
        <v>1271</v>
      </c>
      <c r="F1130" s="2" t="str">
        <f t="shared" si="230"/>
        <v>Email Available</v>
      </c>
      <c r="G1130" s="2" t="s">
        <v>1272</v>
      </c>
      <c r="H1130" s="2" t="s">
        <v>182</v>
      </c>
      <c r="I1130" s="2" t="s">
        <v>36</v>
      </c>
      <c r="J1130" s="2" t="s">
        <v>183</v>
      </c>
      <c r="K1130" s="2">
        <v>1</v>
      </c>
      <c r="L1130" s="2">
        <v>11.99</v>
      </c>
      <c r="M1130" s="19">
        <f t="shared" si="231"/>
        <v>11.99</v>
      </c>
      <c r="N1130" s="2" t="s">
        <v>24</v>
      </c>
      <c r="O1130" s="2" t="str">
        <f t="shared" si="232"/>
        <v>SAVE20</v>
      </c>
      <c r="P1130" s="2">
        <v>2.4</v>
      </c>
      <c r="Q1130" s="19">
        <f t="shared" si="233"/>
        <v>2.4</v>
      </c>
      <c r="R1130" s="2" t="str">
        <f t="shared" si="234"/>
        <v>Number</v>
      </c>
      <c r="S1130" s="2">
        <v>5.99</v>
      </c>
      <c r="T1130" s="19">
        <f t="shared" si="235"/>
        <v>5.99</v>
      </c>
      <c r="U1130" s="2">
        <v>15.58</v>
      </c>
      <c r="V1130" s="19">
        <f t="shared" si="236"/>
        <v>15.58</v>
      </c>
      <c r="W1130" s="19">
        <f t="shared" si="237"/>
        <v>15.58</v>
      </c>
      <c r="X1130" s="19" t="str">
        <f t="shared" si="238"/>
        <v>True</v>
      </c>
      <c r="Y1130" s="19" t="str">
        <f>IF(OR(W1130&lt;'Cleaning Tasks'!$G$18,W1130&gt;'Cleaning Tasks'!$H$18),"Outlier","Normal")</f>
        <v>Normal</v>
      </c>
      <c r="Z1130" s="2" t="s">
        <v>26</v>
      </c>
      <c r="AA1130" s="2" t="s">
        <v>27</v>
      </c>
      <c r="AB1130" s="2" t="s">
        <v>50</v>
      </c>
      <c r="AC1130" s="2" t="s">
        <v>73</v>
      </c>
      <c r="AD1130" s="2"/>
      <c r="AE1130" s="2" t="str">
        <f t="shared" si="239"/>
        <v>Not Required</v>
      </c>
      <c r="AF1130" s="2" t="s">
        <v>3274</v>
      </c>
    </row>
    <row r="1131" spans="1:32" x14ac:dyDescent="0.3">
      <c r="A1131" s="2" t="s">
        <v>3275</v>
      </c>
      <c r="B1131" s="2">
        <f t="shared" si="229"/>
        <v>1</v>
      </c>
      <c r="C1131" s="12">
        <f t="shared" si="241"/>
        <v>46238.586122719913</v>
      </c>
      <c r="D1131" s="13">
        <v>46238.586122719913</v>
      </c>
      <c r="E1131" s="2" t="s">
        <v>1045</v>
      </c>
      <c r="F1131" s="2" t="str">
        <f t="shared" si="230"/>
        <v>Email Available</v>
      </c>
      <c r="G1131" s="2" t="s">
        <v>1046</v>
      </c>
      <c r="H1131" s="2" t="s">
        <v>309</v>
      </c>
      <c r="I1131" s="2" t="s">
        <v>36</v>
      </c>
      <c r="J1131" s="2" t="s">
        <v>310</v>
      </c>
      <c r="K1131" s="2">
        <v>1</v>
      </c>
      <c r="L1131" s="2">
        <v>8.99</v>
      </c>
      <c r="M1131" s="19">
        <f t="shared" si="231"/>
        <v>8.99</v>
      </c>
      <c r="N1131" s="2"/>
      <c r="O1131" s="2" t="str">
        <f t="shared" si="232"/>
        <v/>
      </c>
      <c r="P1131" s="2">
        <v>0</v>
      </c>
      <c r="Q1131" s="19">
        <f t="shared" si="233"/>
        <v>0</v>
      </c>
      <c r="R1131" s="2" t="str">
        <f t="shared" si="234"/>
        <v>Number</v>
      </c>
      <c r="S1131" s="2">
        <v>5.99</v>
      </c>
      <c r="T1131" s="19">
        <f t="shared" si="235"/>
        <v>5.99</v>
      </c>
      <c r="U1131" s="2">
        <v>14.98</v>
      </c>
      <c r="V1131" s="19">
        <f t="shared" si="236"/>
        <v>14.98</v>
      </c>
      <c r="W1131" s="19">
        <f t="shared" si="237"/>
        <v>14.98</v>
      </c>
      <c r="X1131" s="19" t="str">
        <f t="shared" si="238"/>
        <v>True</v>
      </c>
      <c r="Y1131" s="19" t="str">
        <f>IF(OR(W1131&lt;'Cleaning Tasks'!$G$18,W1131&gt;'Cleaning Tasks'!$H$18),"Outlier","Normal")</f>
        <v>Normal</v>
      </c>
      <c r="Z1131" s="2" t="s">
        <v>39</v>
      </c>
      <c r="AA1131" s="2" t="s">
        <v>111</v>
      </c>
      <c r="AB1131" s="2" t="s">
        <v>41</v>
      </c>
      <c r="AC1131" s="2" t="s">
        <v>105</v>
      </c>
      <c r="AD1131" s="2"/>
      <c r="AE1131" s="2" t="str">
        <f t="shared" si="239"/>
        <v>Not Required</v>
      </c>
      <c r="AF1131" s="2" t="s">
        <v>3276</v>
      </c>
    </row>
    <row r="1132" spans="1:32" x14ac:dyDescent="0.3">
      <c r="A1132" s="2" t="s">
        <v>3277</v>
      </c>
      <c r="B1132" s="2">
        <f t="shared" si="229"/>
        <v>1</v>
      </c>
      <c r="C1132" s="12">
        <f t="shared" si="241"/>
        <v>46238.587377511583</v>
      </c>
      <c r="D1132" s="13">
        <v>46238.587377511583</v>
      </c>
      <c r="E1132" s="2" t="s">
        <v>195</v>
      </c>
      <c r="F1132" s="2" t="str">
        <f t="shared" si="230"/>
        <v>Email Available</v>
      </c>
      <c r="G1132" s="2" t="s">
        <v>196</v>
      </c>
      <c r="H1132" s="2" t="s">
        <v>102</v>
      </c>
      <c r="I1132" s="2" t="s">
        <v>103</v>
      </c>
      <c r="J1132" s="2" t="s">
        <v>104</v>
      </c>
      <c r="K1132" s="2">
        <v>1</v>
      </c>
      <c r="L1132" s="2">
        <v>19.989999999999998</v>
      </c>
      <c r="M1132" s="19">
        <f t="shared" si="231"/>
        <v>19.989999999999998</v>
      </c>
      <c r="N1132" s="2" t="s">
        <v>24</v>
      </c>
      <c r="O1132" s="2" t="str">
        <f t="shared" si="232"/>
        <v>SAVE20</v>
      </c>
      <c r="P1132" s="2">
        <v>4</v>
      </c>
      <c r="Q1132" s="19">
        <f t="shared" si="233"/>
        <v>4</v>
      </c>
      <c r="R1132" s="2" t="str">
        <f t="shared" si="234"/>
        <v>Number</v>
      </c>
      <c r="S1132" s="2">
        <v>5.99</v>
      </c>
      <c r="T1132" s="19">
        <f t="shared" si="235"/>
        <v>5.99</v>
      </c>
      <c r="U1132" s="2">
        <v>21.98</v>
      </c>
      <c r="V1132" s="19">
        <f t="shared" si="236"/>
        <v>21.98</v>
      </c>
      <c r="W1132" s="19">
        <f t="shared" si="237"/>
        <v>21.979999999999997</v>
      </c>
      <c r="X1132" s="19" t="str">
        <f t="shared" si="238"/>
        <v>True</v>
      </c>
      <c r="Y1132" s="19" t="str">
        <f>IF(OR(W1132&lt;'Cleaning Tasks'!$G$18,W1132&gt;'Cleaning Tasks'!$H$18),"Outlier","Normal")</f>
        <v>Normal</v>
      </c>
      <c r="Z1132" s="2" t="s">
        <v>66</v>
      </c>
      <c r="AA1132" s="2" t="s">
        <v>27</v>
      </c>
      <c r="AB1132" s="2" t="s">
        <v>41</v>
      </c>
      <c r="AC1132" s="2" t="s">
        <v>29</v>
      </c>
      <c r="AD1132" s="2" t="s">
        <v>243</v>
      </c>
      <c r="AE1132" s="2" t="str">
        <f t="shared" si="239"/>
        <v>Valid</v>
      </c>
      <c r="AF1132" s="2" t="s">
        <v>3278</v>
      </c>
    </row>
    <row r="1133" spans="1:32" x14ac:dyDescent="0.3">
      <c r="A1133" s="2" t="s">
        <v>3279</v>
      </c>
      <c r="B1133" s="2">
        <f t="shared" si="229"/>
        <v>1</v>
      </c>
      <c r="C1133" s="12">
        <f t="shared" si="241"/>
        <v>46238</v>
      </c>
      <c r="D1133" s="13" t="s">
        <v>1716</v>
      </c>
      <c r="E1133" s="2" t="s">
        <v>1294</v>
      </c>
      <c r="F1133" s="2" t="str">
        <f t="shared" si="230"/>
        <v>Email Available</v>
      </c>
      <c r="G1133" s="2" t="s">
        <v>1295</v>
      </c>
      <c r="H1133" s="2" t="s">
        <v>117</v>
      </c>
      <c r="I1133" s="2" t="s">
        <v>22</v>
      </c>
      <c r="J1133" s="2" t="s">
        <v>23</v>
      </c>
      <c r="K1133" s="2">
        <v>1</v>
      </c>
      <c r="L1133" s="2">
        <v>12.99</v>
      </c>
      <c r="M1133" s="19">
        <f t="shared" si="231"/>
        <v>12.99</v>
      </c>
      <c r="N1133" s="2" t="s">
        <v>65</v>
      </c>
      <c r="O1133" s="2" t="str">
        <f t="shared" si="232"/>
        <v>WELCOME10</v>
      </c>
      <c r="P1133" s="2">
        <v>1.3</v>
      </c>
      <c r="Q1133" s="19">
        <f t="shared" si="233"/>
        <v>1.3</v>
      </c>
      <c r="R1133" s="2" t="str">
        <f t="shared" si="234"/>
        <v>Number</v>
      </c>
      <c r="S1133" s="2">
        <v>7.99</v>
      </c>
      <c r="T1133" s="19">
        <f t="shared" si="235"/>
        <v>7.99</v>
      </c>
      <c r="U1133" s="2">
        <v>19.68</v>
      </c>
      <c r="V1133" s="19">
        <f t="shared" si="236"/>
        <v>19.68</v>
      </c>
      <c r="W1133" s="19">
        <f t="shared" si="237"/>
        <v>19.68</v>
      </c>
      <c r="X1133" s="19" t="str">
        <f t="shared" si="238"/>
        <v>True</v>
      </c>
      <c r="Y1133" s="19" t="str">
        <f>IF(OR(W1133&lt;'Cleaning Tasks'!$G$18,W1133&gt;'Cleaning Tasks'!$H$18),"Outlier","Normal")</f>
        <v>Normal</v>
      </c>
      <c r="Z1133" s="2" t="s">
        <v>39</v>
      </c>
      <c r="AA1133" s="2" t="s">
        <v>111</v>
      </c>
      <c r="AB1133" s="2" t="s">
        <v>50</v>
      </c>
      <c r="AC1133" s="2" t="s">
        <v>29</v>
      </c>
      <c r="AD1133" s="22" t="s">
        <v>58</v>
      </c>
      <c r="AE1133" s="2" t="str">
        <f t="shared" si="239"/>
        <v>Valid</v>
      </c>
      <c r="AF1133" s="2" t="s">
        <v>3280</v>
      </c>
    </row>
    <row r="1134" spans="1:32" x14ac:dyDescent="0.3">
      <c r="A1134" s="2" t="s">
        <v>3281</v>
      </c>
      <c r="B1134" s="2">
        <f t="shared" si="229"/>
        <v>1</v>
      </c>
      <c r="C1134" s="12">
        <f t="shared" si="241"/>
        <v>46238.586208530091</v>
      </c>
      <c r="D1134" s="13">
        <v>46238.586208530091</v>
      </c>
      <c r="E1134" s="2" t="s">
        <v>3282</v>
      </c>
      <c r="F1134" s="2" t="str">
        <f t="shared" si="230"/>
        <v>Email Available</v>
      </c>
      <c r="G1134" s="2" t="s">
        <v>3283</v>
      </c>
      <c r="H1134" s="2" t="s">
        <v>63</v>
      </c>
      <c r="I1134" s="2" t="s">
        <v>47</v>
      </c>
      <c r="J1134" s="2" t="s">
        <v>64</v>
      </c>
      <c r="K1134" s="2">
        <v>1</v>
      </c>
      <c r="L1134" s="2">
        <v>14.99</v>
      </c>
      <c r="M1134" s="19">
        <f t="shared" si="231"/>
        <v>14.99</v>
      </c>
      <c r="N1134" s="2"/>
      <c r="O1134" s="2" t="str">
        <f t="shared" si="232"/>
        <v/>
      </c>
      <c r="P1134" s="2">
        <v>0</v>
      </c>
      <c r="Q1134" s="19">
        <f t="shared" si="233"/>
        <v>0</v>
      </c>
      <c r="R1134" s="2" t="str">
        <f t="shared" si="234"/>
        <v>Number</v>
      </c>
      <c r="S1134" s="2">
        <v>5.99</v>
      </c>
      <c r="T1134" s="19">
        <f t="shared" si="235"/>
        <v>5.99</v>
      </c>
      <c r="U1134" s="2">
        <v>20.98</v>
      </c>
      <c r="V1134" s="19">
        <f t="shared" si="236"/>
        <v>20.98</v>
      </c>
      <c r="W1134" s="19">
        <f t="shared" si="237"/>
        <v>20.98</v>
      </c>
      <c r="X1134" s="19" t="str">
        <f t="shared" si="238"/>
        <v>True</v>
      </c>
      <c r="Y1134" s="19" t="str">
        <f>IF(OR(W1134&lt;'Cleaning Tasks'!$G$18,W1134&gt;'Cleaning Tasks'!$H$18),"Outlier","Normal")</f>
        <v>Normal</v>
      </c>
      <c r="Z1134" s="2" t="s">
        <v>72</v>
      </c>
      <c r="AA1134" s="2" t="s">
        <v>27</v>
      </c>
      <c r="AB1134" s="2" t="s">
        <v>50</v>
      </c>
      <c r="AC1134" s="2" t="s">
        <v>223</v>
      </c>
      <c r="AD1134" s="2"/>
      <c r="AE1134" s="2" t="str">
        <f t="shared" si="239"/>
        <v>Not Required</v>
      </c>
      <c r="AF1134" s="2" t="s">
        <v>3284</v>
      </c>
    </row>
    <row r="1135" spans="1:32" x14ac:dyDescent="0.3">
      <c r="A1135" s="2" t="s">
        <v>3285</v>
      </c>
      <c r="B1135" s="2">
        <f t="shared" si="229"/>
        <v>1</v>
      </c>
      <c r="C1135" s="12">
        <f t="shared" si="241"/>
        <v>46238.585599270831</v>
      </c>
      <c r="D1135" s="13">
        <v>46238.585599270831</v>
      </c>
      <c r="E1135" s="2" t="s">
        <v>409</v>
      </c>
      <c r="F1135" s="2" t="str">
        <f t="shared" si="230"/>
        <v>Email Available</v>
      </c>
      <c r="G1135" s="2" t="s">
        <v>410</v>
      </c>
      <c r="H1135" s="2" t="s">
        <v>221</v>
      </c>
      <c r="I1135" s="2" t="s">
        <v>22</v>
      </c>
      <c r="J1135" s="2" t="s">
        <v>222</v>
      </c>
      <c r="K1135" s="2">
        <v>3</v>
      </c>
      <c r="L1135" s="2">
        <v>17.989999999999998</v>
      </c>
      <c r="M1135" s="19">
        <f t="shared" si="231"/>
        <v>17.989999999999998</v>
      </c>
      <c r="N1135" s="2"/>
      <c r="O1135" s="2" t="str">
        <f t="shared" si="232"/>
        <v/>
      </c>
      <c r="P1135" s="2">
        <v>0</v>
      </c>
      <c r="Q1135" s="19">
        <f t="shared" si="233"/>
        <v>0</v>
      </c>
      <c r="R1135" s="2" t="str">
        <f t="shared" si="234"/>
        <v>Number</v>
      </c>
      <c r="S1135" s="2">
        <v>7.99</v>
      </c>
      <c r="T1135" s="19">
        <f t="shared" si="235"/>
        <v>7.99</v>
      </c>
      <c r="U1135" s="2">
        <v>61.96</v>
      </c>
      <c r="V1135" s="19">
        <f t="shared" si="236"/>
        <v>61.96</v>
      </c>
      <c r="W1135" s="19">
        <f t="shared" si="237"/>
        <v>61.96</v>
      </c>
      <c r="X1135" s="19" t="str">
        <f t="shared" si="238"/>
        <v>True</v>
      </c>
      <c r="Y1135" s="19" t="str">
        <f>IF(OR(W1135&lt;'Cleaning Tasks'!$G$18,W1135&gt;'Cleaning Tasks'!$H$18),"Outlier","Normal")</f>
        <v>Normal</v>
      </c>
      <c r="Z1135" s="2" t="s">
        <v>39</v>
      </c>
      <c r="AA1135" s="2" t="s">
        <v>27</v>
      </c>
      <c r="AB1135" s="2" t="s">
        <v>41</v>
      </c>
      <c r="AC1135" s="2" t="s">
        <v>42</v>
      </c>
      <c r="AD1135" s="2"/>
      <c r="AE1135" s="2" t="str">
        <f t="shared" si="239"/>
        <v>Not Required</v>
      </c>
      <c r="AF1135" s="2" t="s">
        <v>3286</v>
      </c>
    </row>
    <row r="1136" spans="1:32" x14ac:dyDescent="0.3">
      <c r="A1136" s="2" t="s">
        <v>3287</v>
      </c>
      <c r="B1136" s="2">
        <f t="shared" si="229"/>
        <v>1</v>
      </c>
      <c r="C1136" s="12">
        <f t="shared" si="241"/>
        <v>46238.583372233799</v>
      </c>
      <c r="D1136" s="13">
        <v>46238.583372233799</v>
      </c>
      <c r="E1136" s="2" t="s">
        <v>417</v>
      </c>
      <c r="F1136" s="2" t="str">
        <f t="shared" si="230"/>
        <v>Email Available</v>
      </c>
      <c r="G1136" s="2" t="s">
        <v>418</v>
      </c>
      <c r="H1136" s="2" t="s">
        <v>63</v>
      </c>
      <c r="I1136" s="2" t="s">
        <v>47</v>
      </c>
      <c r="J1136" s="2" t="s">
        <v>446</v>
      </c>
      <c r="K1136" s="2">
        <v>1</v>
      </c>
      <c r="L1136" s="2">
        <v>14.99</v>
      </c>
      <c r="M1136" s="19">
        <f t="shared" si="231"/>
        <v>14.99</v>
      </c>
      <c r="N1136" s="2" t="s">
        <v>65</v>
      </c>
      <c r="O1136" s="2" t="str">
        <f t="shared" si="232"/>
        <v>WELCOME10</v>
      </c>
      <c r="P1136" s="2">
        <v>1.5</v>
      </c>
      <c r="Q1136" s="19">
        <f t="shared" si="233"/>
        <v>1.5</v>
      </c>
      <c r="R1136" s="2" t="str">
        <f t="shared" si="234"/>
        <v>Number</v>
      </c>
      <c r="S1136" s="2">
        <v>7.99</v>
      </c>
      <c r="T1136" s="19">
        <f t="shared" si="235"/>
        <v>7.99</v>
      </c>
      <c r="U1136" s="2">
        <v>21.48</v>
      </c>
      <c r="V1136" s="19">
        <f t="shared" si="236"/>
        <v>21.48</v>
      </c>
      <c r="W1136" s="19">
        <f t="shared" si="237"/>
        <v>21.48</v>
      </c>
      <c r="X1136" s="19" t="str">
        <f t="shared" si="238"/>
        <v>True</v>
      </c>
      <c r="Y1136" s="19" t="str">
        <f>IF(OR(W1136&lt;'Cleaning Tasks'!$G$18,W1136&gt;'Cleaning Tasks'!$H$18),"Outlier","Normal")</f>
        <v>Normal</v>
      </c>
      <c r="Z1136" s="2" t="s">
        <v>39</v>
      </c>
      <c r="AA1136" s="2" t="s">
        <v>27</v>
      </c>
      <c r="AB1136" s="2" t="s">
        <v>28</v>
      </c>
      <c r="AC1136" s="2" t="s">
        <v>29</v>
      </c>
      <c r="AD1136" s="2" t="s">
        <v>67</v>
      </c>
      <c r="AE1136" s="2" t="str">
        <f t="shared" si="239"/>
        <v>Valid</v>
      </c>
      <c r="AF1136" s="2" t="s">
        <v>3288</v>
      </c>
    </row>
    <row r="1137" spans="1:32" x14ac:dyDescent="0.3">
      <c r="A1137" s="2" t="s">
        <v>3289</v>
      </c>
      <c r="B1137" s="2">
        <f t="shared" si="229"/>
        <v>1</v>
      </c>
      <c r="C1137" s="12">
        <f t="shared" si="241"/>
        <v>46238.587259571759</v>
      </c>
      <c r="D1137" s="13">
        <v>46238.587259571759</v>
      </c>
      <c r="E1137" s="2" t="s">
        <v>561</v>
      </c>
      <c r="F1137" s="2" t="str">
        <f t="shared" si="230"/>
        <v>Email Available</v>
      </c>
      <c r="G1137" s="2" t="s">
        <v>562</v>
      </c>
      <c r="H1137" s="2" t="s">
        <v>46</v>
      </c>
      <c r="I1137" s="2" t="s">
        <v>47</v>
      </c>
      <c r="J1137" s="2" t="s">
        <v>48</v>
      </c>
      <c r="K1137" s="2">
        <v>2</v>
      </c>
      <c r="L1137" s="2">
        <v>39.99</v>
      </c>
      <c r="M1137" s="19">
        <f t="shared" si="231"/>
        <v>39.99</v>
      </c>
      <c r="N1137" s="2" t="s">
        <v>65</v>
      </c>
      <c r="O1137" s="2" t="str">
        <f t="shared" si="232"/>
        <v>WELCOME10</v>
      </c>
      <c r="P1137" s="2">
        <v>8</v>
      </c>
      <c r="Q1137" s="19">
        <f t="shared" si="233"/>
        <v>8</v>
      </c>
      <c r="R1137" s="2" t="str">
        <f t="shared" si="234"/>
        <v>Number</v>
      </c>
      <c r="S1137" s="2">
        <v>0</v>
      </c>
      <c r="T1137" s="19">
        <f t="shared" si="235"/>
        <v>0</v>
      </c>
      <c r="U1137" s="2">
        <v>71.98</v>
      </c>
      <c r="V1137" s="19">
        <f t="shared" si="236"/>
        <v>71.98</v>
      </c>
      <c r="W1137" s="19">
        <f t="shared" si="237"/>
        <v>71.98</v>
      </c>
      <c r="X1137" s="19" t="str">
        <f t="shared" si="238"/>
        <v>True</v>
      </c>
      <c r="Y1137" s="19" t="str">
        <f>IF(OR(W1137&lt;'Cleaning Tasks'!$G$18,W1137&gt;'Cleaning Tasks'!$H$18),"Outlier","Normal")</f>
        <v>Normal</v>
      </c>
      <c r="Z1137" s="2" t="s">
        <v>26</v>
      </c>
      <c r="AA1137" s="2" t="s">
        <v>111</v>
      </c>
      <c r="AB1137" s="2" t="s">
        <v>28</v>
      </c>
      <c r="AC1137" s="2" t="s">
        <v>331</v>
      </c>
      <c r="AD1137" s="2"/>
      <c r="AE1137" s="2" t="str">
        <f t="shared" si="239"/>
        <v>Not Required</v>
      </c>
      <c r="AF1137" s="2" t="s">
        <v>3290</v>
      </c>
    </row>
    <row r="1138" spans="1:32" x14ac:dyDescent="0.3">
      <c r="A1138" s="2" t="s">
        <v>3291</v>
      </c>
      <c r="B1138" s="2">
        <f t="shared" si="229"/>
        <v>1</v>
      </c>
      <c r="C1138" s="12">
        <f t="shared" si="241"/>
        <v>46238.588571435183</v>
      </c>
      <c r="D1138" s="13">
        <v>46238.588571435183</v>
      </c>
      <c r="E1138" s="2" t="s">
        <v>421</v>
      </c>
      <c r="F1138" s="2" t="str">
        <f t="shared" si="230"/>
        <v>Email Available</v>
      </c>
      <c r="G1138" s="2" t="s">
        <v>422</v>
      </c>
      <c r="H1138" s="2" t="s">
        <v>117</v>
      </c>
      <c r="I1138" s="2" t="s">
        <v>22</v>
      </c>
      <c r="J1138" s="2" t="s">
        <v>23</v>
      </c>
      <c r="K1138" s="2">
        <v>1</v>
      </c>
      <c r="L1138" s="2">
        <v>12.99</v>
      </c>
      <c r="M1138" s="19">
        <f t="shared" si="231"/>
        <v>12.99</v>
      </c>
      <c r="N1138" s="2" t="s">
        <v>118</v>
      </c>
      <c r="O1138" s="2" t="str">
        <f t="shared" si="232"/>
        <v>BFCM25</v>
      </c>
      <c r="P1138" s="2">
        <v>3.25</v>
      </c>
      <c r="Q1138" s="19">
        <f t="shared" si="233"/>
        <v>3.25</v>
      </c>
      <c r="R1138" s="2" t="str">
        <f t="shared" si="234"/>
        <v>Number</v>
      </c>
      <c r="S1138" s="2">
        <v>7.99</v>
      </c>
      <c r="T1138" s="19">
        <f t="shared" si="235"/>
        <v>7.99</v>
      </c>
      <c r="U1138" s="2">
        <v>17.73</v>
      </c>
      <c r="V1138" s="19">
        <f t="shared" si="236"/>
        <v>17.73</v>
      </c>
      <c r="W1138" s="19">
        <f t="shared" si="237"/>
        <v>17.73</v>
      </c>
      <c r="X1138" s="19" t="str">
        <f t="shared" si="238"/>
        <v>True</v>
      </c>
      <c r="Y1138" s="19" t="str">
        <f>IF(OR(W1138&lt;'Cleaning Tasks'!$G$18,W1138&gt;'Cleaning Tasks'!$H$18),"Outlier","Normal")</f>
        <v>Normal</v>
      </c>
      <c r="Z1138" s="2" t="s">
        <v>72</v>
      </c>
      <c r="AA1138" s="2" t="s">
        <v>40</v>
      </c>
      <c r="AB1138" s="2" t="s">
        <v>50</v>
      </c>
      <c r="AC1138" s="2" t="s">
        <v>29</v>
      </c>
      <c r="AD1138" s="2" t="s">
        <v>447</v>
      </c>
      <c r="AE1138" s="2" t="str">
        <f t="shared" si="239"/>
        <v>Valid</v>
      </c>
      <c r="AF1138" s="2" t="s">
        <v>3292</v>
      </c>
    </row>
    <row r="1139" spans="1:32" x14ac:dyDescent="0.3">
      <c r="A1139" s="2" t="s">
        <v>3293</v>
      </c>
      <c r="B1139" s="2">
        <f t="shared" si="229"/>
        <v>1</v>
      </c>
      <c r="C1139" s="12">
        <f t="shared" si="241"/>
        <v>46238.581485752307</v>
      </c>
      <c r="D1139" s="13">
        <v>46238.581485752307</v>
      </c>
      <c r="E1139" s="2" t="s">
        <v>303</v>
      </c>
      <c r="F1139" s="2" t="str">
        <f t="shared" si="230"/>
        <v>Email Available</v>
      </c>
      <c r="G1139" s="2" t="s">
        <v>304</v>
      </c>
      <c r="H1139" s="2" t="s">
        <v>117</v>
      </c>
      <c r="I1139" s="2" t="s">
        <v>22</v>
      </c>
      <c r="J1139" s="2" t="s">
        <v>23</v>
      </c>
      <c r="K1139" s="2">
        <v>1</v>
      </c>
      <c r="L1139" s="2">
        <v>12.99</v>
      </c>
      <c r="M1139" s="19">
        <f t="shared" si="231"/>
        <v>12.99</v>
      </c>
      <c r="N1139" s="2"/>
      <c r="O1139" s="2" t="str">
        <f t="shared" si="232"/>
        <v/>
      </c>
      <c r="P1139" s="2">
        <v>0</v>
      </c>
      <c r="Q1139" s="19">
        <f t="shared" si="233"/>
        <v>0</v>
      </c>
      <c r="R1139" s="2" t="str">
        <f t="shared" si="234"/>
        <v>Number</v>
      </c>
      <c r="S1139" s="2">
        <v>5.99</v>
      </c>
      <c r="T1139" s="19">
        <f t="shared" si="235"/>
        <v>5.99</v>
      </c>
      <c r="U1139" s="2">
        <v>18.98</v>
      </c>
      <c r="V1139" s="19">
        <f t="shared" si="236"/>
        <v>18.98</v>
      </c>
      <c r="W1139" s="19">
        <f t="shared" si="237"/>
        <v>18.98</v>
      </c>
      <c r="X1139" s="19" t="str">
        <f t="shared" si="238"/>
        <v>True</v>
      </c>
      <c r="Y1139" s="19" t="str">
        <f>IF(OR(W1139&lt;'Cleaning Tasks'!$G$18,W1139&gt;'Cleaning Tasks'!$H$18),"Outlier","Normal")</f>
        <v>Normal</v>
      </c>
      <c r="Z1139" s="2" t="s">
        <v>49</v>
      </c>
      <c r="AA1139" s="2" t="s">
        <v>27</v>
      </c>
      <c r="AB1139" s="2" t="s">
        <v>28</v>
      </c>
      <c r="AC1139" s="2" t="s">
        <v>29</v>
      </c>
      <c r="AD1139" s="2" t="s">
        <v>30</v>
      </c>
      <c r="AE1139" s="2" t="str">
        <f t="shared" si="239"/>
        <v>Valid</v>
      </c>
      <c r="AF1139" s="2" t="s">
        <v>3294</v>
      </c>
    </row>
    <row r="1140" spans="1:32" x14ac:dyDescent="0.3">
      <c r="A1140" s="2" t="s">
        <v>3295</v>
      </c>
      <c r="B1140" s="2">
        <f t="shared" si="229"/>
        <v>1</v>
      </c>
      <c r="C1140" s="12">
        <f t="shared" si="241"/>
        <v>46238.587902523148</v>
      </c>
      <c r="D1140" s="13">
        <v>46238.587902523148</v>
      </c>
      <c r="E1140" s="2" t="s">
        <v>366</v>
      </c>
      <c r="F1140" s="2" t="str">
        <f t="shared" si="230"/>
        <v>Email Available</v>
      </c>
      <c r="G1140" s="2" t="s">
        <v>367</v>
      </c>
      <c r="H1140" s="2" t="s">
        <v>221</v>
      </c>
      <c r="I1140" s="2" t="s">
        <v>22</v>
      </c>
      <c r="J1140" s="2" t="s">
        <v>222</v>
      </c>
      <c r="K1140" s="2">
        <v>1</v>
      </c>
      <c r="L1140" s="2">
        <v>17.989999999999998</v>
      </c>
      <c r="M1140" s="19">
        <f t="shared" si="231"/>
        <v>17.989999999999998</v>
      </c>
      <c r="N1140" s="2" t="s">
        <v>118</v>
      </c>
      <c r="O1140" s="2" t="str">
        <f t="shared" si="232"/>
        <v>BFCM25</v>
      </c>
      <c r="P1140" s="2">
        <v>4.5</v>
      </c>
      <c r="Q1140" s="19">
        <f t="shared" si="233"/>
        <v>4.5</v>
      </c>
      <c r="R1140" s="2" t="str">
        <f t="shared" si="234"/>
        <v>Number</v>
      </c>
      <c r="S1140" s="2">
        <v>4.99</v>
      </c>
      <c r="T1140" s="19">
        <f t="shared" si="235"/>
        <v>4.99</v>
      </c>
      <c r="U1140" s="2">
        <v>18.48</v>
      </c>
      <c r="V1140" s="19">
        <f t="shared" si="236"/>
        <v>18.48</v>
      </c>
      <c r="W1140" s="19">
        <f t="shared" si="237"/>
        <v>18.479999999999997</v>
      </c>
      <c r="X1140" s="19" t="str">
        <f t="shared" si="238"/>
        <v>True</v>
      </c>
      <c r="Y1140" s="19" t="str">
        <f>IF(OR(W1140&lt;'Cleaning Tasks'!$G$18,W1140&gt;'Cleaning Tasks'!$H$18),"Outlier","Normal")</f>
        <v>Normal</v>
      </c>
      <c r="Z1140" s="2" t="s">
        <v>26</v>
      </c>
      <c r="AA1140" s="2" t="s">
        <v>40</v>
      </c>
      <c r="AB1140" s="2" t="s">
        <v>50</v>
      </c>
      <c r="AC1140" s="2" t="s">
        <v>331</v>
      </c>
      <c r="AD1140" s="2"/>
      <c r="AE1140" s="2" t="str">
        <f t="shared" si="239"/>
        <v>Not Required</v>
      </c>
      <c r="AF1140" s="2" t="s">
        <v>3296</v>
      </c>
    </row>
    <row r="1141" spans="1:32" x14ac:dyDescent="0.3">
      <c r="A1141" s="2" t="s">
        <v>3297</v>
      </c>
      <c r="B1141" s="2">
        <f t="shared" si="229"/>
        <v>1</v>
      </c>
      <c r="C1141" s="12">
        <f t="shared" si="241"/>
        <v>46238.584726851848</v>
      </c>
      <c r="D1141" s="13">
        <v>46238.584726851848</v>
      </c>
      <c r="E1141" s="2" t="s">
        <v>690</v>
      </c>
      <c r="F1141" s="2" t="str">
        <f t="shared" si="230"/>
        <v>Email Available</v>
      </c>
      <c r="G1141" s="2" t="s">
        <v>691</v>
      </c>
      <c r="H1141" s="2" t="s">
        <v>267</v>
      </c>
      <c r="I1141" s="2" t="s">
        <v>22</v>
      </c>
      <c r="J1141" s="2" t="s">
        <v>268</v>
      </c>
      <c r="K1141" s="2">
        <v>1</v>
      </c>
      <c r="L1141" s="2">
        <v>18.989999999999998</v>
      </c>
      <c r="M1141" s="19">
        <f t="shared" si="231"/>
        <v>18.989999999999998</v>
      </c>
      <c r="N1141" s="2"/>
      <c r="O1141" s="2" t="str">
        <f t="shared" si="232"/>
        <v/>
      </c>
      <c r="P1141" s="2">
        <v>0</v>
      </c>
      <c r="Q1141" s="19">
        <f t="shared" si="233"/>
        <v>0</v>
      </c>
      <c r="R1141" s="2" t="str">
        <f t="shared" si="234"/>
        <v>Number</v>
      </c>
      <c r="S1141" s="2">
        <v>7.99</v>
      </c>
      <c r="T1141" s="19">
        <f t="shared" si="235"/>
        <v>7.99</v>
      </c>
      <c r="U1141" s="2">
        <v>26.98</v>
      </c>
      <c r="V1141" s="19">
        <f t="shared" si="236"/>
        <v>26.98</v>
      </c>
      <c r="W1141" s="19">
        <f t="shared" si="237"/>
        <v>26.979999999999997</v>
      </c>
      <c r="X1141" s="19" t="str">
        <f t="shared" si="238"/>
        <v>True</v>
      </c>
      <c r="Y1141" s="19" t="str">
        <f>IF(OR(W1141&lt;'Cleaning Tasks'!$G$18,W1141&gt;'Cleaning Tasks'!$H$18),"Outlier","Normal")</f>
        <v>Normal</v>
      </c>
      <c r="Z1141" s="2" t="s">
        <v>72</v>
      </c>
      <c r="AA1141" s="2" t="s">
        <v>111</v>
      </c>
      <c r="AB1141" s="2" t="s">
        <v>96</v>
      </c>
      <c r="AC1141" s="2" t="s">
        <v>29</v>
      </c>
      <c r="AD1141" s="2" t="s">
        <v>243</v>
      </c>
      <c r="AE1141" s="2" t="str">
        <f t="shared" si="239"/>
        <v>Valid</v>
      </c>
      <c r="AF1141" s="2" t="s">
        <v>3298</v>
      </c>
    </row>
    <row r="1142" spans="1:32" x14ac:dyDescent="0.3">
      <c r="A1142" s="2" t="s">
        <v>3299</v>
      </c>
      <c r="B1142" s="2">
        <f t="shared" si="229"/>
        <v>1</v>
      </c>
      <c r="C1142" s="12">
        <f t="shared" si="241"/>
        <v>46238.581520868058</v>
      </c>
      <c r="D1142" s="13">
        <v>46238.581520868058</v>
      </c>
      <c r="E1142" s="2" t="s">
        <v>213</v>
      </c>
      <c r="F1142" s="2" t="str">
        <f t="shared" si="230"/>
        <v>Email Available</v>
      </c>
      <c r="G1142" s="2" t="s">
        <v>214</v>
      </c>
      <c r="H1142" s="2" t="s">
        <v>63</v>
      </c>
      <c r="I1142" s="2" t="s">
        <v>47</v>
      </c>
      <c r="J1142" s="2" t="s">
        <v>64</v>
      </c>
      <c r="K1142" s="2">
        <v>2</v>
      </c>
      <c r="L1142" s="2">
        <v>14.99</v>
      </c>
      <c r="M1142" s="19">
        <f t="shared" si="231"/>
        <v>14.99</v>
      </c>
      <c r="N1142" s="2" t="s">
        <v>65</v>
      </c>
      <c r="O1142" s="2" t="str">
        <f t="shared" si="232"/>
        <v>WELCOME10</v>
      </c>
      <c r="P1142" s="2">
        <v>3</v>
      </c>
      <c r="Q1142" s="19">
        <f t="shared" si="233"/>
        <v>3</v>
      </c>
      <c r="R1142" s="2" t="str">
        <f t="shared" si="234"/>
        <v>Number</v>
      </c>
      <c r="S1142" s="2">
        <v>7.99</v>
      </c>
      <c r="T1142" s="19">
        <f t="shared" si="235"/>
        <v>7.99</v>
      </c>
      <c r="U1142" s="2" t="s">
        <v>3300</v>
      </c>
      <c r="V1142" s="19">
        <f t="shared" si="236"/>
        <v>34.97</v>
      </c>
      <c r="W1142" s="19">
        <f t="shared" si="237"/>
        <v>34.97</v>
      </c>
      <c r="X1142" s="19" t="str">
        <f t="shared" si="238"/>
        <v>True</v>
      </c>
      <c r="Y1142" s="19" t="str">
        <f>IF(OR(W1142&lt;'Cleaning Tasks'!$G$18,W1142&gt;'Cleaning Tasks'!$H$18),"Outlier","Normal")</f>
        <v>Normal</v>
      </c>
      <c r="Z1142" s="2" t="s">
        <v>66</v>
      </c>
      <c r="AA1142" s="2" t="s">
        <v>27</v>
      </c>
      <c r="AB1142" s="2" t="s">
        <v>28</v>
      </c>
      <c r="AC1142" s="2" t="s">
        <v>29</v>
      </c>
      <c r="AD1142" s="2" t="s">
        <v>112</v>
      </c>
      <c r="AE1142" s="2" t="str">
        <f t="shared" si="239"/>
        <v>Valid</v>
      </c>
      <c r="AF1142" s="2" t="s">
        <v>3301</v>
      </c>
    </row>
    <row r="1143" spans="1:32" x14ac:dyDescent="0.3">
      <c r="A1143" s="2" t="s">
        <v>3302</v>
      </c>
      <c r="B1143" s="2">
        <f t="shared" si="229"/>
        <v>1</v>
      </c>
      <c r="C1143" s="12">
        <f t="shared" si="241"/>
        <v>46238.584825740742</v>
      </c>
      <c r="D1143" s="13">
        <v>46238.584825740742</v>
      </c>
      <c r="E1143" s="2" t="s">
        <v>441</v>
      </c>
      <c r="F1143" s="2" t="str">
        <f t="shared" si="230"/>
        <v>Email Available</v>
      </c>
      <c r="G1143" s="2" t="s">
        <v>442</v>
      </c>
      <c r="H1143" s="2" t="s">
        <v>221</v>
      </c>
      <c r="I1143" s="2" t="s">
        <v>22</v>
      </c>
      <c r="J1143" s="2" t="s">
        <v>222</v>
      </c>
      <c r="K1143" s="2">
        <v>1</v>
      </c>
      <c r="L1143" s="2">
        <v>17.989999999999998</v>
      </c>
      <c r="M1143" s="19">
        <f t="shared" si="231"/>
        <v>17.989999999999998</v>
      </c>
      <c r="N1143" s="2"/>
      <c r="O1143" s="2" t="str">
        <f t="shared" si="232"/>
        <v/>
      </c>
      <c r="P1143" s="2">
        <v>0</v>
      </c>
      <c r="Q1143" s="19">
        <f t="shared" si="233"/>
        <v>0</v>
      </c>
      <c r="R1143" s="2" t="str">
        <f t="shared" si="234"/>
        <v>Number</v>
      </c>
      <c r="S1143" s="2">
        <v>7.99</v>
      </c>
      <c r="T1143" s="19">
        <f t="shared" si="235"/>
        <v>7.99</v>
      </c>
      <c r="U1143" s="2">
        <v>25.98</v>
      </c>
      <c r="V1143" s="19">
        <f t="shared" si="236"/>
        <v>25.98</v>
      </c>
      <c r="W1143" s="19">
        <f t="shared" si="237"/>
        <v>25.979999999999997</v>
      </c>
      <c r="X1143" s="19" t="str">
        <f t="shared" si="238"/>
        <v>True</v>
      </c>
      <c r="Y1143" s="19" t="str">
        <f>IF(OR(W1143&lt;'Cleaning Tasks'!$G$18,W1143&gt;'Cleaning Tasks'!$H$18),"Outlier","Normal")</f>
        <v>Normal</v>
      </c>
      <c r="Z1143" s="2" t="s">
        <v>72</v>
      </c>
      <c r="AA1143" s="2" t="s">
        <v>88</v>
      </c>
      <c r="AB1143" s="2" t="s">
        <v>50</v>
      </c>
      <c r="AC1143" s="2" t="s">
        <v>29</v>
      </c>
      <c r="AD1143" s="22" t="s">
        <v>112</v>
      </c>
      <c r="AE1143" s="2" t="str">
        <f t="shared" si="239"/>
        <v>Valid</v>
      </c>
      <c r="AF1143" s="2" t="s">
        <v>3303</v>
      </c>
    </row>
    <row r="1144" spans="1:32" x14ac:dyDescent="0.3">
      <c r="A1144" s="2" t="s">
        <v>3304</v>
      </c>
      <c r="B1144" s="2">
        <f t="shared" si="229"/>
        <v>1</v>
      </c>
      <c r="C1144" s="12">
        <f t="shared" si="241"/>
        <v>46238.588127233787</v>
      </c>
      <c r="D1144" s="13">
        <v>46238.588127233787</v>
      </c>
      <c r="E1144" s="2" t="s">
        <v>1701</v>
      </c>
      <c r="F1144" s="2" t="str">
        <f t="shared" si="230"/>
        <v>Email Available</v>
      </c>
      <c r="G1144" s="2" t="s">
        <v>598</v>
      </c>
      <c r="H1144" s="2" t="s">
        <v>361</v>
      </c>
      <c r="I1144" s="2" t="s">
        <v>86</v>
      </c>
      <c r="J1144" s="2" t="s">
        <v>362</v>
      </c>
      <c r="K1144" s="2">
        <v>2</v>
      </c>
      <c r="L1144" s="2">
        <v>54.99</v>
      </c>
      <c r="M1144" s="19">
        <f t="shared" si="231"/>
        <v>54.99</v>
      </c>
      <c r="N1144" s="2" t="s">
        <v>38</v>
      </c>
      <c r="O1144" s="2" t="str">
        <f t="shared" si="232"/>
        <v>FREESHIP</v>
      </c>
      <c r="P1144" s="2">
        <v>0</v>
      </c>
      <c r="Q1144" s="19">
        <f t="shared" si="233"/>
        <v>0</v>
      </c>
      <c r="R1144" s="2" t="str">
        <f t="shared" si="234"/>
        <v>Number</v>
      </c>
      <c r="S1144" s="2">
        <v>0</v>
      </c>
      <c r="T1144" s="19">
        <f t="shared" si="235"/>
        <v>0</v>
      </c>
      <c r="U1144" s="2" t="s">
        <v>3305</v>
      </c>
      <c r="V1144" s="19">
        <f t="shared" si="236"/>
        <v>109.98</v>
      </c>
      <c r="W1144" s="19">
        <f t="shared" si="237"/>
        <v>109.98</v>
      </c>
      <c r="X1144" s="19" t="str">
        <f t="shared" si="238"/>
        <v>True</v>
      </c>
      <c r="Y1144" s="19" t="str">
        <f>IF(OR(W1144&lt;'Cleaning Tasks'!$G$18,W1144&gt;'Cleaning Tasks'!$H$18),"Outlier","Normal")</f>
        <v>Outlier</v>
      </c>
      <c r="Z1144" s="2" t="s">
        <v>66</v>
      </c>
      <c r="AA1144" s="2" t="s">
        <v>111</v>
      </c>
      <c r="AB1144" s="2" t="s">
        <v>50</v>
      </c>
      <c r="AC1144" s="2" t="s">
        <v>29</v>
      </c>
      <c r="AD1144" s="22" t="s">
        <v>58</v>
      </c>
      <c r="AE1144" s="2" t="str">
        <f t="shared" si="239"/>
        <v>Valid</v>
      </c>
      <c r="AF1144" s="2" t="s">
        <v>3306</v>
      </c>
    </row>
    <row r="1145" spans="1:32" x14ac:dyDescent="0.3">
      <c r="A1145" s="2" t="s">
        <v>3307</v>
      </c>
      <c r="B1145" s="2">
        <f t="shared" si="229"/>
        <v>1</v>
      </c>
      <c r="C1145" s="12">
        <f t="shared" si="241"/>
        <v>46238.581305162043</v>
      </c>
      <c r="D1145" s="13">
        <v>46238.581305162043</v>
      </c>
      <c r="E1145" s="2" t="s">
        <v>1625</v>
      </c>
      <c r="F1145" s="2" t="str">
        <f t="shared" si="230"/>
        <v>Email Available</v>
      </c>
      <c r="G1145" s="2" t="s">
        <v>1533</v>
      </c>
      <c r="H1145" s="2" t="s">
        <v>279</v>
      </c>
      <c r="I1145" s="2" t="s">
        <v>22</v>
      </c>
      <c r="J1145" s="2" t="s">
        <v>280</v>
      </c>
      <c r="K1145" s="2">
        <v>1</v>
      </c>
      <c r="L1145" s="2">
        <v>24.99</v>
      </c>
      <c r="M1145" s="19">
        <f t="shared" si="231"/>
        <v>24.99</v>
      </c>
      <c r="N1145" s="2"/>
      <c r="O1145" s="2" t="str">
        <f t="shared" si="232"/>
        <v/>
      </c>
      <c r="P1145" s="2">
        <v>0</v>
      </c>
      <c r="Q1145" s="19">
        <f t="shared" si="233"/>
        <v>0</v>
      </c>
      <c r="R1145" s="2" t="str">
        <f t="shared" si="234"/>
        <v>Number</v>
      </c>
      <c r="S1145" s="2">
        <v>4.99</v>
      </c>
      <c r="T1145" s="19">
        <f t="shared" si="235"/>
        <v>4.99</v>
      </c>
      <c r="U1145" s="2" t="s">
        <v>2219</v>
      </c>
      <c r="V1145" s="19">
        <f t="shared" si="236"/>
        <v>29.98</v>
      </c>
      <c r="W1145" s="19">
        <f t="shared" si="237"/>
        <v>29.979999999999997</v>
      </c>
      <c r="X1145" s="19" t="str">
        <f t="shared" si="238"/>
        <v>True</v>
      </c>
      <c r="Y1145" s="19" t="str">
        <f>IF(OR(W1145&lt;'Cleaning Tasks'!$G$18,W1145&gt;'Cleaning Tasks'!$H$18),"Outlier","Normal")</f>
        <v>Normal</v>
      </c>
      <c r="Z1145" s="2" t="s">
        <v>49</v>
      </c>
      <c r="AA1145" s="2" t="s">
        <v>40</v>
      </c>
      <c r="AB1145" s="2" t="s">
        <v>96</v>
      </c>
      <c r="AC1145" s="2" t="s">
        <v>73</v>
      </c>
      <c r="AD1145" s="2"/>
      <c r="AE1145" s="2" t="str">
        <f t="shared" si="239"/>
        <v>Not Required</v>
      </c>
      <c r="AF1145" s="2" t="s">
        <v>3308</v>
      </c>
    </row>
    <row r="1146" spans="1:32" x14ac:dyDescent="0.3">
      <c r="A1146" s="2" t="s">
        <v>3309</v>
      </c>
      <c r="B1146" s="2">
        <f t="shared" si="229"/>
        <v>1</v>
      </c>
      <c r="C1146" s="12">
        <f t="shared" si="241"/>
        <v>46238.58055003472</v>
      </c>
      <c r="D1146" s="13">
        <v>46238.58055003472</v>
      </c>
      <c r="E1146" s="2" t="s">
        <v>1596</v>
      </c>
      <c r="F1146" s="2" t="str">
        <f t="shared" si="230"/>
        <v>Email Available</v>
      </c>
      <c r="G1146" s="2" t="s">
        <v>1597</v>
      </c>
      <c r="H1146" s="2" t="s">
        <v>63</v>
      </c>
      <c r="I1146" s="2" t="s">
        <v>47</v>
      </c>
      <c r="J1146" s="2" t="s">
        <v>64</v>
      </c>
      <c r="K1146" s="2">
        <v>1</v>
      </c>
      <c r="L1146" s="2">
        <v>14.99</v>
      </c>
      <c r="M1146" s="19">
        <f t="shared" si="231"/>
        <v>14.99</v>
      </c>
      <c r="N1146" s="2" t="s">
        <v>24</v>
      </c>
      <c r="O1146" s="2" t="str">
        <f t="shared" si="232"/>
        <v>SAVE20</v>
      </c>
      <c r="P1146" s="2">
        <v>3</v>
      </c>
      <c r="Q1146" s="19">
        <f t="shared" si="233"/>
        <v>3</v>
      </c>
      <c r="R1146" s="2" t="str">
        <f t="shared" si="234"/>
        <v>Number</v>
      </c>
      <c r="S1146" s="2">
        <v>4.99</v>
      </c>
      <c r="T1146" s="19">
        <f t="shared" si="235"/>
        <v>4.99</v>
      </c>
      <c r="U1146" s="2">
        <v>16.98</v>
      </c>
      <c r="V1146" s="19">
        <f t="shared" si="236"/>
        <v>16.98</v>
      </c>
      <c r="W1146" s="19">
        <f t="shared" si="237"/>
        <v>16.98</v>
      </c>
      <c r="X1146" s="19" t="str">
        <f t="shared" si="238"/>
        <v>True</v>
      </c>
      <c r="Y1146" s="19" t="str">
        <f>IF(OR(W1146&lt;'Cleaning Tasks'!$G$18,W1146&gt;'Cleaning Tasks'!$H$18),"Outlier","Normal")</f>
        <v>Normal</v>
      </c>
      <c r="Z1146" s="2" t="s">
        <v>39</v>
      </c>
      <c r="AA1146" s="2" t="s">
        <v>27</v>
      </c>
      <c r="AB1146" s="2" t="s">
        <v>96</v>
      </c>
      <c r="AC1146" s="2" t="s">
        <v>73</v>
      </c>
      <c r="AD1146" s="2"/>
      <c r="AE1146" s="2" t="str">
        <f t="shared" si="239"/>
        <v>Not Required</v>
      </c>
      <c r="AF1146" s="2" t="s">
        <v>3310</v>
      </c>
    </row>
    <row r="1147" spans="1:32" x14ac:dyDescent="0.3">
      <c r="A1147" s="2" t="s">
        <v>3311</v>
      </c>
      <c r="B1147" s="2">
        <f t="shared" si="229"/>
        <v>1</v>
      </c>
      <c r="C1147" s="12">
        <f t="shared" si="241"/>
        <v>46238.580757384261</v>
      </c>
      <c r="D1147" s="13">
        <v>46238.580757384261</v>
      </c>
      <c r="E1147" s="2" t="s">
        <v>3312</v>
      </c>
      <c r="F1147" s="2" t="str">
        <f t="shared" si="230"/>
        <v>Email Available</v>
      </c>
      <c r="G1147" s="2" t="s">
        <v>737</v>
      </c>
      <c r="H1147" s="2" t="s">
        <v>117</v>
      </c>
      <c r="I1147" s="2" t="s">
        <v>22</v>
      </c>
      <c r="J1147" s="2" t="s">
        <v>23</v>
      </c>
      <c r="K1147" s="2">
        <v>2</v>
      </c>
      <c r="L1147" s="2">
        <v>12.99</v>
      </c>
      <c r="M1147" s="19">
        <f t="shared" si="231"/>
        <v>12.99</v>
      </c>
      <c r="N1147" s="2"/>
      <c r="O1147" s="2" t="str">
        <f t="shared" si="232"/>
        <v/>
      </c>
      <c r="P1147" s="2">
        <v>0</v>
      </c>
      <c r="Q1147" s="19">
        <f t="shared" si="233"/>
        <v>0</v>
      </c>
      <c r="R1147" s="2" t="str">
        <f t="shared" si="234"/>
        <v>Number</v>
      </c>
      <c r="S1147" s="2">
        <v>5.99</v>
      </c>
      <c r="T1147" s="19">
        <f t="shared" si="235"/>
        <v>5.99</v>
      </c>
      <c r="U1147" s="2">
        <v>31.97</v>
      </c>
      <c r="V1147" s="19">
        <f t="shared" si="236"/>
        <v>31.97</v>
      </c>
      <c r="W1147" s="19">
        <f t="shared" si="237"/>
        <v>31.97</v>
      </c>
      <c r="X1147" s="19" t="str">
        <f t="shared" si="238"/>
        <v>True</v>
      </c>
      <c r="Y1147" s="19" t="str">
        <f>IF(OR(W1147&lt;'Cleaning Tasks'!$G$18,W1147&gt;'Cleaning Tasks'!$H$18),"Outlier","Normal")</f>
        <v>Normal</v>
      </c>
      <c r="Z1147" s="2" t="s">
        <v>72</v>
      </c>
      <c r="AA1147" s="2" t="s">
        <v>40</v>
      </c>
      <c r="AB1147" s="2" t="s">
        <v>28</v>
      </c>
      <c r="AC1147" s="2" t="s">
        <v>29</v>
      </c>
      <c r="AD1147" s="2" t="s">
        <v>67</v>
      </c>
      <c r="AE1147" s="2" t="str">
        <f t="shared" si="239"/>
        <v>Valid</v>
      </c>
      <c r="AF1147" s="2" t="s">
        <v>1169</v>
      </c>
    </row>
    <row r="1148" spans="1:32" x14ac:dyDescent="0.3">
      <c r="A1148" s="2" t="s">
        <v>3313</v>
      </c>
      <c r="B1148" s="2">
        <f t="shared" si="229"/>
        <v>1</v>
      </c>
      <c r="C1148" s="12">
        <f t="shared" si="241"/>
        <v>46238.579477708343</v>
      </c>
      <c r="D1148" s="13">
        <v>46238.579477708343</v>
      </c>
      <c r="E1148" s="2" t="s">
        <v>613</v>
      </c>
      <c r="F1148" s="2" t="str">
        <f t="shared" si="230"/>
        <v>Email Available</v>
      </c>
      <c r="G1148" s="2" t="s">
        <v>614</v>
      </c>
      <c r="H1148" s="2" t="s">
        <v>46</v>
      </c>
      <c r="I1148" s="2" t="s">
        <v>47</v>
      </c>
      <c r="J1148" s="2" t="s">
        <v>48</v>
      </c>
      <c r="K1148" s="2">
        <v>1</v>
      </c>
      <c r="L1148" s="2">
        <v>39.99</v>
      </c>
      <c r="M1148" s="19">
        <f t="shared" si="231"/>
        <v>39.99</v>
      </c>
      <c r="N1148" s="2" t="s">
        <v>38</v>
      </c>
      <c r="O1148" s="2" t="str">
        <f t="shared" si="232"/>
        <v>FREESHIP</v>
      </c>
      <c r="P1148" s="2">
        <v>0</v>
      </c>
      <c r="Q1148" s="19">
        <f t="shared" si="233"/>
        <v>0</v>
      </c>
      <c r="R1148" s="2" t="str">
        <f t="shared" si="234"/>
        <v>Number</v>
      </c>
      <c r="S1148" s="2">
        <v>0</v>
      </c>
      <c r="T1148" s="19">
        <f t="shared" si="235"/>
        <v>0</v>
      </c>
      <c r="U1148" s="2">
        <v>39.99</v>
      </c>
      <c r="V1148" s="19">
        <f t="shared" si="236"/>
        <v>39.99</v>
      </c>
      <c r="W1148" s="19">
        <f t="shared" si="237"/>
        <v>39.99</v>
      </c>
      <c r="X1148" s="19" t="str">
        <f t="shared" si="238"/>
        <v>True</v>
      </c>
      <c r="Y1148" s="19" t="str">
        <f>IF(OR(W1148&lt;'Cleaning Tasks'!$G$18,W1148&gt;'Cleaning Tasks'!$H$18),"Outlier","Normal")</f>
        <v>Normal</v>
      </c>
      <c r="Z1148" s="2" t="s">
        <v>39</v>
      </c>
      <c r="AA1148" s="2" t="s">
        <v>27</v>
      </c>
      <c r="AB1148" s="2" t="s">
        <v>50</v>
      </c>
      <c r="AC1148" s="2" t="s">
        <v>29</v>
      </c>
      <c r="AD1148" s="2" t="s">
        <v>447</v>
      </c>
      <c r="AE1148" s="2" t="str">
        <f t="shared" si="239"/>
        <v>Valid</v>
      </c>
      <c r="AF1148" s="2" t="s">
        <v>3314</v>
      </c>
    </row>
    <row r="1149" spans="1:32" x14ac:dyDescent="0.3">
      <c r="A1149" s="2" t="s">
        <v>3315</v>
      </c>
      <c r="B1149" s="2">
        <f t="shared" si="229"/>
        <v>1</v>
      </c>
      <c r="C1149" s="12">
        <f t="shared" si="241"/>
        <v>46238.582250243053</v>
      </c>
      <c r="D1149" s="13">
        <v>46238.582250243053</v>
      </c>
      <c r="E1149" s="2" t="s">
        <v>3316</v>
      </c>
      <c r="F1149" s="2" t="str">
        <f t="shared" si="230"/>
        <v>Email Available</v>
      </c>
      <c r="G1149" s="2" t="s">
        <v>1374</v>
      </c>
      <c r="H1149" s="2" t="s">
        <v>63</v>
      </c>
      <c r="I1149" s="2" t="s">
        <v>47</v>
      </c>
      <c r="J1149" s="2" t="s">
        <v>446</v>
      </c>
      <c r="K1149" s="2">
        <v>1</v>
      </c>
      <c r="L1149" s="2">
        <v>14.99</v>
      </c>
      <c r="M1149" s="19">
        <f t="shared" si="231"/>
        <v>14.99</v>
      </c>
      <c r="N1149" s="2" t="s">
        <v>38</v>
      </c>
      <c r="O1149" s="2" t="str">
        <f t="shared" si="232"/>
        <v>FREESHIP</v>
      </c>
      <c r="P1149" s="2">
        <v>0</v>
      </c>
      <c r="Q1149" s="19">
        <f t="shared" si="233"/>
        <v>0</v>
      </c>
      <c r="R1149" s="2" t="str">
        <f t="shared" si="234"/>
        <v>Number</v>
      </c>
      <c r="S1149" s="2">
        <v>0</v>
      </c>
      <c r="T1149" s="19">
        <f t="shared" si="235"/>
        <v>0</v>
      </c>
      <c r="U1149" s="2">
        <v>14.99</v>
      </c>
      <c r="V1149" s="19">
        <f t="shared" si="236"/>
        <v>14.99</v>
      </c>
      <c r="W1149" s="19">
        <f t="shared" si="237"/>
        <v>14.99</v>
      </c>
      <c r="X1149" s="19" t="str">
        <f t="shared" si="238"/>
        <v>True</v>
      </c>
      <c r="Y1149" s="19" t="str">
        <f>IF(OR(W1149&lt;'Cleaning Tasks'!$G$18,W1149&gt;'Cleaning Tasks'!$H$18),"Outlier","Normal")</f>
        <v>Normal</v>
      </c>
      <c r="Z1149" s="2" t="s">
        <v>72</v>
      </c>
      <c r="AA1149" s="2" t="s">
        <v>27</v>
      </c>
      <c r="AB1149" s="2" t="s">
        <v>41</v>
      </c>
      <c r="AC1149" s="2" t="s">
        <v>223</v>
      </c>
      <c r="AD1149" s="2"/>
      <c r="AE1149" s="2" t="str">
        <f t="shared" si="239"/>
        <v>Not Required</v>
      </c>
      <c r="AF1149" s="2" t="s">
        <v>3317</v>
      </c>
    </row>
    <row r="1150" spans="1:32" x14ac:dyDescent="0.3">
      <c r="A1150" s="2" t="s">
        <v>3318</v>
      </c>
      <c r="B1150" s="2">
        <f t="shared" si="229"/>
        <v>1</v>
      </c>
      <c r="C1150" s="12">
        <f t="shared" si="241"/>
        <v>46238</v>
      </c>
      <c r="D1150" s="13" t="s">
        <v>1193</v>
      </c>
      <c r="E1150" s="2" t="s">
        <v>206</v>
      </c>
      <c r="F1150" s="2" t="str">
        <f t="shared" si="230"/>
        <v>Email Available</v>
      </c>
      <c r="G1150" s="2" t="s">
        <v>207</v>
      </c>
      <c r="H1150" s="2" t="s">
        <v>146</v>
      </c>
      <c r="I1150" s="2" t="s">
        <v>47</v>
      </c>
      <c r="J1150" s="2" t="s">
        <v>147</v>
      </c>
      <c r="K1150" s="2">
        <v>1</v>
      </c>
      <c r="L1150" s="2" t="s">
        <v>340</v>
      </c>
      <c r="M1150" s="19">
        <f t="shared" si="231"/>
        <v>34.99</v>
      </c>
      <c r="N1150" s="2" t="s">
        <v>38</v>
      </c>
      <c r="O1150" s="2" t="str">
        <f t="shared" si="232"/>
        <v>FREESHIP</v>
      </c>
      <c r="P1150" s="2">
        <v>0</v>
      </c>
      <c r="Q1150" s="19">
        <f t="shared" si="233"/>
        <v>0</v>
      </c>
      <c r="R1150" s="2" t="str">
        <f t="shared" si="234"/>
        <v>Number</v>
      </c>
      <c r="S1150" s="2">
        <v>0</v>
      </c>
      <c r="T1150" s="19">
        <f t="shared" si="235"/>
        <v>0</v>
      </c>
      <c r="U1150" s="2">
        <v>34.99</v>
      </c>
      <c r="V1150" s="19">
        <f t="shared" si="236"/>
        <v>34.99</v>
      </c>
      <c r="W1150" s="19">
        <f t="shared" si="237"/>
        <v>34.99</v>
      </c>
      <c r="X1150" s="19" t="str">
        <f t="shared" si="238"/>
        <v>True</v>
      </c>
      <c r="Y1150" s="19" t="str">
        <f>IF(OR(W1150&lt;'Cleaning Tasks'!$G$18,W1150&gt;'Cleaning Tasks'!$H$18),"Outlier","Normal")</f>
        <v>Normal</v>
      </c>
      <c r="Z1150" s="2" t="s">
        <v>39</v>
      </c>
      <c r="AA1150" s="2" t="s">
        <v>111</v>
      </c>
      <c r="AB1150" s="2" t="s">
        <v>50</v>
      </c>
      <c r="AC1150" s="2" t="s">
        <v>105</v>
      </c>
      <c r="AD1150" s="2"/>
      <c r="AE1150" s="2" t="str">
        <f t="shared" si="239"/>
        <v>Not Required</v>
      </c>
      <c r="AF1150" s="2" t="s">
        <v>3319</v>
      </c>
    </row>
    <row r="1151" spans="1:32" x14ac:dyDescent="0.3">
      <c r="A1151" s="2" t="s">
        <v>3320</v>
      </c>
      <c r="B1151" s="2">
        <f t="shared" si="229"/>
        <v>1</v>
      </c>
      <c r="C1151" s="12">
        <f t="shared" si="241"/>
        <v>46238.58383009259</v>
      </c>
      <c r="D1151" s="13">
        <v>46238.58383009259</v>
      </c>
      <c r="E1151" s="2" t="s">
        <v>740</v>
      </c>
      <c r="F1151" s="2" t="str">
        <f t="shared" si="230"/>
        <v>Email Available</v>
      </c>
      <c r="G1151" s="2" t="s">
        <v>741</v>
      </c>
      <c r="H1151" s="22" t="s">
        <v>261</v>
      </c>
      <c r="I1151" s="2" t="s">
        <v>36</v>
      </c>
      <c r="J1151" s="2" t="s">
        <v>262</v>
      </c>
      <c r="K1151" s="2">
        <v>2</v>
      </c>
      <c r="L1151" s="2">
        <v>15.49</v>
      </c>
      <c r="M1151" s="19">
        <f t="shared" si="231"/>
        <v>15.49</v>
      </c>
      <c r="N1151" s="2"/>
      <c r="O1151" s="2" t="str">
        <f t="shared" si="232"/>
        <v/>
      </c>
      <c r="P1151" s="2">
        <v>0</v>
      </c>
      <c r="Q1151" s="19">
        <f t="shared" si="233"/>
        <v>0</v>
      </c>
      <c r="R1151" s="2" t="str">
        <f t="shared" si="234"/>
        <v>Number</v>
      </c>
      <c r="S1151" s="2">
        <v>7.99</v>
      </c>
      <c r="T1151" s="19">
        <f t="shared" si="235"/>
        <v>7.99</v>
      </c>
      <c r="U1151" s="2">
        <v>38.97</v>
      </c>
      <c r="V1151" s="19">
        <f t="shared" si="236"/>
        <v>38.97</v>
      </c>
      <c r="W1151" s="19">
        <f t="shared" si="237"/>
        <v>38.97</v>
      </c>
      <c r="X1151" s="19" t="str">
        <f t="shared" si="238"/>
        <v>True</v>
      </c>
      <c r="Y1151" s="19" t="str">
        <f>IF(OR(W1151&lt;'Cleaning Tasks'!$G$18,W1151&gt;'Cleaning Tasks'!$H$18),"Outlier","Normal")</f>
        <v>Normal</v>
      </c>
      <c r="Z1151" s="2" t="s">
        <v>66</v>
      </c>
      <c r="AA1151" s="2" t="s">
        <v>111</v>
      </c>
      <c r="AB1151" s="2" t="s">
        <v>96</v>
      </c>
      <c r="AC1151" s="2" t="s">
        <v>105</v>
      </c>
      <c r="AD1151" s="2"/>
      <c r="AE1151" s="2" t="str">
        <f t="shared" si="239"/>
        <v>Not Required</v>
      </c>
      <c r="AF1151" s="2" t="s">
        <v>3321</v>
      </c>
    </row>
    <row r="1152" spans="1:32" x14ac:dyDescent="0.3">
      <c r="A1152" s="2" t="s">
        <v>3322</v>
      </c>
      <c r="B1152" s="2">
        <f t="shared" si="229"/>
        <v>1</v>
      </c>
      <c r="C1152" s="12">
        <f t="shared" si="241"/>
        <v>46238.589183715281</v>
      </c>
      <c r="D1152" s="13">
        <v>46238.589183715281</v>
      </c>
      <c r="E1152" s="2" t="s">
        <v>3323</v>
      </c>
      <c r="F1152" s="2" t="str">
        <f t="shared" si="230"/>
        <v>Email Available</v>
      </c>
      <c r="G1152" s="2" t="s">
        <v>3324</v>
      </c>
      <c r="H1152" s="2" t="s">
        <v>309</v>
      </c>
      <c r="I1152" s="2" t="s">
        <v>36</v>
      </c>
      <c r="J1152" s="2" t="s">
        <v>310</v>
      </c>
      <c r="K1152" s="2">
        <v>1</v>
      </c>
      <c r="L1152" s="2">
        <v>8.99</v>
      </c>
      <c r="M1152" s="19">
        <f t="shared" si="231"/>
        <v>8.99</v>
      </c>
      <c r="N1152" s="2" t="s">
        <v>65</v>
      </c>
      <c r="O1152" s="2" t="str">
        <f t="shared" si="232"/>
        <v>WELCOME10</v>
      </c>
      <c r="P1152" s="2">
        <v>0.9</v>
      </c>
      <c r="Q1152" s="19">
        <f t="shared" si="233"/>
        <v>0.9</v>
      </c>
      <c r="R1152" s="2" t="str">
        <f t="shared" si="234"/>
        <v>Number</v>
      </c>
      <c r="S1152" s="2">
        <v>4.99</v>
      </c>
      <c r="T1152" s="19">
        <f t="shared" si="235"/>
        <v>4.99</v>
      </c>
      <c r="U1152" s="2">
        <v>13.08</v>
      </c>
      <c r="V1152" s="19">
        <f t="shared" si="236"/>
        <v>13.08</v>
      </c>
      <c r="W1152" s="19">
        <f t="shared" si="237"/>
        <v>13.08</v>
      </c>
      <c r="X1152" s="19" t="str">
        <f t="shared" si="238"/>
        <v>True</v>
      </c>
      <c r="Y1152" s="19" t="str">
        <f>IF(OR(W1152&lt;'Cleaning Tasks'!$G$18,W1152&gt;'Cleaning Tasks'!$H$18),"Outlier","Normal")</f>
        <v>Normal</v>
      </c>
      <c r="Z1152" s="2" t="s">
        <v>26</v>
      </c>
      <c r="AA1152" s="2" t="s">
        <v>111</v>
      </c>
      <c r="AB1152" s="2" t="s">
        <v>50</v>
      </c>
      <c r="AC1152" s="2" t="s">
        <v>29</v>
      </c>
      <c r="AD1152" s="2" t="s">
        <v>51</v>
      </c>
      <c r="AE1152" s="2" t="str">
        <f t="shared" si="239"/>
        <v>Valid</v>
      </c>
      <c r="AF1152" s="2" t="s">
        <v>3325</v>
      </c>
    </row>
    <row r="1153" spans="1:32" x14ac:dyDescent="0.3">
      <c r="A1153" s="2" t="s">
        <v>3326</v>
      </c>
      <c r="B1153" s="2">
        <f t="shared" si="229"/>
        <v>1</v>
      </c>
      <c r="C1153" s="12">
        <f t="shared" ref="C1153:C1176" si="242">IF(ISNUMBER(D1153),D1153,DATEVALUE(SUBSTITUTE(TRIM(D1153),CHAR(160)," ")))</f>
        <v>46238.58072510417</v>
      </c>
      <c r="D1153" s="13">
        <v>46238.58072510417</v>
      </c>
      <c r="E1153" s="2" t="s">
        <v>2031</v>
      </c>
      <c r="F1153" s="2" t="str">
        <f t="shared" si="230"/>
        <v>Missing Email</v>
      </c>
      <c r="G1153" s="2"/>
      <c r="H1153" s="2" t="s">
        <v>236</v>
      </c>
      <c r="I1153" s="2" t="s">
        <v>237</v>
      </c>
      <c r="J1153" s="2" t="s">
        <v>238</v>
      </c>
      <c r="K1153" s="2">
        <v>1</v>
      </c>
      <c r="L1153" s="2">
        <v>27.99</v>
      </c>
      <c r="M1153" s="19">
        <f t="shared" si="231"/>
        <v>27.99</v>
      </c>
      <c r="N1153" s="2"/>
      <c r="O1153" s="2" t="str">
        <f t="shared" si="232"/>
        <v/>
      </c>
      <c r="P1153" s="2">
        <v>0</v>
      </c>
      <c r="Q1153" s="19">
        <f t="shared" si="233"/>
        <v>0</v>
      </c>
      <c r="R1153" s="2" t="str">
        <f t="shared" si="234"/>
        <v>Number</v>
      </c>
      <c r="S1153" s="2">
        <v>5.99</v>
      </c>
      <c r="T1153" s="19">
        <f t="shared" si="235"/>
        <v>5.99</v>
      </c>
      <c r="U1153" s="2">
        <v>33.979999999999997</v>
      </c>
      <c r="V1153" s="19">
        <f t="shared" si="236"/>
        <v>33.979999999999997</v>
      </c>
      <c r="W1153" s="19">
        <f t="shared" si="237"/>
        <v>33.979999999999997</v>
      </c>
      <c r="X1153" s="19" t="str">
        <f t="shared" si="238"/>
        <v>True</v>
      </c>
      <c r="Y1153" s="19" t="str">
        <f>IF(OR(W1153&lt;'Cleaning Tasks'!$G$18,W1153&gt;'Cleaning Tasks'!$H$18),"Outlier","Normal")</f>
        <v>Normal</v>
      </c>
      <c r="Z1153" s="2" t="s">
        <v>49</v>
      </c>
      <c r="AA1153" s="2" t="s">
        <v>111</v>
      </c>
      <c r="AB1153" s="2" t="s">
        <v>50</v>
      </c>
      <c r="AC1153" s="2" t="s">
        <v>29</v>
      </c>
      <c r="AD1153" s="2" t="s">
        <v>89</v>
      </c>
      <c r="AE1153" s="2" t="str">
        <f t="shared" si="239"/>
        <v>Valid</v>
      </c>
      <c r="AF1153" s="2" t="s">
        <v>3327</v>
      </c>
    </row>
    <row r="1154" spans="1:32" x14ac:dyDescent="0.3">
      <c r="A1154" s="2" t="s">
        <v>3328</v>
      </c>
      <c r="B1154" s="2">
        <f t="shared" ref="B1154:B1217" si="243">COUNTIF($A$2:$A$1993,A1154)</f>
        <v>1</v>
      </c>
      <c r="C1154" s="12">
        <f t="shared" si="242"/>
        <v>46238.582149965281</v>
      </c>
      <c r="D1154" s="13">
        <v>46238.582149965281</v>
      </c>
      <c r="E1154" s="2" t="s">
        <v>677</v>
      </c>
      <c r="F1154" s="2" t="str">
        <f t="shared" ref="F1154:F1217" si="244">IF(TRIM(G1154)="","Missing Email","Email Available")</f>
        <v>Missing Email</v>
      </c>
      <c r="G1154" s="2"/>
      <c r="H1154" s="2" t="s">
        <v>309</v>
      </c>
      <c r="I1154" s="2" t="s">
        <v>36</v>
      </c>
      <c r="J1154" s="2" t="s">
        <v>310</v>
      </c>
      <c r="K1154" s="2">
        <v>1</v>
      </c>
      <c r="L1154" s="2">
        <v>8.99</v>
      </c>
      <c r="M1154" s="19">
        <f t="shared" ref="M1154:M1217" si="245">IF(ISNUMBER(L1154),L1154,VALUE(SUBSTITUTE(L1154,"$","")))</f>
        <v>8.99</v>
      </c>
      <c r="N1154" s="2" t="s">
        <v>38</v>
      </c>
      <c r="O1154" s="2" t="str">
        <f t="shared" ref="O1154:O1217" si="246">IF(TRIM(N1154)="","",UPPER(TRIM(SUBSTITUTE(N1154,CHAR(160)," "))))</f>
        <v>FREESHIP</v>
      </c>
      <c r="P1154" s="2">
        <v>0</v>
      </c>
      <c r="Q1154" s="19">
        <f t="shared" ref="Q1154:Q1217" si="247">IF(ISNUMBER(P1154),P1154,VALUE(TRIM(SUBSTITUTE(P1154,"$",""))))</f>
        <v>0</v>
      </c>
      <c r="R1154" s="2" t="str">
        <f t="shared" ref="R1154:R1217" si="248">IF(ISNUMBER(Q1154),"Number","Text")</f>
        <v>Number</v>
      </c>
      <c r="S1154" s="2">
        <v>0</v>
      </c>
      <c r="T1154" s="19">
        <f t="shared" ref="T1154:T1217" si="249">IF(ISNUMBER(S1154),S1154,VALUE(TRIM(SUBSTITUTE(S1154,"$",""))))</f>
        <v>0</v>
      </c>
      <c r="U1154" s="2">
        <v>8.99</v>
      </c>
      <c r="V1154" s="19">
        <f t="shared" ref="V1154:V1217" si="250">IF(ISNUMBER(U1154),U1154,VALUE(TRIM(SUBSTITUTE(U1154,"$",""))))</f>
        <v>8.99</v>
      </c>
      <c r="W1154" s="19">
        <f t="shared" ref="W1154:W1217" si="251">((M1154*K1154)-Q1154)+T1154</f>
        <v>8.99</v>
      </c>
      <c r="X1154" s="19" t="str">
        <f t="shared" ref="X1154:X1217" si="252">IF(V1154=W1154,"True","False")</f>
        <v>True</v>
      </c>
      <c r="Y1154" s="19" t="str">
        <f>IF(OR(W1154&lt;'Cleaning Tasks'!$G$18,W1154&gt;'Cleaning Tasks'!$H$18),"Outlier","Normal")</f>
        <v>Normal</v>
      </c>
      <c r="Z1154" s="2" t="s">
        <v>39</v>
      </c>
      <c r="AA1154" s="2" t="s">
        <v>27</v>
      </c>
      <c r="AB1154" s="2" t="s">
        <v>50</v>
      </c>
      <c r="AC1154" s="2" t="s">
        <v>29</v>
      </c>
      <c r="AD1154" s="2" t="s">
        <v>112</v>
      </c>
      <c r="AE1154" s="2" t="str">
        <f t="shared" ref="AE1154:AE1217" si="253">IF(AND(AC1154="United States",AD1154=""),"Missing state",IF(AD1154="","Not Required","Valid"))</f>
        <v>Valid</v>
      </c>
      <c r="AF1154" s="2" t="s">
        <v>3033</v>
      </c>
    </row>
    <row r="1155" spans="1:32" x14ac:dyDescent="0.3">
      <c r="A1155" s="2" t="s">
        <v>3329</v>
      </c>
      <c r="B1155" s="2">
        <f t="shared" si="243"/>
        <v>1</v>
      </c>
      <c r="C1155" s="12">
        <f t="shared" si="242"/>
        <v>46238.57971046296</v>
      </c>
      <c r="D1155" s="13">
        <v>46238.57971046296</v>
      </c>
      <c r="E1155" s="2" t="s">
        <v>1261</v>
      </c>
      <c r="F1155" s="2" t="str">
        <f t="shared" si="244"/>
        <v>Email Available</v>
      </c>
      <c r="G1155" s="2" t="s">
        <v>1262</v>
      </c>
      <c r="H1155" s="2" t="s">
        <v>190</v>
      </c>
      <c r="I1155" s="2" t="s">
        <v>191</v>
      </c>
      <c r="J1155" s="2" t="s">
        <v>192</v>
      </c>
      <c r="K1155" s="2">
        <v>2</v>
      </c>
      <c r="L1155" s="2">
        <v>13.49</v>
      </c>
      <c r="M1155" s="19">
        <f t="shared" si="245"/>
        <v>13.49</v>
      </c>
      <c r="N1155" s="2"/>
      <c r="O1155" s="2" t="str">
        <f t="shared" si="246"/>
        <v/>
      </c>
      <c r="P1155" s="2">
        <v>0</v>
      </c>
      <c r="Q1155" s="19">
        <f t="shared" si="247"/>
        <v>0</v>
      </c>
      <c r="R1155" s="2" t="str">
        <f t="shared" si="248"/>
        <v>Number</v>
      </c>
      <c r="S1155" s="2">
        <v>4.99</v>
      </c>
      <c r="T1155" s="19">
        <f t="shared" si="249"/>
        <v>4.99</v>
      </c>
      <c r="U1155" s="2">
        <v>31.97</v>
      </c>
      <c r="V1155" s="19">
        <f t="shared" si="250"/>
        <v>31.97</v>
      </c>
      <c r="W1155" s="19">
        <f t="shared" si="251"/>
        <v>31.97</v>
      </c>
      <c r="X1155" s="19" t="str">
        <f t="shared" si="252"/>
        <v>True</v>
      </c>
      <c r="Y1155" s="19" t="str">
        <f>IF(OR(W1155&lt;'Cleaning Tasks'!$G$18,W1155&gt;'Cleaning Tasks'!$H$18),"Outlier","Normal")</f>
        <v>Normal</v>
      </c>
      <c r="Z1155" s="2" t="s">
        <v>72</v>
      </c>
      <c r="AA1155" s="2" t="s">
        <v>27</v>
      </c>
      <c r="AB1155" s="2" t="s">
        <v>50</v>
      </c>
      <c r="AC1155" s="2" t="s">
        <v>331</v>
      </c>
      <c r="AD1155" s="2"/>
      <c r="AE1155" s="2" t="str">
        <f t="shared" si="253"/>
        <v>Not Required</v>
      </c>
      <c r="AF1155" s="2" t="s">
        <v>3330</v>
      </c>
    </row>
    <row r="1156" spans="1:32" x14ac:dyDescent="0.3">
      <c r="A1156" s="2" t="s">
        <v>3331</v>
      </c>
      <c r="B1156" s="2">
        <f t="shared" si="243"/>
        <v>1</v>
      </c>
      <c r="C1156" s="12">
        <f t="shared" si="242"/>
        <v>46238.584593425927</v>
      </c>
      <c r="D1156" s="13">
        <v>46238.584593425927</v>
      </c>
      <c r="E1156" s="2" t="s">
        <v>2922</v>
      </c>
      <c r="F1156" s="2" t="str">
        <f t="shared" si="244"/>
        <v>Missing Email</v>
      </c>
      <c r="G1156" s="2"/>
      <c r="H1156" s="2" t="s">
        <v>102</v>
      </c>
      <c r="I1156" s="2" t="s">
        <v>103</v>
      </c>
      <c r="J1156" s="2" t="s">
        <v>104</v>
      </c>
      <c r="K1156" s="2">
        <v>2</v>
      </c>
      <c r="L1156" s="2">
        <v>19.989999999999998</v>
      </c>
      <c r="M1156" s="19">
        <f t="shared" si="245"/>
        <v>19.989999999999998</v>
      </c>
      <c r="N1156" s="2" t="s">
        <v>118</v>
      </c>
      <c r="O1156" s="2" t="str">
        <f t="shared" si="246"/>
        <v>BFCM25</v>
      </c>
      <c r="P1156" s="2">
        <v>9.99</v>
      </c>
      <c r="Q1156" s="19">
        <f t="shared" si="247"/>
        <v>9.99</v>
      </c>
      <c r="R1156" s="2" t="str">
        <f t="shared" si="248"/>
        <v>Number</v>
      </c>
      <c r="S1156" s="2">
        <v>7.99</v>
      </c>
      <c r="T1156" s="19">
        <f t="shared" si="249"/>
        <v>7.99</v>
      </c>
      <c r="U1156" s="2">
        <v>37.979999999999997</v>
      </c>
      <c r="V1156" s="19">
        <f t="shared" si="250"/>
        <v>37.979999999999997</v>
      </c>
      <c r="W1156" s="19">
        <f t="shared" si="251"/>
        <v>37.979999999999997</v>
      </c>
      <c r="X1156" s="19" t="str">
        <f t="shared" si="252"/>
        <v>True</v>
      </c>
      <c r="Y1156" s="19" t="str">
        <f>IF(OR(W1156&lt;'Cleaning Tasks'!$G$18,W1156&gt;'Cleaning Tasks'!$H$18),"Outlier","Normal")</f>
        <v>Normal</v>
      </c>
      <c r="Z1156" s="2" t="s">
        <v>39</v>
      </c>
      <c r="AA1156" s="2" t="s">
        <v>111</v>
      </c>
      <c r="AB1156" s="2" t="s">
        <v>96</v>
      </c>
      <c r="AC1156" s="2" t="s">
        <v>42</v>
      </c>
      <c r="AD1156" s="2"/>
      <c r="AE1156" s="2" t="str">
        <f t="shared" si="253"/>
        <v>Not Required</v>
      </c>
      <c r="AF1156" s="2" t="s">
        <v>3332</v>
      </c>
    </row>
    <row r="1157" spans="1:32" x14ac:dyDescent="0.3">
      <c r="A1157" s="2" t="s">
        <v>3333</v>
      </c>
      <c r="B1157" s="2">
        <f t="shared" si="243"/>
        <v>1</v>
      </c>
      <c r="C1157" s="12">
        <f t="shared" si="242"/>
        <v>46238.585826666669</v>
      </c>
      <c r="D1157" s="13">
        <v>46238.585826666669</v>
      </c>
      <c r="E1157" s="2" t="s">
        <v>1625</v>
      </c>
      <c r="F1157" s="2" t="str">
        <f t="shared" si="244"/>
        <v>Email Available</v>
      </c>
      <c r="G1157" s="2" t="s">
        <v>1533</v>
      </c>
      <c r="H1157" s="2" t="s">
        <v>221</v>
      </c>
      <c r="I1157" s="2" t="s">
        <v>22</v>
      </c>
      <c r="J1157" s="2" t="s">
        <v>222</v>
      </c>
      <c r="K1157" s="2">
        <v>1</v>
      </c>
      <c r="L1157" s="2">
        <v>17.989999999999998</v>
      </c>
      <c r="M1157" s="19">
        <f t="shared" si="245"/>
        <v>17.989999999999998</v>
      </c>
      <c r="N1157" s="2" t="s">
        <v>38</v>
      </c>
      <c r="O1157" s="2" t="str">
        <f t="shared" si="246"/>
        <v>FREESHIP</v>
      </c>
      <c r="P1157" s="2">
        <v>0</v>
      </c>
      <c r="Q1157" s="19">
        <f t="shared" si="247"/>
        <v>0</v>
      </c>
      <c r="R1157" s="2" t="str">
        <f t="shared" si="248"/>
        <v>Number</v>
      </c>
      <c r="S1157" s="2">
        <v>0</v>
      </c>
      <c r="T1157" s="19">
        <f t="shared" si="249"/>
        <v>0</v>
      </c>
      <c r="U1157" s="2">
        <v>17.989999999999998</v>
      </c>
      <c r="V1157" s="19">
        <f t="shared" si="250"/>
        <v>17.989999999999998</v>
      </c>
      <c r="W1157" s="19">
        <f t="shared" si="251"/>
        <v>17.989999999999998</v>
      </c>
      <c r="X1157" s="19" t="str">
        <f t="shared" si="252"/>
        <v>True</v>
      </c>
      <c r="Y1157" s="19" t="str">
        <f>IF(OR(W1157&lt;'Cleaning Tasks'!$G$18,W1157&gt;'Cleaning Tasks'!$H$18),"Outlier","Normal")</f>
        <v>Normal</v>
      </c>
      <c r="Z1157" s="2" t="s">
        <v>49</v>
      </c>
      <c r="AA1157" s="2" t="s">
        <v>40</v>
      </c>
      <c r="AB1157" s="2" t="s">
        <v>28</v>
      </c>
      <c r="AC1157" s="2" t="s">
        <v>73</v>
      </c>
      <c r="AD1157" s="2"/>
      <c r="AE1157" s="2" t="str">
        <f t="shared" si="253"/>
        <v>Not Required</v>
      </c>
      <c r="AF1157" s="2" t="s">
        <v>3334</v>
      </c>
    </row>
    <row r="1158" spans="1:32" x14ac:dyDescent="0.3">
      <c r="A1158" s="2" t="s">
        <v>3335</v>
      </c>
      <c r="B1158" s="2">
        <f t="shared" si="243"/>
        <v>1</v>
      </c>
      <c r="C1158" s="12">
        <f t="shared" si="242"/>
        <v>46238.586937523149</v>
      </c>
      <c r="D1158" s="13">
        <v>46238.586937523149</v>
      </c>
      <c r="E1158" s="2" t="s">
        <v>2009</v>
      </c>
      <c r="F1158" s="2" t="str">
        <f t="shared" si="244"/>
        <v>Missing Email</v>
      </c>
      <c r="G1158" s="2"/>
      <c r="H1158" s="2" t="s">
        <v>56</v>
      </c>
      <c r="I1158" s="2" t="s">
        <v>22</v>
      </c>
      <c r="J1158" s="2" t="s">
        <v>57</v>
      </c>
      <c r="K1158" s="2">
        <v>2</v>
      </c>
      <c r="L1158" s="2">
        <v>9.99</v>
      </c>
      <c r="M1158" s="19">
        <f t="shared" si="245"/>
        <v>9.99</v>
      </c>
      <c r="N1158" s="2" t="s">
        <v>38</v>
      </c>
      <c r="O1158" s="2" t="str">
        <f t="shared" si="246"/>
        <v>FREESHIP</v>
      </c>
      <c r="P1158" s="2">
        <v>0</v>
      </c>
      <c r="Q1158" s="19">
        <f t="shared" si="247"/>
        <v>0</v>
      </c>
      <c r="R1158" s="2" t="str">
        <f t="shared" si="248"/>
        <v>Number</v>
      </c>
      <c r="S1158" s="2">
        <v>0</v>
      </c>
      <c r="T1158" s="19">
        <f t="shared" si="249"/>
        <v>0</v>
      </c>
      <c r="U1158" s="2">
        <v>19.98</v>
      </c>
      <c r="V1158" s="19">
        <f t="shared" si="250"/>
        <v>19.98</v>
      </c>
      <c r="W1158" s="19">
        <f t="shared" si="251"/>
        <v>19.98</v>
      </c>
      <c r="X1158" s="19" t="str">
        <f t="shared" si="252"/>
        <v>True</v>
      </c>
      <c r="Y1158" s="19" t="str">
        <f>IF(OR(W1158&lt;'Cleaning Tasks'!$G$18,W1158&gt;'Cleaning Tasks'!$H$18),"Outlier","Normal")</f>
        <v>Normal</v>
      </c>
      <c r="Z1158" s="2" t="s">
        <v>39</v>
      </c>
      <c r="AA1158" s="2" t="s">
        <v>27</v>
      </c>
      <c r="AB1158" s="2" t="s">
        <v>50</v>
      </c>
      <c r="AC1158" s="2" t="s">
        <v>29</v>
      </c>
      <c r="AD1158" s="2" t="s">
        <v>51</v>
      </c>
      <c r="AE1158" s="2" t="str">
        <f t="shared" si="253"/>
        <v>Valid</v>
      </c>
      <c r="AF1158" s="2" t="s">
        <v>3336</v>
      </c>
    </row>
    <row r="1159" spans="1:32" x14ac:dyDescent="0.3">
      <c r="A1159" s="2" t="s">
        <v>3337</v>
      </c>
      <c r="B1159" s="2">
        <f t="shared" si="243"/>
        <v>1</v>
      </c>
      <c r="C1159" s="12">
        <f t="shared" si="242"/>
        <v>46238.58326028935</v>
      </c>
      <c r="D1159" s="13">
        <v>46238.58326028935</v>
      </c>
      <c r="E1159" s="2" t="s">
        <v>3338</v>
      </c>
      <c r="F1159" s="2" t="str">
        <f t="shared" si="244"/>
        <v>Email Available</v>
      </c>
      <c r="G1159" s="2" t="s">
        <v>3339</v>
      </c>
      <c r="H1159" s="2" t="s">
        <v>267</v>
      </c>
      <c r="I1159" s="2" t="s">
        <v>22</v>
      </c>
      <c r="J1159" s="2" t="s">
        <v>268</v>
      </c>
      <c r="K1159" s="2">
        <v>2</v>
      </c>
      <c r="L1159" s="2">
        <v>18.989999999999998</v>
      </c>
      <c r="M1159" s="19">
        <f t="shared" si="245"/>
        <v>18.989999999999998</v>
      </c>
      <c r="N1159" s="2"/>
      <c r="O1159" s="2" t="str">
        <f t="shared" si="246"/>
        <v/>
      </c>
      <c r="P1159" s="2">
        <v>0</v>
      </c>
      <c r="Q1159" s="19">
        <f t="shared" si="247"/>
        <v>0</v>
      </c>
      <c r="R1159" s="2" t="str">
        <f t="shared" si="248"/>
        <v>Number</v>
      </c>
      <c r="S1159" s="2">
        <v>7.99</v>
      </c>
      <c r="T1159" s="19">
        <f t="shared" si="249"/>
        <v>7.99</v>
      </c>
      <c r="U1159" s="2">
        <v>45.97</v>
      </c>
      <c r="V1159" s="19">
        <f t="shared" si="250"/>
        <v>45.97</v>
      </c>
      <c r="W1159" s="19">
        <f t="shared" si="251"/>
        <v>45.97</v>
      </c>
      <c r="X1159" s="19" t="str">
        <f t="shared" si="252"/>
        <v>True</v>
      </c>
      <c r="Y1159" s="19" t="str">
        <f>IF(OR(W1159&lt;'Cleaning Tasks'!$G$18,W1159&gt;'Cleaning Tasks'!$H$18),"Outlier","Normal")</f>
        <v>Normal</v>
      </c>
      <c r="Z1159" s="2" t="s">
        <v>39</v>
      </c>
      <c r="AA1159" s="2" t="s">
        <v>111</v>
      </c>
      <c r="AB1159" s="2" t="s">
        <v>41</v>
      </c>
      <c r="AC1159" s="2" t="s">
        <v>331</v>
      </c>
      <c r="AD1159" s="2"/>
      <c r="AE1159" s="2" t="str">
        <f t="shared" si="253"/>
        <v>Not Required</v>
      </c>
      <c r="AF1159" s="2" t="s">
        <v>3340</v>
      </c>
    </row>
    <row r="1160" spans="1:32" x14ac:dyDescent="0.3">
      <c r="A1160" s="2" t="s">
        <v>3341</v>
      </c>
      <c r="B1160" s="2">
        <f t="shared" si="243"/>
        <v>1</v>
      </c>
      <c r="C1160" s="12">
        <f t="shared" si="242"/>
        <v>46238.583070983797</v>
      </c>
      <c r="D1160" s="13">
        <v>46238.583070983797</v>
      </c>
      <c r="E1160" s="2" t="s">
        <v>481</v>
      </c>
      <c r="F1160" s="2" t="str">
        <f t="shared" si="244"/>
        <v>Email Available</v>
      </c>
      <c r="G1160" s="2" t="s">
        <v>482</v>
      </c>
      <c r="H1160" s="2" t="s">
        <v>279</v>
      </c>
      <c r="I1160" s="2" t="s">
        <v>22</v>
      </c>
      <c r="J1160" s="2" t="s">
        <v>280</v>
      </c>
      <c r="K1160" s="2">
        <v>1</v>
      </c>
      <c r="L1160" s="2">
        <v>24.99</v>
      </c>
      <c r="M1160" s="19">
        <f t="shared" si="245"/>
        <v>24.99</v>
      </c>
      <c r="N1160" s="2"/>
      <c r="O1160" s="2" t="str">
        <f t="shared" si="246"/>
        <v/>
      </c>
      <c r="P1160" s="2">
        <v>0</v>
      </c>
      <c r="Q1160" s="19">
        <f t="shared" si="247"/>
        <v>0</v>
      </c>
      <c r="R1160" s="2" t="str">
        <f t="shared" si="248"/>
        <v>Number</v>
      </c>
      <c r="S1160" s="2">
        <v>4.99</v>
      </c>
      <c r="T1160" s="19">
        <f t="shared" si="249"/>
        <v>4.99</v>
      </c>
      <c r="U1160" s="2">
        <v>29.98</v>
      </c>
      <c r="V1160" s="19">
        <f t="shared" si="250"/>
        <v>29.98</v>
      </c>
      <c r="W1160" s="19">
        <f t="shared" si="251"/>
        <v>29.979999999999997</v>
      </c>
      <c r="X1160" s="19" t="str">
        <f t="shared" si="252"/>
        <v>True</v>
      </c>
      <c r="Y1160" s="19" t="str">
        <f>IF(OR(W1160&lt;'Cleaning Tasks'!$G$18,W1160&gt;'Cleaning Tasks'!$H$18),"Outlier","Normal")</f>
        <v>Normal</v>
      </c>
      <c r="Z1160" s="2" t="s">
        <v>39</v>
      </c>
      <c r="AA1160" s="2" t="s">
        <v>111</v>
      </c>
      <c r="AB1160" s="2" t="s">
        <v>50</v>
      </c>
      <c r="AC1160" s="2" t="s">
        <v>29</v>
      </c>
      <c r="AD1160" s="2" t="s">
        <v>30</v>
      </c>
      <c r="AE1160" s="2" t="str">
        <f t="shared" si="253"/>
        <v>Valid</v>
      </c>
      <c r="AF1160" s="2" t="s">
        <v>3342</v>
      </c>
    </row>
    <row r="1161" spans="1:32" x14ac:dyDescent="0.3">
      <c r="A1161" s="2" t="s">
        <v>3343</v>
      </c>
      <c r="B1161" s="2">
        <f t="shared" si="243"/>
        <v>1</v>
      </c>
      <c r="C1161" s="12">
        <f t="shared" si="242"/>
        <v>46238</v>
      </c>
      <c r="D1161" s="13">
        <v>46238</v>
      </c>
      <c r="E1161" s="2" t="s">
        <v>425</v>
      </c>
      <c r="F1161" s="2" t="str">
        <f t="shared" si="244"/>
        <v>Email Available</v>
      </c>
      <c r="G1161" s="2" t="s">
        <v>426</v>
      </c>
      <c r="H1161" s="2" t="s">
        <v>236</v>
      </c>
      <c r="I1161" s="2" t="s">
        <v>237</v>
      </c>
      <c r="J1161" s="2" t="s">
        <v>238</v>
      </c>
      <c r="K1161" s="2">
        <v>1</v>
      </c>
      <c r="L1161" s="2">
        <v>27.99</v>
      </c>
      <c r="M1161" s="19">
        <f t="shared" si="245"/>
        <v>27.99</v>
      </c>
      <c r="N1161" s="2" t="s">
        <v>38</v>
      </c>
      <c r="O1161" s="2" t="str">
        <f t="shared" si="246"/>
        <v>FREESHIP</v>
      </c>
      <c r="P1161" s="2">
        <v>0</v>
      </c>
      <c r="Q1161" s="19">
        <f t="shared" si="247"/>
        <v>0</v>
      </c>
      <c r="R1161" s="2" t="str">
        <f t="shared" si="248"/>
        <v>Number</v>
      </c>
      <c r="S1161" s="2">
        <v>0</v>
      </c>
      <c r="T1161" s="19">
        <f t="shared" si="249"/>
        <v>0</v>
      </c>
      <c r="U1161" s="2" t="s">
        <v>1512</v>
      </c>
      <c r="V1161" s="19">
        <f t="shared" si="250"/>
        <v>27.99</v>
      </c>
      <c r="W1161" s="19">
        <f t="shared" si="251"/>
        <v>27.99</v>
      </c>
      <c r="X1161" s="19" t="str">
        <f t="shared" si="252"/>
        <v>True</v>
      </c>
      <c r="Y1161" s="19" t="str">
        <f>IF(OR(W1161&lt;'Cleaning Tasks'!$G$18,W1161&gt;'Cleaning Tasks'!$H$18),"Outlier","Normal")</f>
        <v>Normal</v>
      </c>
      <c r="Z1161" s="2" t="s">
        <v>66</v>
      </c>
      <c r="AA1161" s="2" t="s">
        <v>111</v>
      </c>
      <c r="AB1161" s="2" t="s">
        <v>50</v>
      </c>
      <c r="AC1161" s="2" t="s">
        <v>331</v>
      </c>
      <c r="AD1161" s="2"/>
      <c r="AE1161" s="2" t="str">
        <f t="shared" si="253"/>
        <v>Not Required</v>
      </c>
      <c r="AF1161" s="2" t="s">
        <v>3344</v>
      </c>
    </row>
    <row r="1162" spans="1:32" x14ac:dyDescent="0.3">
      <c r="A1162" s="2" t="s">
        <v>3345</v>
      </c>
      <c r="B1162" s="2">
        <f t="shared" si="243"/>
        <v>1</v>
      </c>
      <c r="C1162" s="12">
        <f t="shared" si="242"/>
        <v>46238.581500231478</v>
      </c>
      <c r="D1162" s="13">
        <v>46238.581500231478</v>
      </c>
      <c r="E1162" s="2" t="s">
        <v>3346</v>
      </c>
      <c r="F1162" s="2" t="str">
        <f t="shared" si="244"/>
        <v>Email Available</v>
      </c>
      <c r="G1162" s="2" t="s">
        <v>3347</v>
      </c>
      <c r="H1162" s="2" t="s">
        <v>279</v>
      </c>
      <c r="I1162" s="2" t="s">
        <v>22</v>
      </c>
      <c r="J1162" s="2" t="s">
        <v>280</v>
      </c>
      <c r="K1162" s="2">
        <v>1</v>
      </c>
      <c r="L1162" s="2">
        <v>24.99</v>
      </c>
      <c r="M1162" s="19">
        <f t="shared" si="245"/>
        <v>24.99</v>
      </c>
      <c r="N1162" s="2"/>
      <c r="O1162" s="2" t="str">
        <f t="shared" si="246"/>
        <v/>
      </c>
      <c r="P1162" s="2">
        <v>0</v>
      </c>
      <c r="Q1162" s="19">
        <f t="shared" si="247"/>
        <v>0</v>
      </c>
      <c r="R1162" s="2" t="str">
        <f t="shared" si="248"/>
        <v>Number</v>
      </c>
      <c r="S1162" s="2">
        <v>5.99</v>
      </c>
      <c r="T1162" s="19">
        <f t="shared" si="249"/>
        <v>5.99</v>
      </c>
      <c r="U1162" s="2">
        <v>30.98</v>
      </c>
      <c r="V1162" s="19">
        <f t="shared" si="250"/>
        <v>30.98</v>
      </c>
      <c r="W1162" s="19">
        <f t="shared" si="251"/>
        <v>30.979999999999997</v>
      </c>
      <c r="X1162" s="19" t="str">
        <f t="shared" si="252"/>
        <v>True</v>
      </c>
      <c r="Y1162" s="19" t="str">
        <f>IF(OR(W1162&lt;'Cleaning Tasks'!$G$18,W1162&gt;'Cleaning Tasks'!$H$18),"Outlier","Normal")</f>
        <v>Normal</v>
      </c>
      <c r="Z1162" s="2" t="s">
        <v>26</v>
      </c>
      <c r="AA1162" s="2" t="s">
        <v>40</v>
      </c>
      <c r="AB1162" s="2" t="s">
        <v>50</v>
      </c>
      <c r="AC1162" s="2" t="s">
        <v>73</v>
      </c>
      <c r="AD1162" s="2"/>
      <c r="AE1162" s="2" t="str">
        <f t="shared" si="253"/>
        <v>Not Required</v>
      </c>
      <c r="AF1162" s="2" t="s">
        <v>3348</v>
      </c>
    </row>
    <row r="1163" spans="1:32" x14ac:dyDescent="0.3">
      <c r="A1163" s="2" t="s">
        <v>3349</v>
      </c>
      <c r="B1163" s="2">
        <f t="shared" si="243"/>
        <v>1</v>
      </c>
      <c r="C1163" s="12">
        <f t="shared" si="242"/>
        <v>46238.580397175923</v>
      </c>
      <c r="D1163" s="13">
        <v>46238.580397175923</v>
      </c>
      <c r="E1163" s="2" t="s">
        <v>1349</v>
      </c>
      <c r="F1163" s="2" t="str">
        <f t="shared" si="244"/>
        <v>Email Available</v>
      </c>
      <c r="G1163" s="2" t="s">
        <v>1350</v>
      </c>
      <c r="H1163" s="2" t="s">
        <v>279</v>
      </c>
      <c r="I1163" s="2" t="s">
        <v>22</v>
      </c>
      <c r="J1163" s="2" t="s">
        <v>280</v>
      </c>
      <c r="K1163" s="2">
        <v>2</v>
      </c>
      <c r="L1163" s="2">
        <v>24.99</v>
      </c>
      <c r="M1163" s="19">
        <f t="shared" si="245"/>
        <v>24.99</v>
      </c>
      <c r="N1163" s="2" t="s">
        <v>24</v>
      </c>
      <c r="O1163" s="2" t="str">
        <f t="shared" si="246"/>
        <v>SAVE20</v>
      </c>
      <c r="P1163" s="2">
        <v>10</v>
      </c>
      <c r="Q1163" s="19">
        <f t="shared" si="247"/>
        <v>10</v>
      </c>
      <c r="R1163" s="2" t="str">
        <f t="shared" si="248"/>
        <v>Number</v>
      </c>
      <c r="S1163" s="2">
        <v>5.99</v>
      </c>
      <c r="T1163" s="19">
        <f t="shared" si="249"/>
        <v>5.99</v>
      </c>
      <c r="U1163" s="2">
        <v>45.97</v>
      </c>
      <c r="V1163" s="19">
        <f t="shared" si="250"/>
        <v>45.97</v>
      </c>
      <c r="W1163" s="19">
        <f t="shared" si="251"/>
        <v>45.97</v>
      </c>
      <c r="X1163" s="19" t="str">
        <f t="shared" si="252"/>
        <v>True</v>
      </c>
      <c r="Y1163" s="19" t="str">
        <f>IF(OR(W1163&lt;'Cleaning Tasks'!$G$18,W1163&gt;'Cleaning Tasks'!$H$18),"Outlier","Normal")</f>
        <v>Normal</v>
      </c>
      <c r="Z1163" s="2" t="s">
        <v>39</v>
      </c>
      <c r="AA1163" s="2" t="s">
        <v>88</v>
      </c>
      <c r="AB1163" s="2" t="s">
        <v>50</v>
      </c>
      <c r="AC1163" s="2" t="s">
        <v>42</v>
      </c>
      <c r="AD1163" s="2"/>
      <c r="AE1163" s="2" t="str">
        <f t="shared" si="253"/>
        <v>Not Required</v>
      </c>
      <c r="AF1163" s="2" t="s">
        <v>3350</v>
      </c>
    </row>
    <row r="1164" spans="1:32" x14ac:dyDescent="0.3">
      <c r="A1164" s="2" t="s">
        <v>3351</v>
      </c>
      <c r="B1164" s="2">
        <f t="shared" si="243"/>
        <v>1</v>
      </c>
      <c r="C1164" s="12">
        <f t="shared" si="242"/>
        <v>46238.586516388888</v>
      </c>
      <c r="D1164" s="13">
        <v>46238.586516388888</v>
      </c>
      <c r="E1164" s="2" t="s">
        <v>366</v>
      </c>
      <c r="F1164" s="2" t="str">
        <f t="shared" si="244"/>
        <v>Email Available</v>
      </c>
      <c r="G1164" s="2" t="s">
        <v>367</v>
      </c>
      <c r="H1164" s="2" t="s">
        <v>152</v>
      </c>
      <c r="I1164" s="2" t="s">
        <v>36</v>
      </c>
      <c r="J1164" s="2" t="s">
        <v>153</v>
      </c>
      <c r="K1164" s="2">
        <v>2</v>
      </c>
      <c r="L1164" s="2">
        <v>29.99</v>
      </c>
      <c r="M1164" s="19">
        <f t="shared" si="245"/>
        <v>29.99</v>
      </c>
      <c r="N1164" s="2"/>
      <c r="O1164" s="2" t="str">
        <f t="shared" si="246"/>
        <v/>
      </c>
      <c r="P1164" s="2">
        <v>0</v>
      </c>
      <c r="Q1164" s="19">
        <f t="shared" si="247"/>
        <v>0</v>
      </c>
      <c r="R1164" s="2" t="str">
        <f t="shared" si="248"/>
        <v>Number</v>
      </c>
      <c r="S1164" s="2">
        <v>5.99</v>
      </c>
      <c r="T1164" s="19">
        <f t="shared" si="249"/>
        <v>5.99</v>
      </c>
      <c r="U1164" s="2">
        <v>65.97</v>
      </c>
      <c r="V1164" s="19">
        <f t="shared" si="250"/>
        <v>65.97</v>
      </c>
      <c r="W1164" s="19">
        <f t="shared" si="251"/>
        <v>65.97</v>
      </c>
      <c r="X1164" s="19" t="str">
        <f t="shared" si="252"/>
        <v>True</v>
      </c>
      <c r="Y1164" s="19" t="str">
        <f>IF(OR(W1164&lt;'Cleaning Tasks'!$G$18,W1164&gt;'Cleaning Tasks'!$H$18),"Outlier","Normal")</f>
        <v>Normal</v>
      </c>
      <c r="Z1164" s="2" t="s">
        <v>66</v>
      </c>
      <c r="AA1164" s="2" t="s">
        <v>27</v>
      </c>
      <c r="AB1164" s="2" t="s">
        <v>50</v>
      </c>
      <c r="AC1164" s="2" t="s">
        <v>331</v>
      </c>
      <c r="AD1164" s="2"/>
      <c r="AE1164" s="2" t="str">
        <f t="shared" si="253"/>
        <v>Not Required</v>
      </c>
      <c r="AF1164" s="2" t="s">
        <v>3352</v>
      </c>
    </row>
    <row r="1165" spans="1:32" x14ac:dyDescent="0.3">
      <c r="A1165" s="2" t="s">
        <v>3353</v>
      </c>
      <c r="B1165" s="2">
        <f t="shared" si="243"/>
        <v>1</v>
      </c>
      <c r="C1165" s="12">
        <f t="shared" si="242"/>
        <v>46238.57889863426</v>
      </c>
      <c r="D1165" s="13">
        <v>46238.57889863426</v>
      </c>
      <c r="E1165" s="2" t="s">
        <v>760</v>
      </c>
      <c r="F1165" s="2" t="str">
        <f t="shared" si="244"/>
        <v>Email Available</v>
      </c>
      <c r="G1165" s="2" t="s">
        <v>761</v>
      </c>
      <c r="H1165" s="2" t="s">
        <v>261</v>
      </c>
      <c r="I1165" s="2" t="s">
        <v>36</v>
      </c>
      <c r="J1165" s="2" t="s">
        <v>262</v>
      </c>
      <c r="K1165" s="2">
        <v>2</v>
      </c>
      <c r="L1165" s="2">
        <v>15.49</v>
      </c>
      <c r="M1165" s="19">
        <f t="shared" si="245"/>
        <v>15.49</v>
      </c>
      <c r="N1165" s="2" t="s">
        <v>24</v>
      </c>
      <c r="O1165" s="2" t="str">
        <f t="shared" si="246"/>
        <v>SAVE20</v>
      </c>
      <c r="P1165" s="2">
        <v>6.2</v>
      </c>
      <c r="Q1165" s="19">
        <f t="shared" si="247"/>
        <v>6.2</v>
      </c>
      <c r="R1165" s="2" t="str">
        <f t="shared" si="248"/>
        <v>Number</v>
      </c>
      <c r="S1165" s="2">
        <v>4.99</v>
      </c>
      <c r="T1165" s="19">
        <f t="shared" si="249"/>
        <v>4.99</v>
      </c>
      <c r="U1165" s="2">
        <v>29.77</v>
      </c>
      <c r="V1165" s="19">
        <f t="shared" si="250"/>
        <v>29.77</v>
      </c>
      <c r="W1165" s="19">
        <f t="shared" si="251"/>
        <v>29.770000000000003</v>
      </c>
      <c r="X1165" s="19" t="str">
        <f t="shared" si="252"/>
        <v>True</v>
      </c>
      <c r="Y1165" s="19" t="str">
        <f>IF(OR(W1165&lt;'Cleaning Tasks'!$G$18,W1165&gt;'Cleaning Tasks'!$H$18),"Outlier","Normal")</f>
        <v>Normal</v>
      </c>
      <c r="Z1165" s="2" t="s">
        <v>49</v>
      </c>
      <c r="AA1165" s="2" t="s">
        <v>111</v>
      </c>
      <c r="AB1165" s="2" t="s">
        <v>50</v>
      </c>
      <c r="AC1165" s="2" t="s">
        <v>29</v>
      </c>
      <c r="AD1165" s="2" t="s">
        <v>51</v>
      </c>
      <c r="AE1165" s="2" t="str">
        <f t="shared" si="253"/>
        <v>Valid</v>
      </c>
      <c r="AF1165" s="2" t="s">
        <v>3354</v>
      </c>
    </row>
    <row r="1166" spans="1:32" x14ac:dyDescent="0.3">
      <c r="A1166" s="2" t="s">
        <v>3355</v>
      </c>
      <c r="B1166" s="2">
        <f t="shared" si="243"/>
        <v>1</v>
      </c>
      <c r="C1166" s="12">
        <f t="shared" si="242"/>
        <v>46238.580955057871</v>
      </c>
      <c r="D1166" s="13">
        <v>46238.580955057871</v>
      </c>
      <c r="E1166" s="2" t="s">
        <v>1424</v>
      </c>
      <c r="F1166" s="2" t="str">
        <f t="shared" si="244"/>
        <v>Email Available</v>
      </c>
      <c r="G1166" s="2" t="s">
        <v>1425</v>
      </c>
      <c r="H1166" s="2" t="s">
        <v>78</v>
      </c>
      <c r="I1166" s="2" t="s">
        <v>79</v>
      </c>
      <c r="J1166" s="2" t="s">
        <v>80</v>
      </c>
      <c r="K1166" s="2">
        <v>1</v>
      </c>
      <c r="L1166" s="2">
        <v>89.99</v>
      </c>
      <c r="M1166" s="19">
        <f t="shared" si="245"/>
        <v>89.99</v>
      </c>
      <c r="N1166" s="2"/>
      <c r="O1166" s="2" t="str">
        <f t="shared" si="246"/>
        <v/>
      </c>
      <c r="P1166" s="2">
        <v>0</v>
      </c>
      <c r="Q1166" s="19">
        <f t="shared" si="247"/>
        <v>0</v>
      </c>
      <c r="R1166" s="2" t="str">
        <f t="shared" si="248"/>
        <v>Number</v>
      </c>
      <c r="S1166" s="2">
        <v>0</v>
      </c>
      <c r="T1166" s="19">
        <f t="shared" si="249"/>
        <v>0</v>
      </c>
      <c r="U1166" s="2">
        <v>89.99</v>
      </c>
      <c r="V1166" s="19">
        <f t="shared" si="250"/>
        <v>89.99</v>
      </c>
      <c r="W1166" s="19">
        <f t="shared" si="251"/>
        <v>89.99</v>
      </c>
      <c r="X1166" s="19" t="str">
        <f t="shared" si="252"/>
        <v>True</v>
      </c>
      <c r="Y1166" s="19" t="str">
        <f>IF(OR(W1166&lt;'Cleaning Tasks'!$G$18,W1166&gt;'Cleaning Tasks'!$H$18),"Outlier","Normal")</f>
        <v>Outlier</v>
      </c>
      <c r="Z1166" s="2" t="s">
        <v>26</v>
      </c>
      <c r="AA1166" s="2" t="s">
        <v>111</v>
      </c>
      <c r="AB1166" s="2" t="s">
        <v>50</v>
      </c>
      <c r="AC1166" s="2" t="s">
        <v>29</v>
      </c>
      <c r="AD1166" s="2" t="s">
        <v>447</v>
      </c>
      <c r="AE1166" s="2" t="str">
        <f t="shared" si="253"/>
        <v>Valid</v>
      </c>
      <c r="AF1166" s="2" t="s">
        <v>611</v>
      </c>
    </row>
    <row r="1167" spans="1:32" x14ac:dyDescent="0.3">
      <c r="A1167" s="2" t="s">
        <v>3356</v>
      </c>
      <c r="B1167" s="2">
        <f t="shared" si="243"/>
        <v>1</v>
      </c>
      <c r="C1167" s="12">
        <f t="shared" si="242"/>
        <v>46238.582832523149</v>
      </c>
      <c r="D1167" s="13">
        <v>46238.582832523149</v>
      </c>
      <c r="E1167" s="2" t="s">
        <v>2160</v>
      </c>
      <c r="F1167" s="2" t="str">
        <f t="shared" si="244"/>
        <v>Email Available</v>
      </c>
      <c r="G1167" s="2" t="s">
        <v>2768</v>
      </c>
      <c r="H1167" s="2" t="s">
        <v>236</v>
      </c>
      <c r="I1167" s="2" t="s">
        <v>237</v>
      </c>
      <c r="J1167" s="2" t="s">
        <v>238</v>
      </c>
      <c r="K1167" s="2">
        <v>3</v>
      </c>
      <c r="L1167" s="2">
        <v>27.99</v>
      </c>
      <c r="M1167" s="19">
        <f t="shared" si="245"/>
        <v>27.99</v>
      </c>
      <c r="N1167" s="2"/>
      <c r="O1167" s="2" t="str">
        <f t="shared" si="246"/>
        <v/>
      </c>
      <c r="P1167" s="2">
        <v>0</v>
      </c>
      <c r="Q1167" s="19">
        <f t="shared" si="247"/>
        <v>0</v>
      </c>
      <c r="R1167" s="2" t="str">
        <f t="shared" si="248"/>
        <v>Number</v>
      </c>
      <c r="S1167" s="2">
        <v>0</v>
      </c>
      <c r="T1167" s="19">
        <f t="shared" si="249"/>
        <v>0</v>
      </c>
      <c r="U1167" s="2">
        <v>83.97</v>
      </c>
      <c r="V1167" s="19">
        <f t="shared" si="250"/>
        <v>83.97</v>
      </c>
      <c r="W1167" s="19">
        <f t="shared" si="251"/>
        <v>83.97</v>
      </c>
      <c r="X1167" s="19" t="str">
        <f t="shared" si="252"/>
        <v>True</v>
      </c>
      <c r="Y1167" s="19" t="str">
        <f>IF(OR(W1167&lt;'Cleaning Tasks'!$G$18,W1167&gt;'Cleaning Tasks'!$H$18),"Outlier","Normal")</f>
        <v>Outlier</v>
      </c>
      <c r="Z1167" s="2" t="s">
        <v>26</v>
      </c>
      <c r="AA1167" s="2" t="s">
        <v>40</v>
      </c>
      <c r="AB1167" s="2" t="s">
        <v>50</v>
      </c>
      <c r="AC1167" s="2" t="s">
        <v>29</v>
      </c>
      <c r="AD1167" s="22" t="s">
        <v>89</v>
      </c>
      <c r="AE1167" s="2" t="str">
        <f t="shared" si="253"/>
        <v>Valid</v>
      </c>
      <c r="AF1167" s="2" t="s">
        <v>3357</v>
      </c>
    </row>
    <row r="1168" spans="1:32" x14ac:dyDescent="0.3">
      <c r="A1168" s="2" t="s">
        <v>3358</v>
      </c>
      <c r="B1168" s="2">
        <f t="shared" si="243"/>
        <v>1</v>
      </c>
      <c r="C1168" s="12">
        <f t="shared" si="242"/>
        <v>46238.582258958333</v>
      </c>
      <c r="D1168" s="13">
        <v>46238.582258958333</v>
      </c>
      <c r="E1168" s="2" t="s">
        <v>673</v>
      </c>
      <c r="F1168" s="2" t="str">
        <f t="shared" si="244"/>
        <v>Email Available</v>
      </c>
      <c r="G1168" s="2" t="s">
        <v>674</v>
      </c>
      <c r="H1168" s="2" t="s">
        <v>182</v>
      </c>
      <c r="I1168" s="2" t="s">
        <v>36</v>
      </c>
      <c r="J1168" s="2" t="s">
        <v>183</v>
      </c>
      <c r="K1168" s="2">
        <v>1</v>
      </c>
      <c r="L1168" s="2">
        <v>11.99</v>
      </c>
      <c r="M1168" s="19">
        <f t="shared" si="245"/>
        <v>11.99</v>
      </c>
      <c r="N1168" s="2"/>
      <c r="O1168" s="2" t="str">
        <f t="shared" si="246"/>
        <v/>
      </c>
      <c r="P1168" s="2">
        <v>0</v>
      </c>
      <c r="Q1168" s="19">
        <f t="shared" si="247"/>
        <v>0</v>
      </c>
      <c r="R1168" s="2" t="str">
        <f t="shared" si="248"/>
        <v>Number</v>
      </c>
      <c r="S1168" s="2">
        <v>5.99</v>
      </c>
      <c r="T1168" s="19">
        <f t="shared" si="249"/>
        <v>5.99</v>
      </c>
      <c r="U1168" s="2">
        <v>17.98</v>
      </c>
      <c r="V1168" s="19">
        <f t="shared" si="250"/>
        <v>17.98</v>
      </c>
      <c r="W1168" s="19">
        <f t="shared" si="251"/>
        <v>17.98</v>
      </c>
      <c r="X1168" s="19" t="str">
        <f t="shared" si="252"/>
        <v>True</v>
      </c>
      <c r="Y1168" s="19" t="str">
        <f>IF(OR(W1168&lt;'Cleaning Tasks'!$G$18,W1168&gt;'Cleaning Tasks'!$H$18),"Outlier","Normal")</f>
        <v>Normal</v>
      </c>
      <c r="Z1168" s="2" t="s">
        <v>72</v>
      </c>
      <c r="AA1168" s="2" t="s">
        <v>27</v>
      </c>
      <c r="AB1168" s="2" t="s">
        <v>96</v>
      </c>
      <c r="AC1168" s="2" t="s">
        <v>73</v>
      </c>
      <c r="AD1168" s="2"/>
      <c r="AE1168" s="2" t="str">
        <f t="shared" si="253"/>
        <v>Not Required</v>
      </c>
      <c r="AF1168" s="2" t="s">
        <v>3359</v>
      </c>
    </row>
    <row r="1169" spans="1:32" x14ac:dyDescent="0.3">
      <c r="A1169" s="2" t="s">
        <v>3360</v>
      </c>
      <c r="B1169" s="2">
        <f t="shared" si="243"/>
        <v>1</v>
      </c>
      <c r="C1169" s="12">
        <f t="shared" si="242"/>
        <v>46238.578923067129</v>
      </c>
      <c r="D1169" s="13">
        <v>46238.578923067129</v>
      </c>
      <c r="E1169" s="2" t="s">
        <v>122</v>
      </c>
      <c r="F1169" s="2" t="str">
        <f t="shared" si="244"/>
        <v>Missing Email</v>
      </c>
      <c r="G1169" s="2"/>
      <c r="H1169" s="2" t="s">
        <v>63</v>
      </c>
      <c r="I1169" s="2" t="s">
        <v>47</v>
      </c>
      <c r="J1169" s="2" t="s">
        <v>64</v>
      </c>
      <c r="K1169" s="2">
        <v>1</v>
      </c>
      <c r="L1169" s="2" t="s">
        <v>1465</v>
      </c>
      <c r="M1169" s="19">
        <f t="shared" si="245"/>
        <v>14.99</v>
      </c>
      <c r="N1169" s="2" t="s">
        <v>203</v>
      </c>
      <c r="O1169" s="2" t="str">
        <f t="shared" si="246"/>
        <v>VIP15</v>
      </c>
      <c r="P1169" s="2">
        <v>2.25</v>
      </c>
      <c r="Q1169" s="19">
        <f t="shared" si="247"/>
        <v>2.25</v>
      </c>
      <c r="R1169" s="2" t="str">
        <f t="shared" si="248"/>
        <v>Number</v>
      </c>
      <c r="S1169" s="2">
        <v>7.99</v>
      </c>
      <c r="T1169" s="19">
        <f t="shared" si="249"/>
        <v>7.99</v>
      </c>
      <c r="U1169" s="2">
        <v>20.73</v>
      </c>
      <c r="V1169" s="19">
        <f t="shared" si="250"/>
        <v>20.73</v>
      </c>
      <c r="W1169" s="19">
        <f t="shared" si="251"/>
        <v>20.73</v>
      </c>
      <c r="X1169" s="19" t="str">
        <f t="shared" si="252"/>
        <v>True</v>
      </c>
      <c r="Y1169" s="19" t="str">
        <f>IF(OR(W1169&lt;'Cleaning Tasks'!$G$18,W1169&gt;'Cleaning Tasks'!$H$18),"Outlier","Normal")</f>
        <v>Normal</v>
      </c>
      <c r="Z1169" s="2" t="s">
        <v>26</v>
      </c>
      <c r="AA1169" s="2" t="s">
        <v>27</v>
      </c>
      <c r="AB1169" s="2" t="s">
        <v>50</v>
      </c>
      <c r="AC1169" s="2" t="s">
        <v>42</v>
      </c>
      <c r="AD1169" s="2"/>
      <c r="AE1169" s="2" t="str">
        <f t="shared" si="253"/>
        <v>Not Required</v>
      </c>
      <c r="AF1169" s="2" t="s">
        <v>3361</v>
      </c>
    </row>
    <row r="1170" spans="1:32" x14ac:dyDescent="0.3">
      <c r="A1170" s="2" t="s">
        <v>3362</v>
      </c>
      <c r="B1170" s="2">
        <f t="shared" si="243"/>
        <v>1</v>
      </c>
      <c r="C1170" s="12">
        <f t="shared" si="242"/>
        <v>46238.586203217586</v>
      </c>
      <c r="D1170" s="13">
        <v>46238.586203217586</v>
      </c>
      <c r="E1170" s="2" t="s">
        <v>251</v>
      </c>
      <c r="F1170" s="2" t="str">
        <f t="shared" si="244"/>
        <v>Email Available</v>
      </c>
      <c r="G1170" s="2" t="s">
        <v>344</v>
      </c>
      <c r="H1170" s="2" t="s">
        <v>46</v>
      </c>
      <c r="I1170" s="2" t="s">
        <v>47</v>
      </c>
      <c r="J1170" s="2" t="s">
        <v>48</v>
      </c>
      <c r="K1170" s="2">
        <v>1</v>
      </c>
      <c r="L1170" s="2">
        <v>39.99</v>
      </c>
      <c r="M1170" s="19">
        <f t="shared" si="245"/>
        <v>39.99</v>
      </c>
      <c r="N1170" s="2"/>
      <c r="O1170" s="2" t="str">
        <f t="shared" si="246"/>
        <v/>
      </c>
      <c r="P1170" s="2">
        <v>0</v>
      </c>
      <c r="Q1170" s="19">
        <f t="shared" si="247"/>
        <v>0</v>
      </c>
      <c r="R1170" s="2" t="str">
        <f t="shared" si="248"/>
        <v>Number</v>
      </c>
      <c r="S1170" s="2">
        <v>5.99</v>
      </c>
      <c r="T1170" s="19">
        <f t="shared" si="249"/>
        <v>5.99</v>
      </c>
      <c r="U1170" s="2">
        <v>45.98</v>
      </c>
      <c r="V1170" s="19">
        <f t="shared" si="250"/>
        <v>45.98</v>
      </c>
      <c r="W1170" s="19">
        <f t="shared" si="251"/>
        <v>45.980000000000004</v>
      </c>
      <c r="X1170" s="19" t="str">
        <f t="shared" si="252"/>
        <v>True</v>
      </c>
      <c r="Y1170" s="19" t="str">
        <f>IF(OR(W1170&lt;'Cleaning Tasks'!$G$18,W1170&gt;'Cleaning Tasks'!$H$18),"Outlier","Normal")</f>
        <v>Normal</v>
      </c>
      <c r="Z1170" s="2" t="s">
        <v>72</v>
      </c>
      <c r="AA1170" s="2" t="s">
        <v>40</v>
      </c>
      <c r="AB1170" s="2" t="s">
        <v>28</v>
      </c>
      <c r="AC1170" s="2" t="s">
        <v>29</v>
      </c>
      <c r="AD1170" s="2" t="s">
        <v>341</v>
      </c>
      <c r="AE1170" s="2" t="str">
        <f t="shared" si="253"/>
        <v>Valid</v>
      </c>
      <c r="AF1170" s="2" t="s">
        <v>3363</v>
      </c>
    </row>
    <row r="1171" spans="1:32" x14ac:dyDescent="0.3">
      <c r="A1171" s="2" t="s">
        <v>3364</v>
      </c>
      <c r="B1171" s="2">
        <f t="shared" si="243"/>
        <v>1</v>
      </c>
      <c r="C1171" s="12">
        <f t="shared" si="242"/>
        <v>46238</v>
      </c>
      <c r="D1171" s="13">
        <v>46238</v>
      </c>
      <c r="E1171" s="2" t="s">
        <v>366</v>
      </c>
      <c r="F1171" s="2" t="str">
        <f t="shared" si="244"/>
        <v>Missing Email</v>
      </c>
      <c r="G1171" s="2"/>
      <c r="H1171" s="2" t="s">
        <v>267</v>
      </c>
      <c r="I1171" s="2" t="s">
        <v>22</v>
      </c>
      <c r="J1171" s="2" t="s">
        <v>268</v>
      </c>
      <c r="K1171" s="2">
        <v>1</v>
      </c>
      <c r="L1171" s="2">
        <v>18.989999999999998</v>
      </c>
      <c r="M1171" s="19">
        <f t="shared" si="245"/>
        <v>18.989999999999998</v>
      </c>
      <c r="N1171" s="2" t="s">
        <v>65</v>
      </c>
      <c r="O1171" s="2" t="str">
        <f t="shared" si="246"/>
        <v>WELCOME10</v>
      </c>
      <c r="P1171" s="2">
        <v>1.9</v>
      </c>
      <c r="Q1171" s="19">
        <f t="shared" si="247"/>
        <v>1.9</v>
      </c>
      <c r="R1171" s="2" t="str">
        <f t="shared" si="248"/>
        <v>Number</v>
      </c>
      <c r="S1171" s="2">
        <v>7.99</v>
      </c>
      <c r="T1171" s="19">
        <f t="shared" si="249"/>
        <v>7.99</v>
      </c>
      <c r="U1171" s="2">
        <v>25.08</v>
      </c>
      <c r="V1171" s="19">
        <f t="shared" si="250"/>
        <v>25.08</v>
      </c>
      <c r="W1171" s="19">
        <f t="shared" si="251"/>
        <v>25.08</v>
      </c>
      <c r="X1171" s="19" t="str">
        <f t="shared" si="252"/>
        <v>True</v>
      </c>
      <c r="Y1171" s="19" t="str">
        <f>IF(OR(W1171&lt;'Cleaning Tasks'!$G$18,W1171&gt;'Cleaning Tasks'!$H$18),"Outlier","Normal")</f>
        <v>Normal</v>
      </c>
      <c r="Z1171" s="2" t="s">
        <v>66</v>
      </c>
      <c r="AA1171" s="2" t="s">
        <v>27</v>
      </c>
      <c r="AB1171" s="2" t="s">
        <v>96</v>
      </c>
      <c r="AC1171" s="2" t="s">
        <v>331</v>
      </c>
      <c r="AD1171" s="2"/>
      <c r="AE1171" s="2" t="str">
        <f t="shared" si="253"/>
        <v>Not Required</v>
      </c>
      <c r="AF1171" s="2" t="s">
        <v>3365</v>
      </c>
    </row>
    <row r="1172" spans="1:32" x14ac:dyDescent="0.3">
      <c r="A1172" s="2" t="s">
        <v>3366</v>
      </c>
      <c r="B1172" s="2">
        <f t="shared" si="243"/>
        <v>1</v>
      </c>
      <c r="C1172" s="12">
        <f t="shared" si="242"/>
        <v>46238.588756331017</v>
      </c>
      <c r="D1172" s="13">
        <v>46238.588756331017</v>
      </c>
      <c r="E1172" s="2" t="s">
        <v>2628</v>
      </c>
      <c r="F1172" s="2" t="str">
        <f t="shared" si="244"/>
        <v>Email Available</v>
      </c>
      <c r="G1172" s="2" t="s">
        <v>2629</v>
      </c>
      <c r="H1172" s="2" t="s">
        <v>190</v>
      </c>
      <c r="I1172" s="2" t="s">
        <v>191</v>
      </c>
      <c r="J1172" s="2" t="s">
        <v>192</v>
      </c>
      <c r="K1172" s="2">
        <v>1</v>
      </c>
      <c r="L1172" s="2" t="s">
        <v>944</v>
      </c>
      <c r="M1172" s="19">
        <f t="shared" si="245"/>
        <v>13.49</v>
      </c>
      <c r="N1172" s="2" t="s">
        <v>65</v>
      </c>
      <c r="O1172" s="2" t="str">
        <f t="shared" si="246"/>
        <v>WELCOME10</v>
      </c>
      <c r="P1172" s="2">
        <v>1.35</v>
      </c>
      <c r="Q1172" s="19">
        <f t="shared" si="247"/>
        <v>1.35</v>
      </c>
      <c r="R1172" s="2" t="str">
        <f t="shared" si="248"/>
        <v>Number</v>
      </c>
      <c r="S1172" s="2">
        <v>4.99</v>
      </c>
      <c r="T1172" s="19">
        <f t="shared" si="249"/>
        <v>4.99</v>
      </c>
      <c r="U1172" s="2">
        <v>17.13</v>
      </c>
      <c r="V1172" s="19">
        <f t="shared" si="250"/>
        <v>17.13</v>
      </c>
      <c r="W1172" s="19">
        <f t="shared" si="251"/>
        <v>17.130000000000003</v>
      </c>
      <c r="X1172" s="19" t="str">
        <f t="shared" si="252"/>
        <v>True</v>
      </c>
      <c r="Y1172" s="19" t="str">
        <f>IF(OR(W1172&lt;'Cleaning Tasks'!$G$18,W1172&gt;'Cleaning Tasks'!$H$18),"Outlier","Normal")</f>
        <v>Normal</v>
      </c>
      <c r="Z1172" s="2" t="s">
        <v>72</v>
      </c>
      <c r="AA1172" s="2" t="s">
        <v>27</v>
      </c>
      <c r="AB1172" s="2" t="s">
        <v>96</v>
      </c>
      <c r="AC1172" s="2" t="s">
        <v>29</v>
      </c>
      <c r="AD1172" s="2" t="s">
        <v>341</v>
      </c>
      <c r="AE1172" s="2" t="str">
        <f t="shared" si="253"/>
        <v>Valid</v>
      </c>
      <c r="AF1172" s="2" t="s">
        <v>3367</v>
      </c>
    </row>
    <row r="1173" spans="1:32" x14ac:dyDescent="0.3">
      <c r="A1173" s="2" t="s">
        <v>3368</v>
      </c>
      <c r="B1173" s="2">
        <f t="shared" si="243"/>
        <v>1</v>
      </c>
      <c r="C1173" s="12">
        <f t="shared" si="242"/>
        <v>46238.579006967593</v>
      </c>
      <c r="D1173" s="13">
        <v>46238.579006967593</v>
      </c>
      <c r="E1173" s="2" t="s">
        <v>489</v>
      </c>
      <c r="F1173" s="2" t="str">
        <f t="shared" si="244"/>
        <v>Email Available</v>
      </c>
      <c r="G1173" s="2" t="s">
        <v>490</v>
      </c>
      <c r="H1173" s="2" t="s">
        <v>309</v>
      </c>
      <c r="I1173" s="2" t="s">
        <v>36</v>
      </c>
      <c r="J1173" s="2" t="s">
        <v>310</v>
      </c>
      <c r="K1173" s="2">
        <v>1</v>
      </c>
      <c r="L1173" s="2">
        <v>8.99</v>
      </c>
      <c r="M1173" s="19">
        <f t="shared" si="245"/>
        <v>8.99</v>
      </c>
      <c r="N1173" s="2" t="s">
        <v>38</v>
      </c>
      <c r="O1173" s="2" t="str">
        <f t="shared" si="246"/>
        <v>FREESHIP</v>
      </c>
      <c r="P1173" s="2">
        <v>0</v>
      </c>
      <c r="Q1173" s="19">
        <f t="shared" si="247"/>
        <v>0</v>
      </c>
      <c r="R1173" s="2" t="str">
        <f t="shared" si="248"/>
        <v>Number</v>
      </c>
      <c r="S1173" s="2">
        <v>0</v>
      </c>
      <c r="T1173" s="19">
        <f t="shared" si="249"/>
        <v>0</v>
      </c>
      <c r="U1173" s="2">
        <v>8.99</v>
      </c>
      <c r="V1173" s="19">
        <f t="shared" si="250"/>
        <v>8.99</v>
      </c>
      <c r="W1173" s="19">
        <f t="shared" si="251"/>
        <v>8.99</v>
      </c>
      <c r="X1173" s="19" t="str">
        <f t="shared" si="252"/>
        <v>True</v>
      </c>
      <c r="Y1173" s="19" t="str">
        <f>IF(OR(W1173&lt;'Cleaning Tasks'!$G$18,W1173&gt;'Cleaning Tasks'!$H$18),"Outlier","Normal")</f>
        <v>Normal</v>
      </c>
      <c r="Z1173" s="2" t="s">
        <v>26</v>
      </c>
      <c r="AA1173" s="2" t="s">
        <v>27</v>
      </c>
      <c r="AB1173" s="2" t="s">
        <v>50</v>
      </c>
      <c r="AC1173" s="2" t="s">
        <v>29</v>
      </c>
      <c r="AD1173" s="2" t="s">
        <v>51</v>
      </c>
      <c r="AE1173" s="2" t="str">
        <f t="shared" si="253"/>
        <v>Valid</v>
      </c>
      <c r="AF1173" s="2" t="s">
        <v>3369</v>
      </c>
    </row>
    <row r="1174" spans="1:32" x14ac:dyDescent="0.3">
      <c r="A1174" s="2" t="s">
        <v>3370</v>
      </c>
      <c r="B1174" s="2">
        <f t="shared" si="243"/>
        <v>1</v>
      </c>
      <c r="C1174" s="12">
        <f t="shared" si="242"/>
        <v>46238.579405243057</v>
      </c>
      <c r="D1174" s="13">
        <v>46238.579405243057</v>
      </c>
      <c r="E1174" s="2" t="s">
        <v>3371</v>
      </c>
      <c r="F1174" s="2" t="str">
        <f t="shared" si="244"/>
        <v>Email Available</v>
      </c>
      <c r="G1174" s="2" t="s">
        <v>3372</v>
      </c>
      <c r="H1174" s="2" t="s">
        <v>221</v>
      </c>
      <c r="I1174" s="2" t="s">
        <v>22</v>
      </c>
      <c r="J1174" s="2" t="s">
        <v>222</v>
      </c>
      <c r="K1174" s="2">
        <v>1</v>
      </c>
      <c r="L1174" s="2">
        <v>17.989999999999998</v>
      </c>
      <c r="M1174" s="19">
        <f t="shared" si="245"/>
        <v>17.989999999999998</v>
      </c>
      <c r="N1174" s="2" t="s">
        <v>203</v>
      </c>
      <c r="O1174" s="2" t="str">
        <f t="shared" si="246"/>
        <v>VIP15</v>
      </c>
      <c r="P1174" s="2">
        <v>2.7</v>
      </c>
      <c r="Q1174" s="19">
        <f t="shared" si="247"/>
        <v>2.7</v>
      </c>
      <c r="R1174" s="2" t="str">
        <f t="shared" si="248"/>
        <v>Number</v>
      </c>
      <c r="S1174" s="2">
        <v>4.99</v>
      </c>
      <c r="T1174" s="19">
        <f t="shared" si="249"/>
        <v>4.99</v>
      </c>
      <c r="U1174" s="2">
        <v>20.28</v>
      </c>
      <c r="V1174" s="19">
        <f t="shared" si="250"/>
        <v>20.28</v>
      </c>
      <c r="W1174" s="19">
        <f t="shared" si="251"/>
        <v>20.28</v>
      </c>
      <c r="X1174" s="19" t="str">
        <f t="shared" si="252"/>
        <v>True</v>
      </c>
      <c r="Y1174" s="19" t="str">
        <f>IF(OR(W1174&lt;'Cleaning Tasks'!$G$18,W1174&gt;'Cleaning Tasks'!$H$18),"Outlier","Normal")</f>
        <v>Normal</v>
      </c>
      <c r="Z1174" s="2" t="s">
        <v>26</v>
      </c>
      <c r="AA1174" s="2" t="s">
        <v>88</v>
      </c>
      <c r="AB1174" s="2" t="s">
        <v>50</v>
      </c>
      <c r="AC1174" s="2" t="s">
        <v>331</v>
      </c>
      <c r="AD1174" s="2"/>
      <c r="AE1174" s="2" t="str">
        <f t="shared" si="253"/>
        <v>Not Required</v>
      </c>
      <c r="AF1174" s="2" t="s">
        <v>3373</v>
      </c>
    </row>
    <row r="1175" spans="1:32" x14ac:dyDescent="0.3">
      <c r="A1175" s="2" t="s">
        <v>3374</v>
      </c>
      <c r="B1175" s="2">
        <f t="shared" si="243"/>
        <v>1</v>
      </c>
      <c r="C1175" s="12">
        <f t="shared" si="242"/>
        <v>46238.581457604167</v>
      </c>
      <c r="D1175" s="13">
        <v>46238.581457604167</v>
      </c>
      <c r="E1175" s="2" t="s">
        <v>1966</v>
      </c>
      <c r="F1175" s="2" t="str">
        <f t="shared" si="244"/>
        <v>Email Available</v>
      </c>
      <c r="G1175" s="2" t="s">
        <v>1967</v>
      </c>
      <c r="H1175" s="2" t="s">
        <v>146</v>
      </c>
      <c r="I1175" s="2" t="s">
        <v>47</v>
      </c>
      <c r="J1175" s="2" t="s">
        <v>147</v>
      </c>
      <c r="K1175" s="2">
        <v>1</v>
      </c>
      <c r="L1175" s="2">
        <v>34.99</v>
      </c>
      <c r="M1175" s="19">
        <f t="shared" si="245"/>
        <v>34.99</v>
      </c>
      <c r="N1175" s="2"/>
      <c r="O1175" s="2" t="str">
        <f t="shared" si="246"/>
        <v/>
      </c>
      <c r="P1175" s="2">
        <v>0</v>
      </c>
      <c r="Q1175" s="19">
        <f t="shared" si="247"/>
        <v>0</v>
      </c>
      <c r="R1175" s="2" t="str">
        <f t="shared" si="248"/>
        <v>Number</v>
      </c>
      <c r="S1175" s="2">
        <v>4.99</v>
      </c>
      <c r="T1175" s="19">
        <f t="shared" si="249"/>
        <v>4.99</v>
      </c>
      <c r="U1175" s="2">
        <v>39.979999999999997</v>
      </c>
      <c r="V1175" s="19">
        <f t="shared" si="250"/>
        <v>39.979999999999997</v>
      </c>
      <c r="W1175" s="19">
        <f t="shared" si="251"/>
        <v>39.980000000000004</v>
      </c>
      <c r="X1175" s="19" t="str">
        <f t="shared" si="252"/>
        <v>True</v>
      </c>
      <c r="Y1175" s="19" t="str">
        <f>IF(OR(W1175&lt;'Cleaning Tasks'!$G$18,W1175&gt;'Cleaning Tasks'!$H$18),"Outlier","Normal")</f>
        <v>Normal</v>
      </c>
      <c r="Z1175" s="2" t="s">
        <v>49</v>
      </c>
      <c r="AA1175" s="2" t="s">
        <v>111</v>
      </c>
      <c r="AB1175" s="2" t="s">
        <v>28</v>
      </c>
      <c r="AC1175" s="2" t="s">
        <v>223</v>
      </c>
      <c r="AD1175" s="2"/>
      <c r="AE1175" s="2" t="str">
        <f t="shared" si="253"/>
        <v>Not Required</v>
      </c>
      <c r="AF1175" s="2" t="s">
        <v>3375</v>
      </c>
    </row>
    <row r="1176" spans="1:32" x14ac:dyDescent="0.3">
      <c r="A1176" s="2" t="s">
        <v>3376</v>
      </c>
      <c r="B1176" s="2">
        <f t="shared" si="243"/>
        <v>1</v>
      </c>
      <c r="C1176" s="12">
        <f t="shared" si="242"/>
        <v>46238.584842847224</v>
      </c>
      <c r="D1176" s="13">
        <v>46238.584842847224</v>
      </c>
      <c r="E1176" s="2" t="s">
        <v>768</v>
      </c>
      <c r="F1176" s="2" t="str">
        <f t="shared" si="244"/>
        <v>Missing Email</v>
      </c>
      <c r="G1176" s="2"/>
      <c r="H1176" s="2" t="s">
        <v>261</v>
      </c>
      <c r="I1176" s="2" t="s">
        <v>36</v>
      </c>
      <c r="J1176" s="2" t="s">
        <v>262</v>
      </c>
      <c r="K1176" s="2">
        <v>2</v>
      </c>
      <c r="L1176" s="2">
        <v>15.49</v>
      </c>
      <c r="M1176" s="19">
        <f t="shared" si="245"/>
        <v>15.49</v>
      </c>
      <c r="N1176" s="2" t="s">
        <v>38</v>
      </c>
      <c r="O1176" s="2" t="str">
        <f t="shared" si="246"/>
        <v>FREESHIP</v>
      </c>
      <c r="P1176" s="2">
        <v>0</v>
      </c>
      <c r="Q1176" s="19">
        <f t="shared" si="247"/>
        <v>0</v>
      </c>
      <c r="R1176" s="2" t="str">
        <f t="shared" si="248"/>
        <v>Number</v>
      </c>
      <c r="S1176" s="2">
        <v>0</v>
      </c>
      <c r="T1176" s="19">
        <f t="shared" si="249"/>
        <v>0</v>
      </c>
      <c r="U1176" s="2">
        <v>30.98</v>
      </c>
      <c r="V1176" s="19">
        <f t="shared" si="250"/>
        <v>30.98</v>
      </c>
      <c r="W1176" s="19">
        <f t="shared" si="251"/>
        <v>30.98</v>
      </c>
      <c r="X1176" s="19" t="str">
        <f t="shared" si="252"/>
        <v>True</v>
      </c>
      <c r="Y1176" s="19" t="str">
        <f>IF(OR(W1176&lt;'Cleaning Tasks'!$G$18,W1176&gt;'Cleaning Tasks'!$H$18),"Outlier","Normal")</f>
        <v>Normal</v>
      </c>
      <c r="Z1176" s="2" t="s">
        <v>39</v>
      </c>
      <c r="AA1176" s="2" t="s">
        <v>111</v>
      </c>
      <c r="AB1176" s="2" t="s">
        <v>96</v>
      </c>
      <c r="AC1176" s="2" t="s">
        <v>105</v>
      </c>
      <c r="AD1176" s="2"/>
      <c r="AE1176" s="2" t="str">
        <f t="shared" si="253"/>
        <v>Not Required</v>
      </c>
      <c r="AF1176" s="2" t="s">
        <v>3377</v>
      </c>
    </row>
    <row r="1177" spans="1:32" x14ac:dyDescent="0.3">
      <c r="A1177" s="2" t="s">
        <v>3378</v>
      </c>
      <c r="B1177" s="2">
        <f t="shared" si="243"/>
        <v>1</v>
      </c>
      <c r="C1177" s="12">
        <f>DATE(VALUE(RIGHT(D1177,4)),MATCH(LEFT(D1177,3),{"Jan","Feb","Mar","Apr","May","Jun","Jul","Aug","Sep","Oct","Nov","Dec"},0),VALUE(MID(D1177,5,2)))</f>
        <v>46238</v>
      </c>
      <c r="D1177" s="13" t="s">
        <v>171</v>
      </c>
      <c r="E1177" s="2" t="s">
        <v>3379</v>
      </c>
      <c r="F1177" s="2" t="str">
        <f t="shared" si="244"/>
        <v>Email Available</v>
      </c>
      <c r="G1177" s="2" t="s">
        <v>1524</v>
      </c>
      <c r="H1177" s="2" t="s">
        <v>190</v>
      </c>
      <c r="I1177" s="2" t="s">
        <v>191</v>
      </c>
      <c r="J1177" s="2" t="s">
        <v>192</v>
      </c>
      <c r="K1177" s="2">
        <v>1</v>
      </c>
      <c r="L1177" s="2">
        <v>13.49</v>
      </c>
      <c r="M1177" s="19">
        <f t="shared" si="245"/>
        <v>13.49</v>
      </c>
      <c r="N1177" s="2" t="s">
        <v>203</v>
      </c>
      <c r="O1177" s="2" t="str">
        <f t="shared" si="246"/>
        <v>VIP15</v>
      </c>
      <c r="P1177" s="2">
        <v>2.02</v>
      </c>
      <c r="Q1177" s="19">
        <f t="shared" si="247"/>
        <v>2.02</v>
      </c>
      <c r="R1177" s="2" t="str">
        <f t="shared" si="248"/>
        <v>Number</v>
      </c>
      <c r="S1177" s="2">
        <v>4.99</v>
      </c>
      <c r="T1177" s="19">
        <f t="shared" si="249"/>
        <v>4.99</v>
      </c>
      <c r="U1177" s="2">
        <v>16.46</v>
      </c>
      <c r="V1177" s="19">
        <f t="shared" si="250"/>
        <v>16.46</v>
      </c>
      <c r="W1177" s="19">
        <f t="shared" si="251"/>
        <v>16.46</v>
      </c>
      <c r="X1177" s="19" t="str">
        <f t="shared" si="252"/>
        <v>True</v>
      </c>
      <c r="Y1177" s="19" t="str">
        <f>IF(OR(W1177&lt;'Cleaning Tasks'!$G$18,W1177&gt;'Cleaning Tasks'!$H$18),"Outlier","Normal")</f>
        <v>Normal</v>
      </c>
      <c r="Z1177" s="2" t="s">
        <v>49</v>
      </c>
      <c r="AA1177" s="2" t="s">
        <v>111</v>
      </c>
      <c r="AB1177" s="2" t="s">
        <v>50</v>
      </c>
      <c r="AC1177" s="2" t="s">
        <v>29</v>
      </c>
      <c r="AD1177" s="2" t="s">
        <v>112</v>
      </c>
      <c r="AE1177" s="2" t="str">
        <f t="shared" si="253"/>
        <v>Valid</v>
      </c>
      <c r="AF1177" s="2" t="s">
        <v>3380</v>
      </c>
    </row>
    <row r="1178" spans="1:32" x14ac:dyDescent="0.3">
      <c r="A1178" s="2" t="s">
        <v>3381</v>
      </c>
      <c r="B1178" s="2">
        <f t="shared" si="243"/>
        <v>1</v>
      </c>
      <c r="C1178" s="12">
        <f t="shared" ref="C1178:C1204" si="254">IF(ISNUMBER(D1178),D1178,DATEVALUE(SUBSTITUTE(TRIM(D1178),CHAR(160)," ")))</f>
        <v>46238.587091261572</v>
      </c>
      <c r="D1178" s="13">
        <v>46238.587091261572</v>
      </c>
      <c r="E1178" s="2" t="s">
        <v>606</v>
      </c>
      <c r="F1178" s="2" t="str">
        <f t="shared" si="244"/>
        <v>Email Available</v>
      </c>
      <c r="G1178" s="2" t="s">
        <v>607</v>
      </c>
      <c r="H1178" s="2" t="s">
        <v>152</v>
      </c>
      <c r="I1178" s="2" t="s">
        <v>36</v>
      </c>
      <c r="J1178" s="2" t="s">
        <v>153</v>
      </c>
      <c r="K1178" s="2">
        <v>1</v>
      </c>
      <c r="L1178" s="2" t="s">
        <v>610</v>
      </c>
      <c r="M1178" s="19">
        <f t="shared" si="245"/>
        <v>29.99</v>
      </c>
      <c r="N1178" s="2"/>
      <c r="O1178" s="2" t="str">
        <f t="shared" si="246"/>
        <v/>
      </c>
      <c r="P1178" s="2">
        <v>0</v>
      </c>
      <c r="Q1178" s="19">
        <f t="shared" si="247"/>
        <v>0</v>
      </c>
      <c r="R1178" s="2" t="str">
        <f t="shared" si="248"/>
        <v>Number</v>
      </c>
      <c r="S1178" s="2">
        <v>4.99</v>
      </c>
      <c r="T1178" s="19">
        <f t="shared" si="249"/>
        <v>4.99</v>
      </c>
      <c r="U1178" s="2">
        <v>34.979999999999997</v>
      </c>
      <c r="V1178" s="19">
        <f t="shared" si="250"/>
        <v>34.979999999999997</v>
      </c>
      <c r="W1178" s="19">
        <f t="shared" si="251"/>
        <v>34.979999999999997</v>
      </c>
      <c r="X1178" s="19" t="str">
        <f t="shared" si="252"/>
        <v>True</v>
      </c>
      <c r="Y1178" s="19" t="str">
        <f>IF(OR(W1178&lt;'Cleaning Tasks'!$G$18,W1178&gt;'Cleaning Tasks'!$H$18),"Outlier","Normal")</f>
        <v>Normal</v>
      </c>
      <c r="Z1178" s="2" t="s">
        <v>66</v>
      </c>
      <c r="AA1178" s="2" t="s">
        <v>27</v>
      </c>
      <c r="AB1178" s="2" t="s">
        <v>50</v>
      </c>
      <c r="AC1178" s="2" t="s">
        <v>42</v>
      </c>
      <c r="AD1178" s="2"/>
      <c r="AE1178" s="2" t="str">
        <f t="shared" si="253"/>
        <v>Not Required</v>
      </c>
      <c r="AF1178" s="2" t="s">
        <v>3382</v>
      </c>
    </row>
    <row r="1179" spans="1:32" x14ac:dyDescent="0.3">
      <c r="A1179" s="2" t="s">
        <v>3383</v>
      </c>
      <c r="B1179" s="2">
        <f t="shared" si="243"/>
        <v>1</v>
      </c>
      <c r="C1179" s="12">
        <f t="shared" si="254"/>
        <v>46238.581039803241</v>
      </c>
      <c r="D1179" s="13">
        <v>46238.581039803241</v>
      </c>
      <c r="E1179" s="2" t="s">
        <v>172</v>
      </c>
      <c r="F1179" s="2" t="str">
        <f t="shared" si="244"/>
        <v>Email Available</v>
      </c>
      <c r="G1179" s="2" t="s">
        <v>173</v>
      </c>
      <c r="H1179" s="2" t="s">
        <v>166</v>
      </c>
      <c r="I1179" s="2" t="s">
        <v>103</v>
      </c>
      <c r="J1179" s="2" t="s">
        <v>167</v>
      </c>
      <c r="K1179" s="2">
        <v>1</v>
      </c>
      <c r="L1179" s="2">
        <v>32.99</v>
      </c>
      <c r="M1179" s="19">
        <f t="shared" si="245"/>
        <v>32.99</v>
      </c>
      <c r="N1179" s="2" t="s">
        <v>65</v>
      </c>
      <c r="O1179" s="2" t="str">
        <f t="shared" si="246"/>
        <v>WELCOME10</v>
      </c>
      <c r="P1179" s="2">
        <v>3.3</v>
      </c>
      <c r="Q1179" s="19">
        <f t="shared" si="247"/>
        <v>3.3</v>
      </c>
      <c r="R1179" s="2" t="str">
        <f t="shared" si="248"/>
        <v>Number</v>
      </c>
      <c r="S1179" s="2">
        <v>5.99</v>
      </c>
      <c r="T1179" s="19">
        <f t="shared" si="249"/>
        <v>5.99</v>
      </c>
      <c r="U1179" s="2">
        <v>35.68</v>
      </c>
      <c r="V1179" s="19">
        <f t="shared" si="250"/>
        <v>35.68</v>
      </c>
      <c r="W1179" s="19">
        <f t="shared" si="251"/>
        <v>35.68</v>
      </c>
      <c r="X1179" s="19" t="str">
        <f t="shared" si="252"/>
        <v>True</v>
      </c>
      <c r="Y1179" s="19" t="str">
        <f>IF(OR(W1179&lt;'Cleaning Tasks'!$G$18,W1179&gt;'Cleaning Tasks'!$H$18),"Outlier","Normal")</f>
        <v>Normal</v>
      </c>
      <c r="Z1179" s="2" t="s">
        <v>66</v>
      </c>
      <c r="AA1179" s="2" t="s">
        <v>27</v>
      </c>
      <c r="AB1179" s="2" t="s">
        <v>50</v>
      </c>
      <c r="AC1179" s="2" t="s">
        <v>29</v>
      </c>
      <c r="AD1179" s="2" t="s">
        <v>243</v>
      </c>
      <c r="AE1179" s="2" t="str">
        <f t="shared" si="253"/>
        <v>Valid</v>
      </c>
      <c r="AF1179" s="2" t="s">
        <v>3384</v>
      </c>
    </row>
    <row r="1180" spans="1:32" x14ac:dyDescent="0.3">
      <c r="A1180" s="2" t="s">
        <v>3385</v>
      </c>
      <c r="B1180" s="2">
        <f t="shared" si="243"/>
        <v>1</v>
      </c>
      <c r="C1180" s="12">
        <f t="shared" si="254"/>
        <v>46238.582299120368</v>
      </c>
      <c r="D1180" s="13">
        <v>46238.582299120368</v>
      </c>
      <c r="E1180" s="2" t="s">
        <v>206</v>
      </c>
      <c r="F1180" s="2" t="str">
        <f t="shared" si="244"/>
        <v>Email Available</v>
      </c>
      <c r="G1180" s="2" t="s">
        <v>207</v>
      </c>
      <c r="H1180" s="2" t="s">
        <v>78</v>
      </c>
      <c r="I1180" s="2" t="s">
        <v>79</v>
      </c>
      <c r="J1180" s="2" t="s">
        <v>80</v>
      </c>
      <c r="K1180" s="2">
        <v>1</v>
      </c>
      <c r="L1180" s="2">
        <v>89.99</v>
      </c>
      <c r="M1180" s="19">
        <f t="shared" si="245"/>
        <v>89.99</v>
      </c>
      <c r="N1180" s="2" t="s">
        <v>94</v>
      </c>
      <c r="O1180" s="2" t="str">
        <f t="shared" si="246"/>
        <v>SAVE20</v>
      </c>
      <c r="P1180" s="2">
        <v>18</v>
      </c>
      <c r="Q1180" s="19">
        <f t="shared" si="247"/>
        <v>18</v>
      </c>
      <c r="R1180" s="2" t="str">
        <f t="shared" si="248"/>
        <v>Number</v>
      </c>
      <c r="S1180" s="2">
        <v>0</v>
      </c>
      <c r="T1180" s="19">
        <f t="shared" si="249"/>
        <v>0</v>
      </c>
      <c r="U1180" s="2">
        <v>71.989999999999995</v>
      </c>
      <c r="V1180" s="19">
        <f t="shared" si="250"/>
        <v>71.989999999999995</v>
      </c>
      <c r="W1180" s="19">
        <f t="shared" si="251"/>
        <v>71.989999999999995</v>
      </c>
      <c r="X1180" s="19" t="str">
        <f t="shared" si="252"/>
        <v>True</v>
      </c>
      <c r="Y1180" s="19" t="str">
        <f>IF(OR(W1180&lt;'Cleaning Tasks'!$G$18,W1180&gt;'Cleaning Tasks'!$H$18),"Outlier","Normal")</f>
        <v>Normal</v>
      </c>
      <c r="Z1180" s="2" t="s">
        <v>72</v>
      </c>
      <c r="AA1180" s="2" t="s">
        <v>111</v>
      </c>
      <c r="AB1180" s="2" t="s">
        <v>50</v>
      </c>
      <c r="AC1180" s="2" t="s">
        <v>105</v>
      </c>
      <c r="AD1180" s="2"/>
      <c r="AE1180" s="2" t="str">
        <f t="shared" si="253"/>
        <v>Not Required</v>
      </c>
      <c r="AF1180" s="2" t="s">
        <v>3386</v>
      </c>
    </row>
    <row r="1181" spans="1:32" x14ac:dyDescent="0.3">
      <c r="A1181" s="2" t="s">
        <v>3387</v>
      </c>
      <c r="B1181" s="2">
        <f t="shared" si="243"/>
        <v>1</v>
      </c>
      <c r="C1181" s="12">
        <f t="shared" si="254"/>
        <v>46238.582694398137</v>
      </c>
      <c r="D1181" s="13">
        <v>46238.582694398137</v>
      </c>
      <c r="E1181" s="2" t="s">
        <v>1117</v>
      </c>
      <c r="F1181" s="2" t="str">
        <f t="shared" si="244"/>
        <v>Email Available</v>
      </c>
      <c r="G1181" s="2" t="s">
        <v>1118</v>
      </c>
      <c r="H1181" s="2" t="s">
        <v>63</v>
      </c>
      <c r="I1181" s="2" t="s">
        <v>47</v>
      </c>
      <c r="J1181" s="2" t="s">
        <v>64</v>
      </c>
      <c r="K1181" s="2">
        <v>3</v>
      </c>
      <c r="L1181" s="2">
        <v>14.99</v>
      </c>
      <c r="M1181" s="19">
        <f t="shared" si="245"/>
        <v>14.99</v>
      </c>
      <c r="N1181" s="2"/>
      <c r="O1181" s="2" t="str">
        <f t="shared" si="246"/>
        <v/>
      </c>
      <c r="P1181" s="2" t="s">
        <v>184</v>
      </c>
      <c r="Q1181" s="19">
        <f t="shared" si="247"/>
        <v>0</v>
      </c>
      <c r="R1181" s="2" t="str">
        <f t="shared" si="248"/>
        <v>Number</v>
      </c>
      <c r="S1181" s="2">
        <v>4.99</v>
      </c>
      <c r="T1181" s="19">
        <f t="shared" si="249"/>
        <v>4.99</v>
      </c>
      <c r="U1181" s="2">
        <v>49.96</v>
      </c>
      <c r="V1181" s="19">
        <f t="shared" si="250"/>
        <v>49.96</v>
      </c>
      <c r="W1181" s="19">
        <f t="shared" si="251"/>
        <v>49.96</v>
      </c>
      <c r="X1181" s="19" t="str">
        <f t="shared" si="252"/>
        <v>True</v>
      </c>
      <c r="Y1181" s="19" t="str">
        <f>IF(OR(W1181&lt;'Cleaning Tasks'!$G$18,W1181&gt;'Cleaning Tasks'!$H$18),"Outlier","Normal")</f>
        <v>Normal</v>
      </c>
      <c r="Z1181" s="2" t="s">
        <v>39</v>
      </c>
      <c r="AA1181" s="2" t="s">
        <v>27</v>
      </c>
      <c r="AB1181" s="2" t="s">
        <v>41</v>
      </c>
      <c r="AC1181" s="2" t="s">
        <v>331</v>
      </c>
      <c r="AD1181" s="2"/>
      <c r="AE1181" s="2" t="str">
        <f t="shared" si="253"/>
        <v>Not Required</v>
      </c>
      <c r="AF1181" s="2" t="s">
        <v>3388</v>
      </c>
    </row>
    <row r="1182" spans="1:32" x14ac:dyDescent="0.3">
      <c r="A1182" s="2" t="s">
        <v>3389</v>
      </c>
      <c r="B1182" s="2">
        <f t="shared" si="243"/>
        <v>1</v>
      </c>
      <c r="C1182" s="12">
        <f t="shared" si="254"/>
        <v>46238.579289664347</v>
      </c>
      <c r="D1182" s="13">
        <v>46238.579289664347</v>
      </c>
      <c r="E1182" s="2" t="s">
        <v>3390</v>
      </c>
      <c r="F1182" s="2" t="str">
        <f t="shared" si="244"/>
        <v>Missing Email</v>
      </c>
      <c r="G1182" s="2"/>
      <c r="H1182" s="2" t="s">
        <v>166</v>
      </c>
      <c r="I1182" s="2" t="s">
        <v>103</v>
      </c>
      <c r="J1182" s="2" t="s">
        <v>167</v>
      </c>
      <c r="K1182" s="2">
        <v>2</v>
      </c>
      <c r="L1182" s="2">
        <v>32.99</v>
      </c>
      <c r="M1182" s="19">
        <f t="shared" si="245"/>
        <v>32.99</v>
      </c>
      <c r="N1182" s="2" t="s">
        <v>203</v>
      </c>
      <c r="O1182" s="2" t="str">
        <f t="shared" si="246"/>
        <v>VIP15</v>
      </c>
      <c r="P1182" s="2">
        <v>9.9</v>
      </c>
      <c r="Q1182" s="19">
        <f t="shared" si="247"/>
        <v>9.9</v>
      </c>
      <c r="R1182" s="2" t="str">
        <f t="shared" si="248"/>
        <v>Number</v>
      </c>
      <c r="S1182" s="2">
        <v>7.99</v>
      </c>
      <c r="T1182" s="19">
        <f t="shared" si="249"/>
        <v>7.99</v>
      </c>
      <c r="U1182" s="2">
        <v>64.069999999999993</v>
      </c>
      <c r="V1182" s="19">
        <f t="shared" si="250"/>
        <v>64.069999999999993</v>
      </c>
      <c r="W1182" s="19">
        <f t="shared" si="251"/>
        <v>64.070000000000007</v>
      </c>
      <c r="X1182" s="19" t="str">
        <f t="shared" si="252"/>
        <v>True</v>
      </c>
      <c r="Y1182" s="19" t="str">
        <f>IF(OR(W1182&lt;'Cleaning Tasks'!$G$18,W1182&gt;'Cleaning Tasks'!$H$18),"Outlier","Normal")</f>
        <v>Normal</v>
      </c>
      <c r="Z1182" s="2" t="s">
        <v>26</v>
      </c>
      <c r="AA1182" s="2" t="s">
        <v>27</v>
      </c>
      <c r="AB1182" s="2" t="s">
        <v>96</v>
      </c>
      <c r="AC1182" s="2" t="s">
        <v>73</v>
      </c>
      <c r="AD1182" s="2"/>
      <c r="AE1182" s="2" t="str">
        <f t="shared" si="253"/>
        <v>Not Required</v>
      </c>
      <c r="AF1182" s="2" t="s">
        <v>3391</v>
      </c>
    </row>
    <row r="1183" spans="1:32" x14ac:dyDescent="0.3">
      <c r="A1183" s="2" t="s">
        <v>3392</v>
      </c>
      <c r="B1183" s="2">
        <f t="shared" si="243"/>
        <v>1</v>
      </c>
      <c r="C1183" s="12">
        <f t="shared" si="254"/>
        <v>46238.584658807871</v>
      </c>
      <c r="D1183" s="13">
        <v>46238.584658807871</v>
      </c>
      <c r="E1183" s="2" t="s">
        <v>357</v>
      </c>
      <c r="F1183" s="2" t="str">
        <f t="shared" si="244"/>
        <v>Email Available</v>
      </c>
      <c r="G1183" s="2" t="s">
        <v>358</v>
      </c>
      <c r="H1183" s="2" t="s">
        <v>85</v>
      </c>
      <c r="I1183" s="2" t="s">
        <v>86</v>
      </c>
      <c r="J1183" s="2" t="s">
        <v>87</v>
      </c>
      <c r="K1183" s="2">
        <v>1</v>
      </c>
      <c r="L1183" s="2">
        <v>54.99</v>
      </c>
      <c r="M1183" s="19">
        <f t="shared" si="245"/>
        <v>54.99</v>
      </c>
      <c r="N1183" s="2" t="s">
        <v>24</v>
      </c>
      <c r="O1183" s="2" t="str">
        <f t="shared" si="246"/>
        <v>SAVE20</v>
      </c>
      <c r="P1183" s="2">
        <v>11</v>
      </c>
      <c r="Q1183" s="19">
        <f t="shared" si="247"/>
        <v>11</v>
      </c>
      <c r="R1183" s="2" t="str">
        <f t="shared" si="248"/>
        <v>Number</v>
      </c>
      <c r="S1183" s="2">
        <v>5.99</v>
      </c>
      <c r="T1183" s="19">
        <f t="shared" si="249"/>
        <v>5.99</v>
      </c>
      <c r="U1183" s="2">
        <v>49.98</v>
      </c>
      <c r="V1183" s="19">
        <f t="shared" si="250"/>
        <v>49.98</v>
      </c>
      <c r="W1183" s="19">
        <f t="shared" si="251"/>
        <v>49.980000000000004</v>
      </c>
      <c r="X1183" s="19" t="str">
        <f t="shared" si="252"/>
        <v>True</v>
      </c>
      <c r="Y1183" s="19" t="str">
        <f>IF(OR(W1183&lt;'Cleaning Tasks'!$G$18,W1183&gt;'Cleaning Tasks'!$H$18),"Outlier","Normal")</f>
        <v>Normal</v>
      </c>
      <c r="Z1183" s="2" t="s">
        <v>66</v>
      </c>
      <c r="AA1183" s="2" t="s">
        <v>111</v>
      </c>
      <c r="AB1183" s="2" t="s">
        <v>96</v>
      </c>
      <c r="AC1183" s="2" t="s">
        <v>73</v>
      </c>
      <c r="AD1183" s="2"/>
      <c r="AE1183" s="2" t="str">
        <f t="shared" si="253"/>
        <v>Not Required</v>
      </c>
      <c r="AF1183" s="2" t="s">
        <v>3393</v>
      </c>
    </row>
    <row r="1184" spans="1:32" x14ac:dyDescent="0.3">
      <c r="A1184" s="2" t="s">
        <v>3394</v>
      </c>
      <c r="B1184" s="2">
        <f t="shared" si="243"/>
        <v>1</v>
      </c>
      <c r="C1184" s="12">
        <f t="shared" si="254"/>
        <v>46238.580516111113</v>
      </c>
      <c r="D1184" s="13">
        <v>46238.580516111113</v>
      </c>
      <c r="E1184" s="2" t="s">
        <v>2149</v>
      </c>
      <c r="F1184" s="2" t="str">
        <f t="shared" si="244"/>
        <v>Email Available</v>
      </c>
      <c r="G1184" s="2" t="s">
        <v>2400</v>
      </c>
      <c r="H1184" s="2" t="s">
        <v>63</v>
      </c>
      <c r="I1184" s="2" t="s">
        <v>47</v>
      </c>
      <c r="J1184" s="2" t="s">
        <v>446</v>
      </c>
      <c r="K1184" s="2">
        <v>1</v>
      </c>
      <c r="L1184" s="2">
        <v>14.99</v>
      </c>
      <c r="M1184" s="19">
        <f t="shared" si="245"/>
        <v>14.99</v>
      </c>
      <c r="N1184" s="2" t="s">
        <v>203</v>
      </c>
      <c r="O1184" s="2" t="str">
        <f t="shared" si="246"/>
        <v>VIP15</v>
      </c>
      <c r="P1184" s="2">
        <v>2.25</v>
      </c>
      <c r="Q1184" s="19">
        <f t="shared" si="247"/>
        <v>2.25</v>
      </c>
      <c r="R1184" s="2" t="str">
        <f t="shared" si="248"/>
        <v>Number</v>
      </c>
      <c r="S1184" s="2">
        <v>7.99</v>
      </c>
      <c r="T1184" s="19">
        <f t="shared" si="249"/>
        <v>7.99</v>
      </c>
      <c r="U1184" s="2">
        <v>20.73</v>
      </c>
      <c r="V1184" s="19">
        <f t="shared" si="250"/>
        <v>20.73</v>
      </c>
      <c r="W1184" s="19">
        <f t="shared" si="251"/>
        <v>20.73</v>
      </c>
      <c r="X1184" s="19" t="str">
        <f t="shared" si="252"/>
        <v>True</v>
      </c>
      <c r="Y1184" s="19" t="str">
        <f>IF(OR(W1184&lt;'Cleaning Tasks'!$G$18,W1184&gt;'Cleaning Tasks'!$H$18),"Outlier","Normal")</f>
        <v>Normal</v>
      </c>
      <c r="Z1184" s="2" t="s">
        <v>66</v>
      </c>
      <c r="AA1184" s="2" t="s">
        <v>40</v>
      </c>
      <c r="AB1184" s="2" t="s">
        <v>50</v>
      </c>
      <c r="AC1184" s="2" t="s">
        <v>29</v>
      </c>
      <c r="AD1184" s="22" t="s">
        <v>30</v>
      </c>
      <c r="AE1184" s="2" t="str">
        <f t="shared" si="253"/>
        <v>Valid</v>
      </c>
      <c r="AF1184" s="2" t="s">
        <v>3395</v>
      </c>
    </row>
    <row r="1185" spans="1:32" x14ac:dyDescent="0.3">
      <c r="A1185" s="2" t="s">
        <v>3396</v>
      </c>
      <c r="B1185" s="2">
        <f t="shared" si="243"/>
        <v>1</v>
      </c>
      <c r="C1185" s="12">
        <f t="shared" si="254"/>
        <v>46238.586611365739</v>
      </c>
      <c r="D1185" s="13">
        <v>46238.586611365739</v>
      </c>
      <c r="E1185" s="2" t="s">
        <v>3397</v>
      </c>
      <c r="F1185" s="2" t="str">
        <f t="shared" si="244"/>
        <v>Email Available</v>
      </c>
      <c r="G1185" s="2" t="s">
        <v>189</v>
      </c>
      <c r="H1185" s="2" t="s">
        <v>279</v>
      </c>
      <c r="I1185" s="2" t="s">
        <v>22</v>
      </c>
      <c r="J1185" s="2" t="s">
        <v>280</v>
      </c>
      <c r="K1185" s="2">
        <v>2</v>
      </c>
      <c r="L1185" s="2">
        <v>24.99</v>
      </c>
      <c r="M1185" s="19">
        <f t="shared" si="245"/>
        <v>24.99</v>
      </c>
      <c r="N1185" s="2" t="s">
        <v>38</v>
      </c>
      <c r="O1185" s="2" t="str">
        <f t="shared" si="246"/>
        <v>FREESHIP</v>
      </c>
      <c r="P1185" s="2">
        <v>0</v>
      </c>
      <c r="Q1185" s="19">
        <f t="shared" si="247"/>
        <v>0</v>
      </c>
      <c r="R1185" s="2" t="str">
        <f t="shared" si="248"/>
        <v>Number</v>
      </c>
      <c r="S1185" s="2">
        <v>0</v>
      </c>
      <c r="T1185" s="19">
        <f t="shared" si="249"/>
        <v>0</v>
      </c>
      <c r="U1185" s="2">
        <v>49.98</v>
      </c>
      <c r="V1185" s="19">
        <f t="shared" si="250"/>
        <v>49.98</v>
      </c>
      <c r="W1185" s="19">
        <f t="shared" si="251"/>
        <v>49.98</v>
      </c>
      <c r="X1185" s="19" t="str">
        <f t="shared" si="252"/>
        <v>True</v>
      </c>
      <c r="Y1185" s="19" t="str">
        <f>IF(OR(W1185&lt;'Cleaning Tasks'!$G$18,W1185&gt;'Cleaning Tasks'!$H$18),"Outlier","Normal")</f>
        <v>Normal</v>
      </c>
      <c r="Z1185" s="2" t="s">
        <v>39</v>
      </c>
      <c r="AA1185" s="2" t="s">
        <v>88</v>
      </c>
      <c r="AB1185" s="2" t="s">
        <v>50</v>
      </c>
      <c r="AC1185" s="2" t="s">
        <v>29</v>
      </c>
      <c r="AD1185" s="2" t="s">
        <v>112</v>
      </c>
      <c r="AE1185" s="2" t="str">
        <f t="shared" si="253"/>
        <v>Valid</v>
      </c>
      <c r="AF1185" s="2" t="s">
        <v>3398</v>
      </c>
    </row>
    <row r="1186" spans="1:32" x14ac:dyDescent="0.3">
      <c r="A1186" s="2" t="s">
        <v>3399</v>
      </c>
      <c r="B1186" s="2">
        <f t="shared" si="243"/>
        <v>1</v>
      </c>
      <c r="C1186" s="12">
        <f t="shared" si="254"/>
        <v>46238.587619814818</v>
      </c>
      <c r="D1186" s="13">
        <v>46238.587619814818</v>
      </c>
      <c r="E1186" s="2" t="s">
        <v>1194</v>
      </c>
      <c r="F1186" s="2" t="str">
        <f t="shared" si="244"/>
        <v>Email Available</v>
      </c>
      <c r="G1186" s="2" t="s">
        <v>1195</v>
      </c>
      <c r="H1186" s="2" t="s">
        <v>201</v>
      </c>
      <c r="I1186" s="2" t="s">
        <v>191</v>
      </c>
      <c r="J1186" s="2" t="s">
        <v>202</v>
      </c>
      <c r="K1186" s="2">
        <v>1</v>
      </c>
      <c r="L1186" s="2">
        <v>24.99</v>
      </c>
      <c r="M1186" s="19">
        <f t="shared" si="245"/>
        <v>24.99</v>
      </c>
      <c r="N1186" s="2"/>
      <c r="O1186" s="2" t="str">
        <f t="shared" si="246"/>
        <v/>
      </c>
      <c r="P1186" s="2">
        <v>0</v>
      </c>
      <c r="Q1186" s="19">
        <f t="shared" si="247"/>
        <v>0</v>
      </c>
      <c r="R1186" s="2" t="str">
        <f t="shared" si="248"/>
        <v>Number</v>
      </c>
      <c r="S1186" s="2">
        <v>7.99</v>
      </c>
      <c r="T1186" s="19">
        <f t="shared" si="249"/>
        <v>7.99</v>
      </c>
      <c r="U1186" s="2">
        <v>32.979999999999997</v>
      </c>
      <c r="V1186" s="19">
        <f t="shared" si="250"/>
        <v>32.979999999999997</v>
      </c>
      <c r="W1186" s="19">
        <f t="shared" si="251"/>
        <v>32.979999999999997</v>
      </c>
      <c r="X1186" s="19" t="str">
        <f t="shared" si="252"/>
        <v>True</v>
      </c>
      <c r="Y1186" s="19" t="str">
        <f>IF(OR(W1186&lt;'Cleaning Tasks'!$G$18,W1186&gt;'Cleaning Tasks'!$H$18),"Outlier","Normal")</f>
        <v>Normal</v>
      </c>
      <c r="Z1186" s="2" t="s">
        <v>66</v>
      </c>
      <c r="AA1186" s="2" t="s">
        <v>111</v>
      </c>
      <c r="AB1186" s="2" t="s">
        <v>96</v>
      </c>
      <c r="AC1186" s="2" t="s">
        <v>105</v>
      </c>
      <c r="AD1186" s="2"/>
      <c r="AE1186" s="2" t="str">
        <f t="shared" si="253"/>
        <v>Not Required</v>
      </c>
      <c r="AF1186" s="2" t="s">
        <v>3400</v>
      </c>
    </row>
    <row r="1187" spans="1:32" x14ac:dyDescent="0.3">
      <c r="A1187" s="2" t="s">
        <v>3401</v>
      </c>
      <c r="B1187" s="2">
        <f t="shared" si="243"/>
        <v>1</v>
      </c>
      <c r="C1187" s="12">
        <f t="shared" si="254"/>
        <v>46238.578952291668</v>
      </c>
      <c r="D1187" s="13">
        <v>46238.578952291668</v>
      </c>
      <c r="E1187" s="2" t="s">
        <v>494</v>
      </c>
      <c r="F1187" s="2" t="str">
        <f t="shared" si="244"/>
        <v>Email Available</v>
      </c>
      <c r="G1187" s="2" t="s">
        <v>495</v>
      </c>
      <c r="H1187" s="2" t="s">
        <v>236</v>
      </c>
      <c r="I1187" s="2" t="s">
        <v>237</v>
      </c>
      <c r="J1187" s="2" t="s">
        <v>238</v>
      </c>
      <c r="K1187" s="2">
        <v>1</v>
      </c>
      <c r="L1187" s="2">
        <v>27.99</v>
      </c>
      <c r="M1187" s="19">
        <f t="shared" si="245"/>
        <v>27.99</v>
      </c>
      <c r="N1187" s="2"/>
      <c r="O1187" s="2" t="str">
        <f t="shared" si="246"/>
        <v/>
      </c>
      <c r="P1187" s="2">
        <v>0</v>
      </c>
      <c r="Q1187" s="19">
        <f t="shared" si="247"/>
        <v>0</v>
      </c>
      <c r="R1187" s="2" t="str">
        <f t="shared" si="248"/>
        <v>Number</v>
      </c>
      <c r="S1187" s="2">
        <v>7.99</v>
      </c>
      <c r="T1187" s="19">
        <f t="shared" si="249"/>
        <v>7.99</v>
      </c>
      <c r="U1187" s="2">
        <v>35.979999999999997</v>
      </c>
      <c r="V1187" s="19">
        <f t="shared" si="250"/>
        <v>35.979999999999997</v>
      </c>
      <c r="W1187" s="19">
        <f t="shared" si="251"/>
        <v>35.979999999999997</v>
      </c>
      <c r="X1187" s="19" t="str">
        <f t="shared" si="252"/>
        <v>True</v>
      </c>
      <c r="Y1187" s="19" t="str">
        <f>IF(OR(W1187&lt;'Cleaning Tasks'!$G$18,W1187&gt;'Cleaning Tasks'!$H$18),"Outlier","Normal")</f>
        <v>Normal</v>
      </c>
      <c r="Z1187" s="2" t="s">
        <v>26</v>
      </c>
      <c r="AA1187" s="2" t="s">
        <v>27</v>
      </c>
      <c r="AB1187" s="2" t="s">
        <v>28</v>
      </c>
      <c r="AC1187" s="2" t="s">
        <v>105</v>
      </c>
      <c r="AD1187" s="2"/>
      <c r="AE1187" s="2" t="str">
        <f t="shared" si="253"/>
        <v>Not Required</v>
      </c>
      <c r="AF1187" s="2" t="s">
        <v>3402</v>
      </c>
    </row>
    <row r="1188" spans="1:32" x14ac:dyDescent="0.3">
      <c r="A1188" s="2" t="s">
        <v>3403</v>
      </c>
      <c r="B1188" s="2">
        <f t="shared" si="243"/>
        <v>1</v>
      </c>
      <c r="C1188" s="12">
        <f t="shared" si="254"/>
        <v>46238.584160046303</v>
      </c>
      <c r="D1188" s="13">
        <v>46238.584160046303</v>
      </c>
      <c r="E1188" s="2" t="s">
        <v>3404</v>
      </c>
      <c r="F1188" s="2" t="str">
        <f t="shared" si="244"/>
        <v>Email Available</v>
      </c>
      <c r="G1188" s="2" t="s">
        <v>3405</v>
      </c>
      <c r="H1188" s="2" t="s">
        <v>261</v>
      </c>
      <c r="I1188" s="2" t="s">
        <v>36</v>
      </c>
      <c r="J1188" s="2" t="s">
        <v>262</v>
      </c>
      <c r="K1188" s="2">
        <v>1</v>
      </c>
      <c r="L1188" s="2">
        <v>15.49</v>
      </c>
      <c r="M1188" s="19">
        <f t="shared" si="245"/>
        <v>15.49</v>
      </c>
      <c r="N1188" s="2"/>
      <c r="O1188" s="2" t="str">
        <f t="shared" si="246"/>
        <v/>
      </c>
      <c r="P1188" s="2">
        <v>0</v>
      </c>
      <c r="Q1188" s="19">
        <f t="shared" si="247"/>
        <v>0</v>
      </c>
      <c r="R1188" s="2" t="str">
        <f t="shared" si="248"/>
        <v>Number</v>
      </c>
      <c r="S1188" s="2">
        <v>4.99</v>
      </c>
      <c r="T1188" s="19">
        <f t="shared" si="249"/>
        <v>4.99</v>
      </c>
      <c r="U1188" s="2">
        <v>20.48</v>
      </c>
      <c r="V1188" s="19">
        <f t="shared" si="250"/>
        <v>20.48</v>
      </c>
      <c r="W1188" s="19">
        <f t="shared" si="251"/>
        <v>20.48</v>
      </c>
      <c r="X1188" s="19" t="str">
        <f t="shared" si="252"/>
        <v>True</v>
      </c>
      <c r="Y1188" s="19" t="str">
        <f>IF(OR(W1188&lt;'Cleaning Tasks'!$G$18,W1188&gt;'Cleaning Tasks'!$H$18),"Outlier","Normal")</f>
        <v>Normal</v>
      </c>
      <c r="Z1188" s="2" t="s">
        <v>49</v>
      </c>
      <c r="AA1188" s="2" t="s">
        <v>40</v>
      </c>
      <c r="AB1188" s="2" t="s">
        <v>41</v>
      </c>
      <c r="AC1188" s="2" t="s">
        <v>223</v>
      </c>
      <c r="AD1188" s="2"/>
      <c r="AE1188" s="2" t="str">
        <f t="shared" si="253"/>
        <v>Not Required</v>
      </c>
      <c r="AF1188" s="2" t="s">
        <v>3406</v>
      </c>
    </row>
    <row r="1189" spans="1:32" x14ac:dyDescent="0.3">
      <c r="A1189" s="2" t="s">
        <v>3407</v>
      </c>
      <c r="B1189" s="2">
        <f t="shared" si="243"/>
        <v>1</v>
      </c>
      <c r="C1189" s="12">
        <f t="shared" si="254"/>
        <v>46238.586418217586</v>
      </c>
      <c r="D1189" s="13">
        <v>46238.586418217586</v>
      </c>
      <c r="E1189" s="2" t="s">
        <v>554</v>
      </c>
      <c r="F1189" s="2" t="str">
        <f t="shared" si="244"/>
        <v>Email Available</v>
      </c>
      <c r="G1189" s="2" t="s">
        <v>45</v>
      </c>
      <c r="H1189" s="2" t="s">
        <v>102</v>
      </c>
      <c r="I1189" s="2" t="s">
        <v>103</v>
      </c>
      <c r="J1189" s="2" t="s">
        <v>104</v>
      </c>
      <c r="K1189" s="2">
        <v>2</v>
      </c>
      <c r="L1189" s="2">
        <v>19.989999999999998</v>
      </c>
      <c r="M1189" s="19">
        <f t="shared" si="245"/>
        <v>19.989999999999998</v>
      </c>
      <c r="N1189" s="2"/>
      <c r="O1189" s="2" t="str">
        <f t="shared" si="246"/>
        <v/>
      </c>
      <c r="P1189" s="2">
        <v>0</v>
      </c>
      <c r="Q1189" s="19">
        <f t="shared" si="247"/>
        <v>0</v>
      </c>
      <c r="R1189" s="2" t="str">
        <f t="shared" si="248"/>
        <v>Number</v>
      </c>
      <c r="S1189" s="2">
        <v>7.99</v>
      </c>
      <c r="T1189" s="19">
        <f t="shared" si="249"/>
        <v>7.99</v>
      </c>
      <c r="U1189" s="2">
        <v>47.97</v>
      </c>
      <c r="V1189" s="19">
        <f t="shared" si="250"/>
        <v>47.97</v>
      </c>
      <c r="W1189" s="19">
        <f t="shared" si="251"/>
        <v>47.97</v>
      </c>
      <c r="X1189" s="19" t="str">
        <f t="shared" si="252"/>
        <v>True</v>
      </c>
      <c r="Y1189" s="19" t="str">
        <f>IF(OR(W1189&lt;'Cleaning Tasks'!$G$18,W1189&gt;'Cleaning Tasks'!$H$18),"Outlier","Normal")</f>
        <v>Normal</v>
      </c>
      <c r="Z1189" s="2" t="s">
        <v>49</v>
      </c>
      <c r="AA1189" s="2" t="s">
        <v>40</v>
      </c>
      <c r="AB1189" s="2" t="s">
        <v>50</v>
      </c>
      <c r="AC1189" s="2" t="s">
        <v>29</v>
      </c>
      <c r="AD1189" s="2" t="s">
        <v>30</v>
      </c>
      <c r="AE1189" s="2" t="str">
        <f t="shared" si="253"/>
        <v>Valid</v>
      </c>
      <c r="AF1189" s="2" t="s">
        <v>3408</v>
      </c>
    </row>
    <row r="1190" spans="1:32" x14ac:dyDescent="0.3">
      <c r="A1190" s="2" t="s">
        <v>3409</v>
      </c>
      <c r="B1190" s="2">
        <f t="shared" si="243"/>
        <v>1</v>
      </c>
      <c r="C1190" s="12">
        <f t="shared" si="254"/>
        <v>46238.579541863422</v>
      </c>
      <c r="D1190" s="13">
        <v>46238.579541863422</v>
      </c>
      <c r="E1190" s="2" t="s">
        <v>3410</v>
      </c>
      <c r="F1190" s="2" t="str">
        <f t="shared" si="244"/>
        <v>Email Available</v>
      </c>
      <c r="G1190" s="2" t="s">
        <v>3411</v>
      </c>
      <c r="H1190" s="2" t="s">
        <v>3412</v>
      </c>
      <c r="I1190" s="2" t="s">
        <v>79</v>
      </c>
      <c r="J1190" s="2" t="s">
        <v>80</v>
      </c>
      <c r="K1190" s="2">
        <v>1</v>
      </c>
      <c r="L1190" s="2">
        <v>89.99</v>
      </c>
      <c r="M1190" s="19">
        <f t="shared" si="245"/>
        <v>89.99</v>
      </c>
      <c r="N1190" s="2"/>
      <c r="O1190" s="2" t="str">
        <f t="shared" si="246"/>
        <v/>
      </c>
      <c r="P1190" s="2">
        <v>0</v>
      </c>
      <c r="Q1190" s="19">
        <f t="shared" si="247"/>
        <v>0</v>
      </c>
      <c r="R1190" s="2" t="str">
        <f t="shared" si="248"/>
        <v>Number</v>
      </c>
      <c r="S1190" s="2">
        <v>0</v>
      </c>
      <c r="T1190" s="19">
        <f t="shared" si="249"/>
        <v>0</v>
      </c>
      <c r="U1190" s="2">
        <v>89.99</v>
      </c>
      <c r="V1190" s="19">
        <f t="shared" si="250"/>
        <v>89.99</v>
      </c>
      <c r="W1190" s="19">
        <f t="shared" si="251"/>
        <v>89.99</v>
      </c>
      <c r="X1190" s="19" t="str">
        <f t="shared" si="252"/>
        <v>True</v>
      </c>
      <c r="Y1190" s="19" t="str">
        <f>IF(OR(W1190&lt;'Cleaning Tasks'!$G$18,W1190&gt;'Cleaning Tasks'!$H$18),"Outlier","Normal")</f>
        <v>Outlier</v>
      </c>
      <c r="Z1190" s="2" t="s">
        <v>66</v>
      </c>
      <c r="AA1190" s="2" t="s">
        <v>27</v>
      </c>
      <c r="AB1190" s="2" t="s">
        <v>50</v>
      </c>
      <c r="AC1190" s="2" t="s">
        <v>105</v>
      </c>
      <c r="AD1190" s="2"/>
      <c r="AE1190" s="2" t="str">
        <f t="shared" si="253"/>
        <v>Not Required</v>
      </c>
      <c r="AF1190" s="2" t="s">
        <v>3413</v>
      </c>
    </row>
    <row r="1191" spans="1:32" x14ac:dyDescent="0.3">
      <c r="A1191" s="2" t="s">
        <v>3414</v>
      </c>
      <c r="B1191" s="2">
        <f t="shared" si="243"/>
        <v>1</v>
      </c>
      <c r="C1191" s="12">
        <f t="shared" si="254"/>
        <v>46238.579658518524</v>
      </c>
      <c r="D1191" s="13">
        <v>46238.579658518524</v>
      </c>
      <c r="E1191" s="2" t="s">
        <v>3415</v>
      </c>
      <c r="F1191" s="2" t="str">
        <f t="shared" si="244"/>
        <v>Email Available</v>
      </c>
      <c r="G1191" s="2" t="s">
        <v>3416</v>
      </c>
      <c r="H1191" s="2" t="s">
        <v>279</v>
      </c>
      <c r="I1191" s="2" t="s">
        <v>22</v>
      </c>
      <c r="J1191" s="2" t="s">
        <v>280</v>
      </c>
      <c r="K1191" s="2">
        <v>1</v>
      </c>
      <c r="L1191" s="2" t="s">
        <v>1212</v>
      </c>
      <c r="M1191" s="19">
        <f t="shared" si="245"/>
        <v>24.99</v>
      </c>
      <c r="N1191" s="2" t="s">
        <v>118</v>
      </c>
      <c r="O1191" s="2" t="str">
        <f t="shared" si="246"/>
        <v>BFCM25</v>
      </c>
      <c r="P1191" s="2">
        <v>6.25</v>
      </c>
      <c r="Q1191" s="19">
        <f t="shared" si="247"/>
        <v>6.25</v>
      </c>
      <c r="R1191" s="2" t="str">
        <f t="shared" si="248"/>
        <v>Number</v>
      </c>
      <c r="S1191" s="2">
        <v>5.99</v>
      </c>
      <c r="T1191" s="19">
        <f t="shared" si="249"/>
        <v>5.99</v>
      </c>
      <c r="U1191" s="2">
        <v>24.73</v>
      </c>
      <c r="V1191" s="19">
        <f t="shared" si="250"/>
        <v>24.73</v>
      </c>
      <c r="W1191" s="19">
        <f t="shared" si="251"/>
        <v>24.729999999999997</v>
      </c>
      <c r="X1191" s="19" t="str">
        <f t="shared" si="252"/>
        <v>True</v>
      </c>
      <c r="Y1191" s="19" t="str">
        <f>IF(OR(W1191&lt;'Cleaning Tasks'!$G$18,W1191&gt;'Cleaning Tasks'!$H$18),"Outlier","Normal")</f>
        <v>Normal</v>
      </c>
      <c r="Z1191" s="2" t="s">
        <v>66</v>
      </c>
      <c r="AA1191" s="2" t="s">
        <v>88</v>
      </c>
      <c r="AB1191" s="2" t="s">
        <v>50</v>
      </c>
      <c r="AC1191" s="2" t="s">
        <v>29</v>
      </c>
      <c r="AD1191" s="2" t="s">
        <v>30</v>
      </c>
      <c r="AE1191" s="2" t="str">
        <f t="shared" si="253"/>
        <v>Valid</v>
      </c>
      <c r="AF1191" s="2" t="s">
        <v>3417</v>
      </c>
    </row>
    <row r="1192" spans="1:32" x14ac:dyDescent="0.3">
      <c r="A1192" s="2" t="s">
        <v>3418</v>
      </c>
      <c r="B1192" s="2">
        <f t="shared" si="243"/>
        <v>1</v>
      </c>
      <c r="C1192" s="12">
        <f t="shared" si="254"/>
        <v>46238.579533449083</v>
      </c>
      <c r="D1192" s="13">
        <v>46238.579533449083</v>
      </c>
      <c r="E1192" s="2" t="s">
        <v>188</v>
      </c>
      <c r="F1192" s="2" t="str">
        <f t="shared" si="244"/>
        <v>Email Available</v>
      </c>
      <c r="G1192" s="2" t="s">
        <v>189</v>
      </c>
      <c r="H1192" s="2" t="s">
        <v>35</v>
      </c>
      <c r="I1192" s="2" t="s">
        <v>36</v>
      </c>
      <c r="J1192" s="2" t="s">
        <v>37</v>
      </c>
      <c r="K1192" s="2">
        <v>4</v>
      </c>
      <c r="L1192" s="2">
        <v>21.99</v>
      </c>
      <c r="M1192" s="19">
        <f t="shared" si="245"/>
        <v>21.99</v>
      </c>
      <c r="N1192" s="2" t="s">
        <v>203</v>
      </c>
      <c r="O1192" s="2" t="str">
        <f t="shared" si="246"/>
        <v>VIP15</v>
      </c>
      <c r="P1192" s="2">
        <v>13.19</v>
      </c>
      <c r="Q1192" s="19">
        <f t="shared" si="247"/>
        <v>13.19</v>
      </c>
      <c r="R1192" s="2" t="str">
        <f t="shared" si="248"/>
        <v>Number</v>
      </c>
      <c r="S1192" s="2">
        <v>0</v>
      </c>
      <c r="T1192" s="19">
        <f t="shared" si="249"/>
        <v>0</v>
      </c>
      <c r="U1192" s="2" t="s">
        <v>3419</v>
      </c>
      <c r="V1192" s="19">
        <f t="shared" si="250"/>
        <v>74.77</v>
      </c>
      <c r="W1192" s="19">
        <f t="shared" si="251"/>
        <v>74.77</v>
      </c>
      <c r="X1192" s="19" t="str">
        <f t="shared" si="252"/>
        <v>True</v>
      </c>
      <c r="Y1192" s="19" t="str">
        <f>IF(OR(W1192&lt;'Cleaning Tasks'!$G$18,W1192&gt;'Cleaning Tasks'!$H$18),"Outlier","Normal")</f>
        <v>Normal</v>
      </c>
      <c r="Z1192" s="2" t="s">
        <v>39</v>
      </c>
      <c r="AA1192" s="2" t="s">
        <v>88</v>
      </c>
      <c r="AB1192" s="2" t="s">
        <v>50</v>
      </c>
      <c r="AC1192" s="2" t="s">
        <v>29</v>
      </c>
      <c r="AD1192" s="2" t="s">
        <v>67</v>
      </c>
      <c r="AE1192" s="2" t="str">
        <f t="shared" si="253"/>
        <v>Valid</v>
      </c>
      <c r="AF1192" s="2" t="s">
        <v>3420</v>
      </c>
    </row>
    <row r="1193" spans="1:32" x14ac:dyDescent="0.3">
      <c r="A1193" s="2" t="s">
        <v>3421</v>
      </c>
      <c r="B1193" s="2">
        <f t="shared" si="243"/>
        <v>1</v>
      </c>
      <c r="C1193" s="12">
        <f t="shared" si="254"/>
        <v>46238.579787499999</v>
      </c>
      <c r="D1193" s="13">
        <v>46238.579787499999</v>
      </c>
      <c r="E1193" s="2" t="s">
        <v>705</v>
      </c>
      <c r="F1193" s="2" t="str">
        <f t="shared" si="244"/>
        <v>Email Available</v>
      </c>
      <c r="G1193" s="2" t="s">
        <v>706</v>
      </c>
      <c r="H1193" s="2" t="s">
        <v>309</v>
      </c>
      <c r="I1193" s="2" t="s">
        <v>36</v>
      </c>
      <c r="J1193" s="2" t="s">
        <v>310</v>
      </c>
      <c r="K1193" s="2">
        <v>1</v>
      </c>
      <c r="L1193" s="2">
        <v>8.99</v>
      </c>
      <c r="M1193" s="19">
        <f t="shared" si="245"/>
        <v>8.99</v>
      </c>
      <c r="N1193" s="2"/>
      <c r="O1193" s="2" t="str">
        <f t="shared" si="246"/>
        <v/>
      </c>
      <c r="P1193" s="2">
        <v>0</v>
      </c>
      <c r="Q1193" s="19">
        <f t="shared" si="247"/>
        <v>0</v>
      </c>
      <c r="R1193" s="2" t="str">
        <f t="shared" si="248"/>
        <v>Number</v>
      </c>
      <c r="S1193" s="2">
        <v>4.99</v>
      </c>
      <c r="T1193" s="19">
        <f t="shared" si="249"/>
        <v>4.99</v>
      </c>
      <c r="U1193" s="2">
        <v>13.98</v>
      </c>
      <c r="V1193" s="19">
        <f t="shared" si="250"/>
        <v>13.98</v>
      </c>
      <c r="W1193" s="19">
        <f t="shared" si="251"/>
        <v>13.98</v>
      </c>
      <c r="X1193" s="19" t="str">
        <f t="shared" si="252"/>
        <v>True</v>
      </c>
      <c r="Y1193" s="19" t="str">
        <f>IF(OR(W1193&lt;'Cleaning Tasks'!$G$18,W1193&gt;'Cleaning Tasks'!$H$18),"Outlier","Normal")</f>
        <v>Normal</v>
      </c>
      <c r="Z1193" s="2" t="s">
        <v>66</v>
      </c>
      <c r="AA1193" s="2" t="s">
        <v>111</v>
      </c>
      <c r="AB1193" s="2" t="s">
        <v>41</v>
      </c>
      <c r="AC1193" s="2" t="s">
        <v>331</v>
      </c>
      <c r="AD1193" s="2"/>
      <c r="AE1193" s="2" t="str">
        <f t="shared" si="253"/>
        <v>Not Required</v>
      </c>
      <c r="AF1193" s="2" t="s">
        <v>3422</v>
      </c>
    </row>
    <row r="1194" spans="1:32" x14ac:dyDescent="0.3">
      <c r="A1194" s="2" t="s">
        <v>3423</v>
      </c>
      <c r="B1194" s="2">
        <f t="shared" si="243"/>
        <v>1</v>
      </c>
      <c r="C1194" s="12">
        <f t="shared" si="254"/>
        <v>46238.579175416657</v>
      </c>
      <c r="D1194" s="13">
        <v>46238.579175416657</v>
      </c>
      <c r="E1194" s="2" t="s">
        <v>1455</v>
      </c>
      <c r="F1194" s="2" t="str">
        <f t="shared" si="244"/>
        <v>Email Available</v>
      </c>
      <c r="G1194" s="2" t="s">
        <v>1279</v>
      </c>
      <c r="H1194" s="2" t="s">
        <v>236</v>
      </c>
      <c r="I1194" s="2" t="s">
        <v>237</v>
      </c>
      <c r="J1194" s="2" t="s">
        <v>238</v>
      </c>
      <c r="K1194" s="2">
        <v>1</v>
      </c>
      <c r="L1194" s="2">
        <v>27.99</v>
      </c>
      <c r="M1194" s="19">
        <f t="shared" si="245"/>
        <v>27.99</v>
      </c>
      <c r="N1194" s="2" t="s">
        <v>203</v>
      </c>
      <c r="O1194" s="2" t="str">
        <f t="shared" si="246"/>
        <v>VIP15</v>
      </c>
      <c r="P1194" s="2" t="s">
        <v>3424</v>
      </c>
      <c r="Q1194" s="19">
        <f t="shared" si="247"/>
        <v>4.2</v>
      </c>
      <c r="R1194" s="2" t="str">
        <f t="shared" si="248"/>
        <v>Number</v>
      </c>
      <c r="S1194" s="2">
        <v>7.99</v>
      </c>
      <c r="T1194" s="19">
        <f t="shared" si="249"/>
        <v>7.99</v>
      </c>
      <c r="U1194" s="2">
        <v>31.78</v>
      </c>
      <c r="V1194" s="19">
        <f t="shared" si="250"/>
        <v>31.78</v>
      </c>
      <c r="W1194" s="19">
        <f t="shared" si="251"/>
        <v>31.78</v>
      </c>
      <c r="X1194" s="19" t="str">
        <f t="shared" si="252"/>
        <v>True</v>
      </c>
      <c r="Y1194" s="19" t="str">
        <f>IF(OR(W1194&lt;'Cleaning Tasks'!$G$18,W1194&gt;'Cleaning Tasks'!$H$18),"Outlier","Normal")</f>
        <v>Normal</v>
      </c>
      <c r="Z1194" s="2" t="s">
        <v>66</v>
      </c>
      <c r="AA1194" s="2" t="s">
        <v>88</v>
      </c>
      <c r="AB1194" s="2" t="s">
        <v>50</v>
      </c>
      <c r="AC1194" s="2" t="s">
        <v>29</v>
      </c>
      <c r="AD1194" s="2" t="s">
        <v>67</v>
      </c>
      <c r="AE1194" s="2" t="str">
        <f t="shared" si="253"/>
        <v>Valid</v>
      </c>
      <c r="AF1194" s="2" t="s">
        <v>3425</v>
      </c>
    </row>
    <row r="1195" spans="1:32" x14ac:dyDescent="0.3">
      <c r="A1195" s="2" t="s">
        <v>3426</v>
      </c>
      <c r="B1195" s="2">
        <f t="shared" si="243"/>
        <v>1</v>
      </c>
      <c r="C1195" s="12">
        <f t="shared" si="254"/>
        <v>46238.588975891202</v>
      </c>
      <c r="D1195" s="13">
        <v>46238.588975891202</v>
      </c>
      <c r="E1195" s="2" t="s">
        <v>3427</v>
      </c>
      <c r="F1195" s="2" t="str">
        <f t="shared" si="244"/>
        <v>Email Available</v>
      </c>
      <c r="G1195" s="2" t="s">
        <v>3428</v>
      </c>
      <c r="H1195" s="2" t="s">
        <v>46</v>
      </c>
      <c r="I1195" s="2" t="s">
        <v>47</v>
      </c>
      <c r="J1195" s="2" t="s">
        <v>48</v>
      </c>
      <c r="K1195" s="2">
        <v>1</v>
      </c>
      <c r="L1195" s="2">
        <v>39.99</v>
      </c>
      <c r="M1195" s="19">
        <f t="shared" si="245"/>
        <v>39.99</v>
      </c>
      <c r="N1195" s="2"/>
      <c r="O1195" s="2" t="str">
        <f t="shared" si="246"/>
        <v/>
      </c>
      <c r="P1195" s="2">
        <v>0</v>
      </c>
      <c r="Q1195" s="19">
        <f t="shared" si="247"/>
        <v>0</v>
      </c>
      <c r="R1195" s="2" t="str">
        <f t="shared" si="248"/>
        <v>Number</v>
      </c>
      <c r="S1195" s="2">
        <v>5.99</v>
      </c>
      <c r="T1195" s="19">
        <f t="shared" si="249"/>
        <v>5.99</v>
      </c>
      <c r="U1195" s="2" t="s">
        <v>3429</v>
      </c>
      <c r="V1195" s="19">
        <f t="shared" si="250"/>
        <v>45.98</v>
      </c>
      <c r="W1195" s="19">
        <f t="shared" si="251"/>
        <v>45.980000000000004</v>
      </c>
      <c r="X1195" s="19" t="str">
        <f t="shared" si="252"/>
        <v>True</v>
      </c>
      <c r="Y1195" s="19" t="str">
        <f>IF(OR(W1195&lt;'Cleaning Tasks'!$G$18,W1195&gt;'Cleaning Tasks'!$H$18),"Outlier","Normal")</f>
        <v>Normal</v>
      </c>
      <c r="Z1195" s="2" t="s">
        <v>49</v>
      </c>
      <c r="AA1195" s="2" t="s">
        <v>27</v>
      </c>
      <c r="AB1195" s="2" t="s">
        <v>96</v>
      </c>
      <c r="AC1195" s="2" t="s">
        <v>42</v>
      </c>
      <c r="AD1195" s="2"/>
      <c r="AE1195" s="2" t="str">
        <f t="shared" si="253"/>
        <v>Not Required</v>
      </c>
      <c r="AF1195" s="2" t="s">
        <v>3430</v>
      </c>
    </row>
    <row r="1196" spans="1:32" x14ac:dyDescent="0.3">
      <c r="A1196" s="2" t="s">
        <v>3431</v>
      </c>
      <c r="B1196" s="2">
        <f t="shared" si="243"/>
        <v>1</v>
      </c>
      <c r="C1196" s="12">
        <f t="shared" si="254"/>
        <v>46238.586853553243</v>
      </c>
      <c r="D1196" s="13">
        <v>46238.586853553243</v>
      </c>
      <c r="E1196" s="2" t="s">
        <v>2544</v>
      </c>
      <c r="F1196" s="2" t="str">
        <f t="shared" si="244"/>
        <v>Email Available</v>
      </c>
      <c r="G1196" s="2" t="s">
        <v>2545</v>
      </c>
      <c r="H1196" s="2" t="s">
        <v>117</v>
      </c>
      <c r="I1196" s="2" t="s">
        <v>22</v>
      </c>
      <c r="J1196" s="2" t="s">
        <v>23</v>
      </c>
      <c r="K1196" s="2">
        <v>1</v>
      </c>
      <c r="L1196" s="2">
        <v>12.99</v>
      </c>
      <c r="M1196" s="19">
        <f t="shared" si="245"/>
        <v>12.99</v>
      </c>
      <c r="N1196" s="2"/>
      <c r="O1196" s="2" t="str">
        <f t="shared" si="246"/>
        <v/>
      </c>
      <c r="P1196" s="2">
        <v>0</v>
      </c>
      <c r="Q1196" s="19">
        <f t="shared" si="247"/>
        <v>0</v>
      </c>
      <c r="R1196" s="2" t="str">
        <f t="shared" si="248"/>
        <v>Number</v>
      </c>
      <c r="S1196" s="2">
        <v>5.99</v>
      </c>
      <c r="T1196" s="19">
        <f t="shared" si="249"/>
        <v>5.99</v>
      </c>
      <c r="U1196" s="2">
        <v>18.98</v>
      </c>
      <c r="V1196" s="19">
        <f t="shared" si="250"/>
        <v>18.98</v>
      </c>
      <c r="W1196" s="19">
        <f t="shared" si="251"/>
        <v>18.98</v>
      </c>
      <c r="X1196" s="19" t="str">
        <f t="shared" si="252"/>
        <v>True</v>
      </c>
      <c r="Y1196" s="19" t="str">
        <f>IF(OR(W1196&lt;'Cleaning Tasks'!$G$18,W1196&gt;'Cleaning Tasks'!$H$18),"Outlier","Normal")</f>
        <v>Normal</v>
      </c>
      <c r="Z1196" s="2" t="s">
        <v>66</v>
      </c>
      <c r="AA1196" s="2" t="s">
        <v>27</v>
      </c>
      <c r="AB1196" s="2" t="s">
        <v>50</v>
      </c>
      <c r="AC1196" s="2" t="s">
        <v>331</v>
      </c>
      <c r="AD1196" s="2"/>
      <c r="AE1196" s="2" t="str">
        <f t="shared" si="253"/>
        <v>Not Required</v>
      </c>
      <c r="AF1196" s="2" t="s">
        <v>3432</v>
      </c>
    </row>
    <row r="1197" spans="1:32" x14ac:dyDescent="0.3">
      <c r="A1197" s="2" t="s">
        <v>3433</v>
      </c>
      <c r="B1197" s="2">
        <f t="shared" si="243"/>
        <v>1</v>
      </c>
      <c r="C1197" s="12">
        <f t="shared" si="254"/>
        <v>46238.582516180562</v>
      </c>
      <c r="D1197" s="13">
        <v>46238.582516180562</v>
      </c>
      <c r="E1197" s="2" t="s">
        <v>2157</v>
      </c>
      <c r="F1197" s="2" t="str">
        <f t="shared" si="244"/>
        <v>Email Available</v>
      </c>
      <c r="G1197" s="2" t="s">
        <v>3434</v>
      </c>
      <c r="H1197" s="2" t="s">
        <v>46</v>
      </c>
      <c r="I1197" s="2" t="s">
        <v>47</v>
      </c>
      <c r="J1197" s="2" t="s">
        <v>48</v>
      </c>
      <c r="K1197" s="2">
        <v>2</v>
      </c>
      <c r="L1197" s="2">
        <v>39.99</v>
      </c>
      <c r="M1197" s="19">
        <f t="shared" si="245"/>
        <v>39.99</v>
      </c>
      <c r="N1197" s="2"/>
      <c r="O1197" s="2" t="str">
        <f t="shared" si="246"/>
        <v/>
      </c>
      <c r="P1197" s="2" t="s">
        <v>184</v>
      </c>
      <c r="Q1197" s="19">
        <f t="shared" si="247"/>
        <v>0</v>
      </c>
      <c r="R1197" s="2" t="str">
        <f t="shared" si="248"/>
        <v>Number</v>
      </c>
      <c r="S1197" s="2">
        <v>0</v>
      </c>
      <c r="T1197" s="19">
        <f t="shared" si="249"/>
        <v>0</v>
      </c>
      <c r="U1197" s="2">
        <v>79.98</v>
      </c>
      <c r="V1197" s="19">
        <f t="shared" si="250"/>
        <v>79.98</v>
      </c>
      <c r="W1197" s="19">
        <f t="shared" si="251"/>
        <v>79.98</v>
      </c>
      <c r="X1197" s="19" t="str">
        <f t="shared" si="252"/>
        <v>True</v>
      </c>
      <c r="Y1197" s="19" t="str">
        <f>IF(OR(W1197&lt;'Cleaning Tasks'!$G$18,W1197&gt;'Cleaning Tasks'!$H$18),"Outlier","Normal")</f>
        <v>Normal</v>
      </c>
      <c r="Z1197" s="2" t="s">
        <v>26</v>
      </c>
      <c r="AA1197" s="2" t="s">
        <v>27</v>
      </c>
      <c r="AB1197" s="2" t="s">
        <v>50</v>
      </c>
      <c r="AC1197" s="2" t="s">
        <v>223</v>
      </c>
      <c r="AD1197" s="2"/>
      <c r="AE1197" s="2" t="str">
        <f t="shared" si="253"/>
        <v>Not Required</v>
      </c>
      <c r="AF1197" s="2" t="s">
        <v>3435</v>
      </c>
    </row>
    <row r="1198" spans="1:32" x14ac:dyDescent="0.3">
      <c r="A1198" s="2" t="s">
        <v>3436</v>
      </c>
      <c r="B1198" s="2">
        <f t="shared" si="243"/>
        <v>1</v>
      </c>
      <c r="C1198" s="12">
        <f t="shared" si="254"/>
        <v>46238.583406493053</v>
      </c>
      <c r="D1198" s="13">
        <v>46238.583406493053</v>
      </c>
      <c r="E1198" s="2" t="s">
        <v>1075</v>
      </c>
      <c r="F1198" s="2" t="str">
        <f t="shared" si="244"/>
        <v>Email Available</v>
      </c>
      <c r="G1198" s="2" t="s">
        <v>587</v>
      </c>
      <c r="H1198" s="2" t="s">
        <v>117</v>
      </c>
      <c r="I1198" s="2" t="s">
        <v>22</v>
      </c>
      <c r="J1198" s="2" t="s">
        <v>23</v>
      </c>
      <c r="K1198" s="2">
        <v>1</v>
      </c>
      <c r="L1198" s="2">
        <v>12.99</v>
      </c>
      <c r="M1198" s="19">
        <f t="shared" si="245"/>
        <v>12.99</v>
      </c>
      <c r="N1198" s="2"/>
      <c r="O1198" s="2" t="str">
        <f t="shared" si="246"/>
        <v/>
      </c>
      <c r="P1198" s="2">
        <v>0</v>
      </c>
      <c r="Q1198" s="19">
        <f t="shared" si="247"/>
        <v>0</v>
      </c>
      <c r="R1198" s="2" t="str">
        <f t="shared" si="248"/>
        <v>Number</v>
      </c>
      <c r="S1198" s="2">
        <v>4.99</v>
      </c>
      <c r="T1198" s="19">
        <f t="shared" si="249"/>
        <v>4.99</v>
      </c>
      <c r="U1198" s="2">
        <v>17.98</v>
      </c>
      <c r="V1198" s="19">
        <f t="shared" si="250"/>
        <v>17.98</v>
      </c>
      <c r="W1198" s="19">
        <f t="shared" si="251"/>
        <v>17.98</v>
      </c>
      <c r="X1198" s="19" t="str">
        <f t="shared" si="252"/>
        <v>True</v>
      </c>
      <c r="Y1198" s="19" t="str">
        <f>IF(OR(W1198&lt;'Cleaning Tasks'!$G$18,W1198&gt;'Cleaning Tasks'!$H$18),"Outlier","Normal")</f>
        <v>Normal</v>
      </c>
      <c r="Z1198" s="2" t="s">
        <v>49</v>
      </c>
      <c r="AA1198" s="2" t="s">
        <v>88</v>
      </c>
      <c r="AB1198" s="2" t="s">
        <v>28</v>
      </c>
      <c r="AC1198" s="2" t="s">
        <v>29</v>
      </c>
      <c r="AD1198" s="2" t="s">
        <v>447</v>
      </c>
      <c r="AE1198" s="2" t="str">
        <f t="shared" si="253"/>
        <v>Valid</v>
      </c>
      <c r="AF1198" s="2" t="s">
        <v>3437</v>
      </c>
    </row>
    <row r="1199" spans="1:32" x14ac:dyDescent="0.3">
      <c r="A1199" s="2" t="s">
        <v>3438</v>
      </c>
      <c r="B1199" s="2">
        <f t="shared" si="243"/>
        <v>1</v>
      </c>
      <c r="C1199" s="12">
        <f t="shared" si="254"/>
        <v>46238.58545402778</v>
      </c>
      <c r="D1199" s="13">
        <v>46238.58545402778</v>
      </c>
      <c r="E1199" s="2" t="s">
        <v>1117</v>
      </c>
      <c r="F1199" s="2" t="str">
        <f t="shared" si="244"/>
        <v>Email Available</v>
      </c>
      <c r="G1199" s="2" t="s">
        <v>1118</v>
      </c>
      <c r="H1199" s="22" t="s">
        <v>63</v>
      </c>
      <c r="I1199" s="2" t="s">
        <v>47</v>
      </c>
      <c r="J1199" s="2" t="s">
        <v>64</v>
      </c>
      <c r="K1199" s="2">
        <v>1</v>
      </c>
      <c r="L1199" s="2">
        <v>14.99</v>
      </c>
      <c r="M1199" s="19">
        <f t="shared" si="245"/>
        <v>14.99</v>
      </c>
      <c r="N1199" s="2" t="s">
        <v>118</v>
      </c>
      <c r="O1199" s="2" t="str">
        <f t="shared" si="246"/>
        <v>BFCM25</v>
      </c>
      <c r="P1199" s="2">
        <v>3.75</v>
      </c>
      <c r="Q1199" s="19">
        <f t="shared" si="247"/>
        <v>3.75</v>
      </c>
      <c r="R1199" s="2" t="str">
        <f t="shared" si="248"/>
        <v>Number</v>
      </c>
      <c r="S1199" s="2">
        <v>7.99</v>
      </c>
      <c r="T1199" s="19">
        <f t="shared" si="249"/>
        <v>7.99</v>
      </c>
      <c r="U1199" s="2">
        <v>19.23</v>
      </c>
      <c r="V1199" s="19">
        <f t="shared" si="250"/>
        <v>19.23</v>
      </c>
      <c r="W1199" s="19">
        <f t="shared" si="251"/>
        <v>19.23</v>
      </c>
      <c r="X1199" s="19" t="str">
        <f t="shared" si="252"/>
        <v>True</v>
      </c>
      <c r="Y1199" s="19" t="str">
        <f>IF(OR(W1199&lt;'Cleaning Tasks'!$G$18,W1199&gt;'Cleaning Tasks'!$H$18),"Outlier","Normal")</f>
        <v>Normal</v>
      </c>
      <c r="Z1199" s="2" t="s">
        <v>26</v>
      </c>
      <c r="AA1199" s="2" t="s">
        <v>27</v>
      </c>
      <c r="AB1199" s="2" t="s">
        <v>50</v>
      </c>
      <c r="AC1199" s="2" t="s">
        <v>331</v>
      </c>
      <c r="AD1199" s="2"/>
      <c r="AE1199" s="2" t="str">
        <f t="shared" si="253"/>
        <v>Not Required</v>
      </c>
      <c r="AF1199" s="2" t="s">
        <v>3439</v>
      </c>
    </row>
    <row r="1200" spans="1:32" x14ac:dyDescent="0.3">
      <c r="A1200" s="2" t="s">
        <v>3440</v>
      </c>
      <c r="B1200" s="2">
        <f t="shared" si="243"/>
        <v>1</v>
      </c>
      <c r="C1200" s="12">
        <f t="shared" si="254"/>
        <v>46238.587872800927</v>
      </c>
      <c r="D1200" s="13">
        <v>46238.587872800927</v>
      </c>
      <c r="E1200" s="2" t="s">
        <v>1455</v>
      </c>
      <c r="F1200" s="2" t="str">
        <f t="shared" si="244"/>
        <v>Email Available</v>
      </c>
      <c r="G1200" s="2" t="s">
        <v>1279</v>
      </c>
      <c r="H1200" s="2" t="s">
        <v>35</v>
      </c>
      <c r="I1200" s="2" t="s">
        <v>36</v>
      </c>
      <c r="J1200" s="2" t="s">
        <v>37</v>
      </c>
      <c r="K1200" s="2">
        <v>1</v>
      </c>
      <c r="L1200" s="2">
        <v>21.99</v>
      </c>
      <c r="M1200" s="19">
        <f t="shared" si="245"/>
        <v>21.99</v>
      </c>
      <c r="N1200" s="2" t="s">
        <v>203</v>
      </c>
      <c r="O1200" s="2" t="str">
        <f t="shared" si="246"/>
        <v>VIP15</v>
      </c>
      <c r="P1200" s="2">
        <v>3.3</v>
      </c>
      <c r="Q1200" s="19">
        <f t="shared" si="247"/>
        <v>3.3</v>
      </c>
      <c r="R1200" s="2" t="str">
        <f t="shared" si="248"/>
        <v>Number</v>
      </c>
      <c r="S1200" s="2">
        <v>5.99</v>
      </c>
      <c r="T1200" s="19">
        <f t="shared" si="249"/>
        <v>5.99</v>
      </c>
      <c r="U1200" s="2">
        <v>24.68</v>
      </c>
      <c r="V1200" s="19">
        <f t="shared" si="250"/>
        <v>24.68</v>
      </c>
      <c r="W1200" s="19">
        <f t="shared" si="251"/>
        <v>24.68</v>
      </c>
      <c r="X1200" s="19" t="str">
        <f t="shared" si="252"/>
        <v>True</v>
      </c>
      <c r="Y1200" s="19" t="str">
        <f>IF(OR(W1200&lt;'Cleaning Tasks'!$G$18,W1200&gt;'Cleaning Tasks'!$H$18),"Outlier","Normal")</f>
        <v>Normal</v>
      </c>
      <c r="Z1200" s="2" t="s">
        <v>26</v>
      </c>
      <c r="AA1200" s="2" t="s">
        <v>27</v>
      </c>
      <c r="AB1200" s="2" t="s">
        <v>50</v>
      </c>
      <c r="AC1200" s="2" t="s">
        <v>29</v>
      </c>
      <c r="AD1200" s="2" t="s">
        <v>89</v>
      </c>
      <c r="AE1200" s="2" t="str">
        <f t="shared" si="253"/>
        <v>Valid</v>
      </c>
      <c r="AF1200" s="2" t="s">
        <v>1680</v>
      </c>
    </row>
    <row r="1201" spans="1:32" x14ac:dyDescent="0.3">
      <c r="A1201" s="2" t="s">
        <v>3441</v>
      </c>
      <c r="B1201" s="2">
        <f t="shared" si="243"/>
        <v>1</v>
      </c>
      <c r="C1201" s="12">
        <f t="shared" si="254"/>
        <v>46238.581303171297</v>
      </c>
      <c r="D1201" s="13">
        <v>46238.581303171297</v>
      </c>
      <c r="E1201" s="2" t="s">
        <v>673</v>
      </c>
      <c r="F1201" s="2" t="str">
        <f t="shared" si="244"/>
        <v>Missing Email</v>
      </c>
      <c r="G1201" s="2"/>
      <c r="H1201" s="2" t="s">
        <v>130</v>
      </c>
      <c r="I1201" s="2" t="s">
        <v>103</v>
      </c>
      <c r="J1201" s="2" t="s">
        <v>131</v>
      </c>
      <c r="K1201" s="2">
        <v>1</v>
      </c>
      <c r="L1201" s="2">
        <v>16.989999999999998</v>
      </c>
      <c r="M1201" s="19">
        <f t="shared" si="245"/>
        <v>16.989999999999998</v>
      </c>
      <c r="N1201" s="2"/>
      <c r="O1201" s="2" t="str">
        <f t="shared" si="246"/>
        <v/>
      </c>
      <c r="P1201" s="2">
        <v>0</v>
      </c>
      <c r="Q1201" s="19">
        <f t="shared" si="247"/>
        <v>0</v>
      </c>
      <c r="R1201" s="2" t="str">
        <f t="shared" si="248"/>
        <v>Number</v>
      </c>
      <c r="S1201" s="2">
        <v>7.99</v>
      </c>
      <c r="T1201" s="19">
        <f t="shared" si="249"/>
        <v>7.99</v>
      </c>
      <c r="U1201" s="2">
        <v>24.98</v>
      </c>
      <c r="V1201" s="19">
        <f t="shared" si="250"/>
        <v>24.98</v>
      </c>
      <c r="W1201" s="19">
        <f t="shared" si="251"/>
        <v>24.979999999999997</v>
      </c>
      <c r="X1201" s="19" t="str">
        <f t="shared" si="252"/>
        <v>True</v>
      </c>
      <c r="Y1201" s="19" t="str">
        <f>IF(OR(W1201&lt;'Cleaning Tasks'!$G$18,W1201&gt;'Cleaning Tasks'!$H$18),"Outlier","Normal")</f>
        <v>Normal</v>
      </c>
      <c r="Z1201" s="2" t="s">
        <v>39</v>
      </c>
      <c r="AA1201" s="2" t="s">
        <v>40</v>
      </c>
      <c r="AB1201" s="2" t="s">
        <v>96</v>
      </c>
      <c r="AC1201" s="2" t="s">
        <v>73</v>
      </c>
      <c r="AD1201" s="2"/>
      <c r="AE1201" s="2" t="str">
        <f t="shared" si="253"/>
        <v>Not Required</v>
      </c>
      <c r="AF1201" s="2" t="s">
        <v>2095</v>
      </c>
    </row>
    <row r="1202" spans="1:32" x14ac:dyDescent="0.3">
      <c r="A1202" s="2" t="s">
        <v>3442</v>
      </c>
      <c r="B1202" s="2">
        <f t="shared" si="243"/>
        <v>1</v>
      </c>
      <c r="C1202" s="12">
        <f t="shared" si="254"/>
        <v>46238</v>
      </c>
      <c r="D1202" s="13" t="s">
        <v>143</v>
      </c>
      <c r="E1202" s="2" t="s">
        <v>3443</v>
      </c>
      <c r="F1202" s="2" t="str">
        <f t="shared" si="244"/>
        <v>Missing Email</v>
      </c>
      <c r="G1202" s="2"/>
      <c r="H1202" s="2" t="s">
        <v>166</v>
      </c>
      <c r="I1202" s="2" t="s">
        <v>103</v>
      </c>
      <c r="J1202" s="2" t="s">
        <v>167</v>
      </c>
      <c r="K1202" s="2">
        <v>1</v>
      </c>
      <c r="L1202" s="2">
        <v>32.99</v>
      </c>
      <c r="M1202" s="19">
        <f t="shared" si="245"/>
        <v>32.99</v>
      </c>
      <c r="N1202" s="2" t="s">
        <v>65</v>
      </c>
      <c r="O1202" s="2" t="str">
        <f t="shared" si="246"/>
        <v>WELCOME10</v>
      </c>
      <c r="P1202" s="2">
        <v>3.3</v>
      </c>
      <c r="Q1202" s="19">
        <f t="shared" si="247"/>
        <v>3.3</v>
      </c>
      <c r="R1202" s="2" t="str">
        <f t="shared" si="248"/>
        <v>Number</v>
      </c>
      <c r="S1202" s="2">
        <v>4.99</v>
      </c>
      <c r="T1202" s="19">
        <f t="shared" si="249"/>
        <v>4.99</v>
      </c>
      <c r="U1202" s="2" t="s">
        <v>3444</v>
      </c>
      <c r="V1202" s="19">
        <f t="shared" si="250"/>
        <v>34.68</v>
      </c>
      <c r="W1202" s="19">
        <f t="shared" si="251"/>
        <v>34.68</v>
      </c>
      <c r="X1202" s="19" t="str">
        <f t="shared" si="252"/>
        <v>True</v>
      </c>
      <c r="Y1202" s="19" t="str">
        <f>IF(OR(W1202&lt;'Cleaning Tasks'!$G$18,W1202&gt;'Cleaning Tasks'!$H$18),"Outlier","Normal")</f>
        <v>Normal</v>
      </c>
      <c r="Z1202" s="2" t="s">
        <v>26</v>
      </c>
      <c r="AA1202" s="2" t="s">
        <v>27</v>
      </c>
      <c r="AB1202" s="2" t="s">
        <v>28</v>
      </c>
      <c r="AC1202" s="2" t="s">
        <v>105</v>
      </c>
      <c r="AD1202" s="2"/>
      <c r="AE1202" s="2" t="str">
        <f t="shared" si="253"/>
        <v>Not Required</v>
      </c>
      <c r="AF1202" s="2" t="s">
        <v>1881</v>
      </c>
    </row>
    <row r="1203" spans="1:32" x14ac:dyDescent="0.3">
      <c r="A1203" s="2" t="s">
        <v>3445</v>
      </c>
      <c r="B1203" s="2">
        <f t="shared" si="243"/>
        <v>1</v>
      </c>
      <c r="C1203" s="12">
        <f t="shared" si="254"/>
        <v>46238.579728136567</v>
      </c>
      <c r="D1203" s="13">
        <v>46238.579728136567</v>
      </c>
      <c r="E1203" s="2" t="s">
        <v>172</v>
      </c>
      <c r="F1203" s="2" t="str">
        <f t="shared" si="244"/>
        <v>Email Available</v>
      </c>
      <c r="G1203" s="2" t="s">
        <v>173</v>
      </c>
      <c r="H1203" s="2" t="s">
        <v>361</v>
      </c>
      <c r="I1203" s="2" t="s">
        <v>86</v>
      </c>
      <c r="J1203" s="2" t="s">
        <v>362</v>
      </c>
      <c r="K1203" s="2">
        <v>1</v>
      </c>
      <c r="L1203" s="2">
        <v>54.99</v>
      </c>
      <c r="M1203" s="19">
        <f t="shared" si="245"/>
        <v>54.99</v>
      </c>
      <c r="N1203" s="2"/>
      <c r="O1203" s="2" t="str">
        <f t="shared" si="246"/>
        <v/>
      </c>
      <c r="P1203" s="2" t="s">
        <v>184</v>
      </c>
      <c r="Q1203" s="19">
        <f t="shared" si="247"/>
        <v>0</v>
      </c>
      <c r="R1203" s="2" t="str">
        <f t="shared" si="248"/>
        <v>Number</v>
      </c>
      <c r="S1203" s="2">
        <v>7.99</v>
      </c>
      <c r="T1203" s="19">
        <f t="shared" si="249"/>
        <v>7.99</v>
      </c>
      <c r="U1203" s="2">
        <v>62.98</v>
      </c>
      <c r="V1203" s="19">
        <f t="shared" si="250"/>
        <v>62.98</v>
      </c>
      <c r="W1203" s="19">
        <f t="shared" si="251"/>
        <v>62.980000000000004</v>
      </c>
      <c r="X1203" s="19" t="str">
        <f t="shared" si="252"/>
        <v>True</v>
      </c>
      <c r="Y1203" s="19" t="str">
        <f>IF(OR(W1203&lt;'Cleaning Tasks'!$G$18,W1203&gt;'Cleaning Tasks'!$H$18),"Outlier","Normal")</f>
        <v>Normal</v>
      </c>
      <c r="Z1203" s="2" t="s">
        <v>49</v>
      </c>
      <c r="AA1203" s="2" t="s">
        <v>27</v>
      </c>
      <c r="AB1203" s="2" t="s">
        <v>41</v>
      </c>
      <c r="AC1203" s="2" t="s">
        <v>29</v>
      </c>
      <c r="AD1203" s="2" t="s">
        <v>341</v>
      </c>
      <c r="AE1203" s="2" t="str">
        <f t="shared" si="253"/>
        <v>Valid</v>
      </c>
      <c r="AF1203" s="2" t="s">
        <v>3446</v>
      </c>
    </row>
    <row r="1204" spans="1:32" x14ac:dyDescent="0.3">
      <c r="A1204" s="2" t="s">
        <v>3447</v>
      </c>
      <c r="B1204" s="2">
        <f t="shared" si="243"/>
        <v>1</v>
      </c>
      <c r="C1204" s="12">
        <f t="shared" si="254"/>
        <v>46238.58324550926</v>
      </c>
      <c r="D1204" s="13">
        <v>46238.58324550926</v>
      </c>
      <c r="E1204" s="2" t="s">
        <v>1782</v>
      </c>
      <c r="F1204" s="2" t="str">
        <f t="shared" si="244"/>
        <v>Email Available</v>
      </c>
      <c r="G1204" s="2" t="s">
        <v>1783</v>
      </c>
      <c r="H1204" s="2" t="s">
        <v>117</v>
      </c>
      <c r="I1204" s="2" t="s">
        <v>22</v>
      </c>
      <c r="J1204" s="2" t="s">
        <v>23</v>
      </c>
      <c r="K1204" s="2">
        <v>2</v>
      </c>
      <c r="L1204" s="2">
        <v>12.99</v>
      </c>
      <c r="M1204" s="19">
        <f t="shared" si="245"/>
        <v>12.99</v>
      </c>
      <c r="N1204" s="2"/>
      <c r="O1204" s="2" t="str">
        <f t="shared" si="246"/>
        <v/>
      </c>
      <c r="P1204" s="2" t="s">
        <v>184</v>
      </c>
      <c r="Q1204" s="19">
        <f t="shared" si="247"/>
        <v>0</v>
      </c>
      <c r="R1204" s="2" t="str">
        <f t="shared" si="248"/>
        <v>Number</v>
      </c>
      <c r="S1204" s="2">
        <v>7.99</v>
      </c>
      <c r="T1204" s="19">
        <f t="shared" si="249"/>
        <v>7.99</v>
      </c>
      <c r="U1204" s="2" t="s">
        <v>1889</v>
      </c>
      <c r="V1204" s="19">
        <f t="shared" si="250"/>
        <v>33.97</v>
      </c>
      <c r="W1204" s="19">
        <f t="shared" si="251"/>
        <v>33.97</v>
      </c>
      <c r="X1204" s="19" t="str">
        <f t="shared" si="252"/>
        <v>True</v>
      </c>
      <c r="Y1204" s="19" t="str">
        <f>IF(OR(W1204&lt;'Cleaning Tasks'!$G$18,W1204&gt;'Cleaning Tasks'!$H$18),"Outlier","Normal")</f>
        <v>Normal</v>
      </c>
      <c r="Z1204" s="2" t="s">
        <v>72</v>
      </c>
      <c r="AA1204" s="2" t="s">
        <v>27</v>
      </c>
      <c r="AB1204" s="2" t="s">
        <v>96</v>
      </c>
      <c r="AC1204" s="2" t="s">
        <v>29</v>
      </c>
      <c r="AD1204" s="2" t="s">
        <v>447</v>
      </c>
      <c r="AE1204" s="2" t="str">
        <f t="shared" si="253"/>
        <v>Valid</v>
      </c>
      <c r="AF1204" s="2" t="s">
        <v>3448</v>
      </c>
    </row>
    <row r="1205" spans="1:32" x14ac:dyDescent="0.3">
      <c r="A1205" s="2" t="s">
        <v>3449</v>
      </c>
      <c r="B1205" s="2">
        <f t="shared" si="243"/>
        <v>1</v>
      </c>
      <c r="C1205" s="12">
        <f>DATE(VALUE(RIGHT(D1205,4)),MATCH(LEFT(D1205,3),{"Jan","Feb","Mar","Apr","May","Jun","Jul","Aug","Sep","Oct","Nov","Dec"},0),VALUE(MID(D1205,5,2)))</f>
        <v>46238</v>
      </c>
      <c r="D1205" s="13" t="s">
        <v>171</v>
      </c>
      <c r="E1205" s="2" t="s">
        <v>2628</v>
      </c>
      <c r="F1205" s="2" t="str">
        <f t="shared" si="244"/>
        <v>Email Available</v>
      </c>
      <c r="G1205" s="2" t="s">
        <v>2629</v>
      </c>
      <c r="H1205" s="2" t="s">
        <v>109</v>
      </c>
      <c r="I1205" s="2" t="s">
        <v>79</v>
      </c>
      <c r="J1205" s="2" t="s">
        <v>110</v>
      </c>
      <c r="K1205" s="2">
        <v>1</v>
      </c>
      <c r="L1205" s="2">
        <v>22.99</v>
      </c>
      <c r="M1205" s="19">
        <f t="shared" si="245"/>
        <v>22.99</v>
      </c>
      <c r="N1205" s="2" t="s">
        <v>203</v>
      </c>
      <c r="O1205" s="2" t="str">
        <f t="shared" si="246"/>
        <v>VIP15</v>
      </c>
      <c r="P1205" s="2">
        <v>3.45</v>
      </c>
      <c r="Q1205" s="19">
        <f t="shared" si="247"/>
        <v>3.45</v>
      </c>
      <c r="R1205" s="2" t="str">
        <f t="shared" si="248"/>
        <v>Number</v>
      </c>
      <c r="S1205" s="2">
        <v>5.99</v>
      </c>
      <c r="T1205" s="19">
        <f t="shared" si="249"/>
        <v>5.99</v>
      </c>
      <c r="U1205" s="2">
        <v>25.53</v>
      </c>
      <c r="V1205" s="19">
        <f t="shared" si="250"/>
        <v>25.53</v>
      </c>
      <c r="W1205" s="19">
        <f t="shared" si="251"/>
        <v>25.53</v>
      </c>
      <c r="X1205" s="19" t="str">
        <f t="shared" si="252"/>
        <v>True</v>
      </c>
      <c r="Y1205" s="19" t="str">
        <f>IF(OR(W1205&lt;'Cleaning Tasks'!$G$18,W1205&gt;'Cleaning Tasks'!$H$18),"Outlier","Normal")</f>
        <v>Normal</v>
      </c>
      <c r="Z1205" s="2" t="s">
        <v>49</v>
      </c>
      <c r="AA1205" s="2" t="s">
        <v>88</v>
      </c>
      <c r="AB1205" s="2" t="s">
        <v>96</v>
      </c>
      <c r="AC1205" s="2" t="s">
        <v>29</v>
      </c>
      <c r="AD1205" s="2" t="s">
        <v>140</v>
      </c>
      <c r="AE1205" s="2" t="str">
        <f t="shared" si="253"/>
        <v>Valid</v>
      </c>
      <c r="AF1205" s="2" t="s">
        <v>3450</v>
      </c>
    </row>
    <row r="1206" spans="1:32" x14ac:dyDescent="0.3">
      <c r="A1206" s="2" t="s">
        <v>3451</v>
      </c>
      <c r="B1206" s="2">
        <f t="shared" si="243"/>
        <v>1</v>
      </c>
      <c r="C1206" s="12">
        <f t="shared" ref="C1206:C1237" si="255">IF(ISNUMBER(D1206),D1206,DATEVALUE(SUBSTITUTE(TRIM(D1206),CHAR(160)," ")))</f>
        <v>46238.586225300933</v>
      </c>
      <c r="D1206" s="13">
        <v>46238.586225300933</v>
      </c>
      <c r="E1206" s="2" t="s">
        <v>172</v>
      </c>
      <c r="F1206" s="2" t="str">
        <f t="shared" si="244"/>
        <v>Email Available</v>
      </c>
      <c r="G1206" s="2" t="s">
        <v>173</v>
      </c>
      <c r="H1206" s="2" t="s">
        <v>102</v>
      </c>
      <c r="I1206" s="2" t="s">
        <v>103</v>
      </c>
      <c r="J1206" s="2" t="s">
        <v>104</v>
      </c>
      <c r="K1206" s="2">
        <v>1</v>
      </c>
      <c r="L1206" s="2">
        <v>19.989999999999998</v>
      </c>
      <c r="M1206" s="19">
        <f t="shared" si="245"/>
        <v>19.989999999999998</v>
      </c>
      <c r="N1206" s="2" t="s">
        <v>24</v>
      </c>
      <c r="O1206" s="2" t="str">
        <f t="shared" si="246"/>
        <v>SAVE20</v>
      </c>
      <c r="P1206" s="2">
        <v>4</v>
      </c>
      <c r="Q1206" s="19">
        <f t="shared" si="247"/>
        <v>4</v>
      </c>
      <c r="R1206" s="2" t="str">
        <f t="shared" si="248"/>
        <v>Number</v>
      </c>
      <c r="S1206" s="2">
        <v>5.99</v>
      </c>
      <c r="T1206" s="19">
        <f t="shared" si="249"/>
        <v>5.99</v>
      </c>
      <c r="U1206" s="2">
        <v>21.98</v>
      </c>
      <c r="V1206" s="19">
        <f t="shared" si="250"/>
        <v>21.98</v>
      </c>
      <c r="W1206" s="19">
        <f t="shared" si="251"/>
        <v>21.979999999999997</v>
      </c>
      <c r="X1206" s="19" t="str">
        <f t="shared" si="252"/>
        <v>True</v>
      </c>
      <c r="Y1206" s="19" t="str">
        <f>IF(OR(W1206&lt;'Cleaning Tasks'!$G$18,W1206&gt;'Cleaning Tasks'!$H$18),"Outlier","Normal")</f>
        <v>Normal</v>
      </c>
      <c r="Z1206" s="2" t="s">
        <v>72</v>
      </c>
      <c r="AA1206" s="2" t="s">
        <v>40</v>
      </c>
      <c r="AB1206" s="2" t="s">
        <v>50</v>
      </c>
      <c r="AC1206" s="2" t="s">
        <v>29</v>
      </c>
      <c r="AD1206" s="2" t="s">
        <v>341</v>
      </c>
      <c r="AE1206" s="2" t="str">
        <f t="shared" si="253"/>
        <v>Valid</v>
      </c>
      <c r="AF1206" s="2" t="s">
        <v>3452</v>
      </c>
    </row>
    <row r="1207" spans="1:32" x14ac:dyDescent="0.3">
      <c r="A1207" s="2" t="s">
        <v>3453</v>
      </c>
      <c r="B1207" s="2">
        <f t="shared" si="243"/>
        <v>1</v>
      </c>
      <c r="C1207" s="12">
        <f t="shared" si="255"/>
        <v>46238.58005434028</v>
      </c>
      <c r="D1207" s="13">
        <v>46238.58005434028</v>
      </c>
      <c r="E1207" s="2" t="s">
        <v>805</v>
      </c>
      <c r="F1207" s="2" t="str">
        <f t="shared" si="244"/>
        <v>Email Available</v>
      </c>
      <c r="G1207" s="2" t="s">
        <v>806</v>
      </c>
      <c r="H1207" s="2" t="s">
        <v>117</v>
      </c>
      <c r="I1207" s="2" t="s">
        <v>22</v>
      </c>
      <c r="J1207" s="2" t="s">
        <v>23</v>
      </c>
      <c r="K1207" s="2">
        <v>2</v>
      </c>
      <c r="L1207" s="2">
        <v>12.99</v>
      </c>
      <c r="M1207" s="19">
        <f t="shared" si="245"/>
        <v>12.99</v>
      </c>
      <c r="N1207" s="2"/>
      <c r="O1207" s="2" t="str">
        <f t="shared" si="246"/>
        <v/>
      </c>
      <c r="P1207" s="2">
        <v>0</v>
      </c>
      <c r="Q1207" s="19">
        <f t="shared" si="247"/>
        <v>0</v>
      </c>
      <c r="R1207" s="2" t="str">
        <f t="shared" si="248"/>
        <v>Number</v>
      </c>
      <c r="S1207" s="2">
        <v>7.99</v>
      </c>
      <c r="T1207" s="19">
        <f t="shared" si="249"/>
        <v>7.99</v>
      </c>
      <c r="U1207" s="2">
        <v>33.97</v>
      </c>
      <c r="V1207" s="19">
        <f t="shared" si="250"/>
        <v>33.97</v>
      </c>
      <c r="W1207" s="19">
        <f t="shared" si="251"/>
        <v>33.97</v>
      </c>
      <c r="X1207" s="19" t="str">
        <f t="shared" si="252"/>
        <v>True</v>
      </c>
      <c r="Y1207" s="19" t="str">
        <f>IF(OR(W1207&lt;'Cleaning Tasks'!$G$18,W1207&gt;'Cleaning Tasks'!$H$18),"Outlier","Normal")</f>
        <v>Normal</v>
      </c>
      <c r="Z1207" s="2" t="s">
        <v>49</v>
      </c>
      <c r="AA1207" s="2" t="s">
        <v>27</v>
      </c>
      <c r="AB1207" s="2" t="s">
        <v>50</v>
      </c>
      <c r="AC1207" s="2" t="s">
        <v>29</v>
      </c>
      <c r="AD1207" s="2" t="s">
        <v>30</v>
      </c>
      <c r="AE1207" s="2" t="str">
        <f t="shared" si="253"/>
        <v>Valid</v>
      </c>
      <c r="AF1207" s="2" t="s">
        <v>3454</v>
      </c>
    </row>
    <row r="1208" spans="1:32" x14ac:dyDescent="0.3">
      <c r="A1208" s="2" t="s">
        <v>3455</v>
      </c>
      <c r="B1208" s="2">
        <f t="shared" si="243"/>
        <v>1</v>
      </c>
      <c r="C1208" s="12">
        <f t="shared" si="255"/>
        <v>46238.580699351849</v>
      </c>
      <c r="D1208" s="13">
        <v>46238.580699351849</v>
      </c>
      <c r="E1208" s="2" t="s">
        <v>1989</v>
      </c>
      <c r="F1208" s="2" t="str">
        <f t="shared" si="244"/>
        <v>Email Available</v>
      </c>
      <c r="G1208" s="2" t="s">
        <v>1990</v>
      </c>
      <c r="H1208" s="2" t="s">
        <v>201</v>
      </c>
      <c r="I1208" s="2" t="s">
        <v>191</v>
      </c>
      <c r="J1208" s="2" t="s">
        <v>202</v>
      </c>
      <c r="K1208" s="2">
        <v>1</v>
      </c>
      <c r="L1208" s="2">
        <v>24.99</v>
      </c>
      <c r="M1208" s="19">
        <f t="shared" si="245"/>
        <v>24.99</v>
      </c>
      <c r="N1208" s="2" t="s">
        <v>203</v>
      </c>
      <c r="O1208" s="2" t="str">
        <f t="shared" si="246"/>
        <v>VIP15</v>
      </c>
      <c r="P1208" s="2">
        <v>3.75</v>
      </c>
      <c r="Q1208" s="19">
        <f t="shared" si="247"/>
        <v>3.75</v>
      </c>
      <c r="R1208" s="2" t="str">
        <f t="shared" si="248"/>
        <v>Number</v>
      </c>
      <c r="S1208" s="2">
        <v>4.99</v>
      </c>
      <c r="T1208" s="19">
        <f t="shared" si="249"/>
        <v>4.99</v>
      </c>
      <c r="U1208" s="2">
        <v>26.23</v>
      </c>
      <c r="V1208" s="19">
        <f t="shared" si="250"/>
        <v>26.23</v>
      </c>
      <c r="W1208" s="19">
        <f t="shared" si="251"/>
        <v>26.229999999999997</v>
      </c>
      <c r="X1208" s="19" t="str">
        <f t="shared" si="252"/>
        <v>True</v>
      </c>
      <c r="Y1208" s="19" t="str">
        <f>IF(OR(W1208&lt;'Cleaning Tasks'!$G$18,W1208&gt;'Cleaning Tasks'!$H$18),"Outlier","Normal")</f>
        <v>Normal</v>
      </c>
      <c r="Z1208" s="2" t="s">
        <v>39</v>
      </c>
      <c r="AA1208" s="2" t="s">
        <v>40</v>
      </c>
      <c r="AB1208" s="2" t="s">
        <v>50</v>
      </c>
      <c r="AC1208" s="2" t="s">
        <v>223</v>
      </c>
      <c r="AD1208" s="2"/>
      <c r="AE1208" s="2" t="str">
        <f t="shared" si="253"/>
        <v>Not Required</v>
      </c>
      <c r="AF1208" s="2" t="s">
        <v>3456</v>
      </c>
    </row>
    <row r="1209" spans="1:32" x14ac:dyDescent="0.3">
      <c r="A1209" s="2" t="s">
        <v>3457</v>
      </c>
      <c r="B1209" s="2">
        <f t="shared" si="243"/>
        <v>1</v>
      </c>
      <c r="C1209" s="12">
        <f t="shared" si="255"/>
        <v>46238.583207847223</v>
      </c>
      <c r="D1209" s="13">
        <v>46238.583207847223</v>
      </c>
      <c r="E1209" s="2" t="s">
        <v>1117</v>
      </c>
      <c r="F1209" s="2" t="str">
        <f t="shared" si="244"/>
        <v>Email Available</v>
      </c>
      <c r="G1209" s="2" t="s">
        <v>1118</v>
      </c>
      <c r="H1209" s="2" t="s">
        <v>85</v>
      </c>
      <c r="I1209" s="2" t="s">
        <v>86</v>
      </c>
      <c r="J1209" s="2" t="s">
        <v>87</v>
      </c>
      <c r="K1209" s="2">
        <v>2</v>
      </c>
      <c r="L1209" s="2">
        <v>54.99</v>
      </c>
      <c r="M1209" s="19">
        <f t="shared" si="245"/>
        <v>54.99</v>
      </c>
      <c r="N1209" s="2"/>
      <c r="O1209" s="2" t="str">
        <f t="shared" si="246"/>
        <v/>
      </c>
      <c r="P1209" s="2">
        <v>0</v>
      </c>
      <c r="Q1209" s="19">
        <f t="shared" si="247"/>
        <v>0</v>
      </c>
      <c r="R1209" s="2" t="str">
        <f t="shared" si="248"/>
        <v>Number</v>
      </c>
      <c r="S1209" s="2">
        <v>0</v>
      </c>
      <c r="T1209" s="19">
        <f t="shared" si="249"/>
        <v>0</v>
      </c>
      <c r="U1209" s="2">
        <v>109.98</v>
      </c>
      <c r="V1209" s="19">
        <f t="shared" si="250"/>
        <v>109.98</v>
      </c>
      <c r="W1209" s="19">
        <f t="shared" si="251"/>
        <v>109.98</v>
      </c>
      <c r="X1209" s="19" t="str">
        <f t="shared" si="252"/>
        <v>True</v>
      </c>
      <c r="Y1209" s="19" t="str">
        <f>IF(OR(W1209&lt;'Cleaning Tasks'!$G$18,W1209&gt;'Cleaning Tasks'!$H$18),"Outlier","Normal")</f>
        <v>Outlier</v>
      </c>
      <c r="Z1209" s="2" t="s">
        <v>39</v>
      </c>
      <c r="AA1209" s="2" t="s">
        <v>27</v>
      </c>
      <c r="AB1209" s="2" t="s">
        <v>96</v>
      </c>
      <c r="AC1209" s="2" t="s">
        <v>331</v>
      </c>
      <c r="AD1209" s="2"/>
      <c r="AE1209" s="2" t="str">
        <f t="shared" si="253"/>
        <v>Not Required</v>
      </c>
      <c r="AF1209" s="2" t="s">
        <v>3458</v>
      </c>
    </row>
    <row r="1210" spans="1:32" x14ac:dyDescent="0.3">
      <c r="A1210" s="2" t="s">
        <v>3459</v>
      </c>
      <c r="B1210" s="2">
        <f t="shared" si="243"/>
        <v>1</v>
      </c>
      <c r="C1210" s="12">
        <f t="shared" si="255"/>
        <v>46238.585646273154</v>
      </c>
      <c r="D1210" s="13">
        <v>46238.585646273154</v>
      </c>
      <c r="E1210" s="2" t="s">
        <v>3404</v>
      </c>
      <c r="F1210" s="2" t="str">
        <f t="shared" si="244"/>
        <v>Email Available</v>
      </c>
      <c r="G1210" s="2" t="s">
        <v>3405</v>
      </c>
      <c r="H1210" s="2" t="s">
        <v>85</v>
      </c>
      <c r="I1210" s="2" t="s">
        <v>86</v>
      </c>
      <c r="J1210" s="2" t="s">
        <v>87</v>
      </c>
      <c r="K1210" s="2">
        <v>1</v>
      </c>
      <c r="L1210" s="2">
        <v>54.99</v>
      </c>
      <c r="M1210" s="19">
        <f t="shared" si="245"/>
        <v>54.99</v>
      </c>
      <c r="N1210" s="2"/>
      <c r="O1210" s="2" t="str">
        <f t="shared" si="246"/>
        <v/>
      </c>
      <c r="P1210" s="2">
        <v>0</v>
      </c>
      <c r="Q1210" s="19">
        <f t="shared" si="247"/>
        <v>0</v>
      </c>
      <c r="R1210" s="2" t="str">
        <f t="shared" si="248"/>
        <v>Number</v>
      </c>
      <c r="S1210" s="2">
        <v>5.99</v>
      </c>
      <c r="T1210" s="19">
        <f t="shared" si="249"/>
        <v>5.99</v>
      </c>
      <c r="U1210" s="2">
        <v>60.98</v>
      </c>
      <c r="V1210" s="19">
        <f t="shared" si="250"/>
        <v>60.98</v>
      </c>
      <c r="W1210" s="19">
        <f t="shared" si="251"/>
        <v>60.980000000000004</v>
      </c>
      <c r="X1210" s="19" t="str">
        <f t="shared" si="252"/>
        <v>True</v>
      </c>
      <c r="Y1210" s="19" t="str">
        <f>IF(OR(W1210&lt;'Cleaning Tasks'!$G$18,W1210&gt;'Cleaning Tasks'!$H$18),"Outlier","Normal")</f>
        <v>Normal</v>
      </c>
      <c r="Z1210" s="2" t="s">
        <v>26</v>
      </c>
      <c r="AA1210" s="2" t="s">
        <v>40</v>
      </c>
      <c r="AB1210" s="2" t="s">
        <v>50</v>
      </c>
      <c r="AC1210" s="2" t="s">
        <v>223</v>
      </c>
      <c r="AD1210" s="2"/>
      <c r="AE1210" s="2" t="str">
        <f t="shared" si="253"/>
        <v>Not Required</v>
      </c>
      <c r="AF1210" s="2" t="s">
        <v>3460</v>
      </c>
    </row>
    <row r="1211" spans="1:32" x14ac:dyDescent="0.3">
      <c r="A1211" s="2" t="s">
        <v>3461</v>
      </c>
      <c r="B1211" s="2">
        <f t="shared" si="243"/>
        <v>1</v>
      </c>
      <c r="C1211" s="12">
        <f t="shared" si="255"/>
        <v>46238.583554872683</v>
      </c>
      <c r="D1211" s="13">
        <v>46238.583554872683</v>
      </c>
      <c r="E1211" s="2" t="s">
        <v>1764</v>
      </c>
      <c r="F1211" s="2" t="str">
        <f t="shared" si="244"/>
        <v>Email Available</v>
      </c>
      <c r="G1211" s="2" t="s">
        <v>1765</v>
      </c>
      <c r="H1211" s="2" t="s">
        <v>182</v>
      </c>
      <c r="I1211" s="2" t="s">
        <v>36</v>
      </c>
      <c r="J1211" s="2" t="s">
        <v>183</v>
      </c>
      <c r="K1211" s="2">
        <v>2</v>
      </c>
      <c r="L1211" s="2" t="s">
        <v>402</v>
      </c>
      <c r="M1211" s="19">
        <f t="shared" si="245"/>
        <v>11.99</v>
      </c>
      <c r="N1211" s="2"/>
      <c r="O1211" s="2" t="str">
        <f t="shared" si="246"/>
        <v/>
      </c>
      <c r="P1211" s="2">
        <v>0</v>
      </c>
      <c r="Q1211" s="19">
        <f t="shared" si="247"/>
        <v>0</v>
      </c>
      <c r="R1211" s="2" t="str">
        <f t="shared" si="248"/>
        <v>Number</v>
      </c>
      <c r="S1211" s="2">
        <v>5.99</v>
      </c>
      <c r="T1211" s="19">
        <f t="shared" si="249"/>
        <v>5.99</v>
      </c>
      <c r="U1211" s="2">
        <v>29.97</v>
      </c>
      <c r="V1211" s="19">
        <f t="shared" si="250"/>
        <v>29.97</v>
      </c>
      <c r="W1211" s="19">
        <f t="shared" si="251"/>
        <v>29.97</v>
      </c>
      <c r="X1211" s="19" t="str">
        <f t="shared" si="252"/>
        <v>True</v>
      </c>
      <c r="Y1211" s="19" t="str">
        <f>IF(OR(W1211&lt;'Cleaning Tasks'!$G$18,W1211&gt;'Cleaning Tasks'!$H$18),"Outlier","Normal")</f>
        <v>Normal</v>
      </c>
      <c r="Z1211" s="2" t="s">
        <v>39</v>
      </c>
      <c r="AA1211" s="2" t="s">
        <v>27</v>
      </c>
      <c r="AB1211" s="2" t="s">
        <v>50</v>
      </c>
      <c r="AC1211" s="2" t="s">
        <v>29</v>
      </c>
      <c r="AD1211" s="2" t="s">
        <v>140</v>
      </c>
      <c r="AE1211" s="2" t="str">
        <f t="shared" si="253"/>
        <v>Valid</v>
      </c>
      <c r="AF1211" s="2" t="s">
        <v>3462</v>
      </c>
    </row>
    <row r="1212" spans="1:32" x14ac:dyDescent="0.3">
      <c r="A1212" s="2" t="s">
        <v>3463</v>
      </c>
      <c r="B1212" s="2">
        <f t="shared" si="243"/>
        <v>1</v>
      </c>
      <c r="C1212" s="12">
        <f t="shared" si="255"/>
        <v>46238.581926689818</v>
      </c>
      <c r="D1212" s="13">
        <v>46238.581926689818</v>
      </c>
      <c r="E1212" s="2" t="s">
        <v>172</v>
      </c>
      <c r="F1212" s="2" t="str">
        <f t="shared" si="244"/>
        <v>Email Available</v>
      </c>
      <c r="G1212" s="2" t="s">
        <v>173</v>
      </c>
      <c r="H1212" s="2" t="s">
        <v>146</v>
      </c>
      <c r="I1212" s="2" t="s">
        <v>47</v>
      </c>
      <c r="J1212" s="2" t="s">
        <v>147</v>
      </c>
      <c r="K1212" s="2">
        <v>1</v>
      </c>
      <c r="L1212" s="2" t="s">
        <v>340</v>
      </c>
      <c r="M1212" s="19">
        <f t="shared" si="245"/>
        <v>34.99</v>
      </c>
      <c r="N1212" s="2"/>
      <c r="O1212" s="2" t="str">
        <f t="shared" si="246"/>
        <v/>
      </c>
      <c r="P1212" s="2">
        <v>0</v>
      </c>
      <c r="Q1212" s="19">
        <f t="shared" si="247"/>
        <v>0</v>
      </c>
      <c r="R1212" s="2" t="str">
        <f t="shared" si="248"/>
        <v>Number</v>
      </c>
      <c r="S1212" s="2">
        <v>4.99</v>
      </c>
      <c r="T1212" s="19">
        <f t="shared" si="249"/>
        <v>4.99</v>
      </c>
      <c r="U1212" s="2" t="s">
        <v>3464</v>
      </c>
      <c r="V1212" s="19">
        <f t="shared" si="250"/>
        <v>39.979999999999997</v>
      </c>
      <c r="W1212" s="19">
        <f t="shared" si="251"/>
        <v>39.980000000000004</v>
      </c>
      <c r="X1212" s="19" t="str">
        <f t="shared" si="252"/>
        <v>True</v>
      </c>
      <c r="Y1212" s="19" t="str">
        <f>IF(OR(W1212&lt;'Cleaning Tasks'!$G$18,W1212&gt;'Cleaning Tasks'!$H$18),"Outlier","Normal")</f>
        <v>Normal</v>
      </c>
      <c r="Z1212" s="2" t="s">
        <v>26</v>
      </c>
      <c r="AA1212" s="2" t="s">
        <v>40</v>
      </c>
      <c r="AB1212" s="2" t="s">
        <v>50</v>
      </c>
      <c r="AC1212" s="2" t="s">
        <v>29</v>
      </c>
      <c r="AD1212" s="2" t="s">
        <v>58</v>
      </c>
      <c r="AE1212" s="2" t="str">
        <f t="shared" si="253"/>
        <v>Valid</v>
      </c>
      <c r="AF1212" s="2" t="s">
        <v>3465</v>
      </c>
    </row>
    <row r="1213" spans="1:32" x14ac:dyDescent="0.3">
      <c r="A1213" s="2" t="s">
        <v>3466</v>
      </c>
      <c r="B1213" s="2">
        <f t="shared" si="243"/>
        <v>1</v>
      </c>
      <c r="C1213" s="12">
        <f t="shared" si="255"/>
        <v>46238.58457240741</v>
      </c>
      <c r="D1213" s="13">
        <v>46238.58457240741</v>
      </c>
      <c r="E1213" s="2" t="s">
        <v>122</v>
      </c>
      <c r="F1213" s="2" t="str">
        <f t="shared" si="244"/>
        <v>Email Available</v>
      </c>
      <c r="G1213" s="2" t="s">
        <v>123</v>
      </c>
      <c r="H1213" s="2" t="s">
        <v>56</v>
      </c>
      <c r="I1213" s="2" t="s">
        <v>22</v>
      </c>
      <c r="J1213" s="2" t="s">
        <v>57</v>
      </c>
      <c r="K1213" s="2">
        <v>1</v>
      </c>
      <c r="L1213" s="2">
        <v>9.99</v>
      </c>
      <c r="M1213" s="19">
        <f t="shared" si="245"/>
        <v>9.99</v>
      </c>
      <c r="N1213" s="2" t="s">
        <v>118</v>
      </c>
      <c r="O1213" s="2" t="str">
        <f t="shared" si="246"/>
        <v>BFCM25</v>
      </c>
      <c r="P1213" s="2">
        <v>2.5</v>
      </c>
      <c r="Q1213" s="19">
        <f t="shared" si="247"/>
        <v>2.5</v>
      </c>
      <c r="R1213" s="2" t="str">
        <f t="shared" si="248"/>
        <v>Number</v>
      </c>
      <c r="S1213" s="2">
        <v>4.99</v>
      </c>
      <c r="T1213" s="19">
        <f t="shared" si="249"/>
        <v>4.99</v>
      </c>
      <c r="U1213" s="2">
        <v>12.48</v>
      </c>
      <c r="V1213" s="19">
        <f t="shared" si="250"/>
        <v>12.48</v>
      </c>
      <c r="W1213" s="19">
        <f t="shared" si="251"/>
        <v>12.48</v>
      </c>
      <c r="X1213" s="19" t="str">
        <f t="shared" si="252"/>
        <v>True</v>
      </c>
      <c r="Y1213" s="19" t="str">
        <f>IF(OR(W1213&lt;'Cleaning Tasks'!$G$18,W1213&gt;'Cleaning Tasks'!$H$18),"Outlier","Normal")</f>
        <v>Normal</v>
      </c>
      <c r="Z1213" s="2" t="s">
        <v>39</v>
      </c>
      <c r="AA1213" s="2" t="s">
        <v>88</v>
      </c>
      <c r="AB1213" s="2" t="s">
        <v>41</v>
      </c>
      <c r="AC1213" s="2" t="s">
        <v>42</v>
      </c>
      <c r="AD1213" s="2"/>
      <c r="AE1213" s="2" t="str">
        <f t="shared" si="253"/>
        <v>Not Required</v>
      </c>
      <c r="AF1213" s="2" t="s">
        <v>1418</v>
      </c>
    </row>
    <row r="1214" spans="1:32" x14ac:dyDescent="0.3">
      <c r="A1214" s="2" t="s">
        <v>3467</v>
      </c>
      <c r="B1214" s="2">
        <f t="shared" si="243"/>
        <v>1</v>
      </c>
      <c r="C1214" s="12">
        <f t="shared" si="255"/>
        <v>46238.584832870372</v>
      </c>
      <c r="D1214" s="13">
        <v>46238.584832870372</v>
      </c>
      <c r="E1214" s="2" t="s">
        <v>850</v>
      </c>
      <c r="F1214" s="2" t="str">
        <f t="shared" si="244"/>
        <v>Email Available</v>
      </c>
      <c r="G1214" s="2" t="s">
        <v>851</v>
      </c>
      <c r="H1214" s="2" t="s">
        <v>309</v>
      </c>
      <c r="I1214" s="2" t="s">
        <v>36</v>
      </c>
      <c r="J1214" s="2" t="s">
        <v>310</v>
      </c>
      <c r="K1214" s="2">
        <v>1</v>
      </c>
      <c r="L1214" s="2" t="s">
        <v>2242</v>
      </c>
      <c r="M1214" s="19">
        <f t="shared" si="245"/>
        <v>8.99</v>
      </c>
      <c r="N1214" s="2" t="s">
        <v>38</v>
      </c>
      <c r="O1214" s="2" t="str">
        <f t="shared" si="246"/>
        <v>FREESHIP</v>
      </c>
      <c r="P1214" s="2">
        <v>0</v>
      </c>
      <c r="Q1214" s="19">
        <f t="shared" si="247"/>
        <v>0</v>
      </c>
      <c r="R1214" s="2" t="str">
        <f t="shared" si="248"/>
        <v>Number</v>
      </c>
      <c r="S1214" s="2">
        <v>0</v>
      </c>
      <c r="T1214" s="19">
        <f t="shared" si="249"/>
        <v>0</v>
      </c>
      <c r="U1214" s="2">
        <v>8.99</v>
      </c>
      <c r="V1214" s="19">
        <f t="shared" si="250"/>
        <v>8.99</v>
      </c>
      <c r="W1214" s="19">
        <f t="shared" si="251"/>
        <v>8.99</v>
      </c>
      <c r="X1214" s="19" t="str">
        <f t="shared" si="252"/>
        <v>True</v>
      </c>
      <c r="Y1214" s="19" t="str">
        <f>IF(OR(W1214&lt;'Cleaning Tasks'!$G$18,W1214&gt;'Cleaning Tasks'!$H$18),"Outlier","Normal")</f>
        <v>Normal</v>
      </c>
      <c r="Z1214" s="2" t="s">
        <v>39</v>
      </c>
      <c r="AA1214" s="2" t="s">
        <v>27</v>
      </c>
      <c r="AB1214" s="2" t="s">
        <v>50</v>
      </c>
      <c r="AC1214" s="2" t="s">
        <v>42</v>
      </c>
      <c r="AD1214" s="2"/>
      <c r="AE1214" s="2" t="str">
        <f t="shared" si="253"/>
        <v>Not Required</v>
      </c>
      <c r="AF1214" s="2" t="s">
        <v>3468</v>
      </c>
    </row>
    <row r="1215" spans="1:32" x14ac:dyDescent="0.3">
      <c r="A1215" s="2" t="s">
        <v>3469</v>
      </c>
      <c r="B1215" s="2">
        <f t="shared" si="243"/>
        <v>1</v>
      </c>
      <c r="C1215" s="12">
        <f t="shared" si="255"/>
        <v>46238.581544189823</v>
      </c>
      <c r="D1215" s="13">
        <v>46238.581544189823</v>
      </c>
      <c r="E1215" s="2" t="s">
        <v>3470</v>
      </c>
      <c r="F1215" s="2" t="str">
        <f t="shared" si="244"/>
        <v>Email Available</v>
      </c>
      <c r="G1215" s="2" t="s">
        <v>3471</v>
      </c>
      <c r="H1215" s="2" t="s">
        <v>182</v>
      </c>
      <c r="I1215" s="2" t="s">
        <v>36</v>
      </c>
      <c r="J1215" s="2" t="s">
        <v>183</v>
      </c>
      <c r="K1215" s="2">
        <v>2</v>
      </c>
      <c r="L1215" s="2">
        <v>11.99</v>
      </c>
      <c r="M1215" s="19">
        <f t="shared" si="245"/>
        <v>11.99</v>
      </c>
      <c r="N1215" s="2"/>
      <c r="O1215" s="2" t="str">
        <f t="shared" si="246"/>
        <v/>
      </c>
      <c r="P1215" s="2">
        <v>0</v>
      </c>
      <c r="Q1215" s="19">
        <f t="shared" si="247"/>
        <v>0</v>
      </c>
      <c r="R1215" s="2" t="str">
        <f t="shared" si="248"/>
        <v>Number</v>
      </c>
      <c r="S1215" s="2">
        <v>7.99</v>
      </c>
      <c r="T1215" s="19">
        <f t="shared" si="249"/>
        <v>7.99</v>
      </c>
      <c r="U1215" s="2">
        <v>31.97</v>
      </c>
      <c r="V1215" s="19">
        <f t="shared" si="250"/>
        <v>31.97</v>
      </c>
      <c r="W1215" s="19">
        <f t="shared" si="251"/>
        <v>31.97</v>
      </c>
      <c r="X1215" s="19" t="str">
        <f t="shared" si="252"/>
        <v>True</v>
      </c>
      <c r="Y1215" s="19" t="str">
        <f>IF(OR(W1215&lt;'Cleaning Tasks'!$G$18,W1215&gt;'Cleaning Tasks'!$H$18),"Outlier","Normal")</f>
        <v>Normal</v>
      </c>
      <c r="Z1215" s="2" t="s">
        <v>72</v>
      </c>
      <c r="AA1215" s="2" t="s">
        <v>27</v>
      </c>
      <c r="AB1215" s="2" t="s">
        <v>50</v>
      </c>
      <c r="AC1215" s="2" t="s">
        <v>331</v>
      </c>
      <c r="AD1215" s="2"/>
      <c r="AE1215" s="2" t="str">
        <f t="shared" si="253"/>
        <v>Not Required</v>
      </c>
      <c r="AF1215" s="2" t="s">
        <v>3472</v>
      </c>
    </row>
    <row r="1216" spans="1:32" x14ac:dyDescent="0.3">
      <c r="A1216" s="2" t="s">
        <v>3473</v>
      </c>
      <c r="B1216" s="2">
        <f t="shared" si="243"/>
        <v>1</v>
      </c>
      <c r="C1216" s="12">
        <f t="shared" si="255"/>
        <v>46238</v>
      </c>
      <c r="D1216" s="13">
        <v>46238</v>
      </c>
      <c r="E1216" s="2" t="s">
        <v>3474</v>
      </c>
      <c r="F1216" s="2" t="str">
        <f t="shared" si="244"/>
        <v>Email Available</v>
      </c>
      <c r="G1216" s="2" t="s">
        <v>3475</v>
      </c>
      <c r="H1216" s="2" t="s">
        <v>166</v>
      </c>
      <c r="I1216" s="2" t="s">
        <v>103</v>
      </c>
      <c r="J1216" s="2" t="s">
        <v>167</v>
      </c>
      <c r="K1216" s="2">
        <v>1</v>
      </c>
      <c r="L1216" s="2">
        <v>32.99</v>
      </c>
      <c r="M1216" s="19">
        <f t="shared" si="245"/>
        <v>32.99</v>
      </c>
      <c r="N1216" s="2" t="s">
        <v>24</v>
      </c>
      <c r="O1216" s="2" t="str">
        <f t="shared" si="246"/>
        <v>SAVE20</v>
      </c>
      <c r="P1216" s="2">
        <v>6.6</v>
      </c>
      <c r="Q1216" s="19">
        <f t="shared" si="247"/>
        <v>6.6</v>
      </c>
      <c r="R1216" s="2" t="str">
        <f t="shared" si="248"/>
        <v>Number</v>
      </c>
      <c r="S1216" s="2">
        <v>4.99</v>
      </c>
      <c r="T1216" s="19">
        <f t="shared" si="249"/>
        <v>4.99</v>
      </c>
      <c r="U1216" s="2">
        <v>31.38</v>
      </c>
      <c r="V1216" s="19">
        <f t="shared" si="250"/>
        <v>31.38</v>
      </c>
      <c r="W1216" s="19">
        <f t="shared" si="251"/>
        <v>31.380000000000003</v>
      </c>
      <c r="X1216" s="19" t="str">
        <f t="shared" si="252"/>
        <v>True</v>
      </c>
      <c r="Y1216" s="19" t="str">
        <f>IF(OR(W1216&lt;'Cleaning Tasks'!$G$18,W1216&gt;'Cleaning Tasks'!$H$18),"Outlier","Normal")</f>
        <v>Normal</v>
      </c>
      <c r="Z1216" s="2" t="s">
        <v>66</v>
      </c>
      <c r="AA1216" s="2" t="s">
        <v>40</v>
      </c>
      <c r="AB1216" s="2" t="s">
        <v>96</v>
      </c>
      <c r="AC1216" s="2" t="s">
        <v>105</v>
      </c>
      <c r="AD1216" s="2"/>
      <c r="AE1216" s="2" t="str">
        <f t="shared" si="253"/>
        <v>Not Required</v>
      </c>
      <c r="AF1216" s="2" t="s">
        <v>3476</v>
      </c>
    </row>
    <row r="1217" spans="1:32" x14ac:dyDescent="0.3">
      <c r="A1217" s="2" t="s">
        <v>3477</v>
      </c>
      <c r="B1217" s="2">
        <f t="shared" si="243"/>
        <v>1</v>
      </c>
      <c r="C1217" s="12">
        <f t="shared" si="255"/>
        <v>46238</v>
      </c>
      <c r="D1217" s="13">
        <v>46238</v>
      </c>
      <c r="E1217" s="2" t="s">
        <v>1306</v>
      </c>
      <c r="F1217" s="2" t="str">
        <f t="shared" si="244"/>
        <v>Email Available</v>
      </c>
      <c r="G1217" s="2" t="s">
        <v>1307</v>
      </c>
      <c r="H1217" s="2" t="s">
        <v>182</v>
      </c>
      <c r="I1217" s="2" t="s">
        <v>36</v>
      </c>
      <c r="J1217" s="2" t="s">
        <v>183</v>
      </c>
      <c r="K1217" s="2">
        <v>2</v>
      </c>
      <c r="L1217" s="2">
        <v>11.99</v>
      </c>
      <c r="M1217" s="19">
        <f t="shared" si="245"/>
        <v>11.99</v>
      </c>
      <c r="N1217" s="2"/>
      <c r="O1217" s="2" t="str">
        <f t="shared" si="246"/>
        <v/>
      </c>
      <c r="P1217" s="2">
        <v>0</v>
      </c>
      <c r="Q1217" s="19">
        <f t="shared" si="247"/>
        <v>0</v>
      </c>
      <c r="R1217" s="2" t="str">
        <f t="shared" si="248"/>
        <v>Number</v>
      </c>
      <c r="S1217" s="2">
        <v>7.99</v>
      </c>
      <c r="T1217" s="19">
        <f t="shared" si="249"/>
        <v>7.99</v>
      </c>
      <c r="U1217" s="2">
        <v>31.97</v>
      </c>
      <c r="V1217" s="19">
        <f t="shared" si="250"/>
        <v>31.97</v>
      </c>
      <c r="W1217" s="19">
        <f t="shared" si="251"/>
        <v>31.97</v>
      </c>
      <c r="X1217" s="19" t="str">
        <f t="shared" si="252"/>
        <v>True</v>
      </c>
      <c r="Y1217" s="19" t="str">
        <f>IF(OR(W1217&lt;'Cleaning Tasks'!$G$18,W1217&gt;'Cleaning Tasks'!$H$18),"Outlier","Normal")</f>
        <v>Normal</v>
      </c>
      <c r="Z1217" s="2" t="s">
        <v>39</v>
      </c>
      <c r="AA1217" s="2" t="s">
        <v>40</v>
      </c>
      <c r="AB1217" s="2" t="s">
        <v>96</v>
      </c>
      <c r="AC1217" s="2" t="s">
        <v>29</v>
      </c>
      <c r="AD1217" s="2" t="s">
        <v>51</v>
      </c>
      <c r="AE1217" s="2" t="str">
        <f t="shared" si="253"/>
        <v>Valid</v>
      </c>
      <c r="AF1217" s="2" t="s">
        <v>3478</v>
      </c>
    </row>
    <row r="1218" spans="1:32" x14ac:dyDescent="0.3">
      <c r="A1218" s="2" t="s">
        <v>3479</v>
      </c>
      <c r="B1218" s="2">
        <f t="shared" ref="B1218:B1281" si="256">COUNTIF($A$2:$A$1993,A1218)</f>
        <v>1</v>
      </c>
      <c r="C1218" s="12">
        <f t="shared" si="255"/>
        <v>46238.581430636572</v>
      </c>
      <c r="D1218" s="13">
        <v>46238.581430636572</v>
      </c>
      <c r="E1218" s="2" t="s">
        <v>2395</v>
      </c>
      <c r="F1218" s="2" t="str">
        <f t="shared" ref="F1218:F1281" si="257">IF(TRIM(G1218)="","Missing Email","Email Available")</f>
        <v>Email Available</v>
      </c>
      <c r="G1218" s="2" t="s">
        <v>2396</v>
      </c>
      <c r="H1218" s="2" t="s">
        <v>78</v>
      </c>
      <c r="I1218" s="2" t="s">
        <v>79</v>
      </c>
      <c r="J1218" s="2" t="s">
        <v>80</v>
      </c>
      <c r="K1218" s="2">
        <v>1</v>
      </c>
      <c r="L1218" s="2">
        <v>89.99</v>
      </c>
      <c r="M1218" s="19">
        <f t="shared" ref="M1218:M1281" si="258">IF(ISNUMBER(L1218),L1218,VALUE(SUBSTITUTE(L1218,"$","")))</f>
        <v>89.99</v>
      </c>
      <c r="N1218" s="2" t="s">
        <v>65</v>
      </c>
      <c r="O1218" s="2" t="str">
        <f t="shared" ref="O1218:O1281" si="259">IF(TRIM(N1218)="","",UPPER(TRIM(SUBSTITUTE(N1218,CHAR(160)," "))))</f>
        <v>WELCOME10</v>
      </c>
      <c r="P1218" s="2">
        <v>9</v>
      </c>
      <c r="Q1218" s="19">
        <f t="shared" ref="Q1218:Q1281" si="260">IF(ISNUMBER(P1218),P1218,VALUE(TRIM(SUBSTITUTE(P1218,"$",""))))</f>
        <v>9</v>
      </c>
      <c r="R1218" s="2" t="str">
        <f t="shared" ref="R1218:R1281" si="261">IF(ISNUMBER(Q1218),"Number","Text")</f>
        <v>Number</v>
      </c>
      <c r="S1218" s="2">
        <v>0</v>
      </c>
      <c r="T1218" s="19">
        <f t="shared" ref="T1218:T1281" si="262">IF(ISNUMBER(S1218),S1218,VALUE(TRIM(SUBSTITUTE(S1218,"$",""))))</f>
        <v>0</v>
      </c>
      <c r="U1218" s="2">
        <v>80.989999999999995</v>
      </c>
      <c r="V1218" s="19">
        <f t="shared" ref="V1218:V1281" si="263">IF(ISNUMBER(U1218),U1218,VALUE(TRIM(SUBSTITUTE(U1218,"$",""))))</f>
        <v>80.989999999999995</v>
      </c>
      <c r="W1218" s="19">
        <f t="shared" ref="W1218:W1281" si="264">((M1218*K1218)-Q1218)+T1218</f>
        <v>80.989999999999995</v>
      </c>
      <c r="X1218" s="19" t="str">
        <f t="shared" ref="X1218:X1281" si="265">IF(V1218=W1218,"True","False")</f>
        <v>True</v>
      </c>
      <c r="Y1218" s="19" t="str">
        <f>IF(OR(W1218&lt;'Cleaning Tasks'!$G$18,W1218&gt;'Cleaning Tasks'!$H$18),"Outlier","Normal")</f>
        <v>Normal</v>
      </c>
      <c r="Z1218" s="2" t="s">
        <v>26</v>
      </c>
      <c r="AA1218" s="2" t="s">
        <v>40</v>
      </c>
      <c r="AB1218" s="2" t="s">
        <v>50</v>
      </c>
      <c r="AC1218" s="2" t="s">
        <v>223</v>
      </c>
      <c r="AD1218" s="2"/>
      <c r="AE1218" s="2" t="str">
        <f t="shared" ref="AE1218:AE1281" si="266">IF(AND(AC1218="United States",AD1218=""),"Missing state",IF(AD1218="","Not Required","Valid"))</f>
        <v>Not Required</v>
      </c>
      <c r="AF1218" s="2" t="s">
        <v>257</v>
      </c>
    </row>
    <row r="1219" spans="1:32" x14ac:dyDescent="0.3">
      <c r="A1219" s="2" t="s">
        <v>3480</v>
      </c>
      <c r="B1219" s="2">
        <f t="shared" si="256"/>
        <v>1</v>
      </c>
      <c r="C1219" s="12">
        <f t="shared" si="255"/>
        <v>46238</v>
      </c>
      <c r="D1219" s="13">
        <v>46238</v>
      </c>
      <c r="E1219" s="2" t="s">
        <v>2659</v>
      </c>
      <c r="F1219" s="2" t="str">
        <f t="shared" si="257"/>
        <v>Email Available</v>
      </c>
      <c r="G1219" s="2" t="s">
        <v>3481</v>
      </c>
      <c r="H1219" s="2" t="s">
        <v>109</v>
      </c>
      <c r="I1219" s="2" t="s">
        <v>79</v>
      </c>
      <c r="J1219" s="2" t="s">
        <v>110</v>
      </c>
      <c r="K1219" s="2">
        <v>1</v>
      </c>
      <c r="L1219" s="2">
        <v>22.99</v>
      </c>
      <c r="M1219" s="19">
        <f t="shared" si="258"/>
        <v>22.99</v>
      </c>
      <c r="N1219" s="2"/>
      <c r="O1219" s="2" t="str">
        <f t="shared" si="259"/>
        <v/>
      </c>
      <c r="P1219" s="2">
        <v>0</v>
      </c>
      <c r="Q1219" s="19">
        <f t="shared" si="260"/>
        <v>0</v>
      </c>
      <c r="R1219" s="2" t="str">
        <f t="shared" si="261"/>
        <v>Number</v>
      </c>
      <c r="S1219" s="2">
        <v>7.99</v>
      </c>
      <c r="T1219" s="19">
        <f t="shared" si="262"/>
        <v>7.99</v>
      </c>
      <c r="U1219" s="2">
        <v>30.98</v>
      </c>
      <c r="V1219" s="19">
        <f t="shared" si="263"/>
        <v>30.98</v>
      </c>
      <c r="W1219" s="19">
        <f t="shared" si="264"/>
        <v>30.979999999999997</v>
      </c>
      <c r="X1219" s="19" t="str">
        <f t="shared" si="265"/>
        <v>True</v>
      </c>
      <c r="Y1219" s="19" t="str">
        <f>IF(OR(W1219&lt;'Cleaning Tasks'!$G$18,W1219&gt;'Cleaning Tasks'!$H$18),"Outlier","Normal")</f>
        <v>Normal</v>
      </c>
      <c r="Z1219" s="2" t="s">
        <v>26</v>
      </c>
      <c r="AA1219" s="2" t="s">
        <v>27</v>
      </c>
      <c r="AB1219" s="2" t="s">
        <v>50</v>
      </c>
      <c r="AC1219" s="2" t="s">
        <v>29</v>
      </c>
      <c r="AD1219" s="2" t="s">
        <v>140</v>
      </c>
      <c r="AE1219" s="2" t="str">
        <f t="shared" si="266"/>
        <v>Valid</v>
      </c>
      <c r="AF1219" s="2" t="s">
        <v>3482</v>
      </c>
    </row>
    <row r="1220" spans="1:32" x14ac:dyDescent="0.3">
      <c r="A1220" s="2" t="s">
        <v>3483</v>
      </c>
      <c r="B1220" s="2">
        <f t="shared" si="256"/>
        <v>1</v>
      </c>
      <c r="C1220" s="12">
        <f t="shared" si="255"/>
        <v>46238.585772025457</v>
      </c>
      <c r="D1220" s="13">
        <v>46238.585772025457</v>
      </c>
      <c r="E1220" s="2" t="s">
        <v>856</v>
      </c>
      <c r="F1220" s="2" t="str">
        <f t="shared" si="257"/>
        <v>Email Available</v>
      </c>
      <c r="G1220" s="2" t="s">
        <v>857</v>
      </c>
      <c r="H1220" s="2" t="s">
        <v>267</v>
      </c>
      <c r="I1220" s="2" t="s">
        <v>22</v>
      </c>
      <c r="J1220" s="2" t="s">
        <v>268</v>
      </c>
      <c r="K1220" s="2">
        <v>2</v>
      </c>
      <c r="L1220" s="2">
        <v>18.989999999999998</v>
      </c>
      <c r="M1220" s="19">
        <f t="shared" si="258"/>
        <v>18.989999999999998</v>
      </c>
      <c r="N1220" s="2" t="s">
        <v>24</v>
      </c>
      <c r="O1220" s="2" t="str">
        <f t="shared" si="259"/>
        <v>SAVE20</v>
      </c>
      <c r="P1220" s="2">
        <v>7.6</v>
      </c>
      <c r="Q1220" s="19">
        <f t="shared" si="260"/>
        <v>7.6</v>
      </c>
      <c r="R1220" s="2" t="str">
        <f t="shared" si="261"/>
        <v>Number</v>
      </c>
      <c r="S1220" s="2">
        <v>5.99</v>
      </c>
      <c r="T1220" s="19">
        <f t="shared" si="262"/>
        <v>5.99</v>
      </c>
      <c r="U1220" s="2">
        <v>36.369999999999997</v>
      </c>
      <c r="V1220" s="19">
        <f t="shared" si="263"/>
        <v>36.369999999999997</v>
      </c>
      <c r="W1220" s="19">
        <f t="shared" si="264"/>
        <v>36.369999999999997</v>
      </c>
      <c r="X1220" s="19" t="str">
        <f t="shared" si="265"/>
        <v>True</v>
      </c>
      <c r="Y1220" s="19" t="str">
        <f>IF(OR(W1220&lt;'Cleaning Tasks'!$G$18,W1220&gt;'Cleaning Tasks'!$H$18),"Outlier","Normal")</f>
        <v>Normal</v>
      </c>
      <c r="Z1220" s="2" t="s">
        <v>49</v>
      </c>
      <c r="AA1220" s="2" t="s">
        <v>27</v>
      </c>
      <c r="AB1220" s="2" t="s">
        <v>96</v>
      </c>
      <c r="AC1220" s="2" t="s">
        <v>105</v>
      </c>
      <c r="AD1220" s="2"/>
      <c r="AE1220" s="2" t="str">
        <f t="shared" si="266"/>
        <v>Not Required</v>
      </c>
      <c r="AF1220" s="2" t="s">
        <v>3484</v>
      </c>
    </row>
    <row r="1221" spans="1:32" x14ac:dyDescent="0.3">
      <c r="A1221" s="2" t="s">
        <v>3485</v>
      </c>
      <c r="B1221" s="2">
        <f t="shared" si="256"/>
        <v>1</v>
      </c>
      <c r="C1221" s="12">
        <f t="shared" si="255"/>
        <v>46238.588493622687</v>
      </c>
      <c r="D1221" s="13">
        <v>46238.588493622687</v>
      </c>
      <c r="E1221" s="2" t="s">
        <v>1832</v>
      </c>
      <c r="F1221" s="2" t="str">
        <f t="shared" si="257"/>
        <v>Email Available</v>
      </c>
      <c r="G1221" s="2" t="s">
        <v>1833</v>
      </c>
      <c r="H1221" s="2" t="s">
        <v>102</v>
      </c>
      <c r="I1221" s="2" t="s">
        <v>103</v>
      </c>
      <c r="J1221" s="2" t="s">
        <v>104</v>
      </c>
      <c r="K1221" s="2">
        <v>1</v>
      </c>
      <c r="L1221" s="2">
        <v>19.989999999999998</v>
      </c>
      <c r="M1221" s="19">
        <f t="shared" si="258"/>
        <v>19.989999999999998</v>
      </c>
      <c r="N1221" s="2"/>
      <c r="O1221" s="2" t="str">
        <f t="shared" si="259"/>
        <v/>
      </c>
      <c r="P1221" s="2">
        <v>0</v>
      </c>
      <c r="Q1221" s="19">
        <f t="shared" si="260"/>
        <v>0</v>
      </c>
      <c r="R1221" s="2" t="str">
        <f t="shared" si="261"/>
        <v>Number</v>
      </c>
      <c r="S1221" s="2">
        <v>5.99</v>
      </c>
      <c r="T1221" s="19">
        <f t="shared" si="262"/>
        <v>5.99</v>
      </c>
      <c r="U1221" s="2">
        <v>25.98</v>
      </c>
      <c r="V1221" s="19">
        <f t="shared" si="263"/>
        <v>25.98</v>
      </c>
      <c r="W1221" s="19">
        <f t="shared" si="264"/>
        <v>25.979999999999997</v>
      </c>
      <c r="X1221" s="19" t="str">
        <f t="shared" si="265"/>
        <v>True</v>
      </c>
      <c r="Y1221" s="19" t="str">
        <f>IF(OR(W1221&lt;'Cleaning Tasks'!$G$18,W1221&gt;'Cleaning Tasks'!$H$18),"Outlier","Normal")</f>
        <v>Normal</v>
      </c>
      <c r="Z1221" s="2" t="s">
        <v>49</v>
      </c>
      <c r="AA1221" s="2" t="s">
        <v>27</v>
      </c>
      <c r="AB1221" s="2" t="s">
        <v>50</v>
      </c>
      <c r="AC1221" s="2" t="s">
        <v>29</v>
      </c>
      <c r="AD1221" s="2" t="s">
        <v>447</v>
      </c>
      <c r="AE1221" s="2" t="str">
        <f t="shared" si="266"/>
        <v>Valid</v>
      </c>
      <c r="AF1221" s="2" t="s">
        <v>3486</v>
      </c>
    </row>
    <row r="1222" spans="1:32" x14ac:dyDescent="0.3">
      <c r="A1222" s="2" t="s">
        <v>3487</v>
      </c>
      <c r="B1222" s="2">
        <f t="shared" si="256"/>
        <v>1</v>
      </c>
      <c r="C1222" s="12">
        <f t="shared" si="255"/>
        <v>46238.586815868053</v>
      </c>
      <c r="D1222" s="13">
        <v>46238.586815868053</v>
      </c>
      <c r="E1222" s="2" t="s">
        <v>1500</v>
      </c>
      <c r="F1222" s="2" t="str">
        <f t="shared" si="257"/>
        <v>Email Available</v>
      </c>
      <c r="G1222" s="2" t="s">
        <v>1501</v>
      </c>
      <c r="H1222" s="2" t="s">
        <v>361</v>
      </c>
      <c r="I1222" s="2" t="s">
        <v>86</v>
      </c>
      <c r="J1222" s="2" t="s">
        <v>362</v>
      </c>
      <c r="K1222" s="2">
        <v>1</v>
      </c>
      <c r="L1222" s="2">
        <v>54.99</v>
      </c>
      <c r="M1222" s="19">
        <f t="shared" si="258"/>
        <v>54.99</v>
      </c>
      <c r="N1222" s="2" t="s">
        <v>118</v>
      </c>
      <c r="O1222" s="2" t="str">
        <f t="shared" si="259"/>
        <v>BFCM25</v>
      </c>
      <c r="P1222" s="2">
        <v>13.75</v>
      </c>
      <c r="Q1222" s="19">
        <f t="shared" si="260"/>
        <v>13.75</v>
      </c>
      <c r="R1222" s="2" t="str">
        <f t="shared" si="261"/>
        <v>Number</v>
      </c>
      <c r="S1222" s="2">
        <v>7.99</v>
      </c>
      <c r="T1222" s="19">
        <f t="shared" si="262"/>
        <v>7.99</v>
      </c>
      <c r="U1222" s="2">
        <v>49.23</v>
      </c>
      <c r="V1222" s="19">
        <f t="shared" si="263"/>
        <v>49.23</v>
      </c>
      <c r="W1222" s="19">
        <f t="shared" si="264"/>
        <v>49.230000000000004</v>
      </c>
      <c r="X1222" s="19" t="str">
        <f t="shared" si="265"/>
        <v>True</v>
      </c>
      <c r="Y1222" s="19" t="str">
        <f>IF(OR(W1222&lt;'Cleaning Tasks'!$G$18,W1222&gt;'Cleaning Tasks'!$H$18),"Outlier","Normal")</f>
        <v>Normal</v>
      </c>
      <c r="Z1222" s="2" t="s">
        <v>49</v>
      </c>
      <c r="AA1222" s="2" t="s">
        <v>88</v>
      </c>
      <c r="AB1222" s="2" t="s">
        <v>50</v>
      </c>
      <c r="AC1222" s="2" t="s">
        <v>29</v>
      </c>
      <c r="AD1222" s="2" t="s">
        <v>447</v>
      </c>
      <c r="AE1222" s="2" t="str">
        <f t="shared" si="266"/>
        <v>Valid</v>
      </c>
      <c r="AF1222" s="2" t="s">
        <v>3488</v>
      </c>
    </row>
    <row r="1223" spans="1:32" x14ac:dyDescent="0.3">
      <c r="A1223" s="2" t="s">
        <v>3489</v>
      </c>
      <c r="B1223" s="2">
        <f t="shared" si="256"/>
        <v>1</v>
      </c>
      <c r="C1223" s="12">
        <f t="shared" si="255"/>
        <v>46238.58415091435</v>
      </c>
      <c r="D1223" s="13">
        <v>46238.58415091435</v>
      </c>
      <c r="E1223" s="2" t="s">
        <v>643</v>
      </c>
      <c r="F1223" s="2" t="str">
        <f t="shared" si="257"/>
        <v>Email Available</v>
      </c>
      <c r="G1223" s="2" t="s">
        <v>644</v>
      </c>
      <c r="H1223" s="2" t="s">
        <v>78</v>
      </c>
      <c r="I1223" s="2" t="s">
        <v>79</v>
      </c>
      <c r="J1223" s="2" t="s">
        <v>80</v>
      </c>
      <c r="K1223" s="2">
        <v>1</v>
      </c>
      <c r="L1223" s="2">
        <v>89.99</v>
      </c>
      <c r="M1223" s="19">
        <f t="shared" si="258"/>
        <v>89.99</v>
      </c>
      <c r="N1223" s="2" t="s">
        <v>38</v>
      </c>
      <c r="O1223" s="2" t="str">
        <f t="shared" si="259"/>
        <v>FREESHIP</v>
      </c>
      <c r="P1223" s="2">
        <v>0</v>
      </c>
      <c r="Q1223" s="19">
        <f t="shared" si="260"/>
        <v>0</v>
      </c>
      <c r="R1223" s="2" t="str">
        <f t="shared" si="261"/>
        <v>Number</v>
      </c>
      <c r="S1223" s="2">
        <v>0</v>
      </c>
      <c r="T1223" s="19">
        <f t="shared" si="262"/>
        <v>0</v>
      </c>
      <c r="U1223" s="2">
        <v>89.99</v>
      </c>
      <c r="V1223" s="19">
        <f t="shared" si="263"/>
        <v>89.99</v>
      </c>
      <c r="W1223" s="19">
        <f t="shared" si="264"/>
        <v>89.99</v>
      </c>
      <c r="X1223" s="19" t="str">
        <f t="shared" si="265"/>
        <v>True</v>
      </c>
      <c r="Y1223" s="19" t="str">
        <f>IF(OR(W1223&lt;'Cleaning Tasks'!$G$18,W1223&gt;'Cleaning Tasks'!$H$18),"Outlier","Normal")</f>
        <v>Outlier</v>
      </c>
      <c r="Z1223" s="2" t="s">
        <v>26</v>
      </c>
      <c r="AA1223" s="2" t="s">
        <v>27</v>
      </c>
      <c r="AB1223" s="2" t="s">
        <v>50</v>
      </c>
      <c r="AC1223" s="2" t="s">
        <v>29</v>
      </c>
      <c r="AD1223" s="2" t="s">
        <v>58</v>
      </c>
      <c r="AE1223" s="2" t="str">
        <f t="shared" si="266"/>
        <v>Valid</v>
      </c>
      <c r="AF1223" s="2" t="s">
        <v>3490</v>
      </c>
    </row>
    <row r="1224" spans="1:32" x14ac:dyDescent="0.3">
      <c r="A1224" s="2" t="s">
        <v>3491</v>
      </c>
      <c r="B1224" s="2">
        <f t="shared" si="256"/>
        <v>1</v>
      </c>
      <c r="C1224" s="12">
        <f t="shared" si="255"/>
        <v>46238.579470590281</v>
      </c>
      <c r="D1224" s="13">
        <v>46238.579470590281</v>
      </c>
      <c r="E1224" s="2" t="s">
        <v>756</v>
      </c>
      <c r="F1224" s="2" t="str">
        <f t="shared" si="257"/>
        <v>Email Available</v>
      </c>
      <c r="G1224" s="2" t="s">
        <v>757</v>
      </c>
      <c r="H1224" s="2" t="s">
        <v>309</v>
      </c>
      <c r="I1224" s="2" t="s">
        <v>36</v>
      </c>
      <c r="J1224" s="2" t="s">
        <v>310</v>
      </c>
      <c r="K1224" s="2">
        <v>1</v>
      </c>
      <c r="L1224" s="2">
        <v>8.99</v>
      </c>
      <c r="M1224" s="19">
        <f t="shared" si="258"/>
        <v>8.99</v>
      </c>
      <c r="N1224" s="2" t="s">
        <v>118</v>
      </c>
      <c r="O1224" s="2" t="str">
        <f t="shared" si="259"/>
        <v>BFCM25</v>
      </c>
      <c r="P1224" s="2">
        <v>2.25</v>
      </c>
      <c r="Q1224" s="19">
        <f t="shared" si="260"/>
        <v>2.25</v>
      </c>
      <c r="R1224" s="2" t="str">
        <f t="shared" si="261"/>
        <v>Number</v>
      </c>
      <c r="S1224" s="2">
        <v>5.99</v>
      </c>
      <c r="T1224" s="19">
        <f t="shared" si="262"/>
        <v>5.99</v>
      </c>
      <c r="U1224" s="2">
        <v>12.73</v>
      </c>
      <c r="V1224" s="19">
        <f t="shared" si="263"/>
        <v>12.73</v>
      </c>
      <c r="W1224" s="19">
        <f t="shared" si="264"/>
        <v>12.73</v>
      </c>
      <c r="X1224" s="19" t="str">
        <f t="shared" si="265"/>
        <v>True</v>
      </c>
      <c r="Y1224" s="19" t="str">
        <f>IF(OR(W1224&lt;'Cleaning Tasks'!$G$18,W1224&gt;'Cleaning Tasks'!$H$18),"Outlier","Normal")</f>
        <v>Normal</v>
      </c>
      <c r="Z1224" s="2" t="s">
        <v>66</v>
      </c>
      <c r="AA1224" s="2" t="s">
        <v>111</v>
      </c>
      <c r="AB1224" s="2" t="s">
        <v>28</v>
      </c>
      <c r="AC1224" s="2" t="s">
        <v>29</v>
      </c>
      <c r="AD1224" s="2" t="s">
        <v>67</v>
      </c>
      <c r="AE1224" s="2" t="str">
        <f t="shared" si="266"/>
        <v>Valid</v>
      </c>
      <c r="AF1224" s="2" t="s">
        <v>3492</v>
      </c>
    </row>
    <row r="1225" spans="1:32" x14ac:dyDescent="0.3">
      <c r="A1225" s="2" t="s">
        <v>3493</v>
      </c>
      <c r="B1225" s="2">
        <f t="shared" si="256"/>
        <v>1</v>
      </c>
      <c r="C1225" s="12">
        <f t="shared" si="255"/>
        <v>46238.583844733803</v>
      </c>
      <c r="D1225" s="13">
        <v>46238.583844733803</v>
      </c>
      <c r="E1225" s="2" t="s">
        <v>1550</v>
      </c>
      <c r="F1225" s="2" t="str">
        <f t="shared" si="257"/>
        <v>Email Available</v>
      </c>
      <c r="G1225" s="2" t="s">
        <v>1551</v>
      </c>
      <c r="H1225" s="2" t="s">
        <v>102</v>
      </c>
      <c r="I1225" s="2" t="s">
        <v>103</v>
      </c>
      <c r="J1225" s="2" t="s">
        <v>104</v>
      </c>
      <c r="K1225" s="2">
        <v>2</v>
      </c>
      <c r="L1225" s="2">
        <v>19.989999999999998</v>
      </c>
      <c r="M1225" s="19">
        <f t="shared" si="258"/>
        <v>19.989999999999998</v>
      </c>
      <c r="N1225" s="2" t="s">
        <v>118</v>
      </c>
      <c r="O1225" s="2" t="str">
        <f t="shared" si="259"/>
        <v>BFCM25</v>
      </c>
      <c r="P1225" s="2">
        <v>9.99</v>
      </c>
      <c r="Q1225" s="19">
        <f t="shared" si="260"/>
        <v>9.99</v>
      </c>
      <c r="R1225" s="2" t="str">
        <f t="shared" si="261"/>
        <v>Number</v>
      </c>
      <c r="S1225" s="2">
        <v>7.99</v>
      </c>
      <c r="T1225" s="19">
        <f t="shared" si="262"/>
        <v>7.99</v>
      </c>
      <c r="U1225" s="2">
        <v>37.979999999999997</v>
      </c>
      <c r="V1225" s="19">
        <f t="shared" si="263"/>
        <v>37.979999999999997</v>
      </c>
      <c r="W1225" s="19">
        <f t="shared" si="264"/>
        <v>37.979999999999997</v>
      </c>
      <c r="X1225" s="19" t="str">
        <f t="shared" si="265"/>
        <v>True</v>
      </c>
      <c r="Y1225" s="19" t="str">
        <f>IF(OR(W1225&lt;'Cleaning Tasks'!$G$18,W1225&gt;'Cleaning Tasks'!$H$18),"Outlier","Normal")</f>
        <v>Normal</v>
      </c>
      <c r="Z1225" s="2" t="s">
        <v>72</v>
      </c>
      <c r="AA1225" s="2" t="s">
        <v>40</v>
      </c>
      <c r="AB1225" s="2" t="s">
        <v>50</v>
      </c>
      <c r="AC1225" s="2" t="s">
        <v>42</v>
      </c>
      <c r="AD1225" s="2"/>
      <c r="AE1225" s="2" t="str">
        <f t="shared" si="266"/>
        <v>Not Required</v>
      </c>
      <c r="AF1225" s="2" t="s">
        <v>3494</v>
      </c>
    </row>
    <row r="1226" spans="1:32" x14ac:dyDescent="0.3">
      <c r="A1226" s="2" t="s">
        <v>3495</v>
      </c>
      <c r="B1226" s="2">
        <f t="shared" si="256"/>
        <v>1</v>
      </c>
      <c r="C1226" s="12">
        <f t="shared" si="255"/>
        <v>46238.586883425924</v>
      </c>
      <c r="D1226" s="13">
        <v>46238.586883425924</v>
      </c>
      <c r="E1226" s="2" t="s">
        <v>2433</v>
      </c>
      <c r="F1226" s="2" t="str">
        <f t="shared" si="257"/>
        <v>Email Available</v>
      </c>
      <c r="G1226" s="2" t="s">
        <v>2434</v>
      </c>
      <c r="H1226" s="2" t="s">
        <v>109</v>
      </c>
      <c r="I1226" s="2" t="s">
        <v>79</v>
      </c>
      <c r="J1226" s="2" t="s">
        <v>110</v>
      </c>
      <c r="K1226" s="2">
        <v>1</v>
      </c>
      <c r="L1226" s="2">
        <v>22.99</v>
      </c>
      <c r="M1226" s="19">
        <f t="shared" si="258"/>
        <v>22.99</v>
      </c>
      <c r="N1226" s="2" t="s">
        <v>118</v>
      </c>
      <c r="O1226" s="2" t="str">
        <f t="shared" si="259"/>
        <v>BFCM25</v>
      </c>
      <c r="P1226" s="2">
        <v>5.75</v>
      </c>
      <c r="Q1226" s="19">
        <f t="shared" si="260"/>
        <v>5.75</v>
      </c>
      <c r="R1226" s="2" t="str">
        <f t="shared" si="261"/>
        <v>Number</v>
      </c>
      <c r="S1226" s="2">
        <v>5.99</v>
      </c>
      <c r="T1226" s="19">
        <f t="shared" si="262"/>
        <v>5.99</v>
      </c>
      <c r="U1226" s="2">
        <v>23.23</v>
      </c>
      <c r="V1226" s="19">
        <f t="shared" si="263"/>
        <v>23.23</v>
      </c>
      <c r="W1226" s="19">
        <f t="shared" si="264"/>
        <v>23.229999999999997</v>
      </c>
      <c r="X1226" s="19" t="str">
        <f t="shared" si="265"/>
        <v>True</v>
      </c>
      <c r="Y1226" s="19" t="str">
        <f>IF(OR(W1226&lt;'Cleaning Tasks'!$G$18,W1226&gt;'Cleaning Tasks'!$H$18),"Outlier","Normal")</f>
        <v>Normal</v>
      </c>
      <c r="Z1226" s="2" t="s">
        <v>39</v>
      </c>
      <c r="AA1226" s="2" t="s">
        <v>111</v>
      </c>
      <c r="AB1226" s="2" t="s">
        <v>50</v>
      </c>
      <c r="AC1226" s="2" t="s">
        <v>42</v>
      </c>
      <c r="AD1226" s="2"/>
      <c r="AE1226" s="2" t="str">
        <f t="shared" si="266"/>
        <v>Not Required</v>
      </c>
      <c r="AF1226" s="2" t="s">
        <v>1351</v>
      </c>
    </row>
    <row r="1227" spans="1:32" x14ac:dyDescent="0.3">
      <c r="A1227" s="2" t="s">
        <v>3496</v>
      </c>
      <c r="B1227" s="2">
        <f t="shared" si="256"/>
        <v>1</v>
      </c>
      <c r="C1227" s="12">
        <f t="shared" si="255"/>
        <v>46238</v>
      </c>
      <c r="D1227" s="13">
        <v>46238</v>
      </c>
      <c r="E1227" s="2" t="s">
        <v>889</v>
      </c>
      <c r="F1227" s="2" t="str">
        <f t="shared" si="257"/>
        <v>Email Available</v>
      </c>
      <c r="G1227" s="2" t="s">
        <v>890</v>
      </c>
      <c r="H1227" s="2" t="s">
        <v>130</v>
      </c>
      <c r="I1227" s="2" t="s">
        <v>103</v>
      </c>
      <c r="J1227" s="2" t="s">
        <v>131</v>
      </c>
      <c r="K1227" s="2">
        <v>1</v>
      </c>
      <c r="L1227" s="2">
        <v>16.989999999999998</v>
      </c>
      <c r="M1227" s="19">
        <f t="shared" si="258"/>
        <v>16.989999999999998</v>
      </c>
      <c r="N1227" s="2"/>
      <c r="O1227" s="2" t="str">
        <f t="shared" si="259"/>
        <v/>
      </c>
      <c r="P1227" s="2">
        <v>0</v>
      </c>
      <c r="Q1227" s="19">
        <f t="shared" si="260"/>
        <v>0</v>
      </c>
      <c r="R1227" s="2" t="str">
        <f t="shared" si="261"/>
        <v>Number</v>
      </c>
      <c r="S1227" s="2">
        <v>4.99</v>
      </c>
      <c r="T1227" s="19">
        <f t="shared" si="262"/>
        <v>4.99</v>
      </c>
      <c r="U1227" s="2">
        <v>21.98</v>
      </c>
      <c r="V1227" s="19">
        <f t="shared" si="263"/>
        <v>21.98</v>
      </c>
      <c r="W1227" s="19">
        <f t="shared" si="264"/>
        <v>21.979999999999997</v>
      </c>
      <c r="X1227" s="19" t="str">
        <f t="shared" si="265"/>
        <v>True</v>
      </c>
      <c r="Y1227" s="19" t="str">
        <f>IF(OR(W1227&lt;'Cleaning Tasks'!$G$18,W1227&gt;'Cleaning Tasks'!$H$18),"Outlier","Normal")</f>
        <v>Normal</v>
      </c>
      <c r="Z1227" s="2" t="s">
        <v>66</v>
      </c>
      <c r="AA1227" s="2" t="s">
        <v>88</v>
      </c>
      <c r="AB1227" s="2" t="s">
        <v>50</v>
      </c>
      <c r="AC1227" s="2" t="s">
        <v>29</v>
      </c>
      <c r="AD1227" s="2" t="s">
        <v>447</v>
      </c>
      <c r="AE1227" s="2" t="str">
        <f t="shared" si="266"/>
        <v>Valid</v>
      </c>
      <c r="AF1227" s="2" t="s">
        <v>3497</v>
      </c>
    </row>
    <row r="1228" spans="1:32" x14ac:dyDescent="0.3">
      <c r="A1228" s="2" t="s">
        <v>3498</v>
      </c>
      <c r="B1228" s="2">
        <f t="shared" si="256"/>
        <v>1</v>
      </c>
      <c r="C1228" s="12">
        <f t="shared" si="255"/>
        <v>46238.580845694443</v>
      </c>
      <c r="D1228" s="13">
        <v>46238.580845694443</v>
      </c>
      <c r="E1228" s="2" t="s">
        <v>33</v>
      </c>
      <c r="F1228" s="2" t="str">
        <f t="shared" si="257"/>
        <v>Email Available</v>
      </c>
      <c r="G1228" s="2" t="s">
        <v>34</v>
      </c>
      <c r="H1228" s="2" t="s">
        <v>309</v>
      </c>
      <c r="I1228" s="2" t="s">
        <v>36</v>
      </c>
      <c r="J1228" s="2" t="s">
        <v>310</v>
      </c>
      <c r="K1228" s="2">
        <v>1</v>
      </c>
      <c r="L1228" s="2">
        <v>8.99</v>
      </c>
      <c r="M1228" s="19">
        <f t="shared" si="258"/>
        <v>8.99</v>
      </c>
      <c r="N1228" s="2"/>
      <c r="O1228" s="2" t="str">
        <f t="shared" si="259"/>
        <v/>
      </c>
      <c r="P1228" s="2">
        <v>0</v>
      </c>
      <c r="Q1228" s="19">
        <f t="shared" si="260"/>
        <v>0</v>
      </c>
      <c r="R1228" s="2" t="str">
        <f t="shared" si="261"/>
        <v>Number</v>
      </c>
      <c r="S1228" s="2">
        <v>7.99</v>
      </c>
      <c r="T1228" s="19">
        <f t="shared" si="262"/>
        <v>7.99</v>
      </c>
      <c r="U1228" s="2">
        <v>16.98</v>
      </c>
      <c r="V1228" s="19">
        <f t="shared" si="263"/>
        <v>16.98</v>
      </c>
      <c r="W1228" s="19">
        <f t="shared" si="264"/>
        <v>16.98</v>
      </c>
      <c r="X1228" s="19" t="str">
        <f t="shared" si="265"/>
        <v>True</v>
      </c>
      <c r="Y1228" s="19" t="str">
        <f>IF(OR(W1228&lt;'Cleaning Tasks'!$G$18,W1228&gt;'Cleaning Tasks'!$H$18),"Outlier","Normal")</f>
        <v>Normal</v>
      </c>
      <c r="Z1228" s="2" t="s">
        <v>39</v>
      </c>
      <c r="AA1228" s="2" t="s">
        <v>40</v>
      </c>
      <c r="AB1228" s="2" t="s">
        <v>41</v>
      </c>
      <c r="AC1228" s="2" t="s">
        <v>42</v>
      </c>
      <c r="AD1228" s="2"/>
      <c r="AE1228" s="2" t="str">
        <f t="shared" si="266"/>
        <v>Not Required</v>
      </c>
      <c r="AF1228" s="2" t="s">
        <v>3499</v>
      </c>
    </row>
    <row r="1229" spans="1:32" x14ac:dyDescent="0.3">
      <c r="A1229" s="2" t="s">
        <v>3500</v>
      </c>
      <c r="B1229" s="2">
        <f t="shared" si="256"/>
        <v>1</v>
      </c>
      <c r="C1229" s="12">
        <f t="shared" si="255"/>
        <v>46238.58484019676</v>
      </c>
      <c r="D1229" s="13">
        <v>46238.58484019676</v>
      </c>
      <c r="E1229" s="2" t="s">
        <v>1555</v>
      </c>
      <c r="F1229" s="2" t="str">
        <f t="shared" si="257"/>
        <v>Email Available</v>
      </c>
      <c r="G1229" s="2" t="s">
        <v>1556</v>
      </c>
      <c r="H1229" s="2" t="s">
        <v>63</v>
      </c>
      <c r="I1229" s="2" t="s">
        <v>47</v>
      </c>
      <c r="J1229" s="2" t="s">
        <v>64</v>
      </c>
      <c r="K1229" s="2">
        <v>1</v>
      </c>
      <c r="L1229" s="2">
        <v>14.99</v>
      </c>
      <c r="M1229" s="19">
        <f t="shared" si="258"/>
        <v>14.99</v>
      </c>
      <c r="N1229" s="2" t="s">
        <v>24</v>
      </c>
      <c r="O1229" s="2" t="str">
        <f t="shared" si="259"/>
        <v>SAVE20</v>
      </c>
      <c r="P1229" s="2">
        <v>3</v>
      </c>
      <c r="Q1229" s="19">
        <f t="shared" si="260"/>
        <v>3</v>
      </c>
      <c r="R1229" s="2" t="str">
        <f t="shared" si="261"/>
        <v>Number</v>
      </c>
      <c r="S1229" s="2">
        <v>4.99</v>
      </c>
      <c r="T1229" s="19">
        <f t="shared" si="262"/>
        <v>4.99</v>
      </c>
      <c r="U1229" s="2">
        <v>16.98</v>
      </c>
      <c r="V1229" s="19">
        <f t="shared" si="263"/>
        <v>16.98</v>
      </c>
      <c r="W1229" s="19">
        <f t="shared" si="264"/>
        <v>16.98</v>
      </c>
      <c r="X1229" s="19" t="str">
        <f t="shared" si="265"/>
        <v>True</v>
      </c>
      <c r="Y1229" s="19" t="str">
        <f>IF(OR(W1229&lt;'Cleaning Tasks'!$G$18,W1229&gt;'Cleaning Tasks'!$H$18),"Outlier","Normal")</f>
        <v>Normal</v>
      </c>
      <c r="Z1229" s="2" t="s">
        <v>39</v>
      </c>
      <c r="AA1229" s="2" t="s">
        <v>27</v>
      </c>
      <c r="AB1229" s="2" t="s">
        <v>96</v>
      </c>
      <c r="AC1229" s="2" t="s">
        <v>105</v>
      </c>
      <c r="AD1229" s="2"/>
      <c r="AE1229" s="2" t="str">
        <f t="shared" si="266"/>
        <v>Not Required</v>
      </c>
      <c r="AF1229" s="2" t="s">
        <v>758</v>
      </c>
    </row>
    <row r="1230" spans="1:32" x14ac:dyDescent="0.3">
      <c r="A1230" s="2" t="s">
        <v>3501</v>
      </c>
      <c r="B1230" s="2">
        <f t="shared" si="256"/>
        <v>1</v>
      </c>
      <c r="C1230" s="12">
        <f t="shared" si="255"/>
        <v>46238.586436574071</v>
      </c>
      <c r="D1230" s="13">
        <v>46238.586436574071</v>
      </c>
      <c r="E1230" s="2" t="s">
        <v>3502</v>
      </c>
      <c r="F1230" s="2" t="str">
        <f t="shared" si="257"/>
        <v>Email Available</v>
      </c>
      <c r="G1230" s="2" t="s">
        <v>3503</v>
      </c>
      <c r="H1230" s="2" t="s">
        <v>279</v>
      </c>
      <c r="I1230" s="2" t="s">
        <v>22</v>
      </c>
      <c r="J1230" s="2" t="s">
        <v>280</v>
      </c>
      <c r="K1230" s="2">
        <v>2</v>
      </c>
      <c r="L1230" s="2">
        <v>24.99</v>
      </c>
      <c r="M1230" s="19">
        <f t="shared" si="258"/>
        <v>24.99</v>
      </c>
      <c r="N1230" s="2" t="s">
        <v>203</v>
      </c>
      <c r="O1230" s="2" t="str">
        <f t="shared" si="259"/>
        <v>VIP15</v>
      </c>
      <c r="P1230" s="2">
        <v>7.5</v>
      </c>
      <c r="Q1230" s="19">
        <f t="shared" si="260"/>
        <v>7.5</v>
      </c>
      <c r="R1230" s="2" t="str">
        <f t="shared" si="261"/>
        <v>Number</v>
      </c>
      <c r="S1230" s="2">
        <v>5.99</v>
      </c>
      <c r="T1230" s="19">
        <f t="shared" si="262"/>
        <v>5.99</v>
      </c>
      <c r="U1230" s="2">
        <v>48.47</v>
      </c>
      <c r="V1230" s="19">
        <f t="shared" si="263"/>
        <v>48.47</v>
      </c>
      <c r="W1230" s="19">
        <f t="shared" si="264"/>
        <v>48.47</v>
      </c>
      <c r="X1230" s="19" t="str">
        <f t="shared" si="265"/>
        <v>True</v>
      </c>
      <c r="Y1230" s="19" t="str">
        <f>IF(OR(W1230&lt;'Cleaning Tasks'!$G$18,W1230&gt;'Cleaning Tasks'!$H$18),"Outlier","Normal")</f>
        <v>Normal</v>
      </c>
      <c r="Z1230" s="2" t="s">
        <v>72</v>
      </c>
      <c r="AA1230" s="2" t="s">
        <v>88</v>
      </c>
      <c r="AB1230" s="2" t="s">
        <v>96</v>
      </c>
      <c r="AC1230" s="2" t="s">
        <v>29</v>
      </c>
      <c r="AD1230" s="2" t="s">
        <v>243</v>
      </c>
      <c r="AE1230" s="2" t="str">
        <f t="shared" si="266"/>
        <v>Valid</v>
      </c>
      <c r="AF1230" s="2" t="s">
        <v>3504</v>
      </c>
    </row>
    <row r="1231" spans="1:32" x14ac:dyDescent="0.3">
      <c r="A1231" s="2" t="s">
        <v>3505</v>
      </c>
      <c r="B1231" s="2">
        <f t="shared" si="256"/>
        <v>1</v>
      </c>
      <c r="C1231" s="12">
        <f t="shared" si="255"/>
        <v>46238</v>
      </c>
      <c r="D1231" s="13" t="s">
        <v>1023</v>
      </c>
      <c r="E1231" s="2" t="s">
        <v>1455</v>
      </c>
      <c r="F1231" s="2" t="str">
        <f t="shared" si="257"/>
        <v>Email Available</v>
      </c>
      <c r="G1231" s="2" t="s">
        <v>1279</v>
      </c>
      <c r="H1231" s="2" t="s">
        <v>130</v>
      </c>
      <c r="I1231" s="2" t="s">
        <v>103</v>
      </c>
      <c r="J1231" s="2" t="s">
        <v>131</v>
      </c>
      <c r="K1231" s="2">
        <v>1</v>
      </c>
      <c r="L1231" s="2">
        <v>16.989999999999998</v>
      </c>
      <c r="M1231" s="19">
        <f t="shared" si="258"/>
        <v>16.989999999999998</v>
      </c>
      <c r="N1231" s="2"/>
      <c r="O1231" s="2" t="str">
        <f t="shared" si="259"/>
        <v/>
      </c>
      <c r="P1231" s="2">
        <v>0</v>
      </c>
      <c r="Q1231" s="19">
        <f t="shared" si="260"/>
        <v>0</v>
      </c>
      <c r="R1231" s="2" t="str">
        <f t="shared" si="261"/>
        <v>Number</v>
      </c>
      <c r="S1231" s="2">
        <v>7.99</v>
      </c>
      <c r="T1231" s="19">
        <f t="shared" si="262"/>
        <v>7.99</v>
      </c>
      <c r="U1231" s="2">
        <v>24.98</v>
      </c>
      <c r="V1231" s="19">
        <f t="shared" si="263"/>
        <v>24.98</v>
      </c>
      <c r="W1231" s="19">
        <f t="shared" si="264"/>
        <v>24.979999999999997</v>
      </c>
      <c r="X1231" s="19" t="str">
        <f t="shared" si="265"/>
        <v>True</v>
      </c>
      <c r="Y1231" s="19" t="str">
        <f>IF(OR(W1231&lt;'Cleaning Tasks'!$G$18,W1231&gt;'Cleaning Tasks'!$H$18),"Outlier","Normal")</f>
        <v>Normal</v>
      </c>
      <c r="Z1231" s="2" t="s">
        <v>72</v>
      </c>
      <c r="AA1231" s="2" t="s">
        <v>27</v>
      </c>
      <c r="AB1231" s="2" t="s">
        <v>96</v>
      </c>
      <c r="AC1231" s="2" t="s">
        <v>29</v>
      </c>
      <c r="AD1231" s="2" t="s">
        <v>447</v>
      </c>
      <c r="AE1231" s="2" t="str">
        <f t="shared" si="266"/>
        <v>Valid</v>
      </c>
      <c r="AF1231" s="2" t="s">
        <v>3506</v>
      </c>
    </row>
    <row r="1232" spans="1:32" x14ac:dyDescent="0.3">
      <c r="A1232" s="2" t="s">
        <v>3507</v>
      </c>
      <c r="B1232" s="2">
        <f t="shared" si="256"/>
        <v>1</v>
      </c>
      <c r="C1232" s="12">
        <f t="shared" si="255"/>
        <v>46238.578994513889</v>
      </c>
      <c r="D1232" s="13">
        <v>46238.578994513889</v>
      </c>
      <c r="E1232" s="2" t="s">
        <v>3508</v>
      </c>
      <c r="F1232" s="2" t="str">
        <f t="shared" si="257"/>
        <v>Email Available</v>
      </c>
      <c r="G1232" s="2" t="s">
        <v>284</v>
      </c>
      <c r="H1232" s="2" t="s">
        <v>78</v>
      </c>
      <c r="I1232" s="2" t="s">
        <v>79</v>
      </c>
      <c r="J1232" s="2" t="s">
        <v>80</v>
      </c>
      <c r="K1232" s="2">
        <v>2</v>
      </c>
      <c r="L1232" s="2">
        <v>89.99</v>
      </c>
      <c r="M1232" s="19">
        <f t="shared" si="258"/>
        <v>89.99</v>
      </c>
      <c r="N1232" s="2" t="s">
        <v>24</v>
      </c>
      <c r="O1232" s="2" t="str">
        <f t="shared" si="259"/>
        <v>SAVE20</v>
      </c>
      <c r="P1232" s="2">
        <v>36</v>
      </c>
      <c r="Q1232" s="19">
        <f t="shared" si="260"/>
        <v>36</v>
      </c>
      <c r="R1232" s="2" t="str">
        <f t="shared" si="261"/>
        <v>Number</v>
      </c>
      <c r="S1232" s="2">
        <v>0</v>
      </c>
      <c r="T1232" s="19">
        <f t="shared" si="262"/>
        <v>0</v>
      </c>
      <c r="U1232" s="2">
        <v>143.97999999999999</v>
      </c>
      <c r="V1232" s="19">
        <f t="shared" si="263"/>
        <v>143.97999999999999</v>
      </c>
      <c r="W1232" s="19">
        <f t="shared" si="264"/>
        <v>143.97999999999999</v>
      </c>
      <c r="X1232" s="19" t="str">
        <f t="shared" si="265"/>
        <v>True</v>
      </c>
      <c r="Y1232" s="19" t="str">
        <f>IF(OR(W1232&lt;'Cleaning Tasks'!$G$18,W1232&gt;'Cleaning Tasks'!$H$18),"Outlier","Normal")</f>
        <v>Outlier</v>
      </c>
      <c r="Z1232" s="2" t="s">
        <v>39</v>
      </c>
      <c r="AA1232" s="2" t="s">
        <v>27</v>
      </c>
      <c r="AB1232" s="2" t="s">
        <v>50</v>
      </c>
      <c r="AC1232" s="2" t="s">
        <v>29</v>
      </c>
      <c r="AD1232" s="2" t="s">
        <v>30</v>
      </c>
      <c r="AE1232" s="2" t="str">
        <f t="shared" si="266"/>
        <v>Valid</v>
      </c>
      <c r="AF1232" s="2" t="s">
        <v>3509</v>
      </c>
    </row>
    <row r="1233" spans="1:32" x14ac:dyDescent="0.3">
      <c r="A1233" s="2" t="s">
        <v>3510</v>
      </c>
      <c r="B1233" s="2">
        <f t="shared" si="256"/>
        <v>1</v>
      </c>
      <c r="C1233" s="12">
        <f t="shared" si="255"/>
        <v>46238.581982685188</v>
      </c>
      <c r="D1233" s="13">
        <v>46238.581982685188</v>
      </c>
      <c r="E1233" s="2" t="s">
        <v>1960</v>
      </c>
      <c r="F1233" s="2" t="str">
        <f t="shared" si="257"/>
        <v>Email Available</v>
      </c>
      <c r="G1233" s="2" t="s">
        <v>1961</v>
      </c>
      <c r="H1233" s="2" t="s">
        <v>201</v>
      </c>
      <c r="I1233" s="2" t="s">
        <v>191</v>
      </c>
      <c r="J1233" s="2" t="s">
        <v>202</v>
      </c>
      <c r="K1233" s="2">
        <v>2</v>
      </c>
      <c r="L1233" s="2" t="s">
        <v>1212</v>
      </c>
      <c r="M1233" s="19">
        <f t="shared" si="258"/>
        <v>24.99</v>
      </c>
      <c r="N1233" s="2" t="s">
        <v>118</v>
      </c>
      <c r="O1233" s="2" t="str">
        <f t="shared" si="259"/>
        <v>BFCM25</v>
      </c>
      <c r="P1233" s="2" t="s">
        <v>3511</v>
      </c>
      <c r="Q1233" s="19">
        <f t="shared" si="260"/>
        <v>12.49</v>
      </c>
      <c r="R1233" s="2" t="str">
        <f t="shared" si="261"/>
        <v>Number</v>
      </c>
      <c r="S1233" s="2">
        <v>7.99</v>
      </c>
      <c r="T1233" s="19">
        <f t="shared" si="262"/>
        <v>7.99</v>
      </c>
      <c r="U1233" s="2">
        <v>45.48</v>
      </c>
      <c r="V1233" s="19">
        <f t="shared" si="263"/>
        <v>45.48</v>
      </c>
      <c r="W1233" s="19">
        <f t="shared" si="264"/>
        <v>45.48</v>
      </c>
      <c r="X1233" s="19" t="str">
        <f t="shared" si="265"/>
        <v>True</v>
      </c>
      <c r="Y1233" s="19" t="str">
        <f>IF(OR(W1233&lt;'Cleaning Tasks'!$G$18,W1233&gt;'Cleaning Tasks'!$H$18),"Outlier","Normal")</f>
        <v>Normal</v>
      </c>
      <c r="Z1233" s="2" t="s">
        <v>66</v>
      </c>
      <c r="AA1233" s="2" t="s">
        <v>40</v>
      </c>
      <c r="AB1233" s="2" t="s">
        <v>28</v>
      </c>
      <c r="AC1233" s="2" t="s">
        <v>29</v>
      </c>
      <c r="AD1233" s="2" t="s">
        <v>58</v>
      </c>
      <c r="AE1233" s="2" t="str">
        <f t="shared" si="266"/>
        <v>Valid</v>
      </c>
      <c r="AF1233" s="2" t="s">
        <v>3512</v>
      </c>
    </row>
    <row r="1234" spans="1:32" x14ac:dyDescent="0.3">
      <c r="A1234" s="2" t="s">
        <v>3513</v>
      </c>
      <c r="B1234" s="2">
        <f t="shared" si="256"/>
        <v>1</v>
      </c>
      <c r="C1234" s="12">
        <f t="shared" si="255"/>
        <v>46238.5813543287</v>
      </c>
      <c r="D1234" s="13">
        <v>46238.5813543287</v>
      </c>
      <c r="E1234" s="2" t="s">
        <v>1515</v>
      </c>
      <c r="F1234" s="2" t="str">
        <f t="shared" si="257"/>
        <v>Email Available</v>
      </c>
      <c r="G1234" s="2" t="s">
        <v>1516</v>
      </c>
      <c r="H1234" s="2" t="s">
        <v>130</v>
      </c>
      <c r="I1234" s="2" t="s">
        <v>103</v>
      </c>
      <c r="J1234" s="2" t="s">
        <v>131</v>
      </c>
      <c r="K1234" s="2">
        <v>1</v>
      </c>
      <c r="L1234" s="2">
        <v>16.989999999999998</v>
      </c>
      <c r="M1234" s="19">
        <f t="shared" si="258"/>
        <v>16.989999999999998</v>
      </c>
      <c r="N1234" s="2" t="s">
        <v>65</v>
      </c>
      <c r="O1234" s="2" t="str">
        <f t="shared" si="259"/>
        <v>WELCOME10</v>
      </c>
      <c r="P1234" s="2">
        <v>1.7</v>
      </c>
      <c r="Q1234" s="19">
        <f t="shared" si="260"/>
        <v>1.7</v>
      </c>
      <c r="R1234" s="2" t="str">
        <f t="shared" si="261"/>
        <v>Number</v>
      </c>
      <c r="S1234" s="2">
        <v>7.99</v>
      </c>
      <c r="T1234" s="19">
        <f t="shared" si="262"/>
        <v>7.99</v>
      </c>
      <c r="U1234" s="2">
        <v>23.28</v>
      </c>
      <c r="V1234" s="19">
        <f t="shared" si="263"/>
        <v>23.28</v>
      </c>
      <c r="W1234" s="19">
        <f t="shared" si="264"/>
        <v>23.28</v>
      </c>
      <c r="X1234" s="19" t="str">
        <f t="shared" si="265"/>
        <v>True</v>
      </c>
      <c r="Y1234" s="19" t="str">
        <f>IF(OR(W1234&lt;'Cleaning Tasks'!$G$18,W1234&gt;'Cleaning Tasks'!$H$18),"Outlier","Normal")</f>
        <v>Normal</v>
      </c>
      <c r="Z1234" s="2" t="s">
        <v>26</v>
      </c>
      <c r="AA1234" s="2" t="s">
        <v>27</v>
      </c>
      <c r="AB1234" s="2" t="s">
        <v>50</v>
      </c>
      <c r="AC1234" s="2" t="s">
        <v>73</v>
      </c>
      <c r="AD1234" s="2"/>
      <c r="AE1234" s="2" t="str">
        <f t="shared" si="266"/>
        <v>Not Required</v>
      </c>
      <c r="AF1234" s="2" t="s">
        <v>3514</v>
      </c>
    </row>
    <row r="1235" spans="1:32" x14ac:dyDescent="0.3">
      <c r="A1235" s="2" t="s">
        <v>3515</v>
      </c>
      <c r="B1235" s="2">
        <f t="shared" si="256"/>
        <v>1</v>
      </c>
      <c r="C1235" s="12">
        <f t="shared" si="255"/>
        <v>46238.584080844907</v>
      </c>
      <c r="D1235" s="13">
        <v>46238.584080844907</v>
      </c>
      <c r="E1235" s="2" t="s">
        <v>569</v>
      </c>
      <c r="F1235" s="2" t="str">
        <f t="shared" si="257"/>
        <v>Email Available</v>
      </c>
      <c r="G1235" s="2" t="s">
        <v>570</v>
      </c>
      <c r="H1235" s="2" t="s">
        <v>130</v>
      </c>
      <c r="I1235" s="2" t="s">
        <v>103</v>
      </c>
      <c r="J1235" s="2" t="s">
        <v>131</v>
      </c>
      <c r="K1235" s="2">
        <v>1</v>
      </c>
      <c r="L1235" s="2">
        <v>16.989999999999998</v>
      </c>
      <c r="M1235" s="19">
        <f t="shared" si="258"/>
        <v>16.989999999999998</v>
      </c>
      <c r="N1235" s="2"/>
      <c r="O1235" s="2" t="str">
        <f t="shared" si="259"/>
        <v/>
      </c>
      <c r="P1235" s="2">
        <v>0</v>
      </c>
      <c r="Q1235" s="19">
        <f t="shared" si="260"/>
        <v>0</v>
      </c>
      <c r="R1235" s="2" t="str">
        <f t="shared" si="261"/>
        <v>Number</v>
      </c>
      <c r="S1235" s="2">
        <v>7.99</v>
      </c>
      <c r="T1235" s="19">
        <f t="shared" si="262"/>
        <v>7.99</v>
      </c>
      <c r="U1235" s="2" t="s">
        <v>941</v>
      </c>
      <c r="V1235" s="19">
        <f t="shared" si="263"/>
        <v>24.98</v>
      </c>
      <c r="W1235" s="19">
        <f t="shared" si="264"/>
        <v>24.979999999999997</v>
      </c>
      <c r="X1235" s="19" t="str">
        <f t="shared" si="265"/>
        <v>True</v>
      </c>
      <c r="Y1235" s="19" t="str">
        <f>IF(OR(W1235&lt;'Cleaning Tasks'!$G$18,W1235&gt;'Cleaning Tasks'!$H$18),"Outlier","Normal")</f>
        <v>Normal</v>
      </c>
      <c r="Z1235" s="2" t="s">
        <v>26</v>
      </c>
      <c r="AA1235" s="2" t="s">
        <v>88</v>
      </c>
      <c r="AB1235" s="2" t="s">
        <v>28</v>
      </c>
      <c r="AC1235" s="2" t="s">
        <v>105</v>
      </c>
      <c r="AD1235" s="2"/>
      <c r="AE1235" s="2" t="str">
        <f t="shared" si="266"/>
        <v>Not Required</v>
      </c>
      <c r="AF1235" s="2" t="s">
        <v>3516</v>
      </c>
    </row>
    <row r="1236" spans="1:32" x14ac:dyDescent="0.3">
      <c r="A1236" s="2" t="s">
        <v>3517</v>
      </c>
      <c r="B1236" s="2">
        <f t="shared" si="256"/>
        <v>1</v>
      </c>
      <c r="C1236" s="12">
        <f t="shared" si="255"/>
        <v>46238.588730416668</v>
      </c>
      <c r="D1236" s="13">
        <v>46238.588730416668</v>
      </c>
      <c r="E1236" s="2" t="s">
        <v>2782</v>
      </c>
      <c r="F1236" s="2" t="str">
        <f t="shared" si="257"/>
        <v>Email Available</v>
      </c>
      <c r="G1236" s="2" t="s">
        <v>2783</v>
      </c>
      <c r="H1236" s="22" t="s">
        <v>56</v>
      </c>
      <c r="I1236" s="2" t="s">
        <v>22</v>
      </c>
      <c r="J1236" s="2" t="s">
        <v>57</v>
      </c>
      <c r="K1236" s="2">
        <v>1</v>
      </c>
      <c r="L1236" s="2">
        <v>9.99</v>
      </c>
      <c r="M1236" s="19">
        <f t="shared" si="258"/>
        <v>9.99</v>
      </c>
      <c r="N1236" s="2"/>
      <c r="O1236" s="2" t="str">
        <f t="shared" si="259"/>
        <v/>
      </c>
      <c r="P1236" s="2">
        <v>0</v>
      </c>
      <c r="Q1236" s="19">
        <f t="shared" si="260"/>
        <v>0</v>
      </c>
      <c r="R1236" s="2" t="str">
        <f t="shared" si="261"/>
        <v>Number</v>
      </c>
      <c r="S1236" s="2">
        <v>5.99</v>
      </c>
      <c r="T1236" s="19">
        <f t="shared" si="262"/>
        <v>5.99</v>
      </c>
      <c r="U1236" s="2">
        <v>15.98</v>
      </c>
      <c r="V1236" s="19">
        <f t="shared" si="263"/>
        <v>15.98</v>
      </c>
      <c r="W1236" s="19">
        <f t="shared" si="264"/>
        <v>15.98</v>
      </c>
      <c r="X1236" s="19" t="str">
        <f t="shared" si="265"/>
        <v>True</v>
      </c>
      <c r="Y1236" s="19" t="str">
        <f>IF(OR(W1236&lt;'Cleaning Tasks'!$G$18,W1236&gt;'Cleaning Tasks'!$H$18),"Outlier","Normal")</f>
        <v>Normal</v>
      </c>
      <c r="Z1236" s="2" t="s">
        <v>26</v>
      </c>
      <c r="AA1236" s="2" t="s">
        <v>27</v>
      </c>
      <c r="AB1236" s="2" t="s">
        <v>50</v>
      </c>
      <c r="AC1236" s="2" t="s">
        <v>29</v>
      </c>
      <c r="AD1236" s="2" t="s">
        <v>30</v>
      </c>
      <c r="AE1236" s="2" t="str">
        <f t="shared" si="266"/>
        <v>Valid</v>
      </c>
      <c r="AF1236" s="2" t="s">
        <v>3518</v>
      </c>
    </row>
    <row r="1237" spans="1:32" x14ac:dyDescent="0.3">
      <c r="A1237" s="2" t="s">
        <v>3519</v>
      </c>
      <c r="B1237" s="2">
        <f t="shared" si="256"/>
        <v>1</v>
      </c>
      <c r="C1237" s="12">
        <f t="shared" si="255"/>
        <v>46238.588576655093</v>
      </c>
      <c r="D1237" s="13">
        <v>46238.588576655093</v>
      </c>
      <c r="E1237" s="2" t="s">
        <v>2317</v>
      </c>
      <c r="F1237" s="2" t="str">
        <f t="shared" si="257"/>
        <v>Email Available</v>
      </c>
      <c r="G1237" s="2" t="s">
        <v>2318</v>
      </c>
      <c r="H1237" s="2" t="s">
        <v>261</v>
      </c>
      <c r="I1237" s="2" t="s">
        <v>36</v>
      </c>
      <c r="J1237" s="2" t="s">
        <v>262</v>
      </c>
      <c r="K1237" s="2">
        <v>1</v>
      </c>
      <c r="L1237" s="2">
        <v>15.49</v>
      </c>
      <c r="M1237" s="19">
        <f t="shared" si="258"/>
        <v>15.49</v>
      </c>
      <c r="N1237" s="2"/>
      <c r="O1237" s="2" t="str">
        <f t="shared" si="259"/>
        <v/>
      </c>
      <c r="P1237" s="2">
        <v>0</v>
      </c>
      <c r="Q1237" s="19">
        <f t="shared" si="260"/>
        <v>0</v>
      </c>
      <c r="R1237" s="2" t="str">
        <f t="shared" si="261"/>
        <v>Number</v>
      </c>
      <c r="S1237" s="2">
        <v>7.99</v>
      </c>
      <c r="T1237" s="19">
        <f t="shared" si="262"/>
        <v>7.99</v>
      </c>
      <c r="U1237" s="2">
        <v>23.48</v>
      </c>
      <c r="V1237" s="19">
        <f t="shared" si="263"/>
        <v>23.48</v>
      </c>
      <c r="W1237" s="19">
        <f t="shared" si="264"/>
        <v>23.48</v>
      </c>
      <c r="X1237" s="19" t="str">
        <f t="shared" si="265"/>
        <v>True</v>
      </c>
      <c r="Y1237" s="19" t="str">
        <f>IF(OR(W1237&lt;'Cleaning Tasks'!$G$18,W1237&gt;'Cleaning Tasks'!$H$18),"Outlier","Normal")</f>
        <v>Normal</v>
      </c>
      <c r="Z1237" s="2" t="s">
        <v>39</v>
      </c>
      <c r="AA1237" s="2" t="s">
        <v>27</v>
      </c>
      <c r="AB1237" s="2" t="s">
        <v>28</v>
      </c>
      <c r="AC1237" s="2" t="s">
        <v>42</v>
      </c>
      <c r="AD1237" s="2"/>
      <c r="AE1237" s="2" t="str">
        <f t="shared" si="266"/>
        <v>Not Required</v>
      </c>
      <c r="AF1237" s="2" t="s">
        <v>3520</v>
      </c>
    </row>
    <row r="1238" spans="1:32" x14ac:dyDescent="0.3">
      <c r="A1238" s="2" t="s">
        <v>3521</v>
      </c>
      <c r="B1238" s="2">
        <f t="shared" si="256"/>
        <v>1</v>
      </c>
      <c r="C1238" s="12">
        <f t="shared" ref="C1238:C1269" si="267">IF(ISNUMBER(D1238),D1238,DATEVALUE(SUBSTITUTE(TRIM(D1238),CHAR(160)," ")))</f>
        <v>46238.579585416657</v>
      </c>
      <c r="D1238" s="13">
        <v>46238.579585416657</v>
      </c>
      <c r="E1238" s="2" t="s">
        <v>1075</v>
      </c>
      <c r="F1238" s="2" t="str">
        <f t="shared" si="257"/>
        <v>Email Available</v>
      </c>
      <c r="G1238" s="2" t="s">
        <v>587</v>
      </c>
      <c r="H1238" s="2" t="s">
        <v>361</v>
      </c>
      <c r="I1238" s="2" t="s">
        <v>86</v>
      </c>
      <c r="J1238" s="2" t="s">
        <v>362</v>
      </c>
      <c r="K1238" s="2">
        <v>1</v>
      </c>
      <c r="L1238" s="2">
        <v>54.99</v>
      </c>
      <c r="M1238" s="19">
        <f t="shared" si="258"/>
        <v>54.99</v>
      </c>
      <c r="N1238" s="2"/>
      <c r="O1238" s="2" t="str">
        <f t="shared" si="259"/>
        <v/>
      </c>
      <c r="P1238" s="2">
        <v>0</v>
      </c>
      <c r="Q1238" s="19">
        <f t="shared" si="260"/>
        <v>0</v>
      </c>
      <c r="R1238" s="2" t="str">
        <f t="shared" si="261"/>
        <v>Number</v>
      </c>
      <c r="S1238" s="2">
        <v>7.99</v>
      </c>
      <c r="T1238" s="19">
        <f t="shared" si="262"/>
        <v>7.99</v>
      </c>
      <c r="U1238" s="2">
        <v>62.98</v>
      </c>
      <c r="V1238" s="19">
        <f t="shared" si="263"/>
        <v>62.98</v>
      </c>
      <c r="W1238" s="19">
        <f t="shared" si="264"/>
        <v>62.980000000000004</v>
      </c>
      <c r="X1238" s="19" t="str">
        <f t="shared" si="265"/>
        <v>True</v>
      </c>
      <c r="Y1238" s="19" t="str">
        <f>IF(OR(W1238&lt;'Cleaning Tasks'!$G$18,W1238&gt;'Cleaning Tasks'!$H$18),"Outlier","Normal")</f>
        <v>Normal</v>
      </c>
      <c r="Z1238" s="2" t="s">
        <v>49</v>
      </c>
      <c r="AA1238" s="2" t="s">
        <v>111</v>
      </c>
      <c r="AB1238" s="2" t="s">
        <v>28</v>
      </c>
      <c r="AC1238" s="2" t="s">
        <v>29</v>
      </c>
      <c r="AD1238" s="22" t="s">
        <v>58</v>
      </c>
      <c r="AE1238" s="2" t="str">
        <f t="shared" si="266"/>
        <v>Valid</v>
      </c>
      <c r="AF1238" s="2" t="s">
        <v>3522</v>
      </c>
    </row>
    <row r="1239" spans="1:32" x14ac:dyDescent="0.3">
      <c r="A1239" s="2" t="s">
        <v>3523</v>
      </c>
      <c r="B1239" s="2">
        <f t="shared" si="256"/>
        <v>1</v>
      </c>
      <c r="C1239" s="12">
        <f t="shared" si="267"/>
        <v>46238</v>
      </c>
      <c r="D1239" s="13">
        <v>46238</v>
      </c>
      <c r="E1239" s="2" t="s">
        <v>639</v>
      </c>
      <c r="F1239" s="2" t="str">
        <f t="shared" si="257"/>
        <v>Email Available</v>
      </c>
      <c r="G1239" s="2" t="s">
        <v>640</v>
      </c>
      <c r="H1239" s="2" t="s">
        <v>236</v>
      </c>
      <c r="I1239" s="2" t="s">
        <v>237</v>
      </c>
      <c r="J1239" s="2" t="s">
        <v>238</v>
      </c>
      <c r="K1239" s="2">
        <v>2</v>
      </c>
      <c r="L1239" s="2">
        <v>27.99</v>
      </c>
      <c r="M1239" s="19">
        <f t="shared" si="258"/>
        <v>27.99</v>
      </c>
      <c r="N1239" s="2"/>
      <c r="O1239" s="2" t="str">
        <f t="shared" si="259"/>
        <v/>
      </c>
      <c r="P1239" s="2">
        <v>0</v>
      </c>
      <c r="Q1239" s="19">
        <f t="shared" si="260"/>
        <v>0</v>
      </c>
      <c r="R1239" s="2" t="str">
        <f t="shared" si="261"/>
        <v>Number</v>
      </c>
      <c r="S1239" s="2">
        <v>7.99</v>
      </c>
      <c r="T1239" s="19">
        <f t="shared" si="262"/>
        <v>7.99</v>
      </c>
      <c r="U1239" s="2">
        <v>63.97</v>
      </c>
      <c r="V1239" s="19">
        <f t="shared" si="263"/>
        <v>63.97</v>
      </c>
      <c r="W1239" s="19">
        <f t="shared" si="264"/>
        <v>63.97</v>
      </c>
      <c r="X1239" s="19" t="str">
        <f t="shared" si="265"/>
        <v>True</v>
      </c>
      <c r="Y1239" s="19" t="str">
        <f>IF(OR(W1239&lt;'Cleaning Tasks'!$G$18,W1239&gt;'Cleaning Tasks'!$H$18),"Outlier","Normal")</f>
        <v>Normal</v>
      </c>
      <c r="Z1239" s="2" t="s">
        <v>72</v>
      </c>
      <c r="AA1239" s="2" t="s">
        <v>27</v>
      </c>
      <c r="AB1239" s="2" t="s">
        <v>50</v>
      </c>
      <c r="AC1239" s="2" t="s">
        <v>29</v>
      </c>
      <c r="AD1239" s="2" t="s">
        <v>30</v>
      </c>
      <c r="AE1239" s="2" t="str">
        <f t="shared" si="266"/>
        <v>Valid</v>
      </c>
      <c r="AF1239" s="2" t="s">
        <v>3524</v>
      </c>
    </row>
    <row r="1240" spans="1:32" x14ac:dyDescent="0.3">
      <c r="A1240" s="2" t="s">
        <v>3525</v>
      </c>
      <c r="B1240" s="2">
        <f t="shared" si="256"/>
        <v>1</v>
      </c>
      <c r="C1240" s="12">
        <f t="shared" si="267"/>
        <v>46238</v>
      </c>
      <c r="D1240" s="13" t="s">
        <v>1228</v>
      </c>
      <c r="E1240" s="2" t="s">
        <v>199</v>
      </c>
      <c r="F1240" s="2" t="str">
        <f t="shared" si="257"/>
        <v>Email Available</v>
      </c>
      <c r="G1240" s="2" t="s">
        <v>200</v>
      </c>
      <c r="H1240" s="2" t="s">
        <v>63</v>
      </c>
      <c r="I1240" s="2" t="s">
        <v>47</v>
      </c>
      <c r="J1240" s="2" t="s">
        <v>64</v>
      </c>
      <c r="K1240" s="2">
        <v>1</v>
      </c>
      <c r="L1240" s="2">
        <v>14.99</v>
      </c>
      <c r="M1240" s="19">
        <f t="shared" si="258"/>
        <v>14.99</v>
      </c>
      <c r="N1240" s="2"/>
      <c r="O1240" s="2" t="str">
        <f t="shared" si="259"/>
        <v/>
      </c>
      <c r="P1240" s="2">
        <v>0</v>
      </c>
      <c r="Q1240" s="19">
        <f t="shared" si="260"/>
        <v>0</v>
      </c>
      <c r="R1240" s="2" t="str">
        <f t="shared" si="261"/>
        <v>Number</v>
      </c>
      <c r="S1240" s="2">
        <v>4.99</v>
      </c>
      <c r="T1240" s="19">
        <f t="shared" si="262"/>
        <v>4.99</v>
      </c>
      <c r="U1240" s="2" t="s">
        <v>1813</v>
      </c>
      <c r="V1240" s="19">
        <f t="shared" si="263"/>
        <v>19.98</v>
      </c>
      <c r="W1240" s="19">
        <f t="shared" si="264"/>
        <v>19.98</v>
      </c>
      <c r="X1240" s="19" t="str">
        <f t="shared" si="265"/>
        <v>True</v>
      </c>
      <c r="Y1240" s="19" t="str">
        <f>IF(OR(W1240&lt;'Cleaning Tasks'!$G$18,W1240&gt;'Cleaning Tasks'!$H$18),"Outlier","Normal")</f>
        <v>Normal</v>
      </c>
      <c r="Z1240" s="2" t="s">
        <v>66</v>
      </c>
      <c r="AA1240" s="2" t="s">
        <v>27</v>
      </c>
      <c r="AB1240" s="2" t="s">
        <v>50</v>
      </c>
      <c r="AC1240" s="2" t="s">
        <v>73</v>
      </c>
      <c r="AD1240" s="2"/>
      <c r="AE1240" s="2" t="str">
        <f t="shared" si="266"/>
        <v>Not Required</v>
      </c>
      <c r="AF1240" s="2" t="s">
        <v>3526</v>
      </c>
    </row>
    <row r="1241" spans="1:32" x14ac:dyDescent="0.3">
      <c r="A1241" s="2" t="s">
        <v>3527</v>
      </c>
      <c r="B1241" s="2">
        <f t="shared" si="256"/>
        <v>1</v>
      </c>
      <c r="C1241" s="12">
        <f t="shared" si="267"/>
        <v>46238.584643888891</v>
      </c>
      <c r="D1241" s="13">
        <v>46238.584643888891</v>
      </c>
      <c r="E1241" s="2" t="s">
        <v>3528</v>
      </c>
      <c r="F1241" s="2" t="str">
        <f t="shared" si="257"/>
        <v>Email Available</v>
      </c>
      <c r="G1241" s="2" t="s">
        <v>2266</v>
      </c>
      <c r="H1241" s="2" t="s">
        <v>279</v>
      </c>
      <c r="I1241" s="2" t="s">
        <v>22</v>
      </c>
      <c r="J1241" s="2" t="s">
        <v>280</v>
      </c>
      <c r="K1241" s="2">
        <v>1</v>
      </c>
      <c r="L1241" s="2">
        <v>24.99</v>
      </c>
      <c r="M1241" s="19">
        <f t="shared" si="258"/>
        <v>24.99</v>
      </c>
      <c r="N1241" s="2" t="s">
        <v>65</v>
      </c>
      <c r="O1241" s="2" t="str">
        <f t="shared" si="259"/>
        <v>WELCOME10</v>
      </c>
      <c r="P1241" s="2">
        <v>2.5</v>
      </c>
      <c r="Q1241" s="19">
        <f t="shared" si="260"/>
        <v>2.5</v>
      </c>
      <c r="R1241" s="2" t="str">
        <f t="shared" si="261"/>
        <v>Number</v>
      </c>
      <c r="S1241" s="2">
        <v>5.99</v>
      </c>
      <c r="T1241" s="19">
        <f t="shared" si="262"/>
        <v>5.99</v>
      </c>
      <c r="U1241" s="2">
        <v>28.48</v>
      </c>
      <c r="V1241" s="19">
        <f t="shared" si="263"/>
        <v>28.48</v>
      </c>
      <c r="W1241" s="19">
        <f t="shared" si="264"/>
        <v>28.479999999999997</v>
      </c>
      <c r="X1241" s="19" t="str">
        <f t="shared" si="265"/>
        <v>True</v>
      </c>
      <c r="Y1241" s="19" t="str">
        <f>IF(OR(W1241&lt;'Cleaning Tasks'!$G$18,W1241&gt;'Cleaning Tasks'!$H$18),"Outlier","Normal")</f>
        <v>Normal</v>
      </c>
      <c r="Z1241" s="2" t="s">
        <v>49</v>
      </c>
      <c r="AA1241" s="2" t="s">
        <v>111</v>
      </c>
      <c r="AB1241" s="2" t="s">
        <v>50</v>
      </c>
      <c r="AC1241" s="2" t="s">
        <v>223</v>
      </c>
      <c r="AD1241" s="2"/>
      <c r="AE1241" s="2" t="str">
        <f t="shared" si="266"/>
        <v>Not Required</v>
      </c>
      <c r="AF1241" s="2" t="s">
        <v>3529</v>
      </c>
    </row>
    <row r="1242" spans="1:32" x14ac:dyDescent="0.3">
      <c r="A1242" s="2" t="s">
        <v>3530</v>
      </c>
      <c r="B1242" s="2">
        <f t="shared" si="256"/>
        <v>1</v>
      </c>
      <c r="C1242" s="12">
        <f t="shared" si="267"/>
        <v>46238.580668310176</v>
      </c>
      <c r="D1242" s="13">
        <v>46238.580668310176</v>
      </c>
      <c r="E1242" s="2" t="s">
        <v>1462</v>
      </c>
      <c r="F1242" s="2" t="str">
        <f t="shared" si="257"/>
        <v>Email Available</v>
      </c>
      <c r="G1242" s="2" t="s">
        <v>1463</v>
      </c>
      <c r="H1242" s="2" t="s">
        <v>102</v>
      </c>
      <c r="I1242" s="2" t="s">
        <v>103</v>
      </c>
      <c r="J1242" s="2" t="s">
        <v>104</v>
      </c>
      <c r="K1242" s="2">
        <v>1</v>
      </c>
      <c r="L1242" s="2">
        <v>19.989999999999998</v>
      </c>
      <c r="M1242" s="19">
        <f t="shared" si="258"/>
        <v>19.989999999999998</v>
      </c>
      <c r="N1242" s="2"/>
      <c r="O1242" s="2" t="str">
        <f t="shared" si="259"/>
        <v/>
      </c>
      <c r="P1242" s="2">
        <v>0</v>
      </c>
      <c r="Q1242" s="19">
        <f t="shared" si="260"/>
        <v>0</v>
      </c>
      <c r="R1242" s="2" t="str">
        <f t="shared" si="261"/>
        <v>Number</v>
      </c>
      <c r="S1242" s="2">
        <v>4.99</v>
      </c>
      <c r="T1242" s="19">
        <f t="shared" si="262"/>
        <v>4.99</v>
      </c>
      <c r="U1242" s="2" t="s">
        <v>941</v>
      </c>
      <c r="V1242" s="19">
        <f t="shared" si="263"/>
        <v>24.98</v>
      </c>
      <c r="W1242" s="19">
        <f t="shared" si="264"/>
        <v>24.979999999999997</v>
      </c>
      <c r="X1242" s="19" t="str">
        <f t="shared" si="265"/>
        <v>True</v>
      </c>
      <c r="Y1242" s="19" t="str">
        <f>IF(OR(W1242&lt;'Cleaning Tasks'!$G$18,W1242&gt;'Cleaning Tasks'!$H$18),"Outlier","Normal")</f>
        <v>Normal</v>
      </c>
      <c r="Z1242" s="2" t="s">
        <v>49</v>
      </c>
      <c r="AA1242" s="2" t="s">
        <v>111</v>
      </c>
      <c r="AB1242" s="2" t="s">
        <v>28</v>
      </c>
      <c r="AC1242" s="2" t="s">
        <v>73</v>
      </c>
      <c r="AD1242" s="2"/>
      <c r="AE1242" s="2" t="str">
        <f t="shared" si="266"/>
        <v>Not Required</v>
      </c>
      <c r="AF1242" s="2" t="s">
        <v>3531</v>
      </c>
    </row>
    <row r="1243" spans="1:32" x14ac:dyDescent="0.3">
      <c r="A1243" s="2" t="s">
        <v>3532</v>
      </c>
      <c r="B1243" s="2">
        <f t="shared" si="256"/>
        <v>1</v>
      </c>
      <c r="C1243" s="12">
        <f t="shared" si="267"/>
        <v>46238.579853449082</v>
      </c>
      <c r="D1243" s="13">
        <v>46238.579853449082</v>
      </c>
      <c r="E1243" s="2" t="s">
        <v>602</v>
      </c>
      <c r="F1243" s="2" t="str">
        <f t="shared" si="257"/>
        <v>Email Available</v>
      </c>
      <c r="G1243" s="2" t="s">
        <v>603</v>
      </c>
      <c r="H1243" s="2" t="s">
        <v>102</v>
      </c>
      <c r="I1243" s="2" t="s">
        <v>103</v>
      </c>
      <c r="J1243" s="2" t="s">
        <v>104</v>
      </c>
      <c r="K1243" s="2">
        <v>1</v>
      </c>
      <c r="L1243" s="2">
        <v>19.989999999999998</v>
      </c>
      <c r="M1243" s="19">
        <f t="shared" si="258"/>
        <v>19.989999999999998</v>
      </c>
      <c r="N1243" s="2" t="s">
        <v>203</v>
      </c>
      <c r="O1243" s="2" t="str">
        <f t="shared" si="259"/>
        <v>VIP15</v>
      </c>
      <c r="P1243" s="2">
        <v>3</v>
      </c>
      <c r="Q1243" s="19">
        <f t="shared" si="260"/>
        <v>3</v>
      </c>
      <c r="R1243" s="2" t="str">
        <f t="shared" si="261"/>
        <v>Number</v>
      </c>
      <c r="S1243" s="2">
        <v>7.99</v>
      </c>
      <c r="T1243" s="19">
        <f t="shared" si="262"/>
        <v>7.99</v>
      </c>
      <c r="U1243" s="2">
        <v>24.98</v>
      </c>
      <c r="V1243" s="19">
        <f t="shared" si="263"/>
        <v>24.98</v>
      </c>
      <c r="W1243" s="19">
        <f t="shared" si="264"/>
        <v>24.979999999999997</v>
      </c>
      <c r="X1243" s="19" t="str">
        <f t="shared" si="265"/>
        <v>True</v>
      </c>
      <c r="Y1243" s="19" t="str">
        <f>IF(OR(W1243&lt;'Cleaning Tasks'!$G$18,W1243&gt;'Cleaning Tasks'!$H$18),"Outlier","Normal")</f>
        <v>Normal</v>
      </c>
      <c r="Z1243" s="2" t="s">
        <v>49</v>
      </c>
      <c r="AA1243" s="2" t="s">
        <v>111</v>
      </c>
      <c r="AB1243" s="2" t="s">
        <v>96</v>
      </c>
      <c r="AC1243" s="2" t="s">
        <v>42</v>
      </c>
      <c r="AD1243" s="2"/>
      <c r="AE1243" s="2" t="str">
        <f t="shared" si="266"/>
        <v>Not Required</v>
      </c>
      <c r="AF1243" s="2" t="s">
        <v>3533</v>
      </c>
    </row>
    <row r="1244" spans="1:32" x14ac:dyDescent="0.3">
      <c r="A1244" s="2" t="s">
        <v>3534</v>
      </c>
      <c r="B1244" s="2">
        <f t="shared" si="256"/>
        <v>1</v>
      </c>
      <c r="C1244" s="12">
        <f t="shared" si="267"/>
        <v>46238.587722847224</v>
      </c>
      <c r="D1244" s="13">
        <v>46238.587722847224</v>
      </c>
      <c r="E1244" s="2" t="s">
        <v>768</v>
      </c>
      <c r="F1244" s="2" t="str">
        <f t="shared" si="257"/>
        <v>Email Available</v>
      </c>
      <c r="G1244" s="2" t="s">
        <v>769</v>
      </c>
      <c r="H1244" s="2" t="s">
        <v>361</v>
      </c>
      <c r="I1244" s="2" t="s">
        <v>86</v>
      </c>
      <c r="J1244" s="2" t="s">
        <v>362</v>
      </c>
      <c r="K1244" s="2">
        <v>1</v>
      </c>
      <c r="L1244" s="2" t="s">
        <v>363</v>
      </c>
      <c r="M1244" s="19">
        <f t="shared" si="258"/>
        <v>54.99</v>
      </c>
      <c r="N1244" s="2" t="s">
        <v>24</v>
      </c>
      <c r="O1244" s="2" t="str">
        <f t="shared" si="259"/>
        <v>SAVE20</v>
      </c>
      <c r="P1244" s="2">
        <v>11</v>
      </c>
      <c r="Q1244" s="19">
        <f t="shared" si="260"/>
        <v>11</v>
      </c>
      <c r="R1244" s="2" t="str">
        <f t="shared" si="261"/>
        <v>Number</v>
      </c>
      <c r="S1244" s="2">
        <v>5.99</v>
      </c>
      <c r="T1244" s="19">
        <f t="shared" si="262"/>
        <v>5.99</v>
      </c>
      <c r="U1244" s="2">
        <v>49.98</v>
      </c>
      <c r="V1244" s="19">
        <f t="shared" si="263"/>
        <v>49.98</v>
      </c>
      <c r="W1244" s="19">
        <f t="shared" si="264"/>
        <v>49.980000000000004</v>
      </c>
      <c r="X1244" s="19" t="str">
        <f t="shared" si="265"/>
        <v>True</v>
      </c>
      <c r="Y1244" s="19" t="str">
        <f>IF(OR(W1244&lt;'Cleaning Tasks'!$G$18,W1244&gt;'Cleaning Tasks'!$H$18),"Outlier","Normal")</f>
        <v>Normal</v>
      </c>
      <c r="Z1244" s="2" t="s">
        <v>26</v>
      </c>
      <c r="AA1244" s="2" t="s">
        <v>40</v>
      </c>
      <c r="AB1244" s="2" t="s">
        <v>50</v>
      </c>
      <c r="AC1244" s="2" t="s">
        <v>105</v>
      </c>
      <c r="AD1244" s="2"/>
      <c r="AE1244" s="2" t="str">
        <f t="shared" si="266"/>
        <v>Not Required</v>
      </c>
      <c r="AF1244" s="2" t="s">
        <v>3535</v>
      </c>
    </row>
    <row r="1245" spans="1:32" x14ac:dyDescent="0.3">
      <c r="A1245" s="2" t="s">
        <v>3536</v>
      </c>
      <c r="B1245" s="2">
        <f t="shared" si="256"/>
        <v>1</v>
      </c>
      <c r="C1245" s="12">
        <f t="shared" si="267"/>
        <v>46238.585382893521</v>
      </c>
      <c r="D1245" s="13">
        <v>46238.585382893521</v>
      </c>
      <c r="E1245" s="2" t="s">
        <v>1792</v>
      </c>
      <c r="F1245" s="2" t="str">
        <f t="shared" si="257"/>
        <v>Email Available</v>
      </c>
      <c r="G1245" s="2" t="s">
        <v>1793</v>
      </c>
      <c r="H1245" s="2" t="s">
        <v>261</v>
      </c>
      <c r="I1245" s="2" t="s">
        <v>36</v>
      </c>
      <c r="J1245" s="2" t="s">
        <v>262</v>
      </c>
      <c r="K1245" s="2">
        <v>1</v>
      </c>
      <c r="L1245" s="2">
        <v>15.49</v>
      </c>
      <c r="M1245" s="19">
        <f t="shared" si="258"/>
        <v>15.49</v>
      </c>
      <c r="N1245" s="2" t="s">
        <v>118</v>
      </c>
      <c r="O1245" s="2" t="str">
        <f t="shared" si="259"/>
        <v>BFCM25</v>
      </c>
      <c r="P1245" s="2">
        <v>3.87</v>
      </c>
      <c r="Q1245" s="19">
        <f t="shared" si="260"/>
        <v>3.87</v>
      </c>
      <c r="R1245" s="2" t="str">
        <f t="shared" si="261"/>
        <v>Number</v>
      </c>
      <c r="S1245" s="2">
        <v>5.99</v>
      </c>
      <c r="T1245" s="19">
        <f t="shared" si="262"/>
        <v>5.99</v>
      </c>
      <c r="U1245" s="2">
        <v>17.61</v>
      </c>
      <c r="V1245" s="19">
        <f t="shared" si="263"/>
        <v>17.61</v>
      </c>
      <c r="W1245" s="19">
        <f t="shared" si="264"/>
        <v>17.61</v>
      </c>
      <c r="X1245" s="19" t="str">
        <f t="shared" si="265"/>
        <v>True</v>
      </c>
      <c r="Y1245" s="19" t="str">
        <f>IF(OR(W1245&lt;'Cleaning Tasks'!$G$18,W1245&gt;'Cleaning Tasks'!$H$18),"Outlier","Normal")</f>
        <v>Normal</v>
      </c>
      <c r="Z1245" s="2" t="s">
        <v>26</v>
      </c>
      <c r="AA1245" s="2" t="s">
        <v>88</v>
      </c>
      <c r="AB1245" s="2" t="s">
        <v>50</v>
      </c>
      <c r="AC1245" s="2" t="s">
        <v>331</v>
      </c>
      <c r="AD1245" s="2"/>
      <c r="AE1245" s="2" t="str">
        <f t="shared" si="266"/>
        <v>Not Required</v>
      </c>
      <c r="AF1245" s="2" t="s">
        <v>3537</v>
      </c>
    </row>
    <row r="1246" spans="1:32" x14ac:dyDescent="0.3">
      <c r="A1246" s="2" t="s">
        <v>3538</v>
      </c>
      <c r="B1246" s="2">
        <f t="shared" si="256"/>
        <v>1</v>
      </c>
      <c r="C1246" s="12">
        <f t="shared" si="267"/>
        <v>46238</v>
      </c>
      <c r="D1246" s="13">
        <v>46238</v>
      </c>
      <c r="E1246" s="2" t="s">
        <v>1031</v>
      </c>
      <c r="F1246" s="2" t="str">
        <f t="shared" si="257"/>
        <v>Email Available</v>
      </c>
      <c r="G1246" s="2" t="s">
        <v>1032</v>
      </c>
      <c r="H1246" s="2" t="s">
        <v>117</v>
      </c>
      <c r="I1246" s="2" t="s">
        <v>22</v>
      </c>
      <c r="J1246" s="2" t="s">
        <v>23</v>
      </c>
      <c r="K1246" s="2">
        <v>1</v>
      </c>
      <c r="L1246" s="2">
        <v>12.99</v>
      </c>
      <c r="M1246" s="19">
        <f t="shared" si="258"/>
        <v>12.99</v>
      </c>
      <c r="N1246" s="2"/>
      <c r="O1246" s="2" t="str">
        <f t="shared" si="259"/>
        <v/>
      </c>
      <c r="P1246" s="2" t="s">
        <v>184</v>
      </c>
      <c r="Q1246" s="19">
        <f t="shared" si="260"/>
        <v>0</v>
      </c>
      <c r="R1246" s="2" t="str">
        <f t="shared" si="261"/>
        <v>Number</v>
      </c>
      <c r="S1246" s="2">
        <v>7.99</v>
      </c>
      <c r="T1246" s="19">
        <f t="shared" si="262"/>
        <v>7.99</v>
      </c>
      <c r="U1246" s="2">
        <v>20.98</v>
      </c>
      <c r="V1246" s="19">
        <f t="shared" si="263"/>
        <v>20.98</v>
      </c>
      <c r="W1246" s="19">
        <f t="shared" si="264"/>
        <v>20.98</v>
      </c>
      <c r="X1246" s="19" t="str">
        <f t="shared" si="265"/>
        <v>True</v>
      </c>
      <c r="Y1246" s="19" t="str">
        <f>IF(OR(W1246&lt;'Cleaning Tasks'!$G$18,W1246&gt;'Cleaning Tasks'!$H$18),"Outlier","Normal")</f>
        <v>Normal</v>
      </c>
      <c r="Z1246" s="2" t="s">
        <v>49</v>
      </c>
      <c r="AA1246" s="2" t="s">
        <v>88</v>
      </c>
      <c r="AB1246" s="2" t="s">
        <v>50</v>
      </c>
      <c r="AC1246" s="2" t="s">
        <v>29</v>
      </c>
      <c r="AD1246" s="2" t="s">
        <v>112</v>
      </c>
      <c r="AE1246" s="2" t="str">
        <f t="shared" si="266"/>
        <v>Valid</v>
      </c>
      <c r="AF1246" s="2" t="s">
        <v>3539</v>
      </c>
    </row>
    <row r="1247" spans="1:32" x14ac:dyDescent="0.3">
      <c r="A1247" s="2" t="s">
        <v>3540</v>
      </c>
      <c r="B1247" s="2">
        <f t="shared" si="256"/>
        <v>1</v>
      </c>
      <c r="C1247" s="12">
        <f t="shared" si="267"/>
        <v>46238.58798394676</v>
      </c>
      <c r="D1247" s="13">
        <v>46238.58798394676</v>
      </c>
      <c r="E1247" s="2" t="s">
        <v>2021</v>
      </c>
      <c r="F1247" s="2" t="str">
        <f t="shared" si="257"/>
        <v>Email Available</v>
      </c>
      <c r="G1247" s="2" t="s">
        <v>2022</v>
      </c>
      <c r="H1247" s="2" t="s">
        <v>130</v>
      </c>
      <c r="I1247" s="2" t="s">
        <v>103</v>
      </c>
      <c r="J1247" s="2" t="s">
        <v>131</v>
      </c>
      <c r="K1247" s="2">
        <v>1</v>
      </c>
      <c r="L1247" s="2" t="s">
        <v>985</v>
      </c>
      <c r="M1247" s="19">
        <f t="shared" si="258"/>
        <v>16.989999999999998</v>
      </c>
      <c r="N1247" s="2"/>
      <c r="O1247" s="2" t="str">
        <f t="shared" si="259"/>
        <v/>
      </c>
      <c r="P1247" s="2">
        <v>0</v>
      </c>
      <c r="Q1247" s="19">
        <f t="shared" si="260"/>
        <v>0</v>
      </c>
      <c r="R1247" s="2" t="str">
        <f t="shared" si="261"/>
        <v>Number</v>
      </c>
      <c r="S1247" s="2">
        <v>4.99</v>
      </c>
      <c r="T1247" s="19">
        <f t="shared" si="262"/>
        <v>4.99</v>
      </c>
      <c r="U1247" s="2" t="s">
        <v>3541</v>
      </c>
      <c r="V1247" s="19">
        <f t="shared" si="263"/>
        <v>21.98</v>
      </c>
      <c r="W1247" s="19">
        <f t="shared" si="264"/>
        <v>21.979999999999997</v>
      </c>
      <c r="X1247" s="19" t="str">
        <f t="shared" si="265"/>
        <v>True</v>
      </c>
      <c r="Y1247" s="19" t="str">
        <f>IF(OR(W1247&lt;'Cleaning Tasks'!$G$18,W1247&gt;'Cleaning Tasks'!$H$18),"Outlier","Normal")</f>
        <v>Normal</v>
      </c>
      <c r="Z1247" s="2" t="s">
        <v>72</v>
      </c>
      <c r="AA1247" s="2" t="s">
        <v>27</v>
      </c>
      <c r="AB1247" s="2" t="s">
        <v>96</v>
      </c>
      <c r="AC1247" s="2" t="s">
        <v>105</v>
      </c>
      <c r="AD1247" s="2"/>
      <c r="AE1247" s="2" t="str">
        <f t="shared" si="266"/>
        <v>Not Required</v>
      </c>
      <c r="AF1247" s="2" t="s">
        <v>3542</v>
      </c>
    </row>
    <row r="1248" spans="1:32" x14ac:dyDescent="0.3">
      <c r="A1248" s="2" t="s">
        <v>3543</v>
      </c>
      <c r="B1248" s="2">
        <f t="shared" si="256"/>
        <v>1</v>
      </c>
      <c r="C1248" s="12">
        <f t="shared" si="267"/>
        <v>46238.581825578702</v>
      </c>
      <c r="D1248" s="13">
        <v>46238.581825578702</v>
      </c>
      <c r="E1248" s="2" t="s">
        <v>1826</v>
      </c>
      <c r="F1248" s="2" t="str">
        <f t="shared" si="257"/>
        <v>Missing Email</v>
      </c>
      <c r="G1248" s="2"/>
      <c r="H1248" s="2" t="s">
        <v>102</v>
      </c>
      <c r="I1248" s="2" t="s">
        <v>103</v>
      </c>
      <c r="J1248" s="2" t="s">
        <v>104</v>
      </c>
      <c r="K1248" s="2">
        <v>1</v>
      </c>
      <c r="L1248" s="2">
        <v>19.989999999999998</v>
      </c>
      <c r="M1248" s="19">
        <f t="shared" si="258"/>
        <v>19.989999999999998</v>
      </c>
      <c r="N1248" s="2"/>
      <c r="O1248" s="2" t="str">
        <f t="shared" si="259"/>
        <v/>
      </c>
      <c r="P1248" s="2">
        <v>0</v>
      </c>
      <c r="Q1248" s="19">
        <f t="shared" si="260"/>
        <v>0</v>
      </c>
      <c r="R1248" s="2" t="str">
        <f t="shared" si="261"/>
        <v>Number</v>
      </c>
      <c r="S1248" s="2">
        <v>5.99</v>
      </c>
      <c r="T1248" s="19">
        <f t="shared" si="262"/>
        <v>5.99</v>
      </c>
      <c r="U1248" s="2" t="s">
        <v>2437</v>
      </c>
      <c r="V1248" s="19">
        <f t="shared" si="263"/>
        <v>25.98</v>
      </c>
      <c r="W1248" s="19">
        <f t="shared" si="264"/>
        <v>25.979999999999997</v>
      </c>
      <c r="X1248" s="19" t="str">
        <f t="shared" si="265"/>
        <v>True</v>
      </c>
      <c r="Y1248" s="19" t="str">
        <f>IF(OR(W1248&lt;'Cleaning Tasks'!$G$18,W1248&gt;'Cleaning Tasks'!$H$18),"Outlier","Normal")</f>
        <v>Normal</v>
      </c>
      <c r="Z1248" s="2" t="s">
        <v>49</v>
      </c>
      <c r="AA1248" s="2" t="s">
        <v>27</v>
      </c>
      <c r="AB1248" s="2" t="s">
        <v>96</v>
      </c>
      <c r="AC1248" s="2" t="s">
        <v>29</v>
      </c>
      <c r="AD1248" s="2" t="s">
        <v>341</v>
      </c>
      <c r="AE1248" s="2" t="str">
        <f t="shared" si="266"/>
        <v>Valid</v>
      </c>
      <c r="AF1248" s="2" t="s">
        <v>3544</v>
      </c>
    </row>
    <row r="1249" spans="1:32" x14ac:dyDescent="0.3">
      <c r="A1249" s="2" t="s">
        <v>3545</v>
      </c>
      <c r="B1249" s="2">
        <f t="shared" si="256"/>
        <v>1</v>
      </c>
      <c r="C1249" s="12">
        <f t="shared" si="267"/>
        <v>46238</v>
      </c>
      <c r="D1249" s="13" t="s">
        <v>143</v>
      </c>
      <c r="E1249" s="2" t="s">
        <v>867</v>
      </c>
      <c r="F1249" s="2" t="str">
        <f t="shared" si="257"/>
        <v>Email Available</v>
      </c>
      <c r="G1249" s="2" t="s">
        <v>868</v>
      </c>
      <c r="H1249" s="2" t="s">
        <v>267</v>
      </c>
      <c r="I1249" s="2" t="s">
        <v>22</v>
      </c>
      <c r="J1249" s="2" t="s">
        <v>268</v>
      </c>
      <c r="K1249" s="2">
        <v>2</v>
      </c>
      <c r="L1249" s="2">
        <v>18.989999999999998</v>
      </c>
      <c r="M1249" s="19">
        <f t="shared" si="258"/>
        <v>18.989999999999998</v>
      </c>
      <c r="N1249" s="2" t="s">
        <v>65</v>
      </c>
      <c r="O1249" s="2" t="str">
        <f t="shared" si="259"/>
        <v>WELCOME10</v>
      </c>
      <c r="P1249" s="2">
        <v>3.8</v>
      </c>
      <c r="Q1249" s="19">
        <f t="shared" si="260"/>
        <v>3.8</v>
      </c>
      <c r="R1249" s="2" t="str">
        <f t="shared" si="261"/>
        <v>Number</v>
      </c>
      <c r="S1249" s="2">
        <v>4.99</v>
      </c>
      <c r="T1249" s="19">
        <f t="shared" si="262"/>
        <v>4.99</v>
      </c>
      <c r="U1249" s="2">
        <v>39.17</v>
      </c>
      <c r="V1249" s="19">
        <f t="shared" si="263"/>
        <v>39.17</v>
      </c>
      <c r="W1249" s="19">
        <f t="shared" si="264"/>
        <v>39.17</v>
      </c>
      <c r="X1249" s="19" t="str">
        <f t="shared" si="265"/>
        <v>True</v>
      </c>
      <c r="Y1249" s="19" t="str">
        <f>IF(OR(W1249&lt;'Cleaning Tasks'!$G$18,W1249&gt;'Cleaning Tasks'!$H$18),"Outlier","Normal")</f>
        <v>Normal</v>
      </c>
      <c r="Z1249" s="2" t="s">
        <v>26</v>
      </c>
      <c r="AA1249" s="2" t="s">
        <v>40</v>
      </c>
      <c r="AB1249" s="2" t="s">
        <v>41</v>
      </c>
      <c r="AC1249" s="2" t="s">
        <v>73</v>
      </c>
      <c r="AD1249" s="2"/>
      <c r="AE1249" s="2" t="str">
        <f t="shared" si="266"/>
        <v>Not Required</v>
      </c>
      <c r="AF1249" s="2" t="s">
        <v>3546</v>
      </c>
    </row>
    <row r="1250" spans="1:32" x14ac:dyDescent="0.3">
      <c r="A1250" s="2" t="s">
        <v>3547</v>
      </c>
      <c r="B1250" s="2">
        <f t="shared" si="256"/>
        <v>1</v>
      </c>
      <c r="C1250" s="12">
        <f t="shared" si="267"/>
        <v>46238.588224861109</v>
      </c>
      <c r="D1250" s="13">
        <v>46238.588224861109</v>
      </c>
      <c r="E1250" s="2" t="s">
        <v>979</v>
      </c>
      <c r="F1250" s="2" t="str">
        <f t="shared" si="257"/>
        <v>Email Available</v>
      </c>
      <c r="G1250" s="2" t="s">
        <v>670</v>
      </c>
      <c r="H1250" s="2" t="s">
        <v>201</v>
      </c>
      <c r="I1250" s="2" t="s">
        <v>191</v>
      </c>
      <c r="J1250" s="2" t="s">
        <v>202</v>
      </c>
      <c r="K1250" s="2">
        <v>1</v>
      </c>
      <c r="L1250" s="2">
        <v>24.99</v>
      </c>
      <c r="M1250" s="19">
        <f t="shared" si="258"/>
        <v>24.99</v>
      </c>
      <c r="N1250" s="2" t="s">
        <v>203</v>
      </c>
      <c r="O1250" s="2" t="str">
        <f t="shared" si="259"/>
        <v>VIP15</v>
      </c>
      <c r="P1250" s="2">
        <v>3.75</v>
      </c>
      <c r="Q1250" s="19">
        <f t="shared" si="260"/>
        <v>3.75</v>
      </c>
      <c r="R1250" s="2" t="str">
        <f t="shared" si="261"/>
        <v>Number</v>
      </c>
      <c r="S1250" s="2">
        <v>4.99</v>
      </c>
      <c r="T1250" s="19">
        <f t="shared" si="262"/>
        <v>4.99</v>
      </c>
      <c r="U1250" s="2">
        <v>26.23</v>
      </c>
      <c r="V1250" s="19">
        <f t="shared" si="263"/>
        <v>26.23</v>
      </c>
      <c r="W1250" s="19">
        <f t="shared" si="264"/>
        <v>26.229999999999997</v>
      </c>
      <c r="X1250" s="19" t="str">
        <f t="shared" si="265"/>
        <v>True</v>
      </c>
      <c r="Y1250" s="19" t="str">
        <f>IF(OR(W1250&lt;'Cleaning Tasks'!$G$18,W1250&gt;'Cleaning Tasks'!$H$18),"Outlier","Normal")</f>
        <v>Normal</v>
      </c>
      <c r="Z1250" s="2" t="s">
        <v>39</v>
      </c>
      <c r="AA1250" s="2" t="s">
        <v>27</v>
      </c>
      <c r="AB1250" s="2" t="s">
        <v>50</v>
      </c>
      <c r="AC1250" s="2" t="s">
        <v>29</v>
      </c>
      <c r="AD1250" s="2" t="s">
        <v>243</v>
      </c>
      <c r="AE1250" s="2" t="str">
        <f t="shared" si="266"/>
        <v>Valid</v>
      </c>
      <c r="AF1250" s="2" t="s">
        <v>3548</v>
      </c>
    </row>
    <row r="1251" spans="1:32" x14ac:dyDescent="0.3">
      <c r="A1251" s="2" t="s">
        <v>3549</v>
      </c>
      <c r="B1251" s="2">
        <f t="shared" si="256"/>
        <v>1</v>
      </c>
      <c r="C1251" s="12">
        <f t="shared" si="267"/>
        <v>46238.588608402781</v>
      </c>
      <c r="D1251" s="13">
        <v>46238.588608402781</v>
      </c>
      <c r="E1251" s="2" t="s">
        <v>377</v>
      </c>
      <c r="F1251" s="2" t="str">
        <f t="shared" si="257"/>
        <v>Email Available</v>
      </c>
      <c r="G1251" s="2" t="s">
        <v>378</v>
      </c>
      <c r="H1251" s="2" t="s">
        <v>46</v>
      </c>
      <c r="I1251" s="2" t="s">
        <v>47</v>
      </c>
      <c r="J1251" s="2" t="s">
        <v>48</v>
      </c>
      <c r="K1251" s="2">
        <v>4</v>
      </c>
      <c r="L1251" s="2">
        <v>39.99</v>
      </c>
      <c r="M1251" s="19">
        <f t="shared" si="258"/>
        <v>39.99</v>
      </c>
      <c r="N1251" s="2" t="s">
        <v>65</v>
      </c>
      <c r="O1251" s="2" t="str">
        <f t="shared" si="259"/>
        <v>WELCOME10</v>
      </c>
      <c r="P1251" s="2">
        <v>16</v>
      </c>
      <c r="Q1251" s="19">
        <f t="shared" si="260"/>
        <v>16</v>
      </c>
      <c r="R1251" s="2" t="str">
        <f t="shared" si="261"/>
        <v>Number</v>
      </c>
      <c r="S1251" s="2">
        <v>0</v>
      </c>
      <c r="T1251" s="19">
        <f t="shared" si="262"/>
        <v>0</v>
      </c>
      <c r="U1251" s="2">
        <v>143.96</v>
      </c>
      <c r="V1251" s="19">
        <f t="shared" si="263"/>
        <v>143.96</v>
      </c>
      <c r="W1251" s="19">
        <f t="shared" si="264"/>
        <v>143.96</v>
      </c>
      <c r="X1251" s="19" t="str">
        <f t="shared" si="265"/>
        <v>True</v>
      </c>
      <c r="Y1251" s="19" t="str">
        <f>IF(OR(W1251&lt;'Cleaning Tasks'!$G$18,W1251&gt;'Cleaning Tasks'!$H$18),"Outlier","Normal")</f>
        <v>Outlier</v>
      </c>
      <c r="Z1251" s="2" t="s">
        <v>49</v>
      </c>
      <c r="AA1251" s="2" t="s">
        <v>88</v>
      </c>
      <c r="AB1251" s="2" t="s">
        <v>41</v>
      </c>
      <c r="AC1251" s="2" t="s">
        <v>73</v>
      </c>
      <c r="AD1251" s="2"/>
      <c r="AE1251" s="2" t="str">
        <f t="shared" si="266"/>
        <v>Not Required</v>
      </c>
      <c r="AF1251" s="2" t="s">
        <v>3550</v>
      </c>
    </row>
    <row r="1252" spans="1:32" x14ac:dyDescent="0.3">
      <c r="A1252" s="2" t="s">
        <v>3551</v>
      </c>
      <c r="B1252" s="2">
        <f t="shared" si="256"/>
        <v>1</v>
      </c>
      <c r="C1252" s="12">
        <f t="shared" si="267"/>
        <v>46238.585290428236</v>
      </c>
      <c r="D1252" s="13">
        <v>46238.585290428236</v>
      </c>
      <c r="E1252" s="2" t="s">
        <v>1475</v>
      </c>
      <c r="F1252" s="2" t="str">
        <f t="shared" si="257"/>
        <v>Email Available</v>
      </c>
      <c r="G1252" s="2" t="s">
        <v>1476</v>
      </c>
      <c r="H1252" s="2" t="s">
        <v>279</v>
      </c>
      <c r="I1252" s="2" t="s">
        <v>22</v>
      </c>
      <c r="J1252" s="2" t="s">
        <v>280</v>
      </c>
      <c r="K1252" s="2">
        <v>1</v>
      </c>
      <c r="L1252" s="2">
        <v>24.99</v>
      </c>
      <c r="M1252" s="19">
        <f t="shared" si="258"/>
        <v>24.99</v>
      </c>
      <c r="N1252" s="2"/>
      <c r="O1252" s="2" t="str">
        <f t="shared" si="259"/>
        <v/>
      </c>
      <c r="P1252" s="2">
        <v>0</v>
      </c>
      <c r="Q1252" s="19">
        <f t="shared" si="260"/>
        <v>0</v>
      </c>
      <c r="R1252" s="2" t="str">
        <f t="shared" si="261"/>
        <v>Number</v>
      </c>
      <c r="S1252" s="2">
        <v>7.99</v>
      </c>
      <c r="T1252" s="19">
        <f t="shared" si="262"/>
        <v>7.99</v>
      </c>
      <c r="U1252" s="2">
        <v>32.979999999999997</v>
      </c>
      <c r="V1252" s="19">
        <f t="shared" si="263"/>
        <v>32.979999999999997</v>
      </c>
      <c r="W1252" s="19">
        <f t="shared" si="264"/>
        <v>32.979999999999997</v>
      </c>
      <c r="X1252" s="19" t="str">
        <f t="shared" si="265"/>
        <v>True</v>
      </c>
      <c r="Y1252" s="19" t="str">
        <f>IF(OR(W1252&lt;'Cleaning Tasks'!$G$18,W1252&gt;'Cleaning Tasks'!$H$18),"Outlier","Normal")</f>
        <v>Normal</v>
      </c>
      <c r="Z1252" s="2" t="s">
        <v>39</v>
      </c>
      <c r="AA1252" s="2" t="s">
        <v>27</v>
      </c>
      <c r="AB1252" s="2" t="s">
        <v>41</v>
      </c>
      <c r="AC1252" s="2" t="s">
        <v>42</v>
      </c>
      <c r="AD1252" s="2"/>
      <c r="AE1252" s="2" t="str">
        <f t="shared" si="266"/>
        <v>Not Required</v>
      </c>
      <c r="AF1252" s="2" t="s">
        <v>3552</v>
      </c>
    </row>
    <row r="1253" spans="1:32" x14ac:dyDescent="0.3">
      <c r="A1253" s="2" t="s">
        <v>3553</v>
      </c>
      <c r="B1253" s="2">
        <f t="shared" si="256"/>
        <v>1</v>
      </c>
      <c r="C1253" s="12">
        <f t="shared" si="267"/>
        <v>46238.587548229167</v>
      </c>
      <c r="D1253" s="13">
        <v>46238.587548229167</v>
      </c>
      <c r="E1253" s="2" t="s">
        <v>561</v>
      </c>
      <c r="F1253" s="2" t="str">
        <f t="shared" si="257"/>
        <v>Email Available</v>
      </c>
      <c r="G1253" s="2" t="s">
        <v>562</v>
      </c>
      <c r="H1253" s="2" t="s">
        <v>146</v>
      </c>
      <c r="I1253" s="2" t="s">
        <v>47</v>
      </c>
      <c r="J1253" s="2" t="s">
        <v>147</v>
      </c>
      <c r="K1253" s="2">
        <v>2</v>
      </c>
      <c r="L1253" s="2">
        <v>34.99</v>
      </c>
      <c r="M1253" s="19">
        <f t="shared" si="258"/>
        <v>34.99</v>
      </c>
      <c r="N1253" s="2"/>
      <c r="O1253" s="2" t="str">
        <f t="shared" si="259"/>
        <v/>
      </c>
      <c r="P1253" s="2">
        <v>0</v>
      </c>
      <c r="Q1253" s="19">
        <f t="shared" si="260"/>
        <v>0</v>
      </c>
      <c r="R1253" s="2" t="str">
        <f t="shared" si="261"/>
        <v>Number</v>
      </c>
      <c r="S1253" s="2">
        <v>4.99</v>
      </c>
      <c r="T1253" s="19">
        <f t="shared" si="262"/>
        <v>4.99</v>
      </c>
      <c r="U1253" s="2">
        <v>74.97</v>
      </c>
      <c r="V1253" s="19">
        <f t="shared" si="263"/>
        <v>74.97</v>
      </c>
      <c r="W1253" s="19">
        <f t="shared" si="264"/>
        <v>74.97</v>
      </c>
      <c r="X1253" s="19" t="str">
        <f t="shared" si="265"/>
        <v>True</v>
      </c>
      <c r="Y1253" s="19" t="str">
        <f>IF(OR(W1253&lt;'Cleaning Tasks'!$G$18,W1253&gt;'Cleaning Tasks'!$H$18),"Outlier","Normal")</f>
        <v>Normal</v>
      </c>
      <c r="Z1253" s="2" t="s">
        <v>26</v>
      </c>
      <c r="AA1253" s="2" t="s">
        <v>40</v>
      </c>
      <c r="AB1253" s="2" t="s">
        <v>50</v>
      </c>
      <c r="AC1253" s="2" t="s">
        <v>331</v>
      </c>
      <c r="AD1253" s="2"/>
      <c r="AE1253" s="2" t="str">
        <f t="shared" si="266"/>
        <v>Not Required</v>
      </c>
      <c r="AF1253" s="2" t="s">
        <v>1175</v>
      </c>
    </row>
    <row r="1254" spans="1:32" x14ac:dyDescent="0.3">
      <c r="A1254" s="2" t="s">
        <v>3554</v>
      </c>
      <c r="B1254" s="2">
        <f t="shared" si="256"/>
        <v>1</v>
      </c>
      <c r="C1254" s="12">
        <f t="shared" si="267"/>
        <v>46238.58227324074</v>
      </c>
      <c r="D1254" s="13">
        <v>46238.58227324074</v>
      </c>
      <c r="E1254" s="2" t="s">
        <v>469</v>
      </c>
      <c r="F1254" s="2" t="str">
        <f t="shared" si="257"/>
        <v>Email Available</v>
      </c>
      <c r="G1254" s="2" t="s">
        <v>470</v>
      </c>
      <c r="H1254" s="2" t="s">
        <v>56</v>
      </c>
      <c r="I1254" s="2" t="s">
        <v>22</v>
      </c>
      <c r="J1254" s="2" t="s">
        <v>57</v>
      </c>
      <c r="K1254" s="2">
        <v>1</v>
      </c>
      <c r="L1254" s="2">
        <v>9.99</v>
      </c>
      <c r="M1254" s="19">
        <f t="shared" si="258"/>
        <v>9.99</v>
      </c>
      <c r="N1254" s="2"/>
      <c r="O1254" s="2" t="str">
        <f t="shared" si="259"/>
        <v/>
      </c>
      <c r="P1254" s="2">
        <v>0</v>
      </c>
      <c r="Q1254" s="19">
        <f t="shared" si="260"/>
        <v>0</v>
      </c>
      <c r="R1254" s="2" t="str">
        <f t="shared" si="261"/>
        <v>Number</v>
      </c>
      <c r="S1254" s="2">
        <v>5.99</v>
      </c>
      <c r="T1254" s="19">
        <f t="shared" si="262"/>
        <v>5.99</v>
      </c>
      <c r="U1254" s="2">
        <v>15.98</v>
      </c>
      <c r="V1254" s="19">
        <f t="shared" si="263"/>
        <v>15.98</v>
      </c>
      <c r="W1254" s="19">
        <f t="shared" si="264"/>
        <v>15.98</v>
      </c>
      <c r="X1254" s="19" t="str">
        <f t="shared" si="265"/>
        <v>True</v>
      </c>
      <c r="Y1254" s="19" t="str">
        <f>IF(OR(W1254&lt;'Cleaning Tasks'!$G$18,W1254&gt;'Cleaning Tasks'!$H$18),"Outlier","Normal")</f>
        <v>Normal</v>
      </c>
      <c r="Z1254" s="2" t="s">
        <v>39</v>
      </c>
      <c r="AA1254" s="2" t="s">
        <v>27</v>
      </c>
      <c r="AB1254" s="2" t="s">
        <v>50</v>
      </c>
      <c r="AC1254" s="2" t="s">
        <v>223</v>
      </c>
      <c r="AD1254" s="2"/>
      <c r="AE1254" s="2" t="str">
        <f t="shared" si="266"/>
        <v>Not Required</v>
      </c>
      <c r="AF1254" s="2" t="s">
        <v>3555</v>
      </c>
    </row>
    <row r="1255" spans="1:32" x14ac:dyDescent="0.3">
      <c r="A1255" s="2" t="s">
        <v>3556</v>
      </c>
      <c r="B1255" s="2">
        <f t="shared" si="256"/>
        <v>1</v>
      </c>
      <c r="C1255" s="12">
        <f t="shared" si="267"/>
        <v>46238.58214943287</v>
      </c>
      <c r="D1255" s="13">
        <v>46238.58214943287</v>
      </c>
      <c r="E1255" s="2" t="s">
        <v>3557</v>
      </c>
      <c r="F1255" s="2" t="str">
        <f t="shared" si="257"/>
        <v>Email Available</v>
      </c>
      <c r="G1255" s="2" t="s">
        <v>3558</v>
      </c>
      <c r="H1255" s="2" t="s">
        <v>130</v>
      </c>
      <c r="I1255" s="2" t="s">
        <v>103</v>
      </c>
      <c r="J1255" s="2" t="s">
        <v>131</v>
      </c>
      <c r="K1255" s="2">
        <v>1</v>
      </c>
      <c r="L1255" s="2">
        <v>16.989999999999998</v>
      </c>
      <c r="M1255" s="19">
        <f t="shared" si="258"/>
        <v>16.989999999999998</v>
      </c>
      <c r="N1255" s="2" t="s">
        <v>2933</v>
      </c>
      <c r="O1255" s="2" t="str">
        <f t="shared" si="259"/>
        <v>SAVE20</v>
      </c>
      <c r="P1255" s="2">
        <v>3.4</v>
      </c>
      <c r="Q1255" s="19">
        <f t="shared" si="260"/>
        <v>3.4</v>
      </c>
      <c r="R1255" s="2" t="str">
        <f t="shared" si="261"/>
        <v>Number</v>
      </c>
      <c r="S1255" s="2">
        <v>4.99</v>
      </c>
      <c r="T1255" s="19">
        <f t="shared" si="262"/>
        <v>4.99</v>
      </c>
      <c r="U1255" s="2">
        <v>18.579999999999998</v>
      </c>
      <c r="V1255" s="19">
        <f t="shared" si="263"/>
        <v>18.579999999999998</v>
      </c>
      <c r="W1255" s="19">
        <f t="shared" si="264"/>
        <v>18.579999999999998</v>
      </c>
      <c r="X1255" s="19" t="str">
        <f t="shared" si="265"/>
        <v>True</v>
      </c>
      <c r="Y1255" s="19" t="str">
        <f>IF(OR(W1255&lt;'Cleaning Tasks'!$G$18,W1255&gt;'Cleaning Tasks'!$H$18),"Outlier","Normal")</f>
        <v>Normal</v>
      </c>
      <c r="Z1255" s="2" t="s">
        <v>26</v>
      </c>
      <c r="AA1255" s="2" t="s">
        <v>111</v>
      </c>
      <c r="AB1255" s="2" t="s">
        <v>50</v>
      </c>
      <c r="AC1255" s="2" t="s">
        <v>29</v>
      </c>
      <c r="AD1255" s="2" t="s">
        <v>140</v>
      </c>
      <c r="AE1255" s="2" t="str">
        <f t="shared" si="266"/>
        <v>Valid</v>
      </c>
      <c r="AF1255" s="2" t="s">
        <v>3559</v>
      </c>
    </row>
    <row r="1256" spans="1:32" x14ac:dyDescent="0.3">
      <c r="A1256" s="2" t="s">
        <v>3560</v>
      </c>
      <c r="B1256" s="2">
        <f t="shared" si="256"/>
        <v>1</v>
      </c>
      <c r="C1256" s="12">
        <f t="shared" si="267"/>
        <v>46238.585837256942</v>
      </c>
      <c r="D1256" s="13">
        <v>46238.585837256942</v>
      </c>
      <c r="E1256" s="2" t="s">
        <v>176</v>
      </c>
      <c r="F1256" s="2" t="str">
        <f t="shared" si="257"/>
        <v>Email Available</v>
      </c>
      <c r="G1256" s="2" t="s">
        <v>177</v>
      </c>
      <c r="H1256" s="2" t="s">
        <v>279</v>
      </c>
      <c r="I1256" s="2" t="s">
        <v>22</v>
      </c>
      <c r="J1256" s="2" t="s">
        <v>280</v>
      </c>
      <c r="K1256" s="2">
        <v>1</v>
      </c>
      <c r="L1256" s="2">
        <v>24.99</v>
      </c>
      <c r="M1256" s="19">
        <f t="shared" si="258"/>
        <v>24.99</v>
      </c>
      <c r="N1256" s="2"/>
      <c r="O1256" s="2" t="str">
        <f t="shared" si="259"/>
        <v/>
      </c>
      <c r="P1256" s="2">
        <v>0</v>
      </c>
      <c r="Q1256" s="19">
        <f t="shared" si="260"/>
        <v>0</v>
      </c>
      <c r="R1256" s="2" t="str">
        <f t="shared" si="261"/>
        <v>Number</v>
      </c>
      <c r="S1256" s="2">
        <v>5.99</v>
      </c>
      <c r="T1256" s="19">
        <f t="shared" si="262"/>
        <v>5.99</v>
      </c>
      <c r="U1256" s="2">
        <v>30.98</v>
      </c>
      <c r="V1256" s="19">
        <f t="shared" si="263"/>
        <v>30.98</v>
      </c>
      <c r="W1256" s="19">
        <f t="shared" si="264"/>
        <v>30.979999999999997</v>
      </c>
      <c r="X1256" s="19" t="str">
        <f t="shared" si="265"/>
        <v>True</v>
      </c>
      <c r="Y1256" s="19" t="str">
        <f>IF(OR(W1256&lt;'Cleaning Tasks'!$G$18,W1256&gt;'Cleaning Tasks'!$H$18),"Outlier","Normal")</f>
        <v>Normal</v>
      </c>
      <c r="Z1256" s="2" t="s">
        <v>72</v>
      </c>
      <c r="AA1256" s="2" t="s">
        <v>27</v>
      </c>
      <c r="AB1256" s="2" t="s">
        <v>50</v>
      </c>
      <c r="AC1256" s="2" t="s">
        <v>29</v>
      </c>
      <c r="AD1256" s="2" t="s">
        <v>447</v>
      </c>
      <c r="AE1256" s="2" t="str">
        <f t="shared" si="266"/>
        <v>Valid</v>
      </c>
      <c r="AF1256" s="2" t="s">
        <v>3561</v>
      </c>
    </row>
    <row r="1257" spans="1:32" x14ac:dyDescent="0.3">
      <c r="A1257" s="2" t="s">
        <v>3562</v>
      </c>
      <c r="B1257" s="2">
        <f t="shared" si="256"/>
        <v>1</v>
      </c>
      <c r="C1257" s="12">
        <f t="shared" si="267"/>
        <v>46238</v>
      </c>
      <c r="D1257" s="13">
        <v>46238</v>
      </c>
      <c r="E1257" s="2" t="s">
        <v>366</v>
      </c>
      <c r="F1257" s="2" t="str">
        <f t="shared" si="257"/>
        <v>Email Available</v>
      </c>
      <c r="G1257" s="2" t="s">
        <v>367</v>
      </c>
      <c r="H1257" s="2" t="s">
        <v>63</v>
      </c>
      <c r="I1257" s="2" t="s">
        <v>47</v>
      </c>
      <c r="J1257" s="2" t="s">
        <v>446</v>
      </c>
      <c r="K1257" s="2">
        <v>1</v>
      </c>
      <c r="L1257" s="2">
        <v>14.99</v>
      </c>
      <c r="M1257" s="19">
        <f t="shared" si="258"/>
        <v>14.99</v>
      </c>
      <c r="N1257" s="2" t="s">
        <v>118</v>
      </c>
      <c r="O1257" s="2" t="str">
        <f t="shared" si="259"/>
        <v>BFCM25</v>
      </c>
      <c r="P1257" s="2">
        <v>3.75</v>
      </c>
      <c r="Q1257" s="19">
        <f t="shared" si="260"/>
        <v>3.75</v>
      </c>
      <c r="R1257" s="2" t="str">
        <f t="shared" si="261"/>
        <v>Number</v>
      </c>
      <c r="S1257" s="2">
        <v>7.99</v>
      </c>
      <c r="T1257" s="19">
        <f t="shared" si="262"/>
        <v>7.99</v>
      </c>
      <c r="U1257" s="2">
        <v>19.23</v>
      </c>
      <c r="V1257" s="19">
        <f t="shared" si="263"/>
        <v>19.23</v>
      </c>
      <c r="W1257" s="19">
        <f t="shared" si="264"/>
        <v>19.23</v>
      </c>
      <c r="X1257" s="19" t="str">
        <f t="shared" si="265"/>
        <v>True</v>
      </c>
      <c r="Y1257" s="19" t="str">
        <f>IF(OR(W1257&lt;'Cleaning Tasks'!$G$18,W1257&gt;'Cleaning Tasks'!$H$18),"Outlier","Normal")</f>
        <v>Normal</v>
      </c>
      <c r="Z1257" s="2" t="s">
        <v>26</v>
      </c>
      <c r="AA1257" s="2" t="s">
        <v>111</v>
      </c>
      <c r="AB1257" s="2" t="s">
        <v>41</v>
      </c>
      <c r="AC1257" s="2" t="s">
        <v>331</v>
      </c>
      <c r="AD1257" s="2"/>
      <c r="AE1257" s="2" t="str">
        <f t="shared" si="266"/>
        <v>Not Required</v>
      </c>
      <c r="AF1257" s="2" t="s">
        <v>3563</v>
      </c>
    </row>
    <row r="1258" spans="1:32" x14ac:dyDescent="0.3">
      <c r="A1258" s="2" t="s">
        <v>3564</v>
      </c>
      <c r="B1258" s="2">
        <f t="shared" si="256"/>
        <v>1</v>
      </c>
      <c r="C1258" s="12">
        <f t="shared" si="267"/>
        <v>46238.585351134258</v>
      </c>
      <c r="D1258" s="13">
        <v>46238.585351134258</v>
      </c>
      <c r="E1258" s="2" t="s">
        <v>1701</v>
      </c>
      <c r="F1258" s="2" t="str">
        <f t="shared" si="257"/>
        <v>Email Available</v>
      </c>
      <c r="G1258" s="2" t="s">
        <v>598</v>
      </c>
      <c r="H1258" s="2" t="s">
        <v>267</v>
      </c>
      <c r="I1258" s="2" t="s">
        <v>22</v>
      </c>
      <c r="J1258" s="2" t="s">
        <v>268</v>
      </c>
      <c r="K1258" s="2">
        <v>1</v>
      </c>
      <c r="L1258" s="2">
        <v>18.989999999999998</v>
      </c>
      <c r="M1258" s="19">
        <f t="shared" si="258"/>
        <v>18.989999999999998</v>
      </c>
      <c r="N1258" s="2"/>
      <c r="O1258" s="2" t="str">
        <f t="shared" si="259"/>
        <v/>
      </c>
      <c r="P1258" s="2">
        <v>0</v>
      </c>
      <c r="Q1258" s="19">
        <f t="shared" si="260"/>
        <v>0</v>
      </c>
      <c r="R1258" s="2" t="str">
        <f t="shared" si="261"/>
        <v>Number</v>
      </c>
      <c r="S1258" s="2">
        <v>4.99</v>
      </c>
      <c r="T1258" s="19">
        <f t="shared" si="262"/>
        <v>4.99</v>
      </c>
      <c r="U1258" s="2" t="s">
        <v>3122</v>
      </c>
      <c r="V1258" s="19">
        <f t="shared" si="263"/>
        <v>23.98</v>
      </c>
      <c r="W1258" s="19">
        <f t="shared" si="264"/>
        <v>23.979999999999997</v>
      </c>
      <c r="X1258" s="19" t="str">
        <f t="shared" si="265"/>
        <v>True</v>
      </c>
      <c r="Y1258" s="19" t="str">
        <f>IF(OR(W1258&lt;'Cleaning Tasks'!$G$18,W1258&gt;'Cleaning Tasks'!$H$18),"Outlier","Normal")</f>
        <v>Normal</v>
      </c>
      <c r="Z1258" s="2" t="s">
        <v>72</v>
      </c>
      <c r="AA1258" s="2" t="s">
        <v>27</v>
      </c>
      <c r="AB1258" s="2" t="s">
        <v>50</v>
      </c>
      <c r="AC1258" s="2" t="s">
        <v>29</v>
      </c>
      <c r="AD1258" s="2" t="s">
        <v>89</v>
      </c>
      <c r="AE1258" s="2" t="str">
        <f t="shared" si="266"/>
        <v>Valid</v>
      </c>
      <c r="AF1258" s="2" t="s">
        <v>3565</v>
      </c>
    </row>
    <row r="1259" spans="1:32" x14ac:dyDescent="0.3">
      <c r="A1259" s="2" t="s">
        <v>3566</v>
      </c>
      <c r="B1259" s="2">
        <f t="shared" si="256"/>
        <v>1</v>
      </c>
      <c r="C1259" s="12">
        <f t="shared" si="267"/>
        <v>46238.584685127324</v>
      </c>
      <c r="D1259" s="13">
        <v>46238.584685127324</v>
      </c>
      <c r="E1259" s="2" t="s">
        <v>2013</v>
      </c>
      <c r="F1259" s="2" t="str">
        <f t="shared" si="257"/>
        <v>Email Available</v>
      </c>
      <c r="G1259" s="2" t="s">
        <v>2014</v>
      </c>
      <c r="H1259" s="2" t="s">
        <v>261</v>
      </c>
      <c r="I1259" s="2" t="s">
        <v>36</v>
      </c>
      <c r="J1259" s="2" t="s">
        <v>262</v>
      </c>
      <c r="K1259" s="2">
        <v>1</v>
      </c>
      <c r="L1259" s="2">
        <v>15.49</v>
      </c>
      <c r="M1259" s="19">
        <f t="shared" si="258"/>
        <v>15.49</v>
      </c>
      <c r="N1259" s="2" t="s">
        <v>203</v>
      </c>
      <c r="O1259" s="2" t="str">
        <f t="shared" si="259"/>
        <v>VIP15</v>
      </c>
      <c r="P1259" s="2">
        <v>2.3199999999999998</v>
      </c>
      <c r="Q1259" s="19">
        <f t="shared" si="260"/>
        <v>2.3199999999999998</v>
      </c>
      <c r="R1259" s="2" t="str">
        <f t="shared" si="261"/>
        <v>Number</v>
      </c>
      <c r="S1259" s="2">
        <v>4.99</v>
      </c>
      <c r="T1259" s="19">
        <f t="shared" si="262"/>
        <v>4.99</v>
      </c>
      <c r="U1259" s="2" t="s">
        <v>3567</v>
      </c>
      <c r="V1259" s="19">
        <f t="shared" si="263"/>
        <v>18.16</v>
      </c>
      <c r="W1259" s="19">
        <f t="shared" si="264"/>
        <v>18.16</v>
      </c>
      <c r="X1259" s="19" t="str">
        <f t="shared" si="265"/>
        <v>True</v>
      </c>
      <c r="Y1259" s="19" t="str">
        <f>IF(OR(W1259&lt;'Cleaning Tasks'!$G$18,W1259&gt;'Cleaning Tasks'!$H$18),"Outlier","Normal")</f>
        <v>Normal</v>
      </c>
      <c r="Z1259" s="2" t="s">
        <v>72</v>
      </c>
      <c r="AA1259" s="2" t="s">
        <v>27</v>
      </c>
      <c r="AB1259" s="2" t="s">
        <v>50</v>
      </c>
      <c r="AC1259" s="2" t="s">
        <v>331</v>
      </c>
      <c r="AD1259" s="2"/>
      <c r="AE1259" s="2" t="str">
        <f t="shared" si="266"/>
        <v>Not Required</v>
      </c>
      <c r="AF1259" s="2" t="s">
        <v>3568</v>
      </c>
    </row>
    <row r="1260" spans="1:32" x14ac:dyDescent="0.3">
      <c r="A1260" s="2" t="s">
        <v>3569</v>
      </c>
      <c r="B1260" s="2">
        <f t="shared" si="256"/>
        <v>1</v>
      </c>
      <c r="C1260" s="12">
        <f t="shared" si="267"/>
        <v>46238.584921145834</v>
      </c>
      <c r="D1260" s="13">
        <v>46238.584921145834</v>
      </c>
      <c r="E1260" s="2" t="s">
        <v>3570</v>
      </c>
      <c r="F1260" s="2" t="str">
        <f t="shared" si="257"/>
        <v>Email Available</v>
      </c>
      <c r="G1260" s="2" t="s">
        <v>3571</v>
      </c>
      <c r="H1260" s="2" t="s">
        <v>124</v>
      </c>
      <c r="I1260" s="2" t="s">
        <v>79</v>
      </c>
      <c r="J1260" s="2" t="s">
        <v>125</v>
      </c>
      <c r="K1260" s="2">
        <v>1</v>
      </c>
      <c r="L1260" s="2">
        <v>13.99</v>
      </c>
      <c r="M1260" s="19">
        <f t="shared" si="258"/>
        <v>13.99</v>
      </c>
      <c r="N1260" s="2"/>
      <c r="O1260" s="2" t="str">
        <f t="shared" si="259"/>
        <v/>
      </c>
      <c r="P1260" s="2">
        <v>0</v>
      </c>
      <c r="Q1260" s="19">
        <f t="shared" si="260"/>
        <v>0</v>
      </c>
      <c r="R1260" s="2" t="str">
        <f t="shared" si="261"/>
        <v>Number</v>
      </c>
      <c r="S1260" s="2">
        <v>5.99</v>
      </c>
      <c r="T1260" s="19">
        <f t="shared" si="262"/>
        <v>5.99</v>
      </c>
      <c r="U1260" s="2">
        <v>19.98</v>
      </c>
      <c r="V1260" s="19">
        <f t="shared" si="263"/>
        <v>19.98</v>
      </c>
      <c r="W1260" s="19">
        <f t="shared" si="264"/>
        <v>19.98</v>
      </c>
      <c r="X1260" s="19" t="str">
        <f t="shared" si="265"/>
        <v>True</v>
      </c>
      <c r="Y1260" s="19" t="str">
        <f>IF(OR(W1260&lt;'Cleaning Tasks'!$G$18,W1260&gt;'Cleaning Tasks'!$H$18),"Outlier","Normal")</f>
        <v>Normal</v>
      </c>
      <c r="Z1260" s="2" t="s">
        <v>26</v>
      </c>
      <c r="AA1260" s="2" t="s">
        <v>111</v>
      </c>
      <c r="AB1260" s="2" t="s">
        <v>50</v>
      </c>
      <c r="AC1260" s="2" t="s">
        <v>105</v>
      </c>
      <c r="AD1260" s="2"/>
      <c r="AE1260" s="2" t="str">
        <f t="shared" si="266"/>
        <v>Not Required</v>
      </c>
      <c r="AF1260" s="2" t="s">
        <v>3572</v>
      </c>
    </row>
    <row r="1261" spans="1:32" x14ac:dyDescent="0.3">
      <c r="A1261" s="2" t="s">
        <v>3573</v>
      </c>
      <c r="B1261" s="2">
        <f t="shared" si="256"/>
        <v>1</v>
      </c>
      <c r="C1261" s="12">
        <f t="shared" si="267"/>
        <v>46238.580728252316</v>
      </c>
      <c r="D1261" s="13">
        <v>46238.580728252316</v>
      </c>
      <c r="E1261" s="2" t="s">
        <v>3574</v>
      </c>
      <c r="F1261" s="2" t="str">
        <f t="shared" si="257"/>
        <v>Email Available</v>
      </c>
      <c r="G1261" s="2" t="s">
        <v>322</v>
      </c>
      <c r="H1261" s="2" t="s">
        <v>102</v>
      </c>
      <c r="I1261" s="2" t="s">
        <v>103</v>
      </c>
      <c r="J1261" s="2" t="s">
        <v>104</v>
      </c>
      <c r="K1261" s="2">
        <v>1</v>
      </c>
      <c r="L1261" s="2">
        <v>19.989999999999998</v>
      </c>
      <c r="M1261" s="19">
        <f t="shared" si="258"/>
        <v>19.989999999999998</v>
      </c>
      <c r="N1261" s="2" t="s">
        <v>118</v>
      </c>
      <c r="O1261" s="2" t="str">
        <f t="shared" si="259"/>
        <v>BFCM25</v>
      </c>
      <c r="P1261" s="2">
        <v>5</v>
      </c>
      <c r="Q1261" s="19">
        <f t="shared" si="260"/>
        <v>5</v>
      </c>
      <c r="R1261" s="2" t="str">
        <f t="shared" si="261"/>
        <v>Number</v>
      </c>
      <c r="S1261" s="2">
        <v>5.99</v>
      </c>
      <c r="T1261" s="19">
        <f t="shared" si="262"/>
        <v>5.99</v>
      </c>
      <c r="U1261" s="2">
        <v>20.98</v>
      </c>
      <c r="V1261" s="19">
        <f t="shared" si="263"/>
        <v>20.98</v>
      </c>
      <c r="W1261" s="19">
        <f t="shared" si="264"/>
        <v>20.979999999999997</v>
      </c>
      <c r="X1261" s="19" t="str">
        <f t="shared" si="265"/>
        <v>True</v>
      </c>
      <c r="Y1261" s="19" t="str">
        <f>IF(OR(W1261&lt;'Cleaning Tasks'!$G$18,W1261&gt;'Cleaning Tasks'!$H$18),"Outlier","Normal")</f>
        <v>Normal</v>
      </c>
      <c r="Z1261" s="2" t="s">
        <v>49</v>
      </c>
      <c r="AA1261" s="2" t="s">
        <v>88</v>
      </c>
      <c r="AB1261" s="2" t="s">
        <v>41</v>
      </c>
      <c r="AC1261" s="2" t="s">
        <v>223</v>
      </c>
      <c r="AD1261" s="2"/>
      <c r="AE1261" s="2" t="str">
        <f t="shared" si="266"/>
        <v>Not Required</v>
      </c>
      <c r="AF1261" s="2" t="s">
        <v>3575</v>
      </c>
    </row>
    <row r="1262" spans="1:32" x14ac:dyDescent="0.3">
      <c r="A1262" s="2" t="s">
        <v>3576</v>
      </c>
      <c r="B1262" s="2">
        <f t="shared" si="256"/>
        <v>1</v>
      </c>
      <c r="C1262" s="12">
        <f t="shared" si="267"/>
        <v>46238.581528692128</v>
      </c>
      <c r="D1262" s="13">
        <v>46238.581528692128</v>
      </c>
      <c r="E1262" s="2" t="s">
        <v>1619</v>
      </c>
      <c r="F1262" s="2" t="str">
        <f t="shared" si="257"/>
        <v>Email Available</v>
      </c>
      <c r="G1262" s="2" t="s">
        <v>1620</v>
      </c>
      <c r="H1262" s="2" t="s">
        <v>190</v>
      </c>
      <c r="I1262" s="2" t="s">
        <v>191</v>
      </c>
      <c r="J1262" s="2" t="s">
        <v>192</v>
      </c>
      <c r="K1262" s="2">
        <v>2</v>
      </c>
      <c r="L1262" s="2">
        <v>13.49</v>
      </c>
      <c r="M1262" s="19">
        <f t="shared" si="258"/>
        <v>13.49</v>
      </c>
      <c r="N1262" s="2"/>
      <c r="O1262" s="2" t="str">
        <f t="shared" si="259"/>
        <v/>
      </c>
      <c r="P1262" s="2">
        <v>0</v>
      </c>
      <c r="Q1262" s="19">
        <f t="shared" si="260"/>
        <v>0</v>
      </c>
      <c r="R1262" s="2" t="str">
        <f t="shared" si="261"/>
        <v>Number</v>
      </c>
      <c r="S1262" s="2">
        <v>4.99</v>
      </c>
      <c r="T1262" s="19">
        <f t="shared" si="262"/>
        <v>4.99</v>
      </c>
      <c r="U1262" s="2">
        <v>31.97</v>
      </c>
      <c r="V1262" s="19">
        <f t="shared" si="263"/>
        <v>31.97</v>
      </c>
      <c r="W1262" s="19">
        <f t="shared" si="264"/>
        <v>31.97</v>
      </c>
      <c r="X1262" s="19" t="str">
        <f t="shared" si="265"/>
        <v>True</v>
      </c>
      <c r="Y1262" s="19" t="str">
        <f>IF(OR(W1262&lt;'Cleaning Tasks'!$G$18,W1262&gt;'Cleaning Tasks'!$H$18),"Outlier","Normal")</f>
        <v>Normal</v>
      </c>
      <c r="Z1262" s="2" t="s">
        <v>39</v>
      </c>
      <c r="AA1262" s="2" t="s">
        <v>88</v>
      </c>
      <c r="AB1262" s="2" t="s">
        <v>96</v>
      </c>
      <c r="AC1262" s="2" t="s">
        <v>105</v>
      </c>
      <c r="AD1262" s="2"/>
      <c r="AE1262" s="2" t="str">
        <f t="shared" si="266"/>
        <v>Not Required</v>
      </c>
      <c r="AF1262" s="2" t="s">
        <v>3577</v>
      </c>
    </row>
    <row r="1263" spans="1:32" x14ac:dyDescent="0.3">
      <c r="A1263" s="2" t="s">
        <v>3578</v>
      </c>
      <c r="B1263" s="2">
        <f t="shared" si="256"/>
        <v>1</v>
      </c>
      <c r="C1263" s="12">
        <f t="shared" si="267"/>
        <v>46238</v>
      </c>
      <c r="D1263" s="13">
        <v>46238</v>
      </c>
      <c r="E1263" s="2" t="s">
        <v>1210</v>
      </c>
      <c r="F1263" s="2" t="str">
        <f t="shared" si="257"/>
        <v>Email Available</v>
      </c>
      <c r="G1263" s="2" t="s">
        <v>1211</v>
      </c>
      <c r="H1263" s="2" t="s">
        <v>130</v>
      </c>
      <c r="I1263" s="2" t="s">
        <v>103</v>
      </c>
      <c r="J1263" s="2" t="s">
        <v>131</v>
      </c>
      <c r="K1263" s="2">
        <v>1</v>
      </c>
      <c r="L1263" s="2">
        <v>16.989999999999998</v>
      </c>
      <c r="M1263" s="19">
        <f t="shared" si="258"/>
        <v>16.989999999999998</v>
      </c>
      <c r="N1263" s="2" t="s">
        <v>118</v>
      </c>
      <c r="O1263" s="2" t="str">
        <f t="shared" si="259"/>
        <v>BFCM25</v>
      </c>
      <c r="P1263" s="2">
        <v>4.25</v>
      </c>
      <c r="Q1263" s="19">
        <f t="shared" si="260"/>
        <v>4.25</v>
      </c>
      <c r="R1263" s="2" t="str">
        <f t="shared" si="261"/>
        <v>Number</v>
      </c>
      <c r="S1263" s="2">
        <v>4.99</v>
      </c>
      <c r="T1263" s="19">
        <f t="shared" si="262"/>
        <v>4.99</v>
      </c>
      <c r="U1263" s="2">
        <v>17.73</v>
      </c>
      <c r="V1263" s="19">
        <f t="shared" si="263"/>
        <v>17.73</v>
      </c>
      <c r="W1263" s="19">
        <f t="shared" si="264"/>
        <v>17.729999999999997</v>
      </c>
      <c r="X1263" s="19" t="str">
        <f t="shared" si="265"/>
        <v>True</v>
      </c>
      <c r="Y1263" s="19" t="str">
        <f>IF(OR(W1263&lt;'Cleaning Tasks'!$G$18,W1263&gt;'Cleaning Tasks'!$H$18),"Outlier","Normal")</f>
        <v>Normal</v>
      </c>
      <c r="Z1263" s="2" t="s">
        <v>26</v>
      </c>
      <c r="AA1263" s="2" t="s">
        <v>88</v>
      </c>
      <c r="AB1263" s="2" t="s">
        <v>41</v>
      </c>
      <c r="AC1263" s="2" t="s">
        <v>29</v>
      </c>
      <c r="AD1263" s="22" t="s">
        <v>67</v>
      </c>
      <c r="AE1263" s="2" t="str">
        <f t="shared" si="266"/>
        <v>Valid</v>
      </c>
      <c r="AF1263" s="2" t="s">
        <v>2670</v>
      </c>
    </row>
    <row r="1264" spans="1:32" x14ac:dyDescent="0.3">
      <c r="A1264" s="2" t="s">
        <v>3579</v>
      </c>
      <c r="B1264" s="2">
        <f t="shared" si="256"/>
        <v>1</v>
      </c>
      <c r="C1264" s="12">
        <f t="shared" si="267"/>
        <v>46238.587313634263</v>
      </c>
      <c r="D1264" s="13">
        <v>46238.587313634263</v>
      </c>
      <c r="E1264" s="2" t="s">
        <v>1084</v>
      </c>
      <c r="F1264" s="2" t="str">
        <f t="shared" si="257"/>
        <v>Missing Email</v>
      </c>
      <c r="G1264" s="2"/>
      <c r="H1264" s="2" t="s">
        <v>361</v>
      </c>
      <c r="I1264" s="2" t="s">
        <v>86</v>
      </c>
      <c r="J1264" s="2" t="s">
        <v>362</v>
      </c>
      <c r="K1264" s="2">
        <v>1</v>
      </c>
      <c r="L1264" s="2">
        <v>54.99</v>
      </c>
      <c r="M1264" s="19">
        <f t="shared" si="258"/>
        <v>54.99</v>
      </c>
      <c r="N1264" s="2"/>
      <c r="O1264" s="2" t="str">
        <f t="shared" si="259"/>
        <v/>
      </c>
      <c r="P1264" s="2" t="s">
        <v>184</v>
      </c>
      <c r="Q1264" s="19">
        <f t="shared" si="260"/>
        <v>0</v>
      </c>
      <c r="R1264" s="2" t="str">
        <f t="shared" si="261"/>
        <v>Number</v>
      </c>
      <c r="S1264" s="2">
        <v>7.99</v>
      </c>
      <c r="T1264" s="19">
        <f t="shared" si="262"/>
        <v>7.99</v>
      </c>
      <c r="U1264" s="2">
        <v>62.98</v>
      </c>
      <c r="V1264" s="19">
        <f t="shared" si="263"/>
        <v>62.98</v>
      </c>
      <c r="W1264" s="19">
        <f t="shared" si="264"/>
        <v>62.980000000000004</v>
      </c>
      <c r="X1264" s="19" t="str">
        <f t="shared" si="265"/>
        <v>True</v>
      </c>
      <c r="Y1264" s="19" t="str">
        <f>IF(OR(W1264&lt;'Cleaning Tasks'!$G$18,W1264&gt;'Cleaning Tasks'!$H$18),"Outlier","Normal")</f>
        <v>Normal</v>
      </c>
      <c r="Z1264" s="2" t="s">
        <v>66</v>
      </c>
      <c r="AA1264" s="2" t="s">
        <v>88</v>
      </c>
      <c r="AB1264" s="2" t="s">
        <v>28</v>
      </c>
      <c r="AC1264" s="2" t="s">
        <v>29</v>
      </c>
      <c r="AD1264" s="2" t="s">
        <v>30</v>
      </c>
      <c r="AE1264" s="2" t="str">
        <f t="shared" si="266"/>
        <v>Valid</v>
      </c>
      <c r="AF1264" s="2" t="s">
        <v>3580</v>
      </c>
    </row>
    <row r="1265" spans="1:32" x14ac:dyDescent="0.3">
      <c r="A1265" s="2" t="s">
        <v>3581</v>
      </c>
      <c r="B1265" s="2">
        <f t="shared" si="256"/>
        <v>1</v>
      </c>
      <c r="C1265" s="12">
        <f t="shared" si="267"/>
        <v>46238</v>
      </c>
      <c r="D1265" s="13" t="s">
        <v>143</v>
      </c>
      <c r="E1265" s="2" t="s">
        <v>409</v>
      </c>
      <c r="F1265" s="2" t="str">
        <f t="shared" si="257"/>
        <v>Email Available</v>
      </c>
      <c r="G1265" s="2" t="s">
        <v>410</v>
      </c>
      <c r="H1265" s="2" t="s">
        <v>56</v>
      </c>
      <c r="I1265" s="2" t="s">
        <v>22</v>
      </c>
      <c r="J1265" s="2" t="s">
        <v>57</v>
      </c>
      <c r="K1265" s="2">
        <v>1</v>
      </c>
      <c r="L1265" s="2">
        <v>9.99</v>
      </c>
      <c r="M1265" s="19">
        <f t="shared" si="258"/>
        <v>9.99</v>
      </c>
      <c r="N1265" s="2" t="s">
        <v>24</v>
      </c>
      <c r="O1265" s="2" t="str">
        <f t="shared" si="259"/>
        <v>SAVE20</v>
      </c>
      <c r="P1265" s="2">
        <v>2</v>
      </c>
      <c r="Q1265" s="19">
        <f t="shared" si="260"/>
        <v>2</v>
      </c>
      <c r="R1265" s="2" t="str">
        <f t="shared" si="261"/>
        <v>Number</v>
      </c>
      <c r="S1265" s="2">
        <v>5.99</v>
      </c>
      <c r="T1265" s="19">
        <f t="shared" si="262"/>
        <v>5.99</v>
      </c>
      <c r="U1265" s="2">
        <v>13.98</v>
      </c>
      <c r="V1265" s="19">
        <f t="shared" si="263"/>
        <v>13.98</v>
      </c>
      <c r="W1265" s="19">
        <f t="shared" si="264"/>
        <v>13.98</v>
      </c>
      <c r="X1265" s="19" t="str">
        <f t="shared" si="265"/>
        <v>True</v>
      </c>
      <c r="Y1265" s="19" t="str">
        <f>IF(OR(W1265&lt;'Cleaning Tasks'!$G$18,W1265&gt;'Cleaning Tasks'!$H$18),"Outlier","Normal")</f>
        <v>Normal</v>
      </c>
      <c r="Z1265" s="2" t="s">
        <v>72</v>
      </c>
      <c r="AA1265" s="2" t="s">
        <v>111</v>
      </c>
      <c r="AB1265" s="2" t="s">
        <v>28</v>
      </c>
      <c r="AC1265" s="2" t="s">
        <v>42</v>
      </c>
      <c r="AD1265" s="2"/>
      <c r="AE1265" s="2" t="str">
        <f t="shared" si="266"/>
        <v>Not Required</v>
      </c>
      <c r="AF1265" s="2" t="s">
        <v>3582</v>
      </c>
    </row>
    <row r="1266" spans="1:32" x14ac:dyDescent="0.3">
      <c r="A1266" s="2" t="s">
        <v>3583</v>
      </c>
      <c r="B1266" s="2">
        <f t="shared" si="256"/>
        <v>1</v>
      </c>
      <c r="C1266" s="12">
        <f t="shared" si="267"/>
        <v>46238.584349236109</v>
      </c>
      <c r="D1266" s="13">
        <v>46238.584349236109</v>
      </c>
      <c r="E1266" s="2" t="s">
        <v>2782</v>
      </c>
      <c r="F1266" s="2" t="str">
        <f t="shared" si="257"/>
        <v>Email Available</v>
      </c>
      <c r="G1266" s="2" t="s">
        <v>2783</v>
      </c>
      <c r="H1266" s="2" t="s">
        <v>201</v>
      </c>
      <c r="I1266" s="2" t="s">
        <v>191</v>
      </c>
      <c r="J1266" s="2" t="s">
        <v>202</v>
      </c>
      <c r="K1266" s="2">
        <v>1</v>
      </c>
      <c r="L1266" s="2">
        <v>24.99</v>
      </c>
      <c r="M1266" s="19">
        <f t="shared" si="258"/>
        <v>24.99</v>
      </c>
      <c r="N1266" s="2" t="s">
        <v>65</v>
      </c>
      <c r="O1266" s="2" t="str">
        <f t="shared" si="259"/>
        <v>WELCOME10</v>
      </c>
      <c r="P1266" s="2">
        <v>2.5</v>
      </c>
      <c r="Q1266" s="19">
        <f t="shared" si="260"/>
        <v>2.5</v>
      </c>
      <c r="R1266" s="2" t="str">
        <f t="shared" si="261"/>
        <v>Number</v>
      </c>
      <c r="S1266" s="2">
        <v>4.99</v>
      </c>
      <c r="T1266" s="19">
        <f t="shared" si="262"/>
        <v>4.99</v>
      </c>
      <c r="U1266" s="2">
        <v>27.48</v>
      </c>
      <c r="V1266" s="19">
        <f t="shared" si="263"/>
        <v>27.48</v>
      </c>
      <c r="W1266" s="19">
        <f t="shared" si="264"/>
        <v>27.479999999999997</v>
      </c>
      <c r="X1266" s="19" t="str">
        <f t="shared" si="265"/>
        <v>True</v>
      </c>
      <c r="Y1266" s="19" t="str">
        <f>IF(OR(W1266&lt;'Cleaning Tasks'!$G$18,W1266&gt;'Cleaning Tasks'!$H$18),"Outlier","Normal")</f>
        <v>Normal</v>
      </c>
      <c r="Z1266" s="2" t="s">
        <v>39</v>
      </c>
      <c r="AA1266" s="2" t="s">
        <v>40</v>
      </c>
      <c r="AB1266" s="2" t="s">
        <v>50</v>
      </c>
      <c r="AC1266" s="2" t="s">
        <v>29</v>
      </c>
      <c r="AD1266" s="2" t="s">
        <v>341</v>
      </c>
      <c r="AE1266" s="2" t="str">
        <f t="shared" si="266"/>
        <v>Valid</v>
      </c>
      <c r="AF1266" s="2" t="s">
        <v>3584</v>
      </c>
    </row>
    <row r="1267" spans="1:32" x14ac:dyDescent="0.3">
      <c r="A1267" s="2" t="s">
        <v>3585</v>
      </c>
      <c r="B1267" s="2">
        <f t="shared" si="256"/>
        <v>1</v>
      </c>
      <c r="C1267" s="12">
        <f t="shared" si="267"/>
        <v>46238</v>
      </c>
      <c r="D1267" s="13">
        <v>46238</v>
      </c>
      <c r="E1267" s="2" t="s">
        <v>3427</v>
      </c>
      <c r="F1267" s="2" t="str">
        <f t="shared" si="257"/>
        <v>Missing Email</v>
      </c>
      <c r="G1267" s="2"/>
      <c r="H1267" s="2" t="s">
        <v>117</v>
      </c>
      <c r="I1267" s="2" t="s">
        <v>22</v>
      </c>
      <c r="J1267" s="2" t="s">
        <v>23</v>
      </c>
      <c r="K1267" s="2">
        <v>1</v>
      </c>
      <c r="L1267" s="2">
        <v>12.99</v>
      </c>
      <c r="M1267" s="19">
        <f t="shared" si="258"/>
        <v>12.99</v>
      </c>
      <c r="N1267" s="2" t="s">
        <v>24</v>
      </c>
      <c r="O1267" s="2" t="str">
        <f t="shared" si="259"/>
        <v>SAVE20</v>
      </c>
      <c r="P1267" s="2">
        <v>2.6</v>
      </c>
      <c r="Q1267" s="19">
        <f t="shared" si="260"/>
        <v>2.6</v>
      </c>
      <c r="R1267" s="2" t="str">
        <f t="shared" si="261"/>
        <v>Number</v>
      </c>
      <c r="S1267" s="2">
        <v>7.99</v>
      </c>
      <c r="T1267" s="19">
        <f t="shared" si="262"/>
        <v>7.99</v>
      </c>
      <c r="U1267" s="2">
        <v>18.38</v>
      </c>
      <c r="V1267" s="19">
        <f t="shared" si="263"/>
        <v>18.38</v>
      </c>
      <c r="W1267" s="19">
        <f t="shared" si="264"/>
        <v>18.380000000000003</v>
      </c>
      <c r="X1267" s="19" t="str">
        <f t="shared" si="265"/>
        <v>True</v>
      </c>
      <c r="Y1267" s="19" t="str">
        <f>IF(OR(W1267&lt;'Cleaning Tasks'!$G$18,W1267&gt;'Cleaning Tasks'!$H$18),"Outlier","Normal")</f>
        <v>Normal</v>
      </c>
      <c r="Z1267" s="2" t="s">
        <v>49</v>
      </c>
      <c r="AA1267" s="2" t="s">
        <v>27</v>
      </c>
      <c r="AB1267" s="2" t="s">
        <v>96</v>
      </c>
      <c r="AC1267" s="2" t="s">
        <v>42</v>
      </c>
      <c r="AD1267" s="2"/>
      <c r="AE1267" s="2" t="str">
        <f t="shared" si="266"/>
        <v>Not Required</v>
      </c>
      <c r="AF1267" s="2" t="s">
        <v>3586</v>
      </c>
    </row>
    <row r="1268" spans="1:32" x14ac:dyDescent="0.3">
      <c r="A1268" s="2" t="s">
        <v>3587</v>
      </c>
      <c r="B1268" s="2">
        <f t="shared" si="256"/>
        <v>1</v>
      </c>
      <c r="C1268" s="12">
        <f t="shared" si="267"/>
        <v>46238.581094884263</v>
      </c>
      <c r="D1268" s="13">
        <v>46238.581094884263</v>
      </c>
      <c r="E1268" s="2" t="s">
        <v>489</v>
      </c>
      <c r="F1268" s="2" t="str">
        <f t="shared" si="257"/>
        <v>Email Available</v>
      </c>
      <c r="G1268" s="2" t="s">
        <v>490</v>
      </c>
      <c r="H1268" s="2" t="s">
        <v>361</v>
      </c>
      <c r="I1268" s="2" t="s">
        <v>86</v>
      </c>
      <c r="J1268" s="2" t="s">
        <v>362</v>
      </c>
      <c r="K1268" s="2">
        <v>1</v>
      </c>
      <c r="L1268" s="2">
        <v>54.99</v>
      </c>
      <c r="M1268" s="19">
        <f t="shared" si="258"/>
        <v>54.99</v>
      </c>
      <c r="N1268" s="2"/>
      <c r="O1268" s="2" t="str">
        <f t="shared" si="259"/>
        <v/>
      </c>
      <c r="P1268" s="2" t="s">
        <v>184</v>
      </c>
      <c r="Q1268" s="19">
        <f t="shared" si="260"/>
        <v>0</v>
      </c>
      <c r="R1268" s="2" t="str">
        <f t="shared" si="261"/>
        <v>Number</v>
      </c>
      <c r="S1268" s="2">
        <v>5.99</v>
      </c>
      <c r="T1268" s="19">
        <f t="shared" si="262"/>
        <v>5.99</v>
      </c>
      <c r="U1268" s="2">
        <v>60.98</v>
      </c>
      <c r="V1268" s="19">
        <f t="shared" si="263"/>
        <v>60.98</v>
      </c>
      <c r="W1268" s="19">
        <f t="shared" si="264"/>
        <v>60.980000000000004</v>
      </c>
      <c r="X1268" s="19" t="str">
        <f t="shared" si="265"/>
        <v>True</v>
      </c>
      <c r="Y1268" s="19" t="str">
        <f>IF(OR(W1268&lt;'Cleaning Tasks'!$G$18,W1268&gt;'Cleaning Tasks'!$H$18),"Outlier","Normal")</f>
        <v>Normal</v>
      </c>
      <c r="Z1268" s="2" t="s">
        <v>72</v>
      </c>
      <c r="AA1268" s="2" t="s">
        <v>27</v>
      </c>
      <c r="AB1268" s="2" t="s">
        <v>50</v>
      </c>
      <c r="AC1268" s="2" t="s">
        <v>29</v>
      </c>
      <c r="AD1268" s="2" t="s">
        <v>112</v>
      </c>
      <c r="AE1268" s="2" t="str">
        <f t="shared" si="266"/>
        <v>Valid</v>
      </c>
      <c r="AF1268" s="2" t="s">
        <v>3588</v>
      </c>
    </row>
    <row r="1269" spans="1:32" x14ac:dyDescent="0.3">
      <c r="A1269" s="2" t="s">
        <v>3589</v>
      </c>
      <c r="B1269" s="2">
        <f t="shared" si="256"/>
        <v>1</v>
      </c>
      <c r="C1269" s="12">
        <f t="shared" si="267"/>
        <v>46238.582367175928</v>
      </c>
      <c r="D1269" s="13">
        <v>46238.582367175928</v>
      </c>
      <c r="E1269" s="2" t="s">
        <v>3590</v>
      </c>
      <c r="F1269" s="2" t="str">
        <f t="shared" si="257"/>
        <v>Email Available</v>
      </c>
      <c r="G1269" s="2" t="s">
        <v>3591</v>
      </c>
      <c r="H1269" s="2" t="s">
        <v>56</v>
      </c>
      <c r="I1269" s="2" t="s">
        <v>22</v>
      </c>
      <c r="J1269" s="2" t="s">
        <v>57</v>
      </c>
      <c r="K1269" s="2">
        <v>1</v>
      </c>
      <c r="L1269" s="2">
        <v>9.99</v>
      </c>
      <c r="M1269" s="19">
        <f t="shared" si="258"/>
        <v>9.99</v>
      </c>
      <c r="N1269" s="2" t="s">
        <v>118</v>
      </c>
      <c r="O1269" s="2" t="str">
        <f t="shared" si="259"/>
        <v>BFCM25</v>
      </c>
      <c r="P1269" s="2">
        <v>2.5</v>
      </c>
      <c r="Q1269" s="19">
        <f t="shared" si="260"/>
        <v>2.5</v>
      </c>
      <c r="R1269" s="2" t="str">
        <f t="shared" si="261"/>
        <v>Number</v>
      </c>
      <c r="S1269" s="2">
        <v>7.99</v>
      </c>
      <c r="T1269" s="19">
        <f t="shared" si="262"/>
        <v>7.99</v>
      </c>
      <c r="U1269" s="2">
        <v>15.48</v>
      </c>
      <c r="V1269" s="19">
        <f t="shared" si="263"/>
        <v>15.48</v>
      </c>
      <c r="W1269" s="19">
        <f t="shared" si="264"/>
        <v>15.48</v>
      </c>
      <c r="X1269" s="19" t="str">
        <f t="shared" si="265"/>
        <v>True</v>
      </c>
      <c r="Y1269" s="19" t="str">
        <f>IF(OR(W1269&lt;'Cleaning Tasks'!$G$18,W1269&gt;'Cleaning Tasks'!$H$18),"Outlier","Normal")</f>
        <v>Normal</v>
      </c>
      <c r="Z1269" s="2" t="s">
        <v>72</v>
      </c>
      <c r="AA1269" s="2" t="s">
        <v>40</v>
      </c>
      <c r="AB1269" s="2" t="s">
        <v>41</v>
      </c>
      <c r="AC1269" s="2" t="s">
        <v>331</v>
      </c>
      <c r="AD1269" s="2"/>
      <c r="AE1269" s="2" t="str">
        <f t="shared" si="266"/>
        <v>Not Required</v>
      </c>
      <c r="AF1269" s="2" t="s">
        <v>3592</v>
      </c>
    </row>
    <row r="1270" spans="1:32" x14ac:dyDescent="0.3">
      <c r="A1270" s="2" t="s">
        <v>3593</v>
      </c>
      <c r="B1270" s="2">
        <f t="shared" si="256"/>
        <v>1</v>
      </c>
      <c r="C1270" s="12">
        <f t="shared" ref="C1270:C1276" si="268">IF(ISNUMBER(D1270),D1270,DATEVALUE(SUBSTITUTE(TRIM(D1270),CHAR(160)," ")))</f>
        <v>46238.587915543983</v>
      </c>
      <c r="D1270" s="13">
        <v>46238.587915543983</v>
      </c>
      <c r="E1270" s="2" t="s">
        <v>2483</v>
      </c>
      <c r="F1270" s="2" t="str">
        <f t="shared" si="257"/>
        <v>Email Available</v>
      </c>
      <c r="G1270" s="2" t="s">
        <v>2484</v>
      </c>
      <c r="H1270" s="2" t="s">
        <v>85</v>
      </c>
      <c r="I1270" s="2" t="s">
        <v>86</v>
      </c>
      <c r="J1270" s="2" t="s">
        <v>87</v>
      </c>
      <c r="K1270" s="2">
        <v>3</v>
      </c>
      <c r="L1270" s="2">
        <v>54.99</v>
      </c>
      <c r="M1270" s="19">
        <f t="shared" si="258"/>
        <v>54.99</v>
      </c>
      <c r="N1270" s="2" t="s">
        <v>203</v>
      </c>
      <c r="O1270" s="2" t="str">
        <f t="shared" si="259"/>
        <v>VIP15</v>
      </c>
      <c r="P1270" s="2">
        <v>24.75</v>
      </c>
      <c r="Q1270" s="19">
        <f t="shared" si="260"/>
        <v>24.75</v>
      </c>
      <c r="R1270" s="2" t="str">
        <f t="shared" si="261"/>
        <v>Number</v>
      </c>
      <c r="S1270" s="2">
        <v>0</v>
      </c>
      <c r="T1270" s="19">
        <f t="shared" si="262"/>
        <v>0</v>
      </c>
      <c r="U1270" s="2">
        <v>140.22</v>
      </c>
      <c r="V1270" s="19">
        <f t="shared" si="263"/>
        <v>140.22</v>
      </c>
      <c r="W1270" s="19">
        <f t="shared" si="264"/>
        <v>140.22</v>
      </c>
      <c r="X1270" s="19" t="str">
        <f t="shared" si="265"/>
        <v>True</v>
      </c>
      <c r="Y1270" s="19" t="str">
        <f>IF(OR(W1270&lt;'Cleaning Tasks'!$G$18,W1270&gt;'Cleaning Tasks'!$H$18),"Outlier","Normal")</f>
        <v>Outlier</v>
      </c>
      <c r="Z1270" s="2" t="s">
        <v>49</v>
      </c>
      <c r="AA1270" s="2" t="s">
        <v>88</v>
      </c>
      <c r="AB1270" s="2" t="s">
        <v>50</v>
      </c>
      <c r="AC1270" s="2" t="s">
        <v>29</v>
      </c>
      <c r="AD1270" s="2" t="s">
        <v>67</v>
      </c>
      <c r="AE1270" s="2" t="str">
        <f t="shared" si="266"/>
        <v>Valid</v>
      </c>
      <c r="AF1270" s="2" t="s">
        <v>3594</v>
      </c>
    </row>
    <row r="1271" spans="1:32" x14ac:dyDescent="0.3">
      <c r="A1271" s="2" t="s">
        <v>3595</v>
      </c>
      <c r="B1271" s="2">
        <f t="shared" si="256"/>
        <v>1</v>
      </c>
      <c r="C1271" s="12">
        <f t="shared" si="268"/>
        <v>46238.580601261572</v>
      </c>
      <c r="D1271" s="13">
        <v>46238.580601261572</v>
      </c>
      <c r="E1271" s="2" t="s">
        <v>2786</v>
      </c>
      <c r="F1271" s="2" t="str">
        <f t="shared" si="257"/>
        <v>Email Available</v>
      </c>
      <c r="G1271" s="2" t="s">
        <v>2787</v>
      </c>
      <c r="H1271" s="2" t="s">
        <v>78</v>
      </c>
      <c r="I1271" s="2" t="s">
        <v>79</v>
      </c>
      <c r="J1271" s="2" t="s">
        <v>80</v>
      </c>
      <c r="K1271" s="2">
        <v>3</v>
      </c>
      <c r="L1271" s="2">
        <v>89.99</v>
      </c>
      <c r="M1271" s="19">
        <f t="shared" si="258"/>
        <v>89.99</v>
      </c>
      <c r="N1271" s="2"/>
      <c r="O1271" s="2" t="str">
        <f t="shared" si="259"/>
        <v/>
      </c>
      <c r="P1271" s="2">
        <v>0</v>
      </c>
      <c r="Q1271" s="19">
        <f t="shared" si="260"/>
        <v>0</v>
      </c>
      <c r="R1271" s="2" t="str">
        <f t="shared" si="261"/>
        <v>Number</v>
      </c>
      <c r="S1271" s="2">
        <v>0</v>
      </c>
      <c r="T1271" s="19">
        <f t="shared" si="262"/>
        <v>0</v>
      </c>
      <c r="U1271" s="2">
        <v>269.97000000000003</v>
      </c>
      <c r="V1271" s="19">
        <f t="shared" si="263"/>
        <v>269.97000000000003</v>
      </c>
      <c r="W1271" s="19">
        <f t="shared" si="264"/>
        <v>269.96999999999997</v>
      </c>
      <c r="X1271" s="19" t="str">
        <f t="shared" si="265"/>
        <v>True</v>
      </c>
      <c r="Y1271" s="19" t="str">
        <f>IF(OR(W1271&lt;'Cleaning Tasks'!$G$18,W1271&gt;'Cleaning Tasks'!$H$18),"Outlier","Normal")</f>
        <v>Outlier</v>
      </c>
      <c r="Z1271" s="2" t="s">
        <v>72</v>
      </c>
      <c r="AA1271" s="2" t="s">
        <v>40</v>
      </c>
      <c r="AB1271" s="2" t="s">
        <v>28</v>
      </c>
      <c r="AC1271" s="2" t="s">
        <v>29</v>
      </c>
      <c r="AD1271" s="22" t="s">
        <v>243</v>
      </c>
      <c r="AE1271" s="2" t="str">
        <f t="shared" si="266"/>
        <v>Valid</v>
      </c>
      <c r="AF1271" s="2" t="s">
        <v>3596</v>
      </c>
    </row>
    <row r="1272" spans="1:32" x14ac:dyDescent="0.3">
      <c r="A1272" s="2" t="s">
        <v>3597</v>
      </c>
      <c r="B1272" s="2">
        <f t="shared" si="256"/>
        <v>1</v>
      </c>
      <c r="C1272" s="12">
        <f t="shared" si="268"/>
        <v>46238.581077523151</v>
      </c>
      <c r="D1272" s="13">
        <v>46238.581077523151</v>
      </c>
      <c r="E1272" s="2" t="s">
        <v>459</v>
      </c>
      <c r="F1272" s="2" t="str">
        <f t="shared" si="257"/>
        <v>Email Available</v>
      </c>
      <c r="G1272" s="2" t="s">
        <v>460</v>
      </c>
      <c r="H1272" s="2" t="s">
        <v>35</v>
      </c>
      <c r="I1272" s="2" t="s">
        <v>36</v>
      </c>
      <c r="J1272" s="2" t="s">
        <v>37</v>
      </c>
      <c r="K1272" s="2">
        <v>1</v>
      </c>
      <c r="L1272" s="2">
        <v>21.99</v>
      </c>
      <c r="M1272" s="19">
        <f t="shared" si="258"/>
        <v>21.99</v>
      </c>
      <c r="N1272" s="2"/>
      <c r="O1272" s="2" t="str">
        <f t="shared" si="259"/>
        <v/>
      </c>
      <c r="P1272" s="2">
        <v>0</v>
      </c>
      <c r="Q1272" s="19">
        <f t="shared" si="260"/>
        <v>0</v>
      </c>
      <c r="R1272" s="2" t="str">
        <f t="shared" si="261"/>
        <v>Number</v>
      </c>
      <c r="S1272" s="2">
        <v>7.99</v>
      </c>
      <c r="T1272" s="19">
        <f t="shared" si="262"/>
        <v>7.99</v>
      </c>
      <c r="U1272" s="2">
        <v>29.98</v>
      </c>
      <c r="V1272" s="19">
        <f t="shared" si="263"/>
        <v>29.98</v>
      </c>
      <c r="W1272" s="19">
        <f t="shared" si="264"/>
        <v>29.979999999999997</v>
      </c>
      <c r="X1272" s="19" t="str">
        <f t="shared" si="265"/>
        <v>True</v>
      </c>
      <c r="Y1272" s="19" t="str">
        <f>IF(OR(W1272&lt;'Cleaning Tasks'!$G$18,W1272&gt;'Cleaning Tasks'!$H$18),"Outlier","Normal")</f>
        <v>Normal</v>
      </c>
      <c r="Z1272" s="2" t="s">
        <v>49</v>
      </c>
      <c r="AA1272" s="2" t="s">
        <v>40</v>
      </c>
      <c r="AB1272" s="2" t="s">
        <v>50</v>
      </c>
      <c r="AC1272" s="2" t="s">
        <v>223</v>
      </c>
      <c r="AD1272" s="2"/>
      <c r="AE1272" s="2" t="str">
        <f t="shared" si="266"/>
        <v>Not Required</v>
      </c>
      <c r="AF1272" s="2" t="s">
        <v>3598</v>
      </c>
    </row>
    <row r="1273" spans="1:32" x14ac:dyDescent="0.3">
      <c r="A1273" s="2" t="s">
        <v>3599</v>
      </c>
      <c r="B1273" s="2">
        <f t="shared" si="256"/>
        <v>1</v>
      </c>
      <c r="C1273" s="12">
        <f t="shared" si="268"/>
        <v>46238</v>
      </c>
      <c r="D1273" s="13">
        <v>46238</v>
      </c>
      <c r="E1273" s="2" t="s">
        <v>3323</v>
      </c>
      <c r="F1273" s="2" t="str">
        <f t="shared" si="257"/>
        <v>Missing Email</v>
      </c>
      <c r="G1273" s="2"/>
      <c r="H1273" s="2" t="s">
        <v>63</v>
      </c>
      <c r="I1273" s="2" t="s">
        <v>47</v>
      </c>
      <c r="J1273" s="2" t="s">
        <v>64</v>
      </c>
      <c r="K1273" s="2">
        <v>2</v>
      </c>
      <c r="L1273" s="2" t="s">
        <v>1465</v>
      </c>
      <c r="M1273" s="19">
        <f t="shared" si="258"/>
        <v>14.99</v>
      </c>
      <c r="N1273" s="2" t="s">
        <v>65</v>
      </c>
      <c r="O1273" s="2" t="str">
        <f t="shared" si="259"/>
        <v>WELCOME10</v>
      </c>
      <c r="P1273" s="2">
        <v>3</v>
      </c>
      <c r="Q1273" s="19">
        <f t="shared" si="260"/>
        <v>3</v>
      </c>
      <c r="R1273" s="2" t="str">
        <f t="shared" si="261"/>
        <v>Number</v>
      </c>
      <c r="S1273" s="2">
        <v>4.99</v>
      </c>
      <c r="T1273" s="19">
        <f t="shared" si="262"/>
        <v>4.99</v>
      </c>
      <c r="U1273" s="2">
        <v>31.97</v>
      </c>
      <c r="V1273" s="19">
        <f t="shared" si="263"/>
        <v>31.97</v>
      </c>
      <c r="W1273" s="19">
        <f t="shared" si="264"/>
        <v>31.97</v>
      </c>
      <c r="X1273" s="19" t="str">
        <f t="shared" si="265"/>
        <v>True</v>
      </c>
      <c r="Y1273" s="19" t="str">
        <f>IF(OR(W1273&lt;'Cleaning Tasks'!$G$18,W1273&gt;'Cleaning Tasks'!$H$18),"Outlier","Normal")</f>
        <v>Normal</v>
      </c>
      <c r="Z1273" s="2" t="s">
        <v>39</v>
      </c>
      <c r="AA1273" s="2" t="s">
        <v>27</v>
      </c>
      <c r="AB1273" s="2" t="s">
        <v>41</v>
      </c>
      <c r="AC1273" s="2" t="s">
        <v>29</v>
      </c>
      <c r="AD1273" s="2" t="s">
        <v>89</v>
      </c>
      <c r="AE1273" s="2" t="str">
        <f t="shared" si="266"/>
        <v>Valid</v>
      </c>
      <c r="AF1273" s="2" t="s">
        <v>3600</v>
      </c>
    </row>
    <row r="1274" spans="1:32" x14ac:dyDescent="0.3">
      <c r="A1274" s="2" t="s">
        <v>3601</v>
      </c>
      <c r="B1274" s="2">
        <f t="shared" si="256"/>
        <v>1</v>
      </c>
      <c r="C1274" s="12">
        <f t="shared" si="268"/>
        <v>46238.588636006942</v>
      </c>
      <c r="D1274" s="13">
        <v>46238.588636006942</v>
      </c>
      <c r="E1274" s="2" t="s">
        <v>494</v>
      </c>
      <c r="F1274" s="2" t="str">
        <f t="shared" si="257"/>
        <v>Email Available</v>
      </c>
      <c r="G1274" s="2" t="s">
        <v>495</v>
      </c>
      <c r="H1274" s="2" t="s">
        <v>124</v>
      </c>
      <c r="I1274" s="2" t="s">
        <v>79</v>
      </c>
      <c r="J1274" s="2" t="s">
        <v>125</v>
      </c>
      <c r="K1274" s="2">
        <v>2</v>
      </c>
      <c r="L1274" s="2">
        <v>13.99</v>
      </c>
      <c r="M1274" s="19">
        <f t="shared" si="258"/>
        <v>13.99</v>
      </c>
      <c r="N1274" s="2"/>
      <c r="O1274" s="2" t="str">
        <f t="shared" si="259"/>
        <v/>
      </c>
      <c r="P1274" s="2">
        <v>0</v>
      </c>
      <c r="Q1274" s="19">
        <f t="shared" si="260"/>
        <v>0</v>
      </c>
      <c r="R1274" s="2" t="str">
        <f t="shared" si="261"/>
        <v>Number</v>
      </c>
      <c r="S1274" s="2">
        <v>7.99</v>
      </c>
      <c r="T1274" s="19">
        <f t="shared" si="262"/>
        <v>7.99</v>
      </c>
      <c r="U1274" s="2">
        <v>35.97</v>
      </c>
      <c r="V1274" s="19">
        <f t="shared" si="263"/>
        <v>35.97</v>
      </c>
      <c r="W1274" s="19">
        <f t="shared" si="264"/>
        <v>35.97</v>
      </c>
      <c r="X1274" s="19" t="str">
        <f t="shared" si="265"/>
        <v>True</v>
      </c>
      <c r="Y1274" s="19" t="str">
        <f>IF(OR(W1274&lt;'Cleaning Tasks'!$G$18,W1274&gt;'Cleaning Tasks'!$H$18),"Outlier","Normal")</f>
        <v>Normal</v>
      </c>
      <c r="Z1274" s="2" t="s">
        <v>72</v>
      </c>
      <c r="AA1274" s="2" t="s">
        <v>111</v>
      </c>
      <c r="AB1274" s="2" t="s">
        <v>50</v>
      </c>
      <c r="AC1274" s="2" t="s">
        <v>105</v>
      </c>
      <c r="AD1274" s="2"/>
      <c r="AE1274" s="2" t="str">
        <f t="shared" si="266"/>
        <v>Not Required</v>
      </c>
      <c r="AF1274" s="2" t="s">
        <v>3602</v>
      </c>
    </row>
    <row r="1275" spans="1:32" x14ac:dyDescent="0.3">
      <c r="A1275" s="2" t="s">
        <v>3603</v>
      </c>
      <c r="B1275" s="2">
        <f t="shared" si="256"/>
        <v>1</v>
      </c>
      <c r="C1275" s="12">
        <f t="shared" si="268"/>
        <v>46238.580737048607</v>
      </c>
      <c r="D1275" s="13">
        <v>46238.580737048607</v>
      </c>
      <c r="E1275" s="2" t="s">
        <v>1041</v>
      </c>
      <c r="F1275" s="2" t="str">
        <f t="shared" si="257"/>
        <v>Email Available</v>
      </c>
      <c r="G1275" s="2" t="s">
        <v>1042</v>
      </c>
      <c r="H1275" s="2" t="s">
        <v>117</v>
      </c>
      <c r="I1275" s="2" t="s">
        <v>22</v>
      </c>
      <c r="J1275" s="2" t="s">
        <v>23</v>
      </c>
      <c r="K1275" s="2">
        <v>1</v>
      </c>
      <c r="L1275" s="2" t="s">
        <v>1148</v>
      </c>
      <c r="M1275" s="19">
        <f t="shared" si="258"/>
        <v>12.99</v>
      </c>
      <c r="N1275" s="2"/>
      <c r="O1275" s="2" t="str">
        <f t="shared" si="259"/>
        <v/>
      </c>
      <c r="P1275" s="2">
        <v>0</v>
      </c>
      <c r="Q1275" s="19">
        <f t="shared" si="260"/>
        <v>0</v>
      </c>
      <c r="R1275" s="2" t="str">
        <f t="shared" si="261"/>
        <v>Number</v>
      </c>
      <c r="S1275" s="2">
        <v>4.99</v>
      </c>
      <c r="T1275" s="19">
        <f t="shared" si="262"/>
        <v>4.99</v>
      </c>
      <c r="U1275" s="2">
        <v>899</v>
      </c>
      <c r="V1275" s="19">
        <f t="shared" si="263"/>
        <v>899</v>
      </c>
      <c r="W1275" s="19">
        <f t="shared" si="264"/>
        <v>17.98</v>
      </c>
      <c r="X1275" s="19" t="str">
        <f t="shared" si="265"/>
        <v>False</v>
      </c>
      <c r="Y1275" s="19" t="str">
        <f>IF(OR(W1275&lt;'Cleaning Tasks'!$G$18,W1275&gt;'Cleaning Tasks'!$H$18),"Outlier","Normal")</f>
        <v>Normal</v>
      </c>
      <c r="Z1275" s="2" t="s">
        <v>26</v>
      </c>
      <c r="AA1275" s="2" t="s">
        <v>27</v>
      </c>
      <c r="AB1275" s="2" t="s">
        <v>41</v>
      </c>
      <c r="AC1275" s="2" t="s">
        <v>29</v>
      </c>
      <c r="AD1275" s="2" t="s">
        <v>89</v>
      </c>
      <c r="AE1275" s="2" t="str">
        <f t="shared" si="266"/>
        <v>Valid</v>
      </c>
      <c r="AF1275" s="2" t="s">
        <v>2017</v>
      </c>
    </row>
    <row r="1276" spans="1:32" x14ac:dyDescent="0.3">
      <c r="A1276" s="2" t="s">
        <v>3604</v>
      </c>
      <c r="B1276" s="2">
        <f t="shared" si="256"/>
        <v>1</v>
      </c>
      <c r="C1276" s="12">
        <f t="shared" si="268"/>
        <v>46238.584813703703</v>
      </c>
      <c r="D1276" s="13">
        <v>46238.584813703703</v>
      </c>
      <c r="E1276" s="2" t="s">
        <v>3404</v>
      </c>
      <c r="F1276" s="2" t="str">
        <f t="shared" si="257"/>
        <v>Email Available</v>
      </c>
      <c r="G1276" s="2" t="s">
        <v>3405</v>
      </c>
      <c r="H1276" s="2" t="s">
        <v>279</v>
      </c>
      <c r="I1276" s="2" t="s">
        <v>22</v>
      </c>
      <c r="J1276" s="2" t="s">
        <v>280</v>
      </c>
      <c r="K1276" s="2">
        <v>2</v>
      </c>
      <c r="L1276" s="2">
        <v>24.99</v>
      </c>
      <c r="M1276" s="19">
        <f t="shared" si="258"/>
        <v>24.99</v>
      </c>
      <c r="N1276" s="2" t="s">
        <v>38</v>
      </c>
      <c r="O1276" s="2" t="str">
        <f t="shared" si="259"/>
        <v>FREESHIP</v>
      </c>
      <c r="P1276" s="2" t="s">
        <v>184</v>
      </c>
      <c r="Q1276" s="19">
        <f t="shared" si="260"/>
        <v>0</v>
      </c>
      <c r="R1276" s="2" t="str">
        <f t="shared" si="261"/>
        <v>Number</v>
      </c>
      <c r="S1276" s="2">
        <v>0</v>
      </c>
      <c r="T1276" s="19">
        <f t="shared" si="262"/>
        <v>0</v>
      </c>
      <c r="U1276" s="2">
        <v>49.98</v>
      </c>
      <c r="V1276" s="19">
        <f t="shared" si="263"/>
        <v>49.98</v>
      </c>
      <c r="W1276" s="19">
        <f t="shared" si="264"/>
        <v>49.98</v>
      </c>
      <c r="X1276" s="19" t="str">
        <f t="shared" si="265"/>
        <v>True</v>
      </c>
      <c r="Y1276" s="19" t="str">
        <f>IF(OR(W1276&lt;'Cleaning Tasks'!$G$18,W1276&gt;'Cleaning Tasks'!$H$18),"Outlier","Normal")</f>
        <v>Normal</v>
      </c>
      <c r="Z1276" s="2" t="s">
        <v>66</v>
      </c>
      <c r="AA1276" s="2" t="s">
        <v>88</v>
      </c>
      <c r="AB1276" s="2" t="s">
        <v>41</v>
      </c>
      <c r="AC1276" s="2" t="s">
        <v>223</v>
      </c>
      <c r="AD1276" s="2"/>
      <c r="AE1276" s="2" t="str">
        <f t="shared" si="266"/>
        <v>Not Required</v>
      </c>
      <c r="AF1276" s="2" t="s">
        <v>3605</v>
      </c>
    </row>
    <row r="1277" spans="1:32" x14ac:dyDescent="0.3">
      <c r="A1277" s="2" t="s">
        <v>3606</v>
      </c>
      <c r="B1277" s="2">
        <f t="shared" si="256"/>
        <v>1</v>
      </c>
      <c r="C1277" s="12">
        <f>DATE(VALUE(RIGHT(D1277,4)),MATCH(LEFT(D1277,3),{"Jan","Feb","Mar","Apr","May","Jun","Jul","Aug","Sep","Oct","Nov","Dec"},0),VALUE(MID(D1277,5,2)))</f>
        <v>46238</v>
      </c>
      <c r="D1277" s="13" t="s">
        <v>171</v>
      </c>
      <c r="E1277" s="2" t="s">
        <v>516</v>
      </c>
      <c r="F1277" s="2" t="str">
        <f t="shared" si="257"/>
        <v>Email Available</v>
      </c>
      <c r="G1277" s="2" t="s">
        <v>517</v>
      </c>
      <c r="H1277" s="2" t="s">
        <v>35</v>
      </c>
      <c r="I1277" s="2" t="s">
        <v>36</v>
      </c>
      <c r="J1277" s="2" t="s">
        <v>37</v>
      </c>
      <c r="K1277" s="2">
        <v>1</v>
      </c>
      <c r="L1277" s="2">
        <v>21.99</v>
      </c>
      <c r="M1277" s="19">
        <f t="shared" si="258"/>
        <v>21.99</v>
      </c>
      <c r="N1277" s="2" t="s">
        <v>118</v>
      </c>
      <c r="O1277" s="2" t="str">
        <f t="shared" si="259"/>
        <v>BFCM25</v>
      </c>
      <c r="P1277" s="2">
        <v>5.5</v>
      </c>
      <c r="Q1277" s="19">
        <f t="shared" si="260"/>
        <v>5.5</v>
      </c>
      <c r="R1277" s="2" t="str">
        <f t="shared" si="261"/>
        <v>Number</v>
      </c>
      <c r="S1277" s="2">
        <v>5.99</v>
      </c>
      <c r="T1277" s="19">
        <f t="shared" si="262"/>
        <v>5.99</v>
      </c>
      <c r="U1277" s="2">
        <v>22.48</v>
      </c>
      <c r="V1277" s="19">
        <f t="shared" si="263"/>
        <v>22.48</v>
      </c>
      <c r="W1277" s="19">
        <f t="shared" si="264"/>
        <v>22.479999999999997</v>
      </c>
      <c r="X1277" s="19" t="str">
        <f t="shared" si="265"/>
        <v>True</v>
      </c>
      <c r="Y1277" s="19" t="str">
        <f>IF(OR(W1277&lt;'Cleaning Tasks'!$G$18,W1277&gt;'Cleaning Tasks'!$H$18),"Outlier","Normal")</f>
        <v>Normal</v>
      </c>
      <c r="Z1277" s="2" t="s">
        <v>66</v>
      </c>
      <c r="AA1277" s="2" t="s">
        <v>27</v>
      </c>
      <c r="AB1277" s="2" t="s">
        <v>41</v>
      </c>
      <c r="AC1277" s="2" t="s">
        <v>29</v>
      </c>
      <c r="AD1277" s="2" t="s">
        <v>447</v>
      </c>
      <c r="AE1277" s="2" t="str">
        <f t="shared" si="266"/>
        <v>Valid</v>
      </c>
      <c r="AF1277" s="2" t="s">
        <v>3607</v>
      </c>
    </row>
    <row r="1278" spans="1:32" x14ac:dyDescent="0.3">
      <c r="A1278" s="2" t="s">
        <v>3608</v>
      </c>
      <c r="B1278" s="2">
        <f t="shared" si="256"/>
        <v>1</v>
      </c>
      <c r="C1278" s="12">
        <f t="shared" ref="C1278:C1296" si="269">IF(ISNUMBER(D1278),D1278,DATEVALUE(SUBSTITUTE(TRIM(D1278),CHAR(160)," ")))</f>
        <v>46238.579349131942</v>
      </c>
      <c r="D1278" s="13">
        <v>46238.579349131942</v>
      </c>
      <c r="E1278" s="2" t="s">
        <v>566</v>
      </c>
      <c r="F1278" s="2" t="str">
        <f t="shared" si="257"/>
        <v>Email Available</v>
      </c>
      <c r="G1278" s="2" t="s">
        <v>567</v>
      </c>
      <c r="H1278" s="2" t="s">
        <v>63</v>
      </c>
      <c r="I1278" s="2" t="s">
        <v>47</v>
      </c>
      <c r="J1278" s="2" t="s">
        <v>64</v>
      </c>
      <c r="K1278" s="2">
        <v>1</v>
      </c>
      <c r="L1278" s="2">
        <v>14.99</v>
      </c>
      <c r="M1278" s="19">
        <f t="shared" si="258"/>
        <v>14.99</v>
      </c>
      <c r="N1278" s="2" t="s">
        <v>228</v>
      </c>
      <c r="O1278" s="2" t="str">
        <f t="shared" si="259"/>
        <v>VIP15</v>
      </c>
      <c r="P1278" s="2" t="s">
        <v>2287</v>
      </c>
      <c r="Q1278" s="19">
        <f t="shared" si="260"/>
        <v>2.25</v>
      </c>
      <c r="R1278" s="2" t="str">
        <f t="shared" si="261"/>
        <v>Number</v>
      </c>
      <c r="S1278" s="2">
        <v>4.99</v>
      </c>
      <c r="T1278" s="19">
        <f t="shared" si="262"/>
        <v>4.99</v>
      </c>
      <c r="U1278" s="2">
        <v>17.73</v>
      </c>
      <c r="V1278" s="19">
        <f t="shared" si="263"/>
        <v>17.73</v>
      </c>
      <c r="W1278" s="19">
        <f t="shared" si="264"/>
        <v>17.73</v>
      </c>
      <c r="X1278" s="19" t="str">
        <f t="shared" si="265"/>
        <v>True</v>
      </c>
      <c r="Y1278" s="19" t="str">
        <f>IF(OR(W1278&lt;'Cleaning Tasks'!$G$18,W1278&gt;'Cleaning Tasks'!$H$18),"Outlier","Normal")</f>
        <v>Normal</v>
      </c>
      <c r="Z1278" s="2" t="s">
        <v>26</v>
      </c>
      <c r="AA1278" s="2" t="s">
        <v>27</v>
      </c>
      <c r="AB1278" s="2" t="s">
        <v>50</v>
      </c>
      <c r="AC1278" s="2" t="s">
        <v>105</v>
      </c>
      <c r="AD1278" s="2"/>
      <c r="AE1278" s="2" t="str">
        <f t="shared" si="266"/>
        <v>Not Required</v>
      </c>
      <c r="AF1278" s="2" t="s">
        <v>3609</v>
      </c>
    </row>
    <row r="1279" spans="1:32" x14ac:dyDescent="0.3">
      <c r="A1279" s="2" t="s">
        <v>3610</v>
      </c>
      <c r="B1279" s="2">
        <f t="shared" si="256"/>
        <v>1</v>
      </c>
      <c r="C1279" s="12">
        <f t="shared" si="269"/>
        <v>46238.582115671299</v>
      </c>
      <c r="D1279" s="13">
        <v>46238.582115671299</v>
      </c>
      <c r="E1279" s="2" t="s">
        <v>1203</v>
      </c>
      <c r="F1279" s="2" t="str">
        <f t="shared" si="257"/>
        <v>Email Available</v>
      </c>
      <c r="G1279" s="2" t="s">
        <v>1204</v>
      </c>
      <c r="H1279" s="2" t="s">
        <v>78</v>
      </c>
      <c r="I1279" s="2" t="s">
        <v>79</v>
      </c>
      <c r="J1279" s="2" t="s">
        <v>80</v>
      </c>
      <c r="K1279" s="2">
        <v>1</v>
      </c>
      <c r="L1279" s="2" t="s">
        <v>571</v>
      </c>
      <c r="M1279" s="19">
        <f t="shared" si="258"/>
        <v>89.99</v>
      </c>
      <c r="N1279" s="2"/>
      <c r="O1279" s="2" t="str">
        <f t="shared" si="259"/>
        <v/>
      </c>
      <c r="P1279" s="2">
        <v>0</v>
      </c>
      <c r="Q1279" s="19">
        <f t="shared" si="260"/>
        <v>0</v>
      </c>
      <c r="R1279" s="2" t="str">
        <f t="shared" si="261"/>
        <v>Number</v>
      </c>
      <c r="S1279" s="2">
        <v>0</v>
      </c>
      <c r="T1279" s="19">
        <f t="shared" si="262"/>
        <v>0</v>
      </c>
      <c r="U1279" s="2">
        <v>89.99</v>
      </c>
      <c r="V1279" s="19">
        <f t="shared" si="263"/>
        <v>89.99</v>
      </c>
      <c r="W1279" s="19">
        <f t="shared" si="264"/>
        <v>89.99</v>
      </c>
      <c r="X1279" s="19" t="str">
        <f t="shared" si="265"/>
        <v>True</v>
      </c>
      <c r="Y1279" s="19" t="str">
        <f>IF(OR(W1279&lt;'Cleaning Tasks'!$G$18,W1279&gt;'Cleaning Tasks'!$H$18),"Outlier","Normal")</f>
        <v>Outlier</v>
      </c>
      <c r="Z1279" s="2" t="s">
        <v>26</v>
      </c>
      <c r="AA1279" s="2" t="s">
        <v>111</v>
      </c>
      <c r="AB1279" s="2" t="s">
        <v>50</v>
      </c>
      <c r="AC1279" s="2" t="s">
        <v>73</v>
      </c>
      <c r="AD1279" s="2"/>
      <c r="AE1279" s="2" t="str">
        <f t="shared" si="266"/>
        <v>Not Required</v>
      </c>
      <c r="AF1279" s="2" t="s">
        <v>3611</v>
      </c>
    </row>
    <row r="1280" spans="1:32" x14ac:dyDescent="0.3">
      <c r="A1280" s="2" t="s">
        <v>3612</v>
      </c>
      <c r="B1280" s="2">
        <f t="shared" si="256"/>
        <v>1</v>
      </c>
      <c r="C1280" s="12">
        <f t="shared" si="269"/>
        <v>46238.587874432873</v>
      </c>
      <c r="D1280" s="13">
        <v>46238.587874432873</v>
      </c>
      <c r="E1280" s="2" t="s">
        <v>643</v>
      </c>
      <c r="F1280" s="2" t="str">
        <f t="shared" si="257"/>
        <v>Email Available</v>
      </c>
      <c r="G1280" s="2" t="s">
        <v>644</v>
      </c>
      <c r="H1280" s="2" t="s">
        <v>63</v>
      </c>
      <c r="I1280" s="2" t="s">
        <v>47</v>
      </c>
      <c r="J1280" s="2" t="s">
        <v>64</v>
      </c>
      <c r="K1280" s="2">
        <v>1</v>
      </c>
      <c r="L1280" s="2">
        <v>14.99</v>
      </c>
      <c r="M1280" s="19">
        <f t="shared" si="258"/>
        <v>14.99</v>
      </c>
      <c r="N1280" s="2"/>
      <c r="O1280" s="2" t="str">
        <f t="shared" si="259"/>
        <v/>
      </c>
      <c r="P1280" s="2">
        <v>0</v>
      </c>
      <c r="Q1280" s="19">
        <f t="shared" si="260"/>
        <v>0</v>
      </c>
      <c r="R1280" s="2" t="str">
        <f t="shared" si="261"/>
        <v>Number</v>
      </c>
      <c r="S1280" s="2">
        <v>7.99</v>
      </c>
      <c r="T1280" s="19">
        <f t="shared" si="262"/>
        <v>7.99</v>
      </c>
      <c r="U1280" s="2">
        <v>22.98</v>
      </c>
      <c r="V1280" s="19">
        <f t="shared" si="263"/>
        <v>22.98</v>
      </c>
      <c r="W1280" s="19">
        <f t="shared" si="264"/>
        <v>22.98</v>
      </c>
      <c r="X1280" s="19" t="str">
        <f t="shared" si="265"/>
        <v>True</v>
      </c>
      <c r="Y1280" s="19" t="str">
        <f>IF(OR(W1280&lt;'Cleaning Tasks'!$G$18,W1280&gt;'Cleaning Tasks'!$H$18),"Outlier","Normal")</f>
        <v>Normal</v>
      </c>
      <c r="Z1280" s="2" t="s">
        <v>72</v>
      </c>
      <c r="AA1280" s="2" t="s">
        <v>40</v>
      </c>
      <c r="AB1280" s="2" t="s">
        <v>50</v>
      </c>
      <c r="AC1280" s="2" t="s">
        <v>29</v>
      </c>
      <c r="AD1280" s="2" t="s">
        <v>51</v>
      </c>
      <c r="AE1280" s="2" t="str">
        <f t="shared" si="266"/>
        <v>Valid</v>
      </c>
      <c r="AF1280" s="2" t="s">
        <v>3613</v>
      </c>
    </row>
    <row r="1281" spans="1:32" x14ac:dyDescent="0.3">
      <c r="A1281" s="2" t="s">
        <v>3614</v>
      </c>
      <c r="B1281" s="2">
        <f t="shared" si="256"/>
        <v>1</v>
      </c>
      <c r="C1281" s="12">
        <f t="shared" si="269"/>
        <v>46238</v>
      </c>
      <c r="D1281" s="13">
        <v>46238</v>
      </c>
      <c r="E1281" s="2" t="s">
        <v>2272</v>
      </c>
      <c r="F1281" s="2" t="str">
        <f t="shared" si="257"/>
        <v>Email Available</v>
      </c>
      <c r="G1281" s="2" t="s">
        <v>2273</v>
      </c>
      <c r="H1281" s="2" t="s">
        <v>63</v>
      </c>
      <c r="I1281" s="2" t="s">
        <v>47</v>
      </c>
      <c r="J1281" s="2" t="s">
        <v>446</v>
      </c>
      <c r="K1281" s="2">
        <v>1</v>
      </c>
      <c r="L1281" s="2">
        <v>14.99</v>
      </c>
      <c r="M1281" s="19">
        <f t="shared" si="258"/>
        <v>14.99</v>
      </c>
      <c r="N1281" s="2" t="s">
        <v>118</v>
      </c>
      <c r="O1281" s="2" t="str">
        <f t="shared" si="259"/>
        <v>BFCM25</v>
      </c>
      <c r="P1281" s="2">
        <v>3.75</v>
      </c>
      <c r="Q1281" s="19">
        <f t="shared" si="260"/>
        <v>3.75</v>
      </c>
      <c r="R1281" s="2" t="str">
        <f t="shared" si="261"/>
        <v>Number</v>
      </c>
      <c r="S1281" s="2">
        <v>5.99</v>
      </c>
      <c r="T1281" s="19">
        <f t="shared" si="262"/>
        <v>5.99</v>
      </c>
      <c r="U1281" s="2">
        <v>17.23</v>
      </c>
      <c r="V1281" s="19">
        <f t="shared" si="263"/>
        <v>17.23</v>
      </c>
      <c r="W1281" s="19">
        <f t="shared" si="264"/>
        <v>17.23</v>
      </c>
      <c r="X1281" s="19" t="str">
        <f t="shared" si="265"/>
        <v>True</v>
      </c>
      <c r="Y1281" s="19" t="str">
        <f>IF(OR(W1281&lt;'Cleaning Tasks'!$G$18,W1281&gt;'Cleaning Tasks'!$H$18),"Outlier","Normal")</f>
        <v>Normal</v>
      </c>
      <c r="Z1281" s="2" t="s">
        <v>66</v>
      </c>
      <c r="AA1281" s="2" t="s">
        <v>27</v>
      </c>
      <c r="AB1281" s="2" t="s">
        <v>50</v>
      </c>
      <c r="AC1281" s="2" t="s">
        <v>29</v>
      </c>
      <c r="AD1281" s="2" t="s">
        <v>30</v>
      </c>
      <c r="AE1281" s="2" t="str">
        <f t="shared" si="266"/>
        <v>Valid</v>
      </c>
      <c r="AF1281" s="2" t="s">
        <v>3615</v>
      </c>
    </row>
    <row r="1282" spans="1:32" x14ac:dyDescent="0.3">
      <c r="A1282" s="2" t="s">
        <v>3616</v>
      </c>
      <c r="B1282" s="2">
        <f t="shared" ref="B1282:B1345" si="270">COUNTIF($A$2:$A$1993,A1282)</f>
        <v>1</v>
      </c>
      <c r="C1282" s="12">
        <f t="shared" si="269"/>
        <v>46238</v>
      </c>
      <c r="D1282" s="13" t="s">
        <v>143</v>
      </c>
      <c r="E1282" s="2" t="s">
        <v>1199</v>
      </c>
      <c r="F1282" s="2" t="str">
        <f t="shared" ref="F1282:F1345" si="271">IF(TRIM(G1282)="","Missing Email","Email Available")</f>
        <v>Email Available</v>
      </c>
      <c r="G1282" s="2" t="s">
        <v>1200</v>
      </c>
      <c r="H1282" s="2" t="s">
        <v>261</v>
      </c>
      <c r="I1282" s="2" t="s">
        <v>36</v>
      </c>
      <c r="J1282" s="2" t="s">
        <v>262</v>
      </c>
      <c r="K1282" s="2">
        <v>1</v>
      </c>
      <c r="L1282" s="2">
        <v>15.49</v>
      </c>
      <c r="M1282" s="19">
        <f t="shared" ref="M1282:M1345" si="272">IF(ISNUMBER(L1282),L1282,VALUE(SUBSTITUTE(L1282,"$","")))</f>
        <v>15.49</v>
      </c>
      <c r="N1282" s="2"/>
      <c r="O1282" s="2" t="str">
        <f t="shared" ref="O1282:O1345" si="273">IF(TRIM(N1282)="","",UPPER(TRIM(SUBSTITUTE(N1282,CHAR(160)," "))))</f>
        <v/>
      </c>
      <c r="P1282" s="2">
        <v>0</v>
      </c>
      <c r="Q1282" s="19">
        <f t="shared" ref="Q1282:Q1345" si="274">IF(ISNUMBER(P1282),P1282,VALUE(TRIM(SUBSTITUTE(P1282,"$",""))))</f>
        <v>0</v>
      </c>
      <c r="R1282" s="2" t="str">
        <f t="shared" ref="R1282:R1345" si="275">IF(ISNUMBER(Q1282),"Number","Text")</f>
        <v>Number</v>
      </c>
      <c r="S1282" s="2">
        <v>5.99</v>
      </c>
      <c r="T1282" s="19">
        <f t="shared" ref="T1282:T1345" si="276">IF(ISNUMBER(S1282),S1282,VALUE(TRIM(SUBSTITUTE(S1282,"$",""))))</f>
        <v>5.99</v>
      </c>
      <c r="U1282" s="2">
        <v>21.48</v>
      </c>
      <c r="V1282" s="19">
        <f t="shared" ref="V1282:V1345" si="277">IF(ISNUMBER(U1282),U1282,VALUE(TRIM(SUBSTITUTE(U1282,"$",""))))</f>
        <v>21.48</v>
      </c>
      <c r="W1282" s="19">
        <f t="shared" ref="W1282:W1345" si="278">((M1282*K1282)-Q1282)+T1282</f>
        <v>21.48</v>
      </c>
      <c r="X1282" s="19" t="str">
        <f t="shared" ref="X1282:X1345" si="279">IF(V1282=W1282,"True","False")</f>
        <v>True</v>
      </c>
      <c r="Y1282" s="19" t="str">
        <f>IF(OR(W1282&lt;'Cleaning Tasks'!$G$18,W1282&gt;'Cleaning Tasks'!$H$18),"Outlier","Normal")</f>
        <v>Normal</v>
      </c>
      <c r="Z1282" s="2" t="s">
        <v>66</v>
      </c>
      <c r="AA1282" s="2" t="s">
        <v>27</v>
      </c>
      <c r="AB1282" s="2" t="s">
        <v>50</v>
      </c>
      <c r="AC1282" s="2" t="s">
        <v>29</v>
      </c>
      <c r="AD1282" s="2" t="s">
        <v>73</v>
      </c>
      <c r="AE1282" s="2" t="str">
        <f t="shared" ref="AE1282:AE1345" si="280">IF(AND(AC1282="United States",AD1282=""),"Missing state",IF(AD1282="","Not Required","Valid"))</f>
        <v>Valid</v>
      </c>
      <c r="AF1282" s="2" t="s">
        <v>3617</v>
      </c>
    </row>
    <row r="1283" spans="1:32" x14ac:dyDescent="0.3">
      <c r="A1283" s="2" t="s">
        <v>3618</v>
      </c>
      <c r="B1283" s="2">
        <f t="shared" si="270"/>
        <v>1</v>
      </c>
      <c r="C1283" s="12">
        <f t="shared" si="269"/>
        <v>46238.579261435189</v>
      </c>
      <c r="D1283" s="13">
        <v>46238.579261435189</v>
      </c>
      <c r="E1283" s="2" t="s">
        <v>195</v>
      </c>
      <c r="F1283" s="2" t="str">
        <f t="shared" si="271"/>
        <v>Email Available</v>
      </c>
      <c r="G1283" s="2" t="s">
        <v>196</v>
      </c>
      <c r="H1283" s="2" t="s">
        <v>221</v>
      </c>
      <c r="I1283" s="2" t="s">
        <v>22</v>
      </c>
      <c r="J1283" s="2" t="s">
        <v>222</v>
      </c>
      <c r="K1283" s="2">
        <v>1</v>
      </c>
      <c r="L1283" s="2">
        <v>17.989999999999998</v>
      </c>
      <c r="M1283" s="19">
        <f t="shared" si="272"/>
        <v>17.989999999999998</v>
      </c>
      <c r="N1283" s="2" t="s">
        <v>65</v>
      </c>
      <c r="O1283" s="2" t="str">
        <f t="shared" si="273"/>
        <v>WELCOME10</v>
      </c>
      <c r="P1283" s="2" t="s">
        <v>3619</v>
      </c>
      <c r="Q1283" s="19">
        <f t="shared" si="274"/>
        <v>1.8</v>
      </c>
      <c r="R1283" s="2" t="str">
        <f t="shared" si="275"/>
        <v>Number</v>
      </c>
      <c r="S1283" s="2">
        <v>4.99</v>
      </c>
      <c r="T1283" s="19">
        <f t="shared" si="276"/>
        <v>4.99</v>
      </c>
      <c r="U1283" s="2">
        <v>21.18</v>
      </c>
      <c r="V1283" s="19">
        <f t="shared" si="277"/>
        <v>21.18</v>
      </c>
      <c r="W1283" s="19">
        <f t="shared" si="278"/>
        <v>21.18</v>
      </c>
      <c r="X1283" s="19" t="str">
        <f t="shared" si="279"/>
        <v>True</v>
      </c>
      <c r="Y1283" s="19" t="str">
        <f>IF(OR(W1283&lt;'Cleaning Tasks'!$G$18,W1283&gt;'Cleaning Tasks'!$H$18),"Outlier","Normal")</f>
        <v>Normal</v>
      </c>
      <c r="Z1283" s="2" t="s">
        <v>49</v>
      </c>
      <c r="AA1283" s="2" t="s">
        <v>111</v>
      </c>
      <c r="AB1283" s="2" t="s">
        <v>41</v>
      </c>
      <c r="AC1283" s="2" t="s">
        <v>29</v>
      </c>
      <c r="AD1283" s="2" t="s">
        <v>112</v>
      </c>
      <c r="AE1283" s="2" t="str">
        <f t="shared" si="280"/>
        <v>Valid</v>
      </c>
      <c r="AF1283" s="2" t="s">
        <v>3620</v>
      </c>
    </row>
    <row r="1284" spans="1:32" x14ac:dyDescent="0.3">
      <c r="A1284" s="2" t="s">
        <v>3621</v>
      </c>
      <c r="B1284" s="2">
        <f t="shared" si="270"/>
        <v>1</v>
      </c>
      <c r="C1284" s="12">
        <f t="shared" si="269"/>
        <v>46238.582911574071</v>
      </c>
      <c r="D1284" s="13">
        <v>46238.582911574071</v>
      </c>
      <c r="E1284" s="2" t="s">
        <v>516</v>
      </c>
      <c r="F1284" s="2" t="str">
        <f t="shared" si="271"/>
        <v>Email Available</v>
      </c>
      <c r="G1284" s="2" t="s">
        <v>517</v>
      </c>
      <c r="H1284" s="2" t="s">
        <v>117</v>
      </c>
      <c r="I1284" s="2" t="s">
        <v>22</v>
      </c>
      <c r="J1284" s="2" t="s">
        <v>23</v>
      </c>
      <c r="K1284" s="2">
        <v>4</v>
      </c>
      <c r="L1284" s="2">
        <v>12.99</v>
      </c>
      <c r="M1284" s="19">
        <f t="shared" si="272"/>
        <v>12.99</v>
      </c>
      <c r="N1284" s="2"/>
      <c r="O1284" s="2" t="str">
        <f t="shared" si="273"/>
        <v/>
      </c>
      <c r="P1284" s="2">
        <v>0</v>
      </c>
      <c r="Q1284" s="19">
        <f t="shared" si="274"/>
        <v>0</v>
      </c>
      <c r="R1284" s="2" t="str">
        <f t="shared" si="275"/>
        <v>Number</v>
      </c>
      <c r="S1284" s="2">
        <v>7.99</v>
      </c>
      <c r="T1284" s="19">
        <f t="shared" si="276"/>
        <v>7.99</v>
      </c>
      <c r="U1284" s="2" t="s">
        <v>3622</v>
      </c>
      <c r="V1284" s="19">
        <f t="shared" si="277"/>
        <v>59.95</v>
      </c>
      <c r="W1284" s="19">
        <f t="shared" si="278"/>
        <v>59.95</v>
      </c>
      <c r="X1284" s="19" t="str">
        <f t="shared" si="279"/>
        <v>True</v>
      </c>
      <c r="Y1284" s="19" t="str">
        <f>IF(OR(W1284&lt;'Cleaning Tasks'!$G$18,W1284&gt;'Cleaning Tasks'!$H$18),"Outlier","Normal")</f>
        <v>Normal</v>
      </c>
      <c r="Z1284" s="2" t="s">
        <v>72</v>
      </c>
      <c r="AA1284" s="2" t="s">
        <v>27</v>
      </c>
      <c r="AB1284" s="2" t="s">
        <v>50</v>
      </c>
      <c r="AC1284" s="2" t="s">
        <v>29</v>
      </c>
      <c r="AD1284" s="2" t="s">
        <v>447</v>
      </c>
      <c r="AE1284" s="2" t="str">
        <f t="shared" si="280"/>
        <v>Valid</v>
      </c>
      <c r="AF1284" s="2" t="s">
        <v>3623</v>
      </c>
    </row>
    <row r="1285" spans="1:32" x14ac:dyDescent="0.3">
      <c r="A1285" s="2" t="s">
        <v>3624</v>
      </c>
      <c r="B1285" s="2">
        <f t="shared" si="270"/>
        <v>1</v>
      </c>
      <c r="C1285" s="12">
        <f t="shared" si="269"/>
        <v>46238.584567951388</v>
      </c>
      <c r="D1285" s="13">
        <v>46238.584567951388</v>
      </c>
      <c r="E1285" s="2"/>
      <c r="F1285" s="2" t="str">
        <f t="shared" si="271"/>
        <v>Email Available</v>
      </c>
      <c r="G1285" s="2" t="s">
        <v>741</v>
      </c>
      <c r="H1285" s="2" t="s">
        <v>85</v>
      </c>
      <c r="I1285" s="2" t="s">
        <v>86</v>
      </c>
      <c r="J1285" s="2" t="s">
        <v>87</v>
      </c>
      <c r="K1285" s="2">
        <v>1</v>
      </c>
      <c r="L1285" s="2">
        <v>54.99</v>
      </c>
      <c r="M1285" s="19">
        <f t="shared" si="272"/>
        <v>54.99</v>
      </c>
      <c r="N1285" s="2" t="s">
        <v>118</v>
      </c>
      <c r="O1285" s="2" t="str">
        <f t="shared" si="273"/>
        <v>BFCM25</v>
      </c>
      <c r="P1285" s="2">
        <v>13.75</v>
      </c>
      <c r="Q1285" s="19">
        <f t="shared" si="274"/>
        <v>13.75</v>
      </c>
      <c r="R1285" s="2" t="str">
        <f t="shared" si="275"/>
        <v>Number</v>
      </c>
      <c r="S1285" s="2">
        <v>5.99</v>
      </c>
      <c r="T1285" s="19">
        <f t="shared" si="276"/>
        <v>5.99</v>
      </c>
      <c r="U1285" s="2">
        <v>47.23</v>
      </c>
      <c r="V1285" s="19">
        <f t="shared" si="277"/>
        <v>47.23</v>
      </c>
      <c r="W1285" s="19">
        <f t="shared" si="278"/>
        <v>47.230000000000004</v>
      </c>
      <c r="X1285" s="19" t="str">
        <f t="shared" si="279"/>
        <v>True</v>
      </c>
      <c r="Y1285" s="19" t="str">
        <f>IF(OR(W1285&lt;'Cleaning Tasks'!$G$18,W1285&gt;'Cleaning Tasks'!$H$18),"Outlier","Normal")</f>
        <v>Normal</v>
      </c>
      <c r="Z1285" s="2" t="s">
        <v>72</v>
      </c>
      <c r="AA1285" s="2" t="s">
        <v>27</v>
      </c>
      <c r="AB1285" s="2" t="s">
        <v>41</v>
      </c>
      <c r="AC1285" s="2" t="s">
        <v>105</v>
      </c>
      <c r="AD1285" s="2"/>
      <c r="AE1285" s="2" t="str">
        <f t="shared" si="280"/>
        <v>Not Required</v>
      </c>
      <c r="AF1285" s="2" t="s">
        <v>3625</v>
      </c>
    </row>
    <row r="1286" spans="1:32" x14ac:dyDescent="0.3">
      <c r="A1286" s="2" t="s">
        <v>3626</v>
      </c>
      <c r="B1286" s="2">
        <f t="shared" si="270"/>
        <v>1</v>
      </c>
      <c r="C1286" s="12">
        <f t="shared" si="269"/>
        <v>46238.587449791667</v>
      </c>
      <c r="D1286" s="13">
        <v>46238.587449791667</v>
      </c>
      <c r="E1286" s="2" t="s">
        <v>188</v>
      </c>
      <c r="F1286" s="2" t="str">
        <f t="shared" si="271"/>
        <v>Email Available</v>
      </c>
      <c r="G1286" s="2" t="s">
        <v>189</v>
      </c>
      <c r="H1286" s="2" t="s">
        <v>182</v>
      </c>
      <c r="I1286" s="2" t="s">
        <v>36</v>
      </c>
      <c r="J1286" s="2" t="s">
        <v>183</v>
      </c>
      <c r="K1286" s="2">
        <v>1</v>
      </c>
      <c r="L1286" s="2">
        <v>11.99</v>
      </c>
      <c r="M1286" s="19">
        <f t="shared" si="272"/>
        <v>11.99</v>
      </c>
      <c r="N1286" s="2" t="s">
        <v>24</v>
      </c>
      <c r="O1286" s="2" t="str">
        <f t="shared" si="273"/>
        <v>SAVE20</v>
      </c>
      <c r="P1286" s="2" t="s">
        <v>3627</v>
      </c>
      <c r="Q1286" s="19">
        <f t="shared" si="274"/>
        <v>2.4</v>
      </c>
      <c r="R1286" s="2" t="str">
        <f t="shared" si="275"/>
        <v>Number</v>
      </c>
      <c r="S1286" s="2">
        <v>7.99</v>
      </c>
      <c r="T1286" s="19">
        <f t="shared" si="276"/>
        <v>7.99</v>
      </c>
      <c r="U1286" s="2">
        <v>17.579999999999998</v>
      </c>
      <c r="V1286" s="19">
        <f t="shared" si="277"/>
        <v>17.579999999999998</v>
      </c>
      <c r="W1286" s="19">
        <f t="shared" si="278"/>
        <v>17.579999999999998</v>
      </c>
      <c r="X1286" s="19" t="str">
        <f t="shared" si="279"/>
        <v>True</v>
      </c>
      <c r="Y1286" s="19" t="str">
        <f>IF(OR(W1286&lt;'Cleaning Tasks'!$G$18,W1286&gt;'Cleaning Tasks'!$H$18),"Outlier","Normal")</f>
        <v>Normal</v>
      </c>
      <c r="Z1286" s="2" t="s">
        <v>66</v>
      </c>
      <c r="AA1286" s="2" t="s">
        <v>27</v>
      </c>
      <c r="AB1286" s="2" t="s">
        <v>50</v>
      </c>
      <c r="AC1286" s="2" t="s">
        <v>29</v>
      </c>
      <c r="AD1286" s="2" t="s">
        <v>58</v>
      </c>
      <c r="AE1286" s="2" t="str">
        <f t="shared" si="280"/>
        <v>Valid</v>
      </c>
      <c r="AF1286" s="2" t="s">
        <v>3628</v>
      </c>
    </row>
    <row r="1287" spans="1:32" x14ac:dyDescent="0.3">
      <c r="A1287" s="2" t="s">
        <v>3629</v>
      </c>
      <c r="B1287" s="2">
        <f t="shared" si="270"/>
        <v>1</v>
      </c>
      <c r="C1287" s="12">
        <f t="shared" si="269"/>
        <v>46238</v>
      </c>
      <c r="D1287" s="13" t="s">
        <v>2750</v>
      </c>
      <c r="E1287" s="2" t="s">
        <v>449</v>
      </c>
      <c r="F1287" s="2" t="str">
        <f t="shared" si="271"/>
        <v>Missing Email</v>
      </c>
      <c r="G1287" s="2"/>
      <c r="H1287" s="2" t="s">
        <v>361</v>
      </c>
      <c r="I1287" s="2" t="s">
        <v>86</v>
      </c>
      <c r="J1287" s="2" t="s">
        <v>362</v>
      </c>
      <c r="K1287" s="2">
        <v>1</v>
      </c>
      <c r="L1287" s="2">
        <v>54.99</v>
      </c>
      <c r="M1287" s="19">
        <f t="shared" si="272"/>
        <v>54.99</v>
      </c>
      <c r="N1287" s="2" t="s">
        <v>24</v>
      </c>
      <c r="O1287" s="2" t="str">
        <f t="shared" si="273"/>
        <v>SAVE20</v>
      </c>
      <c r="P1287" s="2">
        <v>11</v>
      </c>
      <c r="Q1287" s="19">
        <f t="shared" si="274"/>
        <v>11</v>
      </c>
      <c r="R1287" s="2" t="str">
        <f t="shared" si="275"/>
        <v>Number</v>
      </c>
      <c r="S1287" s="2">
        <v>4.99</v>
      </c>
      <c r="T1287" s="19">
        <f t="shared" si="276"/>
        <v>4.99</v>
      </c>
      <c r="U1287" s="2">
        <v>48.98</v>
      </c>
      <c r="V1287" s="19">
        <f t="shared" si="277"/>
        <v>48.98</v>
      </c>
      <c r="W1287" s="19">
        <f t="shared" si="278"/>
        <v>48.980000000000004</v>
      </c>
      <c r="X1287" s="19" t="str">
        <f t="shared" si="279"/>
        <v>True</v>
      </c>
      <c r="Y1287" s="19" t="str">
        <f>IF(OR(W1287&lt;'Cleaning Tasks'!$G$18,W1287&gt;'Cleaning Tasks'!$H$18),"Outlier","Normal")</f>
        <v>Normal</v>
      </c>
      <c r="Z1287" s="2" t="s">
        <v>49</v>
      </c>
      <c r="AA1287" s="2" t="s">
        <v>111</v>
      </c>
      <c r="AB1287" s="2" t="s">
        <v>50</v>
      </c>
      <c r="AC1287" s="2" t="s">
        <v>29</v>
      </c>
      <c r="AD1287" s="2" t="s">
        <v>140</v>
      </c>
      <c r="AE1287" s="2" t="str">
        <f t="shared" si="280"/>
        <v>Valid</v>
      </c>
      <c r="AF1287" s="2" t="s">
        <v>3630</v>
      </c>
    </row>
    <row r="1288" spans="1:32" x14ac:dyDescent="0.3">
      <c r="A1288" s="2" t="s">
        <v>3631</v>
      </c>
      <c r="B1288" s="2">
        <f t="shared" si="270"/>
        <v>1</v>
      </c>
      <c r="C1288" s="12">
        <f t="shared" si="269"/>
        <v>46238.584094027778</v>
      </c>
      <c r="D1288" s="13">
        <v>46238.584094027778</v>
      </c>
      <c r="E1288" s="2" t="s">
        <v>1194</v>
      </c>
      <c r="F1288" s="2" t="str">
        <f t="shared" si="271"/>
        <v>Email Available</v>
      </c>
      <c r="G1288" s="2" t="s">
        <v>1195</v>
      </c>
      <c r="H1288" s="2" t="s">
        <v>35</v>
      </c>
      <c r="I1288" s="2" t="s">
        <v>36</v>
      </c>
      <c r="J1288" s="2" t="s">
        <v>37</v>
      </c>
      <c r="K1288" s="2">
        <v>1</v>
      </c>
      <c r="L1288" s="2">
        <v>21.99</v>
      </c>
      <c r="M1288" s="19">
        <f t="shared" si="272"/>
        <v>21.99</v>
      </c>
      <c r="N1288" s="2"/>
      <c r="O1288" s="2" t="str">
        <f t="shared" si="273"/>
        <v/>
      </c>
      <c r="P1288" s="2">
        <v>0</v>
      </c>
      <c r="Q1288" s="19">
        <f t="shared" si="274"/>
        <v>0</v>
      </c>
      <c r="R1288" s="2" t="str">
        <f t="shared" si="275"/>
        <v>Number</v>
      </c>
      <c r="S1288" s="2">
        <v>5.99</v>
      </c>
      <c r="T1288" s="19">
        <f t="shared" si="276"/>
        <v>5.99</v>
      </c>
      <c r="U1288" s="2">
        <v>27.98</v>
      </c>
      <c r="V1288" s="19">
        <f t="shared" si="277"/>
        <v>27.98</v>
      </c>
      <c r="W1288" s="19">
        <f t="shared" si="278"/>
        <v>27.979999999999997</v>
      </c>
      <c r="X1288" s="19" t="str">
        <f t="shared" si="279"/>
        <v>True</v>
      </c>
      <c r="Y1288" s="19" t="str">
        <f>IF(OR(W1288&lt;'Cleaning Tasks'!$G$18,W1288&gt;'Cleaning Tasks'!$H$18),"Outlier","Normal")</f>
        <v>Normal</v>
      </c>
      <c r="Z1288" s="2" t="s">
        <v>66</v>
      </c>
      <c r="AA1288" s="2" t="s">
        <v>27</v>
      </c>
      <c r="AB1288" s="2" t="s">
        <v>41</v>
      </c>
      <c r="AC1288" s="2" t="s">
        <v>105</v>
      </c>
      <c r="AD1288" s="2"/>
      <c r="AE1288" s="2" t="str">
        <f t="shared" si="280"/>
        <v>Not Required</v>
      </c>
      <c r="AF1288" s="2" t="s">
        <v>3632</v>
      </c>
    </row>
    <row r="1289" spans="1:32" x14ac:dyDescent="0.3">
      <c r="A1289" s="2" t="s">
        <v>3633</v>
      </c>
      <c r="B1289" s="2">
        <f t="shared" si="270"/>
        <v>1</v>
      </c>
      <c r="C1289" s="12">
        <f t="shared" si="269"/>
        <v>46238.585318159719</v>
      </c>
      <c r="D1289" s="13">
        <v>46238.585318159719</v>
      </c>
      <c r="E1289" s="2" t="s">
        <v>499</v>
      </c>
      <c r="F1289" s="2" t="str">
        <f t="shared" si="271"/>
        <v>Email Available</v>
      </c>
      <c r="G1289" s="2" t="s">
        <v>500</v>
      </c>
      <c r="H1289" s="2" t="s">
        <v>166</v>
      </c>
      <c r="I1289" s="2" t="s">
        <v>103</v>
      </c>
      <c r="J1289" s="2" t="s">
        <v>167</v>
      </c>
      <c r="K1289" s="2">
        <v>2</v>
      </c>
      <c r="L1289" s="2">
        <v>32.99</v>
      </c>
      <c r="M1289" s="19">
        <f t="shared" si="272"/>
        <v>32.99</v>
      </c>
      <c r="N1289" s="2" t="s">
        <v>203</v>
      </c>
      <c r="O1289" s="2" t="str">
        <f t="shared" si="273"/>
        <v>VIP15</v>
      </c>
      <c r="P1289" s="2">
        <v>9.9</v>
      </c>
      <c r="Q1289" s="19">
        <f t="shared" si="274"/>
        <v>9.9</v>
      </c>
      <c r="R1289" s="2" t="str">
        <f t="shared" si="275"/>
        <v>Number</v>
      </c>
      <c r="S1289" s="2">
        <v>7.99</v>
      </c>
      <c r="T1289" s="19">
        <f t="shared" si="276"/>
        <v>7.99</v>
      </c>
      <c r="U1289" s="2">
        <v>64.069999999999993</v>
      </c>
      <c r="V1289" s="19">
        <f t="shared" si="277"/>
        <v>64.069999999999993</v>
      </c>
      <c r="W1289" s="19">
        <f t="shared" si="278"/>
        <v>64.070000000000007</v>
      </c>
      <c r="X1289" s="19" t="str">
        <f t="shared" si="279"/>
        <v>True</v>
      </c>
      <c r="Y1289" s="19" t="str">
        <f>IF(OR(W1289&lt;'Cleaning Tasks'!$G$18,W1289&gt;'Cleaning Tasks'!$H$18),"Outlier","Normal")</f>
        <v>Normal</v>
      </c>
      <c r="Z1289" s="2" t="s">
        <v>66</v>
      </c>
      <c r="AA1289" s="2" t="s">
        <v>27</v>
      </c>
      <c r="AB1289" s="2" t="s">
        <v>96</v>
      </c>
      <c r="AC1289" s="2" t="s">
        <v>29</v>
      </c>
      <c r="AD1289" s="2" t="s">
        <v>112</v>
      </c>
      <c r="AE1289" s="2" t="str">
        <f t="shared" si="280"/>
        <v>Valid</v>
      </c>
      <c r="AF1289" s="2" t="s">
        <v>3634</v>
      </c>
    </row>
    <row r="1290" spans="1:32" x14ac:dyDescent="0.3">
      <c r="A1290" s="2" t="s">
        <v>3635</v>
      </c>
      <c r="B1290" s="2">
        <f t="shared" si="270"/>
        <v>1</v>
      </c>
      <c r="C1290" s="12">
        <f t="shared" si="269"/>
        <v>46238.582764293977</v>
      </c>
      <c r="D1290" s="13">
        <v>46238.582764293977</v>
      </c>
      <c r="E1290" s="2" t="s">
        <v>1625</v>
      </c>
      <c r="F1290" s="2" t="str">
        <f t="shared" si="271"/>
        <v>Email Available</v>
      </c>
      <c r="G1290" s="2" t="s">
        <v>1533</v>
      </c>
      <c r="H1290" s="2" t="s">
        <v>309</v>
      </c>
      <c r="I1290" s="2" t="s">
        <v>36</v>
      </c>
      <c r="J1290" s="2" t="s">
        <v>310</v>
      </c>
      <c r="K1290" s="2">
        <v>1</v>
      </c>
      <c r="L1290" s="2">
        <v>8.99</v>
      </c>
      <c r="M1290" s="19">
        <f t="shared" si="272"/>
        <v>8.99</v>
      </c>
      <c r="N1290" s="2"/>
      <c r="O1290" s="2" t="str">
        <f t="shared" si="273"/>
        <v/>
      </c>
      <c r="P1290" s="2">
        <v>0</v>
      </c>
      <c r="Q1290" s="19">
        <f t="shared" si="274"/>
        <v>0</v>
      </c>
      <c r="R1290" s="2" t="str">
        <f t="shared" si="275"/>
        <v>Number</v>
      </c>
      <c r="S1290" s="2">
        <v>7.99</v>
      </c>
      <c r="T1290" s="19">
        <f t="shared" si="276"/>
        <v>7.99</v>
      </c>
      <c r="U1290" s="2">
        <v>16.98</v>
      </c>
      <c r="V1290" s="19">
        <f t="shared" si="277"/>
        <v>16.98</v>
      </c>
      <c r="W1290" s="19">
        <f t="shared" si="278"/>
        <v>16.98</v>
      </c>
      <c r="X1290" s="19" t="str">
        <f t="shared" si="279"/>
        <v>True</v>
      </c>
      <c r="Y1290" s="19" t="str">
        <f>IF(OR(W1290&lt;'Cleaning Tasks'!$G$18,W1290&gt;'Cleaning Tasks'!$H$18),"Outlier","Normal")</f>
        <v>Normal</v>
      </c>
      <c r="Z1290" s="2" t="s">
        <v>26</v>
      </c>
      <c r="AA1290" s="2" t="s">
        <v>88</v>
      </c>
      <c r="AB1290" s="2" t="s">
        <v>96</v>
      </c>
      <c r="AC1290" s="2" t="s">
        <v>73</v>
      </c>
      <c r="AD1290" s="2"/>
      <c r="AE1290" s="2" t="str">
        <f t="shared" si="280"/>
        <v>Not Required</v>
      </c>
      <c r="AF1290" s="2" t="s">
        <v>3636</v>
      </c>
    </row>
    <row r="1291" spans="1:32" x14ac:dyDescent="0.3">
      <c r="A1291" s="2" t="s">
        <v>3637</v>
      </c>
      <c r="B1291" s="2">
        <f t="shared" si="270"/>
        <v>1</v>
      </c>
      <c r="C1291" s="12">
        <f t="shared" si="269"/>
        <v>46238.579090902778</v>
      </c>
      <c r="D1291" s="13">
        <v>46238.579090902778</v>
      </c>
      <c r="E1291" s="2" t="s">
        <v>557</v>
      </c>
      <c r="F1291" s="2" t="str">
        <f t="shared" si="271"/>
        <v>Email Available</v>
      </c>
      <c r="G1291" s="2" t="s">
        <v>558</v>
      </c>
      <c r="H1291" s="2" t="s">
        <v>78</v>
      </c>
      <c r="I1291" s="2" t="s">
        <v>79</v>
      </c>
      <c r="J1291" s="2" t="s">
        <v>80</v>
      </c>
      <c r="K1291" s="2">
        <v>2</v>
      </c>
      <c r="L1291" s="2">
        <v>89.99</v>
      </c>
      <c r="M1291" s="19">
        <f t="shared" si="272"/>
        <v>89.99</v>
      </c>
      <c r="N1291" s="2"/>
      <c r="O1291" s="2" t="str">
        <f t="shared" si="273"/>
        <v/>
      </c>
      <c r="P1291" s="2" t="s">
        <v>184</v>
      </c>
      <c r="Q1291" s="19">
        <f t="shared" si="274"/>
        <v>0</v>
      </c>
      <c r="R1291" s="2" t="str">
        <f t="shared" si="275"/>
        <v>Number</v>
      </c>
      <c r="S1291" s="2">
        <v>0</v>
      </c>
      <c r="T1291" s="19">
        <f t="shared" si="276"/>
        <v>0</v>
      </c>
      <c r="U1291" s="2">
        <v>179.98</v>
      </c>
      <c r="V1291" s="19">
        <f t="shared" si="277"/>
        <v>179.98</v>
      </c>
      <c r="W1291" s="19">
        <f t="shared" si="278"/>
        <v>179.98</v>
      </c>
      <c r="X1291" s="19" t="str">
        <f t="shared" si="279"/>
        <v>True</v>
      </c>
      <c r="Y1291" s="19" t="str">
        <f>IF(OR(W1291&lt;'Cleaning Tasks'!$G$18,W1291&gt;'Cleaning Tasks'!$H$18),"Outlier","Normal")</f>
        <v>Outlier</v>
      </c>
      <c r="Z1291" s="2" t="s">
        <v>49</v>
      </c>
      <c r="AA1291" s="2" t="s">
        <v>27</v>
      </c>
      <c r="AB1291" s="2" t="s">
        <v>50</v>
      </c>
      <c r="AC1291" s="2" t="s">
        <v>42</v>
      </c>
      <c r="AD1291" s="2"/>
      <c r="AE1291" s="2" t="str">
        <f t="shared" si="280"/>
        <v>Not Required</v>
      </c>
      <c r="AF1291" s="2" t="s">
        <v>3638</v>
      </c>
    </row>
    <row r="1292" spans="1:32" x14ac:dyDescent="0.3">
      <c r="A1292" s="2" t="s">
        <v>3639</v>
      </c>
      <c r="B1292" s="2">
        <f t="shared" si="270"/>
        <v>1</v>
      </c>
      <c r="C1292" s="12">
        <f t="shared" si="269"/>
        <v>46238.583292048606</v>
      </c>
      <c r="D1292" s="13">
        <v>46238.583292048606</v>
      </c>
      <c r="E1292" s="2" t="s">
        <v>206</v>
      </c>
      <c r="F1292" s="2" t="str">
        <f t="shared" si="271"/>
        <v>Email Available</v>
      </c>
      <c r="G1292" s="2" t="s">
        <v>207</v>
      </c>
      <c r="H1292" s="2" t="s">
        <v>130</v>
      </c>
      <c r="I1292" s="2" t="s">
        <v>103</v>
      </c>
      <c r="J1292" s="2" t="s">
        <v>131</v>
      </c>
      <c r="K1292" s="2">
        <v>1</v>
      </c>
      <c r="L1292" s="2">
        <v>16.989999999999998</v>
      </c>
      <c r="M1292" s="19">
        <f t="shared" si="272"/>
        <v>16.989999999999998</v>
      </c>
      <c r="N1292" s="2" t="s">
        <v>118</v>
      </c>
      <c r="O1292" s="2" t="str">
        <f t="shared" si="273"/>
        <v>BFCM25</v>
      </c>
      <c r="P1292" s="2">
        <v>4.25</v>
      </c>
      <c r="Q1292" s="19">
        <f t="shared" si="274"/>
        <v>4.25</v>
      </c>
      <c r="R1292" s="2" t="str">
        <f t="shared" si="275"/>
        <v>Number</v>
      </c>
      <c r="S1292" s="2">
        <v>5.99</v>
      </c>
      <c r="T1292" s="19">
        <f t="shared" si="276"/>
        <v>5.99</v>
      </c>
      <c r="U1292" s="2">
        <v>18.73</v>
      </c>
      <c r="V1292" s="19">
        <f t="shared" si="277"/>
        <v>18.73</v>
      </c>
      <c r="W1292" s="19">
        <f t="shared" si="278"/>
        <v>18.729999999999997</v>
      </c>
      <c r="X1292" s="19" t="str">
        <f t="shared" si="279"/>
        <v>True</v>
      </c>
      <c r="Y1292" s="19" t="str">
        <f>IF(OR(W1292&lt;'Cleaning Tasks'!$G$18,W1292&gt;'Cleaning Tasks'!$H$18),"Outlier","Normal")</f>
        <v>Normal</v>
      </c>
      <c r="Z1292" s="2" t="s">
        <v>39</v>
      </c>
      <c r="AA1292" s="2" t="s">
        <v>111</v>
      </c>
      <c r="AB1292" s="2" t="s">
        <v>28</v>
      </c>
      <c r="AC1292" s="2" t="s">
        <v>105</v>
      </c>
      <c r="AD1292" s="2"/>
      <c r="AE1292" s="2" t="str">
        <f t="shared" si="280"/>
        <v>Not Required</v>
      </c>
      <c r="AF1292" s="2" t="s">
        <v>3640</v>
      </c>
    </row>
    <row r="1293" spans="1:32" x14ac:dyDescent="0.3">
      <c r="A1293" s="2" t="s">
        <v>3641</v>
      </c>
      <c r="B1293" s="2">
        <f t="shared" si="270"/>
        <v>1</v>
      </c>
      <c r="C1293" s="12">
        <f t="shared" si="269"/>
        <v>46238.583440347233</v>
      </c>
      <c r="D1293" s="13">
        <v>46238.583440347233</v>
      </c>
      <c r="E1293" s="2" t="s">
        <v>3642</v>
      </c>
      <c r="F1293" s="2" t="str">
        <f t="shared" si="271"/>
        <v>Email Available</v>
      </c>
      <c r="G1293" s="2" t="s">
        <v>3643</v>
      </c>
      <c r="H1293" s="2" t="s">
        <v>152</v>
      </c>
      <c r="I1293" s="2" t="s">
        <v>36</v>
      </c>
      <c r="J1293" s="2" t="s">
        <v>153</v>
      </c>
      <c r="K1293" s="2">
        <v>2</v>
      </c>
      <c r="L1293" s="2">
        <v>29.99</v>
      </c>
      <c r="M1293" s="19">
        <f t="shared" si="272"/>
        <v>29.99</v>
      </c>
      <c r="N1293" s="2"/>
      <c r="O1293" s="2" t="str">
        <f t="shared" si="273"/>
        <v/>
      </c>
      <c r="P1293" s="2">
        <v>0</v>
      </c>
      <c r="Q1293" s="19">
        <f t="shared" si="274"/>
        <v>0</v>
      </c>
      <c r="R1293" s="2" t="str">
        <f t="shared" si="275"/>
        <v>Number</v>
      </c>
      <c r="S1293" s="2">
        <v>5.99</v>
      </c>
      <c r="T1293" s="19">
        <f t="shared" si="276"/>
        <v>5.99</v>
      </c>
      <c r="U1293" s="2">
        <v>65.97</v>
      </c>
      <c r="V1293" s="19">
        <f t="shared" si="277"/>
        <v>65.97</v>
      </c>
      <c r="W1293" s="19">
        <f t="shared" si="278"/>
        <v>65.97</v>
      </c>
      <c r="X1293" s="19" t="str">
        <f t="shared" si="279"/>
        <v>True</v>
      </c>
      <c r="Y1293" s="19" t="str">
        <f>IF(OR(W1293&lt;'Cleaning Tasks'!$G$18,W1293&gt;'Cleaning Tasks'!$H$18),"Outlier","Normal")</f>
        <v>Normal</v>
      </c>
      <c r="Z1293" s="2" t="s">
        <v>66</v>
      </c>
      <c r="AA1293" s="2" t="s">
        <v>27</v>
      </c>
      <c r="AB1293" s="2" t="s">
        <v>96</v>
      </c>
      <c r="AC1293" s="2" t="s">
        <v>29</v>
      </c>
      <c r="AD1293" s="2" t="s">
        <v>58</v>
      </c>
      <c r="AE1293" s="2" t="str">
        <f t="shared" si="280"/>
        <v>Valid</v>
      </c>
      <c r="AF1293" s="2" t="s">
        <v>3644</v>
      </c>
    </row>
    <row r="1294" spans="1:32" x14ac:dyDescent="0.3">
      <c r="A1294" s="2" t="s">
        <v>3645</v>
      </c>
      <c r="B1294" s="2">
        <f t="shared" si="270"/>
        <v>1</v>
      </c>
      <c r="C1294" s="12">
        <f t="shared" si="269"/>
        <v>46238</v>
      </c>
      <c r="D1294" s="13">
        <v>46238</v>
      </c>
      <c r="E1294" s="2" t="s">
        <v>307</v>
      </c>
      <c r="F1294" s="2" t="str">
        <f t="shared" si="271"/>
        <v>Email Available</v>
      </c>
      <c r="G1294" s="2" t="s">
        <v>308</v>
      </c>
      <c r="H1294" s="2" t="s">
        <v>267</v>
      </c>
      <c r="I1294" s="2" t="s">
        <v>22</v>
      </c>
      <c r="J1294" s="2" t="s">
        <v>268</v>
      </c>
      <c r="K1294" s="2">
        <v>3</v>
      </c>
      <c r="L1294" s="2">
        <v>18.989999999999998</v>
      </c>
      <c r="M1294" s="19">
        <f t="shared" si="272"/>
        <v>18.989999999999998</v>
      </c>
      <c r="N1294" s="2" t="s">
        <v>118</v>
      </c>
      <c r="O1294" s="2" t="str">
        <f t="shared" si="273"/>
        <v>BFCM25</v>
      </c>
      <c r="P1294" s="2">
        <v>14.24</v>
      </c>
      <c r="Q1294" s="19">
        <f t="shared" si="274"/>
        <v>14.24</v>
      </c>
      <c r="R1294" s="2" t="str">
        <f t="shared" si="275"/>
        <v>Number</v>
      </c>
      <c r="S1294" s="2">
        <v>4.99</v>
      </c>
      <c r="T1294" s="19">
        <f t="shared" si="276"/>
        <v>4.99</v>
      </c>
      <c r="U1294" s="2">
        <v>47.72</v>
      </c>
      <c r="V1294" s="19">
        <f t="shared" si="277"/>
        <v>47.72</v>
      </c>
      <c r="W1294" s="19">
        <f t="shared" si="278"/>
        <v>47.72</v>
      </c>
      <c r="X1294" s="19" t="str">
        <f t="shared" si="279"/>
        <v>True</v>
      </c>
      <c r="Y1294" s="19" t="str">
        <f>IF(OR(W1294&lt;'Cleaning Tasks'!$G$18,W1294&gt;'Cleaning Tasks'!$H$18),"Outlier","Normal")</f>
        <v>Normal</v>
      </c>
      <c r="Z1294" s="2" t="s">
        <v>72</v>
      </c>
      <c r="AA1294" s="2" t="s">
        <v>27</v>
      </c>
      <c r="AB1294" s="2" t="s">
        <v>50</v>
      </c>
      <c r="AC1294" s="2" t="s">
        <v>105</v>
      </c>
      <c r="AD1294" s="2"/>
      <c r="AE1294" s="2" t="str">
        <f t="shared" si="280"/>
        <v>Not Required</v>
      </c>
      <c r="AF1294" s="2" t="s">
        <v>3646</v>
      </c>
    </row>
    <row r="1295" spans="1:32" x14ac:dyDescent="0.3">
      <c r="A1295" s="2" t="s">
        <v>3647</v>
      </c>
      <c r="B1295" s="2">
        <f t="shared" si="270"/>
        <v>1</v>
      </c>
      <c r="C1295" s="12">
        <f t="shared" si="269"/>
        <v>46238.582059722219</v>
      </c>
      <c r="D1295" s="13">
        <v>46238.582059722219</v>
      </c>
      <c r="E1295" s="2" t="s">
        <v>144</v>
      </c>
      <c r="F1295" s="2" t="str">
        <f t="shared" si="271"/>
        <v>Email Available</v>
      </c>
      <c r="G1295" s="2" t="s">
        <v>145</v>
      </c>
      <c r="H1295" s="2" t="s">
        <v>267</v>
      </c>
      <c r="I1295" s="2" t="s">
        <v>22</v>
      </c>
      <c r="J1295" s="2" t="s">
        <v>268</v>
      </c>
      <c r="K1295" s="2">
        <v>2</v>
      </c>
      <c r="L1295" s="2" t="s">
        <v>631</v>
      </c>
      <c r="M1295" s="19">
        <f t="shared" si="272"/>
        <v>18.989999999999998</v>
      </c>
      <c r="N1295" s="2"/>
      <c r="O1295" s="2" t="str">
        <f t="shared" si="273"/>
        <v/>
      </c>
      <c r="P1295" s="2">
        <v>0</v>
      </c>
      <c r="Q1295" s="19">
        <f t="shared" si="274"/>
        <v>0</v>
      </c>
      <c r="R1295" s="2" t="str">
        <f t="shared" si="275"/>
        <v>Number</v>
      </c>
      <c r="S1295" s="2">
        <v>5.99</v>
      </c>
      <c r="T1295" s="19">
        <f t="shared" si="276"/>
        <v>5.99</v>
      </c>
      <c r="U1295" s="2">
        <v>43.97</v>
      </c>
      <c r="V1295" s="19">
        <f t="shared" si="277"/>
        <v>43.97</v>
      </c>
      <c r="W1295" s="19">
        <f t="shared" si="278"/>
        <v>43.97</v>
      </c>
      <c r="X1295" s="19" t="str">
        <f t="shared" si="279"/>
        <v>True</v>
      </c>
      <c r="Y1295" s="19" t="str">
        <f>IF(OR(W1295&lt;'Cleaning Tasks'!$G$18,W1295&gt;'Cleaning Tasks'!$H$18),"Outlier","Normal")</f>
        <v>Normal</v>
      </c>
      <c r="Z1295" s="2" t="s">
        <v>26</v>
      </c>
      <c r="AA1295" s="2" t="s">
        <v>27</v>
      </c>
      <c r="AB1295" s="2" t="s">
        <v>50</v>
      </c>
      <c r="AC1295" s="2" t="s">
        <v>105</v>
      </c>
      <c r="AD1295" s="2"/>
      <c r="AE1295" s="2" t="str">
        <f t="shared" si="280"/>
        <v>Not Required</v>
      </c>
      <c r="AF1295" s="2" t="s">
        <v>3648</v>
      </c>
    </row>
    <row r="1296" spans="1:32" x14ac:dyDescent="0.3">
      <c r="A1296" s="2" t="s">
        <v>3649</v>
      </c>
      <c r="B1296" s="2">
        <f t="shared" si="270"/>
        <v>1</v>
      </c>
      <c r="C1296" s="12">
        <f t="shared" si="269"/>
        <v>46238.579381516203</v>
      </c>
      <c r="D1296" s="13">
        <v>46238.579381516203</v>
      </c>
      <c r="E1296" s="2" t="s">
        <v>3650</v>
      </c>
      <c r="F1296" s="2" t="str">
        <f t="shared" si="271"/>
        <v>Email Available</v>
      </c>
      <c r="G1296" s="2" t="s">
        <v>432</v>
      </c>
      <c r="H1296" s="2" t="s">
        <v>63</v>
      </c>
      <c r="I1296" s="2" t="s">
        <v>47</v>
      </c>
      <c r="J1296" s="2" t="s">
        <v>64</v>
      </c>
      <c r="K1296" s="2">
        <v>2</v>
      </c>
      <c r="L1296" s="2">
        <v>14.99</v>
      </c>
      <c r="M1296" s="19">
        <f t="shared" si="272"/>
        <v>14.99</v>
      </c>
      <c r="N1296" s="2"/>
      <c r="O1296" s="2" t="str">
        <f t="shared" si="273"/>
        <v/>
      </c>
      <c r="P1296" s="2">
        <v>0</v>
      </c>
      <c r="Q1296" s="19">
        <f t="shared" si="274"/>
        <v>0</v>
      </c>
      <c r="R1296" s="2" t="str">
        <f t="shared" si="275"/>
        <v>Number</v>
      </c>
      <c r="S1296" s="2">
        <v>7.99</v>
      </c>
      <c r="T1296" s="19">
        <f t="shared" si="276"/>
        <v>7.99</v>
      </c>
      <c r="U1296" s="2">
        <v>37.97</v>
      </c>
      <c r="V1296" s="19">
        <f t="shared" si="277"/>
        <v>37.97</v>
      </c>
      <c r="W1296" s="19">
        <f t="shared" si="278"/>
        <v>37.97</v>
      </c>
      <c r="X1296" s="19" t="str">
        <f t="shared" si="279"/>
        <v>True</v>
      </c>
      <c r="Y1296" s="19" t="str">
        <f>IF(OR(W1296&lt;'Cleaning Tasks'!$G$18,W1296&gt;'Cleaning Tasks'!$H$18),"Outlier","Normal")</f>
        <v>Normal</v>
      </c>
      <c r="Z1296" s="2" t="s">
        <v>26</v>
      </c>
      <c r="AA1296" s="2" t="s">
        <v>27</v>
      </c>
      <c r="AB1296" s="2" t="s">
        <v>50</v>
      </c>
      <c r="AC1296" s="2" t="s">
        <v>105</v>
      </c>
      <c r="AD1296" s="2"/>
      <c r="AE1296" s="2" t="str">
        <f t="shared" si="280"/>
        <v>Not Required</v>
      </c>
      <c r="AF1296" s="2" t="s">
        <v>3651</v>
      </c>
    </row>
    <row r="1297" spans="1:32" x14ac:dyDescent="0.3">
      <c r="A1297" s="2" t="s">
        <v>3652</v>
      </c>
      <c r="B1297" s="2">
        <f t="shared" si="270"/>
        <v>1</v>
      </c>
      <c r="C1297" s="12">
        <f>DATE(VALUE(RIGHT(D1297,4)),MATCH(LEFT(D1297,3),{"Jan","Feb","Mar","Apr","May","Jun","Jul","Aug","Sep","Oct","Nov","Dec"},0),VALUE(MID(D1297,5,2)))</f>
        <v>46238</v>
      </c>
      <c r="D1297" s="13" t="s">
        <v>171</v>
      </c>
      <c r="E1297" s="2" t="s">
        <v>1712</v>
      </c>
      <c r="F1297" s="2" t="str">
        <f t="shared" si="271"/>
        <v>Email Available</v>
      </c>
      <c r="G1297" s="2" t="s">
        <v>1713</v>
      </c>
      <c r="H1297" s="2" t="s">
        <v>201</v>
      </c>
      <c r="I1297" s="2" t="s">
        <v>191</v>
      </c>
      <c r="J1297" s="2" t="s">
        <v>202</v>
      </c>
      <c r="K1297" s="2">
        <v>1</v>
      </c>
      <c r="L1297" s="2">
        <v>24.99</v>
      </c>
      <c r="M1297" s="19">
        <f t="shared" si="272"/>
        <v>24.99</v>
      </c>
      <c r="N1297" s="2" t="s">
        <v>203</v>
      </c>
      <c r="O1297" s="2" t="str">
        <f t="shared" si="273"/>
        <v>VIP15</v>
      </c>
      <c r="P1297" s="2">
        <v>3.75</v>
      </c>
      <c r="Q1297" s="19">
        <f t="shared" si="274"/>
        <v>3.75</v>
      </c>
      <c r="R1297" s="2" t="str">
        <f t="shared" si="275"/>
        <v>Number</v>
      </c>
      <c r="S1297" s="2">
        <v>4.99</v>
      </c>
      <c r="T1297" s="19">
        <f t="shared" si="276"/>
        <v>4.99</v>
      </c>
      <c r="U1297" s="2">
        <v>26.23</v>
      </c>
      <c r="V1297" s="19">
        <f t="shared" si="277"/>
        <v>26.23</v>
      </c>
      <c r="W1297" s="19">
        <f t="shared" si="278"/>
        <v>26.229999999999997</v>
      </c>
      <c r="X1297" s="19" t="str">
        <f t="shared" si="279"/>
        <v>True</v>
      </c>
      <c r="Y1297" s="19" t="str">
        <f>IF(OR(W1297&lt;'Cleaning Tasks'!$G$18,W1297&gt;'Cleaning Tasks'!$H$18),"Outlier","Normal")</f>
        <v>Normal</v>
      </c>
      <c r="Z1297" s="2" t="s">
        <v>39</v>
      </c>
      <c r="AA1297" s="2" t="s">
        <v>27</v>
      </c>
      <c r="AB1297" s="2" t="s">
        <v>96</v>
      </c>
      <c r="AC1297" s="2" t="s">
        <v>331</v>
      </c>
      <c r="AD1297" s="2"/>
      <c r="AE1297" s="2" t="str">
        <f t="shared" si="280"/>
        <v>Not Required</v>
      </c>
      <c r="AF1297" s="2" t="s">
        <v>3653</v>
      </c>
    </row>
    <row r="1298" spans="1:32" x14ac:dyDescent="0.3">
      <c r="A1298" s="2" t="s">
        <v>3654</v>
      </c>
      <c r="B1298" s="2">
        <f t="shared" si="270"/>
        <v>1</v>
      </c>
      <c r="C1298" s="12">
        <f t="shared" ref="C1298:C1318" si="281">IF(ISNUMBER(D1298),D1298,DATEVALUE(SUBSTITUTE(TRIM(D1298),CHAR(160)," ")))</f>
        <v>46238.57892537037</v>
      </c>
      <c r="D1298" s="13">
        <v>46238.57892537037</v>
      </c>
      <c r="E1298" s="2" t="s">
        <v>1424</v>
      </c>
      <c r="F1298" s="2" t="str">
        <f t="shared" si="271"/>
        <v>Email Available</v>
      </c>
      <c r="G1298" s="2" t="s">
        <v>1425</v>
      </c>
      <c r="H1298" s="2" t="s">
        <v>261</v>
      </c>
      <c r="I1298" s="2" t="s">
        <v>36</v>
      </c>
      <c r="J1298" s="2" t="s">
        <v>262</v>
      </c>
      <c r="K1298" s="2">
        <v>1</v>
      </c>
      <c r="L1298" s="2">
        <v>15.49</v>
      </c>
      <c r="M1298" s="19">
        <f t="shared" si="272"/>
        <v>15.49</v>
      </c>
      <c r="N1298" s="2"/>
      <c r="O1298" s="2" t="str">
        <f t="shared" si="273"/>
        <v/>
      </c>
      <c r="P1298" s="2">
        <v>0</v>
      </c>
      <c r="Q1298" s="19">
        <f t="shared" si="274"/>
        <v>0</v>
      </c>
      <c r="R1298" s="2" t="str">
        <f t="shared" si="275"/>
        <v>Number</v>
      </c>
      <c r="S1298" s="2">
        <v>7.99</v>
      </c>
      <c r="T1298" s="19">
        <f t="shared" si="276"/>
        <v>7.99</v>
      </c>
      <c r="U1298" s="2">
        <v>23.48</v>
      </c>
      <c r="V1298" s="19">
        <f t="shared" si="277"/>
        <v>23.48</v>
      </c>
      <c r="W1298" s="19">
        <f t="shared" si="278"/>
        <v>23.48</v>
      </c>
      <c r="X1298" s="19" t="str">
        <f t="shared" si="279"/>
        <v>True</v>
      </c>
      <c r="Y1298" s="19" t="str">
        <f>IF(OR(W1298&lt;'Cleaning Tasks'!$G$18,W1298&gt;'Cleaning Tasks'!$H$18),"Outlier","Normal")</f>
        <v>Normal</v>
      </c>
      <c r="Z1298" s="2" t="s">
        <v>26</v>
      </c>
      <c r="AA1298" s="2" t="s">
        <v>27</v>
      </c>
      <c r="AB1298" s="2" t="s">
        <v>50</v>
      </c>
      <c r="AC1298" s="2" t="s">
        <v>29</v>
      </c>
      <c r="AD1298" s="2" t="s">
        <v>73</v>
      </c>
      <c r="AE1298" s="2" t="str">
        <f t="shared" si="280"/>
        <v>Valid</v>
      </c>
      <c r="AF1298" s="2" t="s">
        <v>3655</v>
      </c>
    </row>
    <row r="1299" spans="1:32" x14ac:dyDescent="0.3">
      <c r="A1299" s="2" t="s">
        <v>3656</v>
      </c>
      <c r="B1299" s="2">
        <f t="shared" si="270"/>
        <v>1</v>
      </c>
      <c r="C1299" s="12">
        <f t="shared" si="281"/>
        <v>46238.584313333333</v>
      </c>
      <c r="D1299" s="13">
        <v>46238.584313333333</v>
      </c>
      <c r="E1299" s="2" t="s">
        <v>1941</v>
      </c>
      <c r="F1299" s="2" t="str">
        <f t="shared" si="271"/>
        <v>Email Available</v>
      </c>
      <c r="G1299" s="2" t="s">
        <v>1942</v>
      </c>
      <c r="H1299" s="2" t="s">
        <v>166</v>
      </c>
      <c r="I1299" s="2" t="s">
        <v>103</v>
      </c>
      <c r="J1299" s="2" t="s">
        <v>167</v>
      </c>
      <c r="K1299" s="2">
        <v>1</v>
      </c>
      <c r="L1299" s="2">
        <v>32.99</v>
      </c>
      <c r="M1299" s="19">
        <f t="shared" si="272"/>
        <v>32.99</v>
      </c>
      <c r="N1299" s="2" t="s">
        <v>203</v>
      </c>
      <c r="O1299" s="2" t="str">
        <f t="shared" si="273"/>
        <v>VIP15</v>
      </c>
      <c r="P1299" s="2">
        <v>4.95</v>
      </c>
      <c r="Q1299" s="19">
        <f t="shared" si="274"/>
        <v>4.95</v>
      </c>
      <c r="R1299" s="2" t="str">
        <f t="shared" si="275"/>
        <v>Number</v>
      </c>
      <c r="S1299" s="2">
        <v>5.99</v>
      </c>
      <c r="T1299" s="19">
        <f t="shared" si="276"/>
        <v>5.99</v>
      </c>
      <c r="U1299" s="2">
        <v>34.03</v>
      </c>
      <c r="V1299" s="19">
        <f t="shared" si="277"/>
        <v>34.03</v>
      </c>
      <c r="W1299" s="19">
        <f t="shared" si="278"/>
        <v>34.03</v>
      </c>
      <c r="X1299" s="19" t="str">
        <f t="shared" si="279"/>
        <v>True</v>
      </c>
      <c r="Y1299" s="19" t="str">
        <f>IF(OR(W1299&lt;'Cleaning Tasks'!$G$18,W1299&gt;'Cleaning Tasks'!$H$18),"Outlier","Normal")</f>
        <v>Normal</v>
      </c>
      <c r="Z1299" s="2" t="s">
        <v>72</v>
      </c>
      <c r="AA1299" s="2" t="s">
        <v>27</v>
      </c>
      <c r="AB1299" s="2" t="s">
        <v>41</v>
      </c>
      <c r="AC1299" s="2" t="s">
        <v>331</v>
      </c>
      <c r="AD1299" s="2"/>
      <c r="AE1299" s="2" t="str">
        <f t="shared" si="280"/>
        <v>Not Required</v>
      </c>
      <c r="AF1299" s="2" t="s">
        <v>3657</v>
      </c>
    </row>
    <row r="1300" spans="1:32" x14ac:dyDescent="0.3">
      <c r="A1300" s="2" t="s">
        <v>3658</v>
      </c>
      <c r="B1300" s="2">
        <f t="shared" si="270"/>
        <v>1</v>
      </c>
      <c r="C1300" s="12">
        <f t="shared" si="281"/>
        <v>46238.588957905093</v>
      </c>
      <c r="D1300" s="13">
        <v>46238.588957905093</v>
      </c>
      <c r="E1300" s="2" t="s">
        <v>303</v>
      </c>
      <c r="F1300" s="2" t="str">
        <f t="shared" si="271"/>
        <v>Email Available</v>
      </c>
      <c r="G1300" s="2" t="s">
        <v>304</v>
      </c>
      <c r="H1300" s="2" t="s">
        <v>279</v>
      </c>
      <c r="I1300" s="2" t="s">
        <v>22</v>
      </c>
      <c r="J1300" s="2" t="s">
        <v>280</v>
      </c>
      <c r="K1300" s="2">
        <v>1</v>
      </c>
      <c r="L1300" s="2">
        <v>24.99</v>
      </c>
      <c r="M1300" s="19">
        <f t="shared" si="272"/>
        <v>24.99</v>
      </c>
      <c r="N1300" s="2"/>
      <c r="O1300" s="2" t="str">
        <f t="shared" si="273"/>
        <v/>
      </c>
      <c r="P1300" s="2">
        <v>0</v>
      </c>
      <c r="Q1300" s="19">
        <f t="shared" si="274"/>
        <v>0</v>
      </c>
      <c r="R1300" s="2" t="str">
        <f t="shared" si="275"/>
        <v>Number</v>
      </c>
      <c r="S1300" s="2">
        <v>7.99</v>
      </c>
      <c r="T1300" s="19">
        <f t="shared" si="276"/>
        <v>7.99</v>
      </c>
      <c r="U1300" s="2">
        <v>32.979999999999997</v>
      </c>
      <c r="V1300" s="19">
        <f t="shared" si="277"/>
        <v>32.979999999999997</v>
      </c>
      <c r="W1300" s="19">
        <f t="shared" si="278"/>
        <v>32.979999999999997</v>
      </c>
      <c r="X1300" s="19" t="str">
        <f t="shared" si="279"/>
        <v>True</v>
      </c>
      <c r="Y1300" s="19" t="str">
        <f>IF(OR(W1300&lt;'Cleaning Tasks'!$G$18,W1300&gt;'Cleaning Tasks'!$H$18),"Outlier","Normal")</f>
        <v>Normal</v>
      </c>
      <c r="Z1300" s="2" t="s">
        <v>72</v>
      </c>
      <c r="AA1300" s="2" t="s">
        <v>27</v>
      </c>
      <c r="AB1300" s="2" t="s">
        <v>50</v>
      </c>
      <c r="AC1300" s="2" t="s">
        <v>29</v>
      </c>
      <c r="AD1300" s="2" t="s">
        <v>30</v>
      </c>
      <c r="AE1300" s="2" t="str">
        <f t="shared" si="280"/>
        <v>Valid</v>
      </c>
      <c r="AF1300" s="2" t="s">
        <v>3659</v>
      </c>
    </row>
    <row r="1301" spans="1:32" x14ac:dyDescent="0.3">
      <c r="A1301" s="2" t="s">
        <v>3660</v>
      </c>
      <c r="B1301" s="2">
        <f t="shared" si="270"/>
        <v>1</v>
      </c>
      <c r="C1301" s="12">
        <f t="shared" si="281"/>
        <v>46238.580045601862</v>
      </c>
      <c r="D1301" s="13">
        <v>46238.580045601862</v>
      </c>
      <c r="E1301" s="2" t="s">
        <v>643</v>
      </c>
      <c r="F1301" s="2" t="str">
        <f t="shared" si="271"/>
        <v>Email Available</v>
      </c>
      <c r="G1301" s="2" t="s">
        <v>644</v>
      </c>
      <c r="H1301" s="2" t="s">
        <v>221</v>
      </c>
      <c r="I1301" s="2" t="s">
        <v>22</v>
      </c>
      <c r="J1301" s="2" t="s">
        <v>222</v>
      </c>
      <c r="K1301" s="2">
        <v>2</v>
      </c>
      <c r="L1301" s="2">
        <v>17.989999999999998</v>
      </c>
      <c r="M1301" s="19">
        <f t="shared" si="272"/>
        <v>17.989999999999998</v>
      </c>
      <c r="N1301" s="2"/>
      <c r="O1301" s="2" t="str">
        <f t="shared" si="273"/>
        <v/>
      </c>
      <c r="P1301" s="2">
        <v>0</v>
      </c>
      <c r="Q1301" s="19">
        <f t="shared" si="274"/>
        <v>0</v>
      </c>
      <c r="R1301" s="2" t="str">
        <f t="shared" si="275"/>
        <v>Number</v>
      </c>
      <c r="S1301" s="2">
        <v>5.99</v>
      </c>
      <c r="T1301" s="19">
        <f t="shared" si="276"/>
        <v>5.99</v>
      </c>
      <c r="U1301" s="2">
        <v>41.97</v>
      </c>
      <c r="V1301" s="19">
        <f t="shared" si="277"/>
        <v>41.97</v>
      </c>
      <c r="W1301" s="19">
        <f t="shared" si="278"/>
        <v>41.97</v>
      </c>
      <c r="X1301" s="19" t="str">
        <f t="shared" si="279"/>
        <v>True</v>
      </c>
      <c r="Y1301" s="19" t="str">
        <f>IF(OR(W1301&lt;'Cleaning Tasks'!$G$18,W1301&gt;'Cleaning Tasks'!$H$18),"Outlier","Normal")</f>
        <v>Normal</v>
      </c>
      <c r="Z1301" s="2" t="s">
        <v>72</v>
      </c>
      <c r="AA1301" s="2" t="s">
        <v>27</v>
      </c>
      <c r="AB1301" s="2" t="s">
        <v>41</v>
      </c>
      <c r="AC1301" s="2" t="s">
        <v>29</v>
      </c>
      <c r="AD1301" s="2" t="s">
        <v>112</v>
      </c>
      <c r="AE1301" s="2" t="str">
        <f t="shared" si="280"/>
        <v>Valid</v>
      </c>
      <c r="AF1301" s="2" t="s">
        <v>3661</v>
      </c>
    </row>
    <row r="1302" spans="1:32" x14ac:dyDescent="0.3">
      <c r="A1302" s="2" t="s">
        <v>3662</v>
      </c>
      <c r="B1302" s="2">
        <f t="shared" si="270"/>
        <v>1</v>
      </c>
      <c r="C1302" s="12">
        <f t="shared" si="281"/>
        <v>46238.582464074083</v>
      </c>
      <c r="D1302" s="13">
        <v>46238.582464074083</v>
      </c>
      <c r="E1302" s="2" t="s">
        <v>705</v>
      </c>
      <c r="F1302" s="2" t="str">
        <f t="shared" si="271"/>
        <v>Email Available</v>
      </c>
      <c r="G1302" s="2" t="s">
        <v>706</v>
      </c>
      <c r="H1302" s="2" t="s">
        <v>85</v>
      </c>
      <c r="I1302" s="2" t="s">
        <v>86</v>
      </c>
      <c r="J1302" s="2" t="s">
        <v>87</v>
      </c>
      <c r="K1302" s="2">
        <v>2</v>
      </c>
      <c r="L1302" s="2">
        <v>54.99</v>
      </c>
      <c r="M1302" s="19">
        <f t="shared" si="272"/>
        <v>54.99</v>
      </c>
      <c r="N1302" s="2"/>
      <c r="O1302" s="2" t="str">
        <f t="shared" si="273"/>
        <v/>
      </c>
      <c r="P1302" s="2">
        <v>0</v>
      </c>
      <c r="Q1302" s="19">
        <f t="shared" si="274"/>
        <v>0</v>
      </c>
      <c r="R1302" s="2" t="str">
        <f t="shared" si="275"/>
        <v>Number</v>
      </c>
      <c r="S1302" s="2">
        <v>0</v>
      </c>
      <c r="T1302" s="19">
        <f t="shared" si="276"/>
        <v>0</v>
      </c>
      <c r="U1302" s="2">
        <v>109.98</v>
      </c>
      <c r="V1302" s="19">
        <f t="shared" si="277"/>
        <v>109.98</v>
      </c>
      <c r="W1302" s="19">
        <f t="shared" si="278"/>
        <v>109.98</v>
      </c>
      <c r="X1302" s="19" t="str">
        <f t="shared" si="279"/>
        <v>True</v>
      </c>
      <c r="Y1302" s="19" t="str">
        <f>IF(OR(W1302&lt;'Cleaning Tasks'!$G$18,W1302&gt;'Cleaning Tasks'!$H$18),"Outlier","Normal")</f>
        <v>Outlier</v>
      </c>
      <c r="Z1302" s="2" t="s">
        <v>49</v>
      </c>
      <c r="AA1302" s="2" t="s">
        <v>27</v>
      </c>
      <c r="AB1302" s="2" t="s">
        <v>41</v>
      </c>
      <c r="AC1302" s="2" t="s">
        <v>331</v>
      </c>
      <c r="AD1302" s="2"/>
      <c r="AE1302" s="2" t="str">
        <f t="shared" si="280"/>
        <v>Not Required</v>
      </c>
      <c r="AF1302" s="2" t="s">
        <v>3663</v>
      </c>
    </row>
    <row r="1303" spans="1:32" x14ac:dyDescent="0.3">
      <c r="A1303" s="2" t="s">
        <v>3664</v>
      </c>
      <c r="B1303" s="2">
        <f t="shared" si="270"/>
        <v>1</v>
      </c>
      <c r="C1303" s="12">
        <f t="shared" si="281"/>
        <v>46238.585113321758</v>
      </c>
      <c r="D1303" s="13">
        <v>46238.585113321758</v>
      </c>
      <c r="E1303" s="2" t="s">
        <v>528</v>
      </c>
      <c r="F1303" s="2" t="str">
        <f t="shared" si="271"/>
        <v>Email Available</v>
      </c>
      <c r="G1303" s="2" t="s">
        <v>529</v>
      </c>
      <c r="H1303" s="2" t="s">
        <v>267</v>
      </c>
      <c r="I1303" s="2" t="s">
        <v>22</v>
      </c>
      <c r="J1303" s="2" t="s">
        <v>268</v>
      </c>
      <c r="K1303" s="2">
        <v>1</v>
      </c>
      <c r="L1303" s="2">
        <v>18.989999999999998</v>
      </c>
      <c r="M1303" s="19">
        <f t="shared" si="272"/>
        <v>18.989999999999998</v>
      </c>
      <c r="N1303" s="2" t="s">
        <v>118</v>
      </c>
      <c r="O1303" s="2" t="str">
        <f t="shared" si="273"/>
        <v>BFCM25</v>
      </c>
      <c r="P1303" s="2">
        <v>4.75</v>
      </c>
      <c r="Q1303" s="19">
        <f t="shared" si="274"/>
        <v>4.75</v>
      </c>
      <c r="R1303" s="2" t="str">
        <f t="shared" si="275"/>
        <v>Number</v>
      </c>
      <c r="S1303" s="2">
        <v>5.99</v>
      </c>
      <c r="T1303" s="19">
        <f t="shared" si="276"/>
        <v>5.99</v>
      </c>
      <c r="U1303" s="2">
        <v>20.23</v>
      </c>
      <c r="V1303" s="19">
        <f t="shared" si="277"/>
        <v>20.23</v>
      </c>
      <c r="W1303" s="19">
        <f t="shared" si="278"/>
        <v>20.229999999999997</v>
      </c>
      <c r="X1303" s="19" t="str">
        <f t="shared" si="279"/>
        <v>True</v>
      </c>
      <c r="Y1303" s="19" t="str">
        <f>IF(OR(W1303&lt;'Cleaning Tasks'!$G$18,W1303&gt;'Cleaning Tasks'!$H$18),"Outlier","Normal")</f>
        <v>Normal</v>
      </c>
      <c r="Z1303" s="2" t="s">
        <v>72</v>
      </c>
      <c r="AA1303" s="2" t="s">
        <v>27</v>
      </c>
      <c r="AB1303" s="2" t="s">
        <v>41</v>
      </c>
      <c r="AC1303" s="2" t="s">
        <v>29</v>
      </c>
      <c r="AD1303" s="2" t="s">
        <v>51</v>
      </c>
      <c r="AE1303" s="2" t="str">
        <f t="shared" si="280"/>
        <v>Valid</v>
      </c>
      <c r="AF1303" s="2" t="s">
        <v>3665</v>
      </c>
    </row>
    <row r="1304" spans="1:32" x14ac:dyDescent="0.3">
      <c r="A1304" s="2" t="s">
        <v>3666</v>
      </c>
      <c r="B1304" s="2">
        <f t="shared" si="270"/>
        <v>1</v>
      </c>
      <c r="C1304" s="12">
        <f t="shared" si="281"/>
        <v>46238</v>
      </c>
      <c r="D1304" s="13">
        <v>46238</v>
      </c>
      <c r="E1304" s="2" t="s">
        <v>61</v>
      </c>
      <c r="F1304" s="2" t="str">
        <f t="shared" si="271"/>
        <v>Email Available</v>
      </c>
      <c r="G1304" s="2" t="s">
        <v>62</v>
      </c>
      <c r="H1304" s="2" t="s">
        <v>35</v>
      </c>
      <c r="I1304" s="2" t="s">
        <v>36</v>
      </c>
      <c r="J1304" s="2" t="s">
        <v>37</v>
      </c>
      <c r="K1304" s="2">
        <v>1</v>
      </c>
      <c r="L1304" s="2">
        <v>21.99</v>
      </c>
      <c r="M1304" s="19">
        <f t="shared" si="272"/>
        <v>21.99</v>
      </c>
      <c r="N1304" s="2"/>
      <c r="O1304" s="2" t="str">
        <f t="shared" si="273"/>
        <v/>
      </c>
      <c r="P1304" s="2">
        <v>0</v>
      </c>
      <c r="Q1304" s="19">
        <f t="shared" si="274"/>
        <v>0</v>
      </c>
      <c r="R1304" s="2" t="str">
        <f t="shared" si="275"/>
        <v>Number</v>
      </c>
      <c r="S1304" s="2">
        <v>7.99</v>
      </c>
      <c r="T1304" s="19">
        <f t="shared" si="276"/>
        <v>7.99</v>
      </c>
      <c r="U1304" s="2">
        <v>29.98</v>
      </c>
      <c r="V1304" s="19">
        <f t="shared" si="277"/>
        <v>29.98</v>
      </c>
      <c r="W1304" s="19">
        <f t="shared" si="278"/>
        <v>29.979999999999997</v>
      </c>
      <c r="X1304" s="19" t="str">
        <f t="shared" si="279"/>
        <v>True</v>
      </c>
      <c r="Y1304" s="19" t="str">
        <f>IF(OR(W1304&lt;'Cleaning Tasks'!$G$18,W1304&gt;'Cleaning Tasks'!$H$18),"Outlier","Normal")</f>
        <v>Normal</v>
      </c>
      <c r="Z1304" s="2" t="s">
        <v>39</v>
      </c>
      <c r="AA1304" s="2" t="s">
        <v>111</v>
      </c>
      <c r="AB1304" s="2" t="s">
        <v>41</v>
      </c>
      <c r="AC1304" s="2" t="s">
        <v>29</v>
      </c>
      <c r="AD1304" s="2" t="s">
        <v>140</v>
      </c>
      <c r="AE1304" s="2" t="str">
        <f t="shared" si="280"/>
        <v>Valid</v>
      </c>
      <c r="AF1304" s="2" t="s">
        <v>3667</v>
      </c>
    </row>
    <row r="1305" spans="1:32" x14ac:dyDescent="0.3">
      <c r="A1305" s="2" t="s">
        <v>3668</v>
      </c>
      <c r="B1305" s="2">
        <f t="shared" si="270"/>
        <v>1</v>
      </c>
      <c r="C1305" s="12">
        <f t="shared" si="281"/>
        <v>46238.581097442133</v>
      </c>
      <c r="D1305" s="13">
        <v>46238.581097442133</v>
      </c>
      <c r="E1305" s="2" t="s">
        <v>3346</v>
      </c>
      <c r="F1305" s="2" t="str">
        <f t="shared" si="271"/>
        <v>Email Available</v>
      </c>
      <c r="G1305" s="2" t="s">
        <v>3347</v>
      </c>
      <c r="H1305" s="2" t="s">
        <v>201</v>
      </c>
      <c r="I1305" s="2" t="s">
        <v>191</v>
      </c>
      <c r="J1305" s="2" t="s">
        <v>202</v>
      </c>
      <c r="K1305" s="2">
        <v>1</v>
      </c>
      <c r="L1305" s="2">
        <v>24.99</v>
      </c>
      <c r="M1305" s="19">
        <f t="shared" si="272"/>
        <v>24.99</v>
      </c>
      <c r="N1305" s="2" t="s">
        <v>38</v>
      </c>
      <c r="O1305" s="2" t="str">
        <f t="shared" si="273"/>
        <v>FREESHIP</v>
      </c>
      <c r="P1305" s="2">
        <v>0</v>
      </c>
      <c r="Q1305" s="19">
        <f t="shared" si="274"/>
        <v>0</v>
      </c>
      <c r="R1305" s="2" t="str">
        <f t="shared" si="275"/>
        <v>Number</v>
      </c>
      <c r="S1305" s="2">
        <v>0</v>
      </c>
      <c r="T1305" s="19">
        <f t="shared" si="276"/>
        <v>0</v>
      </c>
      <c r="U1305" s="2">
        <v>24.99</v>
      </c>
      <c r="V1305" s="19">
        <f t="shared" si="277"/>
        <v>24.99</v>
      </c>
      <c r="W1305" s="19">
        <f t="shared" si="278"/>
        <v>24.99</v>
      </c>
      <c r="X1305" s="19" t="str">
        <f t="shared" si="279"/>
        <v>True</v>
      </c>
      <c r="Y1305" s="19" t="str">
        <f>IF(OR(W1305&lt;'Cleaning Tasks'!$G$18,W1305&gt;'Cleaning Tasks'!$H$18),"Outlier","Normal")</f>
        <v>Normal</v>
      </c>
      <c r="Z1305" s="2" t="s">
        <v>39</v>
      </c>
      <c r="AA1305" s="2" t="s">
        <v>111</v>
      </c>
      <c r="AB1305" s="2" t="s">
        <v>50</v>
      </c>
      <c r="AC1305" s="2" t="s">
        <v>73</v>
      </c>
      <c r="AD1305" s="2"/>
      <c r="AE1305" s="2" t="str">
        <f t="shared" si="280"/>
        <v>Not Required</v>
      </c>
      <c r="AF1305" s="2" t="s">
        <v>3669</v>
      </c>
    </row>
    <row r="1306" spans="1:32" x14ac:dyDescent="0.3">
      <c r="A1306" s="2" t="s">
        <v>3670</v>
      </c>
      <c r="B1306" s="2">
        <f t="shared" si="270"/>
        <v>1</v>
      </c>
      <c r="C1306" s="12">
        <f t="shared" si="281"/>
        <v>46238.588269131942</v>
      </c>
      <c r="D1306" s="13">
        <v>46238.588269131942</v>
      </c>
      <c r="E1306" s="2" t="s">
        <v>606</v>
      </c>
      <c r="F1306" s="2" t="str">
        <f t="shared" si="271"/>
        <v>Email Available</v>
      </c>
      <c r="G1306" s="2" t="s">
        <v>607</v>
      </c>
      <c r="H1306" s="2" t="s">
        <v>261</v>
      </c>
      <c r="I1306" s="2" t="s">
        <v>36</v>
      </c>
      <c r="J1306" s="2" t="s">
        <v>262</v>
      </c>
      <c r="K1306" s="2">
        <v>1</v>
      </c>
      <c r="L1306" s="2">
        <v>15.49</v>
      </c>
      <c r="M1306" s="19">
        <f t="shared" si="272"/>
        <v>15.49</v>
      </c>
      <c r="N1306" s="2"/>
      <c r="O1306" s="2" t="str">
        <f t="shared" si="273"/>
        <v/>
      </c>
      <c r="P1306" s="2">
        <v>0</v>
      </c>
      <c r="Q1306" s="19">
        <f t="shared" si="274"/>
        <v>0</v>
      </c>
      <c r="R1306" s="2" t="str">
        <f t="shared" si="275"/>
        <v>Number</v>
      </c>
      <c r="S1306" s="2">
        <v>7.99</v>
      </c>
      <c r="T1306" s="19">
        <f t="shared" si="276"/>
        <v>7.99</v>
      </c>
      <c r="U1306" s="2">
        <v>23.48</v>
      </c>
      <c r="V1306" s="19">
        <f t="shared" si="277"/>
        <v>23.48</v>
      </c>
      <c r="W1306" s="19">
        <f t="shared" si="278"/>
        <v>23.48</v>
      </c>
      <c r="X1306" s="19" t="str">
        <f t="shared" si="279"/>
        <v>True</v>
      </c>
      <c r="Y1306" s="19" t="str">
        <f>IF(OR(W1306&lt;'Cleaning Tasks'!$G$18,W1306&gt;'Cleaning Tasks'!$H$18),"Outlier","Normal")</f>
        <v>Normal</v>
      </c>
      <c r="Z1306" s="2" t="s">
        <v>26</v>
      </c>
      <c r="AA1306" s="2" t="s">
        <v>27</v>
      </c>
      <c r="AB1306" s="2" t="s">
        <v>50</v>
      </c>
      <c r="AC1306" s="2" t="s">
        <v>42</v>
      </c>
      <c r="AD1306" s="2"/>
      <c r="AE1306" s="2" t="str">
        <f t="shared" si="280"/>
        <v>Not Required</v>
      </c>
      <c r="AF1306" s="2" t="s">
        <v>3671</v>
      </c>
    </row>
    <row r="1307" spans="1:32" x14ac:dyDescent="0.3">
      <c r="A1307" s="2" t="s">
        <v>3672</v>
      </c>
      <c r="B1307" s="2">
        <f t="shared" si="270"/>
        <v>1</v>
      </c>
      <c r="C1307" s="12">
        <f t="shared" si="281"/>
        <v>46238.585680127311</v>
      </c>
      <c r="D1307" s="13">
        <v>46238.585680127311</v>
      </c>
      <c r="E1307" s="2" t="s">
        <v>3673</v>
      </c>
      <c r="F1307" s="2" t="str">
        <f t="shared" si="271"/>
        <v>Email Available</v>
      </c>
      <c r="G1307" s="2" t="s">
        <v>3674</v>
      </c>
      <c r="H1307" s="2" t="s">
        <v>279</v>
      </c>
      <c r="I1307" s="2" t="s">
        <v>22</v>
      </c>
      <c r="J1307" s="2" t="s">
        <v>280</v>
      </c>
      <c r="K1307" s="2">
        <v>2</v>
      </c>
      <c r="L1307" s="2">
        <v>24.99</v>
      </c>
      <c r="M1307" s="19">
        <f t="shared" si="272"/>
        <v>24.99</v>
      </c>
      <c r="N1307" s="2" t="s">
        <v>203</v>
      </c>
      <c r="O1307" s="2" t="str">
        <f t="shared" si="273"/>
        <v>VIP15</v>
      </c>
      <c r="P1307" s="2">
        <v>7.5</v>
      </c>
      <c r="Q1307" s="19">
        <f t="shared" si="274"/>
        <v>7.5</v>
      </c>
      <c r="R1307" s="2" t="str">
        <f t="shared" si="275"/>
        <v>Number</v>
      </c>
      <c r="S1307" s="2">
        <v>4.99</v>
      </c>
      <c r="T1307" s="19">
        <f t="shared" si="276"/>
        <v>4.99</v>
      </c>
      <c r="U1307" s="2">
        <v>47.47</v>
      </c>
      <c r="V1307" s="19">
        <f t="shared" si="277"/>
        <v>47.47</v>
      </c>
      <c r="W1307" s="19">
        <f t="shared" si="278"/>
        <v>47.47</v>
      </c>
      <c r="X1307" s="19" t="str">
        <f t="shared" si="279"/>
        <v>True</v>
      </c>
      <c r="Y1307" s="19" t="str">
        <f>IF(OR(W1307&lt;'Cleaning Tasks'!$G$18,W1307&gt;'Cleaning Tasks'!$H$18),"Outlier","Normal")</f>
        <v>Normal</v>
      </c>
      <c r="Z1307" s="2" t="s">
        <v>26</v>
      </c>
      <c r="AA1307" s="2" t="s">
        <v>111</v>
      </c>
      <c r="AB1307" s="2" t="s">
        <v>28</v>
      </c>
      <c r="AC1307" s="2" t="s">
        <v>73</v>
      </c>
      <c r="AD1307" s="2"/>
      <c r="AE1307" s="2" t="str">
        <f t="shared" si="280"/>
        <v>Not Required</v>
      </c>
      <c r="AF1307" s="2" t="s">
        <v>3675</v>
      </c>
    </row>
    <row r="1308" spans="1:32" x14ac:dyDescent="0.3">
      <c r="A1308" s="2" t="s">
        <v>3676</v>
      </c>
      <c r="B1308" s="2">
        <f t="shared" si="270"/>
        <v>1</v>
      </c>
      <c r="C1308" s="12">
        <f t="shared" si="281"/>
        <v>46238.584450069437</v>
      </c>
      <c r="D1308" s="13">
        <v>46238.584450069437</v>
      </c>
      <c r="E1308" s="2" t="s">
        <v>489</v>
      </c>
      <c r="F1308" s="2" t="str">
        <f t="shared" si="271"/>
        <v>Email Available</v>
      </c>
      <c r="G1308" s="2" t="s">
        <v>490</v>
      </c>
      <c r="H1308" s="2" t="s">
        <v>124</v>
      </c>
      <c r="I1308" s="2" t="s">
        <v>79</v>
      </c>
      <c r="J1308" s="2" t="s">
        <v>125</v>
      </c>
      <c r="K1308" s="2">
        <v>1</v>
      </c>
      <c r="L1308" s="2">
        <v>13.99</v>
      </c>
      <c r="M1308" s="19">
        <f t="shared" si="272"/>
        <v>13.99</v>
      </c>
      <c r="N1308" s="2"/>
      <c r="O1308" s="2" t="str">
        <f t="shared" si="273"/>
        <v/>
      </c>
      <c r="P1308" s="2">
        <v>0</v>
      </c>
      <c r="Q1308" s="19">
        <f t="shared" si="274"/>
        <v>0</v>
      </c>
      <c r="R1308" s="2" t="str">
        <f t="shared" si="275"/>
        <v>Number</v>
      </c>
      <c r="S1308" s="2">
        <v>5.99</v>
      </c>
      <c r="T1308" s="19">
        <f t="shared" si="276"/>
        <v>5.99</v>
      </c>
      <c r="U1308" s="2">
        <v>19.98</v>
      </c>
      <c r="V1308" s="19">
        <f t="shared" si="277"/>
        <v>19.98</v>
      </c>
      <c r="W1308" s="19">
        <f t="shared" si="278"/>
        <v>19.98</v>
      </c>
      <c r="X1308" s="19" t="str">
        <f t="shared" si="279"/>
        <v>True</v>
      </c>
      <c r="Y1308" s="19" t="str">
        <f>IF(OR(W1308&lt;'Cleaning Tasks'!$G$18,W1308&gt;'Cleaning Tasks'!$H$18),"Outlier","Normal")</f>
        <v>Normal</v>
      </c>
      <c r="Z1308" s="2" t="s">
        <v>26</v>
      </c>
      <c r="AA1308" s="2" t="s">
        <v>27</v>
      </c>
      <c r="AB1308" s="2" t="s">
        <v>50</v>
      </c>
      <c r="AC1308" s="2" t="s">
        <v>29</v>
      </c>
      <c r="AD1308" s="22" t="s">
        <v>243</v>
      </c>
      <c r="AE1308" s="2" t="str">
        <f t="shared" si="280"/>
        <v>Valid</v>
      </c>
      <c r="AF1308" s="2" t="s">
        <v>3677</v>
      </c>
    </row>
    <row r="1309" spans="1:32" x14ac:dyDescent="0.3">
      <c r="A1309" s="2" t="s">
        <v>3678</v>
      </c>
      <c r="B1309" s="2">
        <f t="shared" si="270"/>
        <v>1</v>
      </c>
      <c r="C1309" s="12">
        <f t="shared" si="281"/>
        <v>46238</v>
      </c>
      <c r="D1309" s="13">
        <v>46238</v>
      </c>
      <c r="E1309" s="2" t="s">
        <v>843</v>
      </c>
      <c r="F1309" s="2" t="str">
        <f t="shared" si="271"/>
        <v>Email Available</v>
      </c>
      <c r="G1309" s="2" t="s">
        <v>844</v>
      </c>
      <c r="H1309" s="2" t="s">
        <v>63</v>
      </c>
      <c r="I1309" s="2" t="s">
        <v>47</v>
      </c>
      <c r="J1309" s="2" t="s">
        <v>446</v>
      </c>
      <c r="K1309" s="2">
        <v>1</v>
      </c>
      <c r="L1309" s="2">
        <v>14.99</v>
      </c>
      <c r="M1309" s="19">
        <f t="shared" si="272"/>
        <v>14.99</v>
      </c>
      <c r="N1309" s="2" t="s">
        <v>203</v>
      </c>
      <c r="O1309" s="2" t="str">
        <f t="shared" si="273"/>
        <v>VIP15</v>
      </c>
      <c r="P1309" s="2">
        <v>2.25</v>
      </c>
      <c r="Q1309" s="19">
        <f t="shared" si="274"/>
        <v>2.25</v>
      </c>
      <c r="R1309" s="2" t="str">
        <f t="shared" si="275"/>
        <v>Number</v>
      </c>
      <c r="S1309" s="2">
        <v>7.99</v>
      </c>
      <c r="T1309" s="19">
        <f t="shared" si="276"/>
        <v>7.99</v>
      </c>
      <c r="U1309" s="2">
        <v>20.73</v>
      </c>
      <c r="V1309" s="19">
        <f t="shared" si="277"/>
        <v>20.73</v>
      </c>
      <c r="W1309" s="19">
        <f t="shared" si="278"/>
        <v>20.73</v>
      </c>
      <c r="X1309" s="19" t="str">
        <f t="shared" si="279"/>
        <v>True</v>
      </c>
      <c r="Y1309" s="19" t="str">
        <f>IF(OR(W1309&lt;'Cleaning Tasks'!$G$18,W1309&gt;'Cleaning Tasks'!$H$18),"Outlier","Normal")</f>
        <v>Normal</v>
      </c>
      <c r="Z1309" s="2" t="s">
        <v>72</v>
      </c>
      <c r="AA1309" s="2" t="s">
        <v>27</v>
      </c>
      <c r="AB1309" s="2" t="s">
        <v>50</v>
      </c>
      <c r="AC1309" s="2" t="s">
        <v>29</v>
      </c>
      <c r="AD1309" s="2" t="s">
        <v>30</v>
      </c>
      <c r="AE1309" s="2" t="str">
        <f t="shared" si="280"/>
        <v>Valid</v>
      </c>
      <c r="AF1309" s="2" t="s">
        <v>3679</v>
      </c>
    </row>
    <row r="1310" spans="1:32" x14ac:dyDescent="0.3">
      <c r="A1310" s="2" t="s">
        <v>3680</v>
      </c>
      <c r="B1310" s="2">
        <f t="shared" si="270"/>
        <v>1</v>
      </c>
      <c r="C1310" s="12">
        <f t="shared" si="281"/>
        <v>46238.585834351848</v>
      </c>
      <c r="D1310" s="13">
        <v>46238.585834351848</v>
      </c>
      <c r="E1310" s="2" t="s">
        <v>377</v>
      </c>
      <c r="F1310" s="2" t="str">
        <f t="shared" si="271"/>
        <v>Email Available</v>
      </c>
      <c r="G1310" s="2" t="s">
        <v>378</v>
      </c>
      <c r="H1310" s="2" t="s">
        <v>146</v>
      </c>
      <c r="I1310" s="2" t="s">
        <v>47</v>
      </c>
      <c r="J1310" s="2" t="s">
        <v>147</v>
      </c>
      <c r="K1310" s="2">
        <v>2</v>
      </c>
      <c r="L1310" s="2">
        <v>34.99</v>
      </c>
      <c r="M1310" s="19">
        <f t="shared" si="272"/>
        <v>34.99</v>
      </c>
      <c r="N1310" s="2"/>
      <c r="O1310" s="2" t="str">
        <f t="shared" si="273"/>
        <v/>
      </c>
      <c r="P1310" s="2">
        <v>0</v>
      </c>
      <c r="Q1310" s="19">
        <f t="shared" si="274"/>
        <v>0</v>
      </c>
      <c r="R1310" s="2" t="str">
        <f t="shared" si="275"/>
        <v>Number</v>
      </c>
      <c r="S1310" s="2">
        <v>4.99</v>
      </c>
      <c r="T1310" s="19">
        <f t="shared" si="276"/>
        <v>4.99</v>
      </c>
      <c r="U1310" s="2">
        <v>74.97</v>
      </c>
      <c r="V1310" s="19">
        <f t="shared" si="277"/>
        <v>74.97</v>
      </c>
      <c r="W1310" s="19">
        <f t="shared" si="278"/>
        <v>74.97</v>
      </c>
      <c r="X1310" s="19" t="str">
        <f t="shared" si="279"/>
        <v>True</v>
      </c>
      <c r="Y1310" s="19" t="str">
        <f>IF(OR(W1310&lt;'Cleaning Tasks'!$G$18,W1310&gt;'Cleaning Tasks'!$H$18),"Outlier","Normal")</f>
        <v>Normal</v>
      </c>
      <c r="Z1310" s="2" t="s">
        <v>72</v>
      </c>
      <c r="AA1310" s="2" t="s">
        <v>88</v>
      </c>
      <c r="AB1310" s="2" t="s">
        <v>41</v>
      </c>
      <c r="AC1310" s="2" t="s">
        <v>73</v>
      </c>
      <c r="AD1310" s="2"/>
      <c r="AE1310" s="2" t="str">
        <f t="shared" si="280"/>
        <v>Not Required</v>
      </c>
      <c r="AF1310" s="2" t="s">
        <v>3681</v>
      </c>
    </row>
    <row r="1311" spans="1:32" x14ac:dyDescent="0.3">
      <c r="A1311" s="2" t="s">
        <v>3682</v>
      </c>
      <c r="B1311" s="2">
        <f t="shared" si="270"/>
        <v>1</v>
      </c>
      <c r="C1311" s="12">
        <f t="shared" si="281"/>
        <v>46238</v>
      </c>
      <c r="D1311" s="13">
        <v>46238</v>
      </c>
      <c r="E1311" s="2" t="s">
        <v>554</v>
      </c>
      <c r="F1311" s="2" t="str">
        <f t="shared" si="271"/>
        <v>Email Available</v>
      </c>
      <c r="G1311" s="2" t="s">
        <v>45</v>
      </c>
      <c r="H1311" s="2" t="s">
        <v>152</v>
      </c>
      <c r="I1311" s="2" t="s">
        <v>36</v>
      </c>
      <c r="J1311" s="2" t="s">
        <v>153</v>
      </c>
      <c r="K1311" s="2">
        <v>1</v>
      </c>
      <c r="L1311" s="2">
        <v>29.99</v>
      </c>
      <c r="M1311" s="19">
        <f t="shared" si="272"/>
        <v>29.99</v>
      </c>
      <c r="N1311" s="2" t="s">
        <v>24</v>
      </c>
      <c r="O1311" s="2" t="str">
        <f t="shared" si="273"/>
        <v>SAVE20</v>
      </c>
      <c r="P1311" s="2">
        <v>6</v>
      </c>
      <c r="Q1311" s="19">
        <f t="shared" si="274"/>
        <v>6</v>
      </c>
      <c r="R1311" s="2" t="str">
        <f t="shared" si="275"/>
        <v>Number</v>
      </c>
      <c r="S1311" s="2">
        <v>5.99</v>
      </c>
      <c r="T1311" s="19">
        <f t="shared" si="276"/>
        <v>5.99</v>
      </c>
      <c r="U1311" s="2">
        <v>29.98</v>
      </c>
      <c r="V1311" s="19">
        <f t="shared" si="277"/>
        <v>29.98</v>
      </c>
      <c r="W1311" s="19">
        <f t="shared" si="278"/>
        <v>29.979999999999997</v>
      </c>
      <c r="X1311" s="19" t="str">
        <f t="shared" si="279"/>
        <v>True</v>
      </c>
      <c r="Y1311" s="19" t="str">
        <f>IF(OR(W1311&lt;'Cleaning Tasks'!$G$18,W1311&gt;'Cleaning Tasks'!$H$18),"Outlier","Normal")</f>
        <v>Normal</v>
      </c>
      <c r="Z1311" s="2" t="s">
        <v>49</v>
      </c>
      <c r="AA1311" s="2" t="s">
        <v>88</v>
      </c>
      <c r="AB1311" s="2" t="s">
        <v>96</v>
      </c>
      <c r="AC1311" s="2" t="s">
        <v>29</v>
      </c>
      <c r="AD1311" s="2" t="s">
        <v>341</v>
      </c>
      <c r="AE1311" s="2" t="str">
        <f t="shared" si="280"/>
        <v>Valid</v>
      </c>
      <c r="AF1311" s="2" t="s">
        <v>3683</v>
      </c>
    </row>
    <row r="1312" spans="1:32" x14ac:dyDescent="0.3">
      <c r="A1312" s="2" t="s">
        <v>3684</v>
      </c>
      <c r="B1312" s="2">
        <f t="shared" si="270"/>
        <v>1</v>
      </c>
      <c r="C1312" s="12">
        <f t="shared" si="281"/>
        <v>46238.585011793977</v>
      </c>
      <c r="D1312" s="13">
        <v>46238.585011793977</v>
      </c>
      <c r="E1312" s="2" t="s">
        <v>188</v>
      </c>
      <c r="F1312" s="2" t="str">
        <f t="shared" si="271"/>
        <v>Email Available</v>
      </c>
      <c r="G1312" s="2" t="s">
        <v>189</v>
      </c>
      <c r="H1312" s="2" t="s">
        <v>85</v>
      </c>
      <c r="I1312" s="2" t="s">
        <v>86</v>
      </c>
      <c r="J1312" s="2" t="s">
        <v>87</v>
      </c>
      <c r="K1312" s="2">
        <v>1</v>
      </c>
      <c r="L1312" s="2">
        <v>54.99</v>
      </c>
      <c r="M1312" s="19">
        <f t="shared" si="272"/>
        <v>54.99</v>
      </c>
      <c r="N1312" s="2" t="s">
        <v>38</v>
      </c>
      <c r="O1312" s="2" t="str">
        <f t="shared" si="273"/>
        <v>FREESHIP</v>
      </c>
      <c r="P1312" s="2">
        <v>0</v>
      </c>
      <c r="Q1312" s="19">
        <f t="shared" si="274"/>
        <v>0</v>
      </c>
      <c r="R1312" s="2" t="str">
        <f t="shared" si="275"/>
        <v>Number</v>
      </c>
      <c r="S1312" s="2">
        <v>0</v>
      </c>
      <c r="T1312" s="19">
        <f t="shared" si="276"/>
        <v>0</v>
      </c>
      <c r="U1312" s="2">
        <v>54.99</v>
      </c>
      <c r="V1312" s="19">
        <f t="shared" si="277"/>
        <v>54.99</v>
      </c>
      <c r="W1312" s="19">
        <f t="shared" si="278"/>
        <v>54.99</v>
      </c>
      <c r="X1312" s="19" t="str">
        <f t="shared" si="279"/>
        <v>True</v>
      </c>
      <c r="Y1312" s="19" t="str">
        <f>IF(OR(W1312&lt;'Cleaning Tasks'!$G$18,W1312&gt;'Cleaning Tasks'!$H$18),"Outlier","Normal")</f>
        <v>Normal</v>
      </c>
      <c r="Z1312" s="2" t="s">
        <v>66</v>
      </c>
      <c r="AA1312" s="2" t="s">
        <v>88</v>
      </c>
      <c r="AB1312" s="2" t="s">
        <v>50</v>
      </c>
      <c r="AC1312" s="2" t="s">
        <v>29</v>
      </c>
      <c r="AD1312" s="2" t="s">
        <v>341</v>
      </c>
      <c r="AE1312" s="2" t="str">
        <f t="shared" si="280"/>
        <v>Valid</v>
      </c>
      <c r="AF1312" s="2" t="s">
        <v>3685</v>
      </c>
    </row>
    <row r="1313" spans="1:32" x14ac:dyDescent="0.3">
      <c r="A1313" s="2" t="s">
        <v>3686</v>
      </c>
      <c r="B1313" s="2">
        <f t="shared" si="270"/>
        <v>1</v>
      </c>
      <c r="C1313" s="12">
        <f t="shared" si="281"/>
        <v>46238.587336793978</v>
      </c>
      <c r="D1313" s="13">
        <v>46238.587336793978</v>
      </c>
      <c r="E1313" s="2" t="s">
        <v>1515</v>
      </c>
      <c r="F1313" s="2" t="str">
        <f t="shared" si="271"/>
        <v>Email Available</v>
      </c>
      <c r="G1313" s="2" t="s">
        <v>1516</v>
      </c>
      <c r="H1313" s="2" t="s">
        <v>124</v>
      </c>
      <c r="I1313" s="2" t="s">
        <v>79</v>
      </c>
      <c r="J1313" s="2" t="s">
        <v>125</v>
      </c>
      <c r="K1313" s="2">
        <v>1</v>
      </c>
      <c r="L1313" s="2">
        <v>13.99</v>
      </c>
      <c r="M1313" s="19">
        <f t="shared" si="272"/>
        <v>13.99</v>
      </c>
      <c r="N1313" s="2" t="s">
        <v>38</v>
      </c>
      <c r="O1313" s="2" t="str">
        <f t="shared" si="273"/>
        <v>FREESHIP</v>
      </c>
      <c r="P1313" s="2">
        <v>0</v>
      </c>
      <c r="Q1313" s="19">
        <f t="shared" si="274"/>
        <v>0</v>
      </c>
      <c r="R1313" s="2" t="str">
        <f t="shared" si="275"/>
        <v>Number</v>
      </c>
      <c r="S1313" s="2">
        <v>0</v>
      </c>
      <c r="T1313" s="19">
        <f t="shared" si="276"/>
        <v>0</v>
      </c>
      <c r="U1313" s="2">
        <v>13.99</v>
      </c>
      <c r="V1313" s="19">
        <f t="shared" si="277"/>
        <v>13.99</v>
      </c>
      <c r="W1313" s="19">
        <f t="shared" si="278"/>
        <v>13.99</v>
      </c>
      <c r="X1313" s="19" t="str">
        <f t="shared" si="279"/>
        <v>True</v>
      </c>
      <c r="Y1313" s="19" t="str">
        <f>IF(OR(W1313&lt;'Cleaning Tasks'!$G$18,W1313&gt;'Cleaning Tasks'!$H$18),"Outlier","Normal")</f>
        <v>Normal</v>
      </c>
      <c r="Z1313" s="2" t="s">
        <v>26</v>
      </c>
      <c r="AA1313" s="2" t="s">
        <v>111</v>
      </c>
      <c r="AB1313" s="2" t="s">
        <v>50</v>
      </c>
      <c r="AC1313" s="2" t="s">
        <v>73</v>
      </c>
      <c r="AD1313" s="2"/>
      <c r="AE1313" s="2" t="str">
        <f t="shared" si="280"/>
        <v>Not Required</v>
      </c>
      <c r="AF1313" s="2" t="s">
        <v>3687</v>
      </c>
    </row>
    <row r="1314" spans="1:32" x14ac:dyDescent="0.3">
      <c r="A1314" s="2" t="s">
        <v>3688</v>
      </c>
      <c r="B1314" s="2">
        <f t="shared" si="270"/>
        <v>1</v>
      </c>
      <c r="C1314" s="12">
        <f t="shared" si="281"/>
        <v>46238.584202789352</v>
      </c>
      <c r="D1314" s="13">
        <v>46238.584202789352</v>
      </c>
      <c r="E1314" s="2" t="s">
        <v>1455</v>
      </c>
      <c r="F1314" s="2" t="str">
        <f t="shared" si="271"/>
        <v>Email Available</v>
      </c>
      <c r="G1314" s="2" t="s">
        <v>1279</v>
      </c>
      <c r="H1314" s="2" t="s">
        <v>78</v>
      </c>
      <c r="I1314" s="2" t="s">
        <v>79</v>
      </c>
      <c r="J1314" s="2" t="s">
        <v>80</v>
      </c>
      <c r="K1314" s="2">
        <v>2</v>
      </c>
      <c r="L1314" s="2">
        <v>89.99</v>
      </c>
      <c r="M1314" s="19">
        <f t="shared" si="272"/>
        <v>89.99</v>
      </c>
      <c r="N1314" s="2" t="s">
        <v>24</v>
      </c>
      <c r="O1314" s="2" t="str">
        <f t="shared" si="273"/>
        <v>SAVE20</v>
      </c>
      <c r="P1314" s="2">
        <v>36</v>
      </c>
      <c r="Q1314" s="19">
        <f t="shared" si="274"/>
        <v>36</v>
      </c>
      <c r="R1314" s="2" t="str">
        <f t="shared" si="275"/>
        <v>Number</v>
      </c>
      <c r="S1314" s="2">
        <v>0</v>
      </c>
      <c r="T1314" s="19">
        <f t="shared" si="276"/>
        <v>0</v>
      </c>
      <c r="U1314" s="2">
        <v>143.97999999999999</v>
      </c>
      <c r="V1314" s="19">
        <f t="shared" si="277"/>
        <v>143.97999999999999</v>
      </c>
      <c r="W1314" s="19">
        <f t="shared" si="278"/>
        <v>143.97999999999999</v>
      </c>
      <c r="X1314" s="19" t="str">
        <f t="shared" si="279"/>
        <v>True</v>
      </c>
      <c r="Y1314" s="19" t="str">
        <f>IF(OR(W1314&lt;'Cleaning Tasks'!$G$18,W1314&gt;'Cleaning Tasks'!$H$18),"Outlier","Normal")</f>
        <v>Outlier</v>
      </c>
      <c r="Z1314" s="2" t="s">
        <v>39</v>
      </c>
      <c r="AA1314" s="2" t="s">
        <v>27</v>
      </c>
      <c r="AB1314" s="2" t="s">
        <v>50</v>
      </c>
      <c r="AC1314" s="2" t="s">
        <v>29</v>
      </c>
      <c r="AD1314" s="2" t="s">
        <v>447</v>
      </c>
      <c r="AE1314" s="2" t="str">
        <f t="shared" si="280"/>
        <v>Valid</v>
      </c>
      <c r="AF1314" s="2" t="s">
        <v>3689</v>
      </c>
    </row>
    <row r="1315" spans="1:32" x14ac:dyDescent="0.3">
      <c r="A1315" s="2" t="s">
        <v>3690</v>
      </c>
      <c r="B1315" s="2">
        <f t="shared" si="270"/>
        <v>1</v>
      </c>
      <c r="C1315" s="12">
        <f t="shared" si="281"/>
        <v>46238.582778692129</v>
      </c>
      <c r="D1315" s="13">
        <v>46238.582778692129</v>
      </c>
      <c r="E1315" s="2" t="s">
        <v>3691</v>
      </c>
      <c r="F1315" s="2" t="str">
        <f t="shared" si="271"/>
        <v>Email Available</v>
      </c>
      <c r="G1315" s="2" t="s">
        <v>1204</v>
      </c>
      <c r="H1315" s="2" t="s">
        <v>130</v>
      </c>
      <c r="I1315" s="2" t="s">
        <v>103</v>
      </c>
      <c r="J1315" s="2" t="s">
        <v>131</v>
      </c>
      <c r="K1315" s="2">
        <v>1</v>
      </c>
      <c r="L1315" s="2">
        <v>16.989999999999998</v>
      </c>
      <c r="M1315" s="19">
        <f t="shared" si="272"/>
        <v>16.989999999999998</v>
      </c>
      <c r="N1315" s="2" t="s">
        <v>203</v>
      </c>
      <c r="O1315" s="2" t="str">
        <f t="shared" si="273"/>
        <v>VIP15</v>
      </c>
      <c r="P1315" s="2">
        <v>2.5499999999999998</v>
      </c>
      <c r="Q1315" s="19">
        <f t="shared" si="274"/>
        <v>2.5499999999999998</v>
      </c>
      <c r="R1315" s="2" t="str">
        <f t="shared" si="275"/>
        <v>Number</v>
      </c>
      <c r="S1315" s="2">
        <v>5.99</v>
      </c>
      <c r="T1315" s="19">
        <f t="shared" si="276"/>
        <v>5.99</v>
      </c>
      <c r="U1315" s="2">
        <v>20.43</v>
      </c>
      <c r="V1315" s="19">
        <f t="shared" si="277"/>
        <v>20.43</v>
      </c>
      <c r="W1315" s="19">
        <f t="shared" si="278"/>
        <v>20.43</v>
      </c>
      <c r="X1315" s="19" t="str">
        <f t="shared" si="279"/>
        <v>True</v>
      </c>
      <c r="Y1315" s="19" t="str">
        <f>IF(OR(W1315&lt;'Cleaning Tasks'!$G$18,W1315&gt;'Cleaning Tasks'!$H$18),"Outlier","Normal")</f>
        <v>Normal</v>
      </c>
      <c r="Z1315" s="2" t="s">
        <v>66</v>
      </c>
      <c r="AA1315" s="2" t="s">
        <v>88</v>
      </c>
      <c r="AB1315" s="2" t="s">
        <v>50</v>
      </c>
      <c r="AC1315" s="2" t="s">
        <v>73</v>
      </c>
      <c r="AD1315" s="2"/>
      <c r="AE1315" s="2" t="str">
        <f t="shared" si="280"/>
        <v>Not Required</v>
      </c>
      <c r="AF1315" s="2" t="s">
        <v>3692</v>
      </c>
    </row>
    <row r="1316" spans="1:32" x14ac:dyDescent="0.3">
      <c r="A1316" s="2" t="s">
        <v>3693</v>
      </c>
      <c r="B1316" s="2">
        <f t="shared" si="270"/>
        <v>1</v>
      </c>
      <c r="C1316" s="12">
        <f t="shared" si="281"/>
        <v>46238.57991479167</v>
      </c>
      <c r="D1316" s="13">
        <v>46238.57991479167</v>
      </c>
      <c r="E1316" s="2" t="s">
        <v>122</v>
      </c>
      <c r="F1316" s="2" t="str">
        <f t="shared" si="271"/>
        <v>Email Available</v>
      </c>
      <c r="G1316" s="2" t="s">
        <v>123</v>
      </c>
      <c r="H1316" s="2" t="s">
        <v>190</v>
      </c>
      <c r="I1316" s="2" t="s">
        <v>191</v>
      </c>
      <c r="J1316" s="2" t="s">
        <v>192</v>
      </c>
      <c r="K1316" s="2">
        <v>3</v>
      </c>
      <c r="L1316" s="2">
        <v>13.49</v>
      </c>
      <c r="M1316" s="19">
        <f t="shared" si="272"/>
        <v>13.49</v>
      </c>
      <c r="N1316" s="2"/>
      <c r="O1316" s="2" t="str">
        <f t="shared" si="273"/>
        <v/>
      </c>
      <c r="P1316" s="2">
        <v>0</v>
      </c>
      <c r="Q1316" s="19">
        <f t="shared" si="274"/>
        <v>0</v>
      </c>
      <c r="R1316" s="2" t="str">
        <f t="shared" si="275"/>
        <v>Number</v>
      </c>
      <c r="S1316" s="2">
        <v>4.99</v>
      </c>
      <c r="T1316" s="19">
        <f t="shared" si="276"/>
        <v>4.99</v>
      </c>
      <c r="U1316" s="2">
        <v>45.46</v>
      </c>
      <c r="V1316" s="19">
        <f t="shared" si="277"/>
        <v>45.46</v>
      </c>
      <c r="W1316" s="19">
        <f t="shared" si="278"/>
        <v>45.46</v>
      </c>
      <c r="X1316" s="19" t="str">
        <f t="shared" si="279"/>
        <v>True</v>
      </c>
      <c r="Y1316" s="19" t="str">
        <f>IF(OR(W1316&lt;'Cleaning Tasks'!$G$18,W1316&gt;'Cleaning Tasks'!$H$18),"Outlier","Normal")</f>
        <v>Normal</v>
      </c>
      <c r="Z1316" s="2" t="s">
        <v>66</v>
      </c>
      <c r="AA1316" s="2" t="s">
        <v>27</v>
      </c>
      <c r="AB1316" s="2" t="s">
        <v>96</v>
      </c>
      <c r="AC1316" s="2" t="s">
        <v>42</v>
      </c>
      <c r="AD1316" s="2"/>
      <c r="AE1316" s="2" t="str">
        <f t="shared" si="280"/>
        <v>Not Required</v>
      </c>
      <c r="AF1316" s="2" t="s">
        <v>2460</v>
      </c>
    </row>
    <row r="1317" spans="1:32" x14ac:dyDescent="0.3">
      <c r="A1317" s="2" t="s">
        <v>3694</v>
      </c>
      <c r="B1317" s="2">
        <f t="shared" si="270"/>
        <v>1</v>
      </c>
      <c r="C1317" s="12">
        <f t="shared" si="281"/>
        <v>46238.580876377317</v>
      </c>
      <c r="D1317" s="13">
        <v>46238.580876377317</v>
      </c>
      <c r="E1317" s="2" t="s">
        <v>307</v>
      </c>
      <c r="F1317" s="2" t="str">
        <f t="shared" si="271"/>
        <v>Email Available</v>
      </c>
      <c r="G1317" s="2" t="s">
        <v>308</v>
      </c>
      <c r="H1317" s="2" t="s">
        <v>236</v>
      </c>
      <c r="I1317" s="2" t="s">
        <v>237</v>
      </c>
      <c r="J1317" s="2" t="s">
        <v>238</v>
      </c>
      <c r="K1317" s="2">
        <v>1</v>
      </c>
      <c r="L1317" s="2">
        <v>27.99</v>
      </c>
      <c r="M1317" s="19">
        <f t="shared" si="272"/>
        <v>27.99</v>
      </c>
      <c r="N1317" s="2"/>
      <c r="O1317" s="2" t="str">
        <f t="shared" si="273"/>
        <v/>
      </c>
      <c r="P1317" s="2">
        <v>0</v>
      </c>
      <c r="Q1317" s="19">
        <f t="shared" si="274"/>
        <v>0</v>
      </c>
      <c r="R1317" s="2" t="str">
        <f t="shared" si="275"/>
        <v>Number</v>
      </c>
      <c r="S1317" s="2">
        <v>4.99</v>
      </c>
      <c r="T1317" s="19">
        <f t="shared" si="276"/>
        <v>4.99</v>
      </c>
      <c r="U1317" s="2">
        <v>32.979999999999997</v>
      </c>
      <c r="V1317" s="19">
        <f t="shared" si="277"/>
        <v>32.979999999999997</v>
      </c>
      <c r="W1317" s="19">
        <f t="shared" si="278"/>
        <v>32.979999999999997</v>
      </c>
      <c r="X1317" s="19" t="str">
        <f t="shared" si="279"/>
        <v>True</v>
      </c>
      <c r="Y1317" s="19" t="str">
        <f>IF(OR(W1317&lt;'Cleaning Tasks'!$G$18,W1317&gt;'Cleaning Tasks'!$H$18),"Outlier","Normal")</f>
        <v>Normal</v>
      </c>
      <c r="Z1317" s="2" t="s">
        <v>26</v>
      </c>
      <c r="AA1317" s="2" t="s">
        <v>88</v>
      </c>
      <c r="AB1317" s="2" t="s">
        <v>28</v>
      </c>
      <c r="AC1317" s="2" t="s">
        <v>105</v>
      </c>
      <c r="AD1317" s="2"/>
      <c r="AE1317" s="2" t="str">
        <f t="shared" si="280"/>
        <v>Not Required</v>
      </c>
      <c r="AF1317" s="2" t="s">
        <v>3695</v>
      </c>
    </row>
    <row r="1318" spans="1:32" x14ac:dyDescent="0.3">
      <c r="A1318" s="2" t="s">
        <v>3696</v>
      </c>
      <c r="B1318" s="2">
        <f t="shared" si="270"/>
        <v>1</v>
      </c>
      <c r="C1318" s="12">
        <f t="shared" si="281"/>
        <v>46238.588284293983</v>
      </c>
      <c r="D1318" s="13">
        <v>46238.588284293983</v>
      </c>
      <c r="E1318" s="2" t="s">
        <v>2157</v>
      </c>
      <c r="F1318" s="2" t="str">
        <f t="shared" si="271"/>
        <v>Email Available</v>
      </c>
      <c r="G1318" s="2" t="s">
        <v>3434</v>
      </c>
      <c r="H1318" s="2" t="s">
        <v>78</v>
      </c>
      <c r="I1318" s="2" t="s">
        <v>79</v>
      </c>
      <c r="J1318" s="2" t="s">
        <v>80</v>
      </c>
      <c r="K1318" s="2">
        <v>1</v>
      </c>
      <c r="L1318" s="2">
        <v>89.99</v>
      </c>
      <c r="M1318" s="19">
        <f t="shared" si="272"/>
        <v>89.99</v>
      </c>
      <c r="N1318" s="2"/>
      <c r="O1318" s="2" t="str">
        <f t="shared" si="273"/>
        <v/>
      </c>
      <c r="P1318" s="2" t="s">
        <v>184</v>
      </c>
      <c r="Q1318" s="19">
        <f t="shared" si="274"/>
        <v>0</v>
      </c>
      <c r="R1318" s="2" t="str">
        <f t="shared" si="275"/>
        <v>Number</v>
      </c>
      <c r="S1318" s="2">
        <v>0</v>
      </c>
      <c r="T1318" s="19">
        <f t="shared" si="276"/>
        <v>0</v>
      </c>
      <c r="U1318" s="2">
        <v>89.99</v>
      </c>
      <c r="V1318" s="19">
        <f t="shared" si="277"/>
        <v>89.99</v>
      </c>
      <c r="W1318" s="19">
        <f t="shared" si="278"/>
        <v>89.99</v>
      </c>
      <c r="X1318" s="19" t="str">
        <f t="shared" si="279"/>
        <v>True</v>
      </c>
      <c r="Y1318" s="19" t="str">
        <f>IF(OR(W1318&lt;'Cleaning Tasks'!$G$18,W1318&gt;'Cleaning Tasks'!$H$18),"Outlier","Normal")</f>
        <v>Outlier</v>
      </c>
      <c r="Z1318" s="2" t="s">
        <v>26</v>
      </c>
      <c r="AA1318" s="2" t="s">
        <v>40</v>
      </c>
      <c r="AB1318" s="2" t="s">
        <v>50</v>
      </c>
      <c r="AC1318" s="2" t="s">
        <v>223</v>
      </c>
      <c r="AD1318" s="2"/>
      <c r="AE1318" s="2" t="str">
        <f t="shared" si="280"/>
        <v>Not Required</v>
      </c>
      <c r="AF1318" s="2" t="s">
        <v>3697</v>
      </c>
    </row>
    <row r="1319" spans="1:32" x14ac:dyDescent="0.3">
      <c r="A1319" s="2" t="s">
        <v>3698</v>
      </c>
      <c r="B1319" s="2">
        <f t="shared" si="270"/>
        <v>1</v>
      </c>
      <c r="C1319" s="12">
        <f>DATE(VALUE(RIGHT(D1319,4)),MATCH(LEFT(D1319,3),{"Jan","Feb","Mar","Apr","May","Jun","Jul","Aug","Sep","Oct","Nov","Dec"},0),VALUE(MID(D1319,5,2)))</f>
        <v>46238</v>
      </c>
      <c r="D1319" s="13" t="s">
        <v>171</v>
      </c>
      <c r="E1319" s="2" t="s">
        <v>2912</v>
      </c>
      <c r="F1319" s="2" t="str">
        <f t="shared" si="271"/>
        <v>Email Available</v>
      </c>
      <c r="G1319" s="2" t="s">
        <v>2913</v>
      </c>
      <c r="H1319" s="2" t="s">
        <v>130</v>
      </c>
      <c r="I1319" s="2" t="s">
        <v>103</v>
      </c>
      <c r="J1319" s="2" t="s">
        <v>131</v>
      </c>
      <c r="K1319" s="2">
        <v>2</v>
      </c>
      <c r="L1319" s="2">
        <v>16.989999999999998</v>
      </c>
      <c r="M1319" s="19">
        <f t="shared" si="272"/>
        <v>16.989999999999998</v>
      </c>
      <c r="N1319" s="2" t="s">
        <v>24</v>
      </c>
      <c r="O1319" s="2" t="str">
        <f t="shared" si="273"/>
        <v>SAVE20</v>
      </c>
      <c r="P1319" s="2">
        <v>6.8</v>
      </c>
      <c r="Q1319" s="19">
        <f t="shared" si="274"/>
        <v>6.8</v>
      </c>
      <c r="R1319" s="2" t="str">
        <f t="shared" si="275"/>
        <v>Number</v>
      </c>
      <c r="S1319" s="2">
        <v>5.99</v>
      </c>
      <c r="T1319" s="19">
        <f t="shared" si="276"/>
        <v>5.99</v>
      </c>
      <c r="U1319" s="2">
        <v>33.17</v>
      </c>
      <c r="V1319" s="19">
        <f t="shared" si="277"/>
        <v>33.17</v>
      </c>
      <c r="W1319" s="19">
        <f t="shared" si="278"/>
        <v>33.169999999999995</v>
      </c>
      <c r="X1319" s="19" t="str">
        <f t="shared" si="279"/>
        <v>True</v>
      </c>
      <c r="Y1319" s="19" t="str">
        <f>IF(OR(W1319&lt;'Cleaning Tasks'!$G$18,W1319&gt;'Cleaning Tasks'!$H$18),"Outlier","Normal")</f>
        <v>Normal</v>
      </c>
      <c r="Z1319" s="2" t="s">
        <v>26</v>
      </c>
      <c r="AA1319" s="2" t="s">
        <v>111</v>
      </c>
      <c r="AB1319" s="2" t="s">
        <v>50</v>
      </c>
      <c r="AC1319" s="2" t="s">
        <v>331</v>
      </c>
      <c r="AD1319" s="2"/>
      <c r="AE1319" s="2" t="str">
        <f t="shared" si="280"/>
        <v>Not Required</v>
      </c>
      <c r="AF1319" s="2" t="s">
        <v>3699</v>
      </c>
    </row>
    <row r="1320" spans="1:32" x14ac:dyDescent="0.3">
      <c r="A1320" s="2" t="s">
        <v>3700</v>
      </c>
      <c r="B1320" s="2">
        <f t="shared" si="270"/>
        <v>1</v>
      </c>
      <c r="C1320" s="12">
        <f t="shared" ref="C1320:C1351" si="282">IF(ISNUMBER(D1320),D1320,DATEVALUE(SUBSTITUTE(TRIM(D1320),CHAR(160)," ")))</f>
        <v>46238.581657175928</v>
      </c>
      <c r="D1320" s="13">
        <v>46238.581657175928</v>
      </c>
      <c r="E1320" s="2" t="s">
        <v>206</v>
      </c>
      <c r="F1320" s="2" t="str">
        <f t="shared" si="271"/>
        <v>Email Available</v>
      </c>
      <c r="G1320" s="2" t="s">
        <v>207</v>
      </c>
      <c r="H1320" s="2" t="s">
        <v>109</v>
      </c>
      <c r="I1320" s="2" t="s">
        <v>79</v>
      </c>
      <c r="J1320" s="2" t="s">
        <v>110</v>
      </c>
      <c r="K1320" s="2">
        <v>1</v>
      </c>
      <c r="L1320" s="2">
        <v>22.99</v>
      </c>
      <c r="M1320" s="19">
        <f t="shared" si="272"/>
        <v>22.99</v>
      </c>
      <c r="N1320" s="2"/>
      <c r="O1320" s="2" t="str">
        <f t="shared" si="273"/>
        <v/>
      </c>
      <c r="P1320" s="2">
        <v>0</v>
      </c>
      <c r="Q1320" s="19">
        <f t="shared" si="274"/>
        <v>0</v>
      </c>
      <c r="R1320" s="2" t="str">
        <f t="shared" si="275"/>
        <v>Number</v>
      </c>
      <c r="S1320" s="2">
        <v>4.99</v>
      </c>
      <c r="T1320" s="19">
        <f t="shared" si="276"/>
        <v>4.99</v>
      </c>
      <c r="U1320" s="2" t="s">
        <v>3701</v>
      </c>
      <c r="V1320" s="19">
        <f t="shared" si="277"/>
        <v>27.98</v>
      </c>
      <c r="W1320" s="19">
        <f t="shared" si="278"/>
        <v>27.979999999999997</v>
      </c>
      <c r="X1320" s="19" t="str">
        <f t="shared" si="279"/>
        <v>True</v>
      </c>
      <c r="Y1320" s="19" t="str">
        <f>IF(OR(W1320&lt;'Cleaning Tasks'!$G$18,W1320&gt;'Cleaning Tasks'!$H$18),"Outlier","Normal")</f>
        <v>Normal</v>
      </c>
      <c r="Z1320" s="2" t="s">
        <v>72</v>
      </c>
      <c r="AA1320" s="2" t="s">
        <v>111</v>
      </c>
      <c r="AB1320" s="2" t="s">
        <v>28</v>
      </c>
      <c r="AC1320" s="2" t="s">
        <v>105</v>
      </c>
      <c r="AD1320" s="2"/>
      <c r="AE1320" s="2" t="str">
        <f t="shared" si="280"/>
        <v>Not Required</v>
      </c>
      <c r="AF1320" s="2" t="s">
        <v>3702</v>
      </c>
    </row>
    <row r="1321" spans="1:32" x14ac:dyDescent="0.3">
      <c r="A1321" s="2" t="s">
        <v>3703</v>
      </c>
      <c r="B1321" s="2">
        <f t="shared" si="270"/>
        <v>1</v>
      </c>
      <c r="C1321" s="12">
        <f t="shared" si="282"/>
        <v>46238.587760300928</v>
      </c>
      <c r="D1321" s="13">
        <v>46238.587760300928</v>
      </c>
      <c r="E1321" s="2" t="s">
        <v>690</v>
      </c>
      <c r="F1321" s="2" t="str">
        <f t="shared" si="271"/>
        <v>Email Available</v>
      </c>
      <c r="G1321" s="2" t="s">
        <v>691</v>
      </c>
      <c r="H1321" s="2" t="s">
        <v>166</v>
      </c>
      <c r="I1321" s="2" t="s">
        <v>103</v>
      </c>
      <c r="J1321" s="2" t="s">
        <v>167</v>
      </c>
      <c r="K1321" s="2">
        <v>1</v>
      </c>
      <c r="L1321" s="2">
        <v>32.99</v>
      </c>
      <c r="M1321" s="19">
        <f t="shared" si="272"/>
        <v>32.99</v>
      </c>
      <c r="N1321" s="2"/>
      <c r="O1321" s="2" t="str">
        <f t="shared" si="273"/>
        <v/>
      </c>
      <c r="P1321" s="2">
        <v>0</v>
      </c>
      <c r="Q1321" s="19">
        <f t="shared" si="274"/>
        <v>0</v>
      </c>
      <c r="R1321" s="2" t="str">
        <f t="shared" si="275"/>
        <v>Number</v>
      </c>
      <c r="S1321" s="2">
        <v>4.99</v>
      </c>
      <c r="T1321" s="19">
        <f t="shared" si="276"/>
        <v>4.99</v>
      </c>
      <c r="U1321" s="2">
        <v>37.979999999999997</v>
      </c>
      <c r="V1321" s="19">
        <f t="shared" si="277"/>
        <v>37.979999999999997</v>
      </c>
      <c r="W1321" s="19">
        <f t="shared" si="278"/>
        <v>37.980000000000004</v>
      </c>
      <c r="X1321" s="19" t="str">
        <f t="shared" si="279"/>
        <v>True</v>
      </c>
      <c r="Y1321" s="19" t="str">
        <f>IF(OR(W1321&lt;'Cleaning Tasks'!$G$18,W1321&gt;'Cleaning Tasks'!$H$18),"Outlier","Normal")</f>
        <v>Normal</v>
      </c>
      <c r="Z1321" s="2" t="s">
        <v>49</v>
      </c>
      <c r="AA1321" s="2" t="s">
        <v>88</v>
      </c>
      <c r="AB1321" s="2" t="s">
        <v>50</v>
      </c>
      <c r="AC1321" s="2" t="s">
        <v>29</v>
      </c>
      <c r="AD1321" s="2" t="s">
        <v>341</v>
      </c>
      <c r="AE1321" s="2" t="str">
        <f t="shared" si="280"/>
        <v>Valid</v>
      </c>
      <c r="AF1321" s="2" t="s">
        <v>3704</v>
      </c>
    </row>
    <row r="1322" spans="1:32" x14ac:dyDescent="0.3">
      <c r="A1322" s="2" t="s">
        <v>3705</v>
      </c>
      <c r="B1322" s="2">
        <f t="shared" si="270"/>
        <v>1</v>
      </c>
      <c r="C1322" s="12">
        <f t="shared" si="282"/>
        <v>46238.584505023151</v>
      </c>
      <c r="D1322" s="13">
        <v>46238.584505023151</v>
      </c>
      <c r="E1322" s="2" t="s">
        <v>251</v>
      </c>
      <c r="F1322" s="2" t="str">
        <f t="shared" si="271"/>
        <v>Email Available</v>
      </c>
      <c r="G1322" s="2" t="s">
        <v>344</v>
      </c>
      <c r="H1322" s="2" t="s">
        <v>221</v>
      </c>
      <c r="I1322" s="2" t="s">
        <v>22</v>
      </c>
      <c r="J1322" s="2" t="s">
        <v>222</v>
      </c>
      <c r="K1322" s="2">
        <v>2</v>
      </c>
      <c r="L1322" s="2">
        <v>17.989999999999998</v>
      </c>
      <c r="M1322" s="19">
        <f t="shared" si="272"/>
        <v>17.989999999999998</v>
      </c>
      <c r="N1322" s="2" t="s">
        <v>118</v>
      </c>
      <c r="O1322" s="2" t="str">
        <f t="shared" si="273"/>
        <v>BFCM25</v>
      </c>
      <c r="P1322" s="2">
        <v>8.99</v>
      </c>
      <c r="Q1322" s="19">
        <f t="shared" si="274"/>
        <v>8.99</v>
      </c>
      <c r="R1322" s="2" t="str">
        <f t="shared" si="275"/>
        <v>Number</v>
      </c>
      <c r="S1322" s="2">
        <v>7.99</v>
      </c>
      <c r="T1322" s="19">
        <f t="shared" si="276"/>
        <v>7.99</v>
      </c>
      <c r="U1322" s="2">
        <v>34.979999999999997</v>
      </c>
      <c r="V1322" s="19">
        <f t="shared" si="277"/>
        <v>34.979999999999997</v>
      </c>
      <c r="W1322" s="19">
        <f t="shared" si="278"/>
        <v>34.979999999999997</v>
      </c>
      <c r="X1322" s="19" t="str">
        <f t="shared" si="279"/>
        <v>True</v>
      </c>
      <c r="Y1322" s="19" t="str">
        <f>IF(OR(W1322&lt;'Cleaning Tasks'!$G$18,W1322&gt;'Cleaning Tasks'!$H$18),"Outlier","Normal")</f>
        <v>Normal</v>
      </c>
      <c r="Z1322" s="2" t="s">
        <v>39</v>
      </c>
      <c r="AA1322" s="2" t="s">
        <v>27</v>
      </c>
      <c r="AB1322" s="2" t="s">
        <v>50</v>
      </c>
      <c r="AC1322" s="2" t="s">
        <v>29</v>
      </c>
      <c r="AD1322" s="2" t="s">
        <v>112</v>
      </c>
      <c r="AE1322" s="2" t="str">
        <f t="shared" si="280"/>
        <v>Valid</v>
      </c>
      <c r="AF1322" s="2" t="s">
        <v>3706</v>
      </c>
    </row>
    <row r="1323" spans="1:32" x14ac:dyDescent="0.3">
      <c r="A1323" s="2" t="s">
        <v>3707</v>
      </c>
      <c r="B1323" s="2">
        <f t="shared" si="270"/>
        <v>1</v>
      </c>
      <c r="C1323" s="12">
        <f t="shared" si="282"/>
        <v>46238.586610162027</v>
      </c>
      <c r="D1323" s="13">
        <v>46238.586610162027</v>
      </c>
      <c r="E1323" s="2" t="s">
        <v>2838</v>
      </c>
      <c r="F1323" s="2" t="str">
        <f t="shared" si="271"/>
        <v>Email Available</v>
      </c>
      <c r="G1323" s="2" t="s">
        <v>2839</v>
      </c>
      <c r="H1323" s="2" t="s">
        <v>35</v>
      </c>
      <c r="I1323" s="2" t="s">
        <v>36</v>
      </c>
      <c r="J1323" s="2" t="s">
        <v>37</v>
      </c>
      <c r="K1323" s="2">
        <v>1</v>
      </c>
      <c r="L1323" s="2">
        <v>21.99</v>
      </c>
      <c r="M1323" s="19">
        <f t="shared" si="272"/>
        <v>21.99</v>
      </c>
      <c r="N1323" s="2" t="s">
        <v>203</v>
      </c>
      <c r="O1323" s="2" t="str">
        <f t="shared" si="273"/>
        <v>VIP15</v>
      </c>
      <c r="P1323" s="2">
        <v>3.3</v>
      </c>
      <c r="Q1323" s="19">
        <f t="shared" si="274"/>
        <v>3.3</v>
      </c>
      <c r="R1323" s="2" t="str">
        <f t="shared" si="275"/>
        <v>Number</v>
      </c>
      <c r="S1323" s="2">
        <v>7.99</v>
      </c>
      <c r="T1323" s="19">
        <f t="shared" si="276"/>
        <v>7.99</v>
      </c>
      <c r="U1323" s="2">
        <v>26.68</v>
      </c>
      <c r="V1323" s="19">
        <f t="shared" si="277"/>
        <v>26.68</v>
      </c>
      <c r="W1323" s="19">
        <f t="shared" si="278"/>
        <v>26.68</v>
      </c>
      <c r="X1323" s="19" t="str">
        <f t="shared" si="279"/>
        <v>True</v>
      </c>
      <c r="Y1323" s="19" t="str">
        <f>IF(OR(W1323&lt;'Cleaning Tasks'!$G$18,W1323&gt;'Cleaning Tasks'!$H$18),"Outlier","Normal")</f>
        <v>Normal</v>
      </c>
      <c r="Z1323" s="2" t="s">
        <v>66</v>
      </c>
      <c r="AA1323" s="2" t="s">
        <v>111</v>
      </c>
      <c r="AB1323" s="2" t="s">
        <v>28</v>
      </c>
      <c r="AC1323" s="2" t="s">
        <v>29</v>
      </c>
      <c r="AD1323" s="2" t="s">
        <v>447</v>
      </c>
      <c r="AE1323" s="2" t="str">
        <f t="shared" si="280"/>
        <v>Valid</v>
      </c>
      <c r="AF1323" s="2" t="s">
        <v>3708</v>
      </c>
    </row>
    <row r="1324" spans="1:32" x14ac:dyDescent="0.3">
      <c r="A1324" s="2" t="s">
        <v>3709</v>
      </c>
      <c r="B1324" s="2">
        <f t="shared" si="270"/>
        <v>1</v>
      </c>
      <c r="C1324" s="12">
        <f t="shared" si="282"/>
        <v>46238.587249895827</v>
      </c>
      <c r="D1324" s="13">
        <v>46238.587249895827</v>
      </c>
      <c r="E1324" s="2" t="s">
        <v>1157</v>
      </c>
      <c r="F1324" s="2" t="str">
        <f t="shared" si="271"/>
        <v>Email Available</v>
      </c>
      <c r="G1324" s="2" t="s">
        <v>1158</v>
      </c>
      <c r="H1324" s="2" t="s">
        <v>63</v>
      </c>
      <c r="I1324" s="2" t="s">
        <v>47</v>
      </c>
      <c r="J1324" s="2" t="s">
        <v>64</v>
      </c>
      <c r="K1324" s="2">
        <v>2</v>
      </c>
      <c r="L1324" s="2" t="s">
        <v>1465</v>
      </c>
      <c r="M1324" s="19">
        <f t="shared" si="272"/>
        <v>14.99</v>
      </c>
      <c r="N1324" s="2" t="s">
        <v>118</v>
      </c>
      <c r="O1324" s="2" t="str">
        <f t="shared" si="273"/>
        <v>BFCM25</v>
      </c>
      <c r="P1324" s="2">
        <v>7.5</v>
      </c>
      <c r="Q1324" s="19">
        <f t="shared" si="274"/>
        <v>7.5</v>
      </c>
      <c r="R1324" s="2" t="str">
        <f t="shared" si="275"/>
        <v>Number</v>
      </c>
      <c r="S1324" s="2">
        <v>5.99</v>
      </c>
      <c r="T1324" s="19">
        <f t="shared" si="276"/>
        <v>5.99</v>
      </c>
      <c r="U1324" s="2">
        <v>28.47</v>
      </c>
      <c r="V1324" s="19">
        <f t="shared" si="277"/>
        <v>28.47</v>
      </c>
      <c r="W1324" s="19">
        <f t="shared" si="278"/>
        <v>28.47</v>
      </c>
      <c r="X1324" s="19" t="str">
        <f t="shared" si="279"/>
        <v>True</v>
      </c>
      <c r="Y1324" s="19" t="str">
        <f>IF(OR(W1324&lt;'Cleaning Tasks'!$G$18,W1324&gt;'Cleaning Tasks'!$H$18),"Outlier","Normal")</f>
        <v>Normal</v>
      </c>
      <c r="Z1324" s="2" t="s">
        <v>39</v>
      </c>
      <c r="AA1324" s="2" t="s">
        <v>27</v>
      </c>
      <c r="AB1324" s="2" t="s">
        <v>28</v>
      </c>
      <c r="AC1324" s="2" t="s">
        <v>42</v>
      </c>
      <c r="AD1324" s="2"/>
      <c r="AE1324" s="2" t="str">
        <f t="shared" si="280"/>
        <v>Not Required</v>
      </c>
      <c r="AF1324" s="2" t="s">
        <v>3710</v>
      </c>
    </row>
    <row r="1325" spans="1:32" x14ac:dyDescent="0.3">
      <c r="A1325" s="2" t="s">
        <v>3711</v>
      </c>
      <c r="B1325" s="2">
        <f t="shared" si="270"/>
        <v>1</v>
      </c>
      <c r="C1325" s="12">
        <f t="shared" si="282"/>
        <v>46238.580440497688</v>
      </c>
      <c r="D1325" s="13">
        <v>46238.580440497688</v>
      </c>
      <c r="E1325" s="2" t="s">
        <v>1210</v>
      </c>
      <c r="F1325" s="2" t="str">
        <f t="shared" si="271"/>
        <v>Email Available</v>
      </c>
      <c r="G1325" s="2" t="s">
        <v>1211</v>
      </c>
      <c r="H1325" s="2" t="s">
        <v>63</v>
      </c>
      <c r="I1325" s="2" t="s">
        <v>47</v>
      </c>
      <c r="J1325" s="2" t="s">
        <v>64</v>
      </c>
      <c r="K1325" s="2">
        <v>1</v>
      </c>
      <c r="L1325" s="2">
        <v>14.99</v>
      </c>
      <c r="M1325" s="19">
        <f t="shared" si="272"/>
        <v>14.99</v>
      </c>
      <c r="N1325" s="2"/>
      <c r="O1325" s="2" t="str">
        <f t="shared" si="273"/>
        <v/>
      </c>
      <c r="P1325" s="2">
        <v>0</v>
      </c>
      <c r="Q1325" s="19">
        <f t="shared" si="274"/>
        <v>0</v>
      </c>
      <c r="R1325" s="2" t="str">
        <f t="shared" si="275"/>
        <v>Number</v>
      </c>
      <c r="S1325" s="2">
        <v>5.99</v>
      </c>
      <c r="T1325" s="19">
        <f t="shared" si="276"/>
        <v>5.99</v>
      </c>
      <c r="U1325" s="2" t="s">
        <v>2333</v>
      </c>
      <c r="V1325" s="19">
        <f t="shared" si="277"/>
        <v>20.98</v>
      </c>
      <c r="W1325" s="19">
        <f t="shared" si="278"/>
        <v>20.98</v>
      </c>
      <c r="X1325" s="19" t="str">
        <f t="shared" si="279"/>
        <v>True</v>
      </c>
      <c r="Y1325" s="19" t="str">
        <f>IF(OR(W1325&lt;'Cleaning Tasks'!$G$18,W1325&gt;'Cleaning Tasks'!$H$18),"Outlier","Normal")</f>
        <v>Normal</v>
      </c>
      <c r="Z1325" s="2" t="s">
        <v>66</v>
      </c>
      <c r="AA1325" s="2" t="s">
        <v>27</v>
      </c>
      <c r="AB1325" s="2" t="s">
        <v>50</v>
      </c>
      <c r="AC1325" s="2" t="s">
        <v>29</v>
      </c>
      <c r="AD1325" s="2" t="s">
        <v>73</v>
      </c>
      <c r="AE1325" s="2" t="str">
        <f t="shared" si="280"/>
        <v>Valid</v>
      </c>
      <c r="AF1325" s="2" t="s">
        <v>3712</v>
      </c>
    </row>
    <row r="1326" spans="1:32" x14ac:dyDescent="0.3">
      <c r="A1326" s="2" t="s">
        <v>3713</v>
      </c>
      <c r="B1326" s="2">
        <f t="shared" si="270"/>
        <v>1</v>
      </c>
      <c r="C1326" s="12">
        <f t="shared" si="282"/>
        <v>46238.581559502323</v>
      </c>
      <c r="D1326" s="13">
        <v>46238.581559502323</v>
      </c>
      <c r="E1326" s="2" t="s">
        <v>325</v>
      </c>
      <c r="F1326" s="2" t="str">
        <f t="shared" si="271"/>
        <v>Email Available</v>
      </c>
      <c r="G1326" s="2" t="s">
        <v>326</v>
      </c>
      <c r="H1326" s="2" t="s">
        <v>221</v>
      </c>
      <c r="I1326" s="2" t="s">
        <v>22</v>
      </c>
      <c r="J1326" s="2" t="s">
        <v>222</v>
      </c>
      <c r="K1326" s="2">
        <v>1</v>
      </c>
      <c r="L1326" s="2">
        <v>17.989999999999998</v>
      </c>
      <c r="M1326" s="19">
        <f t="shared" si="272"/>
        <v>17.989999999999998</v>
      </c>
      <c r="N1326" s="2"/>
      <c r="O1326" s="2" t="str">
        <f t="shared" si="273"/>
        <v/>
      </c>
      <c r="P1326" s="2">
        <v>0</v>
      </c>
      <c r="Q1326" s="19">
        <f t="shared" si="274"/>
        <v>0</v>
      </c>
      <c r="R1326" s="2" t="str">
        <f t="shared" si="275"/>
        <v>Number</v>
      </c>
      <c r="S1326" s="2">
        <v>5.99</v>
      </c>
      <c r="T1326" s="19">
        <f t="shared" si="276"/>
        <v>5.99</v>
      </c>
      <c r="U1326" s="2">
        <v>23.98</v>
      </c>
      <c r="V1326" s="19">
        <f t="shared" si="277"/>
        <v>23.98</v>
      </c>
      <c r="W1326" s="19">
        <f t="shared" si="278"/>
        <v>23.979999999999997</v>
      </c>
      <c r="X1326" s="19" t="str">
        <f t="shared" si="279"/>
        <v>True</v>
      </c>
      <c r="Y1326" s="19" t="str">
        <f>IF(OR(W1326&lt;'Cleaning Tasks'!$G$18,W1326&gt;'Cleaning Tasks'!$H$18),"Outlier","Normal")</f>
        <v>Normal</v>
      </c>
      <c r="Z1326" s="2" t="s">
        <v>72</v>
      </c>
      <c r="AA1326" s="2" t="s">
        <v>27</v>
      </c>
      <c r="AB1326" s="2" t="s">
        <v>50</v>
      </c>
      <c r="AC1326" s="2" t="s">
        <v>29</v>
      </c>
      <c r="AD1326" s="2" t="s">
        <v>30</v>
      </c>
      <c r="AE1326" s="2" t="str">
        <f t="shared" si="280"/>
        <v>Valid</v>
      </c>
      <c r="AF1326" s="2" t="s">
        <v>3714</v>
      </c>
    </row>
    <row r="1327" spans="1:32" x14ac:dyDescent="0.3">
      <c r="A1327" s="2" t="s">
        <v>3715</v>
      </c>
      <c r="B1327" s="2">
        <f t="shared" si="270"/>
        <v>1</v>
      </c>
      <c r="C1327" s="12">
        <f t="shared" si="282"/>
        <v>46238.584044537027</v>
      </c>
      <c r="D1327" s="13">
        <v>46238.584044537027</v>
      </c>
      <c r="E1327" s="2" t="s">
        <v>2142</v>
      </c>
      <c r="F1327" s="2" t="str">
        <f t="shared" si="271"/>
        <v>Email Available</v>
      </c>
      <c r="G1327" s="2" t="s">
        <v>2143</v>
      </c>
      <c r="H1327" s="2" t="s">
        <v>130</v>
      </c>
      <c r="I1327" s="2" t="s">
        <v>103</v>
      </c>
      <c r="J1327" s="2" t="s">
        <v>131</v>
      </c>
      <c r="K1327" s="2">
        <v>4</v>
      </c>
      <c r="L1327" s="2">
        <v>16.989999999999998</v>
      </c>
      <c r="M1327" s="19">
        <f t="shared" si="272"/>
        <v>16.989999999999998</v>
      </c>
      <c r="N1327" s="2"/>
      <c r="O1327" s="2" t="str">
        <f t="shared" si="273"/>
        <v/>
      </c>
      <c r="P1327" s="2">
        <v>0</v>
      </c>
      <c r="Q1327" s="19">
        <f t="shared" si="274"/>
        <v>0</v>
      </c>
      <c r="R1327" s="2" t="str">
        <f t="shared" si="275"/>
        <v>Number</v>
      </c>
      <c r="S1327" s="2">
        <v>7.99</v>
      </c>
      <c r="T1327" s="19">
        <f t="shared" si="276"/>
        <v>7.99</v>
      </c>
      <c r="U1327" s="2">
        <v>75.95</v>
      </c>
      <c r="V1327" s="19">
        <f t="shared" si="277"/>
        <v>75.95</v>
      </c>
      <c r="W1327" s="19">
        <f t="shared" si="278"/>
        <v>75.949999999999989</v>
      </c>
      <c r="X1327" s="19" t="str">
        <f t="shared" si="279"/>
        <v>True</v>
      </c>
      <c r="Y1327" s="19" t="str">
        <f>IF(OR(W1327&lt;'Cleaning Tasks'!$G$18,W1327&gt;'Cleaning Tasks'!$H$18),"Outlier","Normal")</f>
        <v>Normal</v>
      </c>
      <c r="Z1327" s="2" t="s">
        <v>66</v>
      </c>
      <c r="AA1327" s="2" t="s">
        <v>27</v>
      </c>
      <c r="AB1327" s="2" t="s">
        <v>50</v>
      </c>
      <c r="AC1327" s="2" t="s">
        <v>42</v>
      </c>
      <c r="AD1327" s="2"/>
      <c r="AE1327" s="2" t="str">
        <f t="shared" si="280"/>
        <v>Not Required</v>
      </c>
      <c r="AF1327" s="2" t="s">
        <v>3716</v>
      </c>
    </row>
    <row r="1328" spans="1:32" x14ac:dyDescent="0.3">
      <c r="A1328" s="2" t="s">
        <v>3717</v>
      </c>
      <c r="B1328" s="2">
        <f t="shared" si="270"/>
        <v>1</v>
      </c>
      <c r="C1328" s="12">
        <f t="shared" si="282"/>
        <v>46238.584902037037</v>
      </c>
      <c r="D1328" s="13">
        <v>46238.584902037037</v>
      </c>
      <c r="E1328" s="2" t="s">
        <v>321</v>
      </c>
      <c r="F1328" s="2" t="str">
        <f t="shared" si="271"/>
        <v>Email Available</v>
      </c>
      <c r="G1328" s="2" t="s">
        <v>322</v>
      </c>
      <c r="H1328" s="2" t="s">
        <v>46</v>
      </c>
      <c r="I1328" s="2" t="s">
        <v>47</v>
      </c>
      <c r="J1328" s="2" t="s">
        <v>48</v>
      </c>
      <c r="K1328" s="2">
        <v>1</v>
      </c>
      <c r="L1328" s="2">
        <v>39.99</v>
      </c>
      <c r="M1328" s="19">
        <f t="shared" si="272"/>
        <v>39.99</v>
      </c>
      <c r="N1328" s="2"/>
      <c r="O1328" s="2" t="str">
        <f t="shared" si="273"/>
        <v/>
      </c>
      <c r="P1328" s="2">
        <v>0</v>
      </c>
      <c r="Q1328" s="19">
        <f t="shared" si="274"/>
        <v>0</v>
      </c>
      <c r="R1328" s="2" t="str">
        <f t="shared" si="275"/>
        <v>Number</v>
      </c>
      <c r="S1328" s="2">
        <v>5.99</v>
      </c>
      <c r="T1328" s="19">
        <f t="shared" si="276"/>
        <v>5.99</v>
      </c>
      <c r="U1328" s="2">
        <v>45.98</v>
      </c>
      <c r="V1328" s="19">
        <f t="shared" si="277"/>
        <v>45.98</v>
      </c>
      <c r="W1328" s="19">
        <f t="shared" si="278"/>
        <v>45.980000000000004</v>
      </c>
      <c r="X1328" s="19" t="str">
        <f t="shared" si="279"/>
        <v>True</v>
      </c>
      <c r="Y1328" s="19" t="str">
        <f>IF(OR(W1328&lt;'Cleaning Tasks'!$G$18,W1328&gt;'Cleaning Tasks'!$H$18),"Outlier","Normal")</f>
        <v>Normal</v>
      </c>
      <c r="Z1328" s="2" t="s">
        <v>49</v>
      </c>
      <c r="AA1328" s="2" t="s">
        <v>27</v>
      </c>
      <c r="AB1328" s="2" t="s">
        <v>28</v>
      </c>
      <c r="AC1328" s="2" t="s">
        <v>223</v>
      </c>
      <c r="AD1328" s="2"/>
      <c r="AE1328" s="2" t="str">
        <f t="shared" si="280"/>
        <v>Not Required</v>
      </c>
      <c r="AF1328" s="2" t="s">
        <v>3718</v>
      </c>
    </row>
    <row r="1329" spans="1:32" x14ac:dyDescent="0.3">
      <c r="A1329" s="2" t="s">
        <v>3719</v>
      </c>
      <c r="B1329" s="2">
        <f t="shared" si="270"/>
        <v>1</v>
      </c>
      <c r="C1329" s="12">
        <f t="shared" si="282"/>
        <v>46238.583455868058</v>
      </c>
      <c r="D1329" s="13">
        <v>46238.583455868058</v>
      </c>
      <c r="E1329" s="2" t="s">
        <v>2199</v>
      </c>
      <c r="F1329" s="2" t="str">
        <f t="shared" si="271"/>
        <v>Email Available</v>
      </c>
      <c r="G1329" s="2" t="s">
        <v>2200</v>
      </c>
      <c r="H1329" s="2" t="s">
        <v>130</v>
      </c>
      <c r="I1329" s="2" t="s">
        <v>103</v>
      </c>
      <c r="J1329" s="2" t="s">
        <v>131</v>
      </c>
      <c r="K1329" s="2">
        <v>2</v>
      </c>
      <c r="L1329" s="2">
        <v>16.989999999999998</v>
      </c>
      <c r="M1329" s="19">
        <f t="shared" si="272"/>
        <v>16.989999999999998</v>
      </c>
      <c r="N1329" s="2" t="s">
        <v>118</v>
      </c>
      <c r="O1329" s="2" t="str">
        <f t="shared" si="273"/>
        <v>BFCM25</v>
      </c>
      <c r="P1329" s="2">
        <v>8.49</v>
      </c>
      <c r="Q1329" s="19">
        <f t="shared" si="274"/>
        <v>8.49</v>
      </c>
      <c r="R1329" s="2" t="str">
        <f t="shared" si="275"/>
        <v>Number</v>
      </c>
      <c r="S1329" s="2">
        <v>4.99</v>
      </c>
      <c r="T1329" s="19">
        <f t="shared" si="276"/>
        <v>4.99</v>
      </c>
      <c r="U1329" s="2" t="s">
        <v>3720</v>
      </c>
      <c r="V1329" s="19">
        <f t="shared" si="277"/>
        <v>30.48</v>
      </c>
      <c r="W1329" s="19">
        <f t="shared" si="278"/>
        <v>30.479999999999997</v>
      </c>
      <c r="X1329" s="19" t="str">
        <f t="shared" si="279"/>
        <v>True</v>
      </c>
      <c r="Y1329" s="19" t="str">
        <f>IF(OR(W1329&lt;'Cleaning Tasks'!$G$18,W1329&gt;'Cleaning Tasks'!$H$18),"Outlier","Normal")</f>
        <v>Normal</v>
      </c>
      <c r="Z1329" s="2" t="s">
        <v>49</v>
      </c>
      <c r="AA1329" s="2" t="s">
        <v>27</v>
      </c>
      <c r="AB1329" s="2" t="s">
        <v>50</v>
      </c>
      <c r="AC1329" s="2" t="s">
        <v>73</v>
      </c>
      <c r="AD1329" s="2"/>
      <c r="AE1329" s="2" t="str">
        <f t="shared" si="280"/>
        <v>Not Required</v>
      </c>
      <c r="AF1329" s="2" t="s">
        <v>3721</v>
      </c>
    </row>
    <row r="1330" spans="1:32" x14ac:dyDescent="0.3">
      <c r="A1330" s="2" t="s">
        <v>3722</v>
      </c>
      <c r="B1330" s="2">
        <f t="shared" si="270"/>
        <v>1</v>
      </c>
      <c r="C1330" s="12">
        <f t="shared" si="282"/>
        <v>46238.583322812497</v>
      </c>
      <c r="D1330" s="13">
        <v>46238.583322812497</v>
      </c>
      <c r="E1330" s="2" t="s">
        <v>195</v>
      </c>
      <c r="F1330" s="2" t="str">
        <f t="shared" si="271"/>
        <v>Email Available</v>
      </c>
      <c r="G1330" s="2" t="s">
        <v>196</v>
      </c>
      <c r="H1330" s="2" t="s">
        <v>63</v>
      </c>
      <c r="I1330" s="2" t="s">
        <v>47</v>
      </c>
      <c r="J1330" s="2" t="s">
        <v>64</v>
      </c>
      <c r="K1330" s="2">
        <v>1</v>
      </c>
      <c r="L1330" s="2">
        <v>14.99</v>
      </c>
      <c r="M1330" s="19">
        <f t="shared" si="272"/>
        <v>14.99</v>
      </c>
      <c r="N1330" s="2"/>
      <c r="O1330" s="2" t="str">
        <f t="shared" si="273"/>
        <v/>
      </c>
      <c r="P1330" s="2">
        <v>0</v>
      </c>
      <c r="Q1330" s="19">
        <f t="shared" si="274"/>
        <v>0</v>
      </c>
      <c r="R1330" s="2" t="str">
        <f t="shared" si="275"/>
        <v>Number</v>
      </c>
      <c r="S1330" s="2">
        <v>7.99</v>
      </c>
      <c r="T1330" s="19">
        <f t="shared" si="276"/>
        <v>7.99</v>
      </c>
      <c r="U1330" s="2">
        <v>22.98</v>
      </c>
      <c r="V1330" s="19">
        <f t="shared" si="277"/>
        <v>22.98</v>
      </c>
      <c r="W1330" s="19">
        <f t="shared" si="278"/>
        <v>22.98</v>
      </c>
      <c r="X1330" s="19" t="str">
        <f t="shared" si="279"/>
        <v>True</v>
      </c>
      <c r="Y1330" s="19" t="str">
        <f>IF(OR(W1330&lt;'Cleaning Tasks'!$G$18,W1330&gt;'Cleaning Tasks'!$H$18),"Outlier","Normal")</f>
        <v>Normal</v>
      </c>
      <c r="Z1330" s="2" t="s">
        <v>66</v>
      </c>
      <c r="AA1330" s="2" t="s">
        <v>27</v>
      </c>
      <c r="AB1330" s="2" t="s">
        <v>41</v>
      </c>
      <c r="AC1330" s="2" t="s">
        <v>29</v>
      </c>
      <c r="AD1330" s="2" t="s">
        <v>447</v>
      </c>
      <c r="AE1330" s="2" t="str">
        <f t="shared" si="280"/>
        <v>Valid</v>
      </c>
      <c r="AF1330" s="2" t="s">
        <v>1494</v>
      </c>
    </row>
    <row r="1331" spans="1:32" x14ac:dyDescent="0.3">
      <c r="A1331" s="2" t="s">
        <v>3723</v>
      </c>
      <c r="B1331" s="2">
        <f t="shared" si="270"/>
        <v>1</v>
      </c>
      <c r="C1331" s="12">
        <f t="shared" si="282"/>
        <v>46238</v>
      </c>
      <c r="D1331" s="13">
        <v>46238</v>
      </c>
      <c r="E1331" s="2" t="s">
        <v>377</v>
      </c>
      <c r="F1331" s="2" t="str">
        <f t="shared" si="271"/>
        <v>Email Available</v>
      </c>
      <c r="G1331" s="2" t="s">
        <v>378</v>
      </c>
      <c r="H1331" s="2" t="s">
        <v>279</v>
      </c>
      <c r="I1331" s="2" t="s">
        <v>22</v>
      </c>
      <c r="J1331" s="2" t="s">
        <v>280</v>
      </c>
      <c r="K1331" s="2">
        <v>1</v>
      </c>
      <c r="L1331" s="2">
        <v>24.99</v>
      </c>
      <c r="M1331" s="19">
        <f t="shared" si="272"/>
        <v>24.99</v>
      </c>
      <c r="N1331" s="2"/>
      <c r="O1331" s="2" t="str">
        <f t="shared" si="273"/>
        <v/>
      </c>
      <c r="P1331" s="2">
        <v>0</v>
      </c>
      <c r="Q1331" s="19">
        <f t="shared" si="274"/>
        <v>0</v>
      </c>
      <c r="R1331" s="2" t="str">
        <f t="shared" si="275"/>
        <v>Number</v>
      </c>
      <c r="S1331" s="2">
        <v>5.99</v>
      </c>
      <c r="T1331" s="19">
        <f t="shared" si="276"/>
        <v>5.99</v>
      </c>
      <c r="U1331" s="2">
        <v>30.98</v>
      </c>
      <c r="V1331" s="19">
        <f t="shared" si="277"/>
        <v>30.98</v>
      </c>
      <c r="W1331" s="19">
        <f t="shared" si="278"/>
        <v>30.979999999999997</v>
      </c>
      <c r="X1331" s="19" t="str">
        <f t="shared" si="279"/>
        <v>True</v>
      </c>
      <c r="Y1331" s="19" t="str">
        <f>IF(OR(W1331&lt;'Cleaning Tasks'!$G$18,W1331&gt;'Cleaning Tasks'!$H$18),"Outlier","Normal")</f>
        <v>Normal</v>
      </c>
      <c r="Z1331" s="2" t="s">
        <v>66</v>
      </c>
      <c r="AA1331" s="2" t="s">
        <v>40</v>
      </c>
      <c r="AB1331" s="2" t="s">
        <v>50</v>
      </c>
      <c r="AC1331" s="2" t="s">
        <v>73</v>
      </c>
      <c r="AD1331" s="2"/>
      <c r="AE1331" s="2" t="str">
        <f t="shared" si="280"/>
        <v>Not Required</v>
      </c>
      <c r="AF1331" s="2" t="s">
        <v>3724</v>
      </c>
    </row>
    <row r="1332" spans="1:32" x14ac:dyDescent="0.3">
      <c r="A1332" s="2" t="s">
        <v>3725</v>
      </c>
      <c r="B1332" s="2">
        <f t="shared" si="270"/>
        <v>1</v>
      </c>
      <c r="C1332" s="12">
        <f t="shared" si="282"/>
        <v>46238.579956863417</v>
      </c>
      <c r="D1332" s="13">
        <v>46238.579956863417</v>
      </c>
      <c r="E1332" s="2" t="s">
        <v>2035</v>
      </c>
      <c r="F1332" s="2" t="str">
        <f t="shared" si="271"/>
        <v>Email Available</v>
      </c>
      <c r="G1332" s="2" t="s">
        <v>2154</v>
      </c>
      <c r="H1332" s="2" t="s">
        <v>56</v>
      </c>
      <c r="I1332" s="2" t="s">
        <v>22</v>
      </c>
      <c r="J1332" s="2" t="s">
        <v>57</v>
      </c>
      <c r="K1332" s="2">
        <v>2</v>
      </c>
      <c r="L1332" s="2">
        <v>9.99</v>
      </c>
      <c r="M1332" s="19">
        <f t="shared" si="272"/>
        <v>9.99</v>
      </c>
      <c r="N1332" s="2" t="s">
        <v>38</v>
      </c>
      <c r="O1332" s="2" t="str">
        <f t="shared" si="273"/>
        <v>FREESHIP</v>
      </c>
      <c r="P1332" s="2">
        <v>0</v>
      </c>
      <c r="Q1332" s="19">
        <f t="shared" si="274"/>
        <v>0</v>
      </c>
      <c r="R1332" s="2" t="str">
        <f t="shared" si="275"/>
        <v>Number</v>
      </c>
      <c r="S1332" s="2">
        <v>0</v>
      </c>
      <c r="T1332" s="19">
        <f t="shared" si="276"/>
        <v>0</v>
      </c>
      <c r="U1332" s="2">
        <v>19.98</v>
      </c>
      <c r="V1332" s="19">
        <f t="shared" si="277"/>
        <v>19.98</v>
      </c>
      <c r="W1332" s="19">
        <f t="shared" si="278"/>
        <v>19.98</v>
      </c>
      <c r="X1332" s="19" t="str">
        <f t="shared" si="279"/>
        <v>True</v>
      </c>
      <c r="Y1332" s="19" t="str">
        <f>IF(OR(W1332&lt;'Cleaning Tasks'!$G$18,W1332&gt;'Cleaning Tasks'!$H$18),"Outlier","Normal")</f>
        <v>Normal</v>
      </c>
      <c r="Z1332" s="2" t="s">
        <v>72</v>
      </c>
      <c r="AA1332" s="2" t="s">
        <v>27</v>
      </c>
      <c r="AB1332" s="2" t="s">
        <v>50</v>
      </c>
      <c r="AC1332" s="2" t="s">
        <v>29</v>
      </c>
      <c r="AD1332" s="2" t="s">
        <v>89</v>
      </c>
      <c r="AE1332" s="2" t="str">
        <f t="shared" si="280"/>
        <v>Valid</v>
      </c>
      <c r="AF1332" s="2" t="s">
        <v>3726</v>
      </c>
    </row>
    <row r="1333" spans="1:32" x14ac:dyDescent="0.3">
      <c r="A1333" s="2" t="s">
        <v>3727</v>
      </c>
      <c r="B1333" s="2">
        <f t="shared" si="270"/>
        <v>1</v>
      </c>
      <c r="C1333" s="12">
        <f t="shared" si="282"/>
        <v>46238.588282696757</v>
      </c>
      <c r="D1333" s="13">
        <v>46238.588282696757</v>
      </c>
      <c r="E1333" s="2" t="s">
        <v>3728</v>
      </c>
      <c r="F1333" s="2" t="str">
        <f t="shared" si="271"/>
        <v>Email Available</v>
      </c>
      <c r="G1333" s="2" t="s">
        <v>3729</v>
      </c>
      <c r="H1333" s="2" t="s">
        <v>201</v>
      </c>
      <c r="I1333" s="2" t="s">
        <v>191</v>
      </c>
      <c r="J1333" s="2" t="s">
        <v>202</v>
      </c>
      <c r="K1333" s="2">
        <v>1</v>
      </c>
      <c r="L1333" s="2">
        <v>24.99</v>
      </c>
      <c r="M1333" s="19">
        <f t="shared" si="272"/>
        <v>24.99</v>
      </c>
      <c r="N1333" s="2" t="s">
        <v>65</v>
      </c>
      <c r="O1333" s="2" t="str">
        <f t="shared" si="273"/>
        <v>WELCOME10</v>
      </c>
      <c r="P1333" s="2">
        <v>2.5</v>
      </c>
      <c r="Q1333" s="19">
        <f t="shared" si="274"/>
        <v>2.5</v>
      </c>
      <c r="R1333" s="2" t="str">
        <f t="shared" si="275"/>
        <v>Number</v>
      </c>
      <c r="S1333" s="2">
        <v>5.99</v>
      </c>
      <c r="T1333" s="19">
        <f t="shared" si="276"/>
        <v>5.99</v>
      </c>
      <c r="U1333" s="2">
        <v>28.48</v>
      </c>
      <c r="V1333" s="19">
        <f t="shared" si="277"/>
        <v>28.48</v>
      </c>
      <c r="W1333" s="19">
        <f t="shared" si="278"/>
        <v>28.479999999999997</v>
      </c>
      <c r="X1333" s="19" t="str">
        <f t="shared" si="279"/>
        <v>True</v>
      </c>
      <c r="Y1333" s="19" t="str">
        <f>IF(OR(W1333&lt;'Cleaning Tasks'!$G$18,W1333&gt;'Cleaning Tasks'!$H$18),"Outlier","Normal")</f>
        <v>Normal</v>
      </c>
      <c r="Z1333" s="2" t="s">
        <v>49</v>
      </c>
      <c r="AA1333" s="2" t="s">
        <v>27</v>
      </c>
      <c r="AB1333" s="2" t="s">
        <v>28</v>
      </c>
      <c r="AC1333" s="2" t="s">
        <v>42</v>
      </c>
      <c r="AD1333" s="2"/>
      <c r="AE1333" s="2" t="str">
        <f t="shared" si="280"/>
        <v>Not Required</v>
      </c>
      <c r="AF1333" s="2" t="s">
        <v>3730</v>
      </c>
    </row>
    <row r="1334" spans="1:32" x14ac:dyDescent="0.3">
      <c r="A1334" s="2" t="s">
        <v>3731</v>
      </c>
      <c r="B1334" s="2">
        <f t="shared" si="270"/>
        <v>1</v>
      </c>
      <c r="C1334" s="12">
        <f t="shared" si="282"/>
        <v>46238.581830347219</v>
      </c>
      <c r="D1334" s="13">
        <v>46238.581830347219</v>
      </c>
      <c r="E1334" s="2" t="s">
        <v>70</v>
      </c>
      <c r="F1334" s="2" t="str">
        <f t="shared" si="271"/>
        <v>Email Available</v>
      </c>
      <c r="G1334" s="2" t="s">
        <v>71</v>
      </c>
      <c r="H1334" s="2" t="s">
        <v>146</v>
      </c>
      <c r="I1334" s="2" t="s">
        <v>47</v>
      </c>
      <c r="J1334" s="2" t="s">
        <v>147</v>
      </c>
      <c r="K1334" s="2">
        <v>1</v>
      </c>
      <c r="L1334" s="2">
        <v>34.99</v>
      </c>
      <c r="M1334" s="19">
        <f t="shared" si="272"/>
        <v>34.99</v>
      </c>
      <c r="N1334" s="2" t="s">
        <v>38</v>
      </c>
      <c r="O1334" s="2" t="str">
        <f t="shared" si="273"/>
        <v>FREESHIP</v>
      </c>
      <c r="P1334" s="2">
        <v>0</v>
      </c>
      <c r="Q1334" s="19">
        <f t="shared" si="274"/>
        <v>0</v>
      </c>
      <c r="R1334" s="2" t="str">
        <f t="shared" si="275"/>
        <v>Number</v>
      </c>
      <c r="S1334" s="2">
        <v>0</v>
      </c>
      <c r="T1334" s="19">
        <f t="shared" si="276"/>
        <v>0</v>
      </c>
      <c r="U1334" s="2">
        <v>34.99</v>
      </c>
      <c r="V1334" s="19">
        <f t="shared" si="277"/>
        <v>34.99</v>
      </c>
      <c r="W1334" s="19">
        <f t="shared" si="278"/>
        <v>34.99</v>
      </c>
      <c r="X1334" s="19" t="str">
        <f t="shared" si="279"/>
        <v>True</v>
      </c>
      <c r="Y1334" s="19" t="str">
        <f>IF(OR(W1334&lt;'Cleaning Tasks'!$G$18,W1334&gt;'Cleaning Tasks'!$H$18),"Outlier","Normal")</f>
        <v>Normal</v>
      </c>
      <c r="Z1334" s="2" t="s">
        <v>26</v>
      </c>
      <c r="AA1334" s="2" t="s">
        <v>27</v>
      </c>
      <c r="AB1334" s="2" t="s">
        <v>41</v>
      </c>
      <c r="AC1334" s="2" t="s">
        <v>73</v>
      </c>
      <c r="AD1334" s="2"/>
      <c r="AE1334" s="2" t="str">
        <f t="shared" si="280"/>
        <v>Not Required</v>
      </c>
      <c r="AF1334" s="2" t="s">
        <v>3732</v>
      </c>
    </row>
    <row r="1335" spans="1:32" x14ac:dyDescent="0.3">
      <c r="A1335" s="2" t="s">
        <v>3733</v>
      </c>
      <c r="B1335" s="2">
        <f t="shared" si="270"/>
        <v>1</v>
      </c>
      <c r="C1335" s="12">
        <f t="shared" si="282"/>
        <v>46238.584331851853</v>
      </c>
      <c r="D1335" s="13">
        <v>46238.584331851853</v>
      </c>
      <c r="E1335" s="2" t="s">
        <v>1391</v>
      </c>
      <c r="F1335" s="2" t="str">
        <f t="shared" si="271"/>
        <v>Email Available</v>
      </c>
      <c r="G1335" s="2" t="s">
        <v>1392</v>
      </c>
      <c r="H1335" s="2" t="s">
        <v>221</v>
      </c>
      <c r="I1335" s="2" t="s">
        <v>22</v>
      </c>
      <c r="J1335" s="2" t="s">
        <v>222</v>
      </c>
      <c r="K1335" s="2">
        <v>1</v>
      </c>
      <c r="L1335" s="2">
        <v>17.989999999999998</v>
      </c>
      <c r="M1335" s="19">
        <f t="shared" si="272"/>
        <v>17.989999999999998</v>
      </c>
      <c r="N1335" s="2"/>
      <c r="O1335" s="2" t="str">
        <f t="shared" si="273"/>
        <v/>
      </c>
      <c r="P1335" s="2">
        <v>0</v>
      </c>
      <c r="Q1335" s="19">
        <f t="shared" si="274"/>
        <v>0</v>
      </c>
      <c r="R1335" s="2" t="str">
        <f t="shared" si="275"/>
        <v>Number</v>
      </c>
      <c r="S1335" s="2">
        <v>5.99</v>
      </c>
      <c r="T1335" s="19">
        <f t="shared" si="276"/>
        <v>5.99</v>
      </c>
      <c r="U1335" s="2">
        <v>23.98</v>
      </c>
      <c r="V1335" s="19">
        <f t="shared" si="277"/>
        <v>23.98</v>
      </c>
      <c r="W1335" s="19">
        <f t="shared" si="278"/>
        <v>23.979999999999997</v>
      </c>
      <c r="X1335" s="19" t="str">
        <f t="shared" si="279"/>
        <v>True</v>
      </c>
      <c r="Y1335" s="19" t="str">
        <f>IF(OR(W1335&lt;'Cleaning Tasks'!$G$18,W1335&gt;'Cleaning Tasks'!$H$18),"Outlier","Normal")</f>
        <v>Normal</v>
      </c>
      <c r="Z1335" s="2" t="s">
        <v>39</v>
      </c>
      <c r="AA1335" s="2" t="s">
        <v>27</v>
      </c>
      <c r="AB1335" s="2" t="s">
        <v>96</v>
      </c>
      <c r="AC1335" s="2" t="s">
        <v>29</v>
      </c>
      <c r="AD1335" s="2" t="s">
        <v>67</v>
      </c>
      <c r="AE1335" s="2" t="str">
        <f t="shared" si="280"/>
        <v>Valid</v>
      </c>
      <c r="AF1335" s="2" t="s">
        <v>3734</v>
      </c>
    </row>
    <row r="1336" spans="1:32" x14ac:dyDescent="0.3">
      <c r="A1336" s="2" t="s">
        <v>3735</v>
      </c>
      <c r="B1336" s="2">
        <f t="shared" si="270"/>
        <v>1</v>
      </c>
      <c r="C1336" s="12">
        <f t="shared" si="282"/>
        <v>46238.587001655091</v>
      </c>
      <c r="D1336" s="13">
        <v>46238.587001655091</v>
      </c>
      <c r="E1336" s="2" t="s">
        <v>1075</v>
      </c>
      <c r="F1336" s="2" t="str">
        <f t="shared" si="271"/>
        <v>Email Available</v>
      </c>
      <c r="G1336" s="2" t="s">
        <v>587</v>
      </c>
      <c r="H1336" s="2" t="s">
        <v>85</v>
      </c>
      <c r="I1336" s="2" t="s">
        <v>86</v>
      </c>
      <c r="J1336" s="2" t="s">
        <v>87</v>
      </c>
      <c r="K1336" s="2">
        <v>1</v>
      </c>
      <c r="L1336" s="2">
        <v>54.99</v>
      </c>
      <c r="M1336" s="19">
        <f t="shared" si="272"/>
        <v>54.99</v>
      </c>
      <c r="N1336" s="2"/>
      <c r="O1336" s="2" t="str">
        <f t="shared" si="273"/>
        <v/>
      </c>
      <c r="P1336" s="2">
        <v>0</v>
      </c>
      <c r="Q1336" s="19">
        <f t="shared" si="274"/>
        <v>0</v>
      </c>
      <c r="R1336" s="2" t="str">
        <f t="shared" si="275"/>
        <v>Number</v>
      </c>
      <c r="S1336" s="2">
        <v>7.99</v>
      </c>
      <c r="T1336" s="19">
        <f t="shared" si="276"/>
        <v>7.99</v>
      </c>
      <c r="U1336" s="2">
        <v>62.98</v>
      </c>
      <c r="V1336" s="19">
        <f t="shared" si="277"/>
        <v>62.98</v>
      </c>
      <c r="W1336" s="19">
        <f t="shared" si="278"/>
        <v>62.980000000000004</v>
      </c>
      <c r="X1336" s="19" t="str">
        <f t="shared" si="279"/>
        <v>True</v>
      </c>
      <c r="Y1336" s="19" t="str">
        <f>IF(OR(W1336&lt;'Cleaning Tasks'!$G$18,W1336&gt;'Cleaning Tasks'!$H$18),"Outlier","Normal")</f>
        <v>Normal</v>
      </c>
      <c r="Z1336" s="2" t="s">
        <v>72</v>
      </c>
      <c r="AA1336" s="2" t="s">
        <v>111</v>
      </c>
      <c r="AB1336" s="2" t="s">
        <v>41</v>
      </c>
      <c r="AC1336" s="2" t="s">
        <v>29</v>
      </c>
      <c r="AD1336" s="2" t="s">
        <v>447</v>
      </c>
      <c r="AE1336" s="2" t="str">
        <f t="shared" si="280"/>
        <v>Valid</v>
      </c>
      <c r="AF1336" s="2" t="s">
        <v>3736</v>
      </c>
    </row>
    <row r="1337" spans="1:32" x14ac:dyDescent="0.3">
      <c r="A1337" s="2" t="s">
        <v>3737</v>
      </c>
      <c r="B1337" s="2">
        <f t="shared" si="270"/>
        <v>1</v>
      </c>
      <c r="C1337" s="12">
        <f t="shared" si="282"/>
        <v>46238.583438981477</v>
      </c>
      <c r="D1337" s="13">
        <v>46238.583438981477</v>
      </c>
      <c r="E1337" s="2" t="s">
        <v>1035</v>
      </c>
      <c r="F1337" s="2" t="str">
        <f t="shared" si="271"/>
        <v>Email Available</v>
      </c>
      <c r="G1337" s="2" t="s">
        <v>1036</v>
      </c>
      <c r="H1337" s="2" t="s">
        <v>109</v>
      </c>
      <c r="I1337" s="2" t="s">
        <v>79</v>
      </c>
      <c r="J1337" s="2" t="s">
        <v>110</v>
      </c>
      <c r="K1337" s="2">
        <v>1</v>
      </c>
      <c r="L1337" s="2" t="s">
        <v>990</v>
      </c>
      <c r="M1337" s="19">
        <f t="shared" si="272"/>
        <v>22.99</v>
      </c>
      <c r="N1337" s="2"/>
      <c r="O1337" s="2" t="str">
        <f t="shared" si="273"/>
        <v/>
      </c>
      <c r="P1337" s="2">
        <v>0</v>
      </c>
      <c r="Q1337" s="19">
        <f t="shared" si="274"/>
        <v>0</v>
      </c>
      <c r="R1337" s="2" t="str">
        <f t="shared" si="275"/>
        <v>Number</v>
      </c>
      <c r="S1337" s="2">
        <v>4.99</v>
      </c>
      <c r="T1337" s="19">
        <f t="shared" si="276"/>
        <v>4.99</v>
      </c>
      <c r="U1337" s="2">
        <v>27.98</v>
      </c>
      <c r="V1337" s="19">
        <f t="shared" si="277"/>
        <v>27.98</v>
      </c>
      <c r="W1337" s="19">
        <f t="shared" si="278"/>
        <v>27.979999999999997</v>
      </c>
      <c r="X1337" s="19" t="str">
        <f t="shared" si="279"/>
        <v>True</v>
      </c>
      <c r="Y1337" s="19" t="str">
        <f>IF(OR(W1337&lt;'Cleaning Tasks'!$G$18,W1337&gt;'Cleaning Tasks'!$H$18),"Outlier","Normal")</f>
        <v>Normal</v>
      </c>
      <c r="Z1337" s="2" t="s">
        <v>49</v>
      </c>
      <c r="AA1337" s="2" t="s">
        <v>111</v>
      </c>
      <c r="AB1337" s="2" t="s">
        <v>50</v>
      </c>
      <c r="AC1337" s="2" t="s">
        <v>29</v>
      </c>
      <c r="AD1337" s="2" t="s">
        <v>447</v>
      </c>
      <c r="AE1337" s="2" t="str">
        <f t="shared" si="280"/>
        <v>Valid</v>
      </c>
      <c r="AF1337" s="2" t="s">
        <v>3738</v>
      </c>
    </row>
    <row r="1338" spans="1:32" x14ac:dyDescent="0.3">
      <c r="A1338" s="2" t="s">
        <v>3739</v>
      </c>
      <c r="B1338" s="2">
        <f t="shared" si="270"/>
        <v>1</v>
      </c>
      <c r="C1338" s="12">
        <f t="shared" si="282"/>
        <v>46238</v>
      </c>
      <c r="D1338" s="13">
        <v>46238</v>
      </c>
      <c r="E1338" s="2" t="s">
        <v>3740</v>
      </c>
      <c r="F1338" s="2" t="str">
        <f t="shared" si="271"/>
        <v>Email Available</v>
      </c>
      <c r="G1338" s="2" t="s">
        <v>1111</v>
      </c>
      <c r="H1338" s="2" t="s">
        <v>152</v>
      </c>
      <c r="I1338" s="2" t="s">
        <v>36</v>
      </c>
      <c r="J1338" s="2" t="s">
        <v>153</v>
      </c>
      <c r="K1338" s="2">
        <v>1</v>
      </c>
      <c r="L1338" s="2">
        <v>29.99</v>
      </c>
      <c r="M1338" s="19">
        <f t="shared" si="272"/>
        <v>29.99</v>
      </c>
      <c r="N1338" s="2"/>
      <c r="O1338" s="2" t="str">
        <f t="shared" si="273"/>
        <v/>
      </c>
      <c r="P1338" s="2">
        <v>0</v>
      </c>
      <c r="Q1338" s="19">
        <f t="shared" si="274"/>
        <v>0</v>
      </c>
      <c r="R1338" s="2" t="str">
        <f t="shared" si="275"/>
        <v>Number</v>
      </c>
      <c r="S1338" s="2">
        <v>5.99</v>
      </c>
      <c r="T1338" s="19">
        <f t="shared" si="276"/>
        <v>5.99</v>
      </c>
      <c r="U1338" s="2" t="s">
        <v>782</v>
      </c>
      <c r="V1338" s="19">
        <f t="shared" si="277"/>
        <v>35.979999999999997</v>
      </c>
      <c r="W1338" s="19">
        <f t="shared" si="278"/>
        <v>35.979999999999997</v>
      </c>
      <c r="X1338" s="19" t="str">
        <f t="shared" si="279"/>
        <v>True</v>
      </c>
      <c r="Y1338" s="19" t="str">
        <f>IF(OR(W1338&lt;'Cleaning Tasks'!$G$18,W1338&gt;'Cleaning Tasks'!$H$18),"Outlier","Normal")</f>
        <v>Normal</v>
      </c>
      <c r="Z1338" s="2" t="s">
        <v>72</v>
      </c>
      <c r="AA1338" s="2" t="s">
        <v>27</v>
      </c>
      <c r="AB1338" s="2" t="s">
        <v>50</v>
      </c>
      <c r="AC1338" s="2" t="s">
        <v>29</v>
      </c>
      <c r="AD1338" s="2" t="s">
        <v>67</v>
      </c>
      <c r="AE1338" s="2" t="str">
        <f t="shared" si="280"/>
        <v>Valid</v>
      </c>
      <c r="AF1338" s="2" t="s">
        <v>3741</v>
      </c>
    </row>
    <row r="1339" spans="1:32" x14ac:dyDescent="0.3">
      <c r="A1339" s="2" t="s">
        <v>3742</v>
      </c>
      <c r="B1339" s="2">
        <f t="shared" si="270"/>
        <v>1</v>
      </c>
      <c r="C1339" s="12">
        <f t="shared" si="282"/>
        <v>46238</v>
      </c>
      <c r="D1339" s="13">
        <v>46238</v>
      </c>
      <c r="E1339" s="2" t="s">
        <v>122</v>
      </c>
      <c r="F1339" s="2" t="str">
        <f t="shared" si="271"/>
        <v>Email Available</v>
      </c>
      <c r="G1339" s="2" t="s">
        <v>123</v>
      </c>
      <c r="H1339" s="2" t="s">
        <v>309</v>
      </c>
      <c r="I1339" s="2" t="s">
        <v>36</v>
      </c>
      <c r="J1339" s="2" t="s">
        <v>310</v>
      </c>
      <c r="K1339" s="2">
        <v>1</v>
      </c>
      <c r="L1339" s="2">
        <v>8.99</v>
      </c>
      <c r="M1339" s="19">
        <f t="shared" si="272"/>
        <v>8.99</v>
      </c>
      <c r="N1339" s="2" t="s">
        <v>38</v>
      </c>
      <c r="O1339" s="2" t="str">
        <f t="shared" si="273"/>
        <v>FREESHIP</v>
      </c>
      <c r="P1339" s="2">
        <v>0</v>
      </c>
      <c r="Q1339" s="19">
        <f t="shared" si="274"/>
        <v>0</v>
      </c>
      <c r="R1339" s="2" t="str">
        <f t="shared" si="275"/>
        <v>Number</v>
      </c>
      <c r="S1339" s="2">
        <v>0</v>
      </c>
      <c r="T1339" s="19">
        <f t="shared" si="276"/>
        <v>0</v>
      </c>
      <c r="U1339" s="2">
        <v>8.99</v>
      </c>
      <c r="V1339" s="19">
        <f t="shared" si="277"/>
        <v>8.99</v>
      </c>
      <c r="W1339" s="19">
        <f t="shared" si="278"/>
        <v>8.99</v>
      </c>
      <c r="X1339" s="19" t="str">
        <f t="shared" si="279"/>
        <v>True</v>
      </c>
      <c r="Y1339" s="19" t="str">
        <f>IF(OR(W1339&lt;'Cleaning Tasks'!$G$18,W1339&gt;'Cleaning Tasks'!$H$18),"Outlier","Normal")</f>
        <v>Normal</v>
      </c>
      <c r="Z1339" s="2" t="s">
        <v>66</v>
      </c>
      <c r="AA1339" s="2" t="s">
        <v>88</v>
      </c>
      <c r="AB1339" s="2" t="s">
        <v>50</v>
      </c>
      <c r="AC1339" s="2" t="s">
        <v>42</v>
      </c>
      <c r="AD1339" s="2"/>
      <c r="AE1339" s="2" t="str">
        <f t="shared" si="280"/>
        <v>Not Required</v>
      </c>
      <c r="AF1339" s="2" t="s">
        <v>3743</v>
      </c>
    </row>
    <row r="1340" spans="1:32" x14ac:dyDescent="0.3">
      <c r="A1340" s="2" t="s">
        <v>3744</v>
      </c>
      <c r="B1340" s="2">
        <f t="shared" si="270"/>
        <v>1</v>
      </c>
      <c r="C1340" s="12">
        <f t="shared" si="282"/>
        <v>46238.586338738423</v>
      </c>
      <c r="D1340" s="13">
        <v>46238.586338738423</v>
      </c>
      <c r="E1340" s="2" t="s">
        <v>1625</v>
      </c>
      <c r="F1340" s="2" t="str">
        <f t="shared" si="271"/>
        <v>Email Available</v>
      </c>
      <c r="G1340" s="2" t="s">
        <v>1533</v>
      </c>
      <c r="H1340" s="2" t="s">
        <v>109</v>
      </c>
      <c r="I1340" s="2" t="s">
        <v>79</v>
      </c>
      <c r="J1340" s="2" t="s">
        <v>110</v>
      </c>
      <c r="K1340" s="2">
        <v>2</v>
      </c>
      <c r="L1340" s="2">
        <v>22.99</v>
      </c>
      <c r="M1340" s="19">
        <f t="shared" si="272"/>
        <v>22.99</v>
      </c>
      <c r="N1340" s="2" t="s">
        <v>203</v>
      </c>
      <c r="O1340" s="2" t="str">
        <f t="shared" si="273"/>
        <v>VIP15</v>
      </c>
      <c r="P1340" s="2">
        <v>6.9</v>
      </c>
      <c r="Q1340" s="19">
        <f t="shared" si="274"/>
        <v>6.9</v>
      </c>
      <c r="R1340" s="2" t="str">
        <f t="shared" si="275"/>
        <v>Number</v>
      </c>
      <c r="S1340" s="2">
        <v>4.99</v>
      </c>
      <c r="T1340" s="19">
        <f t="shared" si="276"/>
        <v>4.99</v>
      </c>
      <c r="U1340" s="2">
        <v>44.07</v>
      </c>
      <c r="V1340" s="19">
        <f t="shared" si="277"/>
        <v>44.07</v>
      </c>
      <c r="W1340" s="19">
        <f t="shared" si="278"/>
        <v>44.07</v>
      </c>
      <c r="X1340" s="19" t="str">
        <f t="shared" si="279"/>
        <v>True</v>
      </c>
      <c r="Y1340" s="19" t="str">
        <f>IF(OR(W1340&lt;'Cleaning Tasks'!$G$18,W1340&gt;'Cleaning Tasks'!$H$18),"Outlier","Normal")</f>
        <v>Normal</v>
      </c>
      <c r="Z1340" s="2" t="s">
        <v>26</v>
      </c>
      <c r="AA1340" s="2" t="s">
        <v>27</v>
      </c>
      <c r="AB1340" s="2" t="s">
        <v>50</v>
      </c>
      <c r="AC1340" s="2" t="s">
        <v>73</v>
      </c>
      <c r="AD1340" s="2"/>
      <c r="AE1340" s="2" t="str">
        <f t="shared" si="280"/>
        <v>Not Required</v>
      </c>
      <c r="AF1340" s="2" t="s">
        <v>3745</v>
      </c>
    </row>
    <row r="1341" spans="1:32" x14ac:dyDescent="0.3">
      <c r="A1341" s="2" t="s">
        <v>3746</v>
      </c>
      <c r="B1341" s="2">
        <f t="shared" si="270"/>
        <v>1</v>
      </c>
      <c r="C1341" s="12">
        <f t="shared" si="282"/>
        <v>46238.582017129629</v>
      </c>
      <c r="D1341" s="13">
        <v>46238.582017129629</v>
      </c>
      <c r="E1341" s="2" t="s">
        <v>3747</v>
      </c>
      <c r="F1341" s="2" t="str">
        <f t="shared" si="271"/>
        <v>Email Available</v>
      </c>
      <c r="G1341" s="2" t="s">
        <v>3748</v>
      </c>
      <c r="H1341" s="2" t="s">
        <v>35</v>
      </c>
      <c r="I1341" s="2" t="s">
        <v>36</v>
      </c>
      <c r="J1341" s="2" t="s">
        <v>37</v>
      </c>
      <c r="K1341" s="2">
        <v>1</v>
      </c>
      <c r="L1341" s="2">
        <v>21.99</v>
      </c>
      <c r="M1341" s="19">
        <f t="shared" si="272"/>
        <v>21.99</v>
      </c>
      <c r="N1341" s="2" t="s">
        <v>203</v>
      </c>
      <c r="O1341" s="2" t="str">
        <f t="shared" si="273"/>
        <v>VIP15</v>
      </c>
      <c r="P1341" s="2">
        <v>3.3</v>
      </c>
      <c r="Q1341" s="19">
        <f t="shared" si="274"/>
        <v>3.3</v>
      </c>
      <c r="R1341" s="2" t="str">
        <f t="shared" si="275"/>
        <v>Number</v>
      </c>
      <c r="S1341" s="2">
        <v>7.99</v>
      </c>
      <c r="T1341" s="19">
        <f t="shared" si="276"/>
        <v>7.99</v>
      </c>
      <c r="U1341" s="2">
        <v>26.68</v>
      </c>
      <c r="V1341" s="19">
        <f t="shared" si="277"/>
        <v>26.68</v>
      </c>
      <c r="W1341" s="19">
        <f t="shared" si="278"/>
        <v>26.68</v>
      </c>
      <c r="X1341" s="19" t="str">
        <f t="shared" si="279"/>
        <v>True</v>
      </c>
      <c r="Y1341" s="19" t="str">
        <f>IF(OR(W1341&lt;'Cleaning Tasks'!$G$18,W1341&gt;'Cleaning Tasks'!$H$18),"Outlier","Normal")</f>
        <v>Normal</v>
      </c>
      <c r="Z1341" s="2" t="s">
        <v>72</v>
      </c>
      <c r="AA1341" s="2" t="s">
        <v>27</v>
      </c>
      <c r="AB1341" s="2" t="s">
        <v>41</v>
      </c>
      <c r="AC1341" s="2" t="s">
        <v>223</v>
      </c>
      <c r="AD1341" s="2"/>
      <c r="AE1341" s="2" t="str">
        <f t="shared" si="280"/>
        <v>Not Required</v>
      </c>
      <c r="AF1341" s="2" t="s">
        <v>3749</v>
      </c>
    </row>
    <row r="1342" spans="1:32" x14ac:dyDescent="0.3">
      <c r="A1342" s="2" t="s">
        <v>3750</v>
      </c>
      <c r="B1342" s="2">
        <f t="shared" si="270"/>
        <v>1</v>
      </c>
      <c r="C1342" s="12">
        <f t="shared" si="282"/>
        <v>46238.588544131948</v>
      </c>
      <c r="D1342" s="13">
        <v>46238.588544131948</v>
      </c>
      <c r="E1342" s="2" t="s">
        <v>557</v>
      </c>
      <c r="F1342" s="2" t="str">
        <f t="shared" si="271"/>
        <v>Email Available</v>
      </c>
      <c r="G1342" s="2" t="s">
        <v>558</v>
      </c>
      <c r="H1342" s="2" t="s">
        <v>221</v>
      </c>
      <c r="I1342" s="2" t="s">
        <v>22</v>
      </c>
      <c r="J1342" s="2" t="s">
        <v>222</v>
      </c>
      <c r="K1342" s="2">
        <v>1</v>
      </c>
      <c r="L1342" s="2">
        <v>17.989999999999998</v>
      </c>
      <c r="M1342" s="19">
        <f t="shared" si="272"/>
        <v>17.989999999999998</v>
      </c>
      <c r="N1342" s="2" t="s">
        <v>118</v>
      </c>
      <c r="O1342" s="2" t="str">
        <f t="shared" si="273"/>
        <v>BFCM25</v>
      </c>
      <c r="P1342" s="2">
        <v>4.5</v>
      </c>
      <c r="Q1342" s="19">
        <f t="shared" si="274"/>
        <v>4.5</v>
      </c>
      <c r="R1342" s="2" t="str">
        <f t="shared" si="275"/>
        <v>Number</v>
      </c>
      <c r="S1342" s="2">
        <v>5.99</v>
      </c>
      <c r="T1342" s="19">
        <f t="shared" si="276"/>
        <v>5.99</v>
      </c>
      <c r="U1342" s="2">
        <v>19.48</v>
      </c>
      <c r="V1342" s="19">
        <f t="shared" si="277"/>
        <v>19.48</v>
      </c>
      <c r="W1342" s="19">
        <f t="shared" si="278"/>
        <v>19.479999999999997</v>
      </c>
      <c r="X1342" s="19" t="str">
        <f t="shared" si="279"/>
        <v>True</v>
      </c>
      <c r="Y1342" s="19" t="str">
        <f>IF(OR(W1342&lt;'Cleaning Tasks'!$G$18,W1342&gt;'Cleaning Tasks'!$H$18),"Outlier","Normal")</f>
        <v>Normal</v>
      </c>
      <c r="Z1342" s="2" t="s">
        <v>66</v>
      </c>
      <c r="AA1342" s="2" t="s">
        <v>88</v>
      </c>
      <c r="AB1342" s="2" t="s">
        <v>50</v>
      </c>
      <c r="AC1342" s="2" t="s">
        <v>42</v>
      </c>
      <c r="AD1342" s="2"/>
      <c r="AE1342" s="2" t="str">
        <f t="shared" si="280"/>
        <v>Not Required</v>
      </c>
      <c r="AF1342" s="2" t="s">
        <v>3007</v>
      </c>
    </row>
    <row r="1343" spans="1:32" x14ac:dyDescent="0.3">
      <c r="A1343" s="2" t="s">
        <v>3751</v>
      </c>
      <c r="B1343" s="2">
        <f t="shared" si="270"/>
        <v>1</v>
      </c>
      <c r="C1343" s="12">
        <f t="shared" si="282"/>
        <v>46238.587665949082</v>
      </c>
      <c r="D1343" s="13">
        <v>46238.587665949082</v>
      </c>
      <c r="E1343" s="2" t="s">
        <v>2317</v>
      </c>
      <c r="F1343" s="2" t="str">
        <f t="shared" si="271"/>
        <v>Email Available</v>
      </c>
      <c r="G1343" s="2" t="s">
        <v>2318</v>
      </c>
      <c r="H1343" s="2" t="s">
        <v>56</v>
      </c>
      <c r="I1343" s="2" t="s">
        <v>22</v>
      </c>
      <c r="J1343" s="2" t="s">
        <v>57</v>
      </c>
      <c r="K1343" s="2">
        <v>4</v>
      </c>
      <c r="L1343" s="2">
        <v>9.99</v>
      </c>
      <c r="M1343" s="19">
        <f t="shared" si="272"/>
        <v>9.99</v>
      </c>
      <c r="N1343" s="2"/>
      <c r="O1343" s="2" t="str">
        <f t="shared" si="273"/>
        <v/>
      </c>
      <c r="P1343" s="2">
        <v>0</v>
      </c>
      <c r="Q1343" s="19">
        <f t="shared" si="274"/>
        <v>0</v>
      </c>
      <c r="R1343" s="2" t="str">
        <f t="shared" si="275"/>
        <v>Number</v>
      </c>
      <c r="S1343" s="2">
        <v>7.99</v>
      </c>
      <c r="T1343" s="19">
        <f t="shared" si="276"/>
        <v>7.99</v>
      </c>
      <c r="U1343" s="2">
        <v>47.95</v>
      </c>
      <c r="V1343" s="19">
        <f t="shared" si="277"/>
        <v>47.95</v>
      </c>
      <c r="W1343" s="19">
        <f t="shared" si="278"/>
        <v>47.95</v>
      </c>
      <c r="X1343" s="19" t="str">
        <f t="shared" si="279"/>
        <v>True</v>
      </c>
      <c r="Y1343" s="19" t="str">
        <f>IF(OR(W1343&lt;'Cleaning Tasks'!$G$18,W1343&gt;'Cleaning Tasks'!$H$18),"Outlier","Normal")</f>
        <v>Normal</v>
      </c>
      <c r="Z1343" s="2" t="s">
        <v>39</v>
      </c>
      <c r="AA1343" s="2" t="s">
        <v>88</v>
      </c>
      <c r="AB1343" s="2" t="s">
        <v>50</v>
      </c>
      <c r="AC1343" s="2" t="s">
        <v>42</v>
      </c>
      <c r="AD1343" s="2"/>
      <c r="AE1343" s="2" t="str">
        <f t="shared" si="280"/>
        <v>Not Required</v>
      </c>
      <c r="AF1343" s="2" t="s">
        <v>3752</v>
      </c>
    </row>
    <row r="1344" spans="1:32" x14ac:dyDescent="0.3">
      <c r="A1344" s="2" t="s">
        <v>3753</v>
      </c>
      <c r="B1344" s="2">
        <f t="shared" si="270"/>
        <v>1</v>
      </c>
      <c r="C1344" s="12">
        <f t="shared" si="282"/>
        <v>46238.5820809375</v>
      </c>
      <c r="D1344" s="13">
        <v>46238.5820809375</v>
      </c>
      <c r="E1344" s="2" t="s">
        <v>795</v>
      </c>
      <c r="F1344" s="2" t="str">
        <f t="shared" si="271"/>
        <v>Email Available</v>
      </c>
      <c r="G1344" s="2" t="s">
        <v>796</v>
      </c>
      <c r="H1344" s="2" t="s">
        <v>166</v>
      </c>
      <c r="I1344" s="2" t="s">
        <v>103</v>
      </c>
      <c r="J1344" s="2" t="s">
        <v>167</v>
      </c>
      <c r="K1344" s="2">
        <v>1</v>
      </c>
      <c r="L1344" s="2">
        <v>32.99</v>
      </c>
      <c r="M1344" s="19">
        <f t="shared" si="272"/>
        <v>32.99</v>
      </c>
      <c r="N1344" s="2"/>
      <c r="O1344" s="2" t="str">
        <f t="shared" si="273"/>
        <v/>
      </c>
      <c r="P1344" s="2">
        <v>0</v>
      </c>
      <c r="Q1344" s="19">
        <f t="shared" si="274"/>
        <v>0</v>
      </c>
      <c r="R1344" s="2" t="str">
        <f t="shared" si="275"/>
        <v>Number</v>
      </c>
      <c r="S1344" s="2">
        <v>4.99</v>
      </c>
      <c r="T1344" s="19">
        <f t="shared" si="276"/>
        <v>4.99</v>
      </c>
      <c r="U1344" s="2">
        <v>37.979999999999997</v>
      </c>
      <c r="V1344" s="19">
        <f t="shared" si="277"/>
        <v>37.979999999999997</v>
      </c>
      <c r="W1344" s="19">
        <f t="shared" si="278"/>
        <v>37.980000000000004</v>
      </c>
      <c r="X1344" s="19" t="str">
        <f t="shared" si="279"/>
        <v>True</v>
      </c>
      <c r="Y1344" s="19" t="str">
        <f>IF(OR(W1344&lt;'Cleaning Tasks'!$G$18,W1344&gt;'Cleaning Tasks'!$H$18),"Outlier","Normal")</f>
        <v>Normal</v>
      </c>
      <c r="Z1344" s="2" t="s">
        <v>72</v>
      </c>
      <c r="AA1344" s="2" t="s">
        <v>88</v>
      </c>
      <c r="AB1344" s="2" t="s">
        <v>50</v>
      </c>
      <c r="AC1344" s="2" t="s">
        <v>42</v>
      </c>
      <c r="AD1344" s="2"/>
      <c r="AE1344" s="2" t="str">
        <f t="shared" si="280"/>
        <v>Not Required</v>
      </c>
      <c r="AF1344" s="2" t="s">
        <v>3754</v>
      </c>
    </row>
    <row r="1345" spans="1:32" x14ac:dyDescent="0.3">
      <c r="A1345" s="2" t="s">
        <v>3755</v>
      </c>
      <c r="B1345" s="2">
        <f t="shared" si="270"/>
        <v>1</v>
      </c>
      <c r="C1345" s="12">
        <f t="shared" si="282"/>
        <v>46238.579712997693</v>
      </c>
      <c r="D1345" s="13">
        <v>46238.579712997693</v>
      </c>
      <c r="E1345" s="2" t="s">
        <v>2097</v>
      </c>
      <c r="F1345" s="2" t="str">
        <f t="shared" si="271"/>
        <v>Email Available</v>
      </c>
      <c r="G1345" s="2" t="s">
        <v>2098</v>
      </c>
      <c r="H1345" s="2" t="s">
        <v>201</v>
      </c>
      <c r="I1345" s="2" t="s">
        <v>191</v>
      </c>
      <c r="J1345" s="2" t="s">
        <v>202</v>
      </c>
      <c r="K1345" s="2">
        <v>1</v>
      </c>
      <c r="L1345" s="2">
        <v>24.99</v>
      </c>
      <c r="M1345" s="19">
        <f t="shared" si="272"/>
        <v>24.99</v>
      </c>
      <c r="N1345" s="2"/>
      <c r="O1345" s="2" t="str">
        <f t="shared" si="273"/>
        <v/>
      </c>
      <c r="P1345" s="2" t="s">
        <v>184</v>
      </c>
      <c r="Q1345" s="19">
        <f t="shared" si="274"/>
        <v>0</v>
      </c>
      <c r="R1345" s="2" t="str">
        <f t="shared" si="275"/>
        <v>Number</v>
      </c>
      <c r="S1345" s="2">
        <v>5.99</v>
      </c>
      <c r="T1345" s="19">
        <f t="shared" si="276"/>
        <v>5.99</v>
      </c>
      <c r="U1345" s="2">
        <v>30.98</v>
      </c>
      <c r="V1345" s="19">
        <f t="shared" si="277"/>
        <v>30.98</v>
      </c>
      <c r="W1345" s="19">
        <f t="shared" si="278"/>
        <v>30.979999999999997</v>
      </c>
      <c r="X1345" s="19" t="str">
        <f t="shared" si="279"/>
        <v>True</v>
      </c>
      <c r="Y1345" s="19" t="str">
        <f>IF(OR(W1345&lt;'Cleaning Tasks'!$G$18,W1345&gt;'Cleaning Tasks'!$H$18),"Outlier","Normal")</f>
        <v>Normal</v>
      </c>
      <c r="Z1345" s="2" t="s">
        <v>26</v>
      </c>
      <c r="AA1345" s="2" t="s">
        <v>27</v>
      </c>
      <c r="AB1345" s="2" t="s">
        <v>50</v>
      </c>
      <c r="AC1345" s="2" t="s">
        <v>223</v>
      </c>
      <c r="AD1345" s="2"/>
      <c r="AE1345" s="2" t="str">
        <f t="shared" si="280"/>
        <v>Not Required</v>
      </c>
      <c r="AF1345" s="2" t="s">
        <v>1065</v>
      </c>
    </row>
    <row r="1346" spans="1:32" x14ac:dyDescent="0.3">
      <c r="A1346" s="2" t="s">
        <v>3756</v>
      </c>
      <c r="B1346" s="2">
        <f t="shared" ref="B1346:B1409" si="283">COUNTIF($A$2:$A$1993,A1346)</f>
        <v>1</v>
      </c>
      <c r="C1346" s="12">
        <f t="shared" si="282"/>
        <v>46238.582117847232</v>
      </c>
      <c r="D1346" s="13">
        <v>46238.582117847232</v>
      </c>
      <c r="E1346" s="2" t="s">
        <v>1210</v>
      </c>
      <c r="F1346" s="2" t="str">
        <f t="shared" ref="F1346:F1409" si="284">IF(TRIM(G1346)="","Missing Email","Email Available")</f>
        <v>Email Available</v>
      </c>
      <c r="G1346" s="2" t="s">
        <v>1211</v>
      </c>
      <c r="H1346" s="2" t="s">
        <v>124</v>
      </c>
      <c r="I1346" s="2" t="s">
        <v>79</v>
      </c>
      <c r="J1346" s="2" t="s">
        <v>125</v>
      </c>
      <c r="K1346" s="2">
        <v>1</v>
      </c>
      <c r="L1346" s="2">
        <v>13.99</v>
      </c>
      <c r="M1346" s="19">
        <f t="shared" ref="M1346:M1409" si="285">IF(ISNUMBER(L1346),L1346,VALUE(SUBSTITUTE(L1346,"$","")))</f>
        <v>13.99</v>
      </c>
      <c r="N1346" s="2" t="s">
        <v>65</v>
      </c>
      <c r="O1346" s="2" t="str">
        <f t="shared" ref="O1346:O1409" si="286">IF(TRIM(N1346)="","",UPPER(TRIM(SUBSTITUTE(N1346,CHAR(160)," "))))</f>
        <v>WELCOME10</v>
      </c>
      <c r="P1346" s="2">
        <v>1.4</v>
      </c>
      <c r="Q1346" s="19">
        <f t="shared" ref="Q1346:Q1409" si="287">IF(ISNUMBER(P1346),P1346,VALUE(TRIM(SUBSTITUTE(P1346,"$",""))))</f>
        <v>1.4</v>
      </c>
      <c r="R1346" s="2" t="str">
        <f t="shared" ref="R1346:R1409" si="288">IF(ISNUMBER(Q1346),"Number","Text")</f>
        <v>Number</v>
      </c>
      <c r="S1346" s="2">
        <v>7.99</v>
      </c>
      <c r="T1346" s="19">
        <f t="shared" ref="T1346:T1409" si="289">IF(ISNUMBER(S1346),S1346,VALUE(TRIM(SUBSTITUTE(S1346,"$",""))))</f>
        <v>7.99</v>
      </c>
      <c r="U1346" s="2">
        <v>20.58</v>
      </c>
      <c r="V1346" s="19">
        <f t="shared" ref="V1346:V1409" si="290">IF(ISNUMBER(U1346),U1346,VALUE(TRIM(SUBSTITUTE(U1346,"$",""))))</f>
        <v>20.58</v>
      </c>
      <c r="W1346" s="19">
        <f t="shared" ref="W1346:W1409" si="291">((M1346*K1346)-Q1346)+T1346</f>
        <v>20.58</v>
      </c>
      <c r="X1346" s="19" t="str">
        <f t="shared" ref="X1346:X1409" si="292">IF(V1346=W1346,"True","False")</f>
        <v>True</v>
      </c>
      <c r="Y1346" s="19" t="str">
        <f>IF(OR(W1346&lt;'Cleaning Tasks'!$G$18,W1346&gt;'Cleaning Tasks'!$H$18),"Outlier","Normal")</f>
        <v>Normal</v>
      </c>
      <c r="Z1346" s="2" t="s">
        <v>49</v>
      </c>
      <c r="AA1346" s="2" t="s">
        <v>27</v>
      </c>
      <c r="AB1346" s="2" t="s">
        <v>50</v>
      </c>
      <c r="AC1346" s="2" t="s">
        <v>29</v>
      </c>
      <c r="AD1346" s="2" t="s">
        <v>89</v>
      </c>
      <c r="AE1346" s="2" t="str">
        <f t="shared" ref="AE1346:AE1409" si="293">IF(AND(AC1346="United States",AD1346=""),"Missing state",IF(AD1346="","Not Required","Valid"))</f>
        <v>Valid</v>
      </c>
      <c r="AF1346" s="2" t="s">
        <v>3757</v>
      </c>
    </row>
    <row r="1347" spans="1:32" x14ac:dyDescent="0.3">
      <c r="A1347" s="2" t="s">
        <v>3758</v>
      </c>
      <c r="B1347" s="2">
        <f t="shared" si="283"/>
        <v>1</v>
      </c>
      <c r="C1347" s="12">
        <f t="shared" si="282"/>
        <v>46238.579094236113</v>
      </c>
      <c r="D1347" s="13">
        <v>46238.579094236113</v>
      </c>
      <c r="E1347" s="2" t="s">
        <v>3759</v>
      </c>
      <c r="F1347" s="2" t="str">
        <f t="shared" si="284"/>
        <v>Email Available</v>
      </c>
      <c r="G1347" s="2" t="s">
        <v>1178</v>
      </c>
      <c r="H1347" s="2" t="s">
        <v>63</v>
      </c>
      <c r="I1347" s="2" t="s">
        <v>47</v>
      </c>
      <c r="J1347" s="2" t="s">
        <v>446</v>
      </c>
      <c r="K1347" s="2">
        <v>1</v>
      </c>
      <c r="L1347" s="2">
        <v>14.99</v>
      </c>
      <c r="M1347" s="19">
        <f t="shared" si="285"/>
        <v>14.99</v>
      </c>
      <c r="N1347" s="2" t="s">
        <v>65</v>
      </c>
      <c r="O1347" s="2" t="str">
        <f t="shared" si="286"/>
        <v>WELCOME10</v>
      </c>
      <c r="P1347" s="2">
        <v>1.5</v>
      </c>
      <c r="Q1347" s="19">
        <f t="shared" si="287"/>
        <v>1.5</v>
      </c>
      <c r="R1347" s="2" t="str">
        <f t="shared" si="288"/>
        <v>Number</v>
      </c>
      <c r="S1347" s="2">
        <v>5.99</v>
      </c>
      <c r="T1347" s="19">
        <f t="shared" si="289"/>
        <v>5.99</v>
      </c>
      <c r="U1347" s="2">
        <v>19.48</v>
      </c>
      <c r="V1347" s="19">
        <f t="shared" si="290"/>
        <v>19.48</v>
      </c>
      <c r="W1347" s="19">
        <f t="shared" si="291"/>
        <v>19.48</v>
      </c>
      <c r="X1347" s="19" t="str">
        <f t="shared" si="292"/>
        <v>True</v>
      </c>
      <c r="Y1347" s="19" t="str">
        <f>IF(OR(W1347&lt;'Cleaning Tasks'!$G$18,W1347&gt;'Cleaning Tasks'!$H$18),"Outlier","Normal")</f>
        <v>Normal</v>
      </c>
      <c r="Z1347" s="2" t="s">
        <v>72</v>
      </c>
      <c r="AA1347" s="2" t="s">
        <v>88</v>
      </c>
      <c r="AB1347" s="2" t="s">
        <v>50</v>
      </c>
      <c r="AC1347" s="2" t="s">
        <v>29</v>
      </c>
      <c r="AD1347" s="2" t="s">
        <v>341</v>
      </c>
      <c r="AE1347" s="2" t="str">
        <f t="shared" si="293"/>
        <v>Valid</v>
      </c>
      <c r="AF1347" s="2" t="s">
        <v>3760</v>
      </c>
    </row>
    <row r="1348" spans="1:32" x14ac:dyDescent="0.3">
      <c r="A1348" s="2" t="s">
        <v>3761</v>
      </c>
      <c r="B1348" s="2">
        <f t="shared" si="283"/>
        <v>1</v>
      </c>
      <c r="C1348" s="12">
        <f t="shared" si="282"/>
        <v>46238.58580666667</v>
      </c>
      <c r="D1348" s="13">
        <v>46238.58580666667</v>
      </c>
      <c r="E1348" s="2" t="s">
        <v>2421</v>
      </c>
      <c r="F1348" s="2" t="str">
        <f t="shared" si="284"/>
        <v>Email Available</v>
      </c>
      <c r="G1348" s="2" t="s">
        <v>2422</v>
      </c>
      <c r="H1348" s="2" t="s">
        <v>190</v>
      </c>
      <c r="I1348" s="2" t="s">
        <v>191</v>
      </c>
      <c r="J1348" s="2" t="s">
        <v>192</v>
      </c>
      <c r="K1348" s="2">
        <v>1</v>
      </c>
      <c r="L1348" s="2">
        <v>13.49</v>
      </c>
      <c r="M1348" s="19">
        <f t="shared" si="285"/>
        <v>13.49</v>
      </c>
      <c r="N1348" s="2"/>
      <c r="O1348" s="2" t="str">
        <f t="shared" si="286"/>
        <v/>
      </c>
      <c r="P1348" s="2">
        <v>0</v>
      </c>
      <c r="Q1348" s="19">
        <f t="shared" si="287"/>
        <v>0</v>
      </c>
      <c r="R1348" s="2" t="str">
        <f t="shared" si="288"/>
        <v>Number</v>
      </c>
      <c r="S1348" s="2">
        <v>7.99</v>
      </c>
      <c r="T1348" s="19">
        <f t="shared" si="289"/>
        <v>7.99</v>
      </c>
      <c r="U1348" s="2">
        <v>21.48</v>
      </c>
      <c r="V1348" s="19">
        <f t="shared" si="290"/>
        <v>21.48</v>
      </c>
      <c r="W1348" s="19">
        <f t="shared" si="291"/>
        <v>21.48</v>
      </c>
      <c r="X1348" s="19" t="str">
        <f t="shared" si="292"/>
        <v>True</v>
      </c>
      <c r="Y1348" s="19" t="str">
        <f>IF(OR(W1348&lt;'Cleaning Tasks'!$G$18,W1348&gt;'Cleaning Tasks'!$H$18),"Outlier","Normal")</f>
        <v>Normal</v>
      </c>
      <c r="Z1348" s="2" t="s">
        <v>72</v>
      </c>
      <c r="AA1348" s="2" t="s">
        <v>27</v>
      </c>
      <c r="AB1348" s="2" t="s">
        <v>50</v>
      </c>
      <c r="AC1348" s="2" t="s">
        <v>29</v>
      </c>
      <c r="AD1348" s="22" t="s">
        <v>51</v>
      </c>
      <c r="AE1348" s="2" t="str">
        <f t="shared" si="293"/>
        <v>Valid</v>
      </c>
      <c r="AF1348" s="2" t="s">
        <v>3762</v>
      </c>
    </row>
    <row r="1349" spans="1:32" x14ac:dyDescent="0.3">
      <c r="A1349" s="2" t="s">
        <v>3763</v>
      </c>
      <c r="B1349" s="2">
        <f t="shared" si="283"/>
        <v>1</v>
      </c>
      <c r="C1349" s="12">
        <f t="shared" si="282"/>
        <v>46238.588775914352</v>
      </c>
      <c r="D1349" s="13">
        <v>46238.588775914352</v>
      </c>
      <c r="E1349" s="2" t="s">
        <v>172</v>
      </c>
      <c r="F1349" s="2" t="str">
        <f t="shared" si="284"/>
        <v>Email Available</v>
      </c>
      <c r="G1349" s="2" t="s">
        <v>173</v>
      </c>
      <c r="H1349" s="2" t="s">
        <v>78</v>
      </c>
      <c r="I1349" s="2" t="s">
        <v>79</v>
      </c>
      <c r="J1349" s="2" t="s">
        <v>80</v>
      </c>
      <c r="K1349" s="2">
        <v>2</v>
      </c>
      <c r="L1349" s="2">
        <v>89.99</v>
      </c>
      <c r="M1349" s="19">
        <f t="shared" si="285"/>
        <v>89.99</v>
      </c>
      <c r="N1349" s="2"/>
      <c r="O1349" s="2" t="str">
        <f t="shared" si="286"/>
        <v/>
      </c>
      <c r="P1349" s="2">
        <v>0</v>
      </c>
      <c r="Q1349" s="19">
        <f t="shared" si="287"/>
        <v>0</v>
      </c>
      <c r="R1349" s="2" t="str">
        <f t="shared" si="288"/>
        <v>Number</v>
      </c>
      <c r="S1349" s="2">
        <v>0</v>
      </c>
      <c r="T1349" s="19">
        <f t="shared" si="289"/>
        <v>0</v>
      </c>
      <c r="U1349" s="2">
        <v>179.98</v>
      </c>
      <c r="V1349" s="19">
        <f t="shared" si="290"/>
        <v>179.98</v>
      </c>
      <c r="W1349" s="19">
        <f t="shared" si="291"/>
        <v>179.98</v>
      </c>
      <c r="X1349" s="19" t="str">
        <f t="shared" si="292"/>
        <v>True</v>
      </c>
      <c r="Y1349" s="19" t="str">
        <f>IF(OR(W1349&lt;'Cleaning Tasks'!$G$18,W1349&gt;'Cleaning Tasks'!$H$18),"Outlier","Normal")</f>
        <v>Outlier</v>
      </c>
      <c r="Z1349" s="2" t="s">
        <v>26</v>
      </c>
      <c r="AA1349" s="2" t="s">
        <v>27</v>
      </c>
      <c r="AB1349" s="2" t="s">
        <v>50</v>
      </c>
      <c r="AC1349" s="2" t="s">
        <v>29</v>
      </c>
      <c r="AD1349" s="2" t="s">
        <v>447</v>
      </c>
      <c r="AE1349" s="2" t="str">
        <f t="shared" si="293"/>
        <v>Valid</v>
      </c>
      <c r="AF1349" s="2" t="s">
        <v>3764</v>
      </c>
    </row>
    <row r="1350" spans="1:32" x14ac:dyDescent="0.3">
      <c r="A1350" s="2" t="s">
        <v>3765</v>
      </c>
      <c r="B1350" s="2">
        <f t="shared" si="283"/>
        <v>1</v>
      </c>
      <c r="C1350" s="12">
        <f t="shared" si="282"/>
        <v>46238.585439722221</v>
      </c>
      <c r="D1350" s="13">
        <v>46238.585439722221</v>
      </c>
      <c r="E1350" s="2" t="s">
        <v>3338</v>
      </c>
      <c r="F1350" s="2" t="str">
        <f t="shared" si="284"/>
        <v>Email Available</v>
      </c>
      <c r="G1350" s="2" t="s">
        <v>3339</v>
      </c>
      <c r="H1350" s="2" t="s">
        <v>63</v>
      </c>
      <c r="I1350" s="2" t="s">
        <v>47</v>
      </c>
      <c r="J1350" s="2" t="s">
        <v>446</v>
      </c>
      <c r="K1350" s="2">
        <v>1</v>
      </c>
      <c r="L1350" s="2">
        <v>14.99</v>
      </c>
      <c r="M1350" s="19">
        <f t="shared" si="285"/>
        <v>14.99</v>
      </c>
      <c r="N1350" s="2" t="s">
        <v>118</v>
      </c>
      <c r="O1350" s="2" t="str">
        <f t="shared" si="286"/>
        <v>BFCM25</v>
      </c>
      <c r="P1350" s="2">
        <v>3.75</v>
      </c>
      <c r="Q1350" s="19">
        <f t="shared" si="287"/>
        <v>3.75</v>
      </c>
      <c r="R1350" s="2" t="str">
        <f t="shared" si="288"/>
        <v>Number</v>
      </c>
      <c r="S1350" s="2">
        <v>7.99</v>
      </c>
      <c r="T1350" s="19">
        <f t="shared" si="289"/>
        <v>7.99</v>
      </c>
      <c r="U1350" s="2">
        <v>19.23</v>
      </c>
      <c r="V1350" s="19">
        <f t="shared" si="290"/>
        <v>19.23</v>
      </c>
      <c r="W1350" s="19">
        <f t="shared" si="291"/>
        <v>19.23</v>
      </c>
      <c r="X1350" s="19" t="str">
        <f t="shared" si="292"/>
        <v>True</v>
      </c>
      <c r="Y1350" s="19" t="str">
        <f>IF(OR(W1350&lt;'Cleaning Tasks'!$G$18,W1350&gt;'Cleaning Tasks'!$H$18),"Outlier","Normal")</f>
        <v>Normal</v>
      </c>
      <c r="Z1350" s="2" t="s">
        <v>39</v>
      </c>
      <c r="AA1350" s="2" t="s">
        <v>27</v>
      </c>
      <c r="AB1350" s="2" t="s">
        <v>50</v>
      </c>
      <c r="AC1350" s="2" t="s">
        <v>331</v>
      </c>
      <c r="AD1350" s="2"/>
      <c r="AE1350" s="2" t="str">
        <f t="shared" si="293"/>
        <v>Not Required</v>
      </c>
      <c r="AF1350" s="2" t="s">
        <v>3766</v>
      </c>
    </row>
    <row r="1351" spans="1:32" x14ac:dyDescent="0.3">
      <c r="A1351" s="2" t="s">
        <v>3767</v>
      </c>
      <c r="B1351" s="2">
        <f t="shared" si="283"/>
        <v>1</v>
      </c>
      <c r="C1351" s="12">
        <f t="shared" si="282"/>
        <v>46238.581103182871</v>
      </c>
      <c r="D1351" s="13">
        <v>46238.581103182871</v>
      </c>
      <c r="E1351" s="2" t="s">
        <v>1210</v>
      </c>
      <c r="F1351" s="2" t="str">
        <f t="shared" si="284"/>
        <v>Email Available</v>
      </c>
      <c r="G1351" s="2" t="s">
        <v>1211</v>
      </c>
      <c r="H1351" s="2" t="s">
        <v>78</v>
      </c>
      <c r="I1351" s="2" t="s">
        <v>79</v>
      </c>
      <c r="J1351" s="2" t="s">
        <v>80</v>
      </c>
      <c r="K1351" s="2">
        <v>1</v>
      </c>
      <c r="L1351" s="2" t="s">
        <v>571</v>
      </c>
      <c r="M1351" s="19">
        <f t="shared" si="285"/>
        <v>89.99</v>
      </c>
      <c r="N1351" s="2"/>
      <c r="O1351" s="2" t="str">
        <f t="shared" si="286"/>
        <v/>
      </c>
      <c r="P1351" s="2">
        <v>0</v>
      </c>
      <c r="Q1351" s="19">
        <f t="shared" si="287"/>
        <v>0</v>
      </c>
      <c r="R1351" s="2" t="str">
        <f t="shared" si="288"/>
        <v>Number</v>
      </c>
      <c r="S1351" s="2">
        <v>0</v>
      </c>
      <c r="T1351" s="19">
        <f t="shared" si="289"/>
        <v>0</v>
      </c>
      <c r="U1351" s="2">
        <v>89.99</v>
      </c>
      <c r="V1351" s="19">
        <f t="shared" si="290"/>
        <v>89.99</v>
      </c>
      <c r="W1351" s="19">
        <f t="shared" si="291"/>
        <v>89.99</v>
      </c>
      <c r="X1351" s="19" t="str">
        <f t="shared" si="292"/>
        <v>True</v>
      </c>
      <c r="Y1351" s="19" t="str">
        <f>IF(OR(W1351&lt;'Cleaning Tasks'!$G$18,W1351&gt;'Cleaning Tasks'!$H$18),"Outlier","Normal")</f>
        <v>Outlier</v>
      </c>
      <c r="Z1351" s="2" t="s">
        <v>39</v>
      </c>
      <c r="AA1351" s="2" t="s">
        <v>27</v>
      </c>
      <c r="AB1351" s="2" t="s">
        <v>50</v>
      </c>
      <c r="AC1351" s="2" t="s">
        <v>29</v>
      </c>
      <c r="AD1351" s="2" t="s">
        <v>89</v>
      </c>
      <c r="AE1351" s="2" t="str">
        <f t="shared" si="293"/>
        <v>Valid</v>
      </c>
      <c r="AF1351" s="2" t="s">
        <v>3768</v>
      </c>
    </row>
    <row r="1352" spans="1:32" x14ac:dyDescent="0.3">
      <c r="A1352" s="2" t="s">
        <v>3769</v>
      </c>
      <c r="B1352" s="2">
        <f t="shared" si="283"/>
        <v>1</v>
      </c>
      <c r="C1352" s="12">
        <f t="shared" ref="C1352:C1383" si="294">IF(ISNUMBER(D1352),D1352,DATEVALUE(SUBSTITUTE(TRIM(D1352),CHAR(160)," ")))</f>
        <v>46238.585488368059</v>
      </c>
      <c r="D1352" s="13">
        <v>46238.585488368059</v>
      </c>
      <c r="E1352" s="2" t="s">
        <v>325</v>
      </c>
      <c r="F1352" s="2" t="str">
        <f t="shared" si="284"/>
        <v>Email Available</v>
      </c>
      <c r="G1352" s="2" t="s">
        <v>326</v>
      </c>
      <c r="H1352" s="2" t="s">
        <v>56</v>
      </c>
      <c r="I1352" s="2" t="s">
        <v>22</v>
      </c>
      <c r="J1352" s="2" t="s">
        <v>57</v>
      </c>
      <c r="K1352" s="2">
        <v>1</v>
      </c>
      <c r="L1352" s="2">
        <v>9.99</v>
      </c>
      <c r="M1352" s="19">
        <f t="shared" si="285"/>
        <v>9.99</v>
      </c>
      <c r="N1352" s="2" t="s">
        <v>65</v>
      </c>
      <c r="O1352" s="2" t="str">
        <f t="shared" si="286"/>
        <v>WELCOME10</v>
      </c>
      <c r="P1352" s="2" t="s">
        <v>3770</v>
      </c>
      <c r="Q1352" s="19">
        <f t="shared" si="287"/>
        <v>1</v>
      </c>
      <c r="R1352" s="2" t="str">
        <f t="shared" si="288"/>
        <v>Number</v>
      </c>
      <c r="S1352" s="2">
        <v>5.99</v>
      </c>
      <c r="T1352" s="19">
        <f t="shared" si="289"/>
        <v>5.99</v>
      </c>
      <c r="U1352" s="2">
        <v>14.98</v>
      </c>
      <c r="V1352" s="19">
        <f t="shared" si="290"/>
        <v>14.98</v>
      </c>
      <c r="W1352" s="19">
        <f t="shared" si="291"/>
        <v>14.98</v>
      </c>
      <c r="X1352" s="19" t="str">
        <f t="shared" si="292"/>
        <v>True</v>
      </c>
      <c r="Y1352" s="19" t="str">
        <f>IF(OR(W1352&lt;'Cleaning Tasks'!$G$18,W1352&gt;'Cleaning Tasks'!$H$18),"Outlier","Normal")</f>
        <v>Normal</v>
      </c>
      <c r="Z1352" s="2" t="s">
        <v>26</v>
      </c>
      <c r="AA1352" s="2" t="s">
        <v>40</v>
      </c>
      <c r="AB1352" s="2" t="s">
        <v>28</v>
      </c>
      <c r="AC1352" s="2" t="s">
        <v>29</v>
      </c>
      <c r="AD1352" s="2" t="s">
        <v>112</v>
      </c>
      <c r="AE1352" s="2" t="str">
        <f t="shared" si="293"/>
        <v>Valid</v>
      </c>
      <c r="AF1352" s="2" t="s">
        <v>3771</v>
      </c>
    </row>
    <row r="1353" spans="1:32" x14ac:dyDescent="0.3">
      <c r="A1353" s="2" t="s">
        <v>3772</v>
      </c>
      <c r="B1353" s="2">
        <f t="shared" si="283"/>
        <v>1</v>
      </c>
      <c r="C1353" s="12">
        <f t="shared" si="294"/>
        <v>46238.584366539348</v>
      </c>
      <c r="D1353" s="13">
        <v>46238.584366539348</v>
      </c>
      <c r="E1353" s="2" t="s">
        <v>172</v>
      </c>
      <c r="F1353" s="2" t="str">
        <f t="shared" si="284"/>
        <v>Email Available</v>
      </c>
      <c r="G1353" s="2" t="s">
        <v>173</v>
      </c>
      <c r="H1353" s="2" t="s">
        <v>267</v>
      </c>
      <c r="I1353" s="2" t="s">
        <v>22</v>
      </c>
      <c r="J1353" s="2" t="s">
        <v>268</v>
      </c>
      <c r="K1353" s="2">
        <v>1</v>
      </c>
      <c r="L1353" s="2">
        <v>18.989999999999998</v>
      </c>
      <c r="M1353" s="19">
        <f t="shared" si="285"/>
        <v>18.989999999999998</v>
      </c>
      <c r="N1353" s="2"/>
      <c r="O1353" s="2" t="str">
        <f t="shared" si="286"/>
        <v/>
      </c>
      <c r="P1353" s="2">
        <v>0</v>
      </c>
      <c r="Q1353" s="19">
        <f t="shared" si="287"/>
        <v>0</v>
      </c>
      <c r="R1353" s="2" t="str">
        <f t="shared" si="288"/>
        <v>Number</v>
      </c>
      <c r="S1353" s="2">
        <v>7.99</v>
      </c>
      <c r="T1353" s="19">
        <f t="shared" si="289"/>
        <v>7.99</v>
      </c>
      <c r="U1353" s="2">
        <v>26.98</v>
      </c>
      <c r="V1353" s="19">
        <f t="shared" si="290"/>
        <v>26.98</v>
      </c>
      <c r="W1353" s="19">
        <f t="shared" si="291"/>
        <v>26.979999999999997</v>
      </c>
      <c r="X1353" s="19" t="str">
        <f t="shared" si="292"/>
        <v>True</v>
      </c>
      <c r="Y1353" s="19" t="str">
        <f>IF(OR(W1353&lt;'Cleaning Tasks'!$G$18,W1353&gt;'Cleaning Tasks'!$H$18),"Outlier","Normal")</f>
        <v>Normal</v>
      </c>
      <c r="Z1353" s="2" t="s">
        <v>66</v>
      </c>
      <c r="AA1353" s="2" t="s">
        <v>27</v>
      </c>
      <c r="AB1353" s="2" t="s">
        <v>50</v>
      </c>
      <c r="AC1353" s="2" t="s">
        <v>29</v>
      </c>
      <c r="AD1353" s="2" t="s">
        <v>51</v>
      </c>
      <c r="AE1353" s="2" t="str">
        <f t="shared" si="293"/>
        <v>Valid</v>
      </c>
      <c r="AF1353" s="2" t="s">
        <v>3773</v>
      </c>
    </row>
    <row r="1354" spans="1:32" x14ac:dyDescent="0.3">
      <c r="A1354" s="2" t="s">
        <v>3774</v>
      </c>
      <c r="B1354" s="2">
        <f t="shared" si="283"/>
        <v>1</v>
      </c>
      <c r="C1354" s="12">
        <f t="shared" si="294"/>
        <v>46238.588307337966</v>
      </c>
      <c r="D1354" s="13">
        <v>46238.588307337966</v>
      </c>
      <c r="E1354" s="2" t="s">
        <v>2876</v>
      </c>
      <c r="F1354" s="2" t="str">
        <f t="shared" si="284"/>
        <v>Email Available</v>
      </c>
      <c r="G1354" s="2" t="s">
        <v>2877</v>
      </c>
      <c r="H1354" s="2" t="s">
        <v>85</v>
      </c>
      <c r="I1354" s="2" t="s">
        <v>86</v>
      </c>
      <c r="J1354" s="2" t="s">
        <v>87</v>
      </c>
      <c r="K1354" s="2">
        <v>2</v>
      </c>
      <c r="L1354" s="2">
        <v>54.99</v>
      </c>
      <c r="M1354" s="19">
        <f t="shared" si="285"/>
        <v>54.99</v>
      </c>
      <c r="N1354" s="2" t="s">
        <v>118</v>
      </c>
      <c r="O1354" s="2" t="str">
        <f t="shared" si="286"/>
        <v>BFCM25</v>
      </c>
      <c r="P1354" s="2">
        <v>27.5</v>
      </c>
      <c r="Q1354" s="19">
        <f t="shared" si="287"/>
        <v>27.5</v>
      </c>
      <c r="R1354" s="2" t="str">
        <f t="shared" si="288"/>
        <v>Number</v>
      </c>
      <c r="S1354" s="2">
        <v>0</v>
      </c>
      <c r="T1354" s="19">
        <f t="shared" si="289"/>
        <v>0</v>
      </c>
      <c r="U1354" s="2">
        <v>82.48</v>
      </c>
      <c r="V1354" s="19">
        <f t="shared" si="290"/>
        <v>82.48</v>
      </c>
      <c r="W1354" s="19">
        <f t="shared" si="291"/>
        <v>82.48</v>
      </c>
      <c r="X1354" s="19" t="str">
        <f t="shared" si="292"/>
        <v>True</v>
      </c>
      <c r="Y1354" s="19" t="str">
        <f>IF(OR(W1354&lt;'Cleaning Tasks'!$G$18,W1354&gt;'Cleaning Tasks'!$H$18),"Outlier","Normal")</f>
        <v>Outlier</v>
      </c>
      <c r="Z1354" s="2" t="s">
        <v>66</v>
      </c>
      <c r="AA1354" s="2" t="s">
        <v>27</v>
      </c>
      <c r="AB1354" s="2" t="s">
        <v>50</v>
      </c>
      <c r="AC1354" s="2" t="s">
        <v>29</v>
      </c>
      <c r="AD1354" s="2" t="s">
        <v>243</v>
      </c>
      <c r="AE1354" s="2" t="str">
        <f t="shared" si="293"/>
        <v>Valid</v>
      </c>
      <c r="AF1354" s="2" t="s">
        <v>3775</v>
      </c>
    </row>
    <row r="1355" spans="1:32" x14ac:dyDescent="0.3">
      <c r="A1355" s="2" t="s">
        <v>3776</v>
      </c>
      <c r="B1355" s="2">
        <f t="shared" si="283"/>
        <v>1</v>
      </c>
      <c r="C1355" s="12">
        <f t="shared" si="294"/>
        <v>46238.586131064818</v>
      </c>
      <c r="D1355" s="13">
        <v>46238.586131064818</v>
      </c>
      <c r="E1355" s="2" t="s">
        <v>1611</v>
      </c>
      <c r="F1355" s="2" t="str">
        <f t="shared" si="284"/>
        <v>Email Available</v>
      </c>
      <c r="G1355" s="2" t="s">
        <v>1612</v>
      </c>
      <c r="H1355" s="2" t="s">
        <v>85</v>
      </c>
      <c r="I1355" s="2" t="s">
        <v>86</v>
      </c>
      <c r="J1355" s="2" t="s">
        <v>87</v>
      </c>
      <c r="K1355" s="2">
        <v>1</v>
      </c>
      <c r="L1355" s="2">
        <v>54.99</v>
      </c>
      <c r="M1355" s="19">
        <f t="shared" si="285"/>
        <v>54.99</v>
      </c>
      <c r="N1355" s="2" t="s">
        <v>24</v>
      </c>
      <c r="O1355" s="2" t="str">
        <f t="shared" si="286"/>
        <v>SAVE20</v>
      </c>
      <c r="P1355" s="2">
        <v>11</v>
      </c>
      <c r="Q1355" s="19">
        <f t="shared" si="287"/>
        <v>11</v>
      </c>
      <c r="R1355" s="2" t="str">
        <f t="shared" si="288"/>
        <v>Number</v>
      </c>
      <c r="S1355" s="2">
        <v>7.99</v>
      </c>
      <c r="T1355" s="19">
        <f t="shared" si="289"/>
        <v>7.99</v>
      </c>
      <c r="U1355" s="2">
        <v>51.98</v>
      </c>
      <c r="V1355" s="19">
        <f t="shared" si="290"/>
        <v>51.98</v>
      </c>
      <c r="W1355" s="19">
        <f t="shared" si="291"/>
        <v>51.980000000000004</v>
      </c>
      <c r="X1355" s="19" t="str">
        <f t="shared" si="292"/>
        <v>True</v>
      </c>
      <c r="Y1355" s="19" t="str">
        <f>IF(OR(W1355&lt;'Cleaning Tasks'!$G$18,W1355&gt;'Cleaning Tasks'!$H$18),"Outlier","Normal")</f>
        <v>Normal</v>
      </c>
      <c r="Z1355" s="2" t="s">
        <v>66</v>
      </c>
      <c r="AA1355" s="2" t="s">
        <v>88</v>
      </c>
      <c r="AB1355" s="2" t="s">
        <v>41</v>
      </c>
      <c r="AC1355" s="2" t="s">
        <v>29</v>
      </c>
      <c r="AD1355" s="2" t="s">
        <v>140</v>
      </c>
      <c r="AE1355" s="2" t="str">
        <f t="shared" si="293"/>
        <v>Valid</v>
      </c>
      <c r="AF1355" s="2" t="s">
        <v>3777</v>
      </c>
    </row>
    <row r="1356" spans="1:32" x14ac:dyDescent="0.3">
      <c r="A1356" s="2" t="s">
        <v>3778</v>
      </c>
      <c r="B1356" s="2">
        <f t="shared" si="283"/>
        <v>1</v>
      </c>
      <c r="C1356" s="12">
        <f t="shared" si="294"/>
        <v>46238.580692060183</v>
      </c>
      <c r="D1356" s="13">
        <v>46238.580692060183</v>
      </c>
      <c r="E1356" s="2" t="s">
        <v>3779</v>
      </c>
      <c r="F1356" s="2" t="str">
        <f t="shared" si="284"/>
        <v>Email Available</v>
      </c>
      <c r="G1356" s="2" t="s">
        <v>3780</v>
      </c>
      <c r="H1356" s="2" t="s">
        <v>221</v>
      </c>
      <c r="I1356" s="2" t="s">
        <v>22</v>
      </c>
      <c r="J1356" s="2" t="s">
        <v>222</v>
      </c>
      <c r="K1356" s="2">
        <v>1</v>
      </c>
      <c r="L1356" s="2">
        <v>17.989999999999998</v>
      </c>
      <c r="M1356" s="19">
        <f t="shared" si="285"/>
        <v>17.989999999999998</v>
      </c>
      <c r="N1356" s="2" t="s">
        <v>203</v>
      </c>
      <c r="O1356" s="2" t="str">
        <f t="shared" si="286"/>
        <v>VIP15</v>
      </c>
      <c r="P1356" s="2">
        <v>2.7</v>
      </c>
      <c r="Q1356" s="19">
        <f t="shared" si="287"/>
        <v>2.7</v>
      </c>
      <c r="R1356" s="2" t="str">
        <f t="shared" si="288"/>
        <v>Number</v>
      </c>
      <c r="S1356" s="2">
        <v>4.99</v>
      </c>
      <c r="T1356" s="19">
        <f t="shared" si="289"/>
        <v>4.99</v>
      </c>
      <c r="U1356" s="2" t="s">
        <v>3781</v>
      </c>
      <c r="V1356" s="19">
        <f t="shared" si="290"/>
        <v>20.28</v>
      </c>
      <c r="W1356" s="19">
        <f t="shared" si="291"/>
        <v>20.28</v>
      </c>
      <c r="X1356" s="19" t="str">
        <f t="shared" si="292"/>
        <v>True</v>
      </c>
      <c r="Y1356" s="19" t="str">
        <f>IF(OR(W1356&lt;'Cleaning Tasks'!$G$18,W1356&gt;'Cleaning Tasks'!$H$18),"Outlier","Normal")</f>
        <v>Normal</v>
      </c>
      <c r="Z1356" s="2" t="s">
        <v>26</v>
      </c>
      <c r="AA1356" s="2" t="s">
        <v>27</v>
      </c>
      <c r="AB1356" s="2" t="s">
        <v>96</v>
      </c>
      <c r="AC1356" s="2" t="s">
        <v>73</v>
      </c>
      <c r="AD1356" s="2"/>
      <c r="AE1356" s="2" t="str">
        <f t="shared" si="293"/>
        <v>Not Required</v>
      </c>
      <c r="AF1356" s="2" t="s">
        <v>3782</v>
      </c>
    </row>
    <row r="1357" spans="1:32" x14ac:dyDescent="0.3">
      <c r="A1357" s="2" t="s">
        <v>3783</v>
      </c>
      <c r="B1357" s="2">
        <f t="shared" si="283"/>
        <v>1</v>
      </c>
      <c r="C1357" s="12">
        <f t="shared" si="294"/>
        <v>46238.589127280087</v>
      </c>
      <c r="D1357" s="13">
        <v>46238.589127280087</v>
      </c>
      <c r="E1357" s="2" t="s">
        <v>3784</v>
      </c>
      <c r="F1357" s="2" t="str">
        <f t="shared" si="284"/>
        <v>Email Available</v>
      </c>
      <c r="G1357" s="2" t="s">
        <v>3785</v>
      </c>
      <c r="H1357" s="2" t="s">
        <v>236</v>
      </c>
      <c r="I1357" s="2" t="s">
        <v>237</v>
      </c>
      <c r="J1357" s="2" t="s">
        <v>238</v>
      </c>
      <c r="K1357" s="2">
        <v>1</v>
      </c>
      <c r="L1357" s="2">
        <v>27.99</v>
      </c>
      <c r="M1357" s="19">
        <f t="shared" si="285"/>
        <v>27.99</v>
      </c>
      <c r="N1357" s="2"/>
      <c r="O1357" s="2" t="str">
        <f t="shared" si="286"/>
        <v/>
      </c>
      <c r="P1357" s="2">
        <v>0</v>
      </c>
      <c r="Q1357" s="19">
        <f t="shared" si="287"/>
        <v>0</v>
      </c>
      <c r="R1357" s="2" t="str">
        <f t="shared" si="288"/>
        <v>Number</v>
      </c>
      <c r="S1357" s="2">
        <v>5.99</v>
      </c>
      <c r="T1357" s="19">
        <f t="shared" si="289"/>
        <v>5.99</v>
      </c>
      <c r="U1357" s="2">
        <v>33.979999999999997</v>
      </c>
      <c r="V1357" s="19">
        <f t="shared" si="290"/>
        <v>33.979999999999997</v>
      </c>
      <c r="W1357" s="19">
        <f t="shared" si="291"/>
        <v>33.979999999999997</v>
      </c>
      <c r="X1357" s="19" t="str">
        <f t="shared" si="292"/>
        <v>True</v>
      </c>
      <c r="Y1357" s="19" t="str">
        <f>IF(OR(W1357&lt;'Cleaning Tasks'!$G$18,W1357&gt;'Cleaning Tasks'!$H$18),"Outlier","Normal")</f>
        <v>Normal</v>
      </c>
      <c r="Z1357" s="2" t="s">
        <v>49</v>
      </c>
      <c r="AA1357" s="2" t="s">
        <v>27</v>
      </c>
      <c r="AB1357" s="2" t="s">
        <v>50</v>
      </c>
      <c r="AC1357" s="2" t="s">
        <v>29</v>
      </c>
      <c r="AD1357" s="2" t="s">
        <v>112</v>
      </c>
      <c r="AE1357" s="2" t="str">
        <f t="shared" si="293"/>
        <v>Valid</v>
      </c>
      <c r="AF1357" s="2" t="s">
        <v>3786</v>
      </c>
    </row>
    <row r="1358" spans="1:32" x14ac:dyDescent="0.3">
      <c r="A1358" s="2" t="s">
        <v>3787</v>
      </c>
      <c r="B1358" s="2">
        <f t="shared" si="283"/>
        <v>1</v>
      </c>
      <c r="C1358" s="12">
        <f t="shared" si="294"/>
        <v>46238.587824652779</v>
      </c>
      <c r="D1358" s="13">
        <v>46238.587824652779</v>
      </c>
      <c r="E1358" s="2" t="s">
        <v>251</v>
      </c>
      <c r="F1358" s="2" t="str">
        <f t="shared" si="284"/>
        <v>Email Available</v>
      </c>
      <c r="G1358" s="2" t="s">
        <v>344</v>
      </c>
      <c r="H1358" s="2" t="s">
        <v>117</v>
      </c>
      <c r="I1358" s="2" t="s">
        <v>22</v>
      </c>
      <c r="J1358" s="2" t="s">
        <v>23</v>
      </c>
      <c r="K1358" s="2">
        <v>1</v>
      </c>
      <c r="L1358" s="2">
        <v>12.99</v>
      </c>
      <c r="M1358" s="19">
        <f t="shared" si="285"/>
        <v>12.99</v>
      </c>
      <c r="N1358" s="2" t="s">
        <v>38</v>
      </c>
      <c r="O1358" s="2" t="str">
        <f t="shared" si="286"/>
        <v>FREESHIP</v>
      </c>
      <c r="P1358" s="2">
        <v>0</v>
      </c>
      <c r="Q1358" s="19">
        <f t="shared" si="287"/>
        <v>0</v>
      </c>
      <c r="R1358" s="2" t="str">
        <f t="shared" si="288"/>
        <v>Number</v>
      </c>
      <c r="S1358" s="2">
        <v>0</v>
      </c>
      <c r="T1358" s="19">
        <f t="shared" si="289"/>
        <v>0</v>
      </c>
      <c r="U1358" s="2">
        <v>12.99</v>
      </c>
      <c r="V1358" s="19">
        <f t="shared" si="290"/>
        <v>12.99</v>
      </c>
      <c r="W1358" s="19">
        <f t="shared" si="291"/>
        <v>12.99</v>
      </c>
      <c r="X1358" s="19" t="str">
        <f t="shared" si="292"/>
        <v>True</v>
      </c>
      <c r="Y1358" s="19" t="str">
        <f>IF(OR(W1358&lt;'Cleaning Tasks'!$G$18,W1358&gt;'Cleaning Tasks'!$H$18),"Outlier","Normal")</f>
        <v>Normal</v>
      </c>
      <c r="Z1358" s="2" t="s">
        <v>72</v>
      </c>
      <c r="AA1358" s="2" t="s">
        <v>88</v>
      </c>
      <c r="AB1358" s="2" t="s">
        <v>50</v>
      </c>
      <c r="AC1358" s="2" t="s">
        <v>29</v>
      </c>
      <c r="AD1358" s="2" t="s">
        <v>341</v>
      </c>
      <c r="AE1358" s="2" t="str">
        <f t="shared" si="293"/>
        <v>Valid</v>
      </c>
      <c r="AF1358" s="2" t="s">
        <v>3788</v>
      </c>
    </row>
    <row r="1359" spans="1:32" x14ac:dyDescent="0.3">
      <c r="A1359" s="2" t="s">
        <v>3789</v>
      </c>
      <c r="B1359" s="2">
        <f t="shared" si="283"/>
        <v>1</v>
      </c>
      <c r="C1359" s="12">
        <f t="shared" si="294"/>
        <v>46238.5871468287</v>
      </c>
      <c r="D1359" s="13">
        <v>46238.5871468287</v>
      </c>
      <c r="E1359" s="2" t="s">
        <v>3790</v>
      </c>
      <c r="F1359" s="2" t="str">
        <f t="shared" si="284"/>
        <v>Email Available</v>
      </c>
      <c r="G1359" s="2" t="s">
        <v>3791</v>
      </c>
      <c r="H1359" s="2" t="s">
        <v>166</v>
      </c>
      <c r="I1359" s="2" t="s">
        <v>103</v>
      </c>
      <c r="J1359" s="2" t="s">
        <v>167</v>
      </c>
      <c r="K1359" s="2">
        <v>1</v>
      </c>
      <c r="L1359" s="2">
        <v>32.99</v>
      </c>
      <c r="M1359" s="19">
        <f t="shared" si="285"/>
        <v>32.99</v>
      </c>
      <c r="N1359" s="2" t="s">
        <v>24</v>
      </c>
      <c r="O1359" s="2" t="str">
        <f t="shared" si="286"/>
        <v>SAVE20</v>
      </c>
      <c r="P1359" s="2">
        <v>6.6</v>
      </c>
      <c r="Q1359" s="19">
        <f t="shared" si="287"/>
        <v>6.6</v>
      </c>
      <c r="R1359" s="2" t="str">
        <f t="shared" si="288"/>
        <v>Number</v>
      </c>
      <c r="S1359" s="2">
        <v>5.99</v>
      </c>
      <c r="T1359" s="19">
        <f t="shared" si="289"/>
        <v>5.99</v>
      </c>
      <c r="U1359" s="2">
        <v>32.380000000000003</v>
      </c>
      <c r="V1359" s="19">
        <f t="shared" si="290"/>
        <v>32.380000000000003</v>
      </c>
      <c r="W1359" s="19">
        <f t="shared" si="291"/>
        <v>32.380000000000003</v>
      </c>
      <c r="X1359" s="19" t="str">
        <f t="shared" si="292"/>
        <v>True</v>
      </c>
      <c r="Y1359" s="19" t="str">
        <f>IF(OR(W1359&lt;'Cleaning Tasks'!$G$18,W1359&gt;'Cleaning Tasks'!$H$18),"Outlier","Normal")</f>
        <v>Normal</v>
      </c>
      <c r="Z1359" s="2" t="s">
        <v>26</v>
      </c>
      <c r="AA1359" s="2" t="s">
        <v>88</v>
      </c>
      <c r="AB1359" s="2" t="s">
        <v>50</v>
      </c>
      <c r="AC1359" s="2" t="s">
        <v>73</v>
      </c>
      <c r="AD1359" s="2"/>
      <c r="AE1359" s="2" t="str">
        <f t="shared" si="293"/>
        <v>Not Required</v>
      </c>
      <c r="AF1359" s="2" t="s">
        <v>3792</v>
      </c>
    </row>
    <row r="1360" spans="1:32" x14ac:dyDescent="0.3">
      <c r="A1360" s="2" t="s">
        <v>3793</v>
      </c>
      <c r="B1360" s="2">
        <f t="shared" si="283"/>
        <v>1</v>
      </c>
      <c r="C1360" s="12">
        <f t="shared" si="294"/>
        <v>46238.589157662027</v>
      </c>
      <c r="D1360" s="13">
        <v>46238.589157662027</v>
      </c>
      <c r="E1360" s="2" t="s">
        <v>3794</v>
      </c>
      <c r="F1360" s="2" t="str">
        <f t="shared" si="284"/>
        <v>Email Available</v>
      </c>
      <c r="G1360" s="2" t="s">
        <v>3795</v>
      </c>
      <c r="H1360" s="2" t="s">
        <v>201</v>
      </c>
      <c r="I1360" s="2" t="s">
        <v>191</v>
      </c>
      <c r="J1360" s="2" t="s">
        <v>202</v>
      </c>
      <c r="K1360" s="2">
        <v>2</v>
      </c>
      <c r="L1360" s="2">
        <v>24.99</v>
      </c>
      <c r="M1360" s="19">
        <f t="shared" si="285"/>
        <v>24.99</v>
      </c>
      <c r="N1360" s="2" t="s">
        <v>24</v>
      </c>
      <c r="O1360" s="2" t="str">
        <f t="shared" si="286"/>
        <v>SAVE20</v>
      </c>
      <c r="P1360" s="2">
        <v>10</v>
      </c>
      <c r="Q1360" s="19">
        <f t="shared" si="287"/>
        <v>10</v>
      </c>
      <c r="R1360" s="2" t="str">
        <f t="shared" si="288"/>
        <v>Number</v>
      </c>
      <c r="S1360" s="2">
        <v>4.99</v>
      </c>
      <c r="T1360" s="19">
        <f t="shared" si="289"/>
        <v>4.99</v>
      </c>
      <c r="U1360" s="2">
        <v>44.97</v>
      </c>
      <c r="V1360" s="19">
        <f t="shared" si="290"/>
        <v>44.97</v>
      </c>
      <c r="W1360" s="19">
        <f t="shared" si="291"/>
        <v>44.97</v>
      </c>
      <c r="X1360" s="19" t="str">
        <f t="shared" si="292"/>
        <v>True</v>
      </c>
      <c r="Y1360" s="19" t="str">
        <f>IF(OR(W1360&lt;'Cleaning Tasks'!$G$18,W1360&gt;'Cleaning Tasks'!$H$18),"Outlier","Normal")</f>
        <v>Normal</v>
      </c>
      <c r="Z1360" s="2" t="s">
        <v>66</v>
      </c>
      <c r="AA1360" s="2" t="s">
        <v>111</v>
      </c>
      <c r="AB1360" s="2" t="s">
        <v>50</v>
      </c>
      <c r="AC1360" s="2" t="s">
        <v>29</v>
      </c>
      <c r="AD1360" s="2" t="s">
        <v>243</v>
      </c>
      <c r="AE1360" s="2" t="str">
        <f t="shared" si="293"/>
        <v>Valid</v>
      </c>
      <c r="AF1360" s="2" t="s">
        <v>1636</v>
      </c>
    </row>
    <row r="1361" spans="1:32" x14ac:dyDescent="0.3">
      <c r="A1361" s="2" t="s">
        <v>3796</v>
      </c>
      <c r="B1361" s="2">
        <f t="shared" si="283"/>
        <v>1</v>
      </c>
      <c r="C1361" s="12">
        <f t="shared" si="294"/>
        <v>46238.587757002308</v>
      </c>
      <c r="D1361" s="13">
        <v>46238.587757002308</v>
      </c>
      <c r="E1361" s="2" t="s">
        <v>1271</v>
      </c>
      <c r="F1361" s="2" t="str">
        <f t="shared" si="284"/>
        <v>Email Available</v>
      </c>
      <c r="G1361" s="2" t="s">
        <v>1272</v>
      </c>
      <c r="H1361" s="2" t="s">
        <v>46</v>
      </c>
      <c r="I1361" s="2" t="s">
        <v>47</v>
      </c>
      <c r="J1361" s="2" t="s">
        <v>48</v>
      </c>
      <c r="K1361" s="2">
        <v>2</v>
      </c>
      <c r="L1361" s="2">
        <v>39.99</v>
      </c>
      <c r="M1361" s="19">
        <f t="shared" si="285"/>
        <v>39.99</v>
      </c>
      <c r="N1361" s="2"/>
      <c r="O1361" s="2" t="str">
        <f t="shared" si="286"/>
        <v/>
      </c>
      <c r="P1361" s="2">
        <v>0</v>
      </c>
      <c r="Q1361" s="19">
        <f t="shared" si="287"/>
        <v>0</v>
      </c>
      <c r="R1361" s="2" t="str">
        <f t="shared" si="288"/>
        <v>Number</v>
      </c>
      <c r="S1361" s="2">
        <v>0</v>
      </c>
      <c r="T1361" s="19">
        <f t="shared" si="289"/>
        <v>0</v>
      </c>
      <c r="U1361" s="2">
        <v>79.98</v>
      </c>
      <c r="V1361" s="19">
        <f t="shared" si="290"/>
        <v>79.98</v>
      </c>
      <c r="W1361" s="19">
        <f t="shared" si="291"/>
        <v>79.98</v>
      </c>
      <c r="X1361" s="19" t="str">
        <f t="shared" si="292"/>
        <v>True</v>
      </c>
      <c r="Y1361" s="19" t="str">
        <f>IF(OR(W1361&lt;'Cleaning Tasks'!$G$18,W1361&gt;'Cleaning Tasks'!$H$18),"Outlier","Normal")</f>
        <v>Normal</v>
      </c>
      <c r="Z1361" s="2" t="s">
        <v>39</v>
      </c>
      <c r="AA1361" s="2" t="s">
        <v>27</v>
      </c>
      <c r="AB1361" s="2" t="s">
        <v>50</v>
      </c>
      <c r="AC1361" s="2" t="s">
        <v>73</v>
      </c>
      <c r="AD1361" s="2"/>
      <c r="AE1361" s="2" t="str">
        <f t="shared" si="293"/>
        <v>Not Required</v>
      </c>
      <c r="AF1361" s="2" t="s">
        <v>3797</v>
      </c>
    </row>
    <row r="1362" spans="1:32" x14ac:dyDescent="0.3">
      <c r="A1362" s="2" t="s">
        <v>3798</v>
      </c>
      <c r="B1362" s="2">
        <f t="shared" si="283"/>
        <v>1</v>
      </c>
      <c r="C1362" s="12">
        <f t="shared" si="294"/>
        <v>46238</v>
      </c>
      <c r="D1362" s="13">
        <v>46238</v>
      </c>
      <c r="E1362" s="2" t="s">
        <v>2782</v>
      </c>
      <c r="F1362" s="2" t="str">
        <f t="shared" si="284"/>
        <v>Email Available</v>
      </c>
      <c r="G1362" s="2" t="s">
        <v>2783</v>
      </c>
      <c r="H1362" s="2" t="s">
        <v>309</v>
      </c>
      <c r="I1362" s="2" t="s">
        <v>36</v>
      </c>
      <c r="J1362" s="2" t="s">
        <v>310</v>
      </c>
      <c r="K1362" s="2">
        <v>1</v>
      </c>
      <c r="L1362" s="2">
        <v>8.99</v>
      </c>
      <c r="M1362" s="19">
        <f t="shared" si="285"/>
        <v>8.99</v>
      </c>
      <c r="N1362" s="2"/>
      <c r="O1362" s="2" t="str">
        <f t="shared" si="286"/>
        <v/>
      </c>
      <c r="P1362" s="2">
        <v>0</v>
      </c>
      <c r="Q1362" s="19">
        <f t="shared" si="287"/>
        <v>0</v>
      </c>
      <c r="R1362" s="2" t="str">
        <f t="shared" si="288"/>
        <v>Number</v>
      </c>
      <c r="S1362" s="2">
        <v>4.99</v>
      </c>
      <c r="T1362" s="19">
        <f t="shared" si="289"/>
        <v>4.99</v>
      </c>
      <c r="U1362" s="2">
        <v>13.98</v>
      </c>
      <c r="V1362" s="19">
        <f t="shared" si="290"/>
        <v>13.98</v>
      </c>
      <c r="W1362" s="19">
        <f t="shared" si="291"/>
        <v>13.98</v>
      </c>
      <c r="X1362" s="19" t="str">
        <f t="shared" si="292"/>
        <v>True</v>
      </c>
      <c r="Y1362" s="19" t="str">
        <f>IF(OR(W1362&lt;'Cleaning Tasks'!$G$18,W1362&gt;'Cleaning Tasks'!$H$18),"Outlier","Normal")</f>
        <v>Normal</v>
      </c>
      <c r="Z1362" s="2" t="s">
        <v>72</v>
      </c>
      <c r="AA1362" s="2" t="s">
        <v>40</v>
      </c>
      <c r="AB1362" s="2" t="s">
        <v>96</v>
      </c>
      <c r="AC1362" s="2" t="s">
        <v>29</v>
      </c>
      <c r="AD1362" s="2" t="s">
        <v>140</v>
      </c>
      <c r="AE1362" s="2" t="str">
        <f t="shared" si="293"/>
        <v>Valid</v>
      </c>
      <c r="AF1362" s="2" t="s">
        <v>3799</v>
      </c>
    </row>
    <row r="1363" spans="1:32" x14ac:dyDescent="0.3">
      <c r="A1363" s="2" t="s">
        <v>3800</v>
      </c>
      <c r="B1363" s="2">
        <f t="shared" si="283"/>
        <v>1</v>
      </c>
      <c r="C1363" s="12">
        <f t="shared" si="294"/>
        <v>46238.58362380787</v>
      </c>
      <c r="D1363" s="13">
        <v>46238.58362380787</v>
      </c>
      <c r="E1363" s="2" t="s">
        <v>557</v>
      </c>
      <c r="F1363" s="2" t="str">
        <f t="shared" si="284"/>
        <v>Email Available</v>
      </c>
      <c r="G1363" s="2" t="s">
        <v>558</v>
      </c>
      <c r="H1363" s="2" t="s">
        <v>35</v>
      </c>
      <c r="I1363" s="2" t="s">
        <v>36</v>
      </c>
      <c r="J1363" s="2" t="s">
        <v>37</v>
      </c>
      <c r="K1363" s="2">
        <v>1</v>
      </c>
      <c r="L1363" s="2">
        <v>21.99</v>
      </c>
      <c r="M1363" s="19">
        <f t="shared" si="285"/>
        <v>21.99</v>
      </c>
      <c r="N1363" s="2" t="s">
        <v>24</v>
      </c>
      <c r="O1363" s="2" t="str">
        <f t="shared" si="286"/>
        <v>SAVE20</v>
      </c>
      <c r="P1363" s="2">
        <v>4.4000000000000004</v>
      </c>
      <c r="Q1363" s="19">
        <f t="shared" si="287"/>
        <v>4.4000000000000004</v>
      </c>
      <c r="R1363" s="2" t="str">
        <f t="shared" si="288"/>
        <v>Number</v>
      </c>
      <c r="S1363" s="2">
        <v>5.99</v>
      </c>
      <c r="T1363" s="19">
        <f t="shared" si="289"/>
        <v>5.99</v>
      </c>
      <c r="U1363" s="2">
        <v>23.58</v>
      </c>
      <c r="V1363" s="19">
        <f t="shared" si="290"/>
        <v>23.58</v>
      </c>
      <c r="W1363" s="19">
        <f t="shared" si="291"/>
        <v>23.58</v>
      </c>
      <c r="X1363" s="19" t="str">
        <f t="shared" si="292"/>
        <v>True</v>
      </c>
      <c r="Y1363" s="19" t="str">
        <f>IF(OR(W1363&lt;'Cleaning Tasks'!$G$18,W1363&gt;'Cleaning Tasks'!$H$18),"Outlier","Normal")</f>
        <v>Normal</v>
      </c>
      <c r="Z1363" s="2" t="s">
        <v>49</v>
      </c>
      <c r="AA1363" s="2" t="s">
        <v>27</v>
      </c>
      <c r="AB1363" s="2" t="s">
        <v>50</v>
      </c>
      <c r="AC1363" s="2" t="s">
        <v>42</v>
      </c>
      <c r="AD1363" s="2"/>
      <c r="AE1363" s="2" t="str">
        <f t="shared" si="293"/>
        <v>Not Required</v>
      </c>
      <c r="AF1363" s="2" t="s">
        <v>3801</v>
      </c>
    </row>
    <row r="1364" spans="1:32" x14ac:dyDescent="0.3">
      <c r="A1364" s="2" t="s">
        <v>3802</v>
      </c>
      <c r="B1364" s="2">
        <f t="shared" si="283"/>
        <v>1</v>
      </c>
      <c r="C1364" s="12">
        <f t="shared" si="294"/>
        <v>46238.583333206021</v>
      </c>
      <c r="D1364" s="13">
        <v>46238.583333206021</v>
      </c>
      <c r="E1364" s="2" t="s">
        <v>164</v>
      </c>
      <c r="F1364" s="2" t="str">
        <f t="shared" si="284"/>
        <v>Email Available</v>
      </c>
      <c r="G1364" s="2" t="s">
        <v>165</v>
      </c>
      <c r="H1364" s="2" t="s">
        <v>124</v>
      </c>
      <c r="I1364" s="2" t="s">
        <v>79</v>
      </c>
      <c r="J1364" s="2" t="s">
        <v>125</v>
      </c>
      <c r="K1364" s="2">
        <v>1</v>
      </c>
      <c r="L1364" s="2">
        <v>13.99</v>
      </c>
      <c r="M1364" s="19">
        <f t="shared" si="285"/>
        <v>13.99</v>
      </c>
      <c r="N1364" s="2" t="s">
        <v>118</v>
      </c>
      <c r="O1364" s="2" t="str">
        <f t="shared" si="286"/>
        <v>BFCM25</v>
      </c>
      <c r="P1364" s="2">
        <v>3.5</v>
      </c>
      <c r="Q1364" s="19">
        <f t="shared" si="287"/>
        <v>3.5</v>
      </c>
      <c r="R1364" s="2" t="str">
        <f t="shared" si="288"/>
        <v>Number</v>
      </c>
      <c r="S1364" s="2">
        <v>7.99</v>
      </c>
      <c r="T1364" s="19">
        <f t="shared" si="289"/>
        <v>7.99</v>
      </c>
      <c r="U1364" s="2">
        <v>18.48</v>
      </c>
      <c r="V1364" s="19">
        <f t="shared" si="290"/>
        <v>18.48</v>
      </c>
      <c r="W1364" s="19">
        <f t="shared" si="291"/>
        <v>18.48</v>
      </c>
      <c r="X1364" s="19" t="str">
        <f t="shared" si="292"/>
        <v>True</v>
      </c>
      <c r="Y1364" s="19" t="str">
        <f>IF(OR(W1364&lt;'Cleaning Tasks'!$G$18,W1364&gt;'Cleaning Tasks'!$H$18),"Outlier","Normal")</f>
        <v>Normal</v>
      </c>
      <c r="Z1364" s="2" t="s">
        <v>72</v>
      </c>
      <c r="AA1364" s="2" t="s">
        <v>27</v>
      </c>
      <c r="AB1364" s="2" t="s">
        <v>50</v>
      </c>
      <c r="AC1364" s="2" t="s">
        <v>105</v>
      </c>
      <c r="AD1364" s="2"/>
      <c r="AE1364" s="2" t="str">
        <f t="shared" si="293"/>
        <v>Not Required</v>
      </c>
      <c r="AF1364" s="2" t="s">
        <v>3803</v>
      </c>
    </row>
    <row r="1365" spans="1:32" x14ac:dyDescent="0.3">
      <c r="A1365" s="2" t="s">
        <v>3804</v>
      </c>
      <c r="B1365" s="2">
        <f t="shared" si="283"/>
        <v>1</v>
      </c>
      <c r="C1365" s="12">
        <f t="shared" si="294"/>
        <v>46238.580237789349</v>
      </c>
      <c r="D1365" s="13">
        <v>46238.580237789349</v>
      </c>
      <c r="E1365" s="2" t="s">
        <v>329</v>
      </c>
      <c r="F1365" s="2" t="str">
        <f t="shared" si="284"/>
        <v>Email Available</v>
      </c>
      <c r="G1365" s="2" t="s">
        <v>330</v>
      </c>
      <c r="H1365" s="2" t="s">
        <v>279</v>
      </c>
      <c r="I1365" s="2" t="s">
        <v>22</v>
      </c>
      <c r="J1365" s="2" t="s">
        <v>280</v>
      </c>
      <c r="K1365" s="2">
        <v>1</v>
      </c>
      <c r="L1365" s="2">
        <v>24.99</v>
      </c>
      <c r="M1365" s="19">
        <f t="shared" si="285"/>
        <v>24.99</v>
      </c>
      <c r="N1365" s="2" t="s">
        <v>65</v>
      </c>
      <c r="O1365" s="2" t="str">
        <f t="shared" si="286"/>
        <v>WELCOME10</v>
      </c>
      <c r="P1365" s="2">
        <v>2.5</v>
      </c>
      <c r="Q1365" s="19">
        <f t="shared" si="287"/>
        <v>2.5</v>
      </c>
      <c r="R1365" s="2" t="str">
        <f t="shared" si="288"/>
        <v>Number</v>
      </c>
      <c r="S1365" s="2">
        <v>4.99</v>
      </c>
      <c r="T1365" s="19">
        <f t="shared" si="289"/>
        <v>4.99</v>
      </c>
      <c r="U1365" s="2">
        <v>27.48</v>
      </c>
      <c r="V1365" s="19">
        <f t="shared" si="290"/>
        <v>27.48</v>
      </c>
      <c r="W1365" s="19">
        <f t="shared" si="291"/>
        <v>27.479999999999997</v>
      </c>
      <c r="X1365" s="19" t="str">
        <f t="shared" si="292"/>
        <v>True</v>
      </c>
      <c r="Y1365" s="19" t="str">
        <f>IF(OR(W1365&lt;'Cleaning Tasks'!$G$18,W1365&gt;'Cleaning Tasks'!$H$18),"Outlier","Normal")</f>
        <v>Normal</v>
      </c>
      <c r="Z1365" s="2" t="s">
        <v>72</v>
      </c>
      <c r="AA1365" s="2" t="s">
        <v>88</v>
      </c>
      <c r="AB1365" s="2" t="s">
        <v>50</v>
      </c>
      <c r="AC1365" s="2" t="s">
        <v>331</v>
      </c>
      <c r="AD1365" s="2"/>
      <c r="AE1365" s="2" t="str">
        <f t="shared" si="293"/>
        <v>Not Required</v>
      </c>
      <c r="AF1365" s="2" t="s">
        <v>3805</v>
      </c>
    </row>
    <row r="1366" spans="1:32" x14ac:dyDescent="0.3">
      <c r="A1366" s="2" t="s">
        <v>3806</v>
      </c>
      <c r="B1366" s="2">
        <f t="shared" si="283"/>
        <v>1</v>
      </c>
      <c r="C1366" s="12">
        <f t="shared" si="294"/>
        <v>46238.584925995368</v>
      </c>
      <c r="D1366" s="13">
        <v>46238.584925995368</v>
      </c>
      <c r="E1366" s="2" t="s">
        <v>1203</v>
      </c>
      <c r="F1366" s="2" t="str">
        <f t="shared" si="284"/>
        <v>Email Available</v>
      </c>
      <c r="G1366" s="2" t="s">
        <v>1204</v>
      </c>
      <c r="H1366" s="2" t="s">
        <v>35</v>
      </c>
      <c r="I1366" s="2" t="s">
        <v>36</v>
      </c>
      <c r="J1366" s="2" t="s">
        <v>37</v>
      </c>
      <c r="K1366" s="2">
        <v>1</v>
      </c>
      <c r="L1366" s="2" t="s">
        <v>563</v>
      </c>
      <c r="M1366" s="19">
        <f t="shared" si="285"/>
        <v>21.99</v>
      </c>
      <c r="N1366" s="2" t="s">
        <v>38</v>
      </c>
      <c r="O1366" s="2" t="str">
        <f t="shared" si="286"/>
        <v>FREESHIP</v>
      </c>
      <c r="P1366" s="2">
        <v>0</v>
      </c>
      <c r="Q1366" s="19">
        <f t="shared" si="287"/>
        <v>0</v>
      </c>
      <c r="R1366" s="2" t="str">
        <f t="shared" si="288"/>
        <v>Number</v>
      </c>
      <c r="S1366" s="2">
        <v>0</v>
      </c>
      <c r="T1366" s="19">
        <f t="shared" si="289"/>
        <v>0</v>
      </c>
      <c r="U1366" s="2">
        <v>21.99</v>
      </c>
      <c r="V1366" s="19">
        <f t="shared" si="290"/>
        <v>21.99</v>
      </c>
      <c r="W1366" s="19">
        <f t="shared" si="291"/>
        <v>21.99</v>
      </c>
      <c r="X1366" s="19" t="str">
        <f t="shared" si="292"/>
        <v>True</v>
      </c>
      <c r="Y1366" s="19" t="str">
        <f>IF(OR(W1366&lt;'Cleaning Tasks'!$G$18,W1366&gt;'Cleaning Tasks'!$H$18),"Outlier","Normal")</f>
        <v>Normal</v>
      </c>
      <c r="Z1366" s="2" t="s">
        <v>66</v>
      </c>
      <c r="AA1366" s="2" t="s">
        <v>111</v>
      </c>
      <c r="AB1366" s="2" t="s">
        <v>96</v>
      </c>
      <c r="AC1366" s="2" t="s">
        <v>73</v>
      </c>
      <c r="AD1366" s="2"/>
      <c r="AE1366" s="2" t="str">
        <f t="shared" si="293"/>
        <v>Not Required</v>
      </c>
      <c r="AF1366" s="2" t="s">
        <v>3807</v>
      </c>
    </row>
    <row r="1367" spans="1:32" x14ac:dyDescent="0.3">
      <c r="A1367" s="2" t="s">
        <v>3808</v>
      </c>
      <c r="B1367" s="2">
        <f t="shared" si="283"/>
        <v>1</v>
      </c>
      <c r="C1367" s="12">
        <f t="shared" si="294"/>
        <v>46238.583536678241</v>
      </c>
      <c r="D1367" s="13">
        <v>46238.583536678241</v>
      </c>
      <c r="E1367" s="2" t="s">
        <v>677</v>
      </c>
      <c r="F1367" s="2" t="str">
        <f t="shared" si="284"/>
        <v>Email Available</v>
      </c>
      <c r="G1367" s="2" t="s">
        <v>478</v>
      </c>
      <c r="H1367" s="2" t="s">
        <v>166</v>
      </c>
      <c r="I1367" s="2" t="s">
        <v>103</v>
      </c>
      <c r="J1367" s="2" t="s">
        <v>167</v>
      </c>
      <c r="K1367" s="2">
        <v>1</v>
      </c>
      <c r="L1367" s="2">
        <v>32.99</v>
      </c>
      <c r="M1367" s="19">
        <f t="shared" si="285"/>
        <v>32.99</v>
      </c>
      <c r="N1367" s="2" t="s">
        <v>38</v>
      </c>
      <c r="O1367" s="2" t="str">
        <f t="shared" si="286"/>
        <v>FREESHIP</v>
      </c>
      <c r="P1367" s="2">
        <v>0</v>
      </c>
      <c r="Q1367" s="19">
        <f t="shared" si="287"/>
        <v>0</v>
      </c>
      <c r="R1367" s="2" t="str">
        <f t="shared" si="288"/>
        <v>Number</v>
      </c>
      <c r="S1367" s="2">
        <v>0</v>
      </c>
      <c r="T1367" s="19">
        <f t="shared" si="289"/>
        <v>0</v>
      </c>
      <c r="U1367" s="2">
        <v>32.99</v>
      </c>
      <c r="V1367" s="19">
        <f t="shared" si="290"/>
        <v>32.99</v>
      </c>
      <c r="W1367" s="19">
        <f t="shared" si="291"/>
        <v>32.99</v>
      </c>
      <c r="X1367" s="19" t="str">
        <f t="shared" si="292"/>
        <v>True</v>
      </c>
      <c r="Y1367" s="19" t="str">
        <f>IF(OR(W1367&lt;'Cleaning Tasks'!$G$18,W1367&gt;'Cleaning Tasks'!$H$18),"Outlier","Normal")</f>
        <v>Normal</v>
      </c>
      <c r="Z1367" s="2" t="s">
        <v>49</v>
      </c>
      <c r="AA1367" s="2" t="s">
        <v>88</v>
      </c>
      <c r="AB1367" s="2" t="s">
        <v>41</v>
      </c>
      <c r="AC1367" s="2" t="s">
        <v>29</v>
      </c>
      <c r="AD1367" s="2" t="s">
        <v>89</v>
      </c>
      <c r="AE1367" s="2" t="str">
        <f t="shared" si="293"/>
        <v>Valid</v>
      </c>
      <c r="AF1367" s="2" t="s">
        <v>3809</v>
      </c>
    </row>
    <row r="1368" spans="1:32" x14ac:dyDescent="0.3">
      <c r="A1368" s="2" t="s">
        <v>3810</v>
      </c>
      <c r="B1368" s="2">
        <f t="shared" si="283"/>
        <v>1</v>
      </c>
      <c r="C1368" s="12">
        <f t="shared" si="294"/>
        <v>46238</v>
      </c>
      <c r="D1368" s="13" t="s">
        <v>143</v>
      </c>
      <c r="E1368" s="2" t="s">
        <v>3811</v>
      </c>
      <c r="F1368" s="2" t="str">
        <f t="shared" si="284"/>
        <v>Email Available</v>
      </c>
      <c r="G1368" s="2" t="s">
        <v>3812</v>
      </c>
      <c r="H1368" s="2" t="s">
        <v>117</v>
      </c>
      <c r="I1368" s="2" t="s">
        <v>22</v>
      </c>
      <c r="J1368" s="2" t="s">
        <v>23</v>
      </c>
      <c r="K1368" s="2">
        <v>1</v>
      </c>
      <c r="L1368" s="2">
        <v>12.99</v>
      </c>
      <c r="M1368" s="19">
        <f t="shared" si="285"/>
        <v>12.99</v>
      </c>
      <c r="N1368" s="2"/>
      <c r="O1368" s="2" t="str">
        <f t="shared" si="286"/>
        <v/>
      </c>
      <c r="P1368" s="2">
        <v>0</v>
      </c>
      <c r="Q1368" s="19">
        <f t="shared" si="287"/>
        <v>0</v>
      </c>
      <c r="R1368" s="2" t="str">
        <f t="shared" si="288"/>
        <v>Number</v>
      </c>
      <c r="S1368" s="2">
        <v>4.99</v>
      </c>
      <c r="T1368" s="19">
        <f t="shared" si="289"/>
        <v>4.99</v>
      </c>
      <c r="U1368" s="2">
        <v>17.98</v>
      </c>
      <c r="V1368" s="19">
        <f t="shared" si="290"/>
        <v>17.98</v>
      </c>
      <c r="W1368" s="19">
        <f t="shared" si="291"/>
        <v>17.98</v>
      </c>
      <c r="X1368" s="19" t="str">
        <f t="shared" si="292"/>
        <v>True</v>
      </c>
      <c r="Y1368" s="19" t="str">
        <f>IF(OR(W1368&lt;'Cleaning Tasks'!$G$18,W1368&gt;'Cleaning Tasks'!$H$18),"Outlier","Normal")</f>
        <v>Normal</v>
      </c>
      <c r="Z1368" s="2" t="s">
        <v>72</v>
      </c>
      <c r="AA1368" s="2" t="s">
        <v>88</v>
      </c>
      <c r="AB1368" s="2" t="s">
        <v>28</v>
      </c>
      <c r="AC1368" s="2" t="s">
        <v>105</v>
      </c>
      <c r="AD1368" s="2"/>
      <c r="AE1368" s="2" t="str">
        <f t="shared" si="293"/>
        <v>Not Required</v>
      </c>
      <c r="AF1368" s="2" t="s">
        <v>3813</v>
      </c>
    </row>
    <row r="1369" spans="1:32" x14ac:dyDescent="0.3">
      <c r="A1369" s="2" t="s">
        <v>3814</v>
      </c>
      <c r="B1369" s="2">
        <f t="shared" si="283"/>
        <v>1</v>
      </c>
      <c r="C1369" s="12">
        <f t="shared" si="294"/>
        <v>46238.581316724543</v>
      </c>
      <c r="D1369" s="13">
        <v>46238.581316724543</v>
      </c>
      <c r="E1369" s="2" t="s">
        <v>606</v>
      </c>
      <c r="F1369" s="2" t="str">
        <f t="shared" si="284"/>
        <v>Email Available</v>
      </c>
      <c r="G1369" s="2" t="s">
        <v>607</v>
      </c>
      <c r="H1369" s="2" t="s">
        <v>279</v>
      </c>
      <c r="I1369" s="2" t="s">
        <v>22</v>
      </c>
      <c r="J1369" s="2" t="s">
        <v>280</v>
      </c>
      <c r="K1369" s="2">
        <v>1</v>
      </c>
      <c r="L1369" s="2">
        <v>24.99</v>
      </c>
      <c r="M1369" s="19">
        <f t="shared" si="285"/>
        <v>24.99</v>
      </c>
      <c r="N1369" s="2" t="s">
        <v>24</v>
      </c>
      <c r="O1369" s="2" t="str">
        <f t="shared" si="286"/>
        <v>SAVE20</v>
      </c>
      <c r="P1369" s="2">
        <v>5</v>
      </c>
      <c r="Q1369" s="19">
        <f t="shared" si="287"/>
        <v>5</v>
      </c>
      <c r="R1369" s="2" t="str">
        <f t="shared" si="288"/>
        <v>Number</v>
      </c>
      <c r="S1369" s="2">
        <v>7.99</v>
      </c>
      <c r="T1369" s="19">
        <f t="shared" si="289"/>
        <v>7.99</v>
      </c>
      <c r="U1369" s="2">
        <v>27.98</v>
      </c>
      <c r="V1369" s="19">
        <f t="shared" si="290"/>
        <v>27.98</v>
      </c>
      <c r="W1369" s="19">
        <f t="shared" si="291"/>
        <v>27.979999999999997</v>
      </c>
      <c r="X1369" s="19" t="str">
        <f t="shared" si="292"/>
        <v>True</v>
      </c>
      <c r="Y1369" s="19" t="str">
        <f>IF(OR(W1369&lt;'Cleaning Tasks'!$G$18,W1369&gt;'Cleaning Tasks'!$H$18),"Outlier","Normal")</f>
        <v>Normal</v>
      </c>
      <c r="Z1369" s="2" t="s">
        <v>26</v>
      </c>
      <c r="AA1369" s="2" t="s">
        <v>27</v>
      </c>
      <c r="AB1369" s="2" t="s">
        <v>41</v>
      </c>
      <c r="AC1369" s="2" t="s">
        <v>42</v>
      </c>
      <c r="AD1369" s="2"/>
      <c r="AE1369" s="2" t="str">
        <f t="shared" si="293"/>
        <v>Not Required</v>
      </c>
      <c r="AF1369" s="2" t="s">
        <v>3815</v>
      </c>
    </row>
    <row r="1370" spans="1:32" x14ac:dyDescent="0.3">
      <c r="A1370" s="2" t="s">
        <v>3816</v>
      </c>
      <c r="B1370" s="2">
        <f t="shared" si="283"/>
        <v>1</v>
      </c>
      <c r="C1370" s="12">
        <f t="shared" si="294"/>
        <v>46238.58596222222</v>
      </c>
      <c r="D1370" s="13">
        <v>46238.58596222222</v>
      </c>
      <c r="E1370" s="2" t="s">
        <v>1210</v>
      </c>
      <c r="F1370" s="2" t="str">
        <f t="shared" si="284"/>
        <v>Email Available</v>
      </c>
      <c r="G1370" s="2" t="s">
        <v>1211</v>
      </c>
      <c r="H1370" s="2" t="s">
        <v>85</v>
      </c>
      <c r="I1370" s="2" t="s">
        <v>86</v>
      </c>
      <c r="J1370" s="2" t="s">
        <v>87</v>
      </c>
      <c r="K1370" s="2">
        <v>2</v>
      </c>
      <c r="L1370" s="2">
        <v>54.99</v>
      </c>
      <c r="M1370" s="19">
        <f t="shared" si="285"/>
        <v>54.99</v>
      </c>
      <c r="N1370" s="2"/>
      <c r="O1370" s="2" t="str">
        <f t="shared" si="286"/>
        <v/>
      </c>
      <c r="P1370" s="2">
        <v>0</v>
      </c>
      <c r="Q1370" s="19">
        <f t="shared" si="287"/>
        <v>0</v>
      </c>
      <c r="R1370" s="2" t="str">
        <f t="shared" si="288"/>
        <v>Number</v>
      </c>
      <c r="S1370" s="2">
        <v>0</v>
      </c>
      <c r="T1370" s="19">
        <f t="shared" si="289"/>
        <v>0</v>
      </c>
      <c r="U1370" s="2">
        <v>109.98</v>
      </c>
      <c r="V1370" s="19">
        <f t="shared" si="290"/>
        <v>109.98</v>
      </c>
      <c r="W1370" s="19">
        <f t="shared" si="291"/>
        <v>109.98</v>
      </c>
      <c r="X1370" s="19" t="str">
        <f t="shared" si="292"/>
        <v>True</v>
      </c>
      <c r="Y1370" s="19" t="str">
        <f>IF(OR(W1370&lt;'Cleaning Tasks'!$G$18,W1370&gt;'Cleaning Tasks'!$H$18),"Outlier","Normal")</f>
        <v>Outlier</v>
      </c>
      <c r="Z1370" s="2" t="s">
        <v>49</v>
      </c>
      <c r="AA1370" s="2" t="s">
        <v>27</v>
      </c>
      <c r="AB1370" s="2" t="s">
        <v>50</v>
      </c>
      <c r="AC1370" s="2" t="s">
        <v>29</v>
      </c>
      <c r="AD1370" s="2" t="s">
        <v>243</v>
      </c>
      <c r="AE1370" s="2" t="str">
        <f t="shared" si="293"/>
        <v>Valid</v>
      </c>
      <c r="AF1370" s="2" t="s">
        <v>2748</v>
      </c>
    </row>
    <row r="1371" spans="1:32" x14ac:dyDescent="0.3">
      <c r="A1371" s="2" t="s">
        <v>3817</v>
      </c>
      <c r="B1371" s="2">
        <f t="shared" si="283"/>
        <v>1</v>
      </c>
      <c r="C1371" s="12">
        <f t="shared" si="294"/>
        <v>46238.582754594907</v>
      </c>
      <c r="D1371" s="13">
        <v>46238.582754594907</v>
      </c>
      <c r="E1371" s="2" t="s">
        <v>1343</v>
      </c>
      <c r="F1371" s="2" t="str">
        <f t="shared" si="284"/>
        <v>Email Available</v>
      </c>
      <c r="G1371" s="2" t="s">
        <v>1344</v>
      </c>
      <c r="H1371" s="2" t="s">
        <v>78</v>
      </c>
      <c r="I1371" s="2" t="s">
        <v>79</v>
      </c>
      <c r="J1371" s="2" t="s">
        <v>80</v>
      </c>
      <c r="K1371" s="2">
        <v>2</v>
      </c>
      <c r="L1371" s="2">
        <v>89.99</v>
      </c>
      <c r="M1371" s="19">
        <f t="shared" si="285"/>
        <v>89.99</v>
      </c>
      <c r="N1371" s="2"/>
      <c r="O1371" s="2" t="str">
        <f t="shared" si="286"/>
        <v/>
      </c>
      <c r="P1371" s="2">
        <v>0</v>
      </c>
      <c r="Q1371" s="19">
        <f t="shared" si="287"/>
        <v>0</v>
      </c>
      <c r="R1371" s="2" t="str">
        <f t="shared" si="288"/>
        <v>Number</v>
      </c>
      <c r="S1371" s="2">
        <v>0</v>
      </c>
      <c r="T1371" s="19">
        <f t="shared" si="289"/>
        <v>0</v>
      </c>
      <c r="U1371" s="2">
        <v>179.98</v>
      </c>
      <c r="V1371" s="19">
        <f t="shared" si="290"/>
        <v>179.98</v>
      </c>
      <c r="W1371" s="19">
        <f t="shared" si="291"/>
        <v>179.98</v>
      </c>
      <c r="X1371" s="19" t="str">
        <f t="shared" si="292"/>
        <v>True</v>
      </c>
      <c r="Y1371" s="19" t="str">
        <f>IF(OR(W1371&lt;'Cleaning Tasks'!$G$18,W1371&gt;'Cleaning Tasks'!$H$18),"Outlier","Normal")</f>
        <v>Outlier</v>
      </c>
      <c r="Z1371" s="2" t="s">
        <v>49</v>
      </c>
      <c r="AA1371" s="2" t="s">
        <v>40</v>
      </c>
      <c r="AB1371" s="2" t="s">
        <v>50</v>
      </c>
      <c r="AC1371" s="2" t="s">
        <v>29</v>
      </c>
      <c r="AD1371" s="22" t="s">
        <v>51</v>
      </c>
      <c r="AE1371" s="2" t="str">
        <f t="shared" si="293"/>
        <v>Valid</v>
      </c>
      <c r="AF1371" s="2" t="s">
        <v>3818</v>
      </c>
    </row>
    <row r="1372" spans="1:32" x14ac:dyDescent="0.3">
      <c r="A1372" s="2" t="s">
        <v>3819</v>
      </c>
      <c r="B1372" s="2">
        <f t="shared" si="283"/>
        <v>1</v>
      </c>
      <c r="C1372" s="12">
        <f t="shared" si="294"/>
        <v>46238</v>
      </c>
      <c r="D1372" s="13">
        <v>46238</v>
      </c>
      <c r="E1372" s="2" t="s">
        <v>1486</v>
      </c>
      <c r="F1372" s="2" t="str">
        <f t="shared" si="284"/>
        <v>Email Available</v>
      </c>
      <c r="G1372" s="2" t="s">
        <v>1487</v>
      </c>
      <c r="H1372" s="2" t="s">
        <v>190</v>
      </c>
      <c r="I1372" s="2" t="s">
        <v>191</v>
      </c>
      <c r="J1372" s="2" t="s">
        <v>192</v>
      </c>
      <c r="K1372" s="2">
        <v>3</v>
      </c>
      <c r="L1372" s="2">
        <v>13.49</v>
      </c>
      <c r="M1372" s="19">
        <f t="shared" si="285"/>
        <v>13.49</v>
      </c>
      <c r="N1372" s="2"/>
      <c r="O1372" s="2" t="str">
        <f t="shared" si="286"/>
        <v/>
      </c>
      <c r="P1372" s="2">
        <v>0</v>
      </c>
      <c r="Q1372" s="19">
        <f t="shared" si="287"/>
        <v>0</v>
      </c>
      <c r="R1372" s="2" t="str">
        <f t="shared" si="288"/>
        <v>Number</v>
      </c>
      <c r="S1372" s="2">
        <v>7.99</v>
      </c>
      <c r="T1372" s="19">
        <f t="shared" si="289"/>
        <v>7.99</v>
      </c>
      <c r="U1372" s="2">
        <v>48.46</v>
      </c>
      <c r="V1372" s="19">
        <f t="shared" si="290"/>
        <v>48.46</v>
      </c>
      <c r="W1372" s="19">
        <f t="shared" si="291"/>
        <v>48.46</v>
      </c>
      <c r="X1372" s="19" t="str">
        <f t="shared" si="292"/>
        <v>True</v>
      </c>
      <c r="Y1372" s="19" t="str">
        <f>IF(OR(W1372&lt;'Cleaning Tasks'!$G$18,W1372&gt;'Cleaning Tasks'!$H$18),"Outlier","Normal")</f>
        <v>Normal</v>
      </c>
      <c r="Z1372" s="2" t="s">
        <v>26</v>
      </c>
      <c r="AA1372" s="2" t="s">
        <v>27</v>
      </c>
      <c r="AB1372" s="2" t="s">
        <v>41</v>
      </c>
      <c r="AC1372" s="2" t="s">
        <v>42</v>
      </c>
      <c r="AD1372" s="2"/>
      <c r="AE1372" s="2" t="str">
        <f t="shared" si="293"/>
        <v>Not Required</v>
      </c>
      <c r="AF1372" s="2" t="s">
        <v>3820</v>
      </c>
    </row>
    <row r="1373" spans="1:32" x14ac:dyDescent="0.3">
      <c r="A1373" s="2" t="s">
        <v>3821</v>
      </c>
      <c r="B1373" s="2">
        <f t="shared" si="283"/>
        <v>1</v>
      </c>
      <c r="C1373" s="12">
        <f t="shared" si="294"/>
        <v>46238.586804178238</v>
      </c>
      <c r="D1373" s="13">
        <v>46238.586804178238</v>
      </c>
      <c r="E1373" s="2" t="s">
        <v>3822</v>
      </c>
      <c r="F1373" s="2" t="str">
        <f t="shared" si="284"/>
        <v>Email Available</v>
      </c>
      <c r="G1373" s="2" t="s">
        <v>3823</v>
      </c>
      <c r="H1373" s="2" t="s">
        <v>309</v>
      </c>
      <c r="I1373" s="2" t="s">
        <v>36</v>
      </c>
      <c r="J1373" s="2" t="s">
        <v>310</v>
      </c>
      <c r="K1373" s="2">
        <v>1</v>
      </c>
      <c r="L1373" s="2">
        <v>8.99</v>
      </c>
      <c r="M1373" s="19">
        <f t="shared" si="285"/>
        <v>8.99</v>
      </c>
      <c r="N1373" s="2" t="s">
        <v>203</v>
      </c>
      <c r="O1373" s="2" t="str">
        <f t="shared" si="286"/>
        <v>VIP15</v>
      </c>
      <c r="P1373" s="2">
        <v>1.35</v>
      </c>
      <c r="Q1373" s="19">
        <f t="shared" si="287"/>
        <v>1.35</v>
      </c>
      <c r="R1373" s="2" t="str">
        <f t="shared" si="288"/>
        <v>Number</v>
      </c>
      <c r="S1373" s="2">
        <v>7.99</v>
      </c>
      <c r="T1373" s="19">
        <f t="shared" si="289"/>
        <v>7.99</v>
      </c>
      <c r="U1373" s="2">
        <v>15.63</v>
      </c>
      <c r="V1373" s="19">
        <f t="shared" si="290"/>
        <v>15.63</v>
      </c>
      <c r="W1373" s="19">
        <f t="shared" si="291"/>
        <v>15.63</v>
      </c>
      <c r="X1373" s="19" t="str">
        <f t="shared" si="292"/>
        <v>True</v>
      </c>
      <c r="Y1373" s="19" t="str">
        <f>IF(OR(W1373&lt;'Cleaning Tasks'!$G$18,W1373&gt;'Cleaning Tasks'!$H$18),"Outlier","Normal")</f>
        <v>Normal</v>
      </c>
      <c r="Z1373" s="2" t="s">
        <v>39</v>
      </c>
      <c r="AA1373" s="2" t="s">
        <v>111</v>
      </c>
      <c r="AB1373" s="2" t="s">
        <v>50</v>
      </c>
      <c r="AC1373" s="2" t="s">
        <v>223</v>
      </c>
      <c r="AD1373" s="2"/>
      <c r="AE1373" s="2" t="str">
        <f t="shared" si="293"/>
        <v>Not Required</v>
      </c>
      <c r="AF1373" s="2" t="s">
        <v>3494</v>
      </c>
    </row>
    <row r="1374" spans="1:32" x14ac:dyDescent="0.3">
      <c r="A1374" s="2" t="s">
        <v>3824</v>
      </c>
      <c r="B1374" s="2">
        <f t="shared" si="283"/>
        <v>1</v>
      </c>
      <c r="C1374" s="12">
        <f t="shared" si="294"/>
        <v>46238.581840648148</v>
      </c>
      <c r="D1374" s="13">
        <v>46238.581840648148</v>
      </c>
      <c r="E1374" s="2" t="s">
        <v>92</v>
      </c>
      <c r="F1374" s="2" t="str">
        <f t="shared" si="284"/>
        <v>Email Available</v>
      </c>
      <c r="G1374" s="2" t="s">
        <v>93</v>
      </c>
      <c r="H1374" s="2" t="s">
        <v>267</v>
      </c>
      <c r="I1374" s="2" t="s">
        <v>22</v>
      </c>
      <c r="J1374" s="2" t="s">
        <v>268</v>
      </c>
      <c r="K1374" s="2">
        <v>2</v>
      </c>
      <c r="L1374" s="2">
        <v>18.989999999999998</v>
      </c>
      <c r="M1374" s="19">
        <f t="shared" si="285"/>
        <v>18.989999999999998</v>
      </c>
      <c r="N1374" s="2"/>
      <c r="O1374" s="2" t="str">
        <f t="shared" si="286"/>
        <v/>
      </c>
      <c r="P1374" s="2">
        <v>0</v>
      </c>
      <c r="Q1374" s="19">
        <f t="shared" si="287"/>
        <v>0</v>
      </c>
      <c r="R1374" s="2" t="str">
        <f t="shared" si="288"/>
        <v>Number</v>
      </c>
      <c r="S1374" s="2">
        <v>5.99</v>
      </c>
      <c r="T1374" s="19">
        <f t="shared" si="289"/>
        <v>5.99</v>
      </c>
      <c r="U1374" s="2">
        <v>43.97</v>
      </c>
      <c r="V1374" s="19">
        <f t="shared" si="290"/>
        <v>43.97</v>
      </c>
      <c r="W1374" s="19">
        <f t="shared" si="291"/>
        <v>43.97</v>
      </c>
      <c r="X1374" s="19" t="str">
        <f t="shared" si="292"/>
        <v>True</v>
      </c>
      <c r="Y1374" s="19" t="str">
        <f>IF(OR(W1374&lt;'Cleaning Tasks'!$G$18,W1374&gt;'Cleaning Tasks'!$H$18),"Outlier","Normal")</f>
        <v>Normal</v>
      </c>
      <c r="Z1374" s="2" t="s">
        <v>72</v>
      </c>
      <c r="AA1374" s="2" t="s">
        <v>111</v>
      </c>
      <c r="AB1374" s="2" t="s">
        <v>50</v>
      </c>
      <c r="AC1374" s="2" t="s">
        <v>42</v>
      </c>
      <c r="AD1374" s="2"/>
      <c r="AE1374" s="2" t="str">
        <f t="shared" si="293"/>
        <v>Not Required</v>
      </c>
      <c r="AF1374" s="2" t="s">
        <v>1767</v>
      </c>
    </row>
    <row r="1375" spans="1:32" x14ac:dyDescent="0.3">
      <c r="A1375" s="2" t="s">
        <v>3825</v>
      </c>
      <c r="B1375" s="2">
        <f t="shared" si="283"/>
        <v>1</v>
      </c>
      <c r="C1375" s="12">
        <f t="shared" si="294"/>
        <v>46238.585651504633</v>
      </c>
      <c r="D1375" s="13">
        <v>46238.585651504633</v>
      </c>
      <c r="E1375" s="2" t="s">
        <v>1084</v>
      </c>
      <c r="F1375" s="2" t="str">
        <f t="shared" si="284"/>
        <v>Email Available</v>
      </c>
      <c r="G1375" s="2" t="s">
        <v>1085</v>
      </c>
      <c r="H1375" s="2" t="s">
        <v>261</v>
      </c>
      <c r="I1375" s="2" t="s">
        <v>36</v>
      </c>
      <c r="J1375" s="2" t="s">
        <v>262</v>
      </c>
      <c r="K1375" s="2">
        <v>2</v>
      </c>
      <c r="L1375" s="2">
        <v>15.49</v>
      </c>
      <c r="M1375" s="19">
        <f t="shared" si="285"/>
        <v>15.49</v>
      </c>
      <c r="N1375" s="2" t="s">
        <v>203</v>
      </c>
      <c r="O1375" s="2" t="str">
        <f t="shared" si="286"/>
        <v>VIP15</v>
      </c>
      <c r="P1375" s="2">
        <v>4.6500000000000004</v>
      </c>
      <c r="Q1375" s="19">
        <f t="shared" si="287"/>
        <v>4.6500000000000004</v>
      </c>
      <c r="R1375" s="2" t="str">
        <f t="shared" si="288"/>
        <v>Number</v>
      </c>
      <c r="S1375" s="2">
        <v>7.99</v>
      </c>
      <c r="T1375" s="19">
        <f t="shared" si="289"/>
        <v>7.99</v>
      </c>
      <c r="U1375" s="2" t="s">
        <v>3826</v>
      </c>
      <c r="V1375" s="19">
        <f t="shared" si="290"/>
        <v>34.32</v>
      </c>
      <c r="W1375" s="19">
        <f t="shared" si="291"/>
        <v>34.32</v>
      </c>
      <c r="X1375" s="19" t="str">
        <f t="shared" si="292"/>
        <v>True</v>
      </c>
      <c r="Y1375" s="19" t="str">
        <f>IF(OR(W1375&lt;'Cleaning Tasks'!$G$18,W1375&gt;'Cleaning Tasks'!$H$18),"Outlier","Normal")</f>
        <v>Normal</v>
      </c>
      <c r="Z1375" s="2" t="s">
        <v>39</v>
      </c>
      <c r="AA1375" s="2" t="s">
        <v>27</v>
      </c>
      <c r="AB1375" s="2" t="s">
        <v>50</v>
      </c>
      <c r="AC1375" s="2" t="s">
        <v>29</v>
      </c>
      <c r="AD1375" s="2" t="s">
        <v>67</v>
      </c>
      <c r="AE1375" s="2" t="str">
        <f t="shared" si="293"/>
        <v>Valid</v>
      </c>
      <c r="AF1375" s="2" t="s">
        <v>3827</v>
      </c>
    </row>
    <row r="1376" spans="1:32" x14ac:dyDescent="0.3">
      <c r="A1376" s="2" t="s">
        <v>3828</v>
      </c>
      <c r="B1376" s="2">
        <f t="shared" si="283"/>
        <v>1</v>
      </c>
      <c r="C1376" s="12">
        <f t="shared" si="294"/>
        <v>46238.579526226851</v>
      </c>
      <c r="D1376" s="13">
        <v>46238.579526226851</v>
      </c>
      <c r="E1376" s="2" t="s">
        <v>1822</v>
      </c>
      <c r="F1376" s="2" t="str">
        <f t="shared" si="284"/>
        <v>Email Available</v>
      </c>
      <c r="G1376" s="2" t="s">
        <v>1823</v>
      </c>
      <c r="H1376" s="2" t="s">
        <v>63</v>
      </c>
      <c r="I1376" s="2" t="s">
        <v>47</v>
      </c>
      <c r="J1376" s="2" t="s">
        <v>64</v>
      </c>
      <c r="K1376" s="2">
        <v>1</v>
      </c>
      <c r="L1376" s="2">
        <v>14.99</v>
      </c>
      <c r="M1376" s="19">
        <f t="shared" si="285"/>
        <v>14.99</v>
      </c>
      <c r="N1376" s="2"/>
      <c r="O1376" s="2" t="str">
        <f t="shared" si="286"/>
        <v/>
      </c>
      <c r="P1376" s="2">
        <v>0</v>
      </c>
      <c r="Q1376" s="19">
        <f t="shared" si="287"/>
        <v>0</v>
      </c>
      <c r="R1376" s="2" t="str">
        <f t="shared" si="288"/>
        <v>Number</v>
      </c>
      <c r="S1376" s="2">
        <v>7.99</v>
      </c>
      <c r="T1376" s="19">
        <f t="shared" si="289"/>
        <v>7.99</v>
      </c>
      <c r="U1376" s="2">
        <v>22.98</v>
      </c>
      <c r="V1376" s="19">
        <f t="shared" si="290"/>
        <v>22.98</v>
      </c>
      <c r="W1376" s="19">
        <f t="shared" si="291"/>
        <v>22.98</v>
      </c>
      <c r="X1376" s="19" t="str">
        <f t="shared" si="292"/>
        <v>True</v>
      </c>
      <c r="Y1376" s="19" t="str">
        <f>IF(OR(W1376&lt;'Cleaning Tasks'!$G$18,W1376&gt;'Cleaning Tasks'!$H$18),"Outlier","Normal")</f>
        <v>Normal</v>
      </c>
      <c r="Z1376" s="2" t="s">
        <v>72</v>
      </c>
      <c r="AA1376" s="2" t="s">
        <v>27</v>
      </c>
      <c r="AB1376" s="2" t="s">
        <v>96</v>
      </c>
      <c r="AC1376" s="2" t="s">
        <v>29</v>
      </c>
      <c r="AD1376" s="2" t="s">
        <v>447</v>
      </c>
      <c r="AE1376" s="2" t="str">
        <f t="shared" si="293"/>
        <v>Valid</v>
      </c>
      <c r="AF1376" s="2" t="s">
        <v>3062</v>
      </c>
    </row>
    <row r="1377" spans="1:32" x14ac:dyDescent="0.3">
      <c r="A1377" s="2" t="s">
        <v>3829</v>
      </c>
      <c r="B1377" s="2">
        <f t="shared" si="283"/>
        <v>1</v>
      </c>
      <c r="C1377" s="12">
        <f t="shared" si="294"/>
        <v>46238.581517465267</v>
      </c>
      <c r="D1377" s="13">
        <v>46238.581517465267</v>
      </c>
      <c r="E1377" s="2" t="s">
        <v>3830</v>
      </c>
      <c r="F1377" s="2" t="str">
        <f t="shared" si="284"/>
        <v>Email Available</v>
      </c>
      <c r="G1377" s="2" t="s">
        <v>3831</v>
      </c>
      <c r="H1377" s="2" t="s">
        <v>152</v>
      </c>
      <c r="I1377" s="2" t="s">
        <v>36</v>
      </c>
      <c r="J1377" s="2" t="s">
        <v>153</v>
      </c>
      <c r="K1377" s="2">
        <v>1</v>
      </c>
      <c r="L1377" s="2">
        <v>29.99</v>
      </c>
      <c r="M1377" s="19">
        <f t="shared" si="285"/>
        <v>29.99</v>
      </c>
      <c r="N1377" s="2"/>
      <c r="O1377" s="2" t="str">
        <f t="shared" si="286"/>
        <v/>
      </c>
      <c r="P1377" s="2">
        <v>0</v>
      </c>
      <c r="Q1377" s="19">
        <f t="shared" si="287"/>
        <v>0</v>
      </c>
      <c r="R1377" s="2" t="str">
        <f t="shared" si="288"/>
        <v>Number</v>
      </c>
      <c r="S1377" s="2">
        <v>4.99</v>
      </c>
      <c r="T1377" s="19">
        <f t="shared" si="289"/>
        <v>4.99</v>
      </c>
      <c r="U1377" s="2">
        <v>34.979999999999997</v>
      </c>
      <c r="V1377" s="19">
        <f t="shared" si="290"/>
        <v>34.979999999999997</v>
      </c>
      <c r="W1377" s="19">
        <f t="shared" si="291"/>
        <v>34.979999999999997</v>
      </c>
      <c r="X1377" s="19" t="str">
        <f t="shared" si="292"/>
        <v>True</v>
      </c>
      <c r="Y1377" s="19" t="str">
        <f>IF(OR(W1377&lt;'Cleaning Tasks'!$G$18,W1377&gt;'Cleaning Tasks'!$H$18),"Outlier","Normal")</f>
        <v>Normal</v>
      </c>
      <c r="Z1377" s="2" t="s">
        <v>49</v>
      </c>
      <c r="AA1377" s="2" t="s">
        <v>88</v>
      </c>
      <c r="AB1377" s="2" t="s">
        <v>28</v>
      </c>
      <c r="AC1377" s="2" t="s">
        <v>331</v>
      </c>
      <c r="AD1377" s="2"/>
      <c r="AE1377" s="2" t="str">
        <f t="shared" si="293"/>
        <v>Not Required</v>
      </c>
      <c r="AF1377" s="2" t="s">
        <v>3832</v>
      </c>
    </row>
    <row r="1378" spans="1:32" x14ac:dyDescent="0.3">
      <c r="A1378" s="2" t="s">
        <v>3833</v>
      </c>
      <c r="B1378" s="2">
        <f t="shared" si="283"/>
        <v>1</v>
      </c>
      <c r="C1378" s="12">
        <f t="shared" si="294"/>
        <v>46238.584542766213</v>
      </c>
      <c r="D1378" s="13">
        <v>46238.584542766213</v>
      </c>
      <c r="E1378" s="2" t="s">
        <v>3834</v>
      </c>
      <c r="F1378" s="2" t="str">
        <f t="shared" si="284"/>
        <v>Email Available</v>
      </c>
      <c r="G1378" s="2" t="s">
        <v>3835</v>
      </c>
      <c r="H1378" s="2" t="s">
        <v>190</v>
      </c>
      <c r="I1378" s="2" t="s">
        <v>191</v>
      </c>
      <c r="J1378" s="2" t="s">
        <v>192</v>
      </c>
      <c r="K1378" s="2">
        <v>1</v>
      </c>
      <c r="L1378" s="2">
        <v>13.49</v>
      </c>
      <c r="M1378" s="19">
        <f t="shared" si="285"/>
        <v>13.49</v>
      </c>
      <c r="N1378" s="2" t="s">
        <v>118</v>
      </c>
      <c r="O1378" s="2" t="str">
        <f t="shared" si="286"/>
        <v>BFCM25</v>
      </c>
      <c r="P1378" s="2">
        <v>3.37</v>
      </c>
      <c r="Q1378" s="19">
        <f t="shared" si="287"/>
        <v>3.37</v>
      </c>
      <c r="R1378" s="2" t="str">
        <f t="shared" si="288"/>
        <v>Number</v>
      </c>
      <c r="S1378" s="2">
        <v>5.99</v>
      </c>
      <c r="T1378" s="19">
        <f t="shared" si="289"/>
        <v>5.99</v>
      </c>
      <c r="U1378" s="2">
        <v>16.11</v>
      </c>
      <c r="V1378" s="19">
        <f t="shared" si="290"/>
        <v>16.11</v>
      </c>
      <c r="W1378" s="19">
        <f t="shared" si="291"/>
        <v>16.11</v>
      </c>
      <c r="X1378" s="19" t="str">
        <f t="shared" si="292"/>
        <v>True</v>
      </c>
      <c r="Y1378" s="19" t="str">
        <f>IF(OR(W1378&lt;'Cleaning Tasks'!$G$18,W1378&gt;'Cleaning Tasks'!$H$18),"Outlier","Normal")</f>
        <v>Normal</v>
      </c>
      <c r="Z1378" s="2" t="s">
        <v>66</v>
      </c>
      <c r="AA1378" s="2" t="s">
        <v>27</v>
      </c>
      <c r="AB1378" s="2" t="s">
        <v>96</v>
      </c>
      <c r="AC1378" s="2" t="s">
        <v>29</v>
      </c>
      <c r="AD1378" s="2" t="s">
        <v>58</v>
      </c>
      <c r="AE1378" s="2" t="str">
        <f t="shared" si="293"/>
        <v>Valid</v>
      </c>
      <c r="AF1378" s="2" t="s">
        <v>3836</v>
      </c>
    </row>
    <row r="1379" spans="1:32" x14ac:dyDescent="0.3">
      <c r="A1379" s="2" t="s">
        <v>3837</v>
      </c>
      <c r="B1379" s="2">
        <f t="shared" si="283"/>
        <v>1</v>
      </c>
      <c r="C1379" s="12">
        <f t="shared" si="294"/>
        <v>46238.583369537038</v>
      </c>
      <c r="D1379" s="13">
        <v>46238.583369537038</v>
      </c>
      <c r="E1379" s="2" t="s">
        <v>629</v>
      </c>
      <c r="F1379" s="2" t="str">
        <f t="shared" si="284"/>
        <v>Email Available</v>
      </c>
      <c r="G1379" s="2" t="s">
        <v>630</v>
      </c>
      <c r="H1379" s="2" t="s">
        <v>124</v>
      </c>
      <c r="I1379" s="2" t="s">
        <v>79</v>
      </c>
      <c r="J1379" s="2" t="s">
        <v>125</v>
      </c>
      <c r="K1379" s="2">
        <v>1</v>
      </c>
      <c r="L1379" s="2" t="s">
        <v>1086</v>
      </c>
      <c r="M1379" s="19">
        <f t="shared" si="285"/>
        <v>13.99</v>
      </c>
      <c r="N1379" s="2" t="s">
        <v>118</v>
      </c>
      <c r="O1379" s="2" t="str">
        <f t="shared" si="286"/>
        <v>BFCM25</v>
      </c>
      <c r="P1379" s="2">
        <v>3.5</v>
      </c>
      <c r="Q1379" s="19">
        <f t="shared" si="287"/>
        <v>3.5</v>
      </c>
      <c r="R1379" s="2" t="str">
        <f t="shared" si="288"/>
        <v>Number</v>
      </c>
      <c r="S1379" s="2">
        <v>4.99</v>
      </c>
      <c r="T1379" s="19">
        <f t="shared" si="289"/>
        <v>4.99</v>
      </c>
      <c r="U1379" s="2">
        <v>15.48</v>
      </c>
      <c r="V1379" s="19">
        <f t="shared" si="290"/>
        <v>15.48</v>
      </c>
      <c r="W1379" s="19">
        <f t="shared" si="291"/>
        <v>15.48</v>
      </c>
      <c r="X1379" s="19" t="str">
        <f t="shared" si="292"/>
        <v>True</v>
      </c>
      <c r="Y1379" s="19" t="str">
        <f>IF(OR(W1379&lt;'Cleaning Tasks'!$G$18,W1379&gt;'Cleaning Tasks'!$H$18),"Outlier","Normal")</f>
        <v>Normal</v>
      </c>
      <c r="Z1379" s="2" t="s">
        <v>72</v>
      </c>
      <c r="AA1379" s="2" t="s">
        <v>111</v>
      </c>
      <c r="AB1379" s="2" t="s">
        <v>50</v>
      </c>
      <c r="AC1379" s="2" t="s">
        <v>29</v>
      </c>
      <c r="AD1379" s="2" t="s">
        <v>447</v>
      </c>
      <c r="AE1379" s="2" t="str">
        <f t="shared" si="293"/>
        <v>Valid</v>
      </c>
      <c r="AF1379" s="2" t="s">
        <v>3838</v>
      </c>
    </row>
    <row r="1380" spans="1:32" x14ac:dyDescent="0.3">
      <c r="A1380" s="2" t="s">
        <v>3839</v>
      </c>
      <c r="B1380" s="2">
        <f t="shared" si="283"/>
        <v>1</v>
      </c>
      <c r="C1380" s="12">
        <f t="shared" si="294"/>
        <v>46238.583825601847</v>
      </c>
      <c r="D1380" s="13">
        <v>46238.583825601847</v>
      </c>
      <c r="E1380" s="2" t="s">
        <v>3840</v>
      </c>
      <c r="F1380" s="2" t="str">
        <f t="shared" si="284"/>
        <v>Email Available</v>
      </c>
      <c r="G1380" s="2" t="s">
        <v>3643</v>
      </c>
      <c r="H1380" s="2" t="s">
        <v>56</v>
      </c>
      <c r="I1380" s="2" t="s">
        <v>22</v>
      </c>
      <c r="J1380" s="2" t="s">
        <v>57</v>
      </c>
      <c r="K1380" s="2">
        <v>1</v>
      </c>
      <c r="L1380" s="2">
        <v>9.99</v>
      </c>
      <c r="M1380" s="19">
        <f t="shared" si="285"/>
        <v>9.99</v>
      </c>
      <c r="N1380" s="2" t="s">
        <v>24</v>
      </c>
      <c r="O1380" s="2" t="str">
        <f t="shared" si="286"/>
        <v>SAVE20</v>
      </c>
      <c r="P1380" s="2">
        <v>2</v>
      </c>
      <c r="Q1380" s="19">
        <f t="shared" si="287"/>
        <v>2</v>
      </c>
      <c r="R1380" s="2" t="str">
        <f t="shared" si="288"/>
        <v>Number</v>
      </c>
      <c r="S1380" s="2">
        <v>7.99</v>
      </c>
      <c r="T1380" s="19">
        <f t="shared" si="289"/>
        <v>7.99</v>
      </c>
      <c r="U1380" s="2">
        <v>15.98</v>
      </c>
      <c r="V1380" s="19">
        <f t="shared" si="290"/>
        <v>15.98</v>
      </c>
      <c r="W1380" s="19">
        <f t="shared" si="291"/>
        <v>15.98</v>
      </c>
      <c r="X1380" s="19" t="str">
        <f t="shared" si="292"/>
        <v>True</v>
      </c>
      <c r="Y1380" s="19" t="str">
        <f>IF(OR(W1380&lt;'Cleaning Tasks'!$G$18,W1380&gt;'Cleaning Tasks'!$H$18),"Outlier","Normal")</f>
        <v>Normal</v>
      </c>
      <c r="Z1380" s="2" t="s">
        <v>49</v>
      </c>
      <c r="AA1380" s="2" t="s">
        <v>88</v>
      </c>
      <c r="AB1380" s="2" t="s">
        <v>96</v>
      </c>
      <c r="AC1380" s="2" t="s">
        <v>29</v>
      </c>
      <c r="AD1380" s="2" t="s">
        <v>112</v>
      </c>
      <c r="AE1380" s="2" t="str">
        <f t="shared" si="293"/>
        <v>Valid</v>
      </c>
      <c r="AF1380" s="2" t="s">
        <v>3841</v>
      </c>
    </row>
    <row r="1381" spans="1:32" x14ac:dyDescent="0.3">
      <c r="A1381" s="2" t="s">
        <v>3842</v>
      </c>
      <c r="B1381" s="2">
        <f t="shared" si="283"/>
        <v>1</v>
      </c>
      <c r="C1381" s="12">
        <f t="shared" si="294"/>
        <v>46238.586198252313</v>
      </c>
      <c r="D1381" s="13">
        <v>46238.586198252313</v>
      </c>
      <c r="E1381" s="2" t="s">
        <v>815</v>
      </c>
      <c r="F1381" s="2" t="str">
        <f t="shared" si="284"/>
        <v>Missing Email</v>
      </c>
      <c r="G1381" s="2"/>
      <c r="H1381" s="2" t="s">
        <v>267</v>
      </c>
      <c r="I1381" s="2" t="s">
        <v>22</v>
      </c>
      <c r="J1381" s="2" t="s">
        <v>268</v>
      </c>
      <c r="K1381" s="2">
        <v>1</v>
      </c>
      <c r="L1381" s="2">
        <v>18.989999999999998</v>
      </c>
      <c r="M1381" s="19">
        <f t="shared" si="285"/>
        <v>18.989999999999998</v>
      </c>
      <c r="N1381" s="2"/>
      <c r="O1381" s="2" t="str">
        <f t="shared" si="286"/>
        <v/>
      </c>
      <c r="P1381" s="2">
        <v>0</v>
      </c>
      <c r="Q1381" s="19">
        <f t="shared" si="287"/>
        <v>0</v>
      </c>
      <c r="R1381" s="2" t="str">
        <f t="shared" si="288"/>
        <v>Number</v>
      </c>
      <c r="S1381" s="2">
        <v>7.99</v>
      </c>
      <c r="T1381" s="19">
        <f t="shared" si="289"/>
        <v>7.99</v>
      </c>
      <c r="U1381" s="2">
        <v>26.98</v>
      </c>
      <c r="V1381" s="19">
        <f t="shared" si="290"/>
        <v>26.98</v>
      </c>
      <c r="W1381" s="19">
        <f t="shared" si="291"/>
        <v>26.979999999999997</v>
      </c>
      <c r="X1381" s="19" t="str">
        <f t="shared" si="292"/>
        <v>True</v>
      </c>
      <c r="Y1381" s="19" t="str">
        <f>IF(OR(W1381&lt;'Cleaning Tasks'!$G$18,W1381&gt;'Cleaning Tasks'!$H$18),"Outlier","Normal")</f>
        <v>Normal</v>
      </c>
      <c r="Z1381" s="2" t="s">
        <v>39</v>
      </c>
      <c r="AA1381" s="2" t="s">
        <v>27</v>
      </c>
      <c r="AB1381" s="2" t="s">
        <v>41</v>
      </c>
      <c r="AC1381" s="2" t="s">
        <v>73</v>
      </c>
      <c r="AD1381" s="2"/>
      <c r="AE1381" s="2" t="str">
        <f t="shared" si="293"/>
        <v>Not Required</v>
      </c>
      <c r="AF1381" s="2" t="s">
        <v>3843</v>
      </c>
    </row>
    <row r="1382" spans="1:32" x14ac:dyDescent="0.3">
      <c r="A1382" s="2" t="s">
        <v>3844</v>
      </c>
      <c r="B1382" s="2">
        <f t="shared" si="283"/>
        <v>1</v>
      </c>
      <c r="C1382" s="12">
        <f t="shared" si="294"/>
        <v>46238.588326134261</v>
      </c>
      <c r="D1382" s="13">
        <v>46238.588326134261</v>
      </c>
      <c r="E1382" s="2" t="s">
        <v>1084</v>
      </c>
      <c r="F1382" s="2" t="str">
        <f t="shared" si="284"/>
        <v>Email Available</v>
      </c>
      <c r="G1382" s="2" t="s">
        <v>1085</v>
      </c>
      <c r="H1382" s="2" t="s">
        <v>63</v>
      </c>
      <c r="I1382" s="2" t="s">
        <v>47</v>
      </c>
      <c r="J1382" s="2" t="s">
        <v>446</v>
      </c>
      <c r="K1382" s="2">
        <v>1</v>
      </c>
      <c r="L1382" s="2">
        <v>14.99</v>
      </c>
      <c r="M1382" s="19">
        <f t="shared" si="285"/>
        <v>14.99</v>
      </c>
      <c r="N1382" s="2" t="s">
        <v>118</v>
      </c>
      <c r="O1382" s="2" t="str">
        <f t="shared" si="286"/>
        <v>BFCM25</v>
      </c>
      <c r="P1382" s="2">
        <v>3.75</v>
      </c>
      <c r="Q1382" s="19">
        <f t="shared" si="287"/>
        <v>3.75</v>
      </c>
      <c r="R1382" s="2" t="str">
        <f t="shared" si="288"/>
        <v>Number</v>
      </c>
      <c r="S1382" s="2">
        <v>5.99</v>
      </c>
      <c r="T1382" s="19">
        <f t="shared" si="289"/>
        <v>5.99</v>
      </c>
      <c r="U1382" s="2">
        <v>17.23</v>
      </c>
      <c r="V1382" s="19">
        <f t="shared" si="290"/>
        <v>17.23</v>
      </c>
      <c r="W1382" s="19">
        <f t="shared" si="291"/>
        <v>17.23</v>
      </c>
      <c r="X1382" s="19" t="str">
        <f t="shared" si="292"/>
        <v>True</v>
      </c>
      <c r="Y1382" s="19" t="str">
        <f>IF(OR(W1382&lt;'Cleaning Tasks'!$G$18,W1382&gt;'Cleaning Tasks'!$H$18),"Outlier","Normal")</f>
        <v>Normal</v>
      </c>
      <c r="Z1382" s="2" t="s">
        <v>49</v>
      </c>
      <c r="AA1382" s="2" t="s">
        <v>111</v>
      </c>
      <c r="AB1382" s="2" t="s">
        <v>50</v>
      </c>
      <c r="AC1382" s="2" t="s">
        <v>29</v>
      </c>
      <c r="AD1382" s="2" t="s">
        <v>112</v>
      </c>
      <c r="AE1382" s="2" t="str">
        <f t="shared" si="293"/>
        <v>Valid</v>
      </c>
      <c r="AF1382" s="2" t="s">
        <v>3845</v>
      </c>
    </row>
    <row r="1383" spans="1:32" x14ac:dyDescent="0.3">
      <c r="A1383" s="2" t="s">
        <v>3846</v>
      </c>
      <c r="B1383" s="2">
        <f t="shared" si="283"/>
        <v>1</v>
      </c>
      <c r="C1383" s="12">
        <f t="shared" si="294"/>
        <v>46238.582628194446</v>
      </c>
      <c r="D1383" s="13">
        <v>46238.582628194446</v>
      </c>
      <c r="E1383" s="2" t="s">
        <v>1243</v>
      </c>
      <c r="F1383" s="2" t="str">
        <f t="shared" si="284"/>
        <v>Email Available</v>
      </c>
      <c r="G1383" s="2" t="s">
        <v>1244</v>
      </c>
      <c r="H1383" s="2" t="s">
        <v>236</v>
      </c>
      <c r="I1383" s="2" t="s">
        <v>237</v>
      </c>
      <c r="J1383" s="2" t="s">
        <v>238</v>
      </c>
      <c r="K1383" s="2">
        <v>1</v>
      </c>
      <c r="L1383" s="2">
        <v>27.99</v>
      </c>
      <c r="M1383" s="19">
        <f t="shared" si="285"/>
        <v>27.99</v>
      </c>
      <c r="N1383" s="2"/>
      <c r="O1383" s="2" t="str">
        <f t="shared" si="286"/>
        <v/>
      </c>
      <c r="P1383" s="2">
        <v>0</v>
      </c>
      <c r="Q1383" s="19">
        <f t="shared" si="287"/>
        <v>0</v>
      </c>
      <c r="R1383" s="2" t="str">
        <f t="shared" si="288"/>
        <v>Number</v>
      </c>
      <c r="S1383" s="2">
        <v>5.99</v>
      </c>
      <c r="T1383" s="19">
        <f t="shared" si="289"/>
        <v>5.99</v>
      </c>
      <c r="U1383" s="2">
        <v>33.979999999999997</v>
      </c>
      <c r="V1383" s="19">
        <f t="shared" si="290"/>
        <v>33.979999999999997</v>
      </c>
      <c r="W1383" s="19">
        <f t="shared" si="291"/>
        <v>33.979999999999997</v>
      </c>
      <c r="X1383" s="19" t="str">
        <f t="shared" si="292"/>
        <v>True</v>
      </c>
      <c r="Y1383" s="19" t="str">
        <f>IF(OR(W1383&lt;'Cleaning Tasks'!$G$18,W1383&gt;'Cleaning Tasks'!$H$18),"Outlier","Normal")</f>
        <v>Normal</v>
      </c>
      <c r="Z1383" s="2" t="s">
        <v>72</v>
      </c>
      <c r="AA1383" s="2" t="s">
        <v>27</v>
      </c>
      <c r="AB1383" s="2" t="s">
        <v>28</v>
      </c>
      <c r="AC1383" s="2" t="s">
        <v>29</v>
      </c>
      <c r="AD1383" s="2" t="s">
        <v>112</v>
      </c>
      <c r="AE1383" s="2" t="str">
        <f t="shared" si="293"/>
        <v>Valid</v>
      </c>
      <c r="AF1383" s="2" t="s">
        <v>3847</v>
      </c>
    </row>
    <row r="1384" spans="1:32" x14ac:dyDescent="0.3">
      <c r="A1384" s="2" t="s">
        <v>3848</v>
      </c>
      <c r="B1384" s="2">
        <f t="shared" si="283"/>
        <v>1</v>
      </c>
      <c r="C1384" s="12">
        <f t="shared" ref="C1384:C1415" si="295">IF(ISNUMBER(D1384),D1384,DATEVALUE(SUBSTITUTE(TRIM(D1384),CHAR(160)," ")))</f>
        <v>46238.581510960648</v>
      </c>
      <c r="D1384" s="13">
        <v>46238.581510960648</v>
      </c>
      <c r="E1384" s="2" t="s">
        <v>1287</v>
      </c>
      <c r="F1384" s="2" t="str">
        <f t="shared" si="284"/>
        <v>Email Available</v>
      </c>
      <c r="G1384" s="2" t="s">
        <v>1288</v>
      </c>
      <c r="H1384" s="2" t="s">
        <v>236</v>
      </c>
      <c r="I1384" s="2" t="s">
        <v>237</v>
      </c>
      <c r="J1384" s="2" t="s">
        <v>238</v>
      </c>
      <c r="K1384" s="2">
        <v>1</v>
      </c>
      <c r="L1384" s="2">
        <v>27.99</v>
      </c>
      <c r="M1384" s="19">
        <f t="shared" si="285"/>
        <v>27.99</v>
      </c>
      <c r="N1384" s="2" t="s">
        <v>65</v>
      </c>
      <c r="O1384" s="2" t="str">
        <f t="shared" si="286"/>
        <v>WELCOME10</v>
      </c>
      <c r="P1384" s="2">
        <v>2.8</v>
      </c>
      <c r="Q1384" s="19">
        <f t="shared" si="287"/>
        <v>2.8</v>
      </c>
      <c r="R1384" s="2" t="str">
        <f t="shared" si="288"/>
        <v>Number</v>
      </c>
      <c r="S1384" s="2">
        <v>7.99</v>
      </c>
      <c r="T1384" s="19">
        <f t="shared" si="289"/>
        <v>7.99</v>
      </c>
      <c r="U1384" s="2">
        <v>33.18</v>
      </c>
      <c r="V1384" s="19">
        <f t="shared" si="290"/>
        <v>33.18</v>
      </c>
      <c r="W1384" s="19">
        <f t="shared" si="291"/>
        <v>33.18</v>
      </c>
      <c r="X1384" s="19" t="str">
        <f t="shared" si="292"/>
        <v>True</v>
      </c>
      <c r="Y1384" s="19" t="str">
        <f>IF(OR(W1384&lt;'Cleaning Tasks'!$G$18,W1384&gt;'Cleaning Tasks'!$H$18),"Outlier","Normal")</f>
        <v>Normal</v>
      </c>
      <c r="Z1384" s="2" t="s">
        <v>39</v>
      </c>
      <c r="AA1384" s="2" t="s">
        <v>40</v>
      </c>
      <c r="AB1384" s="2" t="s">
        <v>50</v>
      </c>
      <c r="AC1384" s="2" t="s">
        <v>73</v>
      </c>
      <c r="AD1384" s="2"/>
      <c r="AE1384" s="2" t="str">
        <f t="shared" si="293"/>
        <v>Not Required</v>
      </c>
      <c r="AF1384" s="2" t="s">
        <v>3849</v>
      </c>
    </row>
    <row r="1385" spans="1:32" x14ac:dyDescent="0.3">
      <c r="A1385" s="2" t="s">
        <v>3850</v>
      </c>
      <c r="B1385" s="2">
        <f t="shared" si="283"/>
        <v>1</v>
      </c>
      <c r="C1385" s="12">
        <f t="shared" si="295"/>
        <v>46238.58262912037</v>
      </c>
      <c r="D1385" s="13">
        <v>46238.58262912037</v>
      </c>
      <c r="E1385" s="2" t="s">
        <v>1157</v>
      </c>
      <c r="F1385" s="2" t="str">
        <f t="shared" si="284"/>
        <v>Email Available</v>
      </c>
      <c r="G1385" s="2" t="s">
        <v>1158</v>
      </c>
      <c r="H1385" s="2" t="s">
        <v>56</v>
      </c>
      <c r="I1385" s="2" t="s">
        <v>22</v>
      </c>
      <c r="J1385" s="2" t="s">
        <v>57</v>
      </c>
      <c r="K1385" s="2">
        <v>1</v>
      </c>
      <c r="L1385" s="2">
        <v>9.99</v>
      </c>
      <c r="M1385" s="19">
        <f t="shared" si="285"/>
        <v>9.99</v>
      </c>
      <c r="N1385" s="2" t="s">
        <v>65</v>
      </c>
      <c r="O1385" s="2" t="str">
        <f t="shared" si="286"/>
        <v>WELCOME10</v>
      </c>
      <c r="P1385" s="2">
        <v>1</v>
      </c>
      <c r="Q1385" s="19">
        <f t="shared" si="287"/>
        <v>1</v>
      </c>
      <c r="R1385" s="2" t="str">
        <f t="shared" si="288"/>
        <v>Number</v>
      </c>
      <c r="S1385" s="2">
        <v>4.99</v>
      </c>
      <c r="T1385" s="19">
        <f t="shared" si="289"/>
        <v>4.99</v>
      </c>
      <c r="U1385" s="2">
        <v>13.98</v>
      </c>
      <c r="V1385" s="19">
        <f t="shared" si="290"/>
        <v>13.98</v>
      </c>
      <c r="W1385" s="19">
        <f t="shared" si="291"/>
        <v>13.98</v>
      </c>
      <c r="X1385" s="19" t="str">
        <f t="shared" si="292"/>
        <v>True</v>
      </c>
      <c r="Y1385" s="19" t="str">
        <f>IF(OR(W1385&lt;'Cleaning Tasks'!$G$18,W1385&gt;'Cleaning Tasks'!$H$18),"Outlier","Normal")</f>
        <v>Normal</v>
      </c>
      <c r="Z1385" s="2" t="s">
        <v>66</v>
      </c>
      <c r="AA1385" s="2" t="s">
        <v>27</v>
      </c>
      <c r="AB1385" s="2" t="s">
        <v>50</v>
      </c>
      <c r="AC1385" s="2" t="s">
        <v>42</v>
      </c>
      <c r="AD1385" s="2"/>
      <c r="AE1385" s="2" t="str">
        <f t="shared" si="293"/>
        <v>Not Required</v>
      </c>
      <c r="AF1385" s="2" t="s">
        <v>3851</v>
      </c>
    </row>
    <row r="1386" spans="1:32" x14ac:dyDescent="0.3">
      <c r="A1386" s="2" t="s">
        <v>3852</v>
      </c>
      <c r="B1386" s="2">
        <f t="shared" si="283"/>
        <v>1</v>
      </c>
      <c r="C1386" s="12">
        <f t="shared" si="295"/>
        <v>46238.583923981481</v>
      </c>
      <c r="D1386" s="13">
        <v>46238.583923981481</v>
      </c>
      <c r="E1386" s="2" t="s">
        <v>417</v>
      </c>
      <c r="F1386" s="2" t="str">
        <f t="shared" si="284"/>
        <v>Email Available</v>
      </c>
      <c r="G1386" s="2" t="s">
        <v>418</v>
      </c>
      <c r="H1386" s="2" t="s">
        <v>309</v>
      </c>
      <c r="I1386" s="2" t="s">
        <v>36</v>
      </c>
      <c r="J1386" s="2" t="s">
        <v>310</v>
      </c>
      <c r="K1386" s="2">
        <v>1</v>
      </c>
      <c r="L1386" s="2">
        <v>8.99</v>
      </c>
      <c r="M1386" s="19">
        <f t="shared" si="285"/>
        <v>8.99</v>
      </c>
      <c r="N1386" s="2"/>
      <c r="O1386" s="2" t="str">
        <f t="shared" si="286"/>
        <v/>
      </c>
      <c r="P1386" s="2">
        <v>0</v>
      </c>
      <c r="Q1386" s="19">
        <f t="shared" si="287"/>
        <v>0</v>
      </c>
      <c r="R1386" s="2" t="str">
        <f t="shared" si="288"/>
        <v>Number</v>
      </c>
      <c r="S1386" s="2">
        <v>5.99</v>
      </c>
      <c r="T1386" s="19">
        <f t="shared" si="289"/>
        <v>5.99</v>
      </c>
      <c r="U1386" s="2">
        <v>14.98</v>
      </c>
      <c r="V1386" s="19">
        <f t="shared" si="290"/>
        <v>14.98</v>
      </c>
      <c r="W1386" s="19">
        <f t="shared" si="291"/>
        <v>14.98</v>
      </c>
      <c r="X1386" s="19" t="str">
        <f t="shared" si="292"/>
        <v>True</v>
      </c>
      <c r="Y1386" s="19" t="str">
        <f>IF(OR(W1386&lt;'Cleaning Tasks'!$G$18,W1386&gt;'Cleaning Tasks'!$H$18),"Outlier","Normal")</f>
        <v>Normal</v>
      </c>
      <c r="Z1386" s="2" t="s">
        <v>66</v>
      </c>
      <c r="AA1386" s="2" t="s">
        <v>27</v>
      </c>
      <c r="AB1386" s="2" t="s">
        <v>50</v>
      </c>
      <c r="AC1386" s="2" t="s">
        <v>29</v>
      </c>
      <c r="AD1386" s="2" t="s">
        <v>67</v>
      </c>
      <c r="AE1386" s="2" t="str">
        <f t="shared" si="293"/>
        <v>Valid</v>
      </c>
      <c r="AF1386" s="2" t="s">
        <v>3853</v>
      </c>
    </row>
    <row r="1387" spans="1:32" x14ac:dyDescent="0.3">
      <c r="A1387" s="2" t="s">
        <v>3854</v>
      </c>
      <c r="B1387" s="2">
        <f t="shared" si="283"/>
        <v>1</v>
      </c>
      <c r="C1387" s="12">
        <f t="shared" si="295"/>
        <v>46238.582002210649</v>
      </c>
      <c r="D1387" s="13">
        <v>46238.582002210649</v>
      </c>
      <c r="E1387" s="2" t="s">
        <v>673</v>
      </c>
      <c r="F1387" s="2" t="str">
        <f t="shared" si="284"/>
        <v>Email Available</v>
      </c>
      <c r="G1387" s="2" t="s">
        <v>674</v>
      </c>
      <c r="H1387" s="2" t="s">
        <v>102</v>
      </c>
      <c r="I1387" s="2" t="s">
        <v>103</v>
      </c>
      <c r="J1387" s="2" t="s">
        <v>104</v>
      </c>
      <c r="K1387" s="2">
        <v>1</v>
      </c>
      <c r="L1387" s="2">
        <v>19.989999999999998</v>
      </c>
      <c r="M1387" s="19">
        <f t="shared" si="285"/>
        <v>19.989999999999998</v>
      </c>
      <c r="N1387" s="2" t="s">
        <v>118</v>
      </c>
      <c r="O1387" s="2" t="str">
        <f t="shared" si="286"/>
        <v>BFCM25</v>
      </c>
      <c r="P1387" s="2">
        <v>5</v>
      </c>
      <c r="Q1387" s="19">
        <f t="shared" si="287"/>
        <v>5</v>
      </c>
      <c r="R1387" s="2" t="str">
        <f t="shared" si="288"/>
        <v>Number</v>
      </c>
      <c r="S1387" s="2">
        <v>5.99</v>
      </c>
      <c r="T1387" s="19">
        <f t="shared" si="289"/>
        <v>5.99</v>
      </c>
      <c r="U1387" s="2">
        <v>20.98</v>
      </c>
      <c r="V1387" s="19">
        <f t="shared" si="290"/>
        <v>20.98</v>
      </c>
      <c r="W1387" s="19">
        <f t="shared" si="291"/>
        <v>20.979999999999997</v>
      </c>
      <c r="X1387" s="19" t="str">
        <f t="shared" si="292"/>
        <v>True</v>
      </c>
      <c r="Y1387" s="19" t="str">
        <f>IF(OR(W1387&lt;'Cleaning Tasks'!$G$18,W1387&gt;'Cleaning Tasks'!$H$18),"Outlier","Normal")</f>
        <v>Normal</v>
      </c>
      <c r="Z1387" s="2" t="s">
        <v>39</v>
      </c>
      <c r="AA1387" s="2" t="s">
        <v>111</v>
      </c>
      <c r="AB1387" s="2" t="s">
        <v>41</v>
      </c>
      <c r="AC1387" s="2" t="s">
        <v>73</v>
      </c>
      <c r="AD1387" s="2"/>
      <c r="AE1387" s="2" t="str">
        <f t="shared" si="293"/>
        <v>Not Required</v>
      </c>
      <c r="AF1387" s="2" t="s">
        <v>3855</v>
      </c>
    </row>
    <row r="1388" spans="1:32" x14ac:dyDescent="0.3">
      <c r="A1388" s="2" t="s">
        <v>3856</v>
      </c>
      <c r="B1388" s="2">
        <f t="shared" si="283"/>
        <v>1</v>
      </c>
      <c r="C1388" s="12">
        <f t="shared" si="295"/>
        <v>46238</v>
      </c>
      <c r="D1388" s="13" t="s">
        <v>250</v>
      </c>
      <c r="E1388" s="2" t="s">
        <v>3470</v>
      </c>
      <c r="F1388" s="2" t="str">
        <f t="shared" si="284"/>
        <v>Missing Email</v>
      </c>
      <c r="G1388" s="2"/>
      <c r="H1388" s="2" t="s">
        <v>221</v>
      </c>
      <c r="I1388" s="2" t="s">
        <v>22</v>
      </c>
      <c r="J1388" s="2" t="s">
        <v>222</v>
      </c>
      <c r="K1388" s="2">
        <v>1</v>
      </c>
      <c r="L1388" s="2">
        <v>17.989999999999998</v>
      </c>
      <c r="M1388" s="19">
        <f t="shared" si="285"/>
        <v>17.989999999999998</v>
      </c>
      <c r="N1388" s="2" t="s">
        <v>203</v>
      </c>
      <c r="O1388" s="2" t="str">
        <f t="shared" si="286"/>
        <v>VIP15</v>
      </c>
      <c r="P1388" s="2">
        <v>2.7</v>
      </c>
      <c r="Q1388" s="19">
        <f t="shared" si="287"/>
        <v>2.7</v>
      </c>
      <c r="R1388" s="2" t="str">
        <f t="shared" si="288"/>
        <v>Number</v>
      </c>
      <c r="S1388" s="2">
        <v>5.99</v>
      </c>
      <c r="T1388" s="19">
        <f t="shared" si="289"/>
        <v>5.99</v>
      </c>
      <c r="U1388" s="2">
        <v>21.28</v>
      </c>
      <c r="V1388" s="19">
        <f t="shared" si="290"/>
        <v>21.28</v>
      </c>
      <c r="W1388" s="19">
        <f t="shared" si="291"/>
        <v>21.28</v>
      </c>
      <c r="X1388" s="19" t="str">
        <f t="shared" si="292"/>
        <v>True</v>
      </c>
      <c r="Y1388" s="19" t="str">
        <f>IF(OR(W1388&lt;'Cleaning Tasks'!$G$18,W1388&gt;'Cleaning Tasks'!$H$18),"Outlier","Normal")</f>
        <v>Normal</v>
      </c>
      <c r="Z1388" s="2" t="s">
        <v>26</v>
      </c>
      <c r="AA1388" s="2" t="s">
        <v>27</v>
      </c>
      <c r="AB1388" s="2" t="s">
        <v>50</v>
      </c>
      <c r="AC1388" s="2" t="s">
        <v>331</v>
      </c>
      <c r="AD1388" s="2"/>
      <c r="AE1388" s="2" t="str">
        <f t="shared" si="293"/>
        <v>Not Required</v>
      </c>
      <c r="AF1388" s="2" t="s">
        <v>3857</v>
      </c>
    </row>
    <row r="1389" spans="1:32" x14ac:dyDescent="0.3">
      <c r="A1389" s="2" t="s">
        <v>3858</v>
      </c>
      <c r="B1389" s="2">
        <f t="shared" si="283"/>
        <v>1</v>
      </c>
      <c r="C1389" s="12">
        <f t="shared" si="295"/>
        <v>46238.581776238418</v>
      </c>
      <c r="D1389" s="13">
        <v>46238.581776238418</v>
      </c>
      <c r="E1389" s="2" t="s">
        <v>417</v>
      </c>
      <c r="F1389" s="2" t="str">
        <f t="shared" si="284"/>
        <v>Email Available</v>
      </c>
      <c r="G1389" s="2" t="s">
        <v>418</v>
      </c>
      <c r="H1389" s="2" t="s">
        <v>35</v>
      </c>
      <c r="I1389" s="2" t="s">
        <v>36</v>
      </c>
      <c r="J1389" s="2" t="s">
        <v>37</v>
      </c>
      <c r="K1389" s="2">
        <v>1</v>
      </c>
      <c r="L1389" s="2">
        <v>21.99</v>
      </c>
      <c r="M1389" s="19">
        <f t="shared" si="285"/>
        <v>21.99</v>
      </c>
      <c r="N1389" s="2" t="s">
        <v>203</v>
      </c>
      <c r="O1389" s="2" t="str">
        <f t="shared" si="286"/>
        <v>VIP15</v>
      </c>
      <c r="P1389" s="2">
        <v>3.3</v>
      </c>
      <c r="Q1389" s="19">
        <f t="shared" si="287"/>
        <v>3.3</v>
      </c>
      <c r="R1389" s="2" t="str">
        <f t="shared" si="288"/>
        <v>Number</v>
      </c>
      <c r="S1389" s="2">
        <v>7.99</v>
      </c>
      <c r="T1389" s="19">
        <f t="shared" si="289"/>
        <v>7.99</v>
      </c>
      <c r="U1389" s="2">
        <v>26.68</v>
      </c>
      <c r="V1389" s="19">
        <f t="shared" si="290"/>
        <v>26.68</v>
      </c>
      <c r="W1389" s="19">
        <f t="shared" si="291"/>
        <v>26.68</v>
      </c>
      <c r="X1389" s="19" t="str">
        <f t="shared" si="292"/>
        <v>True</v>
      </c>
      <c r="Y1389" s="19" t="str">
        <f>IF(OR(W1389&lt;'Cleaning Tasks'!$G$18,W1389&gt;'Cleaning Tasks'!$H$18),"Outlier","Normal")</f>
        <v>Normal</v>
      </c>
      <c r="Z1389" s="2" t="s">
        <v>72</v>
      </c>
      <c r="AA1389" s="2" t="s">
        <v>27</v>
      </c>
      <c r="AB1389" s="2" t="s">
        <v>50</v>
      </c>
      <c r="AC1389" s="2" t="s">
        <v>29</v>
      </c>
      <c r="AD1389" s="2" t="s">
        <v>30</v>
      </c>
      <c r="AE1389" s="2" t="str">
        <f t="shared" si="293"/>
        <v>Valid</v>
      </c>
      <c r="AF1389" s="2" t="s">
        <v>3859</v>
      </c>
    </row>
    <row r="1390" spans="1:32" x14ac:dyDescent="0.3">
      <c r="A1390" s="2" t="s">
        <v>3860</v>
      </c>
      <c r="B1390" s="2">
        <f t="shared" si="283"/>
        <v>1</v>
      </c>
      <c r="C1390" s="12">
        <f t="shared" si="295"/>
        <v>46238</v>
      </c>
      <c r="D1390" s="13" t="s">
        <v>1554</v>
      </c>
      <c r="E1390" s="2" t="s">
        <v>1203</v>
      </c>
      <c r="F1390" s="2" t="str">
        <f t="shared" si="284"/>
        <v>Email Available</v>
      </c>
      <c r="G1390" s="2" t="s">
        <v>1204</v>
      </c>
      <c r="H1390" s="2" t="s">
        <v>166</v>
      </c>
      <c r="I1390" s="2" t="s">
        <v>103</v>
      </c>
      <c r="J1390" s="2" t="s">
        <v>167</v>
      </c>
      <c r="K1390" s="2">
        <v>4</v>
      </c>
      <c r="L1390" s="2">
        <v>32.99</v>
      </c>
      <c r="M1390" s="19">
        <f t="shared" si="285"/>
        <v>32.99</v>
      </c>
      <c r="N1390" s="2" t="s">
        <v>65</v>
      </c>
      <c r="O1390" s="2" t="str">
        <f t="shared" si="286"/>
        <v>WELCOME10</v>
      </c>
      <c r="P1390" s="2">
        <v>13.2</v>
      </c>
      <c r="Q1390" s="19">
        <f t="shared" si="287"/>
        <v>13.2</v>
      </c>
      <c r="R1390" s="2" t="str">
        <f t="shared" si="288"/>
        <v>Number</v>
      </c>
      <c r="S1390" s="2">
        <v>0</v>
      </c>
      <c r="T1390" s="19">
        <f t="shared" si="289"/>
        <v>0</v>
      </c>
      <c r="U1390" s="2">
        <v>118.76</v>
      </c>
      <c r="V1390" s="19">
        <f t="shared" si="290"/>
        <v>118.76</v>
      </c>
      <c r="W1390" s="19">
        <f t="shared" si="291"/>
        <v>118.76</v>
      </c>
      <c r="X1390" s="19" t="str">
        <f t="shared" si="292"/>
        <v>True</v>
      </c>
      <c r="Y1390" s="19" t="str">
        <f>IF(OR(W1390&lt;'Cleaning Tasks'!$G$18,W1390&gt;'Cleaning Tasks'!$H$18),"Outlier","Normal")</f>
        <v>Outlier</v>
      </c>
      <c r="Z1390" s="2" t="s">
        <v>39</v>
      </c>
      <c r="AA1390" s="2" t="s">
        <v>111</v>
      </c>
      <c r="AB1390" s="2" t="s">
        <v>96</v>
      </c>
      <c r="AC1390" s="2" t="s">
        <v>73</v>
      </c>
      <c r="AD1390" s="2"/>
      <c r="AE1390" s="2" t="str">
        <f t="shared" si="293"/>
        <v>Not Required</v>
      </c>
      <c r="AF1390" s="2" t="s">
        <v>852</v>
      </c>
    </row>
    <row r="1391" spans="1:32" x14ac:dyDescent="0.3">
      <c r="A1391" s="2" t="s">
        <v>3861</v>
      </c>
      <c r="B1391" s="2">
        <f t="shared" si="283"/>
        <v>1</v>
      </c>
      <c r="C1391" s="12">
        <f t="shared" si="295"/>
        <v>46238.585516620369</v>
      </c>
      <c r="D1391" s="13">
        <v>46238.585516620369</v>
      </c>
      <c r="E1391" s="2" t="s">
        <v>61</v>
      </c>
      <c r="F1391" s="2" t="str">
        <f t="shared" si="284"/>
        <v>Email Available</v>
      </c>
      <c r="G1391" s="2" t="s">
        <v>62</v>
      </c>
      <c r="H1391" s="2" t="s">
        <v>63</v>
      </c>
      <c r="I1391" s="2" t="s">
        <v>47</v>
      </c>
      <c r="J1391" s="2" t="s">
        <v>446</v>
      </c>
      <c r="K1391" s="2">
        <v>1</v>
      </c>
      <c r="L1391" s="2">
        <v>14.99</v>
      </c>
      <c r="M1391" s="19">
        <f t="shared" si="285"/>
        <v>14.99</v>
      </c>
      <c r="N1391" s="2" t="s">
        <v>38</v>
      </c>
      <c r="O1391" s="2" t="str">
        <f t="shared" si="286"/>
        <v>FREESHIP</v>
      </c>
      <c r="P1391" s="2">
        <v>0</v>
      </c>
      <c r="Q1391" s="19">
        <f t="shared" si="287"/>
        <v>0</v>
      </c>
      <c r="R1391" s="2" t="str">
        <f t="shared" si="288"/>
        <v>Number</v>
      </c>
      <c r="S1391" s="2">
        <v>0</v>
      </c>
      <c r="T1391" s="19">
        <f t="shared" si="289"/>
        <v>0</v>
      </c>
      <c r="U1391" s="2" t="s">
        <v>1465</v>
      </c>
      <c r="V1391" s="19">
        <f t="shared" si="290"/>
        <v>14.99</v>
      </c>
      <c r="W1391" s="19">
        <f t="shared" si="291"/>
        <v>14.99</v>
      </c>
      <c r="X1391" s="19" t="str">
        <f t="shared" si="292"/>
        <v>True</v>
      </c>
      <c r="Y1391" s="19" t="str">
        <f>IF(OR(W1391&lt;'Cleaning Tasks'!$G$18,W1391&gt;'Cleaning Tasks'!$H$18),"Outlier","Normal")</f>
        <v>Normal</v>
      </c>
      <c r="Z1391" s="2" t="s">
        <v>26</v>
      </c>
      <c r="AA1391" s="2" t="s">
        <v>40</v>
      </c>
      <c r="AB1391" s="2" t="s">
        <v>50</v>
      </c>
      <c r="AC1391" s="2" t="s">
        <v>29</v>
      </c>
      <c r="AD1391" s="22" t="s">
        <v>89</v>
      </c>
      <c r="AE1391" s="2" t="str">
        <f t="shared" si="293"/>
        <v>Valid</v>
      </c>
      <c r="AF1391" s="2" t="s">
        <v>3862</v>
      </c>
    </row>
    <row r="1392" spans="1:32" x14ac:dyDescent="0.3">
      <c r="A1392" s="2" t="s">
        <v>3863</v>
      </c>
      <c r="B1392" s="2">
        <f t="shared" si="283"/>
        <v>1</v>
      </c>
      <c r="C1392" s="12">
        <f t="shared" si="295"/>
        <v>46238.58191390046</v>
      </c>
      <c r="D1392" s="13">
        <v>46238.58191390046</v>
      </c>
      <c r="E1392" s="2" t="s">
        <v>1349</v>
      </c>
      <c r="F1392" s="2" t="str">
        <f t="shared" si="284"/>
        <v>Email Available</v>
      </c>
      <c r="G1392" s="2" t="s">
        <v>1350</v>
      </c>
      <c r="H1392" s="2" t="s">
        <v>190</v>
      </c>
      <c r="I1392" s="2" t="s">
        <v>191</v>
      </c>
      <c r="J1392" s="2" t="s">
        <v>192</v>
      </c>
      <c r="K1392" s="2">
        <v>1</v>
      </c>
      <c r="L1392" s="2">
        <v>13.49</v>
      </c>
      <c r="M1392" s="19">
        <f t="shared" si="285"/>
        <v>13.49</v>
      </c>
      <c r="N1392" s="2"/>
      <c r="O1392" s="2" t="str">
        <f t="shared" si="286"/>
        <v/>
      </c>
      <c r="P1392" s="2">
        <v>0</v>
      </c>
      <c r="Q1392" s="19">
        <f t="shared" si="287"/>
        <v>0</v>
      </c>
      <c r="R1392" s="2" t="str">
        <f t="shared" si="288"/>
        <v>Number</v>
      </c>
      <c r="S1392" s="2">
        <v>4.99</v>
      </c>
      <c r="T1392" s="19">
        <f t="shared" si="289"/>
        <v>4.99</v>
      </c>
      <c r="U1392" s="2">
        <v>18.48</v>
      </c>
      <c r="V1392" s="19">
        <f t="shared" si="290"/>
        <v>18.48</v>
      </c>
      <c r="W1392" s="19">
        <f t="shared" si="291"/>
        <v>18.48</v>
      </c>
      <c r="X1392" s="19" t="str">
        <f t="shared" si="292"/>
        <v>True</v>
      </c>
      <c r="Y1392" s="19" t="str">
        <f>IF(OR(W1392&lt;'Cleaning Tasks'!$G$18,W1392&gt;'Cleaning Tasks'!$H$18),"Outlier","Normal")</f>
        <v>Normal</v>
      </c>
      <c r="Z1392" s="2" t="s">
        <v>26</v>
      </c>
      <c r="AA1392" s="2" t="s">
        <v>27</v>
      </c>
      <c r="AB1392" s="2" t="s">
        <v>96</v>
      </c>
      <c r="AC1392" s="2" t="s">
        <v>42</v>
      </c>
      <c r="AD1392" s="2"/>
      <c r="AE1392" s="2" t="str">
        <f t="shared" si="293"/>
        <v>Not Required</v>
      </c>
      <c r="AF1392" s="2" t="s">
        <v>3864</v>
      </c>
    </row>
    <row r="1393" spans="1:32" x14ac:dyDescent="0.3">
      <c r="A1393" s="2" t="s">
        <v>3865</v>
      </c>
      <c r="B1393" s="2">
        <f t="shared" si="283"/>
        <v>1</v>
      </c>
      <c r="C1393" s="12">
        <f t="shared" si="295"/>
        <v>46238.579140277783</v>
      </c>
      <c r="D1393" s="13">
        <v>46238.579140277783</v>
      </c>
      <c r="E1393" s="2" t="s">
        <v>128</v>
      </c>
      <c r="F1393" s="2" t="str">
        <f t="shared" si="284"/>
        <v>Email Available</v>
      </c>
      <c r="G1393" s="2" t="s">
        <v>129</v>
      </c>
      <c r="H1393" s="2" t="s">
        <v>46</v>
      </c>
      <c r="I1393" s="2" t="s">
        <v>47</v>
      </c>
      <c r="J1393" s="2" t="s">
        <v>48</v>
      </c>
      <c r="K1393" s="2">
        <v>1</v>
      </c>
      <c r="L1393" s="2" t="s">
        <v>1493</v>
      </c>
      <c r="M1393" s="19">
        <f t="shared" si="285"/>
        <v>39.99</v>
      </c>
      <c r="N1393" s="2" t="s">
        <v>118</v>
      </c>
      <c r="O1393" s="2" t="str">
        <f t="shared" si="286"/>
        <v>BFCM25</v>
      </c>
      <c r="P1393" s="2">
        <v>10</v>
      </c>
      <c r="Q1393" s="19">
        <f t="shared" si="287"/>
        <v>10</v>
      </c>
      <c r="R1393" s="2" t="str">
        <f t="shared" si="288"/>
        <v>Number</v>
      </c>
      <c r="S1393" s="2">
        <v>5.99</v>
      </c>
      <c r="T1393" s="19">
        <f t="shared" si="289"/>
        <v>5.99</v>
      </c>
      <c r="U1393" s="2">
        <v>35.979999999999997</v>
      </c>
      <c r="V1393" s="19">
        <f t="shared" si="290"/>
        <v>35.979999999999997</v>
      </c>
      <c r="W1393" s="19">
        <f t="shared" si="291"/>
        <v>35.980000000000004</v>
      </c>
      <c r="X1393" s="19" t="str">
        <f t="shared" si="292"/>
        <v>True</v>
      </c>
      <c r="Y1393" s="19" t="str">
        <f>IF(OR(W1393&lt;'Cleaning Tasks'!$G$18,W1393&gt;'Cleaning Tasks'!$H$18),"Outlier","Normal")</f>
        <v>Normal</v>
      </c>
      <c r="Z1393" s="2" t="s">
        <v>39</v>
      </c>
      <c r="AA1393" s="2" t="s">
        <v>40</v>
      </c>
      <c r="AB1393" s="2" t="s">
        <v>41</v>
      </c>
      <c r="AC1393" s="2" t="s">
        <v>29</v>
      </c>
      <c r="AD1393" s="2" t="s">
        <v>51</v>
      </c>
      <c r="AE1393" s="2" t="str">
        <f t="shared" si="293"/>
        <v>Valid</v>
      </c>
      <c r="AF1393" s="2" t="s">
        <v>3866</v>
      </c>
    </row>
    <row r="1394" spans="1:32" x14ac:dyDescent="0.3">
      <c r="A1394" s="2" t="s">
        <v>3867</v>
      </c>
      <c r="B1394" s="2">
        <f t="shared" si="283"/>
        <v>1</v>
      </c>
      <c r="C1394" s="12">
        <f t="shared" si="295"/>
        <v>46238</v>
      </c>
      <c r="D1394" s="13" t="s">
        <v>143</v>
      </c>
      <c r="E1394" s="2" t="s">
        <v>3868</v>
      </c>
      <c r="F1394" s="2" t="str">
        <f t="shared" si="284"/>
        <v>Email Available</v>
      </c>
      <c r="G1394" s="2" t="s">
        <v>3869</v>
      </c>
      <c r="H1394" s="2" t="s">
        <v>102</v>
      </c>
      <c r="I1394" s="2" t="s">
        <v>103</v>
      </c>
      <c r="J1394" s="2" t="s">
        <v>104</v>
      </c>
      <c r="K1394" s="2">
        <v>1</v>
      </c>
      <c r="L1394" s="2">
        <v>19.989999999999998</v>
      </c>
      <c r="M1394" s="19">
        <f t="shared" si="285"/>
        <v>19.989999999999998</v>
      </c>
      <c r="N1394" s="2" t="s">
        <v>24</v>
      </c>
      <c r="O1394" s="2" t="str">
        <f t="shared" si="286"/>
        <v>SAVE20</v>
      </c>
      <c r="P1394" s="2">
        <v>4</v>
      </c>
      <c r="Q1394" s="19">
        <f t="shared" si="287"/>
        <v>4</v>
      </c>
      <c r="R1394" s="2" t="str">
        <f t="shared" si="288"/>
        <v>Number</v>
      </c>
      <c r="S1394" s="2">
        <v>7.99</v>
      </c>
      <c r="T1394" s="19">
        <f t="shared" si="289"/>
        <v>7.99</v>
      </c>
      <c r="U1394" s="2">
        <v>23.98</v>
      </c>
      <c r="V1394" s="19">
        <f t="shared" si="290"/>
        <v>23.98</v>
      </c>
      <c r="W1394" s="19">
        <f t="shared" si="291"/>
        <v>23.979999999999997</v>
      </c>
      <c r="X1394" s="19" t="str">
        <f t="shared" si="292"/>
        <v>True</v>
      </c>
      <c r="Y1394" s="19" t="str">
        <f>IF(OR(W1394&lt;'Cleaning Tasks'!$G$18,W1394&gt;'Cleaning Tasks'!$H$18),"Outlier","Normal")</f>
        <v>Normal</v>
      </c>
      <c r="Z1394" s="2" t="s">
        <v>26</v>
      </c>
      <c r="AA1394" s="2" t="s">
        <v>27</v>
      </c>
      <c r="AB1394" s="2" t="s">
        <v>28</v>
      </c>
      <c r="AC1394" s="2" t="s">
        <v>29</v>
      </c>
      <c r="AD1394" s="2" t="s">
        <v>67</v>
      </c>
      <c r="AE1394" s="2" t="str">
        <f t="shared" si="293"/>
        <v>Valid</v>
      </c>
      <c r="AF1394" s="2" t="s">
        <v>3870</v>
      </c>
    </row>
    <row r="1395" spans="1:32" x14ac:dyDescent="0.3">
      <c r="A1395" s="2" t="s">
        <v>3871</v>
      </c>
      <c r="B1395" s="2">
        <f t="shared" si="283"/>
        <v>1</v>
      </c>
      <c r="C1395" s="12">
        <f t="shared" si="295"/>
        <v>46238.579505347217</v>
      </c>
      <c r="D1395" s="13">
        <v>46238.579505347217</v>
      </c>
      <c r="E1395" s="2" t="s">
        <v>602</v>
      </c>
      <c r="F1395" s="2" t="str">
        <f t="shared" si="284"/>
        <v>Email Available</v>
      </c>
      <c r="G1395" s="2" t="s">
        <v>603</v>
      </c>
      <c r="H1395" s="2" t="s">
        <v>236</v>
      </c>
      <c r="I1395" s="2" t="s">
        <v>237</v>
      </c>
      <c r="J1395" s="2" t="s">
        <v>238</v>
      </c>
      <c r="K1395" s="2">
        <v>2</v>
      </c>
      <c r="L1395" s="2">
        <v>27.99</v>
      </c>
      <c r="M1395" s="19">
        <f t="shared" si="285"/>
        <v>27.99</v>
      </c>
      <c r="N1395" s="2" t="s">
        <v>203</v>
      </c>
      <c r="O1395" s="2" t="str">
        <f t="shared" si="286"/>
        <v>VIP15</v>
      </c>
      <c r="P1395" s="2" t="s">
        <v>3872</v>
      </c>
      <c r="Q1395" s="19">
        <f t="shared" si="287"/>
        <v>8.4</v>
      </c>
      <c r="R1395" s="2" t="str">
        <f t="shared" si="288"/>
        <v>Number</v>
      </c>
      <c r="S1395" s="2">
        <v>4.99</v>
      </c>
      <c r="T1395" s="19">
        <f t="shared" si="289"/>
        <v>4.99</v>
      </c>
      <c r="U1395" s="2" t="s">
        <v>3873</v>
      </c>
      <c r="V1395" s="19">
        <f t="shared" si="290"/>
        <v>52.57</v>
      </c>
      <c r="W1395" s="19">
        <f t="shared" si="291"/>
        <v>52.57</v>
      </c>
      <c r="X1395" s="19" t="str">
        <f t="shared" si="292"/>
        <v>True</v>
      </c>
      <c r="Y1395" s="19" t="str">
        <f>IF(OR(W1395&lt;'Cleaning Tasks'!$G$18,W1395&gt;'Cleaning Tasks'!$H$18),"Outlier","Normal")</f>
        <v>Normal</v>
      </c>
      <c r="Z1395" s="2" t="s">
        <v>66</v>
      </c>
      <c r="AA1395" s="2" t="s">
        <v>88</v>
      </c>
      <c r="AB1395" s="2" t="s">
        <v>50</v>
      </c>
      <c r="AC1395" s="2" t="s">
        <v>42</v>
      </c>
      <c r="AD1395" s="2"/>
      <c r="AE1395" s="2" t="str">
        <f t="shared" si="293"/>
        <v>Not Required</v>
      </c>
      <c r="AF1395" s="2" t="s">
        <v>3874</v>
      </c>
    </row>
    <row r="1396" spans="1:32" x14ac:dyDescent="0.3">
      <c r="A1396" s="2" t="s">
        <v>3875</v>
      </c>
      <c r="B1396" s="2">
        <f t="shared" si="283"/>
        <v>1</v>
      </c>
      <c r="C1396" s="12">
        <f t="shared" si="295"/>
        <v>46238.579314490737</v>
      </c>
      <c r="D1396" s="13">
        <v>46238.579314490737</v>
      </c>
      <c r="E1396" s="2" t="s">
        <v>291</v>
      </c>
      <c r="F1396" s="2" t="str">
        <f t="shared" si="284"/>
        <v>Email Available</v>
      </c>
      <c r="G1396" s="2" t="s">
        <v>292</v>
      </c>
      <c r="H1396" s="2" t="s">
        <v>309</v>
      </c>
      <c r="I1396" s="2" t="s">
        <v>36</v>
      </c>
      <c r="J1396" s="2" t="s">
        <v>310</v>
      </c>
      <c r="K1396" s="2">
        <v>1</v>
      </c>
      <c r="L1396" s="2">
        <v>8.99</v>
      </c>
      <c r="M1396" s="19">
        <f t="shared" si="285"/>
        <v>8.99</v>
      </c>
      <c r="N1396" s="2"/>
      <c r="O1396" s="2" t="str">
        <f t="shared" si="286"/>
        <v/>
      </c>
      <c r="P1396" s="2" t="s">
        <v>184</v>
      </c>
      <c r="Q1396" s="19">
        <f t="shared" si="287"/>
        <v>0</v>
      </c>
      <c r="R1396" s="2" t="str">
        <f t="shared" si="288"/>
        <v>Number</v>
      </c>
      <c r="S1396" s="2">
        <v>7.99</v>
      </c>
      <c r="T1396" s="19">
        <f t="shared" si="289"/>
        <v>7.99</v>
      </c>
      <c r="U1396" s="2">
        <v>16.98</v>
      </c>
      <c r="V1396" s="19">
        <f t="shared" si="290"/>
        <v>16.98</v>
      </c>
      <c r="W1396" s="19">
        <f t="shared" si="291"/>
        <v>16.98</v>
      </c>
      <c r="X1396" s="19" t="str">
        <f t="shared" si="292"/>
        <v>True</v>
      </c>
      <c r="Y1396" s="19" t="str">
        <f>IF(OR(W1396&lt;'Cleaning Tasks'!$G$18,W1396&gt;'Cleaning Tasks'!$H$18),"Outlier","Normal")</f>
        <v>Normal</v>
      </c>
      <c r="Z1396" s="2" t="s">
        <v>72</v>
      </c>
      <c r="AA1396" s="2" t="s">
        <v>27</v>
      </c>
      <c r="AB1396" s="2" t="s">
        <v>50</v>
      </c>
      <c r="AC1396" s="2" t="s">
        <v>223</v>
      </c>
      <c r="AD1396" s="2"/>
      <c r="AE1396" s="2" t="str">
        <f t="shared" si="293"/>
        <v>Not Required</v>
      </c>
      <c r="AF1396" s="2" t="s">
        <v>3876</v>
      </c>
    </row>
    <row r="1397" spans="1:32" x14ac:dyDescent="0.3">
      <c r="A1397" s="2" t="s">
        <v>3877</v>
      </c>
      <c r="B1397" s="2">
        <f t="shared" si="283"/>
        <v>1</v>
      </c>
      <c r="C1397" s="12">
        <f t="shared" si="295"/>
        <v>46238.587350902781</v>
      </c>
      <c r="D1397" s="13">
        <v>46238.587350902781</v>
      </c>
      <c r="E1397" s="2" t="s">
        <v>1035</v>
      </c>
      <c r="F1397" s="2" t="str">
        <f t="shared" si="284"/>
        <v>Email Available</v>
      </c>
      <c r="G1397" s="2" t="s">
        <v>1036</v>
      </c>
      <c r="H1397" s="2" t="s">
        <v>117</v>
      </c>
      <c r="I1397" s="2" t="s">
        <v>22</v>
      </c>
      <c r="J1397" s="2" t="s">
        <v>23</v>
      </c>
      <c r="K1397" s="2">
        <v>3</v>
      </c>
      <c r="L1397" s="2" t="s">
        <v>1148</v>
      </c>
      <c r="M1397" s="19">
        <f t="shared" si="285"/>
        <v>12.99</v>
      </c>
      <c r="N1397" s="2"/>
      <c r="O1397" s="2" t="str">
        <f t="shared" si="286"/>
        <v/>
      </c>
      <c r="P1397" s="2">
        <v>0</v>
      </c>
      <c r="Q1397" s="19">
        <f t="shared" si="287"/>
        <v>0</v>
      </c>
      <c r="R1397" s="2" t="str">
        <f t="shared" si="288"/>
        <v>Number</v>
      </c>
      <c r="S1397" s="2">
        <v>4.99</v>
      </c>
      <c r="T1397" s="19">
        <f t="shared" si="289"/>
        <v>4.99</v>
      </c>
      <c r="U1397" s="2">
        <v>43.96</v>
      </c>
      <c r="V1397" s="19">
        <f t="shared" si="290"/>
        <v>43.96</v>
      </c>
      <c r="W1397" s="19">
        <f t="shared" si="291"/>
        <v>43.96</v>
      </c>
      <c r="X1397" s="19" t="str">
        <f t="shared" si="292"/>
        <v>True</v>
      </c>
      <c r="Y1397" s="19" t="str">
        <f>IF(OR(W1397&lt;'Cleaning Tasks'!$G$18,W1397&gt;'Cleaning Tasks'!$H$18),"Outlier","Normal")</f>
        <v>Normal</v>
      </c>
      <c r="Z1397" s="2" t="s">
        <v>72</v>
      </c>
      <c r="AA1397" s="2" t="s">
        <v>27</v>
      </c>
      <c r="AB1397" s="2" t="s">
        <v>50</v>
      </c>
      <c r="AC1397" s="2" t="s">
        <v>29</v>
      </c>
      <c r="AD1397" s="2" t="s">
        <v>51</v>
      </c>
      <c r="AE1397" s="2" t="str">
        <f t="shared" si="293"/>
        <v>Valid</v>
      </c>
      <c r="AF1397" s="2" t="s">
        <v>3878</v>
      </c>
    </row>
    <row r="1398" spans="1:32" x14ac:dyDescent="0.3">
      <c r="A1398" s="2" t="s">
        <v>3879</v>
      </c>
      <c r="B1398" s="2">
        <f t="shared" si="283"/>
        <v>1</v>
      </c>
      <c r="C1398" s="12">
        <f t="shared" si="295"/>
        <v>46238.585198321758</v>
      </c>
      <c r="D1398" s="13">
        <v>46238.585198321758</v>
      </c>
      <c r="E1398" s="2" t="s">
        <v>1455</v>
      </c>
      <c r="F1398" s="2" t="str">
        <f t="shared" si="284"/>
        <v>Email Available</v>
      </c>
      <c r="G1398" s="2" t="s">
        <v>1279</v>
      </c>
      <c r="H1398" s="2" t="s">
        <v>261</v>
      </c>
      <c r="I1398" s="2" t="s">
        <v>36</v>
      </c>
      <c r="J1398" s="2" t="s">
        <v>262</v>
      </c>
      <c r="K1398" s="2">
        <v>1</v>
      </c>
      <c r="L1398" s="2">
        <v>15.49</v>
      </c>
      <c r="M1398" s="19">
        <f t="shared" si="285"/>
        <v>15.49</v>
      </c>
      <c r="N1398" s="2"/>
      <c r="O1398" s="2" t="str">
        <f t="shared" si="286"/>
        <v/>
      </c>
      <c r="P1398" s="2">
        <v>0</v>
      </c>
      <c r="Q1398" s="19">
        <f t="shared" si="287"/>
        <v>0</v>
      </c>
      <c r="R1398" s="2" t="str">
        <f t="shared" si="288"/>
        <v>Number</v>
      </c>
      <c r="S1398" s="2">
        <v>5.99</v>
      </c>
      <c r="T1398" s="19">
        <f t="shared" si="289"/>
        <v>5.99</v>
      </c>
      <c r="U1398" s="2">
        <v>21.48</v>
      </c>
      <c r="V1398" s="19">
        <f t="shared" si="290"/>
        <v>21.48</v>
      </c>
      <c r="W1398" s="19">
        <f t="shared" si="291"/>
        <v>21.48</v>
      </c>
      <c r="X1398" s="19" t="str">
        <f t="shared" si="292"/>
        <v>True</v>
      </c>
      <c r="Y1398" s="19" t="str">
        <f>IF(OR(W1398&lt;'Cleaning Tasks'!$G$18,W1398&gt;'Cleaning Tasks'!$H$18),"Outlier","Normal")</f>
        <v>Normal</v>
      </c>
      <c r="Z1398" s="2" t="s">
        <v>72</v>
      </c>
      <c r="AA1398" s="2" t="s">
        <v>111</v>
      </c>
      <c r="AB1398" s="2" t="s">
        <v>28</v>
      </c>
      <c r="AC1398" s="2" t="s">
        <v>29</v>
      </c>
      <c r="AD1398" s="22" t="s">
        <v>112</v>
      </c>
      <c r="AE1398" s="2" t="str">
        <f t="shared" si="293"/>
        <v>Valid</v>
      </c>
      <c r="AF1398" s="2" t="s">
        <v>3880</v>
      </c>
    </row>
    <row r="1399" spans="1:32" x14ac:dyDescent="0.3">
      <c r="A1399" s="2" t="s">
        <v>3881</v>
      </c>
      <c r="B1399" s="2">
        <f t="shared" si="283"/>
        <v>1</v>
      </c>
      <c r="C1399" s="12">
        <f t="shared" si="295"/>
        <v>46238</v>
      </c>
      <c r="D1399" s="13" t="s">
        <v>143</v>
      </c>
      <c r="E1399" s="2" t="s">
        <v>1265</v>
      </c>
      <c r="F1399" s="2" t="str">
        <f t="shared" si="284"/>
        <v>Email Available</v>
      </c>
      <c r="G1399" s="2" t="s">
        <v>1266</v>
      </c>
      <c r="H1399" s="2" t="s">
        <v>221</v>
      </c>
      <c r="I1399" s="2" t="s">
        <v>22</v>
      </c>
      <c r="J1399" s="2" t="s">
        <v>222</v>
      </c>
      <c r="K1399" s="2">
        <v>1</v>
      </c>
      <c r="L1399" s="2">
        <v>17.989999999999998</v>
      </c>
      <c r="M1399" s="19">
        <f t="shared" si="285"/>
        <v>17.989999999999998</v>
      </c>
      <c r="N1399" s="2" t="s">
        <v>38</v>
      </c>
      <c r="O1399" s="2" t="str">
        <f t="shared" si="286"/>
        <v>FREESHIP</v>
      </c>
      <c r="P1399" s="2">
        <v>0</v>
      </c>
      <c r="Q1399" s="19">
        <f t="shared" si="287"/>
        <v>0</v>
      </c>
      <c r="R1399" s="2" t="str">
        <f t="shared" si="288"/>
        <v>Number</v>
      </c>
      <c r="S1399" s="2">
        <v>0</v>
      </c>
      <c r="T1399" s="19">
        <f t="shared" si="289"/>
        <v>0</v>
      </c>
      <c r="U1399" s="2">
        <v>17.989999999999998</v>
      </c>
      <c r="V1399" s="19">
        <f t="shared" si="290"/>
        <v>17.989999999999998</v>
      </c>
      <c r="W1399" s="19">
        <f t="shared" si="291"/>
        <v>17.989999999999998</v>
      </c>
      <c r="X1399" s="19" t="str">
        <f t="shared" si="292"/>
        <v>True</v>
      </c>
      <c r="Y1399" s="19" t="str">
        <f>IF(OR(W1399&lt;'Cleaning Tasks'!$G$18,W1399&gt;'Cleaning Tasks'!$H$18),"Outlier","Normal")</f>
        <v>Normal</v>
      </c>
      <c r="Z1399" s="2" t="s">
        <v>26</v>
      </c>
      <c r="AA1399" s="2" t="s">
        <v>111</v>
      </c>
      <c r="AB1399" s="2" t="s">
        <v>28</v>
      </c>
      <c r="AC1399" s="2" t="s">
        <v>29</v>
      </c>
      <c r="AD1399" s="2" t="s">
        <v>112</v>
      </c>
      <c r="AE1399" s="2" t="str">
        <f t="shared" si="293"/>
        <v>Valid</v>
      </c>
      <c r="AF1399" s="2" t="s">
        <v>3882</v>
      </c>
    </row>
    <row r="1400" spans="1:32" x14ac:dyDescent="0.3">
      <c r="A1400" s="2" t="s">
        <v>3883</v>
      </c>
      <c r="B1400" s="2">
        <f t="shared" si="283"/>
        <v>1</v>
      </c>
      <c r="C1400" s="12">
        <f t="shared" si="295"/>
        <v>46238</v>
      </c>
      <c r="D1400" s="13">
        <v>46238</v>
      </c>
      <c r="E1400" s="2" t="s">
        <v>3207</v>
      </c>
      <c r="F1400" s="2" t="str">
        <f t="shared" si="284"/>
        <v>Email Available</v>
      </c>
      <c r="G1400" s="2" t="s">
        <v>3208</v>
      </c>
      <c r="H1400" s="2" t="s">
        <v>130</v>
      </c>
      <c r="I1400" s="2" t="s">
        <v>103</v>
      </c>
      <c r="J1400" s="2" t="s">
        <v>131</v>
      </c>
      <c r="K1400" s="2">
        <v>3</v>
      </c>
      <c r="L1400" s="2">
        <v>16.989999999999998</v>
      </c>
      <c r="M1400" s="19">
        <f t="shared" si="285"/>
        <v>16.989999999999998</v>
      </c>
      <c r="N1400" s="2" t="s">
        <v>203</v>
      </c>
      <c r="O1400" s="2" t="str">
        <f t="shared" si="286"/>
        <v>VIP15</v>
      </c>
      <c r="P1400" s="2">
        <v>7.65</v>
      </c>
      <c r="Q1400" s="19">
        <f t="shared" si="287"/>
        <v>7.65</v>
      </c>
      <c r="R1400" s="2" t="str">
        <f t="shared" si="288"/>
        <v>Number</v>
      </c>
      <c r="S1400" s="2">
        <v>5.99</v>
      </c>
      <c r="T1400" s="19">
        <f t="shared" si="289"/>
        <v>5.99</v>
      </c>
      <c r="U1400" s="2" t="s">
        <v>3884</v>
      </c>
      <c r="V1400" s="19">
        <f t="shared" si="290"/>
        <v>49.31</v>
      </c>
      <c r="W1400" s="19">
        <f t="shared" si="291"/>
        <v>49.31</v>
      </c>
      <c r="X1400" s="19" t="str">
        <f t="shared" si="292"/>
        <v>True</v>
      </c>
      <c r="Y1400" s="19" t="str">
        <f>IF(OR(W1400&lt;'Cleaning Tasks'!$G$18,W1400&gt;'Cleaning Tasks'!$H$18),"Outlier","Normal")</f>
        <v>Normal</v>
      </c>
      <c r="Z1400" s="2" t="s">
        <v>26</v>
      </c>
      <c r="AA1400" s="2" t="s">
        <v>27</v>
      </c>
      <c r="AB1400" s="2" t="s">
        <v>50</v>
      </c>
      <c r="AC1400" s="2" t="s">
        <v>105</v>
      </c>
      <c r="AD1400" s="2"/>
      <c r="AE1400" s="2" t="str">
        <f t="shared" si="293"/>
        <v>Not Required</v>
      </c>
      <c r="AF1400" s="2" t="s">
        <v>3885</v>
      </c>
    </row>
    <row r="1401" spans="1:32" x14ac:dyDescent="0.3">
      <c r="A1401" s="2" t="s">
        <v>3886</v>
      </c>
      <c r="B1401" s="2">
        <f t="shared" si="283"/>
        <v>1</v>
      </c>
      <c r="C1401" s="12">
        <f t="shared" si="295"/>
        <v>46238</v>
      </c>
      <c r="D1401" s="13" t="s">
        <v>143</v>
      </c>
      <c r="E1401" s="2" t="s">
        <v>1886</v>
      </c>
      <c r="F1401" s="2" t="str">
        <f t="shared" si="284"/>
        <v>Email Available</v>
      </c>
      <c r="G1401" s="2" t="s">
        <v>1887</v>
      </c>
      <c r="H1401" s="2" t="s">
        <v>221</v>
      </c>
      <c r="I1401" s="2" t="s">
        <v>22</v>
      </c>
      <c r="J1401" s="2" t="s">
        <v>222</v>
      </c>
      <c r="K1401" s="2">
        <v>2</v>
      </c>
      <c r="L1401" s="2">
        <v>17.989999999999998</v>
      </c>
      <c r="M1401" s="19">
        <f t="shared" si="285"/>
        <v>17.989999999999998</v>
      </c>
      <c r="N1401" s="2"/>
      <c r="O1401" s="2" t="str">
        <f t="shared" si="286"/>
        <v/>
      </c>
      <c r="P1401" s="2">
        <v>0</v>
      </c>
      <c r="Q1401" s="19">
        <f t="shared" si="287"/>
        <v>0</v>
      </c>
      <c r="R1401" s="2" t="str">
        <f t="shared" si="288"/>
        <v>Number</v>
      </c>
      <c r="S1401" s="2">
        <v>4.99</v>
      </c>
      <c r="T1401" s="19">
        <f t="shared" si="289"/>
        <v>4.99</v>
      </c>
      <c r="U1401" s="2">
        <v>40.97</v>
      </c>
      <c r="V1401" s="19">
        <f t="shared" si="290"/>
        <v>40.97</v>
      </c>
      <c r="W1401" s="19">
        <f t="shared" si="291"/>
        <v>40.97</v>
      </c>
      <c r="X1401" s="19" t="str">
        <f t="shared" si="292"/>
        <v>True</v>
      </c>
      <c r="Y1401" s="19" t="str">
        <f>IF(OR(W1401&lt;'Cleaning Tasks'!$G$18,W1401&gt;'Cleaning Tasks'!$H$18),"Outlier","Normal")</f>
        <v>Normal</v>
      </c>
      <c r="Z1401" s="2" t="s">
        <v>66</v>
      </c>
      <c r="AA1401" s="2" t="s">
        <v>111</v>
      </c>
      <c r="AB1401" s="2" t="s">
        <v>96</v>
      </c>
      <c r="AC1401" s="2" t="s">
        <v>223</v>
      </c>
      <c r="AD1401" s="2"/>
      <c r="AE1401" s="2" t="str">
        <f t="shared" si="293"/>
        <v>Not Required</v>
      </c>
      <c r="AF1401" s="2" t="s">
        <v>1668</v>
      </c>
    </row>
    <row r="1402" spans="1:32" x14ac:dyDescent="0.3">
      <c r="A1402" s="2" t="s">
        <v>3887</v>
      </c>
      <c r="B1402" s="2">
        <f t="shared" si="283"/>
        <v>1</v>
      </c>
      <c r="C1402" s="12">
        <f t="shared" si="295"/>
        <v>46238.585178043977</v>
      </c>
      <c r="D1402" s="13">
        <v>46238.585178043977</v>
      </c>
      <c r="E1402" s="2" t="s">
        <v>3888</v>
      </c>
      <c r="F1402" s="2" t="str">
        <f t="shared" si="284"/>
        <v>Email Available</v>
      </c>
      <c r="G1402" s="2" t="s">
        <v>3889</v>
      </c>
      <c r="H1402" s="2" t="s">
        <v>63</v>
      </c>
      <c r="I1402" s="2" t="s">
        <v>47</v>
      </c>
      <c r="J1402" s="2" t="s">
        <v>446</v>
      </c>
      <c r="K1402" s="2">
        <v>1</v>
      </c>
      <c r="L1402" s="2">
        <v>14.99</v>
      </c>
      <c r="M1402" s="19">
        <f t="shared" si="285"/>
        <v>14.99</v>
      </c>
      <c r="N1402" s="2" t="s">
        <v>118</v>
      </c>
      <c r="O1402" s="2" t="str">
        <f t="shared" si="286"/>
        <v>BFCM25</v>
      </c>
      <c r="P1402" s="2">
        <v>3.75</v>
      </c>
      <c r="Q1402" s="19">
        <f t="shared" si="287"/>
        <v>3.75</v>
      </c>
      <c r="R1402" s="2" t="str">
        <f t="shared" si="288"/>
        <v>Number</v>
      </c>
      <c r="S1402" s="2">
        <v>4.99</v>
      </c>
      <c r="T1402" s="19">
        <f t="shared" si="289"/>
        <v>4.99</v>
      </c>
      <c r="U1402" s="2">
        <v>16.23</v>
      </c>
      <c r="V1402" s="19">
        <f t="shared" si="290"/>
        <v>16.23</v>
      </c>
      <c r="W1402" s="19">
        <f t="shared" si="291"/>
        <v>16.23</v>
      </c>
      <c r="X1402" s="19" t="str">
        <f t="shared" si="292"/>
        <v>True</v>
      </c>
      <c r="Y1402" s="19" t="str">
        <f>IF(OR(W1402&lt;'Cleaning Tasks'!$G$18,W1402&gt;'Cleaning Tasks'!$H$18),"Outlier","Normal")</f>
        <v>Normal</v>
      </c>
      <c r="Z1402" s="2" t="s">
        <v>26</v>
      </c>
      <c r="AA1402" s="2" t="s">
        <v>27</v>
      </c>
      <c r="AB1402" s="2" t="s">
        <v>96</v>
      </c>
      <c r="AC1402" s="2" t="s">
        <v>29</v>
      </c>
      <c r="AD1402" s="2" t="s">
        <v>112</v>
      </c>
      <c r="AE1402" s="2" t="str">
        <f t="shared" si="293"/>
        <v>Valid</v>
      </c>
      <c r="AF1402" s="2" t="s">
        <v>3890</v>
      </c>
    </row>
    <row r="1403" spans="1:32" x14ac:dyDescent="0.3">
      <c r="A1403" s="2" t="s">
        <v>3891</v>
      </c>
      <c r="B1403" s="2">
        <f t="shared" si="283"/>
        <v>1</v>
      </c>
      <c r="C1403" s="12">
        <f t="shared" si="295"/>
        <v>46238.587116296287</v>
      </c>
      <c r="D1403" s="13">
        <v>46238.587116296287</v>
      </c>
      <c r="E1403" s="2" t="s">
        <v>815</v>
      </c>
      <c r="F1403" s="2" t="str">
        <f t="shared" si="284"/>
        <v>Email Available</v>
      </c>
      <c r="G1403" s="2" t="s">
        <v>816</v>
      </c>
      <c r="H1403" s="2" t="s">
        <v>361</v>
      </c>
      <c r="I1403" s="2" t="s">
        <v>86</v>
      </c>
      <c r="J1403" s="2" t="s">
        <v>362</v>
      </c>
      <c r="K1403" s="2">
        <v>1</v>
      </c>
      <c r="L1403" s="2">
        <v>54.99</v>
      </c>
      <c r="M1403" s="19">
        <f t="shared" si="285"/>
        <v>54.99</v>
      </c>
      <c r="N1403" s="2"/>
      <c r="O1403" s="2" t="str">
        <f t="shared" si="286"/>
        <v/>
      </c>
      <c r="P1403" s="2">
        <v>0</v>
      </c>
      <c r="Q1403" s="19">
        <f t="shared" si="287"/>
        <v>0</v>
      </c>
      <c r="R1403" s="2" t="str">
        <f t="shared" si="288"/>
        <v>Number</v>
      </c>
      <c r="S1403" s="2">
        <v>5.99</v>
      </c>
      <c r="T1403" s="19">
        <f t="shared" si="289"/>
        <v>5.99</v>
      </c>
      <c r="U1403" s="2">
        <v>60.98</v>
      </c>
      <c r="V1403" s="19">
        <f t="shared" si="290"/>
        <v>60.98</v>
      </c>
      <c r="W1403" s="19">
        <f t="shared" si="291"/>
        <v>60.980000000000004</v>
      </c>
      <c r="X1403" s="19" t="str">
        <f t="shared" si="292"/>
        <v>True</v>
      </c>
      <c r="Y1403" s="19" t="str">
        <f>IF(OR(W1403&lt;'Cleaning Tasks'!$G$18,W1403&gt;'Cleaning Tasks'!$H$18),"Outlier","Normal")</f>
        <v>Normal</v>
      </c>
      <c r="Z1403" s="2" t="s">
        <v>72</v>
      </c>
      <c r="AA1403" s="2" t="s">
        <v>27</v>
      </c>
      <c r="AB1403" s="2" t="s">
        <v>50</v>
      </c>
      <c r="AC1403" s="2" t="s">
        <v>73</v>
      </c>
      <c r="AD1403" s="2"/>
      <c r="AE1403" s="2" t="str">
        <f t="shared" si="293"/>
        <v>Not Required</v>
      </c>
      <c r="AF1403" s="2" t="s">
        <v>3892</v>
      </c>
    </row>
    <row r="1404" spans="1:32" x14ac:dyDescent="0.3">
      <c r="A1404" s="2" t="s">
        <v>3893</v>
      </c>
      <c r="B1404" s="2">
        <f t="shared" si="283"/>
        <v>1</v>
      </c>
      <c r="C1404" s="12">
        <f t="shared" si="295"/>
        <v>46238.585351493057</v>
      </c>
      <c r="D1404" s="13">
        <v>46238.585351493057</v>
      </c>
      <c r="E1404" s="2" t="s">
        <v>602</v>
      </c>
      <c r="F1404" s="2" t="str">
        <f t="shared" si="284"/>
        <v>Email Available</v>
      </c>
      <c r="G1404" s="2" t="s">
        <v>603</v>
      </c>
      <c r="H1404" s="2" t="s">
        <v>35</v>
      </c>
      <c r="I1404" s="2" t="s">
        <v>36</v>
      </c>
      <c r="J1404" s="2" t="s">
        <v>37</v>
      </c>
      <c r="K1404" s="2">
        <v>1</v>
      </c>
      <c r="L1404" s="2">
        <v>21.99</v>
      </c>
      <c r="M1404" s="19">
        <f t="shared" si="285"/>
        <v>21.99</v>
      </c>
      <c r="N1404" s="2" t="s">
        <v>118</v>
      </c>
      <c r="O1404" s="2" t="str">
        <f t="shared" si="286"/>
        <v>BFCM25</v>
      </c>
      <c r="P1404" s="2">
        <v>5.5</v>
      </c>
      <c r="Q1404" s="19">
        <f t="shared" si="287"/>
        <v>5.5</v>
      </c>
      <c r="R1404" s="2" t="str">
        <f t="shared" si="288"/>
        <v>Number</v>
      </c>
      <c r="S1404" s="2">
        <v>7.99</v>
      </c>
      <c r="T1404" s="19">
        <f t="shared" si="289"/>
        <v>7.99</v>
      </c>
      <c r="U1404" s="2">
        <v>24.48</v>
      </c>
      <c r="V1404" s="19">
        <f t="shared" si="290"/>
        <v>24.48</v>
      </c>
      <c r="W1404" s="19">
        <f t="shared" si="291"/>
        <v>24.479999999999997</v>
      </c>
      <c r="X1404" s="19" t="str">
        <f t="shared" si="292"/>
        <v>True</v>
      </c>
      <c r="Y1404" s="19" t="str">
        <f>IF(OR(W1404&lt;'Cleaning Tasks'!$G$18,W1404&gt;'Cleaning Tasks'!$H$18),"Outlier","Normal")</f>
        <v>Normal</v>
      </c>
      <c r="Z1404" s="2" t="s">
        <v>26</v>
      </c>
      <c r="AA1404" s="2" t="s">
        <v>27</v>
      </c>
      <c r="AB1404" s="2" t="s">
        <v>50</v>
      </c>
      <c r="AC1404" s="2" t="s">
        <v>42</v>
      </c>
      <c r="AD1404" s="2"/>
      <c r="AE1404" s="2" t="str">
        <f t="shared" si="293"/>
        <v>Not Required</v>
      </c>
      <c r="AF1404" s="2" t="s">
        <v>3894</v>
      </c>
    </row>
    <row r="1405" spans="1:32" x14ac:dyDescent="0.3">
      <c r="A1405" s="2" t="s">
        <v>3895</v>
      </c>
      <c r="B1405" s="2">
        <f t="shared" si="283"/>
        <v>1</v>
      </c>
      <c r="C1405" s="12">
        <f t="shared" si="295"/>
        <v>46238.584232928239</v>
      </c>
      <c r="D1405" s="13">
        <v>46238.584232928239</v>
      </c>
      <c r="E1405" s="2" t="s">
        <v>1540</v>
      </c>
      <c r="F1405" s="2" t="str">
        <f t="shared" si="284"/>
        <v>Email Available</v>
      </c>
      <c r="G1405" s="2" t="s">
        <v>1541</v>
      </c>
      <c r="H1405" s="2" t="s">
        <v>146</v>
      </c>
      <c r="I1405" s="2" t="s">
        <v>47</v>
      </c>
      <c r="J1405" s="2" t="s">
        <v>147</v>
      </c>
      <c r="K1405" s="2">
        <v>1</v>
      </c>
      <c r="L1405" s="2">
        <v>34.99</v>
      </c>
      <c r="M1405" s="19">
        <f t="shared" si="285"/>
        <v>34.99</v>
      </c>
      <c r="N1405" s="2" t="s">
        <v>24</v>
      </c>
      <c r="O1405" s="2" t="str">
        <f t="shared" si="286"/>
        <v>SAVE20</v>
      </c>
      <c r="P1405" s="2" t="s">
        <v>3896</v>
      </c>
      <c r="Q1405" s="19">
        <f t="shared" si="287"/>
        <v>7</v>
      </c>
      <c r="R1405" s="2" t="str">
        <f t="shared" si="288"/>
        <v>Number</v>
      </c>
      <c r="S1405" s="2">
        <v>4.99</v>
      </c>
      <c r="T1405" s="19">
        <f t="shared" si="289"/>
        <v>4.99</v>
      </c>
      <c r="U1405" s="2">
        <v>32.979999999999997</v>
      </c>
      <c r="V1405" s="19">
        <f t="shared" si="290"/>
        <v>32.979999999999997</v>
      </c>
      <c r="W1405" s="19">
        <f t="shared" si="291"/>
        <v>32.980000000000004</v>
      </c>
      <c r="X1405" s="19" t="str">
        <f t="shared" si="292"/>
        <v>True</v>
      </c>
      <c r="Y1405" s="19" t="str">
        <f>IF(OR(W1405&lt;'Cleaning Tasks'!$G$18,W1405&gt;'Cleaning Tasks'!$H$18),"Outlier","Normal")</f>
        <v>Normal</v>
      </c>
      <c r="Z1405" s="2" t="s">
        <v>39</v>
      </c>
      <c r="AA1405" s="2" t="s">
        <v>27</v>
      </c>
      <c r="AB1405" s="2" t="s">
        <v>28</v>
      </c>
      <c r="AC1405" s="2" t="s">
        <v>29</v>
      </c>
      <c r="AD1405" s="2" t="s">
        <v>51</v>
      </c>
      <c r="AE1405" s="2" t="str">
        <f t="shared" si="293"/>
        <v>Valid</v>
      </c>
      <c r="AF1405" s="2" t="s">
        <v>3897</v>
      </c>
    </row>
    <row r="1406" spans="1:32" x14ac:dyDescent="0.3">
      <c r="A1406" s="2" t="s">
        <v>3898</v>
      </c>
      <c r="B1406" s="2">
        <f t="shared" si="283"/>
        <v>1</v>
      </c>
      <c r="C1406" s="12">
        <f t="shared" si="295"/>
        <v>46238.579006261571</v>
      </c>
      <c r="D1406" s="13">
        <v>46238.579006261571</v>
      </c>
      <c r="E1406" s="2" t="s">
        <v>979</v>
      </c>
      <c r="F1406" s="2" t="str">
        <f t="shared" si="284"/>
        <v>Email Available</v>
      </c>
      <c r="G1406" s="2" t="s">
        <v>670</v>
      </c>
      <c r="H1406" s="2" t="s">
        <v>63</v>
      </c>
      <c r="I1406" s="2" t="s">
        <v>47</v>
      </c>
      <c r="J1406" s="2" t="s">
        <v>64</v>
      </c>
      <c r="K1406" s="2">
        <v>1</v>
      </c>
      <c r="L1406" s="2">
        <v>14.99</v>
      </c>
      <c r="M1406" s="19">
        <f t="shared" si="285"/>
        <v>14.99</v>
      </c>
      <c r="N1406" s="2"/>
      <c r="O1406" s="2" t="str">
        <f t="shared" si="286"/>
        <v/>
      </c>
      <c r="P1406" s="2">
        <v>0</v>
      </c>
      <c r="Q1406" s="19">
        <f t="shared" si="287"/>
        <v>0</v>
      </c>
      <c r="R1406" s="2" t="str">
        <f t="shared" si="288"/>
        <v>Number</v>
      </c>
      <c r="S1406" s="2">
        <v>7.99</v>
      </c>
      <c r="T1406" s="19">
        <f t="shared" si="289"/>
        <v>7.99</v>
      </c>
      <c r="U1406" s="2">
        <v>22.98</v>
      </c>
      <c r="V1406" s="19">
        <f t="shared" si="290"/>
        <v>22.98</v>
      </c>
      <c r="W1406" s="19">
        <f t="shared" si="291"/>
        <v>22.98</v>
      </c>
      <c r="X1406" s="19" t="str">
        <f t="shared" si="292"/>
        <v>True</v>
      </c>
      <c r="Y1406" s="19" t="str">
        <f>IF(OR(W1406&lt;'Cleaning Tasks'!$G$18,W1406&gt;'Cleaning Tasks'!$H$18),"Outlier","Normal")</f>
        <v>Normal</v>
      </c>
      <c r="Z1406" s="2" t="s">
        <v>49</v>
      </c>
      <c r="AA1406" s="2" t="s">
        <v>27</v>
      </c>
      <c r="AB1406" s="2" t="s">
        <v>96</v>
      </c>
      <c r="AC1406" s="2" t="s">
        <v>29</v>
      </c>
      <c r="AD1406" s="2" t="s">
        <v>341</v>
      </c>
      <c r="AE1406" s="2" t="str">
        <f t="shared" si="293"/>
        <v>Valid</v>
      </c>
      <c r="AF1406" s="2" t="s">
        <v>2427</v>
      </c>
    </row>
    <row r="1407" spans="1:32" x14ac:dyDescent="0.3">
      <c r="A1407" s="2" t="s">
        <v>3899</v>
      </c>
      <c r="B1407" s="2">
        <f t="shared" si="283"/>
        <v>1</v>
      </c>
      <c r="C1407" s="12">
        <f t="shared" si="295"/>
        <v>46238.587453368047</v>
      </c>
      <c r="D1407" s="13">
        <v>46238.587453368047</v>
      </c>
      <c r="E1407" s="2" t="s">
        <v>557</v>
      </c>
      <c r="F1407" s="2" t="str">
        <f t="shared" si="284"/>
        <v>Email Available</v>
      </c>
      <c r="G1407" s="2" t="s">
        <v>558</v>
      </c>
      <c r="H1407" s="2" t="s">
        <v>267</v>
      </c>
      <c r="I1407" s="2" t="s">
        <v>22</v>
      </c>
      <c r="J1407" s="2" t="s">
        <v>268</v>
      </c>
      <c r="K1407" s="2">
        <v>1</v>
      </c>
      <c r="L1407" s="2">
        <v>18.989999999999998</v>
      </c>
      <c r="M1407" s="19">
        <f t="shared" si="285"/>
        <v>18.989999999999998</v>
      </c>
      <c r="N1407" s="2" t="s">
        <v>65</v>
      </c>
      <c r="O1407" s="2" t="str">
        <f t="shared" si="286"/>
        <v>WELCOME10</v>
      </c>
      <c r="P1407" s="2" t="s">
        <v>594</v>
      </c>
      <c r="Q1407" s="19">
        <f t="shared" si="287"/>
        <v>1.9</v>
      </c>
      <c r="R1407" s="2" t="str">
        <f t="shared" si="288"/>
        <v>Number</v>
      </c>
      <c r="S1407" s="2">
        <v>4.99</v>
      </c>
      <c r="T1407" s="19">
        <f t="shared" si="289"/>
        <v>4.99</v>
      </c>
      <c r="U1407" s="2">
        <v>22.08</v>
      </c>
      <c r="V1407" s="19">
        <f t="shared" si="290"/>
        <v>22.08</v>
      </c>
      <c r="W1407" s="19">
        <f t="shared" si="291"/>
        <v>22.08</v>
      </c>
      <c r="X1407" s="19" t="str">
        <f t="shared" si="292"/>
        <v>True</v>
      </c>
      <c r="Y1407" s="19" t="str">
        <f>IF(OR(W1407&lt;'Cleaning Tasks'!$G$18,W1407&gt;'Cleaning Tasks'!$H$18),"Outlier","Normal")</f>
        <v>Normal</v>
      </c>
      <c r="Z1407" s="2" t="s">
        <v>66</v>
      </c>
      <c r="AA1407" s="2" t="s">
        <v>27</v>
      </c>
      <c r="AB1407" s="2" t="s">
        <v>50</v>
      </c>
      <c r="AC1407" s="2" t="s">
        <v>42</v>
      </c>
      <c r="AD1407" s="2"/>
      <c r="AE1407" s="2" t="str">
        <f t="shared" si="293"/>
        <v>Not Required</v>
      </c>
      <c r="AF1407" s="2" t="s">
        <v>3900</v>
      </c>
    </row>
    <row r="1408" spans="1:32" x14ac:dyDescent="0.3">
      <c r="A1408" s="2" t="s">
        <v>3901</v>
      </c>
      <c r="B1408" s="2">
        <f t="shared" si="283"/>
        <v>1</v>
      </c>
      <c r="C1408" s="12">
        <f t="shared" si="295"/>
        <v>46238.579720243048</v>
      </c>
      <c r="D1408" s="13">
        <v>46238.579720243048</v>
      </c>
      <c r="E1408" s="2" t="s">
        <v>740</v>
      </c>
      <c r="F1408" s="2" t="str">
        <f t="shared" si="284"/>
        <v>Email Available</v>
      </c>
      <c r="G1408" s="2" t="s">
        <v>741</v>
      </c>
      <c r="H1408" s="2" t="s">
        <v>201</v>
      </c>
      <c r="I1408" s="2" t="s">
        <v>191</v>
      </c>
      <c r="J1408" s="2" t="s">
        <v>202</v>
      </c>
      <c r="K1408" s="2">
        <v>1</v>
      </c>
      <c r="L1408" s="2">
        <v>24.99</v>
      </c>
      <c r="M1408" s="19">
        <f t="shared" si="285"/>
        <v>24.99</v>
      </c>
      <c r="N1408" s="2" t="s">
        <v>24</v>
      </c>
      <c r="O1408" s="2" t="str">
        <f t="shared" si="286"/>
        <v>SAVE20</v>
      </c>
      <c r="P1408" s="2">
        <v>5</v>
      </c>
      <c r="Q1408" s="19">
        <f t="shared" si="287"/>
        <v>5</v>
      </c>
      <c r="R1408" s="2" t="str">
        <f t="shared" si="288"/>
        <v>Number</v>
      </c>
      <c r="S1408" s="2">
        <v>7.99</v>
      </c>
      <c r="T1408" s="19">
        <f t="shared" si="289"/>
        <v>7.99</v>
      </c>
      <c r="U1408" s="2">
        <v>27.98</v>
      </c>
      <c r="V1408" s="19">
        <f t="shared" si="290"/>
        <v>27.98</v>
      </c>
      <c r="W1408" s="19">
        <f t="shared" si="291"/>
        <v>27.979999999999997</v>
      </c>
      <c r="X1408" s="19" t="str">
        <f t="shared" si="292"/>
        <v>True</v>
      </c>
      <c r="Y1408" s="19" t="str">
        <f>IF(OR(W1408&lt;'Cleaning Tasks'!$G$18,W1408&gt;'Cleaning Tasks'!$H$18),"Outlier","Normal")</f>
        <v>Normal</v>
      </c>
      <c r="Z1408" s="2" t="s">
        <v>26</v>
      </c>
      <c r="AA1408" s="2" t="s">
        <v>27</v>
      </c>
      <c r="AB1408" s="2" t="s">
        <v>41</v>
      </c>
      <c r="AC1408" s="2" t="s">
        <v>105</v>
      </c>
      <c r="AD1408" s="2"/>
      <c r="AE1408" s="2" t="str">
        <f t="shared" si="293"/>
        <v>Not Required</v>
      </c>
      <c r="AF1408" s="2" t="s">
        <v>3902</v>
      </c>
    </row>
    <row r="1409" spans="1:32" x14ac:dyDescent="0.3">
      <c r="A1409" s="2" t="s">
        <v>3903</v>
      </c>
      <c r="B1409" s="2">
        <f t="shared" si="283"/>
        <v>1</v>
      </c>
      <c r="C1409" s="12">
        <f t="shared" si="295"/>
        <v>46238.579177326392</v>
      </c>
      <c r="D1409" s="13">
        <v>46238.579177326392</v>
      </c>
      <c r="E1409" s="2" t="s">
        <v>1836</v>
      </c>
      <c r="F1409" s="2" t="str">
        <f t="shared" si="284"/>
        <v>Email Available</v>
      </c>
      <c r="G1409" s="2" t="s">
        <v>1837</v>
      </c>
      <c r="H1409" s="2" t="s">
        <v>201</v>
      </c>
      <c r="I1409" s="2" t="s">
        <v>191</v>
      </c>
      <c r="J1409" s="2" t="s">
        <v>202</v>
      </c>
      <c r="K1409" s="2">
        <v>2</v>
      </c>
      <c r="L1409" s="2">
        <v>24.99</v>
      </c>
      <c r="M1409" s="19">
        <f t="shared" si="285"/>
        <v>24.99</v>
      </c>
      <c r="N1409" s="2"/>
      <c r="O1409" s="2" t="str">
        <f t="shared" si="286"/>
        <v/>
      </c>
      <c r="P1409" s="2">
        <v>0</v>
      </c>
      <c r="Q1409" s="19">
        <f t="shared" si="287"/>
        <v>0</v>
      </c>
      <c r="R1409" s="2" t="str">
        <f t="shared" si="288"/>
        <v>Number</v>
      </c>
      <c r="S1409" s="2">
        <v>7.99</v>
      </c>
      <c r="T1409" s="19">
        <f t="shared" si="289"/>
        <v>7.99</v>
      </c>
      <c r="U1409" s="2">
        <v>57.97</v>
      </c>
      <c r="V1409" s="19">
        <f t="shared" si="290"/>
        <v>57.97</v>
      </c>
      <c r="W1409" s="19">
        <f t="shared" si="291"/>
        <v>57.97</v>
      </c>
      <c r="X1409" s="19" t="str">
        <f t="shared" si="292"/>
        <v>True</v>
      </c>
      <c r="Y1409" s="19" t="str">
        <f>IF(OR(W1409&lt;'Cleaning Tasks'!$G$18,W1409&gt;'Cleaning Tasks'!$H$18),"Outlier","Normal")</f>
        <v>Normal</v>
      </c>
      <c r="Z1409" s="2" t="s">
        <v>49</v>
      </c>
      <c r="AA1409" s="2" t="s">
        <v>27</v>
      </c>
      <c r="AB1409" s="2" t="s">
        <v>50</v>
      </c>
      <c r="AC1409" s="2" t="s">
        <v>42</v>
      </c>
      <c r="AD1409" s="2"/>
      <c r="AE1409" s="2" t="str">
        <f t="shared" si="293"/>
        <v>Not Required</v>
      </c>
      <c r="AF1409" s="2" t="s">
        <v>3904</v>
      </c>
    </row>
    <row r="1410" spans="1:32" x14ac:dyDescent="0.3">
      <c r="A1410" s="2" t="s">
        <v>3905</v>
      </c>
      <c r="B1410" s="2">
        <f t="shared" ref="B1410:B1473" si="296">COUNTIF($A$2:$A$1993,A1410)</f>
        <v>1</v>
      </c>
      <c r="C1410" s="12">
        <f t="shared" si="295"/>
        <v>46238.586510057867</v>
      </c>
      <c r="D1410" s="13">
        <v>46238.586510057867</v>
      </c>
      <c r="E1410" s="2" t="s">
        <v>3906</v>
      </c>
      <c r="F1410" s="2" t="str">
        <f t="shared" ref="F1410:F1473" si="297">IF(TRIM(G1410)="","Missing Email","Email Available")</f>
        <v>Email Available</v>
      </c>
      <c r="G1410" s="2" t="s">
        <v>1100</v>
      </c>
      <c r="H1410" s="2" t="s">
        <v>182</v>
      </c>
      <c r="I1410" s="2" t="s">
        <v>36</v>
      </c>
      <c r="J1410" s="2" t="s">
        <v>183</v>
      </c>
      <c r="K1410" s="2">
        <v>1</v>
      </c>
      <c r="L1410" s="2">
        <v>11.99</v>
      </c>
      <c r="M1410" s="19">
        <f t="shared" ref="M1410:M1473" si="298">IF(ISNUMBER(L1410),L1410,VALUE(SUBSTITUTE(L1410,"$","")))</f>
        <v>11.99</v>
      </c>
      <c r="N1410" s="2" t="s">
        <v>203</v>
      </c>
      <c r="O1410" s="2" t="str">
        <f t="shared" ref="O1410:O1473" si="299">IF(TRIM(N1410)="","",UPPER(TRIM(SUBSTITUTE(N1410,CHAR(160)," "))))</f>
        <v>VIP15</v>
      </c>
      <c r="P1410" s="2">
        <v>1.8</v>
      </c>
      <c r="Q1410" s="19">
        <f t="shared" ref="Q1410:Q1473" si="300">IF(ISNUMBER(P1410),P1410,VALUE(TRIM(SUBSTITUTE(P1410,"$",""))))</f>
        <v>1.8</v>
      </c>
      <c r="R1410" s="2" t="str">
        <f t="shared" ref="R1410:R1473" si="301">IF(ISNUMBER(Q1410),"Number","Text")</f>
        <v>Number</v>
      </c>
      <c r="S1410" s="2">
        <v>5.99</v>
      </c>
      <c r="T1410" s="19">
        <f t="shared" ref="T1410:T1473" si="302">IF(ISNUMBER(S1410),S1410,VALUE(TRIM(SUBSTITUTE(S1410,"$",""))))</f>
        <v>5.99</v>
      </c>
      <c r="U1410" s="2">
        <v>16.18</v>
      </c>
      <c r="V1410" s="19">
        <f t="shared" ref="V1410:V1473" si="303">IF(ISNUMBER(U1410),U1410,VALUE(TRIM(SUBSTITUTE(U1410,"$",""))))</f>
        <v>16.18</v>
      </c>
      <c r="W1410" s="19">
        <f t="shared" ref="W1410:W1473" si="304">((M1410*K1410)-Q1410)+T1410</f>
        <v>16.18</v>
      </c>
      <c r="X1410" s="19" t="str">
        <f t="shared" ref="X1410:X1473" si="305">IF(V1410=W1410,"True","False")</f>
        <v>True</v>
      </c>
      <c r="Y1410" s="19" t="str">
        <f>IF(OR(W1410&lt;'Cleaning Tasks'!$G$18,W1410&gt;'Cleaning Tasks'!$H$18),"Outlier","Normal")</f>
        <v>Normal</v>
      </c>
      <c r="Z1410" s="2" t="s">
        <v>72</v>
      </c>
      <c r="AA1410" s="2" t="s">
        <v>88</v>
      </c>
      <c r="AB1410" s="2" t="s">
        <v>50</v>
      </c>
      <c r="AC1410" s="2" t="s">
        <v>29</v>
      </c>
      <c r="AD1410" s="2" t="s">
        <v>58</v>
      </c>
      <c r="AE1410" s="2" t="str">
        <f t="shared" ref="AE1410:AE1473" si="306">IF(AND(AC1410="United States",AD1410=""),"Missing state",IF(AD1410="","Not Required","Valid"))</f>
        <v>Valid</v>
      </c>
      <c r="AF1410" s="2" t="s">
        <v>3336</v>
      </c>
    </row>
    <row r="1411" spans="1:32" x14ac:dyDescent="0.3">
      <c r="A1411" s="2" t="s">
        <v>3907</v>
      </c>
      <c r="B1411" s="2">
        <f t="shared" si="296"/>
        <v>1</v>
      </c>
      <c r="C1411" s="12">
        <f t="shared" si="295"/>
        <v>46238.58550483796</v>
      </c>
      <c r="D1411" s="13">
        <v>46238.58550483796</v>
      </c>
      <c r="E1411" s="2" t="s">
        <v>643</v>
      </c>
      <c r="F1411" s="2" t="str">
        <f t="shared" si="297"/>
        <v>Email Available</v>
      </c>
      <c r="G1411" s="2" t="s">
        <v>644</v>
      </c>
      <c r="H1411" s="2" t="s">
        <v>46</v>
      </c>
      <c r="I1411" s="2" t="s">
        <v>47</v>
      </c>
      <c r="J1411" s="2" t="s">
        <v>48</v>
      </c>
      <c r="K1411" s="2">
        <v>2</v>
      </c>
      <c r="L1411" s="2">
        <v>39.99</v>
      </c>
      <c r="M1411" s="19">
        <f t="shared" si="298"/>
        <v>39.99</v>
      </c>
      <c r="N1411" s="2"/>
      <c r="O1411" s="2" t="str">
        <f t="shared" si="299"/>
        <v/>
      </c>
      <c r="P1411" s="2">
        <v>0</v>
      </c>
      <c r="Q1411" s="19">
        <f t="shared" si="300"/>
        <v>0</v>
      </c>
      <c r="R1411" s="2" t="str">
        <f t="shared" si="301"/>
        <v>Number</v>
      </c>
      <c r="S1411" s="2">
        <v>0</v>
      </c>
      <c r="T1411" s="19">
        <f t="shared" si="302"/>
        <v>0</v>
      </c>
      <c r="U1411" s="2">
        <v>79.98</v>
      </c>
      <c r="V1411" s="19">
        <f t="shared" si="303"/>
        <v>79.98</v>
      </c>
      <c r="W1411" s="19">
        <f t="shared" si="304"/>
        <v>79.98</v>
      </c>
      <c r="X1411" s="19" t="str">
        <f t="shared" si="305"/>
        <v>True</v>
      </c>
      <c r="Y1411" s="19" t="str">
        <f>IF(OR(W1411&lt;'Cleaning Tasks'!$G$18,W1411&gt;'Cleaning Tasks'!$H$18),"Outlier","Normal")</f>
        <v>Normal</v>
      </c>
      <c r="Z1411" s="2" t="s">
        <v>39</v>
      </c>
      <c r="AA1411" s="2" t="s">
        <v>88</v>
      </c>
      <c r="AB1411" s="2" t="s">
        <v>41</v>
      </c>
      <c r="AC1411" s="2" t="s">
        <v>29</v>
      </c>
      <c r="AD1411" s="22" t="s">
        <v>51</v>
      </c>
      <c r="AE1411" s="2" t="str">
        <f t="shared" si="306"/>
        <v>Valid</v>
      </c>
      <c r="AF1411" s="2" t="s">
        <v>3908</v>
      </c>
    </row>
    <row r="1412" spans="1:32" x14ac:dyDescent="0.3">
      <c r="A1412" s="2" t="s">
        <v>3909</v>
      </c>
      <c r="B1412" s="2">
        <f t="shared" si="296"/>
        <v>1</v>
      </c>
      <c r="C1412" s="12">
        <f t="shared" si="295"/>
        <v>46238.588824085651</v>
      </c>
      <c r="D1412" s="13">
        <v>46238.588824085651</v>
      </c>
      <c r="E1412" s="2" t="s">
        <v>3910</v>
      </c>
      <c r="F1412" s="2" t="str">
        <f t="shared" si="297"/>
        <v>Email Available</v>
      </c>
      <c r="G1412" s="2" t="s">
        <v>1444</v>
      </c>
      <c r="H1412" s="2" t="s">
        <v>279</v>
      </c>
      <c r="I1412" s="2" t="s">
        <v>22</v>
      </c>
      <c r="J1412" s="2" t="s">
        <v>280</v>
      </c>
      <c r="K1412" s="2">
        <v>2</v>
      </c>
      <c r="L1412" s="2">
        <v>24.99</v>
      </c>
      <c r="M1412" s="19">
        <f t="shared" si="298"/>
        <v>24.99</v>
      </c>
      <c r="N1412" s="2" t="s">
        <v>65</v>
      </c>
      <c r="O1412" s="2" t="str">
        <f t="shared" si="299"/>
        <v>WELCOME10</v>
      </c>
      <c r="P1412" s="2">
        <v>5</v>
      </c>
      <c r="Q1412" s="19">
        <f t="shared" si="300"/>
        <v>5</v>
      </c>
      <c r="R1412" s="2" t="str">
        <f t="shared" si="301"/>
        <v>Number</v>
      </c>
      <c r="S1412" s="2">
        <v>7.99</v>
      </c>
      <c r="T1412" s="19">
        <f t="shared" si="302"/>
        <v>7.99</v>
      </c>
      <c r="U1412" s="2">
        <v>52.97</v>
      </c>
      <c r="V1412" s="19">
        <f t="shared" si="303"/>
        <v>52.97</v>
      </c>
      <c r="W1412" s="19">
        <f t="shared" si="304"/>
        <v>52.97</v>
      </c>
      <c r="X1412" s="19" t="str">
        <f t="shared" si="305"/>
        <v>True</v>
      </c>
      <c r="Y1412" s="19" t="str">
        <f>IF(OR(W1412&lt;'Cleaning Tasks'!$G$18,W1412&gt;'Cleaning Tasks'!$H$18),"Outlier","Normal")</f>
        <v>Normal</v>
      </c>
      <c r="Z1412" s="2" t="s">
        <v>49</v>
      </c>
      <c r="AA1412" s="2" t="s">
        <v>111</v>
      </c>
      <c r="AB1412" s="2" t="s">
        <v>50</v>
      </c>
      <c r="AC1412" s="2" t="s">
        <v>42</v>
      </c>
      <c r="AD1412" s="2"/>
      <c r="AE1412" s="2" t="str">
        <f t="shared" si="306"/>
        <v>Not Required</v>
      </c>
      <c r="AF1412" s="2" t="s">
        <v>3911</v>
      </c>
    </row>
    <row r="1413" spans="1:32" x14ac:dyDescent="0.3">
      <c r="A1413" s="2" t="s">
        <v>3912</v>
      </c>
      <c r="B1413" s="2">
        <f t="shared" si="296"/>
        <v>1</v>
      </c>
      <c r="C1413" s="12">
        <f t="shared" si="295"/>
        <v>46238</v>
      </c>
      <c r="D1413" s="13">
        <v>46238</v>
      </c>
      <c r="E1413" s="2" t="s">
        <v>1619</v>
      </c>
      <c r="F1413" s="2" t="str">
        <f t="shared" si="297"/>
        <v>Email Available</v>
      </c>
      <c r="G1413" s="2" t="s">
        <v>1620</v>
      </c>
      <c r="H1413" s="2" t="s">
        <v>267</v>
      </c>
      <c r="I1413" s="2" t="s">
        <v>22</v>
      </c>
      <c r="J1413" s="2" t="s">
        <v>268</v>
      </c>
      <c r="K1413" s="2">
        <v>1</v>
      </c>
      <c r="L1413" s="2">
        <v>18.989999999999998</v>
      </c>
      <c r="M1413" s="19">
        <f t="shared" si="298"/>
        <v>18.989999999999998</v>
      </c>
      <c r="N1413" s="2"/>
      <c r="O1413" s="2" t="str">
        <f t="shared" si="299"/>
        <v/>
      </c>
      <c r="P1413" s="2" t="s">
        <v>184</v>
      </c>
      <c r="Q1413" s="19">
        <f t="shared" si="300"/>
        <v>0</v>
      </c>
      <c r="R1413" s="2" t="str">
        <f t="shared" si="301"/>
        <v>Number</v>
      </c>
      <c r="S1413" s="2">
        <v>4.99</v>
      </c>
      <c r="T1413" s="19">
        <f t="shared" si="302"/>
        <v>4.99</v>
      </c>
      <c r="U1413" s="2">
        <v>23.98</v>
      </c>
      <c r="V1413" s="19">
        <f t="shared" si="303"/>
        <v>23.98</v>
      </c>
      <c r="W1413" s="19">
        <f t="shared" si="304"/>
        <v>23.979999999999997</v>
      </c>
      <c r="X1413" s="19" t="str">
        <f t="shared" si="305"/>
        <v>True</v>
      </c>
      <c r="Y1413" s="19" t="str">
        <f>IF(OR(W1413&lt;'Cleaning Tasks'!$G$18,W1413&gt;'Cleaning Tasks'!$H$18),"Outlier","Normal")</f>
        <v>Normal</v>
      </c>
      <c r="Z1413" s="2" t="s">
        <v>39</v>
      </c>
      <c r="AA1413" s="2" t="s">
        <v>40</v>
      </c>
      <c r="AB1413" s="2" t="s">
        <v>50</v>
      </c>
      <c r="AC1413" s="2" t="s">
        <v>105</v>
      </c>
      <c r="AD1413" s="2"/>
      <c r="AE1413" s="2" t="str">
        <f t="shared" si="306"/>
        <v>Not Required</v>
      </c>
      <c r="AF1413" s="2" t="s">
        <v>3913</v>
      </c>
    </row>
    <row r="1414" spans="1:32" x14ac:dyDescent="0.3">
      <c r="A1414" s="2" t="s">
        <v>3914</v>
      </c>
      <c r="B1414" s="2">
        <f t="shared" si="296"/>
        <v>1</v>
      </c>
      <c r="C1414" s="12">
        <f t="shared" si="295"/>
        <v>46238.587323715277</v>
      </c>
      <c r="D1414" s="13">
        <v>46238.587323715277</v>
      </c>
      <c r="E1414" s="2" t="s">
        <v>3570</v>
      </c>
      <c r="F1414" s="2" t="str">
        <f t="shared" si="297"/>
        <v>Email Available</v>
      </c>
      <c r="G1414" s="2" t="s">
        <v>3571</v>
      </c>
      <c r="H1414" s="2" t="s">
        <v>35</v>
      </c>
      <c r="I1414" s="2" t="s">
        <v>36</v>
      </c>
      <c r="J1414" s="2" t="s">
        <v>37</v>
      </c>
      <c r="K1414" s="2">
        <v>1</v>
      </c>
      <c r="L1414" s="2">
        <v>21.99</v>
      </c>
      <c r="M1414" s="19">
        <f t="shared" si="298"/>
        <v>21.99</v>
      </c>
      <c r="N1414" s="2"/>
      <c r="O1414" s="2" t="str">
        <f t="shared" si="299"/>
        <v/>
      </c>
      <c r="P1414" s="2">
        <v>0</v>
      </c>
      <c r="Q1414" s="19">
        <f t="shared" si="300"/>
        <v>0</v>
      </c>
      <c r="R1414" s="2" t="str">
        <f t="shared" si="301"/>
        <v>Number</v>
      </c>
      <c r="S1414" s="2">
        <v>4.99</v>
      </c>
      <c r="T1414" s="19">
        <f t="shared" si="302"/>
        <v>4.99</v>
      </c>
      <c r="U1414" s="2">
        <v>26.98</v>
      </c>
      <c r="V1414" s="19">
        <f t="shared" si="303"/>
        <v>26.98</v>
      </c>
      <c r="W1414" s="19">
        <f t="shared" si="304"/>
        <v>26.979999999999997</v>
      </c>
      <c r="X1414" s="19" t="str">
        <f t="shared" si="305"/>
        <v>True</v>
      </c>
      <c r="Y1414" s="19" t="str">
        <f>IF(OR(W1414&lt;'Cleaning Tasks'!$G$18,W1414&gt;'Cleaning Tasks'!$H$18),"Outlier","Normal")</f>
        <v>Normal</v>
      </c>
      <c r="Z1414" s="2" t="s">
        <v>39</v>
      </c>
      <c r="AA1414" s="2" t="s">
        <v>27</v>
      </c>
      <c r="AB1414" s="2" t="s">
        <v>96</v>
      </c>
      <c r="AC1414" s="2" t="s">
        <v>105</v>
      </c>
      <c r="AD1414" s="2"/>
      <c r="AE1414" s="2" t="str">
        <f t="shared" si="306"/>
        <v>Not Required</v>
      </c>
      <c r="AF1414" s="2" t="s">
        <v>3915</v>
      </c>
    </row>
    <row r="1415" spans="1:32" x14ac:dyDescent="0.3">
      <c r="A1415" s="2" t="s">
        <v>3916</v>
      </c>
      <c r="B1415" s="2">
        <f t="shared" si="296"/>
        <v>1</v>
      </c>
      <c r="C1415" s="12">
        <f t="shared" si="295"/>
        <v>46238.580178946759</v>
      </c>
      <c r="D1415" s="13">
        <v>46238.580178946759</v>
      </c>
      <c r="E1415" s="2" t="s">
        <v>2826</v>
      </c>
      <c r="F1415" s="2" t="str">
        <f t="shared" si="297"/>
        <v>Email Available</v>
      </c>
      <c r="G1415" s="2" t="s">
        <v>2827</v>
      </c>
      <c r="H1415" s="2" t="s">
        <v>63</v>
      </c>
      <c r="I1415" s="2" t="s">
        <v>47</v>
      </c>
      <c r="J1415" s="2" t="s">
        <v>446</v>
      </c>
      <c r="K1415" s="2">
        <v>1</v>
      </c>
      <c r="L1415" s="2">
        <v>14.99</v>
      </c>
      <c r="M1415" s="19">
        <f t="shared" si="298"/>
        <v>14.99</v>
      </c>
      <c r="N1415" s="2" t="s">
        <v>203</v>
      </c>
      <c r="O1415" s="2" t="str">
        <f t="shared" si="299"/>
        <v>VIP15</v>
      </c>
      <c r="P1415" s="2">
        <v>2.25</v>
      </c>
      <c r="Q1415" s="19">
        <f t="shared" si="300"/>
        <v>2.25</v>
      </c>
      <c r="R1415" s="2" t="str">
        <f t="shared" si="301"/>
        <v>Number</v>
      </c>
      <c r="S1415" s="2">
        <v>5.99</v>
      </c>
      <c r="T1415" s="19">
        <f t="shared" si="302"/>
        <v>5.99</v>
      </c>
      <c r="U1415" s="2">
        <v>18.73</v>
      </c>
      <c r="V1415" s="19">
        <f t="shared" si="303"/>
        <v>18.73</v>
      </c>
      <c r="W1415" s="19">
        <f t="shared" si="304"/>
        <v>18.73</v>
      </c>
      <c r="X1415" s="19" t="str">
        <f t="shared" si="305"/>
        <v>True</v>
      </c>
      <c r="Y1415" s="19" t="str">
        <f>IF(OR(W1415&lt;'Cleaning Tasks'!$G$18,W1415&gt;'Cleaning Tasks'!$H$18),"Outlier","Normal")</f>
        <v>Normal</v>
      </c>
      <c r="Z1415" s="2" t="s">
        <v>49</v>
      </c>
      <c r="AA1415" s="2" t="s">
        <v>40</v>
      </c>
      <c r="AB1415" s="2" t="s">
        <v>28</v>
      </c>
      <c r="AC1415" s="2" t="s">
        <v>73</v>
      </c>
      <c r="AD1415" s="2"/>
      <c r="AE1415" s="2" t="str">
        <f t="shared" si="306"/>
        <v>Not Required</v>
      </c>
      <c r="AF1415" s="2" t="s">
        <v>3917</v>
      </c>
    </row>
    <row r="1416" spans="1:32" x14ac:dyDescent="0.3">
      <c r="A1416" s="2" t="s">
        <v>3918</v>
      </c>
      <c r="B1416" s="2">
        <f t="shared" si="296"/>
        <v>1</v>
      </c>
      <c r="C1416" s="12">
        <f t="shared" ref="C1416:C1438" si="307">IF(ISNUMBER(D1416),D1416,DATEVALUE(SUBSTITUTE(TRIM(D1416),CHAR(160)," ")))</f>
        <v>46238.579977743058</v>
      </c>
      <c r="D1416" s="13">
        <v>46238.579977743058</v>
      </c>
      <c r="E1416" s="2" t="s">
        <v>1084</v>
      </c>
      <c r="F1416" s="2" t="str">
        <f t="shared" si="297"/>
        <v>Email Available</v>
      </c>
      <c r="G1416" s="2" t="s">
        <v>1085</v>
      </c>
      <c r="H1416" s="2" t="s">
        <v>56</v>
      </c>
      <c r="I1416" s="2" t="s">
        <v>22</v>
      </c>
      <c r="J1416" s="2" t="s">
        <v>57</v>
      </c>
      <c r="K1416" s="2">
        <v>2</v>
      </c>
      <c r="L1416" s="2">
        <v>9.99</v>
      </c>
      <c r="M1416" s="19">
        <f t="shared" si="298"/>
        <v>9.99</v>
      </c>
      <c r="N1416" s="2" t="s">
        <v>38</v>
      </c>
      <c r="O1416" s="2" t="str">
        <f t="shared" si="299"/>
        <v>FREESHIP</v>
      </c>
      <c r="P1416" s="2">
        <v>0</v>
      </c>
      <c r="Q1416" s="19">
        <f t="shared" si="300"/>
        <v>0</v>
      </c>
      <c r="R1416" s="2" t="str">
        <f t="shared" si="301"/>
        <v>Number</v>
      </c>
      <c r="S1416" s="2">
        <v>0</v>
      </c>
      <c r="T1416" s="19">
        <f t="shared" si="302"/>
        <v>0</v>
      </c>
      <c r="U1416" s="2">
        <v>19.98</v>
      </c>
      <c r="V1416" s="19">
        <f t="shared" si="303"/>
        <v>19.98</v>
      </c>
      <c r="W1416" s="19">
        <f t="shared" si="304"/>
        <v>19.98</v>
      </c>
      <c r="X1416" s="19" t="str">
        <f t="shared" si="305"/>
        <v>True</v>
      </c>
      <c r="Y1416" s="19" t="str">
        <f>IF(OR(W1416&lt;'Cleaning Tasks'!$G$18,W1416&gt;'Cleaning Tasks'!$H$18),"Outlier","Normal")</f>
        <v>Normal</v>
      </c>
      <c r="Z1416" s="2" t="s">
        <v>72</v>
      </c>
      <c r="AA1416" s="2" t="s">
        <v>27</v>
      </c>
      <c r="AB1416" s="2" t="s">
        <v>28</v>
      </c>
      <c r="AC1416" s="2" t="s">
        <v>29</v>
      </c>
      <c r="AD1416" s="2" t="s">
        <v>140</v>
      </c>
      <c r="AE1416" s="2" t="str">
        <f t="shared" si="306"/>
        <v>Valid</v>
      </c>
      <c r="AF1416" s="2" t="s">
        <v>3919</v>
      </c>
    </row>
    <row r="1417" spans="1:32" x14ac:dyDescent="0.3">
      <c r="A1417" s="2" t="s">
        <v>3920</v>
      </c>
      <c r="B1417" s="2">
        <f t="shared" si="296"/>
        <v>1</v>
      </c>
      <c r="C1417" s="12">
        <f t="shared" si="307"/>
        <v>46238.5857249537</v>
      </c>
      <c r="D1417" s="13">
        <v>46238.5857249537</v>
      </c>
      <c r="E1417" s="2" t="s">
        <v>885</v>
      </c>
      <c r="F1417" s="2" t="str">
        <f t="shared" si="297"/>
        <v>Email Available</v>
      </c>
      <c r="G1417" s="2" t="s">
        <v>886</v>
      </c>
      <c r="H1417" s="2" t="s">
        <v>102</v>
      </c>
      <c r="I1417" s="2" t="s">
        <v>103</v>
      </c>
      <c r="J1417" s="2" t="s">
        <v>104</v>
      </c>
      <c r="K1417" s="2">
        <v>2</v>
      </c>
      <c r="L1417" s="2">
        <v>19.989999999999998</v>
      </c>
      <c r="M1417" s="19">
        <f t="shared" si="298"/>
        <v>19.989999999999998</v>
      </c>
      <c r="N1417" s="2"/>
      <c r="O1417" s="2" t="str">
        <f t="shared" si="299"/>
        <v/>
      </c>
      <c r="P1417" s="2">
        <v>0</v>
      </c>
      <c r="Q1417" s="19">
        <f t="shared" si="300"/>
        <v>0</v>
      </c>
      <c r="R1417" s="2" t="str">
        <f t="shared" si="301"/>
        <v>Number</v>
      </c>
      <c r="S1417" s="2">
        <v>7.99</v>
      </c>
      <c r="T1417" s="19">
        <f t="shared" si="302"/>
        <v>7.99</v>
      </c>
      <c r="U1417" s="2">
        <v>47.97</v>
      </c>
      <c r="V1417" s="19">
        <f t="shared" si="303"/>
        <v>47.97</v>
      </c>
      <c r="W1417" s="19">
        <f t="shared" si="304"/>
        <v>47.97</v>
      </c>
      <c r="X1417" s="19" t="str">
        <f t="shared" si="305"/>
        <v>True</v>
      </c>
      <c r="Y1417" s="19" t="str">
        <f>IF(OR(W1417&lt;'Cleaning Tasks'!$G$18,W1417&gt;'Cleaning Tasks'!$H$18),"Outlier","Normal")</f>
        <v>Normal</v>
      </c>
      <c r="Z1417" s="2" t="s">
        <v>49</v>
      </c>
      <c r="AA1417" s="2" t="s">
        <v>27</v>
      </c>
      <c r="AB1417" s="2" t="s">
        <v>41</v>
      </c>
      <c r="AC1417" s="2" t="s">
        <v>331</v>
      </c>
      <c r="AD1417" s="2"/>
      <c r="AE1417" s="2" t="str">
        <f t="shared" si="306"/>
        <v>Not Required</v>
      </c>
      <c r="AF1417" s="2" t="s">
        <v>3921</v>
      </c>
    </row>
    <row r="1418" spans="1:32" x14ac:dyDescent="0.3">
      <c r="A1418" s="2" t="s">
        <v>3922</v>
      </c>
      <c r="B1418" s="2">
        <f t="shared" si="296"/>
        <v>1</v>
      </c>
      <c r="C1418" s="12">
        <f t="shared" si="307"/>
        <v>46238.585211793979</v>
      </c>
      <c r="D1418" s="13">
        <v>46238.585211793979</v>
      </c>
      <c r="E1418" s="2" t="s">
        <v>499</v>
      </c>
      <c r="F1418" s="2" t="str">
        <f t="shared" si="297"/>
        <v>Email Available</v>
      </c>
      <c r="G1418" s="2" t="s">
        <v>500</v>
      </c>
      <c r="H1418" s="2" t="s">
        <v>182</v>
      </c>
      <c r="I1418" s="2" t="s">
        <v>36</v>
      </c>
      <c r="J1418" s="2" t="s">
        <v>183</v>
      </c>
      <c r="K1418" s="2">
        <v>3</v>
      </c>
      <c r="L1418" s="2">
        <v>11.99</v>
      </c>
      <c r="M1418" s="19">
        <f t="shared" si="298"/>
        <v>11.99</v>
      </c>
      <c r="N1418" s="2"/>
      <c r="O1418" s="2" t="str">
        <f t="shared" si="299"/>
        <v/>
      </c>
      <c r="P1418" s="2">
        <v>0</v>
      </c>
      <c r="Q1418" s="19">
        <f t="shared" si="300"/>
        <v>0</v>
      </c>
      <c r="R1418" s="2" t="str">
        <f t="shared" si="301"/>
        <v>Number</v>
      </c>
      <c r="S1418" s="2">
        <v>5.99</v>
      </c>
      <c r="T1418" s="19">
        <f t="shared" si="302"/>
        <v>5.99</v>
      </c>
      <c r="U1418" s="2">
        <v>41.96</v>
      </c>
      <c r="V1418" s="19">
        <f t="shared" si="303"/>
        <v>41.96</v>
      </c>
      <c r="W1418" s="19">
        <f t="shared" si="304"/>
        <v>41.96</v>
      </c>
      <c r="X1418" s="19" t="str">
        <f t="shared" si="305"/>
        <v>True</v>
      </c>
      <c r="Y1418" s="19" t="str">
        <f>IF(OR(W1418&lt;'Cleaning Tasks'!$G$18,W1418&gt;'Cleaning Tasks'!$H$18),"Outlier","Normal")</f>
        <v>Normal</v>
      </c>
      <c r="Z1418" s="2" t="s">
        <v>49</v>
      </c>
      <c r="AA1418" s="2" t="s">
        <v>40</v>
      </c>
      <c r="AB1418" s="2" t="s">
        <v>50</v>
      </c>
      <c r="AC1418" s="2" t="s">
        <v>29</v>
      </c>
      <c r="AD1418" s="2" t="s">
        <v>140</v>
      </c>
      <c r="AE1418" s="2" t="str">
        <f t="shared" si="306"/>
        <v>Valid</v>
      </c>
      <c r="AF1418" s="2" t="s">
        <v>3923</v>
      </c>
    </row>
    <row r="1419" spans="1:32" x14ac:dyDescent="0.3">
      <c r="A1419" s="2" t="s">
        <v>3924</v>
      </c>
      <c r="B1419" s="2">
        <f t="shared" si="296"/>
        <v>1</v>
      </c>
      <c r="C1419" s="12">
        <f t="shared" si="307"/>
        <v>46238.582705474539</v>
      </c>
      <c r="D1419" s="13">
        <v>46238.582705474539</v>
      </c>
      <c r="E1419" s="2" t="s">
        <v>516</v>
      </c>
      <c r="F1419" s="2" t="str">
        <f t="shared" si="297"/>
        <v>Email Available</v>
      </c>
      <c r="G1419" s="2" t="s">
        <v>517</v>
      </c>
      <c r="H1419" s="2" t="s">
        <v>85</v>
      </c>
      <c r="I1419" s="2" t="s">
        <v>86</v>
      </c>
      <c r="J1419" s="2" t="s">
        <v>87</v>
      </c>
      <c r="K1419" s="2">
        <v>1</v>
      </c>
      <c r="L1419" s="2">
        <v>54.99</v>
      </c>
      <c r="M1419" s="19">
        <f t="shared" si="298"/>
        <v>54.99</v>
      </c>
      <c r="N1419" s="2"/>
      <c r="O1419" s="2" t="str">
        <f t="shared" si="299"/>
        <v/>
      </c>
      <c r="P1419" s="2">
        <v>0</v>
      </c>
      <c r="Q1419" s="19">
        <f t="shared" si="300"/>
        <v>0</v>
      </c>
      <c r="R1419" s="2" t="str">
        <f t="shared" si="301"/>
        <v>Number</v>
      </c>
      <c r="S1419" s="2">
        <v>7.99</v>
      </c>
      <c r="T1419" s="19">
        <f t="shared" si="302"/>
        <v>7.99</v>
      </c>
      <c r="U1419" s="2">
        <v>62.98</v>
      </c>
      <c r="V1419" s="19">
        <f t="shared" si="303"/>
        <v>62.98</v>
      </c>
      <c r="W1419" s="19">
        <f t="shared" si="304"/>
        <v>62.980000000000004</v>
      </c>
      <c r="X1419" s="19" t="str">
        <f t="shared" si="305"/>
        <v>True</v>
      </c>
      <c r="Y1419" s="19" t="str">
        <f>IF(OR(W1419&lt;'Cleaning Tasks'!$G$18,W1419&gt;'Cleaning Tasks'!$H$18),"Outlier","Normal")</f>
        <v>Normal</v>
      </c>
      <c r="Z1419" s="2" t="s">
        <v>66</v>
      </c>
      <c r="AA1419" s="2" t="s">
        <v>27</v>
      </c>
      <c r="AB1419" s="2" t="s">
        <v>96</v>
      </c>
      <c r="AC1419" s="2" t="s">
        <v>29</v>
      </c>
      <c r="AD1419" s="2" t="s">
        <v>243</v>
      </c>
      <c r="AE1419" s="2" t="str">
        <f t="shared" si="306"/>
        <v>Valid</v>
      </c>
      <c r="AF1419" s="2" t="s">
        <v>3925</v>
      </c>
    </row>
    <row r="1420" spans="1:32" x14ac:dyDescent="0.3">
      <c r="A1420" s="2" t="s">
        <v>3926</v>
      </c>
      <c r="B1420" s="2">
        <f t="shared" si="296"/>
        <v>1</v>
      </c>
      <c r="C1420" s="12">
        <f t="shared" si="307"/>
        <v>46238.581264074077</v>
      </c>
      <c r="D1420" s="13">
        <v>46238.581264074077</v>
      </c>
      <c r="E1420" s="2" t="s">
        <v>2317</v>
      </c>
      <c r="F1420" s="2" t="str">
        <f t="shared" si="297"/>
        <v>Email Available</v>
      </c>
      <c r="G1420" s="2" t="s">
        <v>2318</v>
      </c>
      <c r="H1420" s="2" t="s">
        <v>146</v>
      </c>
      <c r="I1420" s="2" t="s">
        <v>47</v>
      </c>
      <c r="J1420" s="2" t="s">
        <v>147</v>
      </c>
      <c r="K1420" s="2">
        <v>1</v>
      </c>
      <c r="L1420" s="2">
        <v>34.99</v>
      </c>
      <c r="M1420" s="19">
        <f t="shared" si="298"/>
        <v>34.99</v>
      </c>
      <c r="N1420" s="2"/>
      <c r="O1420" s="2" t="str">
        <f t="shared" si="299"/>
        <v/>
      </c>
      <c r="P1420" s="2">
        <v>0</v>
      </c>
      <c r="Q1420" s="19">
        <f t="shared" si="300"/>
        <v>0</v>
      </c>
      <c r="R1420" s="2" t="str">
        <f t="shared" si="301"/>
        <v>Number</v>
      </c>
      <c r="S1420" s="2">
        <v>7.99</v>
      </c>
      <c r="T1420" s="19">
        <f t="shared" si="302"/>
        <v>7.99</v>
      </c>
      <c r="U1420" s="2">
        <v>42.98</v>
      </c>
      <c r="V1420" s="19">
        <f t="shared" si="303"/>
        <v>42.98</v>
      </c>
      <c r="W1420" s="19">
        <f t="shared" si="304"/>
        <v>42.980000000000004</v>
      </c>
      <c r="X1420" s="19" t="str">
        <f t="shared" si="305"/>
        <v>True</v>
      </c>
      <c r="Y1420" s="19" t="str">
        <f>IF(OR(W1420&lt;'Cleaning Tasks'!$G$18,W1420&gt;'Cleaning Tasks'!$H$18),"Outlier","Normal")</f>
        <v>Normal</v>
      </c>
      <c r="Z1420" s="2" t="s">
        <v>26</v>
      </c>
      <c r="AA1420" s="2" t="s">
        <v>27</v>
      </c>
      <c r="AB1420" s="2" t="s">
        <v>28</v>
      </c>
      <c r="AC1420" s="2" t="s">
        <v>42</v>
      </c>
      <c r="AD1420" s="2"/>
      <c r="AE1420" s="2" t="str">
        <f t="shared" si="306"/>
        <v>Not Required</v>
      </c>
      <c r="AF1420" s="2" t="s">
        <v>3927</v>
      </c>
    </row>
    <row r="1421" spans="1:32" x14ac:dyDescent="0.3">
      <c r="A1421" s="2" t="s">
        <v>3928</v>
      </c>
      <c r="B1421" s="2">
        <f t="shared" si="296"/>
        <v>1</v>
      </c>
      <c r="C1421" s="12">
        <f t="shared" si="307"/>
        <v>46238.584443900458</v>
      </c>
      <c r="D1421" s="13">
        <v>46238.584443900458</v>
      </c>
      <c r="E1421" s="2" t="s">
        <v>654</v>
      </c>
      <c r="F1421" s="2" t="str">
        <f t="shared" si="297"/>
        <v>Email Available</v>
      </c>
      <c r="G1421" s="2" t="s">
        <v>655</v>
      </c>
      <c r="H1421" s="2" t="s">
        <v>35</v>
      </c>
      <c r="I1421" s="2" t="s">
        <v>36</v>
      </c>
      <c r="J1421" s="2" t="s">
        <v>37</v>
      </c>
      <c r="K1421" s="2">
        <v>2</v>
      </c>
      <c r="L1421" s="2">
        <v>21.99</v>
      </c>
      <c r="M1421" s="19">
        <f t="shared" si="298"/>
        <v>21.99</v>
      </c>
      <c r="N1421" s="2" t="s">
        <v>24</v>
      </c>
      <c r="O1421" s="2" t="str">
        <f t="shared" si="299"/>
        <v>SAVE20</v>
      </c>
      <c r="P1421" s="2">
        <v>8.8000000000000007</v>
      </c>
      <c r="Q1421" s="19">
        <f t="shared" si="300"/>
        <v>8.8000000000000007</v>
      </c>
      <c r="R1421" s="2" t="str">
        <f t="shared" si="301"/>
        <v>Number</v>
      </c>
      <c r="S1421" s="2">
        <v>4.99</v>
      </c>
      <c r="T1421" s="19">
        <f t="shared" si="302"/>
        <v>4.99</v>
      </c>
      <c r="U1421" s="2">
        <v>40.17</v>
      </c>
      <c r="V1421" s="19">
        <f t="shared" si="303"/>
        <v>40.17</v>
      </c>
      <c r="W1421" s="19">
        <f t="shared" si="304"/>
        <v>40.169999999999995</v>
      </c>
      <c r="X1421" s="19" t="str">
        <f t="shared" si="305"/>
        <v>True</v>
      </c>
      <c r="Y1421" s="19" t="str">
        <f>IF(OR(W1421&lt;'Cleaning Tasks'!$G$18,W1421&gt;'Cleaning Tasks'!$H$18),"Outlier","Normal")</f>
        <v>Normal</v>
      </c>
      <c r="Z1421" s="2" t="s">
        <v>26</v>
      </c>
      <c r="AA1421" s="2" t="s">
        <v>27</v>
      </c>
      <c r="AB1421" s="2" t="s">
        <v>50</v>
      </c>
      <c r="AC1421" s="2" t="s">
        <v>29</v>
      </c>
      <c r="AD1421" s="2" t="s">
        <v>243</v>
      </c>
      <c r="AE1421" s="2" t="str">
        <f t="shared" si="306"/>
        <v>Valid</v>
      </c>
      <c r="AF1421" s="2" t="s">
        <v>3929</v>
      </c>
    </row>
    <row r="1422" spans="1:32" x14ac:dyDescent="0.3">
      <c r="A1422" s="2" t="s">
        <v>3930</v>
      </c>
      <c r="B1422" s="2">
        <f t="shared" si="296"/>
        <v>1</v>
      </c>
      <c r="C1422" s="12">
        <f t="shared" si="307"/>
        <v>46238.58500353009</v>
      </c>
      <c r="D1422" s="13">
        <v>46238.58500353009</v>
      </c>
      <c r="E1422" s="2" t="s">
        <v>325</v>
      </c>
      <c r="F1422" s="2" t="str">
        <f t="shared" si="297"/>
        <v>Email Available</v>
      </c>
      <c r="G1422" s="2" t="s">
        <v>326</v>
      </c>
      <c r="H1422" s="2" t="s">
        <v>261</v>
      </c>
      <c r="I1422" s="2" t="s">
        <v>36</v>
      </c>
      <c r="J1422" s="2" t="s">
        <v>262</v>
      </c>
      <c r="K1422" s="2">
        <v>2</v>
      </c>
      <c r="L1422" s="2">
        <v>15.49</v>
      </c>
      <c r="M1422" s="19">
        <f t="shared" si="298"/>
        <v>15.49</v>
      </c>
      <c r="N1422" s="2" t="s">
        <v>118</v>
      </c>
      <c r="O1422" s="2" t="str">
        <f t="shared" si="299"/>
        <v>BFCM25</v>
      </c>
      <c r="P1422" s="2">
        <v>7.75</v>
      </c>
      <c r="Q1422" s="19">
        <f t="shared" si="300"/>
        <v>7.75</v>
      </c>
      <c r="R1422" s="2" t="str">
        <f t="shared" si="301"/>
        <v>Number</v>
      </c>
      <c r="S1422" s="2">
        <v>4.99</v>
      </c>
      <c r="T1422" s="19">
        <f t="shared" si="302"/>
        <v>4.99</v>
      </c>
      <c r="U1422" s="2">
        <v>28.22</v>
      </c>
      <c r="V1422" s="19">
        <f t="shared" si="303"/>
        <v>28.22</v>
      </c>
      <c r="W1422" s="19">
        <f t="shared" si="304"/>
        <v>28.22</v>
      </c>
      <c r="X1422" s="19" t="str">
        <f t="shared" si="305"/>
        <v>True</v>
      </c>
      <c r="Y1422" s="19" t="str">
        <f>IF(OR(W1422&lt;'Cleaning Tasks'!$G$18,W1422&gt;'Cleaning Tasks'!$H$18),"Outlier","Normal")</f>
        <v>Normal</v>
      </c>
      <c r="Z1422" s="2" t="s">
        <v>66</v>
      </c>
      <c r="AA1422" s="2" t="s">
        <v>27</v>
      </c>
      <c r="AB1422" s="2" t="s">
        <v>96</v>
      </c>
      <c r="AC1422" s="2" t="s">
        <v>29</v>
      </c>
      <c r="AD1422" s="2" t="s">
        <v>67</v>
      </c>
      <c r="AE1422" s="2" t="str">
        <f t="shared" si="306"/>
        <v>Valid</v>
      </c>
      <c r="AF1422" s="2" t="s">
        <v>3931</v>
      </c>
    </row>
    <row r="1423" spans="1:32" x14ac:dyDescent="0.3">
      <c r="A1423" s="2" t="s">
        <v>3932</v>
      </c>
      <c r="B1423" s="2">
        <f t="shared" si="296"/>
        <v>1</v>
      </c>
      <c r="C1423" s="12">
        <f t="shared" si="307"/>
        <v>46238.588261018522</v>
      </c>
      <c r="D1423" s="13">
        <v>46238.588261018522</v>
      </c>
      <c r="E1423" s="2" t="s">
        <v>889</v>
      </c>
      <c r="F1423" s="2" t="str">
        <f t="shared" si="297"/>
        <v>Email Available</v>
      </c>
      <c r="G1423" s="2" t="s">
        <v>890</v>
      </c>
      <c r="H1423" s="2" t="s">
        <v>146</v>
      </c>
      <c r="I1423" s="2" t="s">
        <v>47</v>
      </c>
      <c r="J1423" s="2" t="s">
        <v>147</v>
      </c>
      <c r="K1423" s="2">
        <v>1</v>
      </c>
      <c r="L1423" s="2">
        <v>34.99</v>
      </c>
      <c r="M1423" s="19">
        <f t="shared" si="298"/>
        <v>34.99</v>
      </c>
      <c r="N1423" s="2" t="s">
        <v>203</v>
      </c>
      <c r="O1423" s="2" t="str">
        <f t="shared" si="299"/>
        <v>VIP15</v>
      </c>
      <c r="P1423" s="2">
        <v>5.25</v>
      </c>
      <c r="Q1423" s="19">
        <f t="shared" si="300"/>
        <v>5.25</v>
      </c>
      <c r="R1423" s="2" t="str">
        <f t="shared" si="301"/>
        <v>Number</v>
      </c>
      <c r="S1423" s="2">
        <v>5.99</v>
      </c>
      <c r="T1423" s="19">
        <f t="shared" si="302"/>
        <v>5.99</v>
      </c>
      <c r="U1423" s="2">
        <v>35.729999999999997</v>
      </c>
      <c r="V1423" s="19">
        <f t="shared" si="303"/>
        <v>35.729999999999997</v>
      </c>
      <c r="W1423" s="19">
        <f t="shared" si="304"/>
        <v>35.730000000000004</v>
      </c>
      <c r="X1423" s="19" t="str">
        <f t="shared" si="305"/>
        <v>True</v>
      </c>
      <c r="Y1423" s="19" t="str">
        <f>IF(OR(W1423&lt;'Cleaning Tasks'!$G$18,W1423&gt;'Cleaning Tasks'!$H$18),"Outlier","Normal")</f>
        <v>Normal</v>
      </c>
      <c r="Z1423" s="2" t="s">
        <v>49</v>
      </c>
      <c r="AA1423" s="2" t="s">
        <v>111</v>
      </c>
      <c r="AB1423" s="2" t="s">
        <v>41</v>
      </c>
      <c r="AC1423" s="2" t="s">
        <v>29</v>
      </c>
      <c r="AD1423" s="2" t="s">
        <v>67</v>
      </c>
      <c r="AE1423" s="2" t="str">
        <f t="shared" si="306"/>
        <v>Valid</v>
      </c>
      <c r="AF1423" s="2" t="s">
        <v>3933</v>
      </c>
    </row>
    <row r="1424" spans="1:32" x14ac:dyDescent="0.3">
      <c r="A1424" s="2" t="s">
        <v>3934</v>
      </c>
      <c r="B1424" s="2">
        <f t="shared" si="296"/>
        <v>1</v>
      </c>
      <c r="C1424" s="12">
        <f t="shared" si="307"/>
        <v>46238.585001134263</v>
      </c>
      <c r="D1424" s="13">
        <v>46238.585001134263</v>
      </c>
      <c r="E1424" s="2" t="s">
        <v>705</v>
      </c>
      <c r="F1424" s="2" t="str">
        <f t="shared" si="297"/>
        <v>Email Available</v>
      </c>
      <c r="G1424" s="2" t="s">
        <v>706</v>
      </c>
      <c r="H1424" s="2" t="s">
        <v>85</v>
      </c>
      <c r="I1424" s="2" t="s">
        <v>86</v>
      </c>
      <c r="J1424" s="2" t="s">
        <v>87</v>
      </c>
      <c r="K1424" s="2">
        <v>1</v>
      </c>
      <c r="L1424" s="2">
        <v>54.99</v>
      </c>
      <c r="M1424" s="19">
        <f t="shared" si="298"/>
        <v>54.99</v>
      </c>
      <c r="N1424" s="2"/>
      <c r="O1424" s="2" t="str">
        <f t="shared" si="299"/>
        <v/>
      </c>
      <c r="P1424" s="2">
        <v>0</v>
      </c>
      <c r="Q1424" s="19">
        <f t="shared" si="300"/>
        <v>0</v>
      </c>
      <c r="R1424" s="2" t="str">
        <f t="shared" si="301"/>
        <v>Number</v>
      </c>
      <c r="S1424" s="2">
        <v>4.99</v>
      </c>
      <c r="T1424" s="19">
        <f t="shared" si="302"/>
        <v>4.99</v>
      </c>
      <c r="U1424" s="2">
        <v>59.98</v>
      </c>
      <c r="V1424" s="19">
        <f t="shared" si="303"/>
        <v>59.98</v>
      </c>
      <c r="W1424" s="19">
        <f t="shared" si="304"/>
        <v>59.980000000000004</v>
      </c>
      <c r="X1424" s="19" t="str">
        <f t="shared" si="305"/>
        <v>True</v>
      </c>
      <c r="Y1424" s="19" t="str">
        <f>IF(OR(W1424&lt;'Cleaning Tasks'!$G$18,W1424&gt;'Cleaning Tasks'!$H$18),"Outlier","Normal")</f>
        <v>Normal</v>
      </c>
      <c r="Z1424" s="2" t="s">
        <v>26</v>
      </c>
      <c r="AA1424" s="2" t="s">
        <v>27</v>
      </c>
      <c r="AB1424" s="2" t="s">
        <v>50</v>
      </c>
      <c r="AC1424" s="2" t="s">
        <v>331</v>
      </c>
      <c r="AD1424" s="2"/>
      <c r="AE1424" s="2" t="str">
        <f t="shared" si="306"/>
        <v>Not Required</v>
      </c>
      <c r="AF1424" s="2" t="s">
        <v>3935</v>
      </c>
    </row>
    <row r="1425" spans="1:32" x14ac:dyDescent="0.3">
      <c r="A1425" s="2" t="s">
        <v>3936</v>
      </c>
      <c r="B1425" s="2">
        <f t="shared" si="296"/>
        <v>1</v>
      </c>
      <c r="C1425" s="12">
        <f t="shared" si="307"/>
        <v>46238.580436446762</v>
      </c>
      <c r="D1425" s="13">
        <v>46238.580436446762</v>
      </c>
      <c r="E1425" s="2" t="s">
        <v>554</v>
      </c>
      <c r="F1425" s="2" t="str">
        <f t="shared" si="297"/>
        <v>Email Available</v>
      </c>
      <c r="G1425" s="2" t="s">
        <v>45</v>
      </c>
      <c r="H1425" s="2" t="s">
        <v>309</v>
      </c>
      <c r="I1425" s="2" t="s">
        <v>36</v>
      </c>
      <c r="J1425" s="2" t="s">
        <v>310</v>
      </c>
      <c r="K1425" s="2">
        <v>3</v>
      </c>
      <c r="L1425" s="2">
        <v>8.99</v>
      </c>
      <c r="M1425" s="19">
        <f t="shared" si="298"/>
        <v>8.99</v>
      </c>
      <c r="N1425" s="2" t="s">
        <v>38</v>
      </c>
      <c r="O1425" s="2" t="str">
        <f t="shared" si="299"/>
        <v>FREESHIP</v>
      </c>
      <c r="P1425" s="2">
        <v>0</v>
      </c>
      <c r="Q1425" s="19">
        <f t="shared" si="300"/>
        <v>0</v>
      </c>
      <c r="R1425" s="2" t="str">
        <f t="shared" si="301"/>
        <v>Number</v>
      </c>
      <c r="S1425" s="2">
        <v>0</v>
      </c>
      <c r="T1425" s="19">
        <f t="shared" si="302"/>
        <v>0</v>
      </c>
      <c r="U1425" s="2">
        <v>26.97</v>
      </c>
      <c r="V1425" s="19">
        <f t="shared" si="303"/>
        <v>26.97</v>
      </c>
      <c r="W1425" s="19">
        <f t="shared" si="304"/>
        <v>26.97</v>
      </c>
      <c r="X1425" s="19" t="str">
        <f t="shared" si="305"/>
        <v>True</v>
      </c>
      <c r="Y1425" s="19" t="str">
        <f>IF(OR(W1425&lt;'Cleaning Tasks'!$G$18,W1425&gt;'Cleaning Tasks'!$H$18),"Outlier","Normal")</f>
        <v>Normal</v>
      </c>
      <c r="Z1425" s="2" t="s">
        <v>66</v>
      </c>
      <c r="AA1425" s="2" t="s">
        <v>40</v>
      </c>
      <c r="AB1425" s="2" t="s">
        <v>50</v>
      </c>
      <c r="AC1425" s="2" t="s">
        <v>29</v>
      </c>
      <c r="AD1425" s="22" t="s">
        <v>51</v>
      </c>
      <c r="AE1425" s="2" t="str">
        <f t="shared" si="306"/>
        <v>Valid</v>
      </c>
      <c r="AF1425" s="2" t="s">
        <v>3937</v>
      </c>
    </row>
    <row r="1426" spans="1:32" x14ac:dyDescent="0.3">
      <c r="A1426" s="2" t="s">
        <v>3938</v>
      </c>
      <c r="B1426" s="2">
        <f t="shared" si="296"/>
        <v>1</v>
      </c>
      <c r="C1426" s="12">
        <f t="shared" si="307"/>
        <v>46238.580058009262</v>
      </c>
      <c r="D1426" s="13">
        <v>46238.580058009262</v>
      </c>
      <c r="E1426" s="2" t="s">
        <v>1596</v>
      </c>
      <c r="F1426" s="2" t="str">
        <f t="shared" si="297"/>
        <v>Email Available</v>
      </c>
      <c r="G1426" s="2" t="s">
        <v>1597</v>
      </c>
      <c r="H1426" s="2" t="s">
        <v>109</v>
      </c>
      <c r="I1426" s="2" t="s">
        <v>79</v>
      </c>
      <c r="J1426" s="2" t="s">
        <v>110</v>
      </c>
      <c r="K1426" s="2">
        <v>1</v>
      </c>
      <c r="L1426" s="2" t="s">
        <v>990</v>
      </c>
      <c r="M1426" s="19">
        <f t="shared" si="298"/>
        <v>22.99</v>
      </c>
      <c r="N1426" s="2"/>
      <c r="O1426" s="2" t="str">
        <f t="shared" si="299"/>
        <v/>
      </c>
      <c r="P1426" s="2">
        <v>0</v>
      </c>
      <c r="Q1426" s="19">
        <f t="shared" si="300"/>
        <v>0</v>
      </c>
      <c r="R1426" s="2" t="str">
        <f t="shared" si="301"/>
        <v>Number</v>
      </c>
      <c r="S1426" s="2">
        <v>5.99</v>
      </c>
      <c r="T1426" s="19">
        <f t="shared" si="302"/>
        <v>5.99</v>
      </c>
      <c r="U1426" s="2">
        <v>28.98</v>
      </c>
      <c r="V1426" s="19">
        <f t="shared" si="303"/>
        <v>28.98</v>
      </c>
      <c r="W1426" s="19">
        <f t="shared" si="304"/>
        <v>28.979999999999997</v>
      </c>
      <c r="X1426" s="19" t="str">
        <f t="shared" si="305"/>
        <v>True</v>
      </c>
      <c r="Y1426" s="19" t="str">
        <f>IF(OR(W1426&lt;'Cleaning Tasks'!$G$18,W1426&gt;'Cleaning Tasks'!$H$18),"Outlier","Normal")</f>
        <v>Normal</v>
      </c>
      <c r="Z1426" s="2" t="s">
        <v>72</v>
      </c>
      <c r="AA1426" s="2" t="s">
        <v>27</v>
      </c>
      <c r="AB1426" s="2" t="s">
        <v>28</v>
      </c>
      <c r="AC1426" s="2" t="s">
        <v>73</v>
      </c>
      <c r="AD1426" s="2"/>
      <c r="AE1426" s="2" t="str">
        <f t="shared" si="306"/>
        <v>Not Required</v>
      </c>
      <c r="AF1426" s="2" t="s">
        <v>3939</v>
      </c>
    </row>
    <row r="1427" spans="1:32" x14ac:dyDescent="0.3">
      <c r="A1427" s="2" t="s">
        <v>3940</v>
      </c>
      <c r="B1427" s="2">
        <f t="shared" si="296"/>
        <v>1</v>
      </c>
      <c r="C1427" s="12">
        <f t="shared" si="307"/>
        <v>46238.584228217587</v>
      </c>
      <c r="D1427" s="13">
        <v>46238.584228217587</v>
      </c>
      <c r="E1427" s="2" t="s">
        <v>494</v>
      </c>
      <c r="F1427" s="2" t="str">
        <f t="shared" si="297"/>
        <v>Email Available</v>
      </c>
      <c r="G1427" s="2" t="s">
        <v>495</v>
      </c>
      <c r="H1427" s="2" t="s">
        <v>124</v>
      </c>
      <c r="I1427" s="2" t="s">
        <v>79</v>
      </c>
      <c r="J1427" s="2" t="s">
        <v>125</v>
      </c>
      <c r="K1427" s="2">
        <v>2</v>
      </c>
      <c r="L1427" s="2">
        <v>13.99</v>
      </c>
      <c r="M1427" s="19">
        <f t="shared" si="298"/>
        <v>13.99</v>
      </c>
      <c r="N1427" s="2" t="s">
        <v>118</v>
      </c>
      <c r="O1427" s="2" t="str">
        <f t="shared" si="299"/>
        <v>BFCM25</v>
      </c>
      <c r="P1427" s="2">
        <v>7</v>
      </c>
      <c r="Q1427" s="19">
        <f t="shared" si="300"/>
        <v>7</v>
      </c>
      <c r="R1427" s="2" t="str">
        <f t="shared" si="301"/>
        <v>Number</v>
      </c>
      <c r="S1427" s="2">
        <v>7.99</v>
      </c>
      <c r="T1427" s="19">
        <f t="shared" si="302"/>
        <v>7.99</v>
      </c>
      <c r="U1427" s="2">
        <v>28.97</v>
      </c>
      <c r="V1427" s="19">
        <f t="shared" si="303"/>
        <v>28.97</v>
      </c>
      <c r="W1427" s="19">
        <f t="shared" si="304"/>
        <v>28.97</v>
      </c>
      <c r="X1427" s="19" t="str">
        <f t="shared" si="305"/>
        <v>True</v>
      </c>
      <c r="Y1427" s="19" t="str">
        <f>IF(OR(W1427&lt;'Cleaning Tasks'!$G$18,W1427&gt;'Cleaning Tasks'!$H$18),"Outlier","Normal")</f>
        <v>Normal</v>
      </c>
      <c r="Z1427" s="2" t="s">
        <v>72</v>
      </c>
      <c r="AA1427" s="2" t="s">
        <v>40</v>
      </c>
      <c r="AB1427" s="2" t="s">
        <v>50</v>
      </c>
      <c r="AC1427" s="2" t="s">
        <v>105</v>
      </c>
      <c r="AD1427" s="2"/>
      <c r="AE1427" s="2" t="str">
        <f t="shared" si="306"/>
        <v>Not Required</v>
      </c>
      <c r="AF1427" s="2" t="s">
        <v>3014</v>
      </c>
    </row>
    <row r="1428" spans="1:32" x14ac:dyDescent="0.3">
      <c r="A1428" s="2" t="s">
        <v>3941</v>
      </c>
      <c r="B1428" s="2">
        <f t="shared" si="296"/>
        <v>1</v>
      </c>
      <c r="C1428" s="12">
        <f t="shared" si="307"/>
        <v>46238</v>
      </c>
      <c r="D1428" s="13" t="s">
        <v>714</v>
      </c>
      <c r="E1428" s="2" t="s">
        <v>377</v>
      </c>
      <c r="F1428" s="2" t="str">
        <f t="shared" si="297"/>
        <v>Email Available</v>
      </c>
      <c r="G1428" s="2" t="s">
        <v>378</v>
      </c>
      <c r="H1428" s="2" t="s">
        <v>279</v>
      </c>
      <c r="I1428" s="2" t="s">
        <v>22</v>
      </c>
      <c r="J1428" s="2" t="s">
        <v>280</v>
      </c>
      <c r="K1428" s="2">
        <v>1</v>
      </c>
      <c r="L1428" s="2">
        <v>24.99</v>
      </c>
      <c r="M1428" s="19">
        <f t="shared" si="298"/>
        <v>24.99</v>
      </c>
      <c r="N1428" s="2" t="s">
        <v>118</v>
      </c>
      <c r="O1428" s="2" t="str">
        <f t="shared" si="299"/>
        <v>BFCM25</v>
      </c>
      <c r="P1428" s="2">
        <v>6.25</v>
      </c>
      <c r="Q1428" s="19">
        <f t="shared" si="300"/>
        <v>6.25</v>
      </c>
      <c r="R1428" s="2" t="str">
        <f t="shared" si="301"/>
        <v>Number</v>
      </c>
      <c r="S1428" s="2">
        <v>5.99</v>
      </c>
      <c r="T1428" s="19">
        <f t="shared" si="302"/>
        <v>5.99</v>
      </c>
      <c r="U1428" s="2">
        <v>24.73</v>
      </c>
      <c r="V1428" s="19">
        <f t="shared" si="303"/>
        <v>24.73</v>
      </c>
      <c r="W1428" s="19">
        <f t="shared" si="304"/>
        <v>24.729999999999997</v>
      </c>
      <c r="X1428" s="19" t="str">
        <f t="shared" si="305"/>
        <v>True</v>
      </c>
      <c r="Y1428" s="19" t="str">
        <f>IF(OR(W1428&lt;'Cleaning Tasks'!$G$18,W1428&gt;'Cleaning Tasks'!$H$18),"Outlier","Normal")</f>
        <v>Normal</v>
      </c>
      <c r="Z1428" s="2" t="s">
        <v>49</v>
      </c>
      <c r="AA1428" s="2" t="s">
        <v>88</v>
      </c>
      <c r="AB1428" s="2" t="s">
        <v>28</v>
      </c>
      <c r="AC1428" s="2" t="s">
        <v>73</v>
      </c>
      <c r="AD1428" s="2"/>
      <c r="AE1428" s="2" t="str">
        <f t="shared" si="306"/>
        <v>Not Required</v>
      </c>
      <c r="AF1428" s="2" t="s">
        <v>3942</v>
      </c>
    </row>
    <row r="1429" spans="1:32" x14ac:dyDescent="0.3">
      <c r="A1429" s="2" t="s">
        <v>3943</v>
      </c>
      <c r="B1429" s="2">
        <f t="shared" si="296"/>
        <v>1</v>
      </c>
      <c r="C1429" s="12">
        <f t="shared" si="307"/>
        <v>46238.583708622682</v>
      </c>
      <c r="D1429" s="13">
        <v>46238.583708622682</v>
      </c>
      <c r="E1429" s="2" t="s">
        <v>705</v>
      </c>
      <c r="F1429" s="2" t="str">
        <f t="shared" si="297"/>
        <v>Email Available</v>
      </c>
      <c r="G1429" s="2" t="s">
        <v>706</v>
      </c>
      <c r="H1429" s="2" t="s">
        <v>130</v>
      </c>
      <c r="I1429" s="2" t="s">
        <v>103</v>
      </c>
      <c r="J1429" s="2" t="s">
        <v>131</v>
      </c>
      <c r="K1429" s="2">
        <v>1</v>
      </c>
      <c r="L1429" s="2">
        <v>16.989999999999998</v>
      </c>
      <c r="M1429" s="19">
        <f t="shared" si="298"/>
        <v>16.989999999999998</v>
      </c>
      <c r="N1429" s="2" t="s">
        <v>65</v>
      </c>
      <c r="O1429" s="2" t="str">
        <f t="shared" si="299"/>
        <v>WELCOME10</v>
      </c>
      <c r="P1429" s="2">
        <v>1.7</v>
      </c>
      <c r="Q1429" s="19">
        <f t="shared" si="300"/>
        <v>1.7</v>
      </c>
      <c r="R1429" s="2" t="str">
        <f t="shared" si="301"/>
        <v>Number</v>
      </c>
      <c r="S1429" s="2">
        <v>4.99</v>
      </c>
      <c r="T1429" s="19">
        <f t="shared" si="302"/>
        <v>4.99</v>
      </c>
      <c r="U1429" s="2">
        <v>20.28</v>
      </c>
      <c r="V1429" s="19">
        <f t="shared" si="303"/>
        <v>20.28</v>
      </c>
      <c r="W1429" s="19">
        <f t="shared" si="304"/>
        <v>20.28</v>
      </c>
      <c r="X1429" s="19" t="str">
        <f t="shared" si="305"/>
        <v>True</v>
      </c>
      <c r="Y1429" s="19" t="str">
        <f>IF(OR(W1429&lt;'Cleaning Tasks'!$G$18,W1429&gt;'Cleaning Tasks'!$H$18),"Outlier","Normal")</f>
        <v>Normal</v>
      </c>
      <c r="Z1429" s="2" t="s">
        <v>66</v>
      </c>
      <c r="AA1429" s="2" t="s">
        <v>40</v>
      </c>
      <c r="AB1429" s="2" t="s">
        <v>50</v>
      </c>
      <c r="AC1429" s="2" t="s">
        <v>331</v>
      </c>
      <c r="AD1429" s="2"/>
      <c r="AE1429" s="2" t="str">
        <f t="shared" si="306"/>
        <v>Not Required</v>
      </c>
      <c r="AF1429" s="2" t="s">
        <v>3944</v>
      </c>
    </row>
    <row r="1430" spans="1:32" x14ac:dyDescent="0.3">
      <c r="A1430" s="2" t="s">
        <v>3945</v>
      </c>
      <c r="B1430" s="2">
        <f t="shared" si="296"/>
        <v>1</v>
      </c>
      <c r="C1430" s="12">
        <f t="shared" si="307"/>
        <v>46238.579305659718</v>
      </c>
      <c r="D1430" s="13">
        <v>46238.579305659718</v>
      </c>
      <c r="E1430" s="2" t="s">
        <v>417</v>
      </c>
      <c r="F1430" s="2" t="str">
        <f t="shared" si="297"/>
        <v>Email Available</v>
      </c>
      <c r="G1430" s="2" t="s">
        <v>418</v>
      </c>
      <c r="H1430" s="2" t="s">
        <v>221</v>
      </c>
      <c r="I1430" s="2" t="s">
        <v>22</v>
      </c>
      <c r="J1430" s="2" t="s">
        <v>222</v>
      </c>
      <c r="K1430" s="2">
        <v>1</v>
      </c>
      <c r="L1430" s="2">
        <v>17.989999999999998</v>
      </c>
      <c r="M1430" s="19">
        <f t="shared" si="298"/>
        <v>17.989999999999998</v>
      </c>
      <c r="N1430" s="2" t="s">
        <v>203</v>
      </c>
      <c r="O1430" s="2" t="str">
        <f t="shared" si="299"/>
        <v>VIP15</v>
      </c>
      <c r="P1430" s="2">
        <v>2.7</v>
      </c>
      <c r="Q1430" s="19">
        <f t="shared" si="300"/>
        <v>2.7</v>
      </c>
      <c r="R1430" s="2" t="str">
        <f t="shared" si="301"/>
        <v>Number</v>
      </c>
      <c r="S1430" s="2">
        <v>5.99</v>
      </c>
      <c r="T1430" s="19">
        <f t="shared" si="302"/>
        <v>5.99</v>
      </c>
      <c r="U1430" s="2">
        <v>21.28</v>
      </c>
      <c r="V1430" s="19">
        <f t="shared" si="303"/>
        <v>21.28</v>
      </c>
      <c r="W1430" s="19">
        <f t="shared" si="304"/>
        <v>21.28</v>
      </c>
      <c r="X1430" s="19" t="str">
        <f t="shared" si="305"/>
        <v>True</v>
      </c>
      <c r="Y1430" s="19" t="str">
        <f>IF(OR(W1430&lt;'Cleaning Tasks'!$G$18,W1430&gt;'Cleaning Tasks'!$H$18),"Outlier","Normal")</f>
        <v>Normal</v>
      </c>
      <c r="Z1430" s="2" t="s">
        <v>49</v>
      </c>
      <c r="AA1430" s="2" t="s">
        <v>111</v>
      </c>
      <c r="AB1430" s="2" t="s">
        <v>96</v>
      </c>
      <c r="AC1430" s="2" t="s">
        <v>29</v>
      </c>
      <c r="AD1430" s="2" t="s">
        <v>30</v>
      </c>
      <c r="AE1430" s="2" t="str">
        <f t="shared" si="306"/>
        <v>Valid</v>
      </c>
      <c r="AF1430" s="2" t="s">
        <v>3946</v>
      </c>
    </row>
    <row r="1431" spans="1:32" x14ac:dyDescent="0.3">
      <c r="A1431" s="2" t="s">
        <v>3947</v>
      </c>
      <c r="B1431" s="2">
        <f t="shared" si="296"/>
        <v>1</v>
      </c>
      <c r="C1431" s="12">
        <f t="shared" si="307"/>
        <v>46238.581951423606</v>
      </c>
      <c r="D1431" s="13">
        <v>46238.581951423606</v>
      </c>
      <c r="E1431" s="2" t="s">
        <v>417</v>
      </c>
      <c r="F1431" s="2" t="str">
        <f t="shared" si="297"/>
        <v>Email Available</v>
      </c>
      <c r="G1431" s="2" t="s">
        <v>418</v>
      </c>
      <c r="H1431" s="2" t="s">
        <v>46</v>
      </c>
      <c r="I1431" s="2" t="s">
        <v>47</v>
      </c>
      <c r="J1431" s="2" t="s">
        <v>48</v>
      </c>
      <c r="K1431" s="2">
        <v>2</v>
      </c>
      <c r="L1431" s="2">
        <v>39.99</v>
      </c>
      <c r="M1431" s="19">
        <f t="shared" si="298"/>
        <v>39.99</v>
      </c>
      <c r="N1431" s="2"/>
      <c r="O1431" s="2" t="str">
        <f t="shared" si="299"/>
        <v/>
      </c>
      <c r="P1431" s="2">
        <v>0</v>
      </c>
      <c r="Q1431" s="19">
        <f t="shared" si="300"/>
        <v>0</v>
      </c>
      <c r="R1431" s="2" t="str">
        <f t="shared" si="301"/>
        <v>Number</v>
      </c>
      <c r="S1431" s="2">
        <v>0</v>
      </c>
      <c r="T1431" s="19">
        <f t="shared" si="302"/>
        <v>0</v>
      </c>
      <c r="U1431" s="2">
        <v>79.98</v>
      </c>
      <c r="V1431" s="19">
        <f t="shared" si="303"/>
        <v>79.98</v>
      </c>
      <c r="W1431" s="19">
        <f t="shared" si="304"/>
        <v>79.98</v>
      </c>
      <c r="X1431" s="19" t="str">
        <f t="shared" si="305"/>
        <v>True</v>
      </c>
      <c r="Y1431" s="19" t="str">
        <f>IF(OR(W1431&lt;'Cleaning Tasks'!$G$18,W1431&gt;'Cleaning Tasks'!$H$18),"Outlier","Normal")</f>
        <v>Normal</v>
      </c>
      <c r="Z1431" s="2" t="s">
        <v>72</v>
      </c>
      <c r="AA1431" s="2" t="s">
        <v>88</v>
      </c>
      <c r="AB1431" s="2" t="s">
        <v>50</v>
      </c>
      <c r="AC1431" s="2" t="s">
        <v>29</v>
      </c>
      <c r="AD1431" s="2" t="s">
        <v>67</v>
      </c>
      <c r="AE1431" s="2" t="str">
        <f t="shared" si="306"/>
        <v>Valid</v>
      </c>
      <c r="AF1431" s="2" t="s">
        <v>3948</v>
      </c>
    </row>
    <row r="1432" spans="1:32" x14ac:dyDescent="0.3">
      <c r="A1432" s="2" t="s">
        <v>3949</v>
      </c>
      <c r="B1432" s="2">
        <f t="shared" si="296"/>
        <v>1</v>
      </c>
      <c r="C1432" s="12">
        <f t="shared" si="307"/>
        <v>46238.585420243056</v>
      </c>
      <c r="D1432" s="13">
        <v>46238.585420243056</v>
      </c>
      <c r="E1432" s="2" t="s">
        <v>398</v>
      </c>
      <c r="F1432" s="2" t="str">
        <f t="shared" si="297"/>
        <v>Email Available</v>
      </c>
      <c r="G1432" s="2" t="s">
        <v>399</v>
      </c>
      <c r="H1432" s="2" t="s">
        <v>267</v>
      </c>
      <c r="I1432" s="2" t="s">
        <v>22</v>
      </c>
      <c r="J1432" s="2" t="s">
        <v>268</v>
      </c>
      <c r="K1432" s="2">
        <v>1</v>
      </c>
      <c r="L1432" s="2">
        <v>18.989999999999998</v>
      </c>
      <c r="M1432" s="19">
        <f t="shared" si="298"/>
        <v>18.989999999999998</v>
      </c>
      <c r="N1432" s="2" t="s">
        <v>118</v>
      </c>
      <c r="O1432" s="2" t="str">
        <f t="shared" si="299"/>
        <v>BFCM25</v>
      </c>
      <c r="P1432" s="2" t="s">
        <v>3261</v>
      </c>
      <c r="Q1432" s="19">
        <f t="shared" si="300"/>
        <v>4.75</v>
      </c>
      <c r="R1432" s="2" t="str">
        <f t="shared" si="301"/>
        <v>Number</v>
      </c>
      <c r="S1432" s="2">
        <v>5.99</v>
      </c>
      <c r="T1432" s="19">
        <f t="shared" si="302"/>
        <v>5.99</v>
      </c>
      <c r="U1432" s="2" t="s">
        <v>3950</v>
      </c>
      <c r="V1432" s="19">
        <f t="shared" si="303"/>
        <v>20.23</v>
      </c>
      <c r="W1432" s="19">
        <f t="shared" si="304"/>
        <v>20.229999999999997</v>
      </c>
      <c r="X1432" s="19" t="str">
        <f t="shared" si="305"/>
        <v>True</v>
      </c>
      <c r="Y1432" s="19" t="str">
        <f>IF(OR(W1432&lt;'Cleaning Tasks'!$G$18,W1432&gt;'Cleaning Tasks'!$H$18),"Outlier","Normal")</f>
        <v>Normal</v>
      </c>
      <c r="Z1432" s="2" t="s">
        <v>72</v>
      </c>
      <c r="AA1432" s="2" t="s">
        <v>40</v>
      </c>
      <c r="AB1432" s="2" t="s">
        <v>50</v>
      </c>
      <c r="AC1432" s="2" t="s">
        <v>29</v>
      </c>
      <c r="AD1432" s="2" t="s">
        <v>341</v>
      </c>
      <c r="AE1432" s="2" t="str">
        <f t="shared" si="306"/>
        <v>Valid</v>
      </c>
      <c r="AF1432" s="2" t="s">
        <v>3951</v>
      </c>
    </row>
    <row r="1433" spans="1:32" x14ac:dyDescent="0.3">
      <c r="A1433" s="2" t="s">
        <v>3952</v>
      </c>
      <c r="B1433" s="2">
        <f t="shared" si="296"/>
        <v>1</v>
      </c>
      <c r="C1433" s="12">
        <f t="shared" si="307"/>
        <v>46238</v>
      </c>
      <c r="D1433" s="13" t="s">
        <v>250</v>
      </c>
      <c r="E1433" s="2" t="s">
        <v>357</v>
      </c>
      <c r="F1433" s="2" t="str">
        <f t="shared" si="297"/>
        <v>Missing Email</v>
      </c>
      <c r="G1433" s="2"/>
      <c r="H1433" s="2" t="s">
        <v>130</v>
      </c>
      <c r="I1433" s="2" t="s">
        <v>103</v>
      </c>
      <c r="J1433" s="2" t="s">
        <v>131</v>
      </c>
      <c r="K1433" s="2">
        <v>1</v>
      </c>
      <c r="L1433" s="2">
        <v>16.989999999999998</v>
      </c>
      <c r="M1433" s="19">
        <f t="shared" si="298"/>
        <v>16.989999999999998</v>
      </c>
      <c r="N1433" s="2" t="s">
        <v>203</v>
      </c>
      <c r="O1433" s="2" t="str">
        <f t="shared" si="299"/>
        <v>VIP15</v>
      </c>
      <c r="P1433" s="2" t="s">
        <v>3953</v>
      </c>
      <c r="Q1433" s="19">
        <f t="shared" si="300"/>
        <v>2.5499999999999998</v>
      </c>
      <c r="R1433" s="2" t="str">
        <f t="shared" si="301"/>
        <v>Number</v>
      </c>
      <c r="S1433" s="2">
        <v>7.99</v>
      </c>
      <c r="T1433" s="19">
        <f t="shared" si="302"/>
        <v>7.99</v>
      </c>
      <c r="U1433" s="2">
        <v>22.43</v>
      </c>
      <c r="V1433" s="19">
        <f t="shared" si="303"/>
        <v>22.43</v>
      </c>
      <c r="W1433" s="19">
        <f t="shared" si="304"/>
        <v>22.43</v>
      </c>
      <c r="X1433" s="19" t="str">
        <f t="shared" si="305"/>
        <v>True</v>
      </c>
      <c r="Y1433" s="19" t="str">
        <f>IF(OR(W1433&lt;'Cleaning Tasks'!$G$18,W1433&gt;'Cleaning Tasks'!$H$18),"Outlier","Normal")</f>
        <v>Normal</v>
      </c>
      <c r="Z1433" s="2" t="s">
        <v>72</v>
      </c>
      <c r="AA1433" s="2" t="s">
        <v>27</v>
      </c>
      <c r="AB1433" s="2" t="s">
        <v>28</v>
      </c>
      <c r="AC1433" s="2" t="s">
        <v>73</v>
      </c>
      <c r="AD1433" s="2"/>
      <c r="AE1433" s="2" t="str">
        <f t="shared" si="306"/>
        <v>Not Required</v>
      </c>
      <c r="AF1433" s="2" t="s">
        <v>3954</v>
      </c>
    </row>
    <row r="1434" spans="1:32" x14ac:dyDescent="0.3">
      <c r="A1434" s="2" t="s">
        <v>3955</v>
      </c>
      <c r="B1434" s="2">
        <f t="shared" si="296"/>
        <v>1</v>
      </c>
      <c r="C1434" s="12">
        <f t="shared" si="307"/>
        <v>46238.584311319442</v>
      </c>
      <c r="D1434" s="13">
        <v>46238.584311319442</v>
      </c>
      <c r="E1434" s="2" t="s">
        <v>188</v>
      </c>
      <c r="F1434" s="2" t="str">
        <f t="shared" si="297"/>
        <v>Email Available</v>
      </c>
      <c r="G1434" s="2" t="s">
        <v>189</v>
      </c>
      <c r="H1434" s="2" t="s">
        <v>109</v>
      </c>
      <c r="I1434" s="2" t="s">
        <v>79</v>
      </c>
      <c r="J1434" s="2" t="s">
        <v>110</v>
      </c>
      <c r="K1434" s="2">
        <v>4</v>
      </c>
      <c r="L1434" s="2">
        <v>22.99</v>
      </c>
      <c r="M1434" s="19">
        <f t="shared" si="298"/>
        <v>22.99</v>
      </c>
      <c r="N1434" s="2"/>
      <c r="O1434" s="2" t="str">
        <f t="shared" si="299"/>
        <v/>
      </c>
      <c r="P1434" s="2">
        <v>0</v>
      </c>
      <c r="Q1434" s="19">
        <f t="shared" si="300"/>
        <v>0</v>
      </c>
      <c r="R1434" s="2" t="str">
        <f t="shared" si="301"/>
        <v>Number</v>
      </c>
      <c r="S1434" s="2">
        <v>0</v>
      </c>
      <c r="T1434" s="19">
        <f t="shared" si="302"/>
        <v>0</v>
      </c>
      <c r="U1434" s="2">
        <v>91.96</v>
      </c>
      <c r="V1434" s="19">
        <f t="shared" si="303"/>
        <v>91.96</v>
      </c>
      <c r="W1434" s="19">
        <f t="shared" si="304"/>
        <v>91.96</v>
      </c>
      <c r="X1434" s="19" t="str">
        <f t="shared" si="305"/>
        <v>True</v>
      </c>
      <c r="Y1434" s="19" t="str">
        <f>IF(OR(W1434&lt;'Cleaning Tasks'!$G$18,W1434&gt;'Cleaning Tasks'!$H$18),"Outlier","Normal")</f>
        <v>Outlier</v>
      </c>
      <c r="Z1434" s="2" t="s">
        <v>26</v>
      </c>
      <c r="AA1434" s="2" t="s">
        <v>88</v>
      </c>
      <c r="AB1434" s="2" t="s">
        <v>50</v>
      </c>
      <c r="AC1434" s="2" t="s">
        <v>29</v>
      </c>
      <c r="AD1434" s="22" t="s">
        <v>58</v>
      </c>
      <c r="AE1434" s="2" t="str">
        <f t="shared" si="306"/>
        <v>Valid</v>
      </c>
      <c r="AF1434" s="2" t="s">
        <v>3956</v>
      </c>
    </row>
    <row r="1435" spans="1:32" x14ac:dyDescent="0.3">
      <c r="A1435" s="2" t="s">
        <v>3957</v>
      </c>
      <c r="B1435" s="2">
        <f t="shared" si="296"/>
        <v>1</v>
      </c>
      <c r="C1435" s="12">
        <f t="shared" si="307"/>
        <v>46238.585028136571</v>
      </c>
      <c r="D1435" s="13">
        <v>46238.585028136571</v>
      </c>
      <c r="E1435" s="2" t="s">
        <v>705</v>
      </c>
      <c r="F1435" s="2" t="str">
        <f t="shared" si="297"/>
        <v>Email Available</v>
      </c>
      <c r="G1435" s="2" t="s">
        <v>706</v>
      </c>
      <c r="H1435" s="2" t="s">
        <v>78</v>
      </c>
      <c r="I1435" s="2" t="s">
        <v>79</v>
      </c>
      <c r="J1435" s="2" t="s">
        <v>80</v>
      </c>
      <c r="K1435" s="2">
        <v>1</v>
      </c>
      <c r="L1435" s="2">
        <v>89.99</v>
      </c>
      <c r="M1435" s="19">
        <f t="shared" si="298"/>
        <v>89.99</v>
      </c>
      <c r="N1435" s="2" t="s">
        <v>118</v>
      </c>
      <c r="O1435" s="2" t="str">
        <f t="shared" si="299"/>
        <v>BFCM25</v>
      </c>
      <c r="P1435" s="2">
        <v>22.5</v>
      </c>
      <c r="Q1435" s="19">
        <f t="shared" si="300"/>
        <v>22.5</v>
      </c>
      <c r="R1435" s="2" t="str">
        <f t="shared" si="301"/>
        <v>Number</v>
      </c>
      <c r="S1435" s="2">
        <v>0</v>
      </c>
      <c r="T1435" s="19">
        <f t="shared" si="302"/>
        <v>0</v>
      </c>
      <c r="U1435" s="2">
        <v>67.489999999999995</v>
      </c>
      <c r="V1435" s="19">
        <f t="shared" si="303"/>
        <v>67.489999999999995</v>
      </c>
      <c r="W1435" s="19">
        <f t="shared" si="304"/>
        <v>67.489999999999995</v>
      </c>
      <c r="X1435" s="19" t="str">
        <f t="shared" si="305"/>
        <v>True</v>
      </c>
      <c r="Y1435" s="19" t="str">
        <f>IF(OR(W1435&lt;'Cleaning Tasks'!$G$18,W1435&gt;'Cleaning Tasks'!$H$18),"Outlier","Normal")</f>
        <v>Normal</v>
      </c>
      <c r="Z1435" s="2" t="s">
        <v>66</v>
      </c>
      <c r="AA1435" s="2" t="s">
        <v>88</v>
      </c>
      <c r="AB1435" s="2" t="s">
        <v>50</v>
      </c>
      <c r="AC1435" s="2" t="s">
        <v>331</v>
      </c>
      <c r="AD1435" s="2"/>
      <c r="AE1435" s="2" t="str">
        <f t="shared" si="306"/>
        <v>Not Required</v>
      </c>
      <c r="AF1435" s="2" t="s">
        <v>3958</v>
      </c>
    </row>
    <row r="1436" spans="1:32" x14ac:dyDescent="0.3">
      <c r="A1436" s="2" t="s">
        <v>3959</v>
      </c>
      <c r="B1436" s="2">
        <f t="shared" si="296"/>
        <v>1</v>
      </c>
      <c r="C1436" s="12">
        <f t="shared" si="307"/>
        <v>46238.580775937502</v>
      </c>
      <c r="D1436" s="13">
        <v>46238.580775937502</v>
      </c>
      <c r="E1436" s="2" t="s">
        <v>206</v>
      </c>
      <c r="F1436" s="2" t="str">
        <f t="shared" si="297"/>
        <v>Email Available</v>
      </c>
      <c r="G1436" s="2" t="s">
        <v>207</v>
      </c>
      <c r="H1436" s="2" t="s">
        <v>46</v>
      </c>
      <c r="I1436" s="2" t="s">
        <v>47</v>
      </c>
      <c r="J1436" s="2" t="s">
        <v>48</v>
      </c>
      <c r="K1436" s="2">
        <v>2</v>
      </c>
      <c r="L1436" s="2">
        <v>39.99</v>
      </c>
      <c r="M1436" s="19">
        <f t="shared" si="298"/>
        <v>39.99</v>
      </c>
      <c r="N1436" s="2"/>
      <c r="O1436" s="2" t="str">
        <f t="shared" si="299"/>
        <v/>
      </c>
      <c r="P1436" s="2">
        <v>0</v>
      </c>
      <c r="Q1436" s="19">
        <f t="shared" si="300"/>
        <v>0</v>
      </c>
      <c r="R1436" s="2" t="str">
        <f t="shared" si="301"/>
        <v>Number</v>
      </c>
      <c r="S1436" s="2">
        <v>0</v>
      </c>
      <c r="T1436" s="19">
        <f t="shared" si="302"/>
        <v>0</v>
      </c>
      <c r="U1436" s="2">
        <v>79.98</v>
      </c>
      <c r="V1436" s="19">
        <f t="shared" si="303"/>
        <v>79.98</v>
      </c>
      <c r="W1436" s="19">
        <f t="shared" si="304"/>
        <v>79.98</v>
      </c>
      <c r="X1436" s="19" t="str">
        <f t="shared" si="305"/>
        <v>True</v>
      </c>
      <c r="Y1436" s="19" t="str">
        <f>IF(OR(W1436&lt;'Cleaning Tasks'!$G$18,W1436&gt;'Cleaning Tasks'!$H$18),"Outlier","Normal")</f>
        <v>Normal</v>
      </c>
      <c r="Z1436" s="2" t="s">
        <v>72</v>
      </c>
      <c r="AA1436" s="2" t="s">
        <v>40</v>
      </c>
      <c r="AB1436" s="2" t="s">
        <v>28</v>
      </c>
      <c r="AC1436" s="2" t="s">
        <v>105</v>
      </c>
      <c r="AD1436" s="2"/>
      <c r="AE1436" s="2" t="str">
        <f t="shared" si="306"/>
        <v>Not Required</v>
      </c>
      <c r="AF1436" s="2" t="s">
        <v>3960</v>
      </c>
    </row>
    <row r="1437" spans="1:32" x14ac:dyDescent="0.3">
      <c r="A1437" s="2" t="s">
        <v>3961</v>
      </c>
      <c r="B1437" s="2">
        <f t="shared" si="296"/>
        <v>1</v>
      </c>
      <c r="C1437" s="12">
        <f t="shared" si="307"/>
        <v>46238.582898564811</v>
      </c>
      <c r="D1437" s="13">
        <v>46238.582898564811</v>
      </c>
      <c r="E1437" s="2" t="s">
        <v>3962</v>
      </c>
      <c r="F1437" s="2" t="str">
        <f t="shared" si="297"/>
        <v>Email Available</v>
      </c>
      <c r="G1437" s="2" t="s">
        <v>3963</v>
      </c>
      <c r="H1437" s="2" t="s">
        <v>261</v>
      </c>
      <c r="I1437" s="2" t="s">
        <v>36</v>
      </c>
      <c r="J1437" s="2" t="s">
        <v>262</v>
      </c>
      <c r="K1437" s="2">
        <v>1</v>
      </c>
      <c r="L1437" s="2">
        <v>15.49</v>
      </c>
      <c r="M1437" s="19">
        <f t="shared" si="298"/>
        <v>15.49</v>
      </c>
      <c r="N1437" s="2"/>
      <c r="O1437" s="2" t="str">
        <f t="shared" si="299"/>
        <v/>
      </c>
      <c r="P1437" s="2">
        <v>0</v>
      </c>
      <c r="Q1437" s="19">
        <f t="shared" si="300"/>
        <v>0</v>
      </c>
      <c r="R1437" s="2" t="str">
        <f t="shared" si="301"/>
        <v>Number</v>
      </c>
      <c r="S1437" s="2">
        <v>4.99</v>
      </c>
      <c r="T1437" s="19">
        <f t="shared" si="302"/>
        <v>4.99</v>
      </c>
      <c r="U1437" s="2">
        <v>20.48</v>
      </c>
      <c r="V1437" s="19">
        <f t="shared" si="303"/>
        <v>20.48</v>
      </c>
      <c r="W1437" s="19">
        <f t="shared" si="304"/>
        <v>20.48</v>
      </c>
      <c r="X1437" s="19" t="str">
        <f t="shared" si="305"/>
        <v>True</v>
      </c>
      <c r="Y1437" s="19" t="str">
        <f>IF(OR(W1437&lt;'Cleaning Tasks'!$G$18,W1437&gt;'Cleaning Tasks'!$H$18),"Outlier","Normal")</f>
        <v>Normal</v>
      </c>
      <c r="Z1437" s="2" t="s">
        <v>72</v>
      </c>
      <c r="AA1437" s="2" t="s">
        <v>88</v>
      </c>
      <c r="AB1437" s="2" t="s">
        <v>50</v>
      </c>
      <c r="AC1437" s="2" t="s">
        <v>105</v>
      </c>
      <c r="AD1437" s="2"/>
      <c r="AE1437" s="2" t="str">
        <f t="shared" si="306"/>
        <v>Not Required</v>
      </c>
      <c r="AF1437" s="2" t="s">
        <v>3964</v>
      </c>
    </row>
    <row r="1438" spans="1:32" x14ac:dyDescent="0.3">
      <c r="A1438" s="2" t="s">
        <v>3965</v>
      </c>
      <c r="B1438" s="2">
        <f t="shared" si="296"/>
        <v>1</v>
      </c>
      <c r="C1438" s="12">
        <f t="shared" si="307"/>
        <v>46238.579810856478</v>
      </c>
      <c r="D1438" s="13">
        <v>46238.579810856478</v>
      </c>
      <c r="E1438" s="2" t="s">
        <v>339</v>
      </c>
      <c r="F1438" s="2" t="str">
        <f t="shared" si="297"/>
        <v>Email Available</v>
      </c>
      <c r="G1438" s="2" t="s">
        <v>445</v>
      </c>
      <c r="H1438" s="2" t="s">
        <v>46</v>
      </c>
      <c r="I1438" s="2" t="s">
        <v>47</v>
      </c>
      <c r="J1438" s="2" t="s">
        <v>48</v>
      </c>
      <c r="K1438" s="2">
        <v>4</v>
      </c>
      <c r="L1438" s="2">
        <v>39.99</v>
      </c>
      <c r="M1438" s="19">
        <f t="shared" si="298"/>
        <v>39.99</v>
      </c>
      <c r="N1438" s="2"/>
      <c r="O1438" s="2" t="str">
        <f t="shared" si="299"/>
        <v/>
      </c>
      <c r="P1438" s="2">
        <v>0</v>
      </c>
      <c r="Q1438" s="19">
        <f t="shared" si="300"/>
        <v>0</v>
      </c>
      <c r="R1438" s="2" t="str">
        <f t="shared" si="301"/>
        <v>Number</v>
      </c>
      <c r="S1438" s="2">
        <v>0</v>
      </c>
      <c r="T1438" s="19">
        <f t="shared" si="302"/>
        <v>0</v>
      </c>
      <c r="U1438" s="2">
        <v>159.96</v>
      </c>
      <c r="V1438" s="19">
        <f t="shared" si="303"/>
        <v>159.96</v>
      </c>
      <c r="W1438" s="19">
        <f t="shared" si="304"/>
        <v>159.96</v>
      </c>
      <c r="X1438" s="19" t="str">
        <f t="shared" si="305"/>
        <v>True</v>
      </c>
      <c r="Y1438" s="19" t="str">
        <f>IF(OR(W1438&lt;'Cleaning Tasks'!$G$18,W1438&gt;'Cleaning Tasks'!$H$18),"Outlier","Normal")</f>
        <v>Outlier</v>
      </c>
      <c r="Z1438" s="2" t="s">
        <v>49</v>
      </c>
      <c r="AA1438" s="2" t="s">
        <v>27</v>
      </c>
      <c r="AB1438" s="2" t="s">
        <v>50</v>
      </c>
      <c r="AC1438" s="2" t="s">
        <v>29</v>
      </c>
      <c r="AD1438" s="2" t="s">
        <v>447</v>
      </c>
      <c r="AE1438" s="2" t="str">
        <f t="shared" si="306"/>
        <v>Valid</v>
      </c>
      <c r="AF1438" s="2" t="s">
        <v>3966</v>
      </c>
    </row>
    <row r="1439" spans="1:32" x14ac:dyDescent="0.3">
      <c r="A1439" s="2" t="s">
        <v>3967</v>
      </c>
      <c r="B1439" s="2">
        <f t="shared" si="296"/>
        <v>1</v>
      </c>
      <c r="C1439" s="12">
        <f>DATE(VALUE(RIGHT(D1439,4)),MATCH(LEFT(D1439,3),{"Jan","Feb","Mar","Apr","May","Jun","Jul","Aug","Sep","Oct","Nov","Dec"},0),VALUE(MID(D1439,5,2)))</f>
        <v>46238</v>
      </c>
      <c r="D1439" s="13" t="s">
        <v>171</v>
      </c>
      <c r="E1439" s="2"/>
      <c r="F1439" s="2" t="str">
        <f t="shared" si="297"/>
        <v>Email Available</v>
      </c>
      <c r="G1439" s="2" t="s">
        <v>757</v>
      </c>
      <c r="H1439" s="2" t="s">
        <v>182</v>
      </c>
      <c r="I1439" s="2" t="s">
        <v>36</v>
      </c>
      <c r="J1439" s="2" t="s">
        <v>183</v>
      </c>
      <c r="K1439" s="2">
        <v>1</v>
      </c>
      <c r="L1439" s="2">
        <v>11.99</v>
      </c>
      <c r="M1439" s="19">
        <f t="shared" si="298"/>
        <v>11.99</v>
      </c>
      <c r="N1439" s="2"/>
      <c r="O1439" s="2" t="str">
        <f t="shared" si="299"/>
        <v/>
      </c>
      <c r="P1439" s="2">
        <v>0</v>
      </c>
      <c r="Q1439" s="19">
        <f t="shared" si="300"/>
        <v>0</v>
      </c>
      <c r="R1439" s="2" t="str">
        <f t="shared" si="301"/>
        <v>Number</v>
      </c>
      <c r="S1439" s="2">
        <v>7.99</v>
      </c>
      <c r="T1439" s="19">
        <f t="shared" si="302"/>
        <v>7.99</v>
      </c>
      <c r="U1439" s="2">
        <v>19.98</v>
      </c>
      <c r="V1439" s="19">
        <f t="shared" si="303"/>
        <v>19.98</v>
      </c>
      <c r="W1439" s="19">
        <f t="shared" si="304"/>
        <v>19.98</v>
      </c>
      <c r="X1439" s="19" t="str">
        <f t="shared" si="305"/>
        <v>True</v>
      </c>
      <c r="Y1439" s="19" t="str">
        <f>IF(OR(W1439&lt;'Cleaning Tasks'!$G$18,W1439&gt;'Cleaning Tasks'!$H$18),"Outlier","Normal")</f>
        <v>Normal</v>
      </c>
      <c r="Z1439" s="2" t="s">
        <v>39</v>
      </c>
      <c r="AA1439" s="2" t="s">
        <v>88</v>
      </c>
      <c r="AB1439" s="2" t="s">
        <v>28</v>
      </c>
      <c r="AC1439" s="2" t="s">
        <v>29</v>
      </c>
      <c r="AD1439" s="2" t="s">
        <v>30</v>
      </c>
      <c r="AE1439" s="2" t="str">
        <f t="shared" si="306"/>
        <v>Valid</v>
      </c>
      <c r="AF1439" s="2" t="s">
        <v>1530</v>
      </c>
    </row>
    <row r="1440" spans="1:32" x14ac:dyDescent="0.3">
      <c r="A1440" s="2" t="s">
        <v>3968</v>
      </c>
      <c r="B1440" s="2">
        <f t="shared" si="296"/>
        <v>1</v>
      </c>
      <c r="C1440" s="12">
        <f t="shared" ref="C1440:C1471" si="308">IF(ISNUMBER(D1440),D1440,DATEVALUE(SUBSTITUTE(TRIM(D1440),CHAR(160)," ")))</f>
        <v>46238.588991643519</v>
      </c>
      <c r="D1440" s="13">
        <v>46238.588991643519</v>
      </c>
      <c r="E1440" s="2" t="s">
        <v>3969</v>
      </c>
      <c r="F1440" s="2" t="str">
        <f t="shared" si="297"/>
        <v>Missing Email</v>
      </c>
      <c r="G1440" s="2"/>
      <c r="H1440" s="2" t="s">
        <v>182</v>
      </c>
      <c r="I1440" s="2" t="s">
        <v>36</v>
      </c>
      <c r="J1440" s="2" t="s">
        <v>183</v>
      </c>
      <c r="K1440" s="2">
        <v>2</v>
      </c>
      <c r="L1440" s="2">
        <v>11.99</v>
      </c>
      <c r="M1440" s="19">
        <f t="shared" si="298"/>
        <v>11.99</v>
      </c>
      <c r="N1440" s="2"/>
      <c r="O1440" s="2" t="str">
        <f t="shared" si="299"/>
        <v/>
      </c>
      <c r="P1440" s="2">
        <v>0</v>
      </c>
      <c r="Q1440" s="19">
        <f t="shared" si="300"/>
        <v>0</v>
      </c>
      <c r="R1440" s="2" t="str">
        <f t="shared" si="301"/>
        <v>Number</v>
      </c>
      <c r="S1440" s="2">
        <v>5.99</v>
      </c>
      <c r="T1440" s="19">
        <f t="shared" si="302"/>
        <v>5.99</v>
      </c>
      <c r="U1440" s="2">
        <v>29.97</v>
      </c>
      <c r="V1440" s="19">
        <f t="shared" si="303"/>
        <v>29.97</v>
      </c>
      <c r="W1440" s="19">
        <f t="shared" si="304"/>
        <v>29.97</v>
      </c>
      <c r="X1440" s="19" t="str">
        <f t="shared" si="305"/>
        <v>True</v>
      </c>
      <c r="Y1440" s="19" t="str">
        <f>IF(OR(W1440&lt;'Cleaning Tasks'!$G$18,W1440&gt;'Cleaning Tasks'!$H$18),"Outlier","Normal")</f>
        <v>Normal</v>
      </c>
      <c r="Z1440" s="2" t="s">
        <v>39</v>
      </c>
      <c r="AA1440" s="2" t="s">
        <v>88</v>
      </c>
      <c r="AB1440" s="2" t="s">
        <v>50</v>
      </c>
      <c r="AC1440" s="2" t="s">
        <v>29</v>
      </c>
      <c r="AD1440" s="2" t="s">
        <v>51</v>
      </c>
      <c r="AE1440" s="2" t="str">
        <f t="shared" si="306"/>
        <v>Valid</v>
      </c>
      <c r="AF1440" s="2" t="s">
        <v>1788</v>
      </c>
    </row>
    <row r="1441" spans="1:32" x14ac:dyDescent="0.3">
      <c r="A1441" s="2" t="s">
        <v>3970</v>
      </c>
      <c r="B1441" s="2">
        <f t="shared" si="296"/>
        <v>1</v>
      </c>
      <c r="C1441" s="12">
        <f t="shared" si="308"/>
        <v>46238.587364270832</v>
      </c>
      <c r="D1441" s="13">
        <v>46238.587364270832</v>
      </c>
      <c r="E1441" s="2" t="s">
        <v>2544</v>
      </c>
      <c r="F1441" s="2" t="str">
        <f t="shared" si="297"/>
        <v>Email Available</v>
      </c>
      <c r="G1441" s="2" t="s">
        <v>2545</v>
      </c>
      <c r="H1441" s="2" t="s">
        <v>78</v>
      </c>
      <c r="I1441" s="2" t="s">
        <v>79</v>
      </c>
      <c r="J1441" s="2" t="s">
        <v>80</v>
      </c>
      <c r="K1441" s="2">
        <v>1</v>
      </c>
      <c r="L1441" s="2">
        <v>89.99</v>
      </c>
      <c r="M1441" s="19">
        <f t="shared" si="298"/>
        <v>89.99</v>
      </c>
      <c r="N1441" s="2" t="s">
        <v>65</v>
      </c>
      <c r="O1441" s="2" t="str">
        <f t="shared" si="299"/>
        <v>WELCOME10</v>
      </c>
      <c r="P1441" s="2">
        <v>9</v>
      </c>
      <c r="Q1441" s="19">
        <f t="shared" si="300"/>
        <v>9</v>
      </c>
      <c r="R1441" s="2" t="str">
        <f t="shared" si="301"/>
        <v>Number</v>
      </c>
      <c r="S1441" s="2">
        <v>0</v>
      </c>
      <c r="T1441" s="19">
        <f t="shared" si="302"/>
        <v>0</v>
      </c>
      <c r="U1441" s="2">
        <v>80.989999999999995</v>
      </c>
      <c r="V1441" s="19">
        <f t="shared" si="303"/>
        <v>80.989999999999995</v>
      </c>
      <c r="W1441" s="19">
        <f t="shared" si="304"/>
        <v>80.989999999999995</v>
      </c>
      <c r="X1441" s="19" t="str">
        <f t="shared" si="305"/>
        <v>True</v>
      </c>
      <c r="Y1441" s="19" t="str">
        <f>IF(OR(W1441&lt;'Cleaning Tasks'!$G$18,W1441&gt;'Cleaning Tasks'!$H$18),"Outlier","Normal")</f>
        <v>Normal</v>
      </c>
      <c r="Z1441" s="2" t="s">
        <v>72</v>
      </c>
      <c r="AA1441" s="2" t="s">
        <v>111</v>
      </c>
      <c r="AB1441" s="2" t="s">
        <v>50</v>
      </c>
      <c r="AC1441" s="2" t="s">
        <v>331</v>
      </c>
      <c r="AD1441" s="2"/>
      <c r="AE1441" s="2" t="str">
        <f t="shared" si="306"/>
        <v>Not Required</v>
      </c>
      <c r="AF1441" s="2" t="s">
        <v>1191</v>
      </c>
    </row>
    <row r="1442" spans="1:32" x14ac:dyDescent="0.3">
      <c r="A1442" s="2" t="s">
        <v>3971</v>
      </c>
      <c r="B1442" s="2">
        <f t="shared" si="296"/>
        <v>1</v>
      </c>
      <c r="C1442" s="12">
        <f t="shared" si="308"/>
        <v>46238.582071458331</v>
      </c>
      <c r="D1442" s="13">
        <v>46238.582071458331</v>
      </c>
      <c r="E1442" s="2" t="s">
        <v>2450</v>
      </c>
      <c r="F1442" s="2" t="str">
        <f t="shared" si="297"/>
        <v>Email Available</v>
      </c>
      <c r="G1442" s="2" t="s">
        <v>2451</v>
      </c>
      <c r="H1442" s="2" t="s">
        <v>63</v>
      </c>
      <c r="I1442" s="2" t="s">
        <v>47</v>
      </c>
      <c r="J1442" s="2" t="s">
        <v>446</v>
      </c>
      <c r="K1442" s="2">
        <v>1</v>
      </c>
      <c r="L1442" s="2">
        <v>14.99</v>
      </c>
      <c r="M1442" s="19">
        <f t="shared" si="298"/>
        <v>14.99</v>
      </c>
      <c r="N1442" s="2"/>
      <c r="O1442" s="2" t="str">
        <f t="shared" si="299"/>
        <v/>
      </c>
      <c r="P1442" s="2">
        <v>0</v>
      </c>
      <c r="Q1442" s="19">
        <f t="shared" si="300"/>
        <v>0</v>
      </c>
      <c r="R1442" s="2" t="str">
        <f t="shared" si="301"/>
        <v>Number</v>
      </c>
      <c r="S1442" s="2">
        <v>4.99</v>
      </c>
      <c r="T1442" s="19">
        <f t="shared" si="302"/>
        <v>4.99</v>
      </c>
      <c r="U1442" s="2">
        <v>19.98</v>
      </c>
      <c r="V1442" s="19">
        <f t="shared" si="303"/>
        <v>19.98</v>
      </c>
      <c r="W1442" s="19">
        <f t="shared" si="304"/>
        <v>19.98</v>
      </c>
      <c r="X1442" s="19" t="str">
        <f t="shared" si="305"/>
        <v>True</v>
      </c>
      <c r="Y1442" s="19" t="str">
        <f>IF(OR(W1442&lt;'Cleaning Tasks'!$G$18,W1442&gt;'Cleaning Tasks'!$H$18),"Outlier","Normal")</f>
        <v>Normal</v>
      </c>
      <c r="Z1442" s="2" t="s">
        <v>26</v>
      </c>
      <c r="AA1442" s="2" t="s">
        <v>27</v>
      </c>
      <c r="AB1442" s="2" t="s">
        <v>41</v>
      </c>
      <c r="AC1442" s="2" t="s">
        <v>105</v>
      </c>
      <c r="AD1442" s="2"/>
      <c r="AE1442" s="2" t="str">
        <f t="shared" si="306"/>
        <v>Not Required</v>
      </c>
      <c r="AF1442" s="2" t="s">
        <v>3972</v>
      </c>
    </row>
    <row r="1443" spans="1:32" x14ac:dyDescent="0.3">
      <c r="A1443" s="2" t="s">
        <v>3973</v>
      </c>
      <c r="B1443" s="2">
        <f t="shared" si="296"/>
        <v>1</v>
      </c>
      <c r="C1443" s="12">
        <f t="shared" si="308"/>
        <v>46238.582503761572</v>
      </c>
      <c r="D1443" s="13">
        <v>46238.582503761572</v>
      </c>
      <c r="E1443" s="2" t="s">
        <v>1210</v>
      </c>
      <c r="F1443" s="2" t="str">
        <f t="shared" si="297"/>
        <v>Email Available</v>
      </c>
      <c r="G1443" s="2" t="s">
        <v>1211</v>
      </c>
      <c r="H1443" s="2" t="s">
        <v>279</v>
      </c>
      <c r="I1443" s="2" t="s">
        <v>22</v>
      </c>
      <c r="J1443" s="2" t="s">
        <v>280</v>
      </c>
      <c r="K1443" s="2">
        <v>2</v>
      </c>
      <c r="L1443" s="2">
        <v>24.99</v>
      </c>
      <c r="M1443" s="19">
        <f t="shared" si="298"/>
        <v>24.99</v>
      </c>
      <c r="N1443" s="2" t="s">
        <v>38</v>
      </c>
      <c r="O1443" s="2" t="str">
        <f t="shared" si="299"/>
        <v>FREESHIP</v>
      </c>
      <c r="P1443" s="2">
        <v>0</v>
      </c>
      <c r="Q1443" s="19">
        <f t="shared" si="300"/>
        <v>0</v>
      </c>
      <c r="R1443" s="2" t="str">
        <f t="shared" si="301"/>
        <v>Number</v>
      </c>
      <c r="S1443" s="2">
        <v>0</v>
      </c>
      <c r="T1443" s="19">
        <f t="shared" si="302"/>
        <v>0</v>
      </c>
      <c r="U1443" s="2">
        <v>49.98</v>
      </c>
      <c r="V1443" s="19">
        <f t="shared" si="303"/>
        <v>49.98</v>
      </c>
      <c r="W1443" s="19">
        <f t="shared" si="304"/>
        <v>49.98</v>
      </c>
      <c r="X1443" s="19" t="str">
        <f t="shared" si="305"/>
        <v>True</v>
      </c>
      <c r="Y1443" s="19" t="str">
        <f>IF(OR(W1443&lt;'Cleaning Tasks'!$G$18,W1443&gt;'Cleaning Tasks'!$H$18),"Outlier","Normal")</f>
        <v>Normal</v>
      </c>
      <c r="Z1443" s="2" t="s">
        <v>26</v>
      </c>
      <c r="AA1443" s="2" t="s">
        <v>88</v>
      </c>
      <c r="AB1443" s="2" t="s">
        <v>50</v>
      </c>
      <c r="AC1443" s="2" t="s">
        <v>29</v>
      </c>
      <c r="AD1443" s="2" t="s">
        <v>140</v>
      </c>
      <c r="AE1443" s="2" t="str">
        <f t="shared" si="306"/>
        <v>Valid</v>
      </c>
      <c r="AF1443" s="2" t="s">
        <v>3974</v>
      </c>
    </row>
    <row r="1444" spans="1:32" x14ac:dyDescent="0.3">
      <c r="A1444" s="2" t="s">
        <v>3975</v>
      </c>
      <c r="B1444" s="2">
        <f t="shared" si="296"/>
        <v>1</v>
      </c>
      <c r="C1444" s="12">
        <f t="shared" si="308"/>
        <v>46238.580508194442</v>
      </c>
      <c r="D1444" s="13">
        <v>46238.580508194442</v>
      </c>
      <c r="E1444" s="2" t="s">
        <v>321</v>
      </c>
      <c r="F1444" s="2" t="str">
        <f t="shared" si="297"/>
        <v>Email Available</v>
      </c>
      <c r="G1444" s="2" t="s">
        <v>322</v>
      </c>
      <c r="H1444" s="2" t="s">
        <v>146</v>
      </c>
      <c r="I1444" s="2" t="s">
        <v>47</v>
      </c>
      <c r="J1444" s="2" t="s">
        <v>147</v>
      </c>
      <c r="K1444" s="2">
        <v>1</v>
      </c>
      <c r="L1444" s="2">
        <v>34.99</v>
      </c>
      <c r="M1444" s="19">
        <f t="shared" si="298"/>
        <v>34.99</v>
      </c>
      <c r="N1444" s="2"/>
      <c r="O1444" s="2" t="str">
        <f t="shared" si="299"/>
        <v/>
      </c>
      <c r="P1444" s="2">
        <v>0</v>
      </c>
      <c r="Q1444" s="19">
        <f t="shared" si="300"/>
        <v>0</v>
      </c>
      <c r="R1444" s="2" t="str">
        <f t="shared" si="301"/>
        <v>Number</v>
      </c>
      <c r="S1444" s="2">
        <v>5.99</v>
      </c>
      <c r="T1444" s="19">
        <f t="shared" si="302"/>
        <v>5.99</v>
      </c>
      <c r="U1444" s="2" t="s">
        <v>3976</v>
      </c>
      <c r="V1444" s="19">
        <f t="shared" si="303"/>
        <v>40.98</v>
      </c>
      <c r="W1444" s="19">
        <f t="shared" si="304"/>
        <v>40.980000000000004</v>
      </c>
      <c r="X1444" s="19" t="str">
        <f t="shared" si="305"/>
        <v>True</v>
      </c>
      <c r="Y1444" s="19" t="str">
        <f>IF(OR(W1444&lt;'Cleaning Tasks'!$G$18,W1444&gt;'Cleaning Tasks'!$H$18),"Outlier","Normal")</f>
        <v>Normal</v>
      </c>
      <c r="Z1444" s="2" t="s">
        <v>66</v>
      </c>
      <c r="AA1444" s="2" t="s">
        <v>27</v>
      </c>
      <c r="AB1444" s="2" t="s">
        <v>50</v>
      </c>
      <c r="AC1444" s="2" t="s">
        <v>223</v>
      </c>
      <c r="AD1444" s="2"/>
      <c r="AE1444" s="2" t="str">
        <f t="shared" si="306"/>
        <v>Not Required</v>
      </c>
      <c r="AF1444" s="2" t="s">
        <v>3977</v>
      </c>
    </row>
    <row r="1445" spans="1:32" x14ac:dyDescent="0.3">
      <c r="A1445" s="2" t="s">
        <v>3978</v>
      </c>
      <c r="B1445" s="2">
        <f t="shared" si="296"/>
        <v>1</v>
      </c>
      <c r="C1445" s="12">
        <f t="shared" si="308"/>
        <v>46238.583963900463</v>
      </c>
      <c r="D1445" s="13">
        <v>46238.583963900463</v>
      </c>
      <c r="E1445" s="2" t="s">
        <v>2068</v>
      </c>
      <c r="F1445" s="2" t="str">
        <f t="shared" si="297"/>
        <v>Email Available</v>
      </c>
      <c r="G1445" s="2" t="s">
        <v>2069</v>
      </c>
      <c r="H1445" s="2" t="s">
        <v>221</v>
      </c>
      <c r="I1445" s="2" t="s">
        <v>22</v>
      </c>
      <c r="J1445" s="2" t="s">
        <v>222</v>
      </c>
      <c r="K1445" s="2">
        <v>1</v>
      </c>
      <c r="L1445" s="2">
        <v>17.989999999999998</v>
      </c>
      <c r="M1445" s="19">
        <f t="shared" si="298"/>
        <v>17.989999999999998</v>
      </c>
      <c r="N1445" s="2"/>
      <c r="O1445" s="2" t="str">
        <f t="shared" si="299"/>
        <v/>
      </c>
      <c r="P1445" s="2">
        <v>0</v>
      </c>
      <c r="Q1445" s="19">
        <f t="shared" si="300"/>
        <v>0</v>
      </c>
      <c r="R1445" s="2" t="str">
        <f t="shared" si="301"/>
        <v>Number</v>
      </c>
      <c r="S1445" s="2">
        <v>5.99</v>
      </c>
      <c r="T1445" s="19">
        <f t="shared" si="302"/>
        <v>5.99</v>
      </c>
      <c r="U1445" s="2">
        <v>23.98</v>
      </c>
      <c r="V1445" s="19">
        <f t="shared" si="303"/>
        <v>23.98</v>
      </c>
      <c r="W1445" s="19">
        <f t="shared" si="304"/>
        <v>23.979999999999997</v>
      </c>
      <c r="X1445" s="19" t="str">
        <f t="shared" si="305"/>
        <v>True</v>
      </c>
      <c r="Y1445" s="19" t="str">
        <f>IF(OR(W1445&lt;'Cleaning Tasks'!$G$18,W1445&gt;'Cleaning Tasks'!$H$18),"Outlier","Normal")</f>
        <v>Normal</v>
      </c>
      <c r="Z1445" s="2" t="s">
        <v>39</v>
      </c>
      <c r="AA1445" s="2" t="s">
        <v>27</v>
      </c>
      <c r="AB1445" s="2" t="s">
        <v>50</v>
      </c>
      <c r="AC1445" s="2" t="s">
        <v>29</v>
      </c>
      <c r="AD1445" s="2" t="s">
        <v>67</v>
      </c>
      <c r="AE1445" s="2" t="str">
        <f t="shared" si="306"/>
        <v>Valid</v>
      </c>
      <c r="AF1445" s="2" t="s">
        <v>3979</v>
      </c>
    </row>
    <row r="1446" spans="1:32" x14ac:dyDescent="0.3">
      <c r="A1446" s="2" t="s">
        <v>3980</v>
      </c>
      <c r="B1446" s="2">
        <f t="shared" si="296"/>
        <v>1</v>
      </c>
      <c r="C1446" s="12">
        <f t="shared" si="308"/>
        <v>46238.579615902781</v>
      </c>
      <c r="D1446" s="13">
        <v>46238.579615902781</v>
      </c>
      <c r="E1446" s="2" t="s">
        <v>347</v>
      </c>
      <c r="F1446" s="2" t="str">
        <f t="shared" si="297"/>
        <v>Email Available</v>
      </c>
      <c r="G1446" s="2" t="s">
        <v>348</v>
      </c>
      <c r="H1446" s="2" t="s">
        <v>236</v>
      </c>
      <c r="I1446" s="2" t="s">
        <v>237</v>
      </c>
      <c r="J1446" s="2" t="s">
        <v>238</v>
      </c>
      <c r="K1446" s="2">
        <v>2</v>
      </c>
      <c r="L1446" s="2">
        <v>27.99</v>
      </c>
      <c r="M1446" s="19">
        <f t="shared" si="298"/>
        <v>27.99</v>
      </c>
      <c r="N1446" s="2"/>
      <c r="O1446" s="2" t="str">
        <f t="shared" si="299"/>
        <v/>
      </c>
      <c r="P1446" s="2">
        <v>0</v>
      </c>
      <c r="Q1446" s="19">
        <f t="shared" si="300"/>
        <v>0</v>
      </c>
      <c r="R1446" s="2" t="str">
        <f t="shared" si="301"/>
        <v>Number</v>
      </c>
      <c r="S1446" s="2">
        <v>4.99</v>
      </c>
      <c r="T1446" s="19">
        <f t="shared" si="302"/>
        <v>4.99</v>
      </c>
      <c r="U1446" s="2">
        <v>60.97</v>
      </c>
      <c r="V1446" s="19">
        <f t="shared" si="303"/>
        <v>60.97</v>
      </c>
      <c r="W1446" s="19">
        <f t="shared" si="304"/>
        <v>60.97</v>
      </c>
      <c r="X1446" s="19" t="str">
        <f t="shared" si="305"/>
        <v>True</v>
      </c>
      <c r="Y1446" s="19" t="str">
        <f>IF(OR(W1446&lt;'Cleaning Tasks'!$G$18,W1446&gt;'Cleaning Tasks'!$H$18),"Outlier","Normal")</f>
        <v>Normal</v>
      </c>
      <c r="Z1446" s="2" t="s">
        <v>39</v>
      </c>
      <c r="AA1446" s="2" t="s">
        <v>27</v>
      </c>
      <c r="AB1446" s="2" t="s">
        <v>50</v>
      </c>
      <c r="AC1446" s="2" t="s">
        <v>223</v>
      </c>
      <c r="AD1446" s="2"/>
      <c r="AE1446" s="2" t="str">
        <f t="shared" si="306"/>
        <v>Not Required</v>
      </c>
      <c r="AF1446" s="2" t="s">
        <v>3981</v>
      </c>
    </row>
    <row r="1447" spans="1:32" x14ac:dyDescent="0.3">
      <c r="A1447" s="2" t="s">
        <v>3982</v>
      </c>
      <c r="B1447" s="2">
        <f t="shared" si="296"/>
        <v>1</v>
      </c>
      <c r="C1447" s="12">
        <f t="shared" si="308"/>
        <v>46238.583288495371</v>
      </c>
      <c r="D1447" s="13">
        <v>46238.583288495371</v>
      </c>
      <c r="E1447" s="2" t="s">
        <v>843</v>
      </c>
      <c r="F1447" s="2" t="str">
        <f t="shared" si="297"/>
        <v>Missing Email</v>
      </c>
      <c r="G1447" s="2"/>
      <c r="H1447" s="2" t="s">
        <v>78</v>
      </c>
      <c r="I1447" s="2" t="s">
        <v>79</v>
      </c>
      <c r="J1447" s="2" t="s">
        <v>80</v>
      </c>
      <c r="K1447" s="2">
        <v>1</v>
      </c>
      <c r="L1447" s="2">
        <v>89.99</v>
      </c>
      <c r="M1447" s="19">
        <f t="shared" si="298"/>
        <v>89.99</v>
      </c>
      <c r="N1447" s="2" t="s">
        <v>203</v>
      </c>
      <c r="O1447" s="2" t="str">
        <f t="shared" si="299"/>
        <v>VIP15</v>
      </c>
      <c r="P1447" s="2" t="s">
        <v>3983</v>
      </c>
      <c r="Q1447" s="19">
        <f t="shared" si="300"/>
        <v>13.5</v>
      </c>
      <c r="R1447" s="2" t="str">
        <f t="shared" si="301"/>
        <v>Number</v>
      </c>
      <c r="S1447" s="2">
        <v>0</v>
      </c>
      <c r="T1447" s="19">
        <f t="shared" si="302"/>
        <v>0</v>
      </c>
      <c r="U1447" s="2">
        <v>76.489999999999995</v>
      </c>
      <c r="V1447" s="19">
        <f t="shared" si="303"/>
        <v>76.489999999999995</v>
      </c>
      <c r="W1447" s="19">
        <f t="shared" si="304"/>
        <v>76.489999999999995</v>
      </c>
      <c r="X1447" s="19" t="str">
        <f t="shared" si="305"/>
        <v>True</v>
      </c>
      <c r="Y1447" s="19" t="str">
        <f>IF(OR(W1447&lt;'Cleaning Tasks'!$G$18,W1447&gt;'Cleaning Tasks'!$H$18),"Outlier","Normal")</f>
        <v>Normal</v>
      </c>
      <c r="Z1447" s="2" t="s">
        <v>66</v>
      </c>
      <c r="AA1447" s="2" t="s">
        <v>88</v>
      </c>
      <c r="AB1447" s="2" t="s">
        <v>28</v>
      </c>
      <c r="AC1447" s="2" t="s">
        <v>29</v>
      </c>
      <c r="AD1447" s="2" t="s">
        <v>140</v>
      </c>
      <c r="AE1447" s="2" t="str">
        <f t="shared" si="306"/>
        <v>Valid</v>
      </c>
      <c r="AF1447" s="2" t="s">
        <v>3984</v>
      </c>
    </row>
    <row r="1448" spans="1:32" x14ac:dyDescent="0.3">
      <c r="A1448" s="2" t="s">
        <v>3985</v>
      </c>
      <c r="B1448" s="2">
        <f t="shared" si="296"/>
        <v>1</v>
      </c>
      <c r="C1448" s="12">
        <f t="shared" si="308"/>
        <v>46238.58602722222</v>
      </c>
      <c r="D1448" s="13">
        <v>46238.58602722222</v>
      </c>
      <c r="E1448" s="2" t="s">
        <v>1157</v>
      </c>
      <c r="F1448" s="2" t="str">
        <f t="shared" si="297"/>
        <v>Email Available</v>
      </c>
      <c r="G1448" s="2" t="s">
        <v>1158</v>
      </c>
      <c r="H1448" s="2" t="s">
        <v>152</v>
      </c>
      <c r="I1448" s="2" t="s">
        <v>36</v>
      </c>
      <c r="J1448" s="2" t="s">
        <v>153</v>
      </c>
      <c r="K1448" s="2">
        <v>1</v>
      </c>
      <c r="L1448" s="2">
        <v>29.99</v>
      </c>
      <c r="M1448" s="19">
        <f t="shared" si="298"/>
        <v>29.99</v>
      </c>
      <c r="N1448" s="2" t="s">
        <v>24</v>
      </c>
      <c r="O1448" s="2" t="str">
        <f t="shared" si="299"/>
        <v>SAVE20</v>
      </c>
      <c r="P1448" s="2">
        <v>6</v>
      </c>
      <c r="Q1448" s="19">
        <f t="shared" si="300"/>
        <v>6</v>
      </c>
      <c r="R1448" s="2" t="str">
        <f t="shared" si="301"/>
        <v>Number</v>
      </c>
      <c r="S1448" s="2">
        <v>5.99</v>
      </c>
      <c r="T1448" s="19">
        <f t="shared" si="302"/>
        <v>5.99</v>
      </c>
      <c r="U1448" s="2">
        <v>29.98</v>
      </c>
      <c r="V1448" s="19">
        <f t="shared" si="303"/>
        <v>29.98</v>
      </c>
      <c r="W1448" s="19">
        <f t="shared" si="304"/>
        <v>29.979999999999997</v>
      </c>
      <c r="X1448" s="19" t="str">
        <f t="shared" si="305"/>
        <v>True</v>
      </c>
      <c r="Y1448" s="19" t="str">
        <f>IF(OR(W1448&lt;'Cleaning Tasks'!$G$18,W1448&gt;'Cleaning Tasks'!$H$18),"Outlier","Normal")</f>
        <v>Normal</v>
      </c>
      <c r="Z1448" s="2" t="s">
        <v>66</v>
      </c>
      <c r="AA1448" s="2" t="s">
        <v>40</v>
      </c>
      <c r="AB1448" s="2" t="s">
        <v>50</v>
      </c>
      <c r="AC1448" s="2" t="s">
        <v>42</v>
      </c>
      <c r="AD1448" s="2"/>
      <c r="AE1448" s="2" t="str">
        <f t="shared" si="306"/>
        <v>Not Required</v>
      </c>
      <c r="AF1448" s="2" t="s">
        <v>3986</v>
      </c>
    </row>
    <row r="1449" spans="1:32" x14ac:dyDescent="0.3">
      <c r="A1449" s="2" t="s">
        <v>3987</v>
      </c>
      <c r="B1449" s="2">
        <f t="shared" si="296"/>
        <v>1</v>
      </c>
      <c r="C1449" s="12">
        <f t="shared" si="308"/>
        <v>46238</v>
      </c>
      <c r="D1449" s="13">
        <v>46238</v>
      </c>
      <c r="E1449" s="2" t="s">
        <v>3988</v>
      </c>
      <c r="F1449" s="2" t="str">
        <f t="shared" si="297"/>
        <v>Email Available</v>
      </c>
      <c r="G1449" s="2" t="s">
        <v>529</v>
      </c>
      <c r="H1449" s="2" t="s">
        <v>236</v>
      </c>
      <c r="I1449" s="2" t="s">
        <v>237</v>
      </c>
      <c r="J1449" s="2" t="s">
        <v>238</v>
      </c>
      <c r="K1449" s="2">
        <v>1</v>
      </c>
      <c r="L1449" s="2">
        <v>27.99</v>
      </c>
      <c r="M1449" s="19">
        <f t="shared" si="298"/>
        <v>27.99</v>
      </c>
      <c r="N1449" s="2"/>
      <c r="O1449" s="2" t="str">
        <f t="shared" si="299"/>
        <v/>
      </c>
      <c r="P1449" s="2">
        <v>0</v>
      </c>
      <c r="Q1449" s="19">
        <f t="shared" si="300"/>
        <v>0</v>
      </c>
      <c r="R1449" s="2" t="str">
        <f t="shared" si="301"/>
        <v>Number</v>
      </c>
      <c r="S1449" s="2">
        <v>7.99</v>
      </c>
      <c r="T1449" s="19">
        <f t="shared" si="302"/>
        <v>7.99</v>
      </c>
      <c r="U1449" s="2" t="s">
        <v>782</v>
      </c>
      <c r="V1449" s="19">
        <f t="shared" si="303"/>
        <v>35.979999999999997</v>
      </c>
      <c r="W1449" s="19">
        <f t="shared" si="304"/>
        <v>35.979999999999997</v>
      </c>
      <c r="X1449" s="19" t="str">
        <f t="shared" si="305"/>
        <v>True</v>
      </c>
      <c r="Y1449" s="19" t="str">
        <f>IF(OR(W1449&lt;'Cleaning Tasks'!$G$18,W1449&gt;'Cleaning Tasks'!$H$18),"Outlier","Normal")</f>
        <v>Normal</v>
      </c>
      <c r="Z1449" s="2" t="s">
        <v>39</v>
      </c>
      <c r="AA1449" s="2" t="s">
        <v>88</v>
      </c>
      <c r="AB1449" s="2" t="s">
        <v>41</v>
      </c>
      <c r="AC1449" s="2" t="s">
        <v>29</v>
      </c>
      <c r="AD1449" s="2" t="s">
        <v>341</v>
      </c>
      <c r="AE1449" s="2" t="str">
        <f t="shared" si="306"/>
        <v>Valid</v>
      </c>
      <c r="AF1449" s="2" t="s">
        <v>3989</v>
      </c>
    </row>
    <row r="1450" spans="1:32" x14ac:dyDescent="0.3">
      <c r="A1450" s="2" t="s">
        <v>3990</v>
      </c>
      <c r="B1450" s="2">
        <f t="shared" si="296"/>
        <v>1</v>
      </c>
      <c r="C1450" s="12">
        <f t="shared" si="308"/>
        <v>46238.587122280092</v>
      </c>
      <c r="D1450" s="13">
        <v>46238.587122280092</v>
      </c>
      <c r="E1450" s="2" t="s">
        <v>1482</v>
      </c>
      <c r="F1450" s="2" t="str">
        <f t="shared" si="297"/>
        <v>Email Available</v>
      </c>
      <c r="G1450" s="2" t="s">
        <v>1483</v>
      </c>
      <c r="H1450" s="2" t="s">
        <v>166</v>
      </c>
      <c r="I1450" s="2" t="s">
        <v>103</v>
      </c>
      <c r="J1450" s="2" t="s">
        <v>167</v>
      </c>
      <c r="K1450" s="2">
        <v>1</v>
      </c>
      <c r="L1450" s="2" t="s">
        <v>168</v>
      </c>
      <c r="M1450" s="19">
        <f t="shared" si="298"/>
        <v>32.99</v>
      </c>
      <c r="N1450" s="2" t="s">
        <v>118</v>
      </c>
      <c r="O1450" s="2" t="str">
        <f t="shared" si="299"/>
        <v>BFCM25</v>
      </c>
      <c r="P1450" s="2">
        <v>8.25</v>
      </c>
      <c r="Q1450" s="19">
        <f t="shared" si="300"/>
        <v>8.25</v>
      </c>
      <c r="R1450" s="2" t="str">
        <f t="shared" si="301"/>
        <v>Number</v>
      </c>
      <c r="S1450" s="2">
        <v>7.99</v>
      </c>
      <c r="T1450" s="19">
        <f t="shared" si="302"/>
        <v>7.99</v>
      </c>
      <c r="U1450" s="2">
        <v>32.729999999999997</v>
      </c>
      <c r="V1450" s="19">
        <f t="shared" si="303"/>
        <v>32.729999999999997</v>
      </c>
      <c r="W1450" s="19">
        <f t="shared" si="304"/>
        <v>32.730000000000004</v>
      </c>
      <c r="X1450" s="19" t="str">
        <f t="shared" si="305"/>
        <v>True</v>
      </c>
      <c r="Y1450" s="19" t="str">
        <f>IF(OR(W1450&lt;'Cleaning Tasks'!$G$18,W1450&gt;'Cleaning Tasks'!$H$18),"Outlier","Normal")</f>
        <v>Normal</v>
      </c>
      <c r="Z1450" s="2" t="s">
        <v>49</v>
      </c>
      <c r="AA1450" s="2" t="s">
        <v>27</v>
      </c>
      <c r="AB1450" s="2" t="s">
        <v>50</v>
      </c>
      <c r="AC1450" s="2" t="s">
        <v>29</v>
      </c>
      <c r="AD1450" s="2" t="s">
        <v>243</v>
      </c>
      <c r="AE1450" s="2" t="str">
        <f t="shared" si="306"/>
        <v>Valid</v>
      </c>
      <c r="AF1450" s="2" t="s">
        <v>3991</v>
      </c>
    </row>
    <row r="1451" spans="1:32" x14ac:dyDescent="0.3">
      <c r="A1451" s="2" t="s">
        <v>3992</v>
      </c>
      <c r="B1451" s="2">
        <f t="shared" si="296"/>
        <v>1</v>
      </c>
      <c r="C1451" s="12">
        <f t="shared" si="308"/>
        <v>46238.585486157397</v>
      </c>
      <c r="D1451" s="13">
        <v>46238.585486157397</v>
      </c>
      <c r="E1451" s="2" t="s">
        <v>234</v>
      </c>
      <c r="F1451" s="2" t="str">
        <f t="shared" si="297"/>
        <v>Email Available</v>
      </c>
      <c r="G1451" s="2" t="s">
        <v>235</v>
      </c>
      <c r="H1451" s="2" t="s">
        <v>279</v>
      </c>
      <c r="I1451" s="2" t="s">
        <v>22</v>
      </c>
      <c r="J1451" s="2" t="s">
        <v>280</v>
      </c>
      <c r="K1451" s="2">
        <v>2</v>
      </c>
      <c r="L1451" s="2">
        <v>24.99</v>
      </c>
      <c r="M1451" s="19">
        <f t="shared" si="298"/>
        <v>24.99</v>
      </c>
      <c r="N1451" s="2" t="s">
        <v>38</v>
      </c>
      <c r="O1451" s="2" t="str">
        <f t="shared" si="299"/>
        <v>FREESHIP</v>
      </c>
      <c r="P1451" s="2">
        <v>0</v>
      </c>
      <c r="Q1451" s="19">
        <f t="shared" si="300"/>
        <v>0</v>
      </c>
      <c r="R1451" s="2" t="str">
        <f t="shared" si="301"/>
        <v>Number</v>
      </c>
      <c r="S1451" s="2">
        <v>0</v>
      </c>
      <c r="T1451" s="19">
        <f t="shared" si="302"/>
        <v>0</v>
      </c>
      <c r="U1451" s="2">
        <v>49.98</v>
      </c>
      <c r="V1451" s="19">
        <f t="shared" si="303"/>
        <v>49.98</v>
      </c>
      <c r="W1451" s="19">
        <f t="shared" si="304"/>
        <v>49.98</v>
      </c>
      <c r="X1451" s="19" t="str">
        <f t="shared" si="305"/>
        <v>True</v>
      </c>
      <c r="Y1451" s="19" t="str">
        <f>IF(OR(W1451&lt;'Cleaning Tasks'!$G$18,W1451&gt;'Cleaning Tasks'!$H$18),"Outlier","Normal")</f>
        <v>Normal</v>
      </c>
      <c r="Z1451" s="2" t="s">
        <v>72</v>
      </c>
      <c r="AA1451" s="2" t="s">
        <v>27</v>
      </c>
      <c r="AB1451" s="2" t="s">
        <v>50</v>
      </c>
      <c r="AC1451" s="2" t="s">
        <v>73</v>
      </c>
      <c r="AD1451" s="2"/>
      <c r="AE1451" s="2" t="str">
        <f t="shared" si="306"/>
        <v>Not Required</v>
      </c>
      <c r="AF1451" s="2" t="s">
        <v>3993</v>
      </c>
    </row>
    <row r="1452" spans="1:32" x14ac:dyDescent="0.3">
      <c r="A1452" s="2" t="s">
        <v>3994</v>
      </c>
      <c r="B1452" s="2">
        <f t="shared" si="296"/>
        <v>1</v>
      </c>
      <c r="C1452" s="12">
        <f t="shared" si="308"/>
        <v>46238.586810023153</v>
      </c>
      <c r="D1452" s="13">
        <v>46238.586810023153</v>
      </c>
      <c r="E1452" s="2" t="s">
        <v>1084</v>
      </c>
      <c r="F1452" s="2" t="str">
        <f t="shared" si="297"/>
        <v>Email Available</v>
      </c>
      <c r="G1452" s="2" t="s">
        <v>1085</v>
      </c>
      <c r="H1452" s="2" t="s">
        <v>221</v>
      </c>
      <c r="I1452" s="2" t="s">
        <v>22</v>
      </c>
      <c r="J1452" s="2" t="s">
        <v>222</v>
      </c>
      <c r="K1452" s="2">
        <v>2</v>
      </c>
      <c r="L1452" s="2">
        <v>17.989999999999998</v>
      </c>
      <c r="M1452" s="19">
        <f t="shared" si="298"/>
        <v>17.989999999999998</v>
      </c>
      <c r="N1452" s="2" t="s">
        <v>24</v>
      </c>
      <c r="O1452" s="2" t="str">
        <f t="shared" si="299"/>
        <v>SAVE20</v>
      </c>
      <c r="P1452" s="2">
        <v>7.2</v>
      </c>
      <c r="Q1452" s="19">
        <f t="shared" si="300"/>
        <v>7.2</v>
      </c>
      <c r="R1452" s="2" t="str">
        <f t="shared" si="301"/>
        <v>Number</v>
      </c>
      <c r="S1452" s="2">
        <v>4.99</v>
      </c>
      <c r="T1452" s="19">
        <f t="shared" si="302"/>
        <v>4.99</v>
      </c>
      <c r="U1452" s="2" t="s">
        <v>3995</v>
      </c>
      <c r="V1452" s="19">
        <f t="shared" si="303"/>
        <v>33.770000000000003</v>
      </c>
      <c r="W1452" s="19">
        <f t="shared" si="304"/>
        <v>33.769999999999996</v>
      </c>
      <c r="X1452" s="19" t="str">
        <f t="shared" si="305"/>
        <v>True</v>
      </c>
      <c r="Y1452" s="19" t="str">
        <f>IF(OR(W1452&lt;'Cleaning Tasks'!$G$18,W1452&gt;'Cleaning Tasks'!$H$18),"Outlier","Normal")</f>
        <v>Normal</v>
      </c>
      <c r="Z1452" s="2" t="s">
        <v>72</v>
      </c>
      <c r="AA1452" s="2" t="s">
        <v>27</v>
      </c>
      <c r="AB1452" s="2" t="s">
        <v>50</v>
      </c>
      <c r="AC1452" s="2" t="s">
        <v>29</v>
      </c>
      <c r="AD1452" s="2" t="s">
        <v>243</v>
      </c>
      <c r="AE1452" s="2" t="str">
        <f t="shared" si="306"/>
        <v>Valid</v>
      </c>
      <c r="AF1452" s="2" t="s">
        <v>3996</v>
      </c>
    </row>
    <row r="1453" spans="1:32" x14ac:dyDescent="0.3">
      <c r="A1453" s="2" t="s">
        <v>3997</v>
      </c>
      <c r="B1453" s="2">
        <f t="shared" si="296"/>
        <v>1</v>
      </c>
      <c r="C1453" s="12">
        <f t="shared" si="308"/>
        <v>46238.581115949077</v>
      </c>
      <c r="D1453" s="13">
        <v>46238.581115949077</v>
      </c>
      <c r="E1453" s="2" t="s">
        <v>1930</v>
      </c>
      <c r="F1453" s="2" t="str">
        <f t="shared" si="297"/>
        <v>Email Available</v>
      </c>
      <c r="G1453" s="2" t="s">
        <v>3998</v>
      </c>
      <c r="H1453" s="2" t="s">
        <v>361</v>
      </c>
      <c r="I1453" s="2" t="s">
        <v>86</v>
      </c>
      <c r="J1453" s="2" t="s">
        <v>362</v>
      </c>
      <c r="K1453" s="2">
        <v>1</v>
      </c>
      <c r="L1453" s="2">
        <v>54.99</v>
      </c>
      <c r="M1453" s="19">
        <f t="shared" si="298"/>
        <v>54.99</v>
      </c>
      <c r="N1453" s="2" t="s">
        <v>65</v>
      </c>
      <c r="O1453" s="2" t="str">
        <f t="shared" si="299"/>
        <v>WELCOME10</v>
      </c>
      <c r="P1453" s="2">
        <v>5.5</v>
      </c>
      <c r="Q1453" s="19">
        <f t="shared" si="300"/>
        <v>5.5</v>
      </c>
      <c r="R1453" s="2" t="str">
        <f t="shared" si="301"/>
        <v>Number</v>
      </c>
      <c r="S1453" s="2">
        <v>4.99</v>
      </c>
      <c r="T1453" s="19">
        <f t="shared" si="302"/>
        <v>4.99</v>
      </c>
      <c r="U1453" s="2">
        <v>54.48</v>
      </c>
      <c r="V1453" s="19">
        <f t="shared" si="303"/>
        <v>54.48</v>
      </c>
      <c r="W1453" s="19">
        <f t="shared" si="304"/>
        <v>54.480000000000004</v>
      </c>
      <c r="X1453" s="19" t="str">
        <f t="shared" si="305"/>
        <v>True</v>
      </c>
      <c r="Y1453" s="19" t="str">
        <f>IF(OR(W1453&lt;'Cleaning Tasks'!$G$18,W1453&gt;'Cleaning Tasks'!$H$18),"Outlier","Normal")</f>
        <v>Normal</v>
      </c>
      <c r="Z1453" s="2" t="s">
        <v>39</v>
      </c>
      <c r="AA1453" s="2" t="s">
        <v>111</v>
      </c>
      <c r="AB1453" s="2" t="s">
        <v>28</v>
      </c>
      <c r="AC1453" s="2" t="s">
        <v>223</v>
      </c>
      <c r="AD1453" s="2"/>
      <c r="AE1453" s="2" t="str">
        <f t="shared" si="306"/>
        <v>Not Required</v>
      </c>
      <c r="AF1453" s="2" t="s">
        <v>3999</v>
      </c>
    </row>
    <row r="1454" spans="1:32" x14ac:dyDescent="0.3">
      <c r="A1454" s="2" t="s">
        <v>4000</v>
      </c>
      <c r="B1454" s="2">
        <f t="shared" si="296"/>
        <v>1</v>
      </c>
      <c r="C1454" s="12">
        <f t="shared" si="308"/>
        <v>46238.586869965278</v>
      </c>
      <c r="D1454" s="13">
        <v>46238.586869965278</v>
      </c>
      <c r="E1454" s="2" t="s">
        <v>4001</v>
      </c>
      <c r="F1454" s="2" t="str">
        <f t="shared" si="297"/>
        <v>Email Available</v>
      </c>
      <c r="G1454" s="2" t="s">
        <v>733</v>
      </c>
      <c r="H1454" s="2" t="s">
        <v>201</v>
      </c>
      <c r="I1454" s="2" t="s">
        <v>191</v>
      </c>
      <c r="J1454" s="2" t="s">
        <v>202</v>
      </c>
      <c r="K1454" s="2">
        <v>2</v>
      </c>
      <c r="L1454" s="2">
        <v>24.99</v>
      </c>
      <c r="M1454" s="19">
        <f t="shared" si="298"/>
        <v>24.99</v>
      </c>
      <c r="N1454" s="2" t="s">
        <v>203</v>
      </c>
      <c r="O1454" s="2" t="str">
        <f t="shared" si="299"/>
        <v>VIP15</v>
      </c>
      <c r="P1454" s="2">
        <v>7.5</v>
      </c>
      <c r="Q1454" s="19">
        <f t="shared" si="300"/>
        <v>7.5</v>
      </c>
      <c r="R1454" s="2" t="str">
        <f t="shared" si="301"/>
        <v>Number</v>
      </c>
      <c r="S1454" s="2">
        <v>7.99</v>
      </c>
      <c r="T1454" s="19">
        <f t="shared" si="302"/>
        <v>7.99</v>
      </c>
      <c r="U1454" s="2" t="s">
        <v>4002</v>
      </c>
      <c r="V1454" s="19">
        <f t="shared" si="303"/>
        <v>50.47</v>
      </c>
      <c r="W1454" s="19">
        <f t="shared" si="304"/>
        <v>50.47</v>
      </c>
      <c r="X1454" s="19" t="str">
        <f t="shared" si="305"/>
        <v>True</v>
      </c>
      <c r="Y1454" s="19" t="str">
        <f>IF(OR(W1454&lt;'Cleaning Tasks'!$G$18,W1454&gt;'Cleaning Tasks'!$H$18),"Outlier","Normal")</f>
        <v>Normal</v>
      </c>
      <c r="Z1454" s="2" t="s">
        <v>66</v>
      </c>
      <c r="AA1454" s="2" t="s">
        <v>27</v>
      </c>
      <c r="AB1454" s="2" t="s">
        <v>28</v>
      </c>
      <c r="AC1454" s="2" t="s">
        <v>105</v>
      </c>
      <c r="AD1454" s="2"/>
      <c r="AE1454" s="2" t="str">
        <f t="shared" si="306"/>
        <v>Not Required</v>
      </c>
      <c r="AF1454" s="2" t="s">
        <v>4003</v>
      </c>
    </row>
    <row r="1455" spans="1:32" x14ac:dyDescent="0.3">
      <c r="A1455" s="2" t="s">
        <v>4004</v>
      </c>
      <c r="B1455" s="2">
        <f t="shared" si="296"/>
        <v>1</v>
      </c>
      <c r="C1455" s="12">
        <f t="shared" si="308"/>
        <v>46238.586900324073</v>
      </c>
      <c r="D1455" s="13">
        <v>46238.586900324073</v>
      </c>
      <c r="E1455" s="2" t="s">
        <v>3338</v>
      </c>
      <c r="F1455" s="2" t="str">
        <f t="shared" si="297"/>
        <v>Email Available</v>
      </c>
      <c r="G1455" s="2" t="s">
        <v>3339</v>
      </c>
      <c r="H1455" s="2" t="s">
        <v>63</v>
      </c>
      <c r="I1455" s="2" t="s">
        <v>47</v>
      </c>
      <c r="J1455" s="2" t="s">
        <v>446</v>
      </c>
      <c r="K1455" s="2">
        <v>3</v>
      </c>
      <c r="L1455" s="2">
        <v>14.99</v>
      </c>
      <c r="M1455" s="19">
        <f t="shared" si="298"/>
        <v>14.99</v>
      </c>
      <c r="N1455" s="2" t="s">
        <v>203</v>
      </c>
      <c r="O1455" s="2" t="str">
        <f t="shared" si="299"/>
        <v>VIP15</v>
      </c>
      <c r="P1455" s="2">
        <v>6.75</v>
      </c>
      <c r="Q1455" s="19">
        <f t="shared" si="300"/>
        <v>6.75</v>
      </c>
      <c r="R1455" s="2" t="str">
        <f t="shared" si="301"/>
        <v>Number</v>
      </c>
      <c r="S1455" s="2">
        <v>5.99</v>
      </c>
      <c r="T1455" s="19">
        <f t="shared" si="302"/>
        <v>5.99</v>
      </c>
      <c r="U1455" s="2">
        <v>44.21</v>
      </c>
      <c r="V1455" s="19">
        <f t="shared" si="303"/>
        <v>44.21</v>
      </c>
      <c r="W1455" s="19">
        <f t="shared" si="304"/>
        <v>44.21</v>
      </c>
      <c r="X1455" s="19" t="str">
        <f t="shared" si="305"/>
        <v>True</v>
      </c>
      <c r="Y1455" s="19" t="str">
        <f>IF(OR(W1455&lt;'Cleaning Tasks'!$G$18,W1455&gt;'Cleaning Tasks'!$H$18),"Outlier","Normal")</f>
        <v>Normal</v>
      </c>
      <c r="Z1455" s="2" t="s">
        <v>66</v>
      </c>
      <c r="AA1455" s="2" t="s">
        <v>111</v>
      </c>
      <c r="AB1455" s="2" t="s">
        <v>41</v>
      </c>
      <c r="AC1455" s="2" t="s">
        <v>331</v>
      </c>
      <c r="AD1455" s="2"/>
      <c r="AE1455" s="2" t="str">
        <f t="shared" si="306"/>
        <v>Not Required</v>
      </c>
      <c r="AF1455" s="2" t="s">
        <v>4005</v>
      </c>
    </row>
    <row r="1456" spans="1:32" x14ac:dyDescent="0.3">
      <c r="A1456" s="2" t="s">
        <v>4006</v>
      </c>
      <c r="B1456" s="2">
        <f t="shared" si="296"/>
        <v>1</v>
      </c>
      <c r="C1456" s="12">
        <f t="shared" si="308"/>
        <v>46238.584720590283</v>
      </c>
      <c r="D1456" s="13">
        <v>46238.584720590283</v>
      </c>
      <c r="E1456" s="2" t="s">
        <v>2072</v>
      </c>
      <c r="F1456" s="2" t="str">
        <f t="shared" si="297"/>
        <v>Missing Email</v>
      </c>
      <c r="G1456" s="2"/>
      <c r="H1456" s="2" t="s">
        <v>63</v>
      </c>
      <c r="I1456" s="2" t="s">
        <v>47</v>
      </c>
      <c r="J1456" s="2" t="s">
        <v>64</v>
      </c>
      <c r="K1456" s="2">
        <v>1</v>
      </c>
      <c r="L1456" s="2">
        <v>14.99</v>
      </c>
      <c r="M1456" s="19">
        <f t="shared" si="298"/>
        <v>14.99</v>
      </c>
      <c r="N1456" s="2" t="s">
        <v>38</v>
      </c>
      <c r="O1456" s="2" t="str">
        <f t="shared" si="299"/>
        <v>FREESHIP</v>
      </c>
      <c r="P1456" s="2">
        <v>0</v>
      </c>
      <c r="Q1456" s="19">
        <f t="shared" si="300"/>
        <v>0</v>
      </c>
      <c r="R1456" s="2" t="str">
        <f t="shared" si="301"/>
        <v>Number</v>
      </c>
      <c r="S1456" s="2">
        <v>0</v>
      </c>
      <c r="T1456" s="19">
        <f t="shared" si="302"/>
        <v>0</v>
      </c>
      <c r="U1456" s="2" t="s">
        <v>1465</v>
      </c>
      <c r="V1456" s="19">
        <f t="shared" si="303"/>
        <v>14.99</v>
      </c>
      <c r="W1456" s="19">
        <f t="shared" si="304"/>
        <v>14.99</v>
      </c>
      <c r="X1456" s="19" t="str">
        <f t="shared" si="305"/>
        <v>True</v>
      </c>
      <c r="Y1456" s="19" t="str">
        <f>IF(OR(W1456&lt;'Cleaning Tasks'!$G$18,W1456&gt;'Cleaning Tasks'!$H$18),"Outlier","Normal")</f>
        <v>Normal</v>
      </c>
      <c r="Z1456" s="2" t="s">
        <v>26</v>
      </c>
      <c r="AA1456" s="2" t="s">
        <v>88</v>
      </c>
      <c r="AB1456" s="2" t="s">
        <v>41</v>
      </c>
      <c r="AC1456" s="2" t="s">
        <v>73</v>
      </c>
      <c r="AD1456" s="2"/>
      <c r="AE1456" s="2" t="str">
        <f t="shared" si="306"/>
        <v>Not Required</v>
      </c>
      <c r="AF1456" s="2" t="s">
        <v>4007</v>
      </c>
    </row>
    <row r="1457" spans="1:32" x14ac:dyDescent="0.3">
      <c r="A1457" s="2" t="s">
        <v>4008</v>
      </c>
      <c r="B1457" s="2">
        <f t="shared" si="296"/>
        <v>1</v>
      </c>
      <c r="C1457" s="12">
        <f t="shared" si="308"/>
        <v>46238</v>
      </c>
      <c r="D1457" s="13" t="s">
        <v>2750</v>
      </c>
      <c r="E1457" s="2" t="s">
        <v>856</v>
      </c>
      <c r="F1457" s="2" t="str">
        <f t="shared" si="297"/>
        <v>Email Available</v>
      </c>
      <c r="G1457" s="2" t="s">
        <v>857</v>
      </c>
      <c r="H1457" s="2" t="s">
        <v>166</v>
      </c>
      <c r="I1457" s="2" t="s">
        <v>103</v>
      </c>
      <c r="J1457" s="2" t="s">
        <v>167</v>
      </c>
      <c r="K1457" s="2">
        <v>3</v>
      </c>
      <c r="L1457" s="2" t="s">
        <v>168</v>
      </c>
      <c r="M1457" s="19">
        <f t="shared" si="298"/>
        <v>32.99</v>
      </c>
      <c r="N1457" s="2" t="s">
        <v>38</v>
      </c>
      <c r="O1457" s="2" t="str">
        <f t="shared" si="299"/>
        <v>FREESHIP</v>
      </c>
      <c r="P1457" s="2">
        <v>0</v>
      </c>
      <c r="Q1457" s="19">
        <f t="shared" si="300"/>
        <v>0</v>
      </c>
      <c r="R1457" s="2" t="str">
        <f t="shared" si="301"/>
        <v>Number</v>
      </c>
      <c r="S1457" s="2">
        <v>0</v>
      </c>
      <c r="T1457" s="19">
        <f t="shared" si="302"/>
        <v>0</v>
      </c>
      <c r="U1457" s="2">
        <v>98.97</v>
      </c>
      <c r="V1457" s="19">
        <f t="shared" si="303"/>
        <v>98.97</v>
      </c>
      <c r="W1457" s="19">
        <f t="shared" si="304"/>
        <v>98.97</v>
      </c>
      <c r="X1457" s="19" t="str">
        <f t="shared" si="305"/>
        <v>True</v>
      </c>
      <c r="Y1457" s="19" t="str">
        <f>IF(OR(W1457&lt;'Cleaning Tasks'!$G$18,W1457&gt;'Cleaning Tasks'!$H$18),"Outlier","Normal")</f>
        <v>Outlier</v>
      </c>
      <c r="Z1457" s="2" t="s">
        <v>72</v>
      </c>
      <c r="AA1457" s="2" t="s">
        <v>27</v>
      </c>
      <c r="AB1457" s="2" t="s">
        <v>50</v>
      </c>
      <c r="AC1457" s="2" t="s">
        <v>105</v>
      </c>
      <c r="AD1457" s="2"/>
      <c r="AE1457" s="2" t="str">
        <f t="shared" si="306"/>
        <v>Not Required</v>
      </c>
      <c r="AF1457" s="2" t="s">
        <v>4009</v>
      </c>
    </row>
    <row r="1458" spans="1:32" x14ac:dyDescent="0.3">
      <c r="A1458" s="2" t="s">
        <v>4010</v>
      </c>
      <c r="B1458" s="2">
        <f t="shared" si="296"/>
        <v>1</v>
      </c>
      <c r="C1458" s="12">
        <f t="shared" si="308"/>
        <v>46238</v>
      </c>
      <c r="D1458" s="13">
        <v>46238</v>
      </c>
      <c r="E1458" s="2" t="s">
        <v>2959</v>
      </c>
      <c r="F1458" s="2" t="str">
        <f t="shared" si="297"/>
        <v>Email Available</v>
      </c>
      <c r="G1458" s="2" t="s">
        <v>2960</v>
      </c>
      <c r="H1458" s="2" t="s">
        <v>236</v>
      </c>
      <c r="I1458" s="2" t="s">
        <v>237</v>
      </c>
      <c r="J1458" s="2" t="s">
        <v>238</v>
      </c>
      <c r="K1458" s="2">
        <v>1</v>
      </c>
      <c r="L1458" s="2" t="s">
        <v>1512</v>
      </c>
      <c r="M1458" s="19">
        <f t="shared" si="298"/>
        <v>27.99</v>
      </c>
      <c r="N1458" s="2" t="s">
        <v>65</v>
      </c>
      <c r="O1458" s="2" t="str">
        <f t="shared" si="299"/>
        <v>WELCOME10</v>
      </c>
      <c r="P1458" s="2">
        <v>2.8</v>
      </c>
      <c r="Q1458" s="19">
        <f t="shared" si="300"/>
        <v>2.8</v>
      </c>
      <c r="R1458" s="2" t="str">
        <f t="shared" si="301"/>
        <v>Number</v>
      </c>
      <c r="S1458" s="2">
        <v>5.99</v>
      </c>
      <c r="T1458" s="19">
        <f t="shared" si="302"/>
        <v>5.99</v>
      </c>
      <c r="U1458" s="2">
        <v>31.18</v>
      </c>
      <c r="V1458" s="19">
        <f t="shared" si="303"/>
        <v>31.18</v>
      </c>
      <c r="W1458" s="19">
        <f t="shared" si="304"/>
        <v>31.18</v>
      </c>
      <c r="X1458" s="19" t="str">
        <f t="shared" si="305"/>
        <v>True</v>
      </c>
      <c r="Y1458" s="19" t="str">
        <f>IF(OR(W1458&lt;'Cleaning Tasks'!$G$18,W1458&gt;'Cleaning Tasks'!$H$18),"Outlier","Normal")</f>
        <v>Normal</v>
      </c>
      <c r="Z1458" s="2" t="s">
        <v>49</v>
      </c>
      <c r="AA1458" s="2" t="s">
        <v>111</v>
      </c>
      <c r="AB1458" s="2" t="s">
        <v>50</v>
      </c>
      <c r="AC1458" s="2" t="s">
        <v>29</v>
      </c>
      <c r="AD1458" s="22" t="s">
        <v>341</v>
      </c>
      <c r="AE1458" s="2" t="str">
        <f t="shared" si="306"/>
        <v>Valid</v>
      </c>
      <c r="AF1458" s="2" t="s">
        <v>4011</v>
      </c>
    </row>
    <row r="1459" spans="1:32" x14ac:dyDescent="0.3">
      <c r="A1459" s="2" t="s">
        <v>4012</v>
      </c>
      <c r="B1459" s="2">
        <f t="shared" si="296"/>
        <v>1</v>
      </c>
      <c r="C1459" s="12">
        <f t="shared" si="308"/>
        <v>46238.579353148147</v>
      </c>
      <c r="D1459" s="13">
        <v>46238.579353148147</v>
      </c>
      <c r="E1459" s="2" t="s">
        <v>199</v>
      </c>
      <c r="F1459" s="2" t="str">
        <f t="shared" si="297"/>
        <v>Email Available</v>
      </c>
      <c r="G1459" s="2" t="s">
        <v>200</v>
      </c>
      <c r="H1459" s="2" t="s">
        <v>267</v>
      </c>
      <c r="I1459" s="2" t="s">
        <v>22</v>
      </c>
      <c r="J1459" s="2" t="s">
        <v>268</v>
      </c>
      <c r="K1459" s="2">
        <v>1</v>
      </c>
      <c r="L1459" s="2">
        <v>18.989999999999998</v>
      </c>
      <c r="M1459" s="19">
        <f t="shared" si="298"/>
        <v>18.989999999999998</v>
      </c>
      <c r="N1459" s="2" t="s">
        <v>118</v>
      </c>
      <c r="O1459" s="2" t="str">
        <f t="shared" si="299"/>
        <v>BFCM25</v>
      </c>
      <c r="P1459" s="2">
        <v>4.75</v>
      </c>
      <c r="Q1459" s="19">
        <f t="shared" si="300"/>
        <v>4.75</v>
      </c>
      <c r="R1459" s="2" t="str">
        <f t="shared" si="301"/>
        <v>Number</v>
      </c>
      <c r="S1459" s="2">
        <v>7.99</v>
      </c>
      <c r="T1459" s="19">
        <f t="shared" si="302"/>
        <v>7.99</v>
      </c>
      <c r="U1459" s="2">
        <v>22.23</v>
      </c>
      <c r="V1459" s="19">
        <f t="shared" si="303"/>
        <v>22.23</v>
      </c>
      <c r="W1459" s="19">
        <f t="shared" si="304"/>
        <v>22.229999999999997</v>
      </c>
      <c r="X1459" s="19" t="str">
        <f t="shared" si="305"/>
        <v>True</v>
      </c>
      <c r="Y1459" s="19" t="str">
        <f>IF(OR(W1459&lt;'Cleaning Tasks'!$G$18,W1459&gt;'Cleaning Tasks'!$H$18),"Outlier","Normal")</f>
        <v>Normal</v>
      </c>
      <c r="Z1459" s="2" t="s">
        <v>66</v>
      </c>
      <c r="AA1459" s="2" t="s">
        <v>88</v>
      </c>
      <c r="AB1459" s="2" t="s">
        <v>50</v>
      </c>
      <c r="AC1459" s="2" t="s">
        <v>73</v>
      </c>
      <c r="AD1459" s="2"/>
      <c r="AE1459" s="2" t="str">
        <f t="shared" si="306"/>
        <v>Not Required</v>
      </c>
      <c r="AF1459" s="2" t="s">
        <v>4013</v>
      </c>
    </row>
    <row r="1460" spans="1:32" x14ac:dyDescent="0.3">
      <c r="A1460" s="2" t="s">
        <v>4014</v>
      </c>
      <c r="B1460" s="2">
        <f t="shared" si="296"/>
        <v>1</v>
      </c>
      <c r="C1460" s="12">
        <f t="shared" si="308"/>
        <v>46238.585834652768</v>
      </c>
      <c r="D1460" s="13">
        <v>46238.585834652768</v>
      </c>
      <c r="E1460" s="2" t="s">
        <v>366</v>
      </c>
      <c r="F1460" s="2" t="str">
        <f t="shared" si="297"/>
        <v>Email Available</v>
      </c>
      <c r="G1460" s="2" t="s">
        <v>367</v>
      </c>
      <c r="H1460" s="2" t="s">
        <v>46</v>
      </c>
      <c r="I1460" s="2" t="s">
        <v>47</v>
      </c>
      <c r="J1460" s="2" t="s">
        <v>48</v>
      </c>
      <c r="K1460" s="2">
        <v>1</v>
      </c>
      <c r="L1460" s="2" t="s">
        <v>1493</v>
      </c>
      <c r="M1460" s="19">
        <f t="shared" si="298"/>
        <v>39.99</v>
      </c>
      <c r="N1460" s="2"/>
      <c r="O1460" s="2" t="str">
        <f t="shared" si="299"/>
        <v/>
      </c>
      <c r="P1460" s="2" t="s">
        <v>184</v>
      </c>
      <c r="Q1460" s="19">
        <f t="shared" si="300"/>
        <v>0</v>
      </c>
      <c r="R1460" s="2" t="str">
        <f t="shared" si="301"/>
        <v>Number</v>
      </c>
      <c r="S1460" s="2">
        <v>7.99</v>
      </c>
      <c r="T1460" s="19">
        <f t="shared" si="302"/>
        <v>7.99</v>
      </c>
      <c r="U1460" s="2">
        <v>47.98</v>
      </c>
      <c r="V1460" s="19">
        <f t="shared" si="303"/>
        <v>47.98</v>
      </c>
      <c r="W1460" s="19">
        <f t="shared" si="304"/>
        <v>47.980000000000004</v>
      </c>
      <c r="X1460" s="19" t="str">
        <f t="shared" si="305"/>
        <v>True</v>
      </c>
      <c r="Y1460" s="19" t="str">
        <f>IF(OR(W1460&lt;'Cleaning Tasks'!$G$18,W1460&gt;'Cleaning Tasks'!$H$18),"Outlier","Normal")</f>
        <v>Normal</v>
      </c>
      <c r="Z1460" s="2" t="s">
        <v>39</v>
      </c>
      <c r="AA1460" s="2" t="s">
        <v>88</v>
      </c>
      <c r="AB1460" s="2" t="s">
        <v>28</v>
      </c>
      <c r="AC1460" s="2" t="s">
        <v>331</v>
      </c>
      <c r="AD1460" s="2"/>
      <c r="AE1460" s="2" t="str">
        <f t="shared" si="306"/>
        <v>Not Required</v>
      </c>
      <c r="AF1460" s="2" t="s">
        <v>4015</v>
      </c>
    </row>
    <row r="1461" spans="1:32" x14ac:dyDescent="0.3">
      <c r="A1461" s="2" t="s">
        <v>4016</v>
      </c>
      <c r="B1461" s="2">
        <f t="shared" si="296"/>
        <v>1</v>
      </c>
      <c r="C1461" s="12">
        <f t="shared" si="308"/>
        <v>46238.586785601852</v>
      </c>
      <c r="D1461" s="13">
        <v>46238.586785601852</v>
      </c>
      <c r="E1461" s="2" t="s">
        <v>1320</v>
      </c>
      <c r="F1461" s="2" t="str">
        <f t="shared" si="297"/>
        <v>Email Available</v>
      </c>
      <c r="G1461" s="2" t="s">
        <v>1321</v>
      </c>
      <c r="H1461" s="2" t="s">
        <v>221</v>
      </c>
      <c r="I1461" s="2" t="s">
        <v>22</v>
      </c>
      <c r="J1461" s="2" t="s">
        <v>222</v>
      </c>
      <c r="K1461" s="2">
        <v>2</v>
      </c>
      <c r="L1461" s="2">
        <v>17.989999999999998</v>
      </c>
      <c r="M1461" s="19">
        <f t="shared" si="298"/>
        <v>17.989999999999998</v>
      </c>
      <c r="N1461" s="2" t="s">
        <v>65</v>
      </c>
      <c r="O1461" s="2" t="str">
        <f t="shared" si="299"/>
        <v>WELCOME10</v>
      </c>
      <c r="P1461" s="2">
        <v>3.6</v>
      </c>
      <c r="Q1461" s="19">
        <f t="shared" si="300"/>
        <v>3.6</v>
      </c>
      <c r="R1461" s="2" t="str">
        <f t="shared" si="301"/>
        <v>Number</v>
      </c>
      <c r="S1461" s="2">
        <v>5.99</v>
      </c>
      <c r="T1461" s="19">
        <f t="shared" si="302"/>
        <v>5.99</v>
      </c>
      <c r="U1461" s="2">
        <v>38.369999999999997</v>
      </c>
      <c r="V1461" s="19">
        <f t="shared" si="303"/>
        <v>38.369999999999997</v>
      </c>
      <c r="W1461" s="19">
        <f t="shared" si="304"/>
        <v>38.369999999999997</v>
      </c>
      <c r="X1461" s="19" t="str">
        <f t="shared" si="305"/>
        <v>True</v>
      </c>
      <c r="Y1461" s="19" t="str">
        <f>IF(OR(W1461&lt;'Cleaning Tasks'!$G$18,W1461&gt;'Cleaning Tasks'!$H$18),"Outlier","Normal")</f>
        <v>Normal</v>
      </c>
      <c r="Z1461" s="2" t="s">
        <v>66</v>
      </c>
      <c r="AA1461" s="2" t="s">
        <v>40</v>
      </c>
      <c r="AB1461" s="2" t="s">
        <v>50</v>
      </c>
      <c r="AC1461" s="2" t="s">
        <v>42</v>
      </c>
      <c r="AD1461" s="2"/>
      <c r="AE1461" s="2" t="str">
        <f t="shared" si="306"/>
        <v>Not Required</v>
      </c>
      <c r="AF1461" s="2" t="s">
        <v>4017</v>
      </c>
    </row>
    <row r="1462" spans="1:32" x14ac:dyDescent="0.3">
      <c r="A1462" s="2" t="s">
        <v>4018</v>
      </c>
      <c r="B1462" s="2">
        <f t="shared" si="296"/>
        <v>1</v>
      </c>
      <c r="C1462" s="12">
        <f t="shared" si="308"/>
        <v>46238</v>
      </c>
      <c r="D1462" s="13">
        <v>46238</v>
      </c>
      <c r="E1462" s="2" t="s">
        <v>705</v>
      </c>
      <c r="F1462" s="2" t="str">
        <f t="shared" si="297"/>
        <v>Email Available</v>
      </c>
      <c r="G1462" s="2" t="s">
        <v>706</v>
      </c>
      <c r="H1462" s="2" t="s">
        <v>279</v>
      </c>
      <c r="I1462" s="2" t="s">
        <v>22</v>
      </c>
      <c r="J1462" s="2" t="s">
        <v>280</v>
      </c>
      <c r="K1462" s="2">
        <v>1</v>
      </c>
      <c r="L1462" s="2">
        <v>24.99</v>
      </c>
      <c r="M1462" s="19">
        <f t="shared" si="298"/>
        <v>24.99</v>
      </c>
      <c r="N1462" s="2"/>
      <c r="O1462" s="2" t="str">
        <f t="shared" si="299"/>
        <v/>
      </c>
      <c r="P1462" s="2" t="s">
        <v>184</v>
      </c>
      <c r="Q1462" s="19">
        <f t="shared" si="300"/>
        <v>0</v>
      </c>
      <c r="R1462" s="2" t="str">
        <f t="shared" si="301"/>
        <v>Number</v>
      </c>
      <c r="S1462" s="2">
        <v>4.99</v>
      </c>
      <c r="T1462" s="19">
        <f t="shared" si="302"/>
        <v>4.99</v>
      </c>
      <c r="U1462" s="2" t="s">
        <v>2219</v>
      </c>
      <c r="V1462" s="19">
        <f t="shared" si="303"/>
        <v>29.98</v>
      </c>
      <c r="W1462" s="19">
        <f t="shared" si="304"/>
        <v>29.979999999999997</v>
      </c>
      <c r="X1462" s="19" t="str">
        <f t="shared" si="305"/>
        <v>True</v>
      </c>
      <c r="Y1462" s="19" t="str">
        <f>IF(OR(W1462&lt;'Cleaning Tasks'!$G$18,W1462&gt;'Cleaning Tasks'!$H$18),"Outlier","Normal")</f>
        <v>Normal</v>
      </c>
      <c r="Z1462" s="2" t="s">
        <v>26</v>
      </c>
      <c r="AA1462" s="2" t="s">
        <v>40</v>
      </c>
      <c r="AB1462" s="2" t="s">
        <v>96</v>
      </c>
      <c r="AC1462" s="2" t="s">
        <v>331</v>
      </c>
      <c r="AD1462" s="2"/>
      <c r="AE1462" s="2" t="str">
        <f t="shared" si="306"/>
        <v>Not Required</v>
      </c>
      <c r="AF1462" s="2" t="s">
        <v>4019</v>
      </c>
    </row>
    <row r="1463" spans="1:32" x14ac:dyDescent="0.3">
      <c r="A1463" s="2" t="s">
        <v>4020</v>
      </c>
      <c r="B1463" s="2">
        <f t="shared" si="296"/>
        <v>1</v>
      </c>
      <c r="C1463" s="12">
        <f t="shared" si="308"/>
        <v>46238</v>
      </c>
      <c r="D1463" s="13">
        <v>46238</v>
      </c>
      <c r="E1463" s="2" t="s">
        <v>740</v>
      </c>
      <c r="F1463" s="2" t="str">
        <f t="shared" si="297"/>
        <v>Email Available</v>
      </c>
      <c r="G1463" s="2" t="s">
        <v>741</v>
      </c>
      <c r="H1463" s="2" t="s">
        <v>267</v>
      </c>
      <c r="I1463" s="2" t="s">
        <v>22</v>
      </c>
      <c r="J1463" s="2" t="s">
        <v>268</v>
      </c>
      <c r="K1463" s="2">
        <v>1</v>
      </c>
      <c r="L1463" s="2">
        <v>18.989999999999998</v>
      </c>
      <c r="M1463" s="19">
        <f t="shared" si="298"/>
        <v>18.989999999999998</v>
      </c>
      <c r="N1463" s="2"/>
      <c r="O1463" s="2" t="str">
        <f t="shared" si="299"/>
        <v/>
      </c>
      <c r="P1463" s="2">
        <v>0</v>
      </c>
      <c r="Q1463" s="19">
        <f t="shared" si="300"/>
        <v>0</v>
      </c>
      <c r="R1463" s="2" t="str">
        <f t="shared" si="301"/>
        <v>Number</v>
      </c>
      <c r="S1463" s="2">
        <v>7.99</v>
      </c>
      <c r="T1463" s="19">
        <f t="shared" si="302"/>
        <v>7.99</v>
      </c>
      <c r="U1463" s="2" t="s">
        <v>583</v>
      </c>
      <c r="V1463" s="19">
        <f t="shared" si="303"/>
        <v>26.98</v>
      </c>
      <c r="W1463" s="19">
        <f t="shared" si="304"/>
        <v>26.979999999999997</v>
      </c>
      <c r="X1463" s="19" t="str">
        <f t="shared" si="305"/>
        <v>True</v>
      </c>
      <c r="Y1463" s="19" t="str">
        <f>IF(OR(W1463&lt;'Cleaning Tasks'!$G$18,W1463&gt;'Cleaning Tasks'!$H$18),"Outlier","Normal")</f>
        <v>Normal</v>
      </c>
      <c r="Z1463" s="2" t="s">
        <v>66</v>
      </c>
      <c r="AA1463" s="2" t="s">
        <v>27</v>
      </c>
      <c r="AB1463" s="2" t="s">
        <v>28</v>
      </c>
      <c r="AC1463" s="2" t="s">
        <v>105</v>
      </c>
      <c r="AD1463" s="2"/>
      <c r="AE1463" s="2" t="str">
        <f t="shared" si="306"/>
        <v>Not Required</v>
      </c>
      <c r="AF1463" s="2" t="s">
        <v>4021</v>
      </c>
    </row>
    <row r="1464" spans="1:32" x14ac:dyDescent="0.3">
      <c r="A1464" s="2" t="s">
        <v>4022</v>
      </c>
      <c r="B1464" s="2">
        <f t="shared" si="296"/>
        <v>1</v>
      </c>
      <c r="C1464" s="12">
        <f t="shared" si="308"/>
        <v>46238.583464513889</v>
      </c>
      <c r="D1464" s="13">
        <v>46238.583464513889</v>
      </c>
      <c r="E1464" s="2" t="s">
        <v>1523</v>
      </c>
      <c r="F1464" s="2" t="str">
        <f t="shared" si="297"/>
        <v>Email Available</v>
      </c>
      <c r="G1464" s="2" t="s">
        <v>1524</v>
      </c>
      <c r="H1464" s="2" t="s">
        <v>109</v>
      </c>
      <c r="I1464" s="2" t="s">
        <v>79</v>
      </c>
      <c r="J1464" s="2" t="s">
        <v>110</v>
      </c>
      <c r="K1464" s="2">
        <v>1</v>
      </c>
      <c r="L1464" s="2">
        <v>22.99</v>
      </c>
      <c r="M1464" s="19">
        <f t="shared" si="298"/>
        <v>22.99</v>
      </c>
      <c r="N1464" s="2"/>
      <c r="O1464" s="2" t="str">
        <f t="shared" si="299"/>
        <v/>
      </c>
      <c r="P1464" s="2">
        <v>0</v>
      </c>
      <c r="Q1464" s="19">
        <f t="shared" si="300"/>
        <v>0</v>
      </c>
      <c r="R1464" s="2" t="str">
        <f t="shared" si="301"/>
        <v>Number</v>
      </c>
      <c r="S1464" s="2">
        <v>4.99</v>
      </c>
      <c r="T1464" s="19">
        <f t="shared" si="302"/>
        <v>4.99</v>
      </c>
      <c r="U1464" s="2">
        <v>27.98</v>
      </c>
      <c r="V1464" s="19">
        <f t="shared" si="303"/>
        <v>27.98</v>
      </c>
      <c r="W1464" s="19">
        <f t="shared" si="304"/>
        <v>27.979999999999997</v>
      </c>
      <c r="X1464" s="19" t="str">
        <f t="shared" si="305"/>
        <v>True</v>
      </c>
      <c r="Y1464" s="19" t="str">
        <f>IF(OR(W1464&lt;'Cleaning Tasks'!$G$18,W1464&gt;'Cleaning Tasks'!$H$18),"Outlier","Normal")</f>
        <v>Normal</v>
      </c>
      <c r="Z1464" s="2" t="s">
        <v>49</v>
      </c>
      <c r="AA1464" s="2" t="s">
        <v>111</v>
      </c>
      <c r="AB1464" s="2" t="s">
        <v>41</v>
      </c>
      <c r="AC1464" s="2" t="s">
        <v>29</v>
      </c>
      <c r="AD1464" s="2" t="s">
        <v>140</v>
      </c>
      <c r="AE1464" s="2" t="str">
        <f t="shared" si="306"/>
        <v>Valid</v>
      </c>
      <c r="AF1464" s="2" t="s">
        <v>4023</v>
      </c>
    </row>
    <row r="1465" spans="1:32" x14ac:dyDescent="0.3">
      <c r="A1465" s="2" t="s">
        <v>4024</v>
      </c>
      <c r="B1465" s="2">
        <f t="shared" si="296"/>
        <v>1</v>
      </c>
      <c r="C1465" s="12">
        <f t="shared" si="308"/>
        <v>46238</v>
      </c>
      <c r="D1465" s="13">
        <v>46238</v>
      </c>
      <c r="E1465" s="2" t="s">
        <v>2889</v>
      </c>
      <c r="F1465" s="2" t="str">
        <f t="shared" si="297"/>
        <v>Email Available</v>
      </c>
      <c r="G1465" s="2" t="s">
        <v>726</v>
      </c>
      <c r="H1465" s="2" t="s">
        <v>56</v>
      </c>
      <c r="I1465" s="2" t="s">
        <v>22</v>
      </c>
      <c r="J1465" s="2" t="s">
        <v>57</v>
      </c>
      <c r="K1465" s="2">
        <v>2</v>
      </c>
      <c r="L1465" s="2">
        <v>9.99</v>
      </c>
      <c r="M1465" s="19">
        <f t="shared" si="298"/>
        <v>9.99</v>
      </c>
      <c r="N1465" s="2" t="s">
        <v>38</v>
      </c>
      <c r="O1465" s="2" t="str">
        <f t="shared" si="299"/>
        <v>FREESHIP</v>
      </c>
      <c r="P1465" s="2">
        <v>0</v>
      </c>
      <c r="Q1465" s="19">
        <f t="shared" si="300"/>
        <v>0</v>
      </c>
      <c r="R1465" s="2" t="str">
        <f t="shared" si="301"/>
        <v>Number</v>
      </c>
      <c r="S1465" s="2">
        <v>0</v>
      </c>
      <c r="T1465" s="19">
        <f t="shared" si="302"/>
        <v>0</v>
      </c>
      <c r="U1465" s="2">
        <v>19.98</v>
      </c>
      <c r="V1465" s="19">
        <f t="shared" si="303"/>
        <v>19.98</v>
      </c>
      <c r="W1465" s="19">
        <f t="shared" si="304"/>
        <v>19.98</v>
      </c>
      <c r="X1465" s="19" t="str">
        <f t="shared" si="305"/>
        <v>True</v>
      </c>
      <c r="Y1465" s="19" t="str">
        <f>IF(OR(W1465&lt;'Cleaning Tasks'!$G$18,W1465&gt;'Cleaning Tasks'!$H$18),"Outlier","Normal")</f>
        <v>Normal</v>
      </c>
      <c r="Z1465" s="2" t="s">
        <v>49</v>
      </c>
      <c r="AA1465" s="2" t="s">
        <v>27</v>
      </c>
      <c r="AB1465" s="2" t="s">
        <v>41</v>
      </c>
      <c r="AC1465" s="2" t="s">
        <v>105</v>
      </c>
      <c r="AD1465" s="2"/>
      <c r="AE1465" s="2" t="str">
        <f t="shared" si="306"/>
        <v>Not Required</v>
      </c>
      <c r="AF1465" s="2" t="s">
        <v>4025</v>
      </c>
    </row>
    <row r="1466" spans="1:32" x14ac:dyDescent="0.3">
      <c r="A1466" s="2" t="s">
        <v>4026</v>
      </c>
      <c r="B1466" s="2">
        <f t="shared" si="296"/>
        <v>1</v>
      </c>
      <c r="C1466" s="12">
        <f t="shared" si="308"/>
        <v>46238.586836134258</v>
      </c>
      <c r="D1466" s="13">
        <v>46238.586836134258</v>
      </c>
      <c r="E1466" s="2" t="s">
        <v>3105</v>
      </c>
      <c r="F1466" s="2" t="str">
        <f t="shared" si="297"/>
        <v>Email Available</v>
      </c>
      <c r="G1466" s="2" t="s">
        <v>3106</v>
      </c>
      <c r="H1466" s="2" t="s">
        <v>63</v>
      </c>
      <c r="I1466" s="2" t="s">
        <v>47</v>
      </c>
      <c r="J1466" s="2" t="s">
        <v>64</v>
      </c>
      <c r="K1466" s="2">
        <v>2</v>
      </c>
      <c r="L1466" s="2" t="s">
        <v>1465</v>
      </c>
      <c r="M1466" s="19">
        <f t="shared" si="298"/>
        <v>14.99</v>
      </c>
      <c r="N1466" s="2" t="s">
        <v>65</v>
      </c>
      <c r="O1466" s="2" t="str">
        <f t="shared" si="299"/>
        <v>WELCOME10</v>
      </c>
      <c r="P1466" s="2">
        <v>3</v>
      </c>
      <c r="Q1466" s="19">
        <f t="shared" si="300"/>
        <v>3</v>
      </c>
      <c r="R1466" s="2" t="str">
        <f t="shared" si="301"/>
        <v>Number</v>
      </c>
      <c r="S1466" s="2">
        <v>4.99</v>
      </c>
      <c r="T1466" s="19">
        <f t="shared" si="302"/>
        <v>4.99</v>
      </c>
      <c r="U1466" s="2">
        <v>31.97</v>
      </c>
      <c r="V1466" s="19">
        <f t="shared" si="303"/>
        <v>31.97</v>
      </c>
      <c r="W1466" s="19">
        <f t="shared" si="304"/>
        <v>31.97</v>
      </c>
      <c r="X1466" s="19" t="str">
        <f t="shared" si="305"/>
        <v>True</v>
      </c>
      <c r="Y1466" s="19" t="str">
        <f>IF(OR(W1466&lt;'Cleaning Tasks'!$G$18,W1466&gt;'Cleaning Tasks'!$H$18),"Outlier","Normal")</f>
        <v>Normal</v>
      </c>
      <c r="Z1466" s="2" t="s">
        <v>26</v>
      </c>
      <c r="AA1466" s="2" t="s">
        <v>40</v>
      </c>
      <c r="AB1466" s="2" t="s">
        <v>41</v>
      </c>
      <c r="AC1466" s="2" t="s">
        <v>29</v>
      </c>
      <c r="AD1466" s="2" t="s">
        <v>30</v>
      </c>
      <c r="AE1466" s="2" t="str">
        <f t="shared" si="306"/>
        <v>Valid</v>
      </c>
      <c r="AF1466" s="2" t="s">
        <v>4027</v>
      </c>
    </row>
    <row r="1467" spans="1:32" x14ac:dyDescent="0.3">
      <c r="A1467" s="2" t="s">
        <v>4028</v>
      </c>
      <c r="B1467" s="2">
        <f t="shared" si="296"/>
        <v>1</v>
      </c>
      <c r="C1467" s="12">
        <f t="shared" si="308"/>
        <v>46238.580001875001</v>
      </c>
      <c r="D1467" s="13">
        <v>46238.580001875001</v>
      </c>
      <c r="E1467" s="2" t="s">
        <v>199</v>
      </c>
      <c r="F1467" s="2" t="str">
        <f t="shared" si="297"/>
        <v>Missing Email</v>
      </c>
      <c r="G1467" s="2"/>
      <c r="H1467" s="2" t="s">
        <v>102</v>
      </c>
      <c r="I1467" s="2" t="s">
        <v>103</v>
      </c>
      <c r="J1467" s="2" t="s">
        <v>104</v>
      </c>
      <c r="K1467" s="2">
        <v>2</v>
      </c>
      <c r="L1467" s="2">
        <v>19.989999999999998</v>
      </c>
      <c r="M1467" s="19">
        <f t="shared" si="298"/>
        <v>19.989999999999998</v>
      </c>
      <c r="N1467" s="2" t="s">
        <v>118</v>
      </c>
      <c r="O1467" s="2" t="str">
        <f t="shared" si="299"/>
        <v>BFCM25</v>
      </c>
      <c r="P1467" s="2">
        <v>9.99</v>
      </c>
      <c r="Q1467" s="19">
        <f t="shared" si="300"/>
        <v>9.99</v>
      </c>
      <c r="R1467" s="2" t="str">
        <f t="shared" si="301"/>
        <v>Number</v>
      </c>
      <c r="S1467" s="2">
        <v>5.99</v>
      </c>
      <c r="T1467" s="19">
        <f t="shared" si="302"/>
        <v>5.99</v>
      </c>
      <c r="U1467" s="2">
        <v>35.979999999999997</v>
      </c>
      <c r="V1467" s="19">
        <f t="shared" si="303"/>
        <v>35.979999999999997</v>
      </c>
      <c r="W1467" s="19">
        <f t="shared" si="304"/>
        <v>35.979999999999997</v>
      </c>
      <c r="X1467" s="19" t="str">
        <f t="shared" si="305"/>
        <v>True</v>
      </c>
      <c r="Y1467" s="19" t="str">
        <f>IF(OR(W1467&lt;'Cleaning Tasks'!$G$18,W1467&gt;'Cleaning Tasks'!$H$18),"Outlier","Normal")</f>
        <v>Normal</v>
      </c>
      <c r="Z1467" s="2" t="s">
        <v>72</v>
      </c>
      <c r="AA1467" s="2" t="s">
        <v>27</v>
      </c>
      <c r="AB1467" s="2" t="s">
        <v>50</v>
      </c>
      <c r="AC1467" s="2" t="s">
        <v>73</v>
      </c>
      <c r="AD1467" s="2"/>
      <c r="AE1467" s="2" t="str">
        <f t="shared" si="306"/>
        <v>Not Required</v>
      </c>
      <c r="AF1467" s="2" t="s">
        <v>4029</v>
      </c>
    </row>
    <row r="1468" spans="1:32" x14ac:dyDescent="0.3">
      <c r="A1468" s="2" t="s">
        <v>4030</v>
      </c>
      <c r="B1468" s="2">
        <f t="shared" si="296"/>
        <v>1</v>
      </c>
      <c r="C1468" s="12">
        <f t="shared" si="308"/>
        <v>46238.587794988423</v>
      </c>
      <c r="D1468" s="13">
        <v>46238.587794988423</v>
      </c>
      <c r="E1468" s="2" t="s">
        <v>658</v>
      </c>
      <c r="F1468" s="2" t="str">
        <f t="shared" si="297"/>
        <v>Email Available</v>
      </c>
      <c r="G1468" s="2" t="s">
        <v>659</v>
      </c>
      <c r="H1468" s="2" t="s">
        <v>261</v>
      </c>
      <c r="I1468" s="2" t="s">
        <v>36</v>
      </c>
      <c r="J1468" s="2" t="s">
        <v>262</v>
      </c>
      <c r="K1468" s="2">
        <v>1</v>
      </c>
      <c r="L1468" s="2">
        <v>15.49</v>
      </c>
      <c r="M1468" s="19">
        <f t="shared" si="298"/>
        <v>15.49</v>
      </c>
      <c r="N1468" s="2" t="s">
        <v>65</v>
      </c>
      <c r="O1468" s="2" t="str">
        <f t="shared" si="299"/>
        <v>WELCOME10</v>
      </c>
      <c r="P1468" s="2">
        <v>1.55</v>
      </c>
      <c r="Q1468" s="19">
        <f t="shared" si="300"/>
        <v>1.55</v>
      </c>
      <c r="R1468" s="2" t="str">
        <f t="shared" si="301"/>
        <v>Number</v>
      </c>
      <c r="S1468" s="2">
        <v>7.99</v>
      </c>
      <c r="T1468" s="19">
        <f t="shared" si="302"/>
        <v>7.99</v>
      </c>
      <c r="U1468" s="2">
        <v>21.93</v>
      </c>
      <c r="V1468" s="19">
        <f t="shared" si="303"/>
        <v>21.93</v>
      </c>
      <c r="W1468" s="19">
        <f t="shared" si="304"/>
        <v>21.93</v>
      </c>
      <c r="X1468" s="19" t="str">
        <f t="shared" si="305"/>
        <v>True</v>
      </c>
      <c r="Y1468" s="19" t="str">
        <f>IF(OR(W1468&lt;'Cleaning Tasks'!$G$18,W1468&gt;'Cleaning Tasks'!$H$18),"Outlier","Normal")</f>
        <v>Normal</v>
      </c>
      <c r="Z1468" s="2" t="s">
        <v>66</v>
      </c>
      <c r="AA1468" s="2" t="s">
        <v>88</v>
      </c>
      <c r="AB1468" s="2" t="s">
        <v>50</v>
      </c>
      <c r="AC1468" s="2" t="s">
        <v>73</v>
      </c>
      <c r="AD1468" s="2"/>
      <c r="AE1468" s="2" t="str">
        <f t="shared" si="306"/>
        <v>Not Required</v>
      </c>
      <c r="AF1468" s="2" t="s">
        <v>2565</v>
      </c>
    </row>
    <row r="1469" spans="1:32" x14ac:dyDescent="0.3">
      <c r="A1469" s="2" t="s">
        <v>4031</v>
      </c>
      <c r="B1469" s="2">
        <f t="shared" si="296"/>
        <v>1</v>
      </c>
      <c r="C1469" s="12">
        <f t="shared" si="308"/>
        <v>46238.581301539351</v>
      </c>
      <c r="D1469" s="13">
        <v>46238.581301539351</v>
      </c>
      <c r="E1469" s="2" t="s">
        <v>2027</v>
      </c>
      <c r="F1469" s="2" t="str">
        <f t="shared" si="297"/>
        <v>Email Available</v>
      </c>
      <c r="G1469" s="2" t="s">
        <v>2028</v>
      </c>
      <c r="H1469" s="2" t="s">
        <v>221</v>
      </c>
      <c r="I1469" s="2" t="s">
        <v>22</v>
      </c>
      <c r="J1469" s="2" t="s">
        <v>222</v>
      </c>
      <c r="K1469" s="2">
        <v>4</v>
      </c>
      <c r="L1469" s="2">
        <v>17.989999999999998</v>
      </c>
      <c r="M1469" s="19">
        <f t="shared" si="298"/>
        <v>17.989999999999998</v>
      </c>
      <c r="N1469" s="2"/>
      <c r="O1469" s="2" t="str">
        <f t="shared" si="299"/>
        <v/>
      </c>
      <c r="P1469" s="2">
        <v>0</v>
      </c>
      <c r="Q1469" s="19">
        <f t="shared" si="300"/>
        <v>0</v>
      </c>
      <c r="R1469" s="2" t="str">
        <f t="shared" si="301"/>
        <v>Number</v>
      </c>
      <c r="S1469" s="2">
        <v>5.99</v>
      </c>
      <c r="T1469" s="19">
        <f t="shared" si="302"/>
        <v>5.99</v>
      </c>
      <c r="U1469" s="2">
        <v>77.95</v>
      </c>
      <c r="V1469" s="19">
        <f t="shared" si="303"/>
        <v>77.95</v>
      </c>
      <c r="W1469" s="19">
        <f t="shared" si="304"/>
        <v>77.949999999999989</v>
      </c>
      <c r="X1469" s="19" t="str">
        <f t="shared" si="305"/>
        <v>True</v>
      </c>
      <c r="Y1469" s="19" t="str">
        <f>IF(OR(W1469&lt;'Cleaning Tasks'!$G$18,W1469&gt;'Cleaning Tasks'!$H$18),"Outlier","Normal")</f>
        <v>Normal</v>
      </c>
      <c r="Z1469" s="2" t="s">
        <v>49</v>
      </c>
      <c r="AA1469" s="2" t="s">
        <v>40</v>
      </c>
      <c r="AB1469" s="2" t="s">
        <v>50</v>
      </c>
      <c r="AC1469" s="2" t="s">
        <v>42</v>
      </c>
      <c r="AD1469" s="2"/>
      <c r="AE1469" s="2" t="str">
        <f t="shared" si="306"/>
        <v>Not Required</v>
      </c>
      <c r="AF1469" s="2" t="s">
        <v>4032</v>
      </c>
    </row>
    <row r="1470" spans="1:32" x14ac:dyDescent="0.3">
      <c r="A1470" s="2" t="s">
        <v>4033</v>
      </c>
      <c r="B1470" s="2">
        <f t="shared" si="296"/>
        <v>1</v>
      </c>
      <c r="C1470" s="12">
        <f t="shared" si="308"/>
        <v>46238.588022685188</v>
      </c>
      <c r="D1470" s="13">
        <v>46238.588022685188</v>
      </c>
      <c r="E1470" s="2" t="s">
        <v>528</v>
      </c>
      <c r="F1470" s="2" t="str">
        <f t="shared" si="297"/>
        <v>Email Available</v>
      </c>
      <c r="G1470" s="2" t="s">
        <v>529</v>
      </c>
      <c r="H1470" s="2" t="s">
        <v>46</v>
      </c>
      <c r="I1470" s="2" t="s">
        <v>47</v>
      </c>
      <c r="J1470" s="2" t="s">
        <v>48</v>
      </c>
      <c r="K1470" s="2">
        <v>1</v>
      </c>
      <c r="L1470" s="2">
        <v>39.99</v>
      </c>
      <c r="M1470" s="19">
        <f t="shared" si="298"/>
        <v>39.99</v>
      </c>
      <c r="N1470" s="2" t="s">
        <v>65</v>
      </c>
      <c r="O1470" s="2" t="str">
        <f t="shared" si="299"/>
        <v>WELCOME10</v>
      </c>
      <c r="P1470" s="2">
        <v>4</v>
      </c>
      <c r="Q1470" s="19">
        <f t="shared" si="300"/>
        <v>4</v>
      </c>
      <c r="R1470" s="2" t="str">
        <f t="shared" si="301"/>
        <v>Number</v>
      </c>
      <c r="S1470" s="2">
        <v>4.99</v>
      </c>
      <c r="T1470" s="19">
        <f t="shared" si="302"/>
        <v>4.99</v>
      </c>
      <c r="U1470" s="2">
        <v>40.98</v>
      </c>
      <c r="V1470" s="19">
        <f t="shared" si="303"/>
        <v>40.98</v>
      </c>
      <c r="W1470" s="19">
        <f t="shared" si="304"/>
        <v>40.980000000000004</v>
      </c>
      <c r="X1470" s="19" t="str">
        <f t="shared" si="305"/>
        <v>True</v>
      </c>
      <c r="Y1470" s="19" t="str">
        <f>IF(OR(W1470&lt;'Cleaning Tasks'!$G$18,W1470&gt;'Cleaning Tasks'!$H$18),"Outlier","Normal")</f>
        <v>Normal</v>
      </c>
      <c r="Z1470" s="2" t="s">
        <v>66</v>
      </c>
      <c r="AA1470" s="2" t="s">
        <v>111</v>
      </c>
      <c r="AB1470" s="2" t="s">
        <v>50</v>
      </c>
      <c r="AC1470" s="2" t="s">
        <v>29</v>
      </c>
      <c r="AD1470" s="2" t="s">
        <v>58</v>
      </c>
      <c r="AE1470" s="2" t="str">
        <f t="shared" si="306"/>
        <v>Valid</v>
      </c>
      <c r="AF1470" s="2" t="s">
        <v>4034</v>
      </c>
    </row>
    <row r="1471" spans="1:32" x14ac:dyDescent="0.3">
      <c r="A1471" s="2" t="s">
        <v>4035</v>
      </c>
      <c r="B1471" s="2">
        <f t="shared" si="296"/>
        <v>1</v>
      </c>
      <c r="C1471" s="12">
        <f t="shared" si="308"/>
        <v>46238.579070277781</v>
      </c>
      <c r="D1471" s="13">
        <v>46238.579070277781</v>
      </c>
      <c r="E1471" s="2" t="s">
        <v>4036</v>
      </c>
      <c r="F1471" s="2" t="str">
        <f t="shared" si="297"/>
        <v>Email Available</v>
      </c>
      <c r="G1471" s="2" t="s">
        <v>3869</v>
      </c>
      <c r="H1471" s="2" t="s">
        <v>267</v>
      </c>
      <c r="I1471" s="2" t="s">
        <v>22</v>
      </c>
      <c r="J1471" s="2" t="s">
        <v>268</v>
      </c>
      <c r="K1471" s="2">
        <v>1</v>
      </c>
      <c r="L1471" s="2">
        <v>18.989999999999998</v>
      </c>
      <c r="M1471" s="19">
        <f t="shared" si="298"/>
        <v>18.989999999999998</v>
      </c>
      <c r="N1471" s="2"/>
      <c r="O1471" s="2" t="str">
        <f t="shared" si="299"/>
        <v/>
      </c>
      <c r="P1471" s="2">
        <v>0</v>
      </c>
      <c r="Q1471" s="19">
        <f t="shared" si="300"/>
        <v>0</v>
      </c>
      <c r="R1471" s="2" t="str">
        <f t="shared" si="301"/>
        <v>Number</v>
      </c>
      <c r="S1471" s="2">
        <v>5.99</v>
      </c>
      <c r="T1471" s="19">
        <f t="shared" si="302"/>
        <v>5.99</v>
      </c>
      <c r="U1471" s="2" t="s">
        <v>941</v>
      </c>
      <c r="V1471" s="19">
        <f t="shared" si="303"/>
        <v>24.98</v>
      </c>
      <c r="W1471" s="19">
        <f t="shared" si="304"/>
        <v>24.979999999999997</v>
      </c>
      <c r="X1471" s="19" t="str">
        <f t="shared" si="305"/>
        <v>True</v>
      </c>
      <c r="Y1471" s="19" t="str">
        <f>IF(OR(W1471&lt;'Cleaning Tasks'!$G$18,W1471&gt;'Cleaning Tasks'!$H$18),"Outlier","Normal")</f>
        <v>Normal</v>
      </c>
      <c r="Z1471" s="2" t="s">
        <v>26</v>
      </c>
      <c r="AA1471" s="2" t="s">
        <v>27</v>
      </c>
      <c r="AB1471" s="2" t="s">
        <v>96</v>
      </c>
      <c r="AC1471" s="2" t="s">
        <v>29</v>
      </c>
      <c r="AD1471" s="2" t="s">
        <v>51</v>
      </c>
      <c r="AE1471" s="2" t="str">
        <f t="shared" si="306"/>
        <v>Valid</v>
      </c>
      <c r="AF1471" s="2" t="s">
        <v>4037</v>
      </c>
    </row>
    <row r="1472" spans="1:32" x14ac:dyDescent="0.3">
      <c r="A1472" s="2" t="s">
        <v>4038</v>
      </c>
      <c r="B1472" s="2">
        <f t="shared" si="296"/>
        <v>1</v>
      </c>
      <c r="C1472" s="12">
        <f t="shared" ref="C1472:C1503" si="309">IF(ISNUMBER(D1472),D1472,DATEVALUE(SUBSTITUTE(TRIM(D1472),CHAR(160)," ")))</f>
        <v>46238.58200263889</v>
      </c>
      <c r="D1472" s="13">
        <v>46238.58200263889</v>
      </c>
      <c r="E1472" s="2" t="s">
        <v>819</v>
      </c>
      <c r="F1472" s="2" t="str">
        <f t="shared" si="297"/>
        <v>Missing Email</v>
      </c>
      <c r="G1472" s="2"/>
      <c r="H1472" s="2" t="s">
        <v>182</v>
      </c>
      <c r="I1472" s="2" t="s">
        <v>36</v>
      </c>
      <c r="J1472" s="2" t="s">
        <v>183</v>
      </c>
      <c r="K1472" s="2">
        <v>1</v>
      </c>
      <c r="L1472" s="2">
        <v>11.99</v>
      </c>
      <c r="M1472" s="19">
        <f t="shared" si="298"/>
        <v>11.99</v>
      </c>
      <c r="N1472" s="2"/>
      <c r="O1472" s="2" t="str">
        <f t="shared" si="299"/>
        <v/>
      </c>
      <c r="P1472" s="2">
        <v>0</v>
      </c>
      <c r="Q1472" s="19">
        <f t="shared" si="300"/>
        <v>0</v>
      </c>
      <c r="R1472" s="2" t="str">
        <f t="shared" si="301"/>
        <v>Number</v>
      </c>
      <c r="S1472" s="2">
        <v>7.99</v>
      </c>
      <c r="T1472" s="19">
        <f t="shared" si="302"/>
        <v>7.99</v>
      </c>
      <c r="U1472" s="2">
        <v>19.98</v>
      </c>
      <c r="V1472" s="19">
        <f t="shared" si="303"/>
        <v>19.98</v>
      </c>
      <c r="W1472" s="19">
        <f t="shared" si="304"/>
        <v>19.98</v>
      </c>
      <c r="X1472" s="19" t="str">
        <f t="shared" si="305"/>
        <v>True</v>
      </c>
      <c r="Y1472" s="19" t="str">
        <f>IF(OR(W1472&lt;'Cleaning Tasks'!$G$18,W1472&gt;'Cleaning Tasks'!$H$18),"Outlier","Normal")</f>
        <v>Normal</v>
      </c>
      <c r="Z1472" s="2" t="s">
        <v>66</v>
      </c>
      <c r="AA1472" s="2" t="s">
        <v>27</v>
      </c>
      <c r="AB1472" s="2" t="s">
        <v>50</v>
      </c>
      <c r="AC1472" s="2" t="s">
        <v>29</v>
      </c>
      <c r="AD1472" s="2" t="s">
        <v>341</v>
      </c>
      <c r="AE1472" s="2" t="str">
        <f t="shared" si="306"/>
        <v>Valid</v>
      </c>
      <c r="AF1472" s="2" t="s">
        <v>4039</v>
      </c>
    </row>
    <row r="1473" spans="1:32" x14ac:dyDescent="0.3">
      <c r="A1473" s="2" t="s">
        <v>4040</v>
      </c>
      <c r="B1473" s="2">
        <f t="shared" si="296"/>
        <v>1</v>
      </c>
      <c r="C1473" s="12">
        <f t="shared" si="309"/>
        <v>46238</v>
      </c>
      <c r="D1473" s="13" t="s">
        <v>143</v>
      </c>
      <c r="E1473" s="2" t="s">
        <v>516</v>
      </c>
      <c r="F1473" s="2" t="str">
        <f t="shared" si="297"/>
        <v>Email Available</v>
      </c>
      <c r="G1473" s="2" t="s">
        <v>517</v>
      </c>
      <c r="H1473" s="2" t="s">
        <v>190</v>
      </c>
      <c r="I1473" s="2" t="s">
        <v>191</v>
      </c>
      <c r="J1473" s="2" t="s">
        <v>192</v>
      </c>
      <c r="K1473" s="2">
        <v>1</v>
      </c>
      <c r="L1473" s="2">
        <v>13.49</v>
      </c>
      <c r="M1473" s="19">
        <f t="shared" si="298"/>
        <v>13.49</v>
      </c>
      <c r="N1473" s="2"/>
      <c r="O1473" s="2" t="str">
        <f t="shared" si="299"/>
        <v/>
      </c>
      <c r="P1473" s="2">
        <v>0</v>
      </c>
      <c r="Q1473" s="19">
        <f t="shared" si="300"/>
        <v>0</v>
      </c>
      <c r="R1473" s="2" t="str">
        <f t="shared" si="301"/>
        <v>Number</v>
      </c>
      <c r="S1473" s="2">
        <v>5.99</v>
      </c>
      <c r="T1473" s="19">
        <f t="shared" si="302"/>
        <v>5.99</v>
      </c>
      <c r="U1473" s="2">
        <v>19.48</v>
      </c>
      <c r="V1473" s="19">
        <f t="shared" si="303"/>
        <v>19.48</v>
      </c>
      <c r="W1473" s="19">
        <f t="shared" si="304"/>
        <v>19.48</v>
      </c>
      <c r="X1473" s="19" t="str">
        <f t="shared" si="305"/>
        <v>True</v>
      </c>
      <c r="Y1473" s="19" t="str">
        <f>IF(OR(W1473&lt;'Cleaning Tasks'!$G$18,W1473&gt;'Cleaning Tasks'!$H$18),"Outlier","Normal")</f>
        <v>Normal</v>
      </c>
      <c r="Z1473" s="2" t="s">
        <v>49</v>
      </c>
      <c r="AA1473" s="2" t="s">
        <v>111</v>
      </c>
      <c r="AB1473" s="2" t="s">
        <v>50</v>
      </c>
      <c r="AC1473" s="2" t="s">
        <v>29</v>
      </c>
      <c r="AD1473" s="22" t="s">
        <v>140</v>
      </c>
      <c r="AE1473" s="2" t="str">
        <f t="shared" si="306"/>
        <v>Valid</v>
      </c>
      <c r="AF1473" s="2" t="s">
        <v>4041</v>
      </c>
    </row>
    <row r="1474" spans="1:32" x14ac:dyDescent="0.3">
      <c r="A1474" s="2" t="s">
        <v>4042</v>
      </c>
      <c r="B1474" s="2">
        <f t="shared" ref="B1474:B1537" si="310">COUNTIF($A$2:$A$1993,A1474)</f>
        <v>1</v>
      </c>
      <c r="C1474" s="12">
        <f t="shared" si="309"/>
        <v>46238.58278556713</v>
      </c>
      <c r="D1474" s="13">
        <v>46238.58278556713</v>
      </c>
      <c r="E1474" s="2" t="s">
        <v>61</v>
      </c>
      <c r="F1474" s="2" t="str">
        <f t="shared" ref="F1474:F1537" si="311">IF(TRIM(G1474)="","Missing Email","Email Available")</f>
        <v>Missing Email</v>
      </c>
      <c r="G1474" s="2"/>
      <c r="H1474" s="2" t="s">
        <v>85</v>
      </c>
      <c r="I1474" s="2" t="s">
        <v>86</v>
      </c>
      <c r="J1474" s="2" t="s">
        <v>87</v>
      </c>
      <c r="K1474" s="2">
        <v>1</v>
      </c>
      <c r="L1474" s="2">
        <v>54.99</v>
      </c>
      <c r="M1474" s="19">
        <f t="shared" ref="M1474:M1537" si="312">IF(ISNUMBER(L1474),L1474,VALUE(SUBSTITUTE(L1474,"$","")))</f>
        <v>54.99</v>
      </c>
      <c r="N1474" s="2" t="s">
        <v>65</v>
      </c>
      <c r="O1474" s="2" t="str">
        <f t="shared" ref="O1474:O1537" si="313">IF(TRIM(N1474)="","",UPPER(TRIM(SUBSTITUTE(N1474,CHAR(160)," "))))</f>
        <v>WELCOME10</v>
      </c>
      <c r="P1474" s="2">
        <v>5.5</v>
      </c>
      <c r="Q1474" s="19">
        <f t="shared" ref="Q1474:Q1537" si="314">IF(ISNUMBER(P1474),P1474,VALUE(TRIM(SUBSTITUTE(P1474,"$",""))))</f>
        <v>5.5</v>
      </c>
      <c r="R1474" s="2" t="str">
        <f t="shared" ref="R1474:R1537" si="315">IF(ISNUMBER(Q1474),"Number","Text")</f>
        <v>Number</v>
      </c>
      <c r="S1474" s="2">
        <v>7.99</v>
      </c>
      <c r="T1474" s="19">
        <f t="shared" ref="T1474:T1537" si="316">IF(ISNUMBER(S1474),S1474,VALUE(TRIM(SUBSTITUTE(S1474,"$",""))))</f>
        <v>7.99</v>
      </c>
      <c r="U1474" s="2">
        <v>57.48</v>
      </c>
      <c r="V1474" s="19">
        <f t="shared" ref="V1474:V1537" si="317">IF(ISNUMBER(U1474),U1474,VALUE(TRIM(SUBSTITUTE(U1474,"$",""))))</f>
        <v>57.48</v>
      </c>
      <c r="W1474" s="19">
        <f t="shared" ref="W1474:W1537" si="318">((M1474*K1474)-Q1474)+T1474</f>
        <v>57.480000000000004</v>
      </c>
      <c r="X1474" s="19" t="str">
        <f t="shared" ref="X1474:X1537" si="319">IF(V1474=W1474,"True","False")</f>
        <v>True</v>
      </c>
      <c r="Y1474" s="19" t="str">
        <f>IF(OR(W1474&lt;'Cleaning Tasks'!$G$18,W1474&gt;'Cleaning Tasks'!$H$18),"Outlier","Normal")</f>
        <v>Normal</v>
      </c>
      <c r="Z1474" s="2" t="s">
        <v>49</v>
      </c>
      <c r="AA1474" s="2" t="s">
        <v>27</v>
      </c>
      <c r="AB1474" s="2" t="s">
        <v>28</v>
      </c>
      <c r="AC1474" s="2" t="s">
        <v>29</v>
      </c>
      <c r="AD1474" s="2" t="s">
        <v>447</v>
      </c>
      <c r="AE1474" s="2" t="str">
        <f t="shared" ref="AE1474:AE1537" si="320">IF(AND(AC1474="United States",AD1474=""),"Missing state",IF(AD1474="","Not Required","Valid"))</f>
        <v>Valid</v>
      </c>
      <c r="AF1474" s="2" t="s">
        <v>4043</v>
      </c>
    </row>
    <row r="1475" spans="1:32" x14ac:dyDescent="0.3">
      <c r="A1475" s="2" t="s">
        <v>4044</v>
      </c>
      <c r="B1475" s="2">
        <f t="shared" si="310"/>
        <v>1</v>
      </c>
      <c r="C1475" s="12">
        <f t="shared" si="309"/>
        <v>46238</v>
      </c>
      <c r="D1475" s="13">
        <v>46238</v>
      </c>
      <c r="E1475" s="2" t="s">
        <v>4045</v>
      </c>
      <c r="F1475" s="2" t="str">
        <f t="shared" si="311"/>
        <v>Email Available</v>
      </c>
      <c r="G1475" s="2" t="s">
        <v>4046</v>
      </c>
      <c r="H1475" s="2" t="s">
        <v>190</v>
      </c>
      <c r="I1475" s="2" t="s">
        <v>191</v>
      </c>
      <c r="J1475" s="2" t="s">
        <v>192</v>
      </c>
      <c r="K1475" s="2">
        <v>1</v>
      </c>
      <c r="L1475" s="2">
        <v>13.49</v>
      </c>
      <c r="M1475" s="19">
        <f t="shared" si="312"/>
        <v>13.49</v>
      </c>
      <c r="N1475" s="2" t="s">
        <v>118</v>
      </c>
      <c r="O1475" s="2" t="str">
        <f t="shared" si="313"/>
        <v>BFCM25</v>
      </c>
      <c r="P1475" s="2">
        <v>3.37</v>
      </c>
      <c r="Q1475" s="19">
        <f t="shared" si="314"/>
        <v>3.37</v>
      </c>
      <c r="R1475" s="2" t="str">
        <f t="shared" si="315"/>
        <v>Number</v>
      </c>
      <c r="S1475" s="2">
        <v>7.99</v>
      </c>
      <c r="T1475" s="19">
        <f t="shared" si="316"/>
        <v>7.99</v>
      </c>
      <c r="U1475" s="2">
        <v>0</v>
      </c>
      <c r="V1475" s="19">
        <f t="shared" si="317"/>
        <v>0</v>
      </c>
      <c r="W1475" s="19">
        <f t="shared" si="318"/>
        <v>18.11</v>
      </c>
      <c r="X1475" s="19" t="str">
        <f t="shared" si="319"/>
        <v>False</v>
      </c>
      <c r="Y1475" s="19" t="str">
        <f>IF(OR(W1475&lt;'Cleaning Tasks'!$G$18,W1475&gt;'Cleaning Tasks'!$H$18),"Outlier","Normal")</f>
        <v>Normal</v>
      </c>
      <c r="Z1475" s="2" t="s">
        <v>66</v>
      </c>
      <c r="AA1475" s="2" t="s">
        <v>88</v>
      </c>
      <c r="AB1475" s="2" t="s">
        <v>50</v>
      </c>
      <c r="AC1475" s="2" t="s">
        <v>42</v>
      </c>
      <c r="AD1475" s="2"/>
      <c r="AE1475" s="2" t="str">
        <f t="shared" si="320"/>
        <v>Not Required</v>
      </c>
      <c r="AF1475" s="2" t="s">
        <v>4047</v>
      </c>
    </row>
    <row r="1476" spans="1:32" x14ac:dyDescent="0.3">
      <c r="A1476" s="2" t="s">
        <v>4048</v>
      </c>
      <c r="B1476" s="2">
        <f t="shared" si="310"/>
        <v>1</v>
      </c>
      <c r="C1476" s="12">
        <f t="shared" si="309"/>
        <v>46238.588223530103</v>
      </c>
      <c r="D1476" s="13">
        <v>46238.588223530103</v>
      </c>
      <c r="E1476" s="2" t="s">
        <v>1349</v>
      </c>
      <c r="F1476" s="2" t="str">
        <f t="shared" si="311"/>
        <v>Email Available</v>
      </c>
      <c r="G1476" s="2" t="s">
        <v>1350</v>
      </c>
      <c r="H1476" s="2" t="s">
        <v>146</v>
      </c>
      <c r="I1476" s="2" t="s">
        <v>47</v>
      </c>
      <c r="J1476" s="2" t="s">
        <v>147</v>
      </c>
      <c r="K1476" s="2">
        <v>1</v>
      </c>
      <c r="L1476" s="2">
        <v>34.99</v>
      </c>
      <c r="M1476" s="19">
        <f t="shared" si="312"/>
        <v>34.99</v>
      </c>
      <c r="N1476" s="2"/>
      <c r="O1476" s="2" t="str">
        <f t="shared" si="313"/>
        <v/>
      </c>
      <c r="P1476" s="2">
        <v>0</v>
      </c>
      <c r="Q1476" s="19">
        <f t="shared" si="314"/>
        <v>0</v>
      </c>
      <c r="R1476" s="2" t="str">
        <f t="shared" si="315"/>
        <v>Number</v>
      </c>
      <c r="S1476" s="2">
        <v>4.99</v>
      </c>
      <c r="T1476" s="19">
        <f t="shared" si="316"/>
        <v>4.99</v>
      </c>
      <c r="U1476" s="2">
        <v>39.979999999999997</v>
      </c>
      <c r="V1476" s="19">
        <f t="shared" si="317"/>
        <v>39.979999999999997</v>
      </c>
      <c r="W1476" s="19">
        <f t="shared" si="318"/>
        <v>39.980000000000004</v>
      </c>
      <c r="X1476" s="19" t="str">
        <f t="shared" si="319"/>
        <v>True</v>
      </c>
      <c r="Y1476" s="19" t="str">
        <f>IF(OR(W1476&lt;'Cleaning Tasks'!$G$18,W1476&gt;'Cleaning Tasks'!$H$18),"Outlier","Normal")</f>
        <v>Normal</v>
      </c>
      <c r="Z1476" s="2" t="s">
        <v>39</v>
      </c>
      <c r="AA1476" s="2" t="s">
        <v>40</v>
      </c>
      <c r="AB1476" s="2" t="s">
        <v>50</v>
      </c>
      <c r="AC1476" s="2" t="s">
        <v>42</v>
      </c>
      <c r="AD1476" s="2"/>
      <c r="AE1476" s="2" t="str">
        <f t="shared" si="320"/>
        <v>Not Required</v>
      </c>
      <c r="AF1476" s="2" t="s">
        <v>4049</v>
      </c>
    </row>
    <row r="1477" spans="1:32" x14ac:dyDescent="0.3">
      <c r="A1477" s="2" t="s">
        <v>4050</v>
      </c>
      <c r="B1477" s="2">
        <f t="shared" si="310"/>
        <v>1</v>
      </c>
      <c r="C1477" s="12">
        <f t="shared" si="309"/>
        <v>46238.585445682867</v>
      </c>
      <c r="D1477" s="13">
        <v>46238.585445682867</v>
      </c>
      <c r="E1477" s="2" t="s">
        <v>979</v>
      </c>
      <c r="F1477" s="2" t="str">
        <f t="shared" si="311"/>
        <v>Email Available</v>
      </c>
      <c r="G1477" s="2" t="s">
        <v>670</v>
      </c>
      <c r="H1477" s="2" t="s">
        <v>236</v>
      </c>
      <c r="I1477" s="2" t="s">
        <v>237</v>
      </c>
      <c r="J1477" s="2" t="s">
        <v>238</v>
      </c>
      <c r="K1477" s="2">
        <v>2</v>
      </c>
      <c r="L1477" s="2">
        <v>27.99</v>
      </c>
      <c r="M1477" s="19">
        <f t="shared" si="312"/>
        <v>27.99</v>
      </c>
      <c r="N1477" s="2" t="s">
        <v>203</v>
      </c>
      <c r="O1477" s="2" t="str">
        <f t="shared" si="313"/>
        <v>VIP15</v>
      </c>
      <c r="P1477" s="2">
        <v>8.4</v>
      </c>
      <c r="Q1477" s="19">
        <f t="shared" si="314"/>
        <v>8.4</v>
      </c>
      <c r="R1477" s="2" t="str">
        <f t="shared" si="315"/>
        <v>Number</v>
      </c>
      <c r="S1477" s="2">
        <v>7.99</v>
      </c>
      <c r="T1477" s="19">
        <f t="shared" si="316"/>
        <v>7.99</v>
      </c>
      <c r="U1477" s="2">
        <v>55.57</v>
      </c>
      <c r="V1477" s="19">
        <f t="shared" si="317"/>
        <v>55.57</v>
      </c>
      <c r="W1477" s="19">
        <f t="shared" si="318"/>
        <v>55.57</v>
      </c>
      <c r="X1477" s="19" t="str">
        <f t="shared" si="319"/>
        <v>True</v>
      </c>
      <c r="Y1477" s="19" t="str">
        <f>IF(OR(W1477&lt;'Cleaning Tasks'!$G$18,W1477&gt;'Cleaning Tasks'!$H$18),"Outlier","Normal")</f>
        <v>Normal</v>
      </c>
      <c r="Z1477" s="2" t="s">
        <v>26</v>
      </c>
      <c r="AA1477" s="2" t="s">
        <v>111</v>
      </c>
      <c r="AB1477" s="2" t="s">
        <v>50</v>
      </c>
      <c r="AC1477" s="2" t="s">
        <v>29</v>
      </c>
      <c r="AD1477" s="2" t="s">
        <v>51</v>
      </c>
      <c r="AE1477" s="2" t="str">
        <f t="shared" si="320"/>
        <v>Valid</v>
      </c>
      <c r="AF1477" s="2" t="s">
        <v>4051</v>
      </c>
    </row>
    <row r="1478" spans="1:32" x14ac:dyDescent="0.3">
      <c r="A1478" s="2" t="s">
        <v>4052</v>
      </c>
      <c r="B1478" s="2">
        <f t="shared" si="310"/>
        <v>1</v>
      </c>
      <c r="C1478" s="12">
        <f t="shared" si="309"/>
        <v>46238.58741453704</v>
      </c>
      <c r="D1478" s="13">
        <v>46238.58741453704</v>
      </c>
      <c r="E1478" s="2" t="s">
        <v>4053</v>
      </c>
      <c r="F1478" s="2" t="str">
        <f t="shared" si="311"/>
        <v>Missing Email</v>
      </c>
      <c r="G1478" s="2"/>
      <c r="H1478" s="2" t="s">
        <v>236</v>
      </c>
      <c r="I1478" s="2" t="s">
        <v>237</v>
      </c>
      <c r="J1478" s="2" t="s">
        <v>238</v>
      </c>
      <c r="K1478" s="2">
        <v>2</v>
      </c>
      <c r="L1478" s="2">
        <v>27.99</v>
      </c>
      <c r="M1478" s="19">
        <f t="shared" si="312"/>
        <v>27.99</v>
      </c>
      <c r="N1478" s="2"/>
      <c r="O1478" s="2" t="str">
        <f t="shared" si="313"/>
        <v/>
      </c>
      <c r="P1478" s="2">
        <v>0</v>
      </c>
      <c r="Q1478" s="19">
        <f t="shared" si="314"/>
        <v>0</v>
      </c>
      <c r="R1478" s="2" t="str">
        <f t="shared" si="315"/>
        <v>Number</v>
      </c>
      <c r="S1478" s="2">
        <v>5.99</v>
      </c>
      <c r="T1478" s="19">
        <f t="shared" si="316"/>
        <v>5.99</v>
      </c>
      <c r="U1478" s="2">
        <v>61.97</v>
      </c>
      <c r="V1478" s="19">
        <f t="shared" si="317"/>
        <v>61.97</v>
      </c>
      <c r="W1478" s="19">
        <f t="shared" si="318"/>
        <v>61.97</v>
      </c>
      <c r="X1478" s="19" t="str">
        <f t="shared" si="319"/>
        <v>True</v>
      </c>
      <c r="Y1478" s="19" t="str">
        <f>IF(OR(W1478&lt;'Cleaning Tasks'!$G$18,W1478&gt;'Cleaning Tasks'!$H$18),"Outlier","Normal")</f>
        <v>Normal</v>
      </c>
      <c r="Z1478" s="2" t="s">
        <v>39</v>
      </c>
      <c r="AA1478" s="2" t="s">
        <v>27</v>
      </c>
      <c r="AB1478" s="2" t="s">
        <v>50</v>
      </c>
      <c r="AC1478" s="2" t="s">
        <v>73</v>
      </c>
      <c r="AD1478" s="2"/>
      <c r="AE1478" s="2" t="str">
        <f t="shared" si="320"/>
        <v>Not Required</v>
      </c>
      <c r="AF1478" s="2" t="s">
        <v>4054</v>
      </c>
    </row>
    <row r="1479" spans="1:32" x14ac:dyDescent="0.3">
      <c r="A1479" s="2" t="s">
        <v>4055</v>
      </c>
      <c r="B1479" s="2">
        <f t="shared" si="310"/>
        <v>1</v>
      </c>
      <c r="C1479" s="12">
        <f t="shared" si="309"/>
        <v>46238.585180138893</v>
      </c>
      <c r="D1479" s="13">
        <v>46238.585180138893</v>
      </c>
      <c r="E1479" s="2" t="s">
        <v>643</v>
      </c>
      <c r="F1479" s="2" t="str">
        <f t="shared" si="311"/>
        <v>Email Available</v>
      </c>
      <c r="G1479" s="2" t="s">
        <v>644</v>
      </c>
      <c r="H1479" s="2" t="s">
        <v>63</v>
      </c>
      <c r="I1479" s="2" t="s">
        <v>47</v>
      </c>
      <c r="J1479" s="2" t="s">
        <v>446</v>
      </c>
      <c r="K1479" s="2">
        <v>1</v>
      </c>
      <c r="L1479" s="2">
        <v>14.99</v>
      </c>
      <c r="M1479" s="19">
        <f t="shared" si="312"/>
        <v>14.99</v>
      </c>
      <c r="N1479" s="2" t="s">
        <v>118</v>
      </c>
      <c r="O1479" s="2" t="str">
        <f t="shared" si="313"/>
        <v>BFCM25</v>
      </c>
      <c r="P1479" s="2" t="s">
        <v>4056</v>
      </c>
      <c r="Q1479" s="19">
        <f t="shared" si="314"/>
        <v>3.75</v>
      </c>
      <c r="R1479" s="2" t="str">
        <f t="shared" si="315"/>
        <v>Number</v>
      </c>
      <c r="S1479" s="2">
        <v>4.99</v>
      </c>
      <c r="T1479" s="19">
        <f t="shared" si="316"/>
        <v>4.99</v>
      </c>
      <c r="U1479" s="2">
        <v>16.23</v>
      </c>
      <c r="V1479" s="19">
        <f t="shared" si="317"/>
        <v>16.23</v>
      </c>
      <c r="W1479" s="19">
        <f t="shared" si="318"/>
        <v>16.23</v>
      </c>
      <c r="X1479" s="19" t="str">
        <f t="shared" si="319"/>
        <v>True</v>
      </c>
      <c r="Y1479" s="19" t="str">
        <f>IF(OR(W1479&lt;'Cleaning Tasks'!$G$18,W1479&gt;'Cleaning Tasks'!$H$18),"Outlier","Normal")</f>
        <v>Normal</v>
      </c>
      <c r="Z1479" s="2" t="s">
        <v>39</v>
      </c>
      <c r="AA1479" s="2" t="s">
        <v>27</v>
      </c>
      <c r="AB1479" s="2" t="s">
        <v>28</v>
      </c>
      <c r="AC1479" s="2" t="s">
        <v>29</v>
      </c>
      <c r="AD1479" s="22" t="s">
        <v>89</v>
      </c>
      <c r="AE1479" s="2" t="str">
        <f t="shared" si="320"/>
        <v>Valid</v>
      </c>
      <c r="AF1479" s="2" t="s">
        <v>4057</v>
      </c>
    </row>
    <row r="1480" spans="1:32" x14ac:dyDescent="0.3">
      <c r="A1480" s="2" t="s">
        <v>4058</v>
      </c>
      <c r="B1480" s="2">
        <f t="shared" si="310"/>
        <v>1</v>
      </c>
      <c r="C1480" s="12">
        <f t="shared" si="309"/>
        <v>46238.587353391202</v>
      </c>
      <c r="D1480" s="13">
        <v>46238.587353391202</v>
      </c>
      <c r="E1480" s="2" t="s">
        <v>321</v>
      </c>
      <c r="F1480" s="2" t="str">
        <f t="shared" si="311"/>
        <v>Email Available</v>
      </c>
      <c r="G1480" s="2" t="s">
        <v>322</v>
      </c>
      <c r="H1480" s="2" t="s">
        <v>190</v>
      </c>
      <c r="I1480" s="2" t="s">
        <v>191</v>
      </c>
      <c r="J1480" s="2" t="s">
        <v>192</v>
      </c>
      <c r="K1480" s="2">
        <v>1</v>
      </c>
      <c r="L1480" s="2">
        <v>13.49</v>
      </c>
      <c r="M1480" s="19">
        <f t="shared" si="312"/>
        <v>13.49</v>
      </c>
      <c r="N1480" s="2"/>
      <c r="O1480" s="2" t="str">
        <f t="shared" si="313"/>
        <v/>
      </c>
      <c r="P1480" s="2">
        <v>0</v>
      </c>
      <c r="Q1480" s="19">
        <f t="shared" si="314"/>
        <v>0</v>
      </c>
      <c r="R1480" s="2" t="str">
        <f t="shared" si="315"/>
        <v>Number</v>
      </c>
      <c r="S1480" s="2">
        <v>4.99</v>
      </c>
      <c r="T1480" s="19">
        <f t="shared" si="316"/>
        <v>4.99</v>
      </c>
      <c r="U1480" s="2">
        <v>18.48</v>
      </c>
      <c r="V1480" s="19">
        <f t="shared" si="317"/>
        <v>18.48</v>
      </c>
      <c r="W1480" s="19">
        <f t="shared" si="318"/>
        <v>18.48</v>
      </c>
      <c r="X1480" s="19" t="str">
        <f t="shared" si="319"/>
        <v>True</v>
      </c>
      <c r="Y1480" s="19" t="str">
        <f>IF(OR(W1480&lt;'Cleaning Tasks'!$G$18,W1480&gt;'Cleaning Tasks'!$H$18),"Outlier","Normal")</f>
        <v>Normal</v>
      </c>
      <c r="Z1480" s="2" t="s">
        <v>39</v>
      </c>
      <c r="AA1480" s="2" t="s">
        <v>111</v>
      </c>
      <c r="AB1480" s="2" t="s">
        <v>41</v>
      </c>
      <c r="AC1480" s="2" t="s">
        <v>223</v>
      </c>
      <c r="AD1480" s="2"/>
      <c r="AE1480" s="2" t="str">
        <f t="shared" si="320"/>
        <v>Not Required</v>
      </c>
      <c r="AF1480" s="2" t="s">
        <v>4059</v>
      </c>
    </row>
    <row r="1481" spans="1:32" x14ac:dyDescent="0.3">
      <c r="A1481" s="2" t="s">
        <v>4060</v>
      </c>
      <c r="B1481" s="2">
        <f t="shared" si="310"/>
        <v>1</v>
      </c>
      <c r="C1481" s="12">
        <f t="shared" si="309"/>
        <v>46238.580015335647</v>
      </c>
      <c r="D1481" s="13">
        <v>46238.580015335647</v>
      </c>
      <c r="E1481" s="2" t="s">
        <v>321</v>
      </c>
      <c r="F1481" s="2" t="str">
        <f t="shared" si="311"/>
        <v>Email Available</v>
      </c>
      <c r="G1481" s="2" t="s">
        <v>4061</v>
      </c>
      <c r="H1481" s="2" t="s">
        <v>361</v>
      </c>
      <c r="I1481" s="2" t="s">
        <v>86</v>
      </c>
      <c r="J1481" s="2" t="s">
        <v>362</v>
      </c>
      <c r="K1481" s="2">
        <v>1</v>
      </c>
      <c r="L1481" s="2">
        <v>54.99</v>
      </c>
      <c r="M1481" s="19">
        <f t="shared" si="312"/>
        <v>54.99</v>
      </c>
      <c r="N1481" s="2" t="s">
        <v>118</v>
      </c>
      <c r="O1481" s="2" t="str">
        <f t="shared" si="313"/>
        <v>BFCM25</v>
      </c>
      <c r="P1481" s="2">
        <v>13.75</v>
      </c>
      <c r="Q1481" s="19">
        <f t="shared" si="314"/>
        <v>13.75</v>
      </c>
      <c r="R1481" s="2" t="str">
        <f t="shared" si="315"/>
        <v>Number</v>
      </c>
      <c r="S1481" s="2">
        <v>4.99</v>
      </c>
      <c r="T1481" s="19">
        <f t="shared" si="316"/>
        <v>4.99</v>
      </c>
      <c r="U1481" s="2">
        <v>46.23</v>
      </c>
      <c r="V1481" s="19">
        <f t="shared" si="317"/>
        <v>46.23</v>
      </c>
      <c r="W1481" s="19">
        <f t="shared" si="318"/>
        <v>46.230000000000004</v>
      </c>
      <c r="X1481" s="19" t="str">
        <f t="shared" si="319"/>
        <v>True</v>
      </c>
      <c r="Y1481" s="19" t="str">
        <f>IF(OR(W1481&lt;'Cleaning Tasks'!$G$18,W1481&gt;'Cleaning Tasks'!$H$18),"Outlier","Normal")</f>
        <v>Normal</v>
      </c>
      <c r="Z1481" s="2" t="s">
        <v>39</v>
      </c>
      <c r="AA1481" s="2" t="s">
        <v>27</v>
      </c>
      <c r="AB1481" s="2" t="s">
        <v>50</v>
      </c>
      <c r="AC1481" s="2" t="s">
        <v>29</v>
      </c>
      <c r="AD1481" s="2" t="s">
        <v>51</v>
      </c>
      <c r="AE1481" s="2" t="str">
        <f t="shared" si="320"/>
        <v>Valid</v>
      </c>
      <c r="AF1481" s="2" t="s">
        <v>4062</v>
      </c>
    </row>
    <row r="1482" spans="1:32" x14ac:dyDescent="0.3">
      <c r="A1482" s="2" t="s">
        <v>4063</v>
      </c>
      <c r="B1482" s="2">
        <f t="shared" si="310"/>
        <v>1</v>
      </c>
      <c r="C1482" s="12">
        <f t="shared" si="309"/>
        <v>46238.588045277778</v>
      </c>
      <c r="D1482" s="13">
        <v>46238.588045277778</v>
      </c>
      <c r="E1482" s="2" t="s">
        <v>908</v>
      </c>
      <c r="F1482" s="2" t="str">
        <f t="shared" si="311"/>
        <v>Email Available</v>
      </c>
      <c r="G1482" s="2" t="s">
        <v>4064</v>
      </c>
      <c r="H1482" s="2" t="s">
        <v>152</v>
      </c>
      <c r="I1482" s="2" t="s">
        <v>36</v>
      </c>
      <c r="J1482" s="2" t="s">
        <v>153</v>
      </c>
      <c r="K1482" s="2">
        <v>1</v>
      </c>
      <c r="L1482" s="2">
        <v>29.99</v>
      </c>
      <c r="M1482" s="19">
        <f t="shared" si="312"/>
        <v>29.99</v>
      </c>
      <c r="N1482" s="2" t="s">
        <v>65</v>
      </c>
      <c r="O1482" s="2" t="str">
        <f t="shared" si="313"/>
        <v>WELCOME10</v>
      </c>
      <c r="P1482" s="2">
        <v>3</v>
      </c>
      <c r="Q1482" s="19">
        <f t="shared" si="314"/>
        <v>3</v>
      </c>
      <c r="R1482" s="2" t="str">
        <f t="shared" si="315"/>
        <v>Number</v>
      </c>
      <c r="S1482" s="2">
        <v>7.99</v>
      </c>
      <c r="T1482" s="19">
        <f t="shared" si="316"/>
        <v>7.99</v>
      </c>
      <c r="U1482" s="2">
        <v>34.979999999999997</v>
      </c>
      <c r="V1482" s="19">
        <f t="shared" si="317"/>
        <v>34.979999999999997</v>
      </c>
      <c r="W1482" s="19">
        <f t="shared" si="318"/>
        <v>34.979999999999997</v>
      </c>
      <c r="X1482" s="19" t="str">
        <f t="shared" si="319"/>
        <v>True</v>
      </c>
      <c r="Y1482" s="19" t="str">
        <f>IF(OR(W1482&lt;'Cleaning Tasks'!$G$18,W1482&gt;'Cleaning Tasks'!$H$18),"Outlier","Normal")</f>
        <v>Normal</v>
      </c>
      <c r="Z1482" s="2" t="s">
        <v>26</v>
      </c>
      <c r="AA1482" s="2" t="s">
        <v>88</v>
      </c>
      <c r="AB1482" s="2" t="s">
        <v>50</v>
      </c>
      <c r="AC1482" s="2" t="s">
        <v>73</v>
      </c>
      <c r="AD1482" s="2"/>
      <c r="AE1482" s="2" t="str">
        <f t="shared" si="320"/>
        <v>Not Required</v>
      </c>
      <c r="AF1482" s="2" t="s">
        <v>4065</v>
      </c>
    </row>
    <row r="1483" spans="1:32" x14ac:dyDescent="0.3">
      <c r="A1483" s="2" t="s">
        <v>4066</v>
      </c>
      <c r="B1483" s="2">
        <f t="shared" si="310"/>
        <v>1</v>
      </c>
      <c r="C1483" s="12">
        <f t="shared" si="309"/>
        <v>46238</v>
      </c>
      <c r="D1483" s="13">
        <v>46238</v>
      </c>
      <c r="E1483" s="2" t="s">
        <v>473</v>
      </c>
      <c r="F1483" s="2" t="str">
        <f t="shared" si="311"/>
        <v>Email Available</v>
      </c>
      <c r="G1483" s="2" t="s">
        <v>474</v>
      </c>
      <c r="H1483" s="2" t="s">
        <v>201</v>
      </c>
      <c r="I1483" s="2" t="s">
        <v>191</v>
      </c>
      <c r="J1483" s="2" t="s">
        <v>202</v>
      </c>
      <c r="K1483" s="2">
        <v>1</v>
      </c>
      <c r="L1483" s="2">
        <v>24.99</v>
      </c>
      <c r="M1483" s="19">
        <f t="shared" si="312"/>
        <v>24.99</v>
      </c>
      <c r="N1483" s="2" t="s">
        <v>24</v>
      </c>
      <c r="O1483" s="2" t="str">
        <f t="shared" si="313"/>
        <v>SAVE20</v>
      </c>
      <c r="P1483" s="2" t="s">
        <v>919</v>
      </c>
      <c r="Q1483" s="19">
        <f t="shared" si="314"/>
        <v>5</v>
      </c>
      <c r="R1483" s="2" t="str">
        <f t="shared" si="315"/>
        <v>Number</v>
      </c>
      <c r="S1483" s="2">
        <v>5.99</v>
      </c>
      <c r="T1483" s="19">
        <f t="shared" si="316"/>
        <v>5.99</v>
      </c>
      <c r="U1483" s="2">
        <v>25.98</v>
      </c>
      <c r="V1483" s="19">
        <f t="shared" si="317"/>
        <v>25.98</v>
      </c>
      <c r="W1483" s="19">
        <f t="shared" si="318"/>
        <v>25.979999999999997</v>
      </c>
      <c r="X1483" s="19" t="str">
        <f t="shared" si="319"/>
        <v>True</v>
      </c>
      <c r="Y1483" s="19" t="str">
        <f>IF(OR(W1483&lt;'Cleaning Tasks'!$G$18,W1483&gt;'Cleaning Tasks'!$H$18),"Outlier","Normal")</f>
        <v>Normal</v>
      </c>
      <c r="Z1483" s="2" t="s">
        <v>26</v>
      </c>
      <c r="AA1483" s="2" t="s">
        <v>27</v>
      </c>
      <c r="AB1483" s="2" t="s">
        <v>50</v>
      </c>
      <c r="AC1483" s="2" t="s">
        <v>73</v>
      </c>
      <c r="AD1483" s="2"/>
      <c r="AE1483" s="2" t="str">
        <f t="shared" si="320"/>
        <v>Not Required</v>
      </c>
      <c r="AF1483" s="2" t="s">
        <v>4067</v>
      </c>
    </row>
    <row r="1484" spans="1:32" x14ac:dyDescent="0.3">
      <c r="A1484" s="2" t="s">
        <v>4068</v>
      </c>
      <c r="B1484" s="2">
        <f t="shared" si="310"/>
        <v>1</v>
      </c>
      <c r="C1484" s="12">
        <f t="shared" si="309"/>
        <v>46238.580918437503</v>
      </c>
      <c r="D1484" s="13">
        <v>46238.580918437503</v>
      </c>
      <c r="E1484" s="2" t="s">
        <v>2992</v>
      </c>
      <c r="F1484" s="2" t="str">
        <f t="shared" si="311"/>
        <v>Email Available</v>
      </c>
      <c r="G1484" s="2" t="s">
        <v>2993</v>
      </c>
      <c r="H1484" s="2" t="s">
        <v>190</v>
      </c>
      <c r="I1484" s="2" t="s">
        <v>191</v>
      </c>
      <c r="J1484" s="2" t="s">
        <v>192</v>
      </c>
      <c r="K1484" s="2">
        <v>1</v>
      </c>
      <c r="L1484" s="2">
        <v>13.49</v>
      </c>
      <c r="M1484" s="19">
        <f t="shared" si="312"/>
        <v>13.49</v>
      </c>
      <c r="N1484" s="2"/>
      <c r="O1484" s="2" t="str">
        <f t="shared" si="313"/>
        <v/>
      </c>
      <c r="P1484" s="2">
        <v>0</v>
      </c>
      <c r="Q1484" s="19">
        <f t="shared" si="314"/>
        <v>0</v>
      </c>
      <c r="R1484" s="2" t="str">
        <f t="shared" si="315"/>
        <v>Number</v>
      </c>
      <c r="S1484" s="2">
        <v>4.99</v>
      </c>
      <c r="T1484" s="19">
        <f t="shared" si="316"/>
        <v>4.99</v>
      </c>
      <c r="U1484" s="2">
        <v>18.48</v>
      </c>
      <c r="V1484" s="19">
        <f t="shared" si="317"/>
        <v>18.48</v>
      </c>
      <c r="W1484" s="19">
        <f t="shared" si="318"/>
        <v>18.48</v>
      </c>
      <c r="X1484" s="19" t="str">
        <f t="shared" si="319"/>
        <v>True</v>
      </c>
      <c r="Y1484" s="19" t="str">
        <f>IF(OR(W1484&lt;'Cleaning Tasks'!$G$18,W1484&gt;'Cleaning Tasks'!$H$18),"Outlier","Normal")</f>
        <v>Normal</v>
      </c>
      <c r="Z1484" s="2" t="s">
        <v>39</v>
      </c>
      <c r="AA1484" s="2" t="s">
        <v>27</v>
      </c>
      <c r="AB1484" s="2" t="s">
        <v>50</v>
      </c>
      <c r="AC1484" s="2" t="s">
        <v>331</v>
      </c>
      <c r="AD1484" s="2"/>
      <c r="AE1484" s="2" t="str">
        <f t="shared" si="320"/>
        <v>Not Required</v>
      </c>
      <c r="AF1484" s="2" t="s">
        <v>791</v>
      </c>
    </row>
    <row r="1485" spans="1:32" x14ac:dyDescent="0.3">
      <c r="A1485" s="2" t="s">
        <v>4069</v>
      </c>
      <c r="B1485" s="2">
        <f t="shared" si="310"/>
        <v>1</v>
      </c>
      <c r="C1485" s="12">
        <f t="shared" si="309"/>
        <v>46238</v>
      </c>
      <c r="D1485" s="13">
        <v>46238</v>
      </c>
      <c r="E1485" s="2" t="s">
        <v>4070</v>
      </c>
      <c r="F1485" s="2" t="str">
        <f t="shared" si="311"/>
        <v>Email Available</v>
      </c>
      <c r="G1485" s="2" t="s">
        <v>4071</v>
      </c>
      <c r="H1485" s="2" t="s">
        <v>35</v>
      </c>
      <c r="I1485" s="2" t="s">
        <v>36</v>
      </c>
      <c r="J1485" s="2" t="s">
        <v>37</v>
      </c>
      <c r="K1485" s="2">
        <v>1</v>
      </c>
      <c r="L1485" s="2">
        <v>21.99</v>
      </c>
      <c r="M1485" s="19">
        <f t="shared" si="312"/>
        <v>21.99</v>
      </c>
      <c r="N1485" s="2" t="s">
        <v>118</v>
      </c>
      <c r="O1485" s="2" t="str">
        <f t="shared" si="313"/>
        <v>BFCM25</v>
      </c>
      <c r="P1485" s="2">
        <v>5.5</v>
      </c>
      <c r="Q1485" s="19">
        <f t="shared" si="314"/>
        <v>5.5</v>
      </c>
      <c r="R1485" s="2" t="str">
        <f t="shared" si="315"/>
        <v>Number</v>
      </c>
      <c r="S1485" s="2">
        <v>7.99</v>
      </c>
      <c r="T1485" s="19">
        <f t="shared" si="316"/>
        <v>7.99</v>
      </c>
      <c r="U1485" s="2">
        <v>24.48</v>
      </c>
      <c r="V1485" s="19">
        <f t="shared" si="317"/>
        <v>24.48</v>
      </c>
      <c r="W1485" s="19">
        <f t="shared" si="318"/>
        <v>24.479999999999997</v>
      </c>
      <c r="X1485" s="19" t="str">
        <f t="shared" si="319"/>
        <v>True</v>
      </c>
      <c r="Y1485" s="19" t="str">
        <f>IF(OR(W1485&lt;'Cleaning Tasks'!$G$18,W1485&gt;'Cleaning Tasks'!$H$18),"Outlier","Normal")</f>
        <v>Normal</v>
      </c>
      <c r="Z1485" s="2" t="s">
        <v>66</v>
      </c>
      <c r="AA1485" s="2" t="s">
        <v>27</v>
      </c>
      <c r="AB1485" s="2" t="s">
        <v>28</v>
      </c>
      <c r="AC1485" s="2" t="s">
        <v>73</v>
      </c>
      <c r="AD1485" s="2"/>
      <c r="AE1485" s="2" t="str">
        <f t="shared" si="320"/>
        <v>Not Required</v>
      </c>
      <c r="AF1485" s="2" t="s">
        <v>4072</v>
      </c>
    </row>
    <row r="1486" spans="1:32" x14ac:dyDescent="0.3">
      <c r="A1486" s="2" t="s">
        <v>4073</v>
      </c>
      <c r="B1486" s="2">
        <f t="shared" si="310"/>
        <v>1</v>
      </c>
      <c r="C1486" s="12">
        <f t="shared" si="309"/>
        <v>46238.587032361109</v>
      </c>
      <c r="D1486" s="13">
        <v>46238.587032361109</v>
      </c>
      <c r="E1486" s="2" t="s">
        <v>532</v>
      </c>
      <c r="F1486" s="2" t="str">
        <f t="shared" si="311"/>
        <v>Email Available</v>
      </c>
      <c r="G1486" s="2" t="s">
        <v>533</v>
      </c>
      <c r="H1486" s="2" t="s">
        <v>85</v>
      </c>
      <c r="I1486" s="2" t="s">
        <v>86</v>
      </c>
      <c r="J1486" s="2" t="s">
        <v>87</v>
      </c>
      <c r="K1486" s="2">
        <v>1</v>
      </c>
      <c r="L1486" s="2" t="s">
        <v>363</v>
      </c>
      <c r="M1486" s="19">
        <f t="shared" si="312"/>
        <v>54.99</v>
      </c>
      <c r="N1486" s="2"/>
      <c r="O1486" s="2" t="str">
        <f t="shared" si="313"/>
        <v/>
      </c>
      <c r="P1486" s="2">
        <v>0</v>
      </c>
      <c r="Q1486" s="19">
        <f t="shared" si="314"/>
        <v>0</v>
      </c>
      <c r="R1486" s="2" t="str">
        <f t="shared" si="315"/>
        <v>Number</v>
      </c>
      <c r="S1486" s="2">
        <v>7.99</v>
      </c>
      <c r="T1486" s="19">
        <f t="shared" si="316"/>
        <v>7.99</v>
      </c>
      <c r="U1486" s="2">
        <v>62.98</v>
      </c>
      <c r="V1486" s="19">
        <f t="shared" si="317"/>
        <v>62.98</v>
      </c>
      <c r="W1486" s="19">
        <f t="shared" si="318"/>
        <v>62.980000000000004</v>
      </c>
      <c r="X1486" s="19" t="str">
        <f t="shared" si="319"/>
        <v>True</v>
      </c>
      <c r="Y1486" s="19" t="str">
        <f>IF(OR(W1486&lt;'Cleaning Tasks'!$G$18,W1486&gt;'Cleaning Tasks'!$H$18),"Outlier","Normal")</f>
        <v>Normal</v>
      </c>
      <c r="Z1486" s="2" t="s">
        <v>26</v>
      </c>
      <c r="AA1486" s="2" t="s">
        <v>27</v>
      </c>
      <c r="AB1486" s="2" t="s">
        <v>50</v>
      </c>
      <c r="AC1486" s="2" t="s">
        <v>73</v>
      </c>
      <c r="AD1486" s="2"/>
      <c r="AE1486" s="2" t="str">
        <f t="shared" si="320"/>
        <v>Not Required</v>
      </c>
      <c r="AF1486" s="2" t="s">
        <v>4074</v>
      </c>
    </row>
    <row r="1487" spans="1:32" x14ac:dyDescent="0.3">
      <c r="A1487" s="2" t="s">
        <v>4075</v>
      </c>
      <c r="B1487" s="2">
        <f t="shared" si="310"/>
        <v>1</v>
      </c>
      <c r="C1487" s="12">
        <f t="shared" si="309"/>
        <v>46238</v>
      </c>
      <c r="D1487" s="13" t="s">
        <v>1023</v>
      </c>
      <c r="E1487" s="2" t="s">
        <v>839</v>
      </c>
      <c r="F1487" s="2" t="str">
        <f t="shared" si="311"/>
        <v>Email Available</v>
      </c>
      <c r="G1487" s="2" t="s">
        <v>840</v>
      </c>
      <c r="H1487" s="2" t="s">
        <v>152</v>
      </c>
      <c r="I1487" s="2" t="s">
        <v>36</v>
      </c>
      <c r="J1487" s="2" t="s">
        <v>153</v>
      </c>
      <c r="K1487" s="2">
        <v>1</v>
      </c>
      <c r="L1487" s="2">
        <v>29.99</v>
      </c>
      <c r="M1487" s="19">
        <f t="shared" si="312"/>
        <v>29.99</v>
      </c>
      <c r="N1487" s="2" t="s">
        <v>203</v>
      </c>
      <c r="O1487" s="2" t="str">
        <f t="shared" si="313"/>
        <v>VIP15</v>
      </c>
      <c r="P1487" s="2">
        <v>4.5</v>
      </c>
      <c r="Q1487" s="19">
        <f t="shared" si="314"/>
        <v>4.5</v>
      </c>
      <c r="R1487" s="2" t="str">
        <f t="shared" si="315"/>
        <v>Number</v>
      </c>
      <c r="S1487" s="2">
        <v>7.99</v>
      </c>
      <c r="T1487" s="19">
        <f t="shared" si="316"/>
        <v>7.99</v>
      </c>
      <c r="U1487" s="2">
        <v>33.479999999999997</v>
      </c>
      <c r="V1487" s="19">
        <f t="shared" si="317"/>
        <v>33.479999999999997</v>
      </c>
      <c r="W1487" s="19">
        <f t="shared" si="318"/>
        <v>33.479999999999997</v>
      </c>
      <c r="X1487" s="19" t="str">
        <f t="shared" si="319"/>
        <v>True</v>
      </c>
      <c r="Y1487" s="19" t="str">
        <f>IF(OR(W1487&lt;'Cleaning Tasks'!$G$18,W1487&gt;'Cleaning Tasks'!$H$18),"Outlier","Normal")</f>
        <v>Normal</v>
      </c>
      <c r="Z1487" s="2" t="s">
        <v>26</v>
      </c>
      <c r="AA1487" s="2" t="s">
        <v>111</v>
      </c>
      <c r="AB1487" s="2" t="s">
        <v>50</v>
      </c>
      <c r="AC1487" s="2" t="s">
        <v>223</v>
      </c>
      <c r="AD1487" s="2"/>
      <c r="AE1487" s="2" t="str">
        <f t="shared" si="320"/>
        <v>Not Required</v>
      </c>
      <c r="AF1487" s="2" t="s">
        <v>4076</v>
      </c>
    </row>
    <row r="1488" spans="1:32" x14ac:dyDescent="0.3">
      <c r="A1488" s="2" t="s">
        <v>4077</v>
      </c>
      <c r="B1488" s="2">
        <f t="shared" si="310"/>
        <v>1</v>
      </c>
      <c r="C1488" s="12">
        <f t="shared" si="309"/>
        <v>46238.585851851851</v>
      </c>
      <c r="D1488" s="13">
        <v>46238.585851851851</v>
      </c>
      <c r="E1488" s="2" t="s">
        <v>405</v>
      </c>
      <c r="F1488" s="2" t="str">
        <f t="shared" si="311"/>
        <v>Email Available</v>
      </c>
      <c r="G1488" s="2" t="s">
        <v>406</v>
      </c>
      <c r="H1488" s="2" t="s">
        <v>309</v>
      </c>
      <c r="I1488" s="2" t="s">
        <v>36</v>
      </c>
      <c r="J1488" s="2" t="s">
        <v>310</v>
      </c>
      <c r="K1488" s="2">
        <v>1</v>
      </c>
      <c r="L1488" s="2">
        <v>8.99</v>
      </c>
      <c r="M1488" s="19">
        <f t="shared" si="312"/>
        <v>8.99</v>
      </c>
      <c r="N1488" s="2" t="s">
        <v>65</v>
      </c>
      <c r="O1488" s="2" t="str">
        <f t="shared" si="313"/>
        <v>WELCOME10</v>
      </c>
      <c r="P1488" s="2">
        <v>0.9</v>
      </c>
      <c r="Q1488" s="19">
        <f t="shared" si="314"/>
        <v>0.9</v>
      </c>
      <c r="R1488" s="2" t="str">
        <f t="shared" si="315"/>
        <v>Number</v>
      </c>
      <c r="S1488" s="2">
        <v>5.99</v>
      </c>
      <c r="T1488" s="19">
        <f t="shared" si="316"/>
        <v>5.99</v>
      </c>
      <c r="U1488" s="2">
        <v>14.08</v>
      </c>
      <c r="V1488" s="19">
        <f t="shared" si="317"/>
        <v>14.08</v>
      </c>
      <c r="W1488" s="19">
        <f t="shared" si="318"/>
        <v>14.08</v>
      </c>
      <c r="X1488" s="19" t="str">
        <f t="shared" si="319"/>
        <v>True</v>
      </c>
      <c r="Y1488" s="19" t="str">
        <f>IF(OR(W1488&lt;'Cleaning Tasks'!$G$18,W1488&gt;'Cleaning Tasks'!$H$18),"Outlier","Normal")</f>
        <v>Normal</v>
      </c>
      <c r="Z1488" s="2" t="s">
        <v>39</v>
      </c>
      <c r="AA1488" s="2" t="s">
        <v>27</v>
      </c>
      <c r="AB1488" s="2" t="s">
        <v>50</v>
      </c>
      <c r="AC1488" s="2" t="s">
        <v>29</v>
      </c>
      <c r="AD1488" s="2" t="s">
        <v>73</v>
      </c>
      <c r="AE1488" s="2" t="str">
        <f t="shared" si="320"/>
        <v>Valid</v>
      </c>
      <c r="AF1488" s="2" t="s">
        <v>4078</v>
      </c>
    </row>
    <row r="1489" spans="1:32" x14ac:dyDescent="0.3">
      <c r="A1489" s="2" t="s">
        <v>4079</v>
      </c>
      <c r="B1489" s="2">
        <f t="shared" si="310"/>
        <v>1</v>
      </c>
      <c r="C1489" s="12">
        <f t="shared" si="309"/>
        <v>46238.579835972218</v>
      </c>
      <c r="D1489" s="13">
        <v>46238.579835972218</v>
      </c>
      <c r="E1489" s="2" t="s">
        <v>4080</v>
      </c>
      <c r="F1489" s="2" t="str">
        <f t="shared" si="311"/>
        <v>Email Available</v>
      </c>
      <c r="G1489" s="2" t="s">
        <v>607</v>
      </c>
      <c r="H1489" s="2" t="s">
        <v>267</v>
      </c>
      <c r="I1489" s="2" t="s">
        <v>22</v>
      </c>
      <c r="J1489" s="2" t="s">
        <v>268</v>
      </c>
      <c r="K1489" s="2">
        <v>1</v>
      </c>
      <c r="L1489" s="2">
        <v>18.989999999999998</v>
      </c>
      <c r="M1489" s="19">
        <f t="shared" si="312"/>
        <v>18.989999999999998</v>
      </c>
      <c r="N1489" s="2"/>
      <c r="O1489" s="2" t="str">
        <f t="shared" si="313"/>
        <v/>
      </c>
      <c r="P1489" s="2">
        <v>0</v>
      </c>
      <c r="Q1489" s="19">
        <f t="shared" si="314"/>
        <v>0</v>
      </c>
      <c r="R1489" s="2" t="str">
        <f t="shared" si="315"/>
        <v>Number</v>
      </c>
      <c r="S1489" s="2">
        <v>4.99</v>
      </c>
      <c r="T1489" s="19">
        <f t="shared" si="316"/>
        <v>4.99</v>
      </c>
      <c r="U1489" s="2">
        <v>23.98</v>
      </c>
      <c r="V1489" s="19">
        <f t="shared" si="317"/>
        <v>23.98</v>
      </c>
      <c r="W1489" s="19">
        <f t="shared" si="318"/>
        <v>23.979999999999997</v>
      </c>
      <c r="X1489" s="19" t="str">
        <f t="shared" si="319"/>
        <v>True</v>
      </c>
      <c r="Y1489" s="19" t="str">
        <f>IF(OR(W1489&lt;'Cleaning Tasks'!$G$18,W1489&gt;'Cleaning Tasks'!$H$18),"Outlier","Normal")</f>
        <v>Normal</v>
      </c>
      <c r="Z1489" s="2" t="s">
        <v>66</v>
      </c>
      <c r="AA1489" s="2" t="s">
        <v>88</v>
      </c>
      <c r="AB1489" s="2" t="s">
        <v>96</v>
      </c>
      <c r="AC1489" s="2" t="s">
        <v>42</v>
      </c>
      <c r="AD1489" s="2"/>
      <c r="AE1489" s="2" t="str">
        <f t="shared" si="320"/>
        <v>Not Required</v>
      </c>
      <c r="AF1489" s="2" t="s">
        <v>4081</v>
      </c>
    </row>
    <row r="1490" spans="1:32" x14ac:dyDescent="0.3">
      <c r="A1490" s="2" t="s">
        <v>4082</v>
      </c>
      <c r="B1490" s="2">
        <f t="shared" si="310"/>
        <v>1</v>
      </c>
      <c r="C1490" s="12">
        <f t="shared" si="309"/>
        <v>46238.584243194447</v>
      </c>
      <c r="D1490" s="13">
        <v>46238.584243194447</v>
      </c>
      <c r="E1490" s="2" t="s">
        <v>1455</v>
      </c>
      <c r="F1490" s="2" t="str">
        <f t="shared" si="311"/>
        <v>Email Available</v>
      </c>
      <c r="G1490" s="2" t="s">
        <v>1279</v>
      </c>
      <c r="H1490" s="2" t="s">
        <v>130</v>
      </c>
      <c r="I1490" s="2" t="s">
        <v>103</v>
      </c>
      <c r="J1490" s="2" t="s">
        <v>131</v>
      </c>
      <c r="K1490" s="2">
        <v>2</v>
      </c>
      <c r="L1490" s="2">
        <v>16.989999999999998</v>
      </c>
      <c r="M1490" s="19">
        <f t="shared" si="312"/>
        <v>16.989999999999998</v>
      </c>
      <c r="N1490" s="2"/>
      <c r="O1490" s="2" t="str">
        <f t="shared" si="313"/>
        <v/>
      </c>
      <c r="P1490" s="2">
        <v>0</v>
      </c>
      <c r="Q1490" s="19">
        <f t="shared" si="314"/>
        <v>0</v>
      </c>
      <c r="R1490" s="2" t="str">
        <f t="shared" si="315"/>
        <v>Number</v>
      </c>
      <c r="S1490" s="2">
        <v>7.99</v>
      </c>
      <c r="T1490" s="19">
        <f t="shared" si="316"/>
        <v>7.99</v>
      </c>
      <c r="U1490" s="2">
        <v>41.97</v>
      </c>
      <c r="V1490" s="19">
        <f t="shared" si="317"/>
        <v>41.97</v>
      </c>
      <c r="W1490" s="19">
        <f t="shared" si="318"/>
        <v>41.97</v>
      </c>
      <c r="X1490" s="19" t="str">
        <f t="shared" si="319"/>
        <v>True</v>
      </c>
      <c r="Y1490" s="19" t="str">
        <f>IF(OR(W1490&lt;'Cleaning Tasks'!$G$18,W1490&gt;'Cleaning Tasks'!$H$18),"Outlier","Normal")</f>
        <v>Normal</v>
      </c>
      <c r="Z1490" s="2" t="s">
        <v>49</v>
      </c>
      <c r="AA1490" s="2" t="s">
        <v>27</v>
      </c>
      <c r="AB1490" s="2" t="s">
        <v>50</v>
      </c>
      <c r="AC1490" s="2" t="s">
        <v>29</v>
      </c>
      <c r="AD1490" s="2" t="s">
        <v>89</v>
      </c>
      <c r="AE1490" s="2" t="str">
        <f t="shared" si="320"/>
        <v>Valid</v>
      </c>
      <c r="AF1490" s="2" t="s">
        <v>4083</v>
      </c>
    </row>
    <row r="1491" spans="1:32" x14ac:dyDescent="0.3">
      <c r="A1491" s="2" t="s">
        <v>4084</v>
      </c>
      <c r="B1491" s="2">
        <f t="shared" si="310"/>
        <v>1</v>
      </c>
      <c r="C1491" s="12">
        <f t="shared" si="309"/>
        <v>46238.587809930563</v>
      </c>
      <c r="D1491" s="13">
        <v>46238.587809930563</v>
      </c>
      <c r="E1491" s="2" t="s">
        <v>3001</v>
      </c>
      <c r="F1491" s="2" t="str">
        <f t="shared" si="311"/>
        <v>Email Available</v>
      </c>
      <c r="G1491" s="2" t="s">
        <v>3002</v>
      </c>
      <c r="H1491" s="2" t="s">
        <v>267</v>
      </c>
      <c r="I1491" s="2" t="s">
        <v>22</v>
      </c>
      <c r="J1491" s="2" t="s">
        <v>268</v>
      </c>
      <c r="K1491" s="2">
        <v>1</v>
      </c>
      <c r="L1491" s="2">
        <v>18.989999999999998</v>
      </c>
      <c r="M1491" s="19">
        <f t="shared" si="312"/>
        <v>18.989999999999998</v>
      </c>
      <c r="N1491" s="2"/>
      <c r="O1491" s="2" t="str">
        <f t="shared" si="313"/>
        <v/>
      </c>
      <c r="P1491" s="2">
        <v>0</v>
      </c>
      <c r="Q1491" s="19">
        <f t="shared" si="314"/>
        <v>0</v>
      </c>
      <c r="R1491" s="2" t="str">
        <f t="shared" si="315"/>
        <v>Number</v>
      </c>
      <c r="S1491" s="2">
        <v>4.99</v>
      </c>
      <c r="T1491" s="19">
        <f t="shared" si="316"/>
        <v>4.99</v>
      </c>
      <c r="U1491" s="2">
        <v>23.98</v>
      </c>
      <c r="V1491" s="19">
        <f t="shared" si="317"/>
        <v>23.98</v>
      </c>
      <c r="W1491" s="19">
        <f t="shared" si="318"/>
        <v>23.979999999999997</v>
      </c>
      <c r="X1491" s="19" t="str">
        <f t="shared" si="319"/>
        <v>True</v>
      </c>
      <c r="Y1491" s="19" t="str">
        <f>IF(OR(W1491&lt;'Cleaning Tasks'!$G$18,W1491&gt;'Cleaning Tasks'!$H$18),"Outlier","Normal")</f>
        <v>Normal</v>
      </c>
      <c r="Z1491" s="2" t="s">
        <v>39</v>
      </c>
      <c r="AA1491" s="2" t="s">
        <v>27</v>
      </c>
      <c r="AB1491" s="2" t="s">
        <v>96</v>
      </c>
      <c r="AC1491" s="2" t="s">
        <v>29</v>
      </c>
      <c r="AD1491" s="22" t="s">
        <v>58</v>
      </c>
      <c r="AE1491" s="2" t="str">
        <f t="shared" si="320"/>
        <v>Valid</v>
      </c>
      <c r="AF1491" s="2" t="s">
        <v>4085</v>
      </c>
    </row>
    <row r="1492" spans="1:32" x14ac:dyDescent="0.3">
      <c r="A1492" s="2" t="s">
        <v>4086</v>
      </c>
      <c r="B1492" s="2">
        <f t="shared" si="310"/>
        <v>1</v>
      </c>
      <c r="C1492" s="12">
        <f t="shared" si="309"/>
        <v>46238</v>
      </c>
      <c r="D1492" s="13" t="s">
        <v>143</v>
      </c>
      <c r="E1492" s="2" t="s">
        <v>1099</v>
      </c>
      <c r="F1492" s="2" t="str">
        <f t="shared" si="311"/>
        <v>Email Available</v>
      </c>
      <c r="G1492" s="2" t="s">
        <v>1100</v>
      </c>
      <c r="H1492" s="2" t="s">
        <v>109</v>
      </c>
      <c r="I1492" s="2" t="s">
        <v>79</v>
      </c>
      <c r="J1492" s="2" t="s">
        <v>110</v>
      </c>
      <c r="K1492" s="2">
        <v>1</v>
      </c>
      <c r="L1492" s="2">
        <v>22.99</v>
      </c>
      <c r="M1492" s="19">
        <f t="shared" si="312"/>
        <v>22.99</v>
      </c>
      <c r="N1492" s="2" t="s">
        <v>118</v>
      </c>
      <c r="O1492" s="2" t="str">
        <f t="shared" si="313"/>
        <v>BFCM25</v>
      </c>
      <c r="P1492" s="2">
        <v>5.75</v>
      </c>
      <c r="Q1492" s="19">
        <f t="shared" si="314"/>
        <v>5.75</v>
      </c>
      <c r="R1492" s="2" t="str">
        <f t="shared" si="315"/>
        <v>Number</v>
      </c>
      <c r="S1492" s="2">
        <v>7.99</v>
      </c>
      <c r="T1492" s="19">
        <f t="shared" si="316"/>
        <v>7.99</v>
      </c>
      <c r="U1492" s="2">
        <v>25.23</v>
      </c>
      <c r="V1492" s="19">
        <f t="shared" si="317"/>
        <v>25.23</v>
      </c>
      <c r="W1492" s="19">
        <f t="shared" si="318"/>
        <v>25.229999999999997</v>
      </c>
      <c r="X1492" s="19" t="str">
        <f t="shared" si="319"/>
        <v>True</v>
      </c>
      <c r="Y1492" s="19" t="str">
        <f>IF(OR(W1492&lt;'Cleaning Tasks'!$G$18,W1492&gt;'Cleaning Tasks'!$H$18),"Outlier","Normal")</f>
        <v>Normal</v>
      </c>
      <c r="Z1492" s="2" t="s">
        <v>72</v>
      </c>
      <c r="AA1492" s="2" t="s">
        <v>40</v>
      </c>
      <c r="AB1492" s="2" t="s">
        <v>50</v>
      </c>
      <c r="AC1492" s="2" t="s">
        <v>29</v>
      </c>
      <c r="AD1492" s="2" t="s">
        <v>341</v>
      </c>
      <c r="AE1492" s="2" t="str">
        <f t="shared" si="320"/>
        <v>Valid</v>
      </c>
      <c r="AF1492" s="2" t="s">
        <v>4087</v>
      </c>
    </row>
    <row r="1493" spans="1:32" x14ac:dyDescent="0.3">
      <c r="A1493" s="2" t="s">
        <v>4088</v>
      </c>
      <c r="B1493" s="2">
        <f t="shared" si="310"/>
        <v>1</v>
      </c>
      <c r="C1493" s="12">
        <f t="shared" si="309"/>
        <v>46238.587488668978</v>
      </c>
      <c r="D1493" s="13">
        <v>46238.587488668978</v>
      </c>
      <c r="E1493" s="2" t="s">
        <v>4089</v>
      </c>
      <c r="F1493" s="2" t="str">
        <f t="shared" si="311"/>
        <v>Email Available</v>
      </c>
      <c r="G1493" s="2" t="s">
        <v>4090</v>
      </c>
      <c r="H1493" s="2" t="s">
        <v>78</v>
      </c>
      <c r="I1493" s="2" t="s">
        <v>79</v>
      </c>
      <c r="J1493" s="2" t="s">
        <v>80</v>
      </c>
      <c r="K1493" s="2">
        <v>1</v>
      </c>
      <c r="L1493" s="2">
        <v>89.99</v>
      </c>
      <c r="M1493" s="19">
        <f t="shared" si="312"/>
        <v>89.99</v>
      </c>
      <c r="N1493" s="2"/>
      <c r="O1493" s="2" t="str">
        <f t="shared" si="313"/>
        <v/>
      </c>
      <c r="P1493" s="2">
        <v>0</v>
      </c>
      <c r="Q1493" s="19">
        <f t="shared" si="314"/>
        <v>0</v>
      </c>
      <c r="R1493" s="2" t="str">
        <f t="shared" si="315"/>
        <v>Number</v>
      </c>
      <c r="S1493" s="2">
        <v>0</v>
      </c>
      <c r="T1493" s="19">
        <f t="shared" si="316"/>
        <v>0</v>
      </c>
      <c r="U1493" s="2">
        <v>89.99</v>
      </c>
      <c r="V1493" s="19">
        <f t="shared" si="317"/>
        <v>89.99</v>
      </c>
      <c r="W1493" s="19">
        <f t="shared" si="318"/>
        <v>89.99</v>
      </c>
      <c r="X1493" s="19" t="str">
        <f t="shared" si="319"/>
        <v>True</v>
      </c>
      <c r="Y1493" s="19" t="str">
        <f>IF(OR(W1493&lt;'Cleaning Tasks'!$G$18,W1493&gt;'Cleaning Tasks'!$H$18),"Outlier","Normal")</f>
        <v>Outlier</v>
      </c>
      <c r="Z1493" s="2" t="s">
        <v>26</v>
      </c>
      <c r="AA1493" s="2" t="s">
        <v>27</v>
      </c>
      <c r="AB1493" s="2" t="s">
        <v>96</v>
      </c>
      <c r="AC1493" s="2" t="s">
        <v>29</v>
      </c>
      <c r="AD1493" s="22" t="s">
        <v>30</v>
      </c>
      <c r="AE1493" s="2" t="str">
        <f t="shared" si="320"/>
        <v>Valid</v>
      </c>
      <c r="AF1493" s="2" t="s">
        <v>4091</v>
      </c>
    </row>
    <row r="1494" spans="1:32" x14ac:dyDescent="0.3">
      <c r="A1494" s="2" t="s">
        <v>4092</v>
      </c>
      <c r="B1494" s="2">
        <f t="shared" si="310"/>
        <v>1</v>
      </c>
      <c r="C1494" s="12">
        <f t="shared" si="309"/>
        <v>46238.588280162039</v>
      </c>
      <c r="D1494" s="13">
        <v>46238.588280162039</v>
      </c>
      <c r="E1494" s="2" t="s">
        <v>431</v>
      </c>
      <c r="F1494" s="2" t="str">
        <f t="shared" si="311"/>
        <v>Email Available</v>
      </c>
      <c r="G1494" s="2" t="s">
        <v>432</v>
      </c>
      <c r="H1494" s="2" t="s">
        <v>35</v>
      </c>
      <c r="I1494" s="2" t="s">
        <v>36</v>
      </c>
      <c r="J1494" s="2" t="s">
        <v>37</v>
      </c>
      <c r="K1494" s="2">
        <v>1</v>
      </c>
      <c r="L1494" s="2">
        <v>21.99</v>
      </c>
      <c r="M1494" s="19">
        <f t="shared" si="312"/>
        <v>21.99</v>
      </c>
      <c r="N1494" s="2" t="s">
        <v>65</v>
      </c>
      <c r="O1494" s="2" t="str">
        <f t="shared" si="313"/>
        <v>WELCOME10</v>
      </c>
      <c r="P1494" s="2">
        <v>2.2000000000000002</v>
      </c>
      <c r="Q1494" s="19">
        <f t="shared" si="314"/>
        <v>2.2000000000000002</v>
      </c>
      <c r="R1494" s="2" t="str">
        <f t="shared" si="315"/>
        <v>Number</v>
      </c>
      <c r="S1494" s="2">
        <v>4.99</v>
      </c>
      <c r="T1494" s="19">
        <f t="shared" si="316"/>
        <v>4.99</v>
      </c>
      <c r="U1494" s="2">
        <v>24.78</v>
      </c>
      <c r="V1494" s="19">
        <f t="shared" si="317"/>
        <v>24.78</v>
      </c>
      <c r="W1494" s="19">
        <f t="shared" si="318"/>
        <v>24.78</v>
      </c>
      <c r="X1494" s="19" t="str">
        <f t="shared" si="319"/>
        <v>True</v>
      </c>
      <c r="Y1494" s="19" t="str">
        <f>IF(OR(W1494&lt;'Cleaning Tasks'!$G$18,W1494&gt;'Cleaning Tasks'!$H$18),"Outlier","Normal")</f>
        <v>Normal</v>
      </c>
      <c r="Z1494" s="2" t="s">
        <v>49</v>
      </c>
      <c r="AA1494" s="2" t="s">
        <v>88</v>
      </c>
      <c r="AB1494" s="2" t="s">
        <v>50</v>
      </c>
      <c r="AC1494" s="2" t="s">
        <v>105</v>
      </c>
      <c r="AD1494" s="2"/>
      <c r="AE1494" s="2" t="str">
        <f t="shared" si="320"/>
        <v>Not Required</v>
      </c>
      <c r="AF1494" s="2" t="s">
        <v>4093</v>
      </c>
    </row>
    <row r="1495" spans="1:32" x14ac:dyDescent="0.3">
      <c r="A1495" s="2" t="s">
        <v>4094</v>
      </c>
      <c r="B1495" s="2">
        <f t="shared" si="310"/>
        <v>1</v>
      </c>
      <c r="C1495" s="12">
        <f t="shared" si="309"/>
        <v>46238.588654699073</v>
      </c>
      <c r="D1495" s="13">
        <v>46238.588654699073</v>
      </c>
      <c r="E1495" s="2" t="s">
        <v>377</v>
      </c>
      <c r="F1495" s="2" t="str">
        <f t="shared" si="311"/>
        <v>Email Available</v>
      </c>
      <c r="G1495" s="2" t="s">
        <v>378</v>
      </c>
      <c r="H1495" s="2" t="s">
        <v>166</v>
      </c>
      <c r="I1495" s="2" t="s">
        <v>103</v>
      </c>
      <c r="J1495" s="2" t="s">
        <v>167</v>
      </c>
      <c r="K1495" s="2">
        <v>2</v>
      </c>
      <c r="L1495" s="2">
        <v>32.99</v>
      </c>
      <c r="M1495" s="19">
        <f t="shared" si="312"/>
        <v>32.99</v>
      </c>
      <c r="N1495" s="2" t="s">
        <v>203</v>
      </c>
      <c r="O1495" s="2" t="str">
        <f t="shared" si="313"/>
        <v>VIP15</v>
      </c>
      <c r="P1495" s="2">
        <v>9.9</v>
      </c>
      <c r="Q1495" s="19">
        <f t="shared" si="314"/>
        <v>9.9</v>
      </c>
      <c r="R1495" s="2" t="str">
        <f t="shared" si="315"/>
        <v>Number</v>
      </c>
      <c r="S1495" s="2">
        <v>5.99</v>
      </c>
      <c r="T1495" s="19">
        <f t="shared" si="316"/>
        <v>5.99</v>
      </c>
      <c r="U1495" s="2">
        <v>62.07</v>
      </c>
      <c r="V1495" s="19">
        <f t="shared" si="317"/>
        <v>62.07</v>
      </c>
      <c r="W1495" s="19">
        <f t="shared" si="318"/>
        <v>62.070000000000007</v>
      </c>
      <c r="X1495" s="19" t="str">
        <f t="shared" si="319"/>
        <v>True</v>
      </c>
      <c r="Y1495" s="19" t="str">
        <f>IF(OR(W1495&lt;'Cleaning Tasks'!$G$18,W1495&gt;'Cleaning Tasks'!$H$18),"Outlier","Normal")</f>
        <v>Normal</v>
      </c>
      <c r="Z1495" s="2" t="s">
        <v>72</v>
      </c>
      <c r="AA1495" s="2" t="s">
        <v>111</v>
      </c>
      <c r="AB1495" s="2" t="s">
        <v>50</v>
      </c>
      <c r="AC1495" s="2" t="s">
        <v>73</v>
      </c>
      <c r="AD1495" s="2"/>
      <c r="AE1495" s="2" t="str">
        <f t="shared" si="320"/>
        <v>Not Required</v>
      </c>
      <c r="AF1495" s="2" t="s">
        <v>4095</v>
      </c>
    </row>
    <row r="1496" spans="1:32" x14ac:dyDescent="0.3">
      <c r="A1496" s="2" t="s">
        <v>4096</v>
      </c>
      <c r="B1496" s="2">
        <f t="shared" si="310"/>
        <v>1</v>
      </c>
      <c r="C1496" s="12">
        <f t="shared" si="309"/>
        <v>46238.587157233793</v>
      </c>
      <c r="D1496" s="13">
        <v>46238.587157233793</v>
      </c>
      <c r="E1496" s="2" t="s">
        <v>2395</v>
      </c>
      <c r="F1496" s="2" t="str">
        <f t="shared" si="311"/>
        <v>Email Available</v>
      </c>
      <c r="G1496" s="2" t="s">
        <v>2396</v>
      </c>
      <c r="H1496" s="2" t="s">
        <v>63</v>
      </c>
      <c r="I1496" s="2" t="s">
        <v>47</v>
      </c>
      <c r="J1496" s="2" t="s">
        <v>446</v>
      </c>
      <c r="K1496" s="2">
        <v>1</v>
      </c>
      <c r="L1496" s="2">
        <v>14.99</v>
      </c>
      <c r="M1496" s="19">
        <f t="shared" si="312"/>
        <v>14.99</v>
      </c>
      <c r="N1496" s="2"/>
      <c r="O1496" s="2" t="str">
        <f t="shared" si="313"/>
        <v/>
      </c>
      <c r="P1496" s="2">
        <v>0</v>
      </c>
      <c r="Q1496" s="19">
        <f t="shared" si="314"/>
        <v>0</v>
      </c>
      <c r="R1496" s="2" t="str">
        <f t="shared" si="315"/>
        <v>Number</v>
      </c>
      <c r="S1496" s="2">
        <v>7.99</v>
      </c>
      <c r="T1496" s="19">
        <f t="shared" si="316"/>
        <v>7.99</v>
      </c>
      <c r="U1496" s="2">
        <v>22.98</v>
      </c>
      <c r="V1496" s="19">
        <f t="shared" si="317"/>
        <v>22.98</v>
      </c>
      <c r="W1496" s="19">
        <f t="shared" si="318"/>
        <v>22.98</v>
      </c>
      <c r="X1496" s="19" t="str">
        <f t="shared" si="319"/>
        <v>True</v>
      </c>
      <c r="Y1496" s="19" t="str">
        <f>IF(OR(W1496&lt;'Cleaning Tasks'!$G$18,W1496&gt;'Cleaning Tasks'!$H$18),"Outlier","Normal")</f>
        <v>Normal</v>
      </c>
      <c r="Z1496" s="2" t="s">
        <v>26</v>
      </c>
      <c r="AA1496" s="2" t="s">
        <v>27</v>
      </c>
      <c r="AB1496" s="2" t="s">
        <v>96</v>
      </c>
      <c r="AC1496" s="2" t="s">
        <v>223</v>
      </c>
      <c r="AD1496" s="2"/>
      <c r="AE1496" s="2" t="str">
        <f t="shared" si="320"/>
        <v>Not Required</v>
      </c>
      <c r="AF1496" s="2" t="s">
        <v>4097</v>
      </c>
    </row>
    <row r="1497" spans="1:32" x14ac:dyDescent="0.3">
      <c r="A1497" s="2" t="s">
        <v>4098</v>
      </c>
      <c r="B1497" s="2">
        <f t="shared" si="310"/>
        <v>1</v>
      </c>
      <c r="C1497" s="12">
        <f t="shared" si="309"/>
        <v>46238.581967002312</v>
      </c>
      <c r="D1497" s="13">
        <v>46238.581967002312</v>
      </c>
      <c r="E1497" s="2" t="s">
        <v>1275</v>
      </c>
      <c r="F1497" s="2" t="str">
        <f t="shared" si="311"/>
        <v>Email Available</v>
      </c>
      <c r="G1497" s="2" t="s">
        <v>1256</v>
      </c>
      <c r="H1497" s="2" t="s">
        <v>130</v>
      </c>
      <c r="I1497" s="2" t="s">
        <v>103</v>
      </c>
      <c r="J1497" s="2" t="s">
        <v>131</v>
      </c>
      <c r="K1497" s="2">
        <v>1</v>
      </c>
      <c r="L1497" s="2">
        <v>16.989999999999998</v>
      </c>
      <c r="M1497" s="19">
        <f t="shared" si="312"/>
        <v>16.989999999999998</v>
      </c>
      <c r="N1497" s="2"/>
      <c r="O1497" s="2" t="str">
        <f t="shared" si="313"/>
        <v/>
      </c>
      <c r="P1497" s="2">
        <v>0</v>
      </c>
      <c r="Q1497" s="19">
        <f t="shared" si="314"/>
        <v>0</v>
      </c>
      <c r="R1497" s="2" t="str">
        <f t="shared" si="315"/>
        <v>Number</v>
      </c>
      <c r="S1497" s="2">
        <v>4.99</v>
      </c>
      <c r="T1497" s="19">
        <f t="shared" si="316"/>
        <v>4.99</v>
      </c>
      <c r="U1497" s="2">
        <v>21.98</v>
      </c>
      <c r="V1497" s="19">
        <f t="shared" si="317"/>
        <v>21.98</v>
      </c>
      <c r="W1497" s="19">
        <f t="shared" si="318"/>
        <v>21.979999999999997</v>
      </c>
      <c r="X1497" s="19" t="str">
        <f t="shared" si="319"/>
        <v>True</v>
      </c>
      <c r="Y1497" s="19" t="str">
        <f>IF(OR(W1497&lt;'Cleaning Tasks'!$G$18,W1497&gt;'Cleaning Tasks'!$H$18),"Outlier","Normal")</f>
        <v>Normal</v>
      </c>
      <c r="Z1497" s="2" t="s">
        <v>66</v>
      </c>
      <c r="AA1497" s="2" t="s">
        <v>27</v>
      </c>
      <c r="AB1497" s="2" t="s">
        <v>50</v>
      </c>
      <c r="AC1497" s="2" t="s">
        <v>105</v>
      </c>
      <c r="AD1497" s="2"/>
      <c r="AE1497" s="2" t="str">
        <f t="shared" si="320"/>
        <v>Not Required</v>
      </c>
      <c r="AF1497" s="2" t="s">
        <v>4099</v>
      </c>
    </row>
    <row r="1498" spans="1:32" x14ac:dyDescent="0.3">
      <c r="A1498" s="2" t="s">
        <v>4100</v>
      </c>
      <c r="B1498" s="2">
        <f t="shared" si="310"/>
        <v>1</v>
      </c>
      <c r="C1498" s="12">
        <f t="shared" si="309"/>
        <v>46238.580449791669</v>
      </c>
      <c r="D1498" s="13">
        <v>46238.580449791669</v>
      </c>
      <c r="E1498" s="2" t="s">
        <v>3779</v>
      </c>
      <c r="F1498" s="2" t="str">
        <f t="shared" si="311"/>
        <v>Email Available</v>
      </c>
      <c r="G1498" s="2" t="s">
        <v>3780</v>
      </c>
      <c r="H1498" s="2" t="s">
        <v>146</v>
      </c>
      <c r="I1498" s="2" t="s">
        <v>47</v>
      </c>
      <c r="J1498" s="2" t="s">
        <v>147</v>
      </c>
      <c r="K1498" s="2">
        <v>1</v>
      </c>
      <c r="L1498" s="2">
        <v>34.99</v>
      </c>
      <c r="M1498" s="19">
        <f t="shared" si="312"/>
        <v>34.99</v>
      </c>
      <c r="N1498" s="2" t="s">
        <v>118</v>
      </c>
      <c r="O1498" s="2" t="str">
        <f t="shared" si="313"/>
        <v>BFCM25</v>
      </c>
      <c r="P1498" s="2" t="s">
        <v>4101</v>
      </c>
      <c r="Q1498" s="19">
        <f t="shared" si="314"/>
        <v>8.75</v>
      </c>
      <c r="R1498" s="2" t="str">
        <f t="shared" si="315"/>
        <v>Number</v>
      </c>
      <c r="S1498" s="2">
        <v>7.99</v>
      </c>
      <c r="T1498" s="19">
        <f t="shared" si="316"/>
        <v>7.99</v>
      </c>
      <c r="U1498" s="2">
        <v>34.229999999999997</v>
      </c>
      <c r="V1498" s="19">
        <f t="shared" si="317"/>
        <v>34.229999999999997</v>
      </c>
      <c r="W1498" s="19">
        <f t="shared" si="318"/>
        <v>34.230000000000004</v>
      </c>
      <c r="X1498" s="19" t="str">
        <f t="shared" si="319"/>
        <v>True</v>
      </c>
      <c r="Y1498" s="19" t="str">
        <f>IF(OR(W1498&lt;'Cleaning Tasks'!$G$18,W1498&gt;'Cleaning Tasks'!$H$18),"Outlier","Normal")</f>
        <v>Normal</v>
      </c>
      <c r="Z1498" s="2" t="s">
        <v>66</v>
      </c>
      <c r="AA1498" s="2" t="s">
        <v>27</v>
      </c>
      <c r="AB1498" s="2" t="s">
        <v>28</v>
      </c>
      <c r="AC1498" s="2" t="s">
        <v>73</v>
      </c>
      <c r="AD1498" s="2"/>
      <c r="AE1498" s="2" t="str">
        <f t="shared" si="320"/>
        <v>Not Required</v>
      </c>
      <c r="AF1498" s="2" t="s">
        <v>4102</v>
      </c>
    </row>
    <row r="1499" spans="1:32" x14ac:dyDescent="0.3">
      <c r="A1499" s="2" t="s">
        <v>4103</v>
      </c>
      <c r="B1499" s="2">
        <f t="shared" si="310"/>
        <v>1</v>
      </c>
      <c r="C1499" s="12">
        <f t="shared" si="309"/>
        <v>46238.581467303236</v>
      </c>
      <c r="D1499" s="13">
        <v>46238.581467303236</v>
      </c>
      <c r="E1499" s="2" t="s">
        <v>134</v>
      </c>
      <c r="F1499" s="2" t="str">
        <f t="shared" si="311"/>
        <v>Email Available</v>
      </c>
      <c r="G1499" s="2" t="s">
        <v>135</v>
      </c>
      <c r="H1499" s="2" t="s">
        <v>279</v>
      </c>
      <c r="I1499" s="2" t="s">
        <v>22</v>
      </c>
      <c r="J1499" s="2" t="s">
        <v>280</v>
      </c>
      <c r="K1499" s="2">
        <v>1</v>
      </c>
      <c r="L1499" s="2">
        <v>24.99</v>
      </c>
      <c r="M1499" s="19">
        <f t="shared" si="312"/>
        <v>24.99</v>
      </c>
      <c r="N1499" s="2"/>
      <c r="O1499" s="2" t="str">
        <f t="shared" si="313"/>
        <v/>
      </c>
      <c r="P1499" s="2">
        <v>0</v>
      </c>
      <c r="Q1499" s="19">
        <f t="shared" si="314"/>
        <v>0</v>
      </c>
      <c r="R1499" s="2" t="str">
        <f t="shared" si="315"/>
        <v>Number</v>
      </c>
      <c r="S1499" s="2">
        <v>7.99</v>
      </c>
      <c r="T1499" s="19">
        <f t="shared" si="316"/>
        <v>7.99</v>
      </c>
      <c r="U1499" s="2">
        <v>32.979999999999997</v>
      </c>
      <c r="V1499" s="19">
        <f t="shared" si="317"/>
        <v>32.979999999999997</v>
      </c>
      <c r="W1499" s="19">
        <f t="shared" si="318"/>
        <v>32.979999999999997</v>
      </c>
      <c r="X1499" s="19" t="str">
        <f t="shared" si="319"/>
        <v>True</v>
      </c>
      <c r="Y1499" s="19" t="str">
        <f>IF(OR(W1499&lt;'Cleaning Tasks'!$G$18,W1499&gt;'Cleaning Tasks'!$H$18),"Outlier","Normal")</f>
        <v>Normal</v>
      </c>
      <c r="Z1499" s="2" t="s">
        <v>39</v>
      </c>
      <c r="AA1499" s="2" t="s">
        <v>111</v>
      </c>
      <c r="AB1499" s="2" t="s">
        <v>50</v>
      </c>
      <c r="AC1499" s="2" t="s">
        <v>29</v>
      </c>
      <c r="AD1499" s="2" t="s">
        <v>67</v>
      </c>
      <c r="AE1499" s="2" t="str">
        <f t="shared" si="320"/>
        <v>Valid</v>
      </c>
      <c r="AF1499" s="2" t="s">
        <v>4104</v>
      </c>
    </row>
    <row r="1500" spans="1:32" x14ac:dyDescent="0.3">
      <c r="A1500" s="2" t="s">
        <v>4105</v>
      </c>
      <c r="B1500" s="2">
        <f t="shared" si="310"/>
        <v>1</v>
      </c>
      <c r="C1500" s="12">
        <f t="shared" si="309"/>
        <v>46238.588142233799</v>
      </c>
      <c r="D1500" s="13">
        <v>46238.588142233799</v>
      </c>
      <c r="E1500" s="2" t="s">
        <v>307</v>
      </c>
      <c r="F1500" s="2" t="str">
        <f t="shared" si="311"/>
        <v>Email Available</v>
      </c>
      <c r="G1500" s="2" t="s">
        <v>308</v>
      </c>
      <c r="H1500" s="2" t="s">
        <v>152</v>
      </c>
      <c r="I1500" s="2" t="s">
        <v>36</v>
      </c>
      <c r="J1500" s="2" t="s">
        <v>153</v>
      </c>
      <c r="K1500" s="2">
        <v>2</v>
      </c>
      <c r="L1500" s="2">
        <v>29.99</v>
      </c>
      <c r="M1500" s="19">
        <f t="shared" si="312"/>
        <v>29.99</v>
      </c>
      <c r="N1500" s="2" t="s">
        <v>38</v>
      </c>
      <c r="O1500" s="2" t="str">
        <f t="shared" si="313"/>
        <v>FREESHIP</v>
      </c>
      <c r="P1500" s="2">
        <v>0</v>
      </c>
      <c r="Q1500" s="19">
        <f t="shared" si="314"/>
        <v>0</v>
      </c>
      <c r="R1500" s="2" t="str">
        <f t="shared" si="315"/>
        <v>Number</v>
      </c>
      <c r="S1500" s="2">
        <v>0</v>
      </c>
      <c r="T1500" s="19">
        <f t="shared" si="316"/>
        <v>0</v>
      </c>
      <c r="U1500" s="2">
        <v>59.98</v>
      </c>
      <c r="V1500" s="19">
        <f t="shared" si="317"/>
        <v>59.98</v>
      </c>
      <c r="W1500" s="19">
        <f t="shared" si="318"/>
        <v>59.98</v>
      </c>
      <c r="X1500" s="19" t="str">
        <f t="shared" si="319"/>
        <v>True</v>
      </c>
      <c r="Y1500" s="19" t="str">
        <f>IF(OR(W1500&lt;'Cleaning Tasks'!$G$18,W1500&gt;'Cleaning Tasks'!$H$18),"Outlier","Normal")</f>
        <v>Normal</v>
      </c>
      <c r="Z1500" s="2" t="s">
        <v>66</v>
      </c>
      <c r="AA1500" s="2" t="s">
        <v>27</v>
      </c>
      <c r="AB1500" s="2" t="s">
        <v>50</v>
      </c>
      <c r="AC1500" s="2" t="s">
        <v>105</v>
      </c>
      <c r="AD1500" s="2"/>
      <c r="AE1500" s="2" t="str">
        <f t="shared" si="320"/>
        <v>Not Required</v>
      </c>
      <c r="AF1500" s="2" t="s">
        <v>4106</v>
      </c>
    </row>
    <row r="1501" spans="1:32" x14ac:dyDescent="0.3">
      <c r="A1501" s="2" t="s">
        <v>4107</v>
      </c>
      <c r="B1501" s="2">
        <f t="shared" si="310"/>
        <v>1</v>
      </c>
      <c r="C1501" s="12">
        <f t="shared" si="309"/>
        <v>46238.579210208343</v>
      </c>
      <c r="D1501" s="13">
        <v>46238.579210208343</v>
      </c>
      <c r="E1501" s="2" t="s">
        <v>4108</v>
      </c>
      <c r="F1501" s="2" t="str">
        <f t="shared" si="311"/>
        <v>Email Available</v>
      </c>
      <c r="G1501" s="2" t="s">
        <v>1942</v>
      </c>
      <c r="H1501" s="2" t="s">
        <v>35</v>
      </c>
      <c r="I1501" s="2" t="s">
        <v>36</v>
      </c>
      <c r="J1501" s="2" t="s">
        <v>37</v>
      </c>
      <c r="K1501" s="2">
        <v>1</v>
      </c>
      <c r="L1501" s="2">
        <v>21.99</v>
      </c>
      <c r="M1501" s="19">
        <f t="shared" si="312"/>
        <v>21.99</v>
      </c>
      <c r="N1501" s="2"/>
      <c r="O1501" s="2" t="str">
        <f t="shared" si="313"/>
        <v/>
      </c>
      <c r="P1501" s="2">
        <v>0</v>
      </c>
      <c r="Q1501" s="19">
        <f t="shared" si="314"/>
        <v>0</v>
      </c>
      <c r="R1501" s="2" t="str">
        <f t="shared" si="315"/>
        <v>Number</v>
      </c>
      <c r="S1501" s="2">
        <v>4.99</v>
      </c>
      <c r="T1501" s="19">
        <f t="shared" si="316"/>
        <v>4.99</v>
      </c>
      <c r="U1501" s="2">
        <v>26.98</v>
      </c>
      <c r="V1501" s="19">
        <f t="shared" si="317"/>
        <v>26.98</v>
      </c>
      <c r="W1501" s="19">
        <f t="shared" si="318"/>
        <v>26.979999999999997</v>
      </c>
      <c r="X1501" s="19" t="str">
        <f t="shared" si="319"/>
        <v>True</v>
      </c>
      <c r="Y1501" s="19" t="str">
        <f>IF(OR(W1501&lt;'Cleaning Tasks'!$G$18,W1501&gt;'Cleaning Tasks'!$H$18),"Outlier","Normal")</f>
        <v>Normal</v>
      </c>
      <c r="Z1501" s="2" t="s">
        <v>26</v>
      </c>
      <c r="AA1501" s="2" t="s">
        <v>40</v>
      </c>
      <c r="AB1501" s="2" t="s">
        <v>41</v>
      </c>
      <c r="AC1501" s="2" t="s">
        <v>331</v>
      </c>
      <c r="AD1501" s="2"/>
      <c r="AE1501" s="2" t="str">
        <f t="shared" si="320"/>
        <v>Not Required</v>
      </c>
      <c r="AF1501" s="2" t="s">
        <v>4109</v>
      </c>
    </row>
    <row r="1502" spans="1:32" x14ac:dyDescent="0.3">
      <c r="A1502" s="2" t="s">
        <v>4110</v>
      </c>
      <c r="B1502" s="2">
        <f t="shared" si="310"/>
        <v>1</v>
      </c>
      <c r="C1502" s="12">
        <f t="shared" si="309"/>
        <v>46238</v>
      </c>
      <c r="D1502" s="13" t="s">
        <v>143</v>
      </c>
      <c r="E1502" s="2" t="s">
        <v>3888</v>
      </c>
      <c r="F1502" s="2" t="str">
        <f t="shared" si="311"/>
        <v>Email Available</v>
      </c>
      <c r="G1502" s="2" t="s">
        <v>3889</v>
      </c>
      <c r="H1502" s="2" t="s">
        <v>63</v>
      </c>
      <c r="I1502" s="2" t="s">
        <v>47</v>
      </c>
      <c r="J1502" s="2" t="s">
        <v>64</v>
      </c>
      <c r="K1502" s="2">
        <v>2</v>
      </c>
      <c r="L1502" s="2">
        <v>14.99</v>
      </c>
      <c r="M1502" s="19">
        <f t="shared" si="312"/>
        <v>14.99</v>
      </c>
      <c r="N1502" s="2"/>
      <c r="O1502" s="2" t="str">
        <f t="shared" si="313"/>
        <v/>
      </c>
      <c r="P1502" s="2">
        <v>0</v>
      </c>
      <c r="Q1502" s="19">
        <f t="shared" si="314"/>
        <v>0</v>
      </c>
      <c r="R1502" s="2" t="str">
        <f t="shared" si="315"/>
        <v>Number</v>
      </c>
      <c r="S1502" s="2">
        <v>4.99</v>
      </c>
      <c r="T1502" s="19">
        <f t="shared" si="316"/>
        <v>4.99</v>
      </c>
      <c r="U1502" s="2">
        <v>34.97</v>
      </c>
      <c r="V1502" s="19">
        <f t="shared" si="317"/>
        <v>34.97</v>
      </c>
      <c r="W1502" s="19">
        <f t="shared" si="318"/>
        <v>34.97</v>
      </c>
      <c r="X1502" s="19" t="str">
        <f t="shared" si="319"/>
        <v>True</v>
      </c>
      <c r="Y1502" s="19" t="str">
        <f>IF(OR(W1502&lt;'Cleaning Tasks'!$G$18,W1502&gt;'Cleaning Tasks'!$H$18),"Outlier","Normal")</f>
        <v>Normal</v>
      </c>
      <c r="Z1502" s="2" t="s">
        <v>26</v>
      </c>
      <c r="AA1502" s="2" t="s">
        <v>27</v>
      </c>
      <c r="AB1502" s="2" t="s">
        <v>41</v>
      </c>
      <c r="AC1502" s="2" t="s">
        <v>29</v>
      </c>
      <c r="AD1502" s="2" t="s">
        <v>89</v>
      </c>
      <c r="AE1502" s="2" t="str">
        <f t="shared" si="320"/>
        <v>Valid</v>
      </c>
      <c r="AF1502" s="2" t="s">
        <v>1326</v>
      </c>
    </row>
    <row r="1503" spans="1:32" x14ac:dyDescent="0.3">
      <c r="A1503" s="2" t="s">
        <v>4111</v>
      </c>
      <c r="B1503" s="2">
        <f t="shared" si="310"/>
        <v>1</v>
      </c>
      <c r="C1503" s="12">
        <f t="shared" si="309"/>
        <v>46238.581812627323</v>
      </c>
      <c r="D1503" s="13">
        <v>46238.581812627323</v>
      </c>
      <c r="E1503" s="2" t="s">
        <v>1075</v>
      </c>
      <c r="F1503" s="2" t="str">
        <f t="shared" si="311"/>
        <v>Email Available</v>
      </c>
      <c r="G1503" s="2" t="s">
        <v>587</v>
      </c>
      <c r="H1503" s="2" t="s">
        <v>46</v>
      </c>
      <c r="I1503" s="2" t="s">
        <v>47</v>
      </c>
      <c r="J1503" s="2" t="s">
        <v>48</v>
      </c>
      <c r="K1503" s="2">
        <v>1</v>
      </c>
      <c r="L1503" s="2">
        <v>39.99</v>
      </c>
      <c r="M1503" s="19">
        <f t="shared" si="312"/>
        <v>39.99</v>
      </c>
      <c r="N1503" s="2" t="s">
        <v>203</v>
      </c>
      <c r="O1503" s="2" t="str">
        <f t="shared" si="313"/>
        <v>VIP15</v>
      </c>
      <c r="P1503" s="2">
        <v>6</v>
      </c>
      <c r="Q1503" s="19">
        <f t="shared" si="314"/>
        <v>6</v>
      </c>
      <c r="R1503" s="2" t="str">
        <f t="shared" si="315"/>
        <v>Number</v>
      </c>
      <c r="S1503" s="2">
        <v>7.99</v>
      </c>
      <c r="T1503" s="19">
        <f t="shared" si="316"/>
        <v>7.99</v>
      </c>
      <c r="U1503" s="2">
        <v>41.98</v>
      </c>
      <c r="V1503" s="19">
        <f t="shared" si="317"/>
        <v>41.98</v>
      </c>
      <c r="W1503" s="19">
        <f t="shared" si="318"/>
        <v>41.980000000000004</v>
      </c>
      <c r="X1503" s="19" t="str">
        <f t="shared" si="319"/>
        <v>True</v>
      </c>
      <c r="Y1503" s="19" t="str">
        <f>IF(OR(W1503&lt;'Cleaning Tasks'!$G$18,W1503&gt;'Cleaning Tasks'!$H$18),"Outlier","Normal")</f>
        <v>Normal</v>
      </c>
      <c r="Z1503" s="2" t="s">
        <v>26</v>
      </c>
      <c r="AA1503" s="2" t="s">
        <v>88</v>
      </c>
      <c r="AB1503" s="2" t="s">
        <v>41</v>
      </c>
      <c r="AC1503" s="2" t="s">
        <v>29</v>
      </c>
      <c r="AD1503" s="2" t="s">
        <v>447</v>
      </c>
      <c r="AE1503" s="2" t="str">
        <f t="shared" si="320"/>
        <v>Valid</v>
      </c>
      <c r="AF1503" s="2" t="s">
        <v>4112</v>
      </c>
    </row>
    <row r="1504" spans="1:32" x14ac:dyDescent="0.3">
      <c r="A1504" s="2" t="s">
        <v>4113</v>
      </c>
      <c r="B1504" s="2">
        <f t="shared" si="310"/>
        <v>1</v>
      </c>
      <c r="C1504" s="12">
        <f t="shared" ref="C1504:C1535" si="321">IF(ISNUMBER(D1504),D1504,DATEVALUE(SUBSTITUTE(TRIM(D1504),CHAR(160)," ")))</f>
        <v>46238.580624178241</v>
      </c>
      <c r="D1504" s="13">
        <v>46238.580624178241</v>
      </c>
      <c r="E1504" s="2" t="s">
        <v>2718</v>
      </c>
      <c r="F1504" s="2" t="str">
        <f t="shared" si="311"/>
        <v>Email Available</v>
      </c>
      <c r="G1504" s="2" t="s">
        <v>2076</v>
      </c>
      <c r="H1504" s="2" t="s">
        <v>56</v>
      </c>
      <c r="I1504" s="2" t="s">
        <v>22</v>
      </c>
      <c r="J1504" s="2" t="s">
        <v>57</v>
      </c>
      <c r="K1504" s="2">
        <v>1</v>
      </c>
      <c r="L1504" s="2">
        <v>9.99</v>
      </c>
      <c r="M1504" s="19">
        <f t="shared" si="312"/>
        <v>9.99</v>
      </c>
      <c r="N1504" s="2" t="s">
        <v>118</v>
      </c>
      <c r="O1504" s="2" t="str">
        <f t="shared" si="313"/>
        <v>BFCM25</v>
      </c>
      <c r="P1504" s="2">
        <v>2.5</v>
      </c>
      <c r="Q1504" s="19">
        <f t="shared" si="314"/>
        <v>2.5</v>
      </c>
      <c r="R1504" s="2" t="str">
        <f t="shared" si="315"/>
        <v>Number</v>
      </c>
      <c r="S1504" s="2">
        <v>4.99</v>
      </c>
      <c r="T1504" s="19">
        <f t="shared" si="316"/>
        <v>4.99</v>
      </c>
      <c r="U1504" s="2">
        <v>12.48</v>
      </c>
      <c r="V1504" s="19">
        <f t="shared" si="317"/>
        <v>12.48</v>
      </c>
      <c r="W1504" s="19">
        <f t="shared" si="318"/>
        <v>12.48</v>
      </c>
      <c r="X1504" s="19" t="str">
        <f t="shared" si="319"/>
        <v>True</v>
      </c>
      <c r="Y1504" s="19" t="str">
        <f>IF(OR(W1504&lt;'Cleaning Tasks'!$G$18,W1504&gt;'Cleaning Tasks'!$H$18),"Outlier","Normal")</f>
        <v>Normal</v>
      </c>
      <c r="Z1504" s="2" t="s">
        <v>72</v>
      </c>
      <c r="AA1504" s="2" t="s">
        <v>88</v>
      </c>
      <c r="AB1504" s="2" t="s">
        <v>50</v>
      </c>
      <c r="AC1504" s="2" t="s">
        <v>223</v>
      </c>
      <c r="AD1504" s="2"/>
      <c r="AE1504" s="2" t="str">
        <f t="shared" si="320"/>
        <v>Not Required</v>
      </c>
      <c r="AF1504" s="2" t="s">
        <v>4114</v>
      </c>
    </row>
    <row r="1505" spans="1:32" x14ac:dyDescent="0.3">
      <c r="A1505" s="2" t="s">
        <v>4115</v>
      </c>
      <c r="B1505" s="2">
        <f t="shared" si="310"/>
        <v>1</v>
      </c>
      <c r="C1505" s="12">
        <f t="shared" si="321"/>
        <v>46238.582507372688</v>
      </c>
      <c r="D1505" s="13">
        <v>46238.582507372688</v>
      </c>
      <c r="E1505" s="2" t="s">
        <v>1349</v>
      </c>
      <c r="F1505" s="2" t="str">
        <f t="shared" si="311"/>
        <v>Email Available</v>
      </c>
      <c r="G1505" s="2" t="s">
        <v>1350</v>
      </c>
      <c r="H1505" s="2" t="s">
        <v>78</v>
      </c>
      <c r="I1505" s="2" t="s">
        <v>79</v>
      </c>
      <c r="J1505" s="2" t="s">
        <v>80</v>
      </c>
      <c r="K1505" s="2">
        <v>1</v>
      </c>
      <c r="L1505" s="2">
        <v>89.99</v>
      </c>
      <c r="M1505" s="19">
        <f t="shared" si="312"/>
        <v>89.99</v>
      </c>
      <c r="N1505" s="2"/>
      <c r="O1505" s="2" t="str">
        <f t="shared" si="313"/>
        <v/>
      </c>
      <c r="P1505" s="2">
        <v>0</v>
      </c>
      <c r="Q1505" s="19">
        <f t="shared" si="314"/>
        <v>0</v>
      </c>
      <c r="R1505" s="2" t="str">
        <f t="shared" si="315"/>
        <v>Number</v>
      </c>
      <c r="S1505" s="2">
        <v>0</v>
      </c>
      <c r="T1505" s="19">
        <f t="shared" si="316"/>
        <v>0</v>
      </c>
      <c r="U1505" s="2">
        <v>89.99</v>
      </c>
      <c r="V1505" s="19">
        <f t="shared" si="317"/>
        <v>89.99</v>
      </c>
      <c r="W1505" s="19">
        <f t="shared" si="318"/>
        <v>89.99</v>
      </c>
      <c r="X1505" s="19" t="str">
        <f t="shared" si="319"/>
        <v>True</v>
      </c>
      <c r="Y1505" s="19" t="str">
        <f>IF(OR(W1505&lt;'Cleaning Tasks'!$G$18,W1505&gt;'Cleaning Tasks'!$H$18),"Outlier","Normal")</f>
        <v>Outlier</v>
      </c>
      <c r="Z1505" s="2" t="s">
        <v>72</v>
      </c>
      <c r="AA1505" s="2" t="s">
        <v>27</v>
      </c>
      <c r="AB1505" s="2" t="s">
        <v>41</v>
      </c>
      <c r="AC1505" s="2" t="s">
        <v>42</v>
      </c>
      <c r="AD1505" s="2"/>
      <c r="AE1505" s="2" t="str">
        <f t="shared" si="320"/>
        <v>Not Required</v>
      </c>
      <c r="AF1505" s="2" t="s">
        <v>1995</v>
      </c>
    </row>
    <row r="1506" spans="1:32" x14ac:dyDescent="0.3">
      <c r="A1506" s="2" t="s">
        <v>4116</v>
      </c>
      <c r="B1506" s="2">
        <f t="shared" si="310"/>
        <v>1</v>
      </c>
      <c r="C1506" s="12">
        <f t="shared" si="321"/>
        <v>46238.584031932871</v>
      </c>
      <c r="D1506" s="13">
        <v>46238.584031932871</v>
      </c>
      <c r="E1506" s="2" t="s">
        <v>3427</v>
      </c>
      <c r="F1506" s="2" t="str">
        <f t="shared" si="311"/>
        <v>Email Available</v>
      </c>
      <c r="G1506" s="2" t="s">
        <v>3428</v>
      </c>
      <c r="H1506" s="2" t="s">
        <v>35</v>
      </c>
      <c r="I1506" s="2" t="s">
        <v>36</v>
      </c>
      <c r="J1506" s="2" t="s">
        <v>37</v>
      </c>
      <c r="K1506" s="2">
        <v>3</v>
      </c>
      <c r="L1506" s="2">
        <v>21.99</v>
      </c>
      <c r="M1506" s="19">
        <f t="shared" si="312"/>
        <v>21.99</v>
      </c>
      <c r="N1506" s="2"/>
      <c r="O1506" s="2" t="str">
        <f t="shared" si="313"/>
        <v/>
      </c>
      <c r="P1506" s="2">
        <v>0</v>
      </c>
      <c r="Q1506" s="19">
        <f t="shared" si="314"/>
        <v>0</v>
      </c>
      <c r="R1506" s="2" t="str">
        <f t="shared" si="315"/>
        <v>Number</v>
      </c>
      <c r="S1506" s="2">
        <v>4.99</v>
      </c>
      <c r="T1506" s="19">
        <f t="shared" si="316"/>
        <v>4.99</v>
      </c>
      <c r="U1506" s="2">
        <v>70.959999999999994</v>
      </c>
      <c r="V1506" s="19">
        <f t="shared" si="317"/>
        <v>70.959999999999994</v>
      </c>
      <c r="W1506" s="19">
        <f t="shared" si="318"/>
        <v>70.959999999999994</v>
      </c>
      <c r="X1506" s="19" t="str">
        <f t="shared" si="319"/>
        <v>True</v>
      </c>
      <c r="Y1506" s="19" t="str">
        <f>IF(OR(W1506&lt;'Cleaning Tasks'!$G$18,W1506&gt;'Cleaning Tasks'!$H$18),"Outlier","Normal")</f>
        <v>Normal</v>
      </c>
      <c r="Z1506" s="2" t="s">
        <v>66</v>
      </c>
      <c r="AA1506" s="2" t="s">
        <v>27</v>
      </c>
      <c r="AB1506" s="2" t="s">
        <v>50</v>
      </c>
      <c r="AC1506" s="2" t="s">
        <v>42</v>
      </c>
      <c r="AD1506" s="2"/>
      <c r="AE1506" s="2" t="str">
        <f t="shared" si="320"/>
        <v>Not Required</v>
      </c>
      <c r="AF1506" s="2" t="s">
        <v>4117</v>
      </c>
    </row>
    <row r="1507" spans="1:32" x14ac:dyDescent="0.3">
      <c r="A1507" s="2" t="s">
        <v>4118</v>
      </c>
      <c r="B1507" s="2">
        <f t="shared" si="310"/>
        <v>1</v>
      </c>
      <c r="C1507" s="12">
        <f t="shared" si="321"/>
        <v>46238.586849050916</v>
      </c>
      <c r="D1507" s="13">
        <v>46238.586849050916</v>
      </c>
      <c r="E1507" s="2" t="s">
        <v>1731</v>
      </c>
      <c r="F1507" s="2" t="str">
        <f t="shared" si="311"/>
        <v>Email Available</v>
      </c>
      <c r="G1507" s="2" t="s">
        <v>1732</v>
      </c>
      <c r="H1507" s="2" t="s">
        <v>279</v>
      </c>
      <c r="I1507" s="2" t="s">
        <v>22</v>
      </c>
      <c r="J1507" s="2" t="s">
        <v>280</v>
      </c>
      <c r="K1507" s="2">
        <v>1</v>
      </c>
      <c r="L1507" s="2">
        <v>24.99</v>
      </c>
      <c r="M1507" s="19">
        <f t="shared" si="312"/>
        <v>24.99</v>
      </c>
      <c r="N1507" s="2"/>
      <c r="O1507" s="2" t="str">
        <f t="shared" si="313"/>
        <v/>
      </c>
      <c r="P1507" s="2">
        <v>0</v>
      </c>
      <c r="Q1507" s="19">
        <f t="shared" si="314"/>
        <v>0</v>
      </c>
      <c r="R1507" s="2" t="str">
        <f t="shared" si="315"/>
        <v>Number</v>
      </c>
      <c r="S1507" s="2">
        <v>5.99</v>
      </c>
      <c r="T1507" s="19">
        <f t="shared" si="316"/>
        <v>5.99</v>
      </c>
      <c r="U1507" s="2">
        <v>30.98</v>
      </c>
      <c r="V1507" s="19">
        <f t="shared" si="317"/>
        <v>30.98</v>
      </c>
      <c r="W1507" s="19">
        <f t="shared" si="318"/>
        <v>30.979999999999997</v>
      </c>
      <c r="X1507" s="19" t="str">
        <f t="shared" si="319"/>
        <v>True</v>
      </c>
      <c r="Y1507" s="19" t="str">
        <f>IF(OR(W1507&lt;'Cleaning Tasks'!$G$18,W1507&gt;'Cleaning Tasks'!$H$18),"Outlier","Normal")</f>
        <v>Normal</v>
      </c>
      <c r="Z1507" s="2" t="s">
        <v>72</v>
      </c>
      <c r="AA1507" s="2" t="s">
        <v>27</v>
      </c>
      <c r="AB1507" s="2" t="s">
        <v>50</v>
      </c>
      <c r="AC1507" s="2" t="s">
        <v>73</v>
      </c>
      <c r="AD1507" s="2"/>
      <c r="AE1507" s="2" t="str">
        <f t="shared" si="320"/>
        <v>Not Required</v>
      </c>
      <c r="AF1507" s="2" t="s">
        <v>4119</v>
      </c>
    </row>
    <row r="1508" spans="1:32" x14ac:dyDescent="0.3">
      <c r="A1508" s="2" t="s">
        <v>4120</v>
      </c>
      <c r="B1508" s="2">
        <f t="shared" si="310"/>
        <v>1</v>
      </c>
      <c r="C1508" s="12">
        <f t="shared" si="321"/>
        <v>46238.580801782409</v>
      </c>
      <c r="D1508" s="13">
        <v>46238.580801782409</v>
      </c>
      <c r="E1508" s="2" t="s">
        <v>195</v>
      </c>
      <c r="F1508" s="2" t="str">
        <f t="shared" si="311"/>
        <v>Email Available</v>
      </c>
      <c r="G1508" s="2" t="s">
        <v>196</v>
      </c>
      <c r="H1508" s="2" t="s">
        <v>190</v>
      </c>
      <c r="I1508" s="2" t="s">
        <v>191</v>
      </c>
      <c r="J1508" s="2" t="s">
        <v>192</v>
      </c>
      <c r="K1508" s="2">
        <v>1</v>
      </c>
      <c r="L1508" s="2">
        <v>13.49</v>
      </c>
      <c r="M1508" s="19">
        <f t="shared" si="312"/>
        <v>13.49</v>
      </c>
      <c r="N1508" s="2" t="s">
        <v>203</v>
      </c>
      <c r="O1508" s="2" t="str">
        <f t="shared" si="313"/>
        <v>VIP15</v>
      </c>
      <c r="P1508" s="2" t="s">
        <v>4121</v>
      </c>
      <c r="Q1508" s="19">
        <f t="shared" si="314"/>
        <v>2.02</v>
      </c>
      <c r="R1508" s="2" t="str">
        <f t="shared" si="315"/>
        <v>Number</v>
      </c>
      <c r="S1508" s="2">
        <v>5.99</v>
      </c>
      <c r="T1508" s="19">
        <f t="shared" si="316"/>
        <v>5.99</v>
      </c>
      <c r="U1508" s="2">
        <v>17.46</v>
      </c>
      <c r="V1508" s="19">
        <f t="shared" si="317"/>
        <v>17.46</v>
      </c>
      <c r="W1508" s="19">
        <f t="shared" si="318"/>
        <v>17.46</v>
      </c>
      <c r="X1508" s="19" t="str">
        <f t="shared" si="319"/>
        <v>True</v>
      </c>
      <c r="Y1508" s="19" t="str">
        <f>IF(OR(W1508&lt;'Cleaning Tasks'!$G$18,W1508&gt;'Cleaning Tasks'!$H$18),"Outlier","Normal")</f>
        <v>Normal</v>
      </c>
      <c r="Z1508" s="2" t="s">
        <v>72</v>
      </c>
      <c r="AA1508" s="2" t="s">
        <v>40</v>
      </c>
      <c r="AB1508" s="2" t="s">
        <v>96</v>
      </c>
      <c r="AC1508" s="2" t="s">
        <v>29</v>
      </c>
      <c r="AD1508" s="2" t="s">
        <v>341</v>
      </c>
      <c r="AE1508" s="2" t="str">
        <f t="shared" si="320"/>
        <v>Valid</v>
      </c>
      <c r="AF1508" s="2" t="s">
        <v>1900</v>
      </c>
    </row>
    <row r="1509" spans="1:32" x14ac:dyDescent="0.3">
      <c r="A1509" s="2" t="s">
        <v>4122</v>
      </c>
      <c r="B1509" s="2">
        <f t="shared" si="310"/>
        <v>1</v>
      </c>
      <c r="C1509" s="12">
        <f t="shared" si="321"/>
        <v>46238.585431666666</v>
      </c>
      <c r="D1509" s="13">
        <v>46238.585431666666</v>
      </c>
      <c r="E1509" s="2" t="s">
        <v>160</v>
      </c>
      <c r="F1509" s="2" t="str">
        <f t="shared" si="311"/>
        <v>Email Available</v>
      </c>
      <c r="G1509" s="2" t="s">
        <v>161</v>
      </c>
      <c r="H1509" s="2" t="s">
        <v>78</v>
      </c>
      <c r="I1509" s="2" t="s">
        <v>79</v>
      </c>
      <c r="J1509" s="2" t="s">
        <v>80</v>
      </c>
      <c r="K1509" s="2">
        <v>2</v>
      </c>
      <c r="L1509" s="2">
        <v>89.99</v>
      </c>
      <c r="M1509" s="19">
        <f t="shared" si="312"/>
        <v>89.99</v>
      </c>
      <c r="N1509" s="2"/>
      <c r="O1509" s="2" t="str">
        <f t="shared" si="313"/>
        <v/>
      </c>
      <c r="P1509" s="2">
        <v>0</v>
      </c>
      <c r="Q1509" s="19">
        <f t="shared" si="314"/>
        <v>0</v>
      </c>
      <c r="R1509" s="2" t="str">
        <f t="shared" si="315"/>
        <v>Number</v>
      </c>
      <c r="S1509" s="2">
        <v>0</v>
      </c>
      <c r="T1509" s="19">
        <f t="shared" si="316"/>
        <v>0</v>
      </c>
      <c r="U1509" s="2">
        <v>179.98</v>
      </c>
      <c r="V1509" s="19">
        <f t="shared" si="317"/>
        <v>179.98</v>
      </c>
      <c r="W1509" s="19">
        <f t="shared" si="318"/>
        <v>179.98</v>
      </c>
      <c r="X1509" s="19" t="str">
        <f t="shared" si="319"/>
        <v>True</v>
      </c>
      <c r="Y1509" s="19" t="str">
        <f>IF(OR(W1509&lt;'Cleaning Tasks'!$G$18,W1509&gt;'Cleaning Tasks'!$H$18),"Outlier","Normal")</f>
        <v>Outlier</v>
      </c>
      <c r="Z1509" s="2" t="s">
        <v>39</v>
      </c>
      <c r="AA1509" s="2" t="s">
        <v>88</v>
      </c>
      <c r="AB1509" s="2" t="s">
        <v>50</v>
      </c>
      <c r="AC1509" s="2" t="s">
        <v>29</v>
      </c>
      <c r="AD1509" s="22" t="s">
        <v>58</v>
      </c>
      <c r="AE1509" s="2" t="str">
        <f t="shared" si="320"/>
        <v>Valid</v>
      </c>
      <c r="AF1509" s="2" t="s">
        <v>4123</v>
      </c>
    </row>
    <row r="1510" spans="1:32" x14ac:dyDescent="0.3">
      <c r="A1510" s="2" t="s">
        <v>4124</v>
      </c>
      <c r="B1510" s="2">
        <f t="shared" si="310"/>
        <v>1</v>
      </c>
      <c r="C1510" s="12">
        <f t="shared" si="321"/>
        <v>46238.588294247682</v>
      </c>
      <c r="D1510" s="13">
        <v>46238.588294247682</v>
      </c>
      <c r="E1510" s="2" t="s">
        <v>485</v>
      </c>
      <c r="F1510" s="2" t="str">
        <f t="shared" si="311"/>
        <v>Email Available</v>
      </c>
      <c r="G1510" s="2" t="s">
        <v>486</v>
      </c>
      <c r="H1510" s="2" t="s">
        <v>146</v>
      </c>
      <c r="I1510" s="2" t="s">
        <v>47</v>
      </c>
      <c r="J1510" s="2" t="s">
        <v>147</v>
      </c>
      <c r="K1510" s="2">
        <v>1</v>
      </c>
      <c r="L1510" s="2">
        <v>34.99</v>
      </c>
      <c r="M1510" s="19">
        <f t="shared" si="312"/>
        <v>34.99</v>
      </c>
      <c r="N1510" s="2" t="s">
        <v>65</v>
      </c>
      <c r="O1510" s="2" t="str">
        <f t="shared" si="313"/>
        <v>WELCOME10</v>
      </c>
      <c r="P1510" s="2">
        <v>3.5</v>
      </c>
      <c r="Q1510" s="19">
        <f t="shared" si="314"/>
        <v>3.5</v>
      </c>
      <c r="R1510" s="2" t="str">
        <f t="shared" si="315"/>
        <v>Number</v>
      </c>
      <c r="S1510" s="2">
        <v>4.99</v>
      </c>
      <c r="T1510" s="19">
        <f t="shared" si="316"/>
        <v>4.99</v>
      </c>
      <c r="U1510" s="2">
        <v>36.479999999999997</v>
      </c>
      <c r="V1510" s="19">
        <f t="shared" si="317"/>
        <v>36.479999999999997</v>
      </c>
      <c r="W1510" s="19">
        <f t="shared" si="318"/>
        <v>36.480000000000004</v>
      </c>
      <c r="X1510" s="19" t="str">
        <f t="shared" si="319"/>
        <v>True</v>
      </c>
      <c r="Y1510" s="19" t="str">
        <f>IF(OR(W1510&lt;'Cleaning Tasks'!$G$18,W1510&gt;'Cleaning Tasks'!$H$18),"Outlier","Normal")</f>
        <v>Normal</v>
      </c>
      <c r="Z1510" s="2" t="s">
        <v>72</v>
      </c>
      <c r="AA1510" s="2" t="s">
        <v>40</v>
      </c>
      <c r="AB1510" s="2" t="s">
        <v>28</v>
      </c>
      <c r="AC1510" s="2" t="s">
        <v>73</v>
      </c>
      <c r="AD1510" s="2"/>
      <c r="AE1510" s="2" t="str">
        <f t="shared" si="320"/>
        <v>Not Required</v>
      </c>
      <c r="AF1510" s="2" t="s">
        <v>1834</v>
      </c>
    </row>
    <row r="1511" spans="1:32" x14ac:dyDescent="0.3">
      <c r="A1511" s="2" t="s">
        <v>4125</v>
      </c>
      <c r="B1511" s="2">
        <f t="shared" si="310"/>
        <v>1</v>
      </c>
      <c r="C1511" s="12">
        <f t="shared" si="321"/>
        <v>46238.583145405093</v>
      </c>
      <c r="D1511" s="13">
        <v>46238.583145405093</v>
      </c>
      <c r="E1511" s="2" t="s">
        <v>4126</v>
      </c>
      <c r="F1511" s="2" t="str">
        <f t="shared" si="311"/>
        <v>Email Available</v>
      </c>
      <c r="G1511" s="2" t="s">
        <v>4127</v>
      </c>
      <c r="H1511" s="2" t="s">
        <v>267</v>
      </c>
      <c r="I1511" s="2" t="s">
        <v>22</v>
      </c>
      <c r="J1511" s="2" t="s">
        <v>268</v>
      </c>
      <c r="K1511" s="2">
        <v>1</v>
      </c>
      <c r="L1511" s="2">
        <v>18.989999999999998</v>
      </c>
      <c r="M1511" s="19">
        <f t="shared" si="312"/>
        <v>18.989999999999998</v>
      </c>
      <c r="N1511" s="2" t="s">
        <v>65</v>
      </c>
      <c r="O1511" s="2" t="str">
        <f t="shared" si="313"/>
        <v>WELCOME10</v>
      </c>
      <c r="P1511" s="2">
        <v>1.9</v>
      </c>
      <c r="Q1511" s="19">
        <f t="shared" si="314"/>
        <v>1.9</v>
      </c>
      <c r="R1511" s="2" t="str">
        <f t="shared" si="315"/>
        <v>Number</v>
      </c>
      <c r="S1511" s="2">
        <v>7.99</v>
      </c>
      <c r="T1511" s="19">
        <f t="shared" si="316"/>
        <v>7.99</v>
      </c>
      <c r="U1511" s="2">
        <v>25.08</v>
      </c>
      <c r="V1511" s="19">
        <f t="shared" si="317"/>
        <v>25.08</v>
      </c>
      <c r="W1511" s="19">
        <f t="shared" si="318"/>
        <v>25.08</v>
      </c>
      <c r="X1511" s="19" t="str">
        <f t="shared" si="319"/>
        <v>True</v>
      </c>
      <c r="Y1511" s="19" t="str">
        <f>IF(OR(W1511&lt;'Cleaning Tasks'!$G$18,W1511&gt;'Cleaning Tasks'!$H$18),"Outlier","Normal")</f>
        <v>Normal</v>
      </c>
      <c r="Z1511" s="2" t="s">
        <v>66</v>
      </c>
      <c r="AA1511" s="2" t="s">
        <v>88</v>
      </c>
      <c r="AB1511" s="2" t="s">
        <v>28</v>
      </c>
      <c r="AC1511" s="2" t="s">
        <v>29</v>
      </c>
      <c r="AD1511" s="2" t="s">
        <v>140</v>
      </c>
      <c r="AE1511" s="2" t="str">
        <f t="shared" si="320"/>
        <v>Valid</v>
      </c>
      <c r="AF1511" s="2" t="s">
        <v>4128</v>
      </c>
    </row>
    <row r="1512" spans="1:32" x14ac:dyDescent="0.3">
      <c r="A1512" s="2" t="s">
        <v>4129</v>
      </c>
      <c r="B1512" s="2">
        <f t="shared" si="310"/>
        <v>1</v>
      </c>
      <c r="C1512" s="12">
        <f t="shared" si="321"/>
        <v>46238.580104386572</v>
      </c>
      <c r="D1512" s="13">
        <v>46238.580104386572</v>
      </c>
      <c r="E1512" s="2" t="s">
        <v>4130</v>
      </c>
      <c r="F1512" s="2" t="str">
        <f t="shared" si="311"/>
        <v>Email Available</v>
      </c>
      <c r="G1512" s="2" t="s">
        <v>4131</v>
      </c>
      <c r="H1512" s="2" t="s">
        <v>279</v>
      </c>
      <c r="I1512" s="2" t="s">
        <v>22</v>
      </c>
      <c r="J1512" s="2" t="s">
        <v>280</v>
      </c>
      <c r="K1512" s="2">
        <v>1</v>
      </c>
      <c r="L1512" s="2">
        <v>24.99</v>
      </c>
      <c r="M1512" s="19">
        <f t="shared" si="312"/>
        <v>24.99</v>
      </c>
      <c r="N1512" s="2" t="s">
        <v>65</v>
      </c>
      <c r="O1512" s="2" t="str">
        <f t="shared" si="313"/>
        <v>WELCOME10</v>
      </c>
      <c r="P1512" s="2">
        <v>2.5</v>
      </c>
      <c r="Q1512" s="19">
        <f t="shared" si="314"/>
        <v>2.5</v>
      </c>
      <c r="R1512" s="2" t="str">
        <f t="shared" si="315"/>
        <v>Number</v>
      </c>
      <c r="S1512" s="2">
        <v>4.99</v>
      </c>
      <c r="T1512" s="19">
        <f t="shared" si="316"/>
        <v>4.99</v>
      </c>
      <c r="U1512" s="2">
        <v>27.48</v>
      </c>
      <c r="V1512" s="19">
        <f t="shared" si="317"/>
        <v>27.48</v>
      </c>
      <c r="W1512" s="19">
        <f t="shared" si="318"/>
        <v>27.479999999999997</v>
      </c>
      <c r="X1512" s="19" t="str">
        <f t="shared" si="319"/>
        <v>True</v>
      </c>
      <c r="Y1512" s="19" t="str">
        <f>IF(OR(W1512&lt;'Cleaning Tasks'!$G$18,W1512&gt;'Cleaning Tasks'!$H$18),"Outlier","Normal")</f>
        <v>Normal</v>
      </c>
      <c r="Z1512" s="2" t="s">
        <v>49</v>
      </c>
      <c r="AA1512" s="2" t="s">
        <v>27</v>
      </c>
      <c r="AB1512" s="2" t="s">
        <v>50</v>
      </c>
      <c r="AC1512" s="2" t="s">
        <v>29</v>
      </c>
      <c r="AD1512" s="2" t="s">
        <v>112</v>
      </c>
      <c r="AE1512" s="2" t="str">
        <f t="shared" si="320"/>
        <v>Valid</v>
      </c>
      <c r="AF1512" s="2" t="s">
        <v>4132</v>
      </c>
    </row>
    <row r="1513" spans="1:32" x14ac:dyDescent="0.3">
      <c r="A1513" s="2" t="s">
        <v>4133</v>
      </c>
      <c r="B1513" s="2">
        <f t="shared" si="310"/>
        <v>1</v>
      </c>
      <c r="C1513" s="12">
        <f t="shared" si="321"/>
        <v>46238.587876770827</v>
      </c>
      <c r="D1513" s="13">
        <v>46238.587876770827</v>
      </c>
      <c r="E1513" s="2" t="s">
        <v>541</v>
      </c>
      <c r="F1513" s="2" t="str">
        <f t="shared" si="311"/>
        <v>Email Available</v>
      </c>
      <c r="G1513" s="2" t="s">
        <v>542</v>
      </c>
      <c r="H1513" s="2" t="s">
        <v>46</v>
      </c>
      <c r="I1513" s="2" t="s">
        <v>47</v>
      </c>
      <c r="J1513" s="2" t="s">
        <v>48</v>
      </c>
      <c r="K1513" s="2">
        <v>1</v>
      </c>
      <c r="L1513" s="2">
        <v>39.99</v>
      </c>
      <c r="M1513" s="19">
        <f t="shared" si="312"/>
        <v>39.99</v>
      </c>
      <c r="N1513" s="2" t="s">
        <v>65</v>
      </c>
      <c r="O1513" s="2" t="str">
        <f t="shared" si="313"/>
        <v>WELCOME10</v>
      </c>
      <c r="P1513" s="2">
        <v>4</v>
      </c>
      <c r="Q1513" s="19">
        <f t="shared" si="314"/>
        <v>4</v>
      </c>
      <c r="R1513" s="2" t="str">
        <f t="shared" si="315"/>
        <v>Number</v>
      </c>
      <c r="S1513" s="2">
        <v>4.99</v>
      </c>
      <c r="T1513" s="19">
        <f t="shared" si="316"/>
        <v>4.99</v>
      </c>
      <c r="U1513" s="2">
        <v>40.98</v>
      </c>
      <c r="V1513" s="19">
        <f t="shared" si="317"/>
        <v>40.98</v>
      </c>
      <c r="W1513" s="19">
        <f t="shared" si="318"/>
        <v>40.980000000000004</v>
      </c>
      <c r="X1513" s="19" t="str">
        <f t="shared" si="319"/>
        <v>True</v>
      </c>
      <c r="Y1513" s="19" t="str">
        <f>IF(OR(W1513&lt;'Cleaning Tasks'!$G$18,W1513&gt;'Cleaning Tasks'!$H$18),"Outlier","Normal")</f>
        <v>Normal</v>
      </c>
      <c r="Z1513" s="2" t="s">
        <v>39</v>
      </c>
      <c r="AA1513" s="2" t="s">
        <v>27</v>
      </c>
      <c r="AB1513" s="2" t="s">
        <v>50</v>
      </c>
      <c r="AC1513" s="2" t="s">
        <v>105</v>
      </c>
      <c r="AD1513" s="2"/>
      <c r="AE1513" s="2" t="str">
        <f t="shared" si="320"/>
        <v>Not Required</v>
      </c>
      <c r="AF1513" s="2" t="s">
        <v>4134</v>
      </c>
    </row>
    <row r="1514" spans="1:32" x14ac:dyDescent="0.3">
      <c r="A1514" s="2" t="s">
        <v>4135</v>
      </c>
      <c r="B1514" s="2">
        <f t="shared" si="310"/>
        <v>1</v>
      </c>
      <c r="C1514" s="12">
        <f t="shared" si="321"/>
        <v>46238.582144270833</v>
      </c>
      <c r="D1514" s="13">
        <v>46238.582144270833</v>
      </c>
      <c r="E1514" s="2" t="s">
        <v>4136</v>
      </c>
      <c r="F1514" s="2" t="str">
        <f t="shared" si="311"/>
        <v>Email Available</v>
      </c>
      <c r="G1514" s="2" t="s">
        <v>4137</v>
      </c>
      <c r="H1514" s="2" t="s">
        <v>117</v>
      </c>
      <c r="I1514" s="2" t="s">
        <v>22</v>
      </c>
      <c r="J1514" s="2" t="s">
        <v>23</v>
      </c>
      <c r="K1514" s="2">
        <v>1</v>
      </c>
      <c r="L1514" s="2">
        <v>12.99</v>
      </c>
      <c r="M1514" s="19">
        <f t="shared" si="312"/>
        <v>12.99</v>
      </c>
      <c r="N1514" s="2"/>
      <c r="O1514" s="2" t="str">
        <f t="shared" si="313"/>
        <v/>
      </c>
      <c r="P1514" s="2">
        <v>0</v>
      </c>
      <c r="Q1514" s="19">
        <f t="shared" si="314"/>
        <v>0</v>
      </c>
      <c r="R1514" s="2" t="str">
        <f t="shared" si="315"/>
        <v>Number</v>
      </c>
      <c r="S1514" s="2">
        <v>7.99</v>
      </c>
      <c r="T1514" s="19">
        <f t="shared" si="316"/>
        <v>7.99</v>
      </c>
      <c r="U1514" s="2">
        <v>20.98</v>
      </c>
      <c r="V1514" s="19">
        <f t="shared" si="317"/>
        <v>20.98</v>
      </c>
      <c r="W1514" s="19">
        <f t="shared" si="318"/>
        <v>20.98</v>
      </c>
      <c r="X1514" s="19" t="str">
        <f t="shared" si="319"/>
        <v>True</v>
      </c>
      <c r="Y1514" s="19" t="str">
        <f>IF(OR(W1514&lt;'Cleaning Tasks'!$G$18,W1514&gt;'Cleaning Tasks'!$H$18),"Outlier","Normal")</f>
        <v>Normal</v>
      </c>
      <c r="Z1514" s="2" t="s">
        <v>66</v>
      </c>
      <c r="AA1514" s="2" t="s">
        <v>27</v>
      </c>
      <c r="AB1514" s="2" t="s">
        <v>50</v>
      </c>
      <c r="AC1514" s="2" t="s">
        <v>29</v>
      </c>
      <c r="AD1514" s="2" t="s">
        <v>51</v>
      </c>
      <c r="AE1514" s="2" t="str">
        <f t="shared" si="320"/>
        <v>Valid</v>
      </c>
      <c r="AF1514" s="2" t="s">
        <v>4138</v>
      </c>
    </row>
    <row r="1515" spans="1:32" x14ac:dyDescent="0.3">
      <c r="A1515" s="2" t="s">
        <v>4139</v>
      </c>
      <c r="B1515" s="2">
        <f t="shared" si="310"/>
        <v>1</v>
      </c>
      <c r="C1515" s="12">
        <f t="shared" si="321"/>
        <v>46238</v>
      </c>
      <c r="D1515" s="13">
        <v>46238</v>
      </c>
      <c r="E1515" s="2" t="s">
        <v>3969</v>
      </c>
      <c r="F1515" s="2" t="str">
        <f t="shared" si="311"/>
        <v>Email Available</v>
      </c>
      <c r="G1515" s="2" t="s">
        <v>4140</v>
      </c>
      <c r="H1515" s="2" t="s">
        <v>361</v>
      </c>
      <c r="I1515" s="2" t="s">
        <v>86</v>
      </c>
      <c r="J1515" s="2" t="s">
        <v>362</v>
      </c>
      <c r="K1515" s="2">
        <v>1</v>
      </c>
      <c r="L1515" s="2">
        <v>54.99</v>
      </c>
      <c r="M1515" s="19">
        <f t="shared" si="312"/>
        <v>54.99</v>
      </c>
      <c r="N1515" s="2"/>
      <c r="O1515" s="2" t="str">
        <f t="shared" si="313"/>
        <v/>
      </c>
      <c r="P1515" s="2">
        <v>0</v>
      </c>
      <c r="Q1515" s="19">
        <f t="shared" si="314"/>
        <v>0</v>
      </c>
      <c r="R1515" s="2" t="str">
        <f t="shared" si="315"/>
        <v>Number</v>
      </c>
      <c r="S1515" s="2">
        <v>5.99</v>
      </c>
      <c r="T1515" s="19">
        <f t="shared" si="316"/>
        <v>5.99</v>
      </c>
      <c r="U1515" s="2">
        <v>60.98</v>
      </c>
      <c r="V1515" s="19">
        <f t="shared" si="317"/>
        <v>60.98</v>
      </c>
      <c r="W1515" s="19">
        <f t="shared" si="318"/>
        <v>60.980000000000004</v>
      </c>
      <c r="X1515" s="19" t="str">
        <f t="shared" si="319"/>
        <v>True</v>
      </c>
      <c r="Y1515" s="19" t="str">
        <f>IF(OR(W1515&lt;'Cleaning Tasks'!$G$18,W1515&gt;'Cleaning Tasks'!$H$18),"Outlier","Normal")</f>
        <v>Normal</v>
      </c>
      <c r="Z1515" s="2" t="s">
        <v>72</v>
      </c>
      <c r="AA1515" s="2" t="s">
        <v>40</v>
      </c>
      <c r="AB1515" s="2" t="s">
        <v>50</v>
      </c>
      <c r="AC1515" s="2" t="s">
        <v>29</v>
      </c>
      <c r="AD1515" s="2" t="s">
        <v>140</v>
      </c>
      <c r="AE1515" s="2" t="str">
        <f t="shared" si="320"/>
        <v>Valid</v>
      </c>
      <c r="AF1515" s="2" t="s">
        <v>4141</v>
      </c>
    </row>
    <row r="1516" spans="1:32" x14ac:dyDescent="0.3">
      <c r="A1516" s="2" t="s">
        <v>4142</v>
      </c>
      <c r="B1516" s="2">
        <f t="shared" si="310"/>
        <v>1</v>
      </c>
      <c r="C1516" s="12">
        <f t="shared" si="321"/>
        <v>46238</v>
      </c>
      <c r="D1516" s="13" t="s">
        <v>1193</v>
      </c>
      <c r="E1516" s="2" t="s">
        <v>1019</v>
      </c>
      <c r="F1516" s="2" t="str">
        <f t="shared" si="311"/>
        <v>Email Available</v>
      </c>
      <c r="G1516" s="2" t="s">
        <v>1020</v>
      </c>
      <c r="H1516" s="2" t="s">
        <v>46</v>
      </c>
      <c r="I1516" s="2" t="s">
        <v>47</v>
      </c>
      <c r="J1516" s="2" t="s">
        <v>48</v>
      </c>
      <c r="K1516" s="2">
        <v>1</v>
      </c>
      <c r="L1516" s="2" t="s">
        <v>1493</v>
      </c>
      <c r="M1516" s="19">
        <f t="shared" si="312"/>
        <v>39.99</v>
      </c>
      <c r="N1516" s="2"/>
      <c r="O1516" s="2" t="str">
        <f t="shared" si="313"/>
        <v/>
      </c>
      <c r="P1516" s="2">
        <v>0</v>
      </c>
      <c r="Q1516" s="19">
        <f t="shared" si="314"/>
        <v>0</v>
      </c>
      <c r="R1516" s="2" t="str">
        <f t="shared" si="315"/>
        <v>Number</v>
      </c>
      <c r="S1516" s="2">
        <v>7.99</v>
      </c>
      <c r="T1516" s="19">
        <f t="shared" si="316"/>
        <v>7.99</v>
      </c>
      <c r="U1516" s="2">
        <v>47.98</v>
      </c>
      <c r="V1516" s="19">
        <f t="shared" si="317"/>
        <v>47.98</v>
      </c>
      <c r="W1516" s="19">
        <f t="shared" si="318"/>
        <v>47.980000000000004</v>
      </c>
      <c r="X1516" s="19" t="str">
        <f t="shared" si="319"/>
        <v>True</v>
      </c>
      <c r="Y1516" s="19" t="str">
        <f>IF(OR(W1516&lt;'Cleaning Tasks'!$G$18,W1516&gt;'Cleaning Tasks'!$H$18),"Outlier","Normal")</f>
        <v>Normal</v>
      </c>
      <c r="Z1516" s="2" t="s">
        <v>49</v>
      </c>
      <c r="AA1516" s="2" t="s">
        <v>88</v>
      </c>
      <c r="AB1516" s="2" t="s">
        <v>41</v>
      </c>
      <c r="AC1516" s="2" t="s">
        <v>29</v>
      </c>
      <c r="AD1516" s="2" t="s">
        <v>30</v>
      </c>
      <c r="AE1516" s="2" t="str">
        <f t="shared" si="320"/>
        <v>Valid</v>
      </c>
      <c r="AF1516" s="2" t="s">
        <v>4143</v>
      </c>
    </row>
    <row r="1517" spans="1:32" x14ac:dyDescent="0.3">
      <c r="A1517" s="2" t="s">
        <v>4144</v>
      </c>
      <c r="B1517" s="2">
        <f t="shared" si="310"/>
        <v>1</v>
      </c>
      <c r="C1517" s="12">
        <f t="shared" si="321"/>
        <v>46238.58357239583</v>
      </c>
      <c r="D1517" s="13">
        <v>46238.58357239583</v>
      </c>
      <c r="E1517" s="2" t="s">
        <v>2093</v>
      </c>
      <c r="F1517" s="2" t="str">
        <f t="shared" si="311"/>
        <v>Email Available</v>
      </c>
      <c r="G1517" s="2" t="s">
        <v>2094</v>
      </c>
      <c r="H1517" s="2" t="s">
        <v>261</v>
      </c>
      <c r="I1517" s="2" t="s">
        <v>36</v>
      </c>
      <c r="J1517" s="2" t="s">
        <v>262</v>
      </c>
      <c r="K1517" s="2">
        <v>1</v>
      </c>
      <c r="L1517" s="2">
        <v>15.49</v>
      </c>
      <c r="M1517" s="19">
        <f t="shared" si="312"/>
        <v>15.49</v>
      </c>
      <c r="N1517" s="2" t="s">
        <v>2171</v>
      </c>
      <c r="O1517" s="2" t="str">
        <f t="shared" si="313"/>
        <v>SAVE20</v>
      </c>
      <c r="P1517" s="2">
        <v>3.1</v>
      </c>
      <c r="Q1517" s="19">
        <f t="shared" si="314"/>
        <v>3.1</v>
      </c>
      <c r="R1517" s="2" t="str">
        <f t="shared" si="315"/>
        <v>Number</v>
      </c>
      <c r="S1517" s="2">
        <v>5.99</v>
      </c>
      <c r="T1517" s="19">
        <f t="shared" si="316"/>
        <v>5.99</v>
      </c>
      <c r="U1517" s="2">
        <v>18.38</v>
      </c>
      <c r="V1517" s="19">
        <f t="shared" si="317"/>
        <v>18.38</v>
      </c>
      <c r="W1517" s="19">
        <f t="shared" si="318"/>
        <v>18.380000000000003</v>
      </c>
      <c r="X1517" s="19" t="str">
        <f t="shared" si="319"/>
        <v>True</v>
      </c>
      <c r="Y1517" s="19" t="str">
        <f>IF(OR(W1517&lt;'Cleaning Tasks'!$G$18,W1517&gt;'Cleaning Tasks'!$H$18),"Outlier","Normal")</f>
        <v>Normal</v>
      </c>
      <c r="Z1517" s="2" t="s">
        <v>49</v>
      </c>
      <c r="AA1517" s="2" t="s">
        <v>40</v>
      </c>
      <c r="AB1517" s="2" t="s">
        <v>96</v>
      </c>
      <c r="AC1517" s="2" t="s">
        <v>29</v>
      </c>
      <c r="AD1517" s="2" t="s">
        <v>341</v>
      </c>
      <c r="AE1517" s="2" t="str">
        <f t="shared" si="320"/>
        <v>Valid</v>
      </c>
      <c r="AF1517" s="2" t="s">
        <v>4145</v>
      </c>
    </row>
    <row r="1518" spans="1:32" x14ac:dyDescent="0.3">
      <c r="A1518" s="2" t="s">
        <v>4146</v>
      </c>
      <c r="B1518" s="2">
        <f t="shared" si="310"/>
        <v>1</v>
      </c>
      <c r="C1518" s="12">
        <f t="shared" si="321"/>
        <v>46238.579107824073</v>
      </c>
      <c r="D1518" s="13">
        <v>46238.579107824073</v>
      </c>
      <c r="E1518" s="2" t="s">
        <v>1203</v>
      </c>
      <c r="F1518" s="2" t="str">
        <f t="shared" si="311"/>
        <v>Missing Email</v>
      </c>
      <c r="G1518" s="2"/>
      <c r="H1518" s="2" t="s">
        <v>166</v>
      </c>
      <c r="I1518" s="2" t="s">
        <v>103</v>
      </c>
      <c r="J1518" s="2" t="s">
        <v>167</v>
      </c>
      <c r="K1518" s="2">
        <v>2</v>
      </c>
      <c r="L1518" s="2" t="s">
        <v>168</v>
      </c>
      <c r="M1518" s="19">
        <f t="shared" si="312"/>
        <v>32.99</v>
      </c>
      <c r="N1518" s="2"/>
      <c r="O1518" s="2" t="str">
        <f t="shared" si="313"/>
        <v/>
      </c>
      <c r="P1518" s="2">
        <v>0</v>
      </c>
      <c r="Q1518" s="19">
        <f t="shared" si="314"/>
        <v>0</v>
      </c>
      <c r="R1518" s="2" t="str">
        <f t="shared" si="315"/>
        <v>Number</v>
      </c>
      <c r="S1518" s="2">
        <v>4.99</v>
      </c>
      <c r="T1518" s="19">
        <f t="shared" si="316"/>
        <v>4.99</v>
      </c>
      <c r="U1518" s="2">
        <v>70.97</v>
      </c>
      <c r="V1518" s="19">
        <f t="shared" si="317"/>
        <v>70.97</v>
      </c>
      <c r="W1518" s="19">
        <f t="shared" si="318"/>
        <v>70.97</v>
      </c>
      <c r="X1518" s="19" t="str">
        <f t="shared" si="319"/>
        <v>True</v>
      </c>
      <c r="Y1518" s="19" t="str">
        <f>IF(OR(W1518&lt;'Cleaning Tasks'!$G$18,W1518&gt;'Cleaning Tasks'!$H$18),"Outlier","Normal")</f>
        <v>Normal</v>
      </c>
      <c r="Z1518" s="2" t="s">
        <v>66</v>
      </c>
      <c r="AA1518" s="2" t="s">
        <v>40</v>
      </c>
      <c r="AB1518" s="2" t="s">
        <v>50</v>
      </c>
      <c r="AC1518" s="2" t="s">
        <v>73</v>
      </c>
      <c r="AD1518" s="2"/>
      <c r="AE1518" s="2" t="str">
        <f t="shared" si="320"/>
        <v>Not Required</v>
      </c>
      <c r="AF1518" s="2" t="s">
        <v>4147</v>
      </c>
    </row>
    <row r="1519" spans="1:32" x14ac:dyDescent="0.3">
      <c r="A1519" s="2" t="s">
        <v>4148</v>
      </c>
      <c r="B1519" s="2">
        <f t="shared" si="310"/>
        <v>1</v>
      </c>
      <c r="C1519" s="12">
        <f t="shared" si="321"/>
        <v>46238</v>
      </c>
      <c r="D1519" s="13">
        <v>46238</v>
      </c>
      <c r="E1519" s="2" t="s">
        <v>4149</v>
      </c>
      <c r="F1519" s="2" t="str">
        <f t="shared" si="311"/>
        <v>Email Available</v>
      </c>
      <c r="G1519" s="2" t="s">
        <v>820</v>
      </c>
      <c r="H1519" s="2" t="s">
        <v>85</v>
      </c>
      <c r="I1519" s="2" t="s">
        <v>86</v>
      </c>
      <c r="J1519" s="2" t="s">
        <v>87</v>
      </c>
      <c r="K1519" s="2">
        <v>1</v>
      </c>
      <c r="L1519" s="2">
        <v>54.99</v>
      </c>
      <c r="M1519" s="19">
        <f t="shared" si="312"/>
        <v>54.99</v>
      </c>
      <c r="N1519" s="2" t="s">
        <v>24</v>
      </c>
      <c r="O1519" s="2" t="str">
        <f t="shared" si="313"/>
        <v>SAVE20</v>
      </c>
      <c r="P1519" s="2">
        <v>11</v>
      </c>
      <c r="Q1519" s="19">
        <f t="shared" si="314"/>
        <v>11</v>
      </c>
      <c r="R1519" s="2" t="str">
        <f t="shared" si="315"/>
        <v>Number</v>
      </c>
      <c r="S1519" s="2">
        <v>7.99</v>
      </c>
      <c r="T1519" s="19">
        <f t="shared" si="316"/>
        <v>7.99</v>
      </c>
      <c r="U1519" s="2">
        <v>51.98</v>
      </c>
      <c r="V1519" s="19">
        <f t="shared" si="317"/>
        <v>51.98</v>
      </c>
      <c r="W1519" s="19">
        <f t="shared" si="318"/>
        <v>51.980000000000004</v>
      </c>
      <c r="X1519" s="19" t="str">
        <f t="shared" si="319"/>
        <v>True</v>
      </c>
      <c r="Y1519" s="19" t="str">
        <f>IF(OR(W1519&lt;'Cleaning Tasks'!$G$18,W1519&gt;'Cleaning Tasks'!$H$18),"Outlier","Normal")</f>
        <v>Normal</v>
      </c>
      <c r="Z1519" s="2" t="s">
        <v>72</v>
      </c>
      <c r="AA1519" s="2" t="s">
        <v>27</v>
      </c>
      <c r="AB1519" s="2" t="s">
        <v>50</v>
      </c>
      <c r="AC1519" s="2" t="s">
        <v>29</v>
      </c>
      <c r="AD1519" s="2" t="s">
        <v>140</v>
      </c>
      <c r="AE1519" s="2" t="str">
        <f t="shared" si="320"/>
        <v>Valid</v>
      </c>
      <c r="AF1519" s="2" t="s">
        <v>3058</v>
      </c>
    </row>
    <row r="1520" spans="1:32" x14ac:dyDescent="0.3">
      <c r="A1520" s="2" t="s">
        <v>4150</v>
      </c>
      <c r="B1520" s="2">
        <f t="shared" si="310"/>
        <v>1</v>
      </c>
      <c r="C1520" s="12">
        <f t="shared" si="321"/>
        <v>46238.587122569443</v>
      </c>
      <c r="D1520" s="13">
        <v>46238.587122569443</v>
      </c>
      <c r="E1520" s="2" t="s">
        <v>4151</v>
      </c>
      <c r="F1520" s="2" t="str">
        <f t="shared" si="311"/>
        <v>Email Available</v>
      </c>
      <c r="G1520" s="2" t="s">
        <v>490</v>
      </c>
      <c r="H1520" s="2" t="s">
        <v>309</v>
      </c>
      <c r="I1520" s="2" t="s">
        <v>36</v>
      </c>
      <c r="J1520" s="2" t="s">
        <v>310</v>
      </c>
      <c r="K1520" s="2">
        <v>1</v>
      </c>
      <c r="L1520" s="2">
        <v>8.99</v>
      </c>
      <c r="M1520" s="19">
        <f t="shared" si="312"/>
        <v>8.99</v>
      </c>
      <c r="N1520" s="2" t="s">
        <v>24</v>
      </c>
      <c r="O1520" s="2" t="str">
        <f t="shared" si="313"/>
        <v>SAVE20</v>
      </c>
      <c r="P1520" s="2" t="s">
        <v>3619</v>
      </c>
      <c r="Q1520" s="19">
        <f t="shared" si="314"/>
        <v>1.8</v>
      </c>
      <c r="R1520" s="2" t="str">
        <f t="shared" si="315"/>
        <v>Number</v>
      </c>
      <c r="S1520" s="2">
        <v>4.99</v>
      </c>
      <c r="T1520" s="19">
        <f t="shared" si="316"/>
        <v>4.99</v>
      </c>
      <c r="U1520" s="2">
        <v>12.18</v>
      </c>
      <c r="V1520" s="19">
        <f t="shared" si="317"/>
        <v>12.18</v>
      </c>
      <c r="W1520" s="19">
        <f t="shared" si="318"/>
        <v>12.18</v>
      </c>
      <c r="X1520" s="19" t="str">
        <f t="shared" si="319"/>
        <v>True</v>
      </c>
      <c r="Y1520" s="19" t="str">
        <f>IF(OR(W1520&lt;'Cleaning Tasks'!$G$18,W1520&gt;'Cleaning Tasks'!$H$18),"Outlier","Normal")</f>
        <v>Normal</v>
      </c>
      <c r="Z1520" s="2" t="s">
        <v>39</v>
      </c>
      <c r="AA1520" s="2" t="s">
        <v>40</v>
      </c>
      <c r="AB1520" s="2" t="s">
        <v>50</v>
      </c>
      <c r="AC1520" s="2" t="s">
        <v>29</v>
      </c>
      <c r="AD1520" s="2" t="s">
        <v>341</v>
      </c>
      <c r="AE1520" s="2" t="str">
        <f t="shared" si="320"/>
        <v>Valid</v>
      </c>
      <c r="AF1520" s="2" t="s">
        <v>4152</v>
      </c>
    </row>
    <row r="1521" spans="1:32" x14ac:dyDescent="0.3">
      <c r="A1521" s="2" t="s">
        <v>4153</v>
      </c>
      <c r="B1521" s="2">
        <f t="shared" si="310"/>
        <v>1</v>
      </c>
      <c r="C1521" s="12">
        <f t="shared" si="321"/>
        <v>46238.58711828704</v>
      </c>
      <c r="D1521" s="13">
        <v>46238.58711828704</v>
      </c>
      <c r="E1521" s="2" t="s">
        <v>725</v>
      </c>
      <c r="F1521" s="2" t="str">
        <f t="shared" si="311"/>
        <v>Email Available</v>
      </c>
      <c r="G1521" s="2" t="s">
        <v>726</v>
      </c>
      <c r="H1521" s="2" t="s">
        <v>152</v>
      </c>
      <c r="I1521" s="2" t="s">
        <v>36</v>
      </c>
      <c r="J1521" s="2" t="s">
        <v>153</v>
      </c>
      <c r="K1521" s="2">
        <v>1</v>
      </c>
      <c r="L1521" s="2">
        <v>29.99</v>
      </c>
      <c r="M1521" s="19">
        <f t="shared" si="312"/>
        <v>29.99</v>
      </c>
      <c r="N1521" s="2" t="s">
        <v>118</v>
      </c>
      <c r="O1521" s="2" t="str">
        <f t="shared" si="313"/>
        <v>BFCM25</v>
      </c>
      <c r="P1521" s="2">
        <v>7.5</v>
      </c>
      <c r="Q1521" s="19">
        <f t="shared" si="314"/>
        <v>7.5</v>
      </c>
      <c r="R1521" s="2" t="str">
        <f t="shared" si="315"/>
        <v>Number</v>
      </c>
      <c r="S1521" s="2">
        <v>5.99</v>
      </c>
      <c r="T1521" s="19">
        <f t="shared" si="316"/>
        <v>5.99</v>
      </c>
      <c r="U1521" s="2">
        <v>28.48</v>
      </c>
      <c r="V1521" s="19">
        <f t="shared" si="317"/>
        <v>28.48</v>
      </c>
      <c r="W1521" s="19">
        <f t="shared" si="318"/>
        <v>28.479999999999997</v>
      </c>
      <c r="X1521" s="19" t="str">
        <f t="shared" si="319"/>
        <v>True</v>
      </c>
      <c r="Y1521" s="19" t="str">
        <f>IF(OR(W1521&lt;'Cleaning Tasks'!$G$18,W1521&gt;'Cleaning Tasks'!$H$18),"Outlier","Normal")</f>
        <v>Normal</v>
      </c>
      <c r="Z1521" s="2" t="s">
        <v>49</v>
      </c>
      <c r="AA1521" s="2" t="s">
        <v>111</v>
      </c>
      <c r="AB1521" s="2" t="s">
        <v>50</v>
      </c>
      <c r="AC1521" s="2" t="s">
        <v>105</v>
      </c>
      <c r="AD1521" s="2"/>
      <c r="AE1521" s="2" t="str">
        <f t="shared" si="320"/>
        <v>Not Required</v>
      </c>
      <c r="AF1521" s="2" t="s">
        <v>4154</v>
      </c>
    </row>
    <row r="1522" spans="1:32" x14ac:dyDescent="0.3">
      <c r="A1522" s="2" t="s">
        <v>4155</v>
      </c>
      <c r="B1522" s="2">
        <f t="shared" si="310"/>
        <v>1</v>
      </c>
      <c r="C1522" s="12">
        <f t="shared" si="321"/>
        <v>46238.581755486113</v>
      </c>
      <c r="D1522" s="13">
        <v>46238.581755486113</v>
      </c>
      <c r="E1522" s="2" t="s">
        <v>885</v>
      </c>
      <c r="F1522" s="2" t="str">
        <f t="shared" si="311"/>
        <v>Email Available</v>
      </c>
      <c r="G1522" s="2" t="s">
        <v>886</v>
      </c>
      <c r="H1522" s="2" t="s">
        <v>279</v>
      </c>
      <c r="I1522" s="2" t="s">
        <v>22</v>
      </c>
      <c r="J1522" s="2" t="s">
        <v>280</v>
      </c>
      <c r="K1522" s="2">
        <v>1</v>
      </c>
      <c r="L1522" s="2">
        <v>24.99</v>
      </c>
      <c r="M1522" s="19">
        <f t="shared" si="312"/>
        <v>24.99</v>
      </c>
      <c r="N1522" s="2"/>
      <c r="O1522" s="2" t="str">
        <f t="shared" si="313"/>
        <v/>
      </c>
      <c r="P1522" s="2">
        <v>0</v>
      </c>
      <c r="Q1522" s="19">
        <f t="shared" si="314"/>
        <v>0</v>
      </c>
      <c r="R1522" s="2" t="str">
        <f t="shared" si="315"/>
        <v>Number</v>
      </c>
      <c r="S1522" s="2">
        <v>4.99</v>
      </c>
      <c r="T1522" s="19">
        <f t="shared" si="316"/>
        <v>4.99</v>
      </c>
      <c r="U1522" s="2">
        <v>29.98</v>
      </c>
      <c r="V1522" s="19">
        <f t="shared" si="317"/>
        <v>29.98</v>
      </c>
      <c r="W1522" s="19">
        <f t="shared" si="318"/>
        <v>29.979999999999997</v>
      </c>
      <c r="X1522" s="19" t="str">
        <f t="shared" si="319"/>
        <v>True</v>
      </c>
      <c r="Y1522" s="19" t="str">
        <f>IF(OR(W1522&lt;'Cleaning Tasks'!$G$18,W1522&gt;'Cleaning Tasks'!$H$18),"Outlier","Normal")</f>
        <v>Normal</v>
      </c>
      <c r="Z1522" s="2" t="s">
        <v>49</v>
      </c>
      <c r="AA1522" s="2" t="s">
        <v>111</v>
      </c>
      <c r="AB1522" s="2" t="s">
        <v>28</v>
      </c>
      <c r="AC1522" s="2" t="s">
        <v>331</v>
      </c>
      <c r="AD1522" s="2"/>
      <c r="AE1522" s="2" t="str">
        <f t="shared" si="320"/>
        <v>Not Required</v>
      </c>
      <c r="AF1522" s="2" t="s">
        <v>4156</v>
      </c>
    </row>
    <row r="1523" spans="1:32" x14ac:dyDescent="0.3">
      <c r="A1523" s="2" t="s">
        <v>4157</v>
      </c>
      <c r="B1523" s="2">
        <f t="shared" si="310"/>
        <v>1</v>
      </c>
      <c r="C1523" s="12">
        <f t="shared" si="321"/>
        <v>46238.586668877317</v>
      </c>
      <c r="D1523" s="13">
        <v>46238.586668877317</v>
      </c>
      <c r="E1523" s="2" t="s">
        <v>307</v>
      </c>
      <c r="F1523" s="2" t="str">
        <f t="shared" si="311"/>
        <v>Email Available</v>
      </c>
      <c r="G1523" s="2" t="s">
        <v>308</v>
      </c>
      <c r="H1523" s="2" t="s">
        <v>201</v>
      </c>
      <c r="I1523" s="2" t="s">
        <v>191</v>
      </c>
      <c r="J1523" s="2" t="s">
        <v>202</v>
      </c>
      <c r="K1523" s="2">
        <v>2</v>
      </c>
      <c r="L1523" s="2">
        <v>24.99</v>
      </c>
      <c r="M1523" s="19">
        <f t="shared" si="312"/>
        <v>24.99</v>
      </c>
      <c r="N1523" s="2"/>
      <c r="O1523" s="2" t="str">
        <f t="shared" si="313"/>
        <v/>
      </c>
      <c r="P1523" s="2">
        <v>0</v>
      </c>
      <c r="Q1523" s="19">
        <f t="shared" si="314"/>
        <v>0</v>
      </c>
      <c r="R1523" s="2" t="str">
        <f t="shared" si="315"/>
        <v>Number</v>
      </c>
      <c r="S1523" s="2">
        <v>5.99</v>
      </c>
      <c r="T1523" s="19">
        <f t="shared" si="316"/>
        <v>5.99</v>
      </c>
      <c r="U1523" s="2">
        <v>55.97</v>
      </c>
      <c r="V1523" s="19">
        <f t="shared" si="317"/>
        <v>55.97</v>
      </c>
      <c r="W1523" s="19">
        <f t="shared" si="318"/>
        <v>55.97</v>
      </c>
      <c r="X1523" s="19" t="str">
        <f t="shared" si="319"/>
        <v>True</v>
      </c>
      <c r="Y1523" s="19" t="str">
        <f>IF(OR(W1523&lt;'Cleaning Tasks'!$G$18,W1523&gt;'Cleaning Tasks'!$H$18),"Outlier","Normal")</f>
        <v>Normal</v>
      </c>
      <c r="Z1523" s="2" t="s">
        <v>72</v>
      </c>
      <c r="AA1523" s="2" t="s">
        <v>40</v>
      </c>
      <c r="AB1523" s="2" t="s">
        <v>50</v>
      </c>
      <c r="AC1523" s="2" t="s">
        <v>105</v>
      </c>
      <c r="AD1523" s="2"/>
      <c r="AE1523" s="2" t="str">
        <f t="shared" si="320"/>
        <v>Not Required</v>
      </c>
      <c r="AF1523" s="2" t="s">
        <v>4158</v>
      </c>
    </row>
    <row r="1524" spans="1:32" x14ac:dyDescent="0.3">
      <c r="A1524" s="2" t="s">
        <v>4159</v>
      </c>
      <c r="B1524" s="2">
        <f t="shared" si="310"/>
        <v>1</v>
      </c>
      <c r="C1524" s="12">
        <f t="shared" si="321"/>
        <v>46238.586111469907</v>
      </c>
      <c r="D1524" s="13">
        <v>46238.586111469907</v>
      </c>
      <c r="E1524" s="2" t="s">
        <v>1306</v>
      </c>
      <c r="F1524" s="2" t="str">
        <f t="shared" si="311"/>
        <v>Email Available</v>
      </c>
      <c r="G1524" s="2" t="s">
        <v>1307</v>
      </c>
      <c r="H1524" s="2" t="s">
        <v>279</v>
      </c>
      <c r="I1524" s="2" t="s">
        <v>22</v>
      </c>
      <c r="J1524" s="2" t="s">
        <v>280</v>
      </c>
      <c r="K1524" s="2">
        <v>1</v>
      </c>
      <c r="L1524" s="2">
        <v>24.99</v>
      </c>
      <c r="M1524" s="19">
        <f t="shared" si="312"/>
        <v>24.99</v>
      </c>
      <c r="N1524" s="2"/>
      <c r="O1524" s="2" t="str">
        <f t="shared" si="313"/>
        <v/>
      </c>
      <c r="P1524" s="2">
        <v>0</v>
      </c>
      <c r="Q1524" s="19">
        <f t="shared" si="314"/>
        <v>0</v>
      </c>
      <c r="R1524" s="2" t="str">
        <f t="shared" si="315"/>
        <v>Number</v>
      </c>
      <c r="S1524" s="2">
        <v>7.99</v>
      </c>
      <c r="T1524" s="19">
        <f t="shared" si="316"/>
        <v>7.99</v>
      </c>
      <c r="U1524" s="2">
        <v>32.979999999999997</v>
      </c>
      <c r="V1524" s="19">
        <f t="shared" si="317"/>
        <v>32.979999999999997</v>
      </c>
      <c r="W1524" s="19">
        <f t="shared" si="318"/>
        <v>32.979999999999997</v>
      </c>
      <c r="X1524" s="19" t="str">
        <f t="shared" si="319"/>
        <v>True</v>
      </c>
      <c r="Y1524" s="19" t="str">
        <f>IF(OR(W1524&lt;'Cleaning Tasks'!$G$18,W1524&gt;'Cleaning Tasks'!$H$18),"Outlier","Normal")</f>
        <v>Normal</v>
      </c>
      <c r="Z1524" s="2" t="s">
        <v>39</v>
      </c>
      <c r="AA1524" s="2" t="s">
        <v>40</v>
      </c>
      <c r="AB1524" s="2" t="s">
        <v>50</v>
      </c>
      <c r="AC1524" s="2" t="s">
        <v>29</v>
      </c>
      <c r="AD1524" s="22" t="s">
        <v>112</v>
      </c>
      <c r="AE1524" s="2" t="str">
        <f t="shared" si="320"/>
        <v>Valid</v>
      </c>
      <c r="AF1524" s="2" t="s">
        <v>4160</v>
      </c>
    </row>
    <row r="1525" spans="1:32" x14ac:dyDescent="0.3">
      <c r="A1525" s="2" t="s">
        <v>4161</v>
      </c>
      <c r="B1525" s="2">
        <f t="shared" si="310"/>
        <v>1</v>
      </c>
      <c r="C1525" s="12">
        <f t="shared" si="321"/>
        <v>46238</v>
      </c>
      <c r="D1525" s="13" t="s">
        <v>143</v>
      </c>
      <c r="E1525" s="2" t="s">
        <v>2876</v>
      </c>
      <c r="F1525" s="2" t="str">
        <f t="shared" si="311"/>
        <v>Email Available</v>
      </c>
      <c r="G1525" s="2" t="s">
        <v>2877</v>
      </c>
      <c r="H1525" s="2" t="s">
        <v>267</v>
      </c>
      <c r="I1525" s="2" t="s">
        <v>22</v>
      </c>
      <c r="J1525" s="2" t="s">
        <v>268</v>
      </c>
      <c r="K1525" s="2">
        <v>2</v>
      </c>
      <c r="L1525" s="2">
        <v>18.989999999999998</v>
      </c>
      <c r="M1525" s="19">
        <f t="shared" si="312"/>
        <v>18.989999999999998</v>
      </c>
      <c r="N1525" s="2"/>
      <c r="O1525" s="2" t="str">
        <f t="shared" si="313"/>
        <v/>
      </c>
      <c r="P1525" s="2">
        <v>0</v>
      </c>
      <c r="Q1525" s="19">
        <f t="shared" si="314"/>
        <v>0</v>
      </c>
      <c r="R1525" s="2" t="str">
        <f t="shared" si="315"/>
        <v>Number</v>
      </c>
      <c r="S1525" s="2">
        <v>7.99</v>
      </c>
      <c r="T1525" s="19">
        <f t="shared" si="316"/>
        <v>7.99</v>
      </c>
      <c r="U1525" s="2">
        <v>45.97</v>
      </c>
      <c r="V1525" s="19">
        <f t="shared" si="317"/>
        <v>45.97</v>
      </c>
      <c r="W1525" s="19">
        <f t="shared" si="318"/>
        <v>45.97</v>
      </c>
      <c r="X1525" s="19" t="str">
        <f t="shared" si="319"/>
        <v>True</v>
      </c>
      <c r="Y1525" s="19" t="str">
        <f>IF(OR(W1525&lt;'Cleaning Tasks'!$G$18,W1525&gt;'Cleaning Tasks'!$H$18),"Outlier","Normal")</f>
        <v>Normal</v>
      </c>
      <c r="Z1525" s="2" t="s">
        <v>66</v>
      </c>
      <c r="AA1525" s="2" t="s">
        <v>40</v>
      </c>
      <c r="AB1525" s="2" t="s">
        <v>41</v>
      </c>
      <c r="AC1525" s="2" t="s">
        <v>29</v>
      </c>
      <c r="AD1525" s="2" t="s">
        <v>51</v>
      </c>
      <c r="AE1525" s="2" t="str">
        <f t="shared" si="320"/>
        <v>Valid</v>
      </c>
      <c r="AF1525" s="2" t="s">
        <v>4162</v>
      </c>
    </row>
    <row r="1526" spans="1:32" x14ac:dyDescent="0.3">
      <c r="A1526" s="2" t="s">
        <v>4163</v>
      </c>
      <c r="B1526" s="2">
        <f t="shared" si="310"/>
        <v>1</v>
      </c>
      <c r="C1526" s="12">
        <f t="shared" si="321"/>
        <v>46238.579983090283</v>
      </c>
      <c r="D1526" s="13">
        <v>46238.579983090283</v>
      </c>
      <c r="E1526" s="2" t="s">
        <v>1500</v>
      </c>
      <c r="F1526" s="2" t="str">
        <f t="shared" si="311"/>
        <v>Email Available</v>
      </c>
      <c r="G1526" s="2" t="s">
        <v>1501</v>
      </c>
      <c r="H1526" s="2" t="s">
        <v>46</v>
      </c>
      <c r="I1526" s="2" t="s">
        <v>47</v>
      </c>
      <c r="J1526" s="2" t="s">
        <v>48</v>
      </c>
      <c r="K1526" s="2">
        <v>1</v>
      </c>
      <c r="L1526" s="2">
        <v>39.99</v>
      </c>
      <c r="M1526" s="19">
        <f t="shared" si="312"/>
        <v>39.99</v>
      </c>
      <c r="N1526" s="2" t="s">
        <v>24</v>
      </c>
      <c r="O1526" s="2" t="str">
        <f t="shared" si="313"/>
        <v>SAVE20</v>
      </c>
      <c r="P1526" s="2">
        <v>8</v>
      </c>
      <c r="Q1526" s="19">
        <f t="shared" si="314"/>
        <v>8</v>
      </c>
      <c r="R1526" s="2" t="str">
        <f t="shared" si="315"/>
        <v>Number</v>
      </c>
      <c r="S1526" s="2">
        <v>4.99</v>
      </c>
      <c r="T1526" s="19">
        <f t="shared" si="316"/>
        <v>4.99</v>
      </c>
      <c r="U1526" s="2">
        <v>36.979999999999997</v>
      </c>
      <c r="V1526" s="19">
        <f t="shared" si="317"/>
        <v>36.979999999999997</v>
      </c>
      <c r="W1526" s="19">
        <f t="shared" si="318"/>
        <v>36.980000000000004</v>
      </c>
      <c r="X1526" s="19" t="str">
        <f t="shared" si="319"/>
        <v>True</v>
      </c>
      <c r="Y1526" s="19" t="str">
        <f>IF(OR(W1526&lt;'Cleaning Tasks'!$G$18,W1526&gt;'Cleaning Tasks'!$H$18),"Outlier","Normal")</f>
        <v>Normal</v>
      </c>
      <c r="Z1526" s="2" t="s">
        <v>26</v>
      </c>
      <c r="AA1526" s="2" t="s">
        <v>27</v>
      </c>
      <c r="AB1526" s="2" t="s">
        <v>50</v>
      </c>
      <c r="AC1526" s="2" t="s">
        <v>29</v>
      </c>
      <c r="AD1526" s="2" t="s">
        <v>51</v>
      </c>
      <c r="AE1526" s="2" t="str">
        <f t="shared" si="320"/>
        <v>Valid</v>
      </c>
      <c r="AF1526" s="2" t="s">
        <v>4164</v>
      </c>
    </row>
    <row r="1527" spans="1:32" x14ac:dyDescent="0.3">
      <c r="A1527" s="2" t="s">
        <v>4165</v>
      </c>
      <c r="B1527" s="2">
        <f t="shared" si="310"/>
        <v>1</v>
      </c>
      <c r="C1527" s="12">
        <f t="shared" si="321"/>
        <v>46238</v>
      </c>
      <c r="D1527" s="13">
        <v>46238</v>
      </c>
      <c r="E1527" s="2" t="s">
        <v>321</v>
      </c>
      <c r="F1527" s="2" t="str">
        <f t="shared" si="311"/>
        <v>Email Available</v>
      </c>
      <c r="G1527" s="2" t="s">
        <v>322</v>
      </c>
      <c r="H1527" s="2" t="s">
        <v>221</v>
      </c>
      <c r="I1527" s="2" t="s">
        <v>22</v>
      </c>
      <c r="J1527" s="2" t="s">
        <v>222</v>
      </c>
      <c r="K1527" s="2">
        <v>1</v>
      </c>
      <c r="L1527" s="2">
        <v>17.989999999999998</v>
      </c>
      <c r="M1527" s="19">
        <f t="shared" si="312"/>
        <v>17.989999999999998</v>
      </c>
      <c r="N1527" s="2" t="s">
        <v>1684</v>
      </c>
      <c r="O1527" s="2" t="str">
        <f t="shared" si="313"/>
        <v>WELCOME10</v>
      </c>
      <c r="P1527" s="2">
        <v>1.8</v>
      </c>
      <c r="Q1527" s="19">
        <f t="shared" si="314"/>
        <v>1.8</v>
      </c>
      <c r="R1527" s="2" t="str">
        <f t="shared" si="315"/>
        <v>Number</v>
      </c>
      <c r="S1527" s="2">
        <v>4.99</v>
      </c>
      <c r="T1527" s="19">
        <f t="shared" si="316"/>
        <v>4.99</v>
      </c>
      <c r="U1527" s="2">
        <v>21.18</v>
      </c>
      <c r="V1527" s="19">
        <f t="shared" si="317"/>
        <v>21.18</v>
      </c>
      <c r="W1527" s="19">
        <f t="shared" si="318"/>
        <v>21.18</v>
      </c>
      <c r="X1527" s="19" t="str">
        <f t="shared" si="319"/>
        <v>True</v>
      </c>
      <c r="Y1527" s="19" t="str">
        <f>IF(OR(W1527&lt;'Cleaning Tasks'!$G$18,W1527&gt;'Cleaning Tasks'!$H$18),"Outlier","Normal")</f>
        <v>Normal</v>
      </c>
      <c r="Z1527" s="2" t="s">
        <v>26</v>
      </c>
      <c r="AA1527" s="2" t="s">
        <v>27</v>
      </c>
      <c r="AB1527" s="2" t="s">
        <v>50</v>
      </c>
      <c r="AC1527" s="2" t="s">
        <v>223</v>
      </c>
      <c r="AD1527" s="2"/>
      <c r="AE1527" s="2" t="str">
        <f t="shared" si="320"/>
        <v>Not Required</v>
      </c>
      <c r="AF1527" s="2" t="s">
        <v>4166</v>
      </c>
    </row>
    <row r="1528" spans="1:32" x14ac:dyDescent="0.3">
      <c r="A1528" s="2" t="s">
        <v>4167</v>
      </c>
      <c r="B1528" s="2">
        <f t="shared" si="310"/>
        <v>1</v>
      </c>
      <c r="C1528" s="12">
        <f t="shared" si="321"/>
        <v>46238</v>
      </c>
      <c r="D1528" s="13">
        <v>46238</v>
      </c>
      <c r="E1528" s="2" t="s">
        <v>4168</v>
      </c>
      <c r="F1528" s="2" t="str">
        <f t="shared" si="311"/>
        <v>Email Available</v>
      </c>
      <c r="G1528" s="2" t="s">
        <v>4169</v>
      </c>
      <c r="H1528" s="2" t="s">
        <v>182</v>
      </c>
      <c r="I1528" s="2" t="s">
        <v>36</v>
      </c>
      <c r="J1528" s="2" t="s">
        <v>183</v>
      </c>
      <c r="K1528" s="2">
        <v>2</v>
      </c>
      <c r="L1528" s="2">
        <v>11.99</v>
      </c>
      <c r="M1528" s="19">
        <f t="shared" si="312"/>
        <v>11.99</v>
      </c>
      <c r="N1528" s="2" t="s">
        <v>38</v>
      </c>
      <c r="O1528" s="2" t="str">
        <f t="shared" si="313"/>
        <v>FREESHIP</v>
      </c>
      <c r="P1528" s="2">
        <v>0</v>
      </c>
      <c r="Q1528" s="19">
        <f t="shared" si="314"/>
        <v>0</v>
      </c>
      <c r="R1528" s="2" t="str">
        <f t="shared" si="315"/>
        <v>Number</v>
      </c>
      <c r="S1528" s="2">
        <v>0</v>
      </c>
      <c r="T1528" s="19">
        <f t="shared" si="316"/>
        <v>0</v>
      </c>
      <c r="U1528" s="2">
        <v>23.98</v>
      </c>
      <c r="V1528" s="19">
        <f t="shared" si="317"/>
        <v>23.98</v>
      </c>
      <c r="W1528" s="19">
        <f t="shared" si="318"/>
        <v>23.98</v>
      </c>
      <c r="X1528" s="19" t="str">
        <f t="shared" si="319"/>
        <v>True</v>
      </c>
      <c r="Y1528" s="19" t="str">
        <f>IF(OR(W1528&lt;'Cleaning Tasks'!$G$18,W1528&gt;'Cleaning Tasks'!$H$18),"Outlier","Normal")</f>
        <v>Normal</v>
      </c>
      <c r="Z1528" s="2" t="s">
        <v>66</v>
      </c>
      <c r="AA1528" s="2" t="s">
        <v>88</v>
      </c>
      <c r="AB1528" s="2" t="s">
        <v>50</v>
      </c>
      <c r="AC1528" s="2" t="s">
        <v>331</v>
      </c>
      <c r="AD1528" s="2"/>
      <c r="AE1528" s="2" t="str">
        <f t="shared" si="320"/>
        <v>Not Required</v>
      </c>
      <c r="AF1528" s="2" t="s">
        <v>4170</v>
      </c>
    </row>
    <row r="1529" spans="1:32" x14ac:dyDescent="0.3">
      <c r="A1529" s="2" t="s">
        <v>4171</v>
      </c>
      <c r="B1529" s="2">
        <f t="shared" si="310"/>
        <v>1</v>
      </c>
      <c r="C1529" s="12">
        <f t="shared" si="321"/>
        <v>46238.584837812501</v>
      </c>
      <c r="D1529" s="13">
        <v>46238.584837812501</v>
      </c>
      <c r="E1529" s="2" t="s">
        <v>441</v>
      </c>
      <c r="F1529" s="2" t="str">
        <f t="shared" si="311"/>
        <v>Email Available</v>
      </c>
      <c r="G1529" s="2" t="s">
        <v>442</v>
      </c>
      <c r="H1529" s="2" t="s">
        <v>46</v>
      </c>
      <c r="I1529" s="2" t="s">
        <v>47</v>
      </c>
      <c r="J1529" s="2" t="s">
        <v>48</v>
      </c>
      <c r="K1529" s="2">
        <v>1</v>
      </c>
      <c r="L1529" s="2">
        <v>39.99</v>
      </c>
      <c r="M1529" s="19">
        <f t="shared" si="312"/>
        <v>39.99</v>
      </c>
      <c r="N1529" s="2" t="s">
        <v>203</v>
      </c>
      <c r="O1529" s="2" t="str">
        <f t="shared" si="313"/>
        <v>VIP15</v>
      </c>
      <c r="P1529" s="2">
        <v>6</v>
      </c>
      <c r="Q1529" s="19">
        <f t="shared" si="314"/>
        <v>6</v>
      </c>
      <c r="R1529" s="2" t="str">
        <f t="shared" si="315"/>
        <v>Number</v>
      </c>
      <c r="S1529" s="2">
        <v>5.99</v>
      </c>
      <c r="T1529" s="19">
        <f t="shared" si="316"/>
        <v>5.99</v>
      </c>
      <c r="U1529" s="2">
        <v>39.979999999999997</v>
      </c>
      <c r="V1529" s="19">
        <f t="shared" si="317"/>
        <v>39.979999999999997</v>
      </c>
      <c r="W1529" s="19">
        <f t="shared" si="318"/>
        <v>39.980000000000004</v>
      </c>
      <c r="X1529" s="19" t="str">
        <f t="shared" si="319"/>
        <v>True</v>
      </c>
      <c r="Y1529" s="19" t="str">
        <f>IF(OR(W1529&lt;'Cleaning Tasks'!$G$18,W1529&gt;'Cleaning Tasks'!$H$18),"Outlier","Normal")</f>
        <v>Normal</v>
      </c>
      <c r="Z1529" s="2" t="s">
        <v>72</v>
      </c>
      <c r="AA1529" s="2" t="s">
        <v>40</v>
      </c>
      <c r="AB1529" s="2" t="s">
        <v>96</v>
      </c>
      <c r="AC1529" s="2" t="s">
        <v>29</v>
      </c>
      <c r="AD1529" s="2" t="s">
        <v>67</v>
      </c>
      <c r="AE1529" s="2" t="str">
        <f t="shared" si="320"/>
        <v>Valid</v>
      </c>
      <c r="AF1529" s="2" t="s">
        <v>4172</v>
      </c>
    </row>
    <row r="1530" spans="1:32" x14ac:dyDescent="0.3">
      <c r="A1530" s="2" t="s">
        <v>4173</v>
      </c>
      <c r="B1530" s="2">
        <f t="shared" si="310"/>
        <v>1</v>
      </c>
      <c r="C1530" s="12">
        <f t="shared" si="321"/>
        <v>46238.57901346065</v>
      </c>
      <c r="D1530" s="13">
        <v>46238.57901346065</v>
      </c>
      <c r="E1530" s="2" t="s">
        <v>1075</v>
      </c>
      <c r="F1530" s="2" t="str">
        <f t="shared" si="311"/>
        <v>Email Available</v>
      </c>
      <c r="G1530" s="2" t="s">
        <v>587</v>
      </c>
      <c r="H1530" s="2" t="s">
        <v>309</v>
      </c>
      <c r="I1530" s="2" t="s">
        <v>36</v>
      </c>
      <c r="J1530" s="2" t="s">
        <v>310</v>
      </c>
      <c r="K1530" s="2">
        <v>1</v>
      </c>
      <c r="L1530" s="2" t="s">
        <v>2242</v>
      </c>
      <c r="M1530" s="19">
        <f t="shared" si="312"/>
        <v>8.99</v>
      </c>
      <c r="N1530" s="2"/>
      <c r="O1530" s="2" t="str">
        <f t="shared" si="313"/>
        <v/>
      </c>
      <c r="P1530" s="2">
        <v>0</v>
      </c>
      <c r="Q1530" s="19">
        <f t="shared" si="314"/>
        <v>0</v>
      </c>
      <c r="R1530" s="2" t="str">
        <f t="shared" si="315"/>
        <v>Number</v>
      </c>
      <c r="S1530" s="2">
        <v>5.99</v>
      </c>
      <c r="T1530" s="19">
        <f t="shared" si="316"/>
        <v>5.99</v>
      </c>
      <c r="U1530" s="2">
        <v>14.98</v>
      </c>
      <c r="V1530" s="19">
        <f t="shared" si="317"/>
        <v>14.98</v>
      </c>
      <c r="W1530" s="19">
        <f t="shared" si="318"/>
        <v>14.98</v>
      </c>
      <c r="X1530" s="19" t="str">
        <f t="shared" si="319"/>
        <v>True</v>
      </c>
      <c r="Y1530" s="19" t="str">
        <f>IF(OR(W1530&lt;'Cleaning Tasks'!$G$18,W1530&gt;'Cleaning Tasks'!$H$18),"Outlier","Normal")</f>
        <v>Normal</v>
      </c>
      <c r="Z1530" s="2" t="s">
        <v>66</v>
      </c>
      <c r="AA1530" s="2" t="s">
        <v>111</v>
      </c>
      <c r="AB1530" s="2" t="s">
        <v>50</v>
      </c>
      <c r="AC1530" s="2" t="s">
        <v>29</v>
      </c>
      <c r="AD1530" s="2" t="s">
        <v>30</v>
      </c>
      <c r="AE1530" s="2" t="str">
        <f t="shared" si="320"/>
        <v>Valid</v>
      </c>
      <c r="AF1530" s="2" t="s">
        <v>4174</v>
      </c>
    </row>
    <row r="1531" spans="1:32" x14ac:dyDescent="0.3">
      <c r="A1531" s="2" t="s">
        <v>4175</v>
      </c>
      <c r="B1531" s="2">
        <f t="shared" si="310"/>
        <v>1</v>
      </c>
      <c r="C1531" s="12">
        <f t="shared" si="321"/>
        <v>46238.580844201388</v>
      </c>
      <c r="D1531" s="13">
        <v>46238.580844201388</v>
      </c>
      <c r="E1531" s="2" t="s">
        <v>1334</v>
      </c>
      <c r="F1531" s="2" t="str">
        <f t="shared" si="311"/>
        <v>Email Available</v>
      </c>
      <c r="G1531" s="2" t="s">
        <v>716</v>
      </c>
      <c r="H1531" s="2" t="s">
        <v>267</v>
      </c>
      <c r="I1531" s="2" t="s">
        <v>22</v>
      </c>
      <c r="J1531" s="2" t="s">
        <v>268</v>
      </c>
      <c r="K1531" s="2">
        <v>1</v>
      </c>
      <c r="L1531" s="2">
        <v>18.989999999999998</v>
      </c>
      <c r="M1531" s="19">
        <f t="shared" si="312"/>
        <v>18.989999999999998</v>
      </c>
      <c r="N1531" s="2"/>
      <c r="O1531" s="2" t="str">
        <f t="shared" si="313"/>
        <v/>
      </c>
      <c r="P1531" s="2">
        <v>0</v>
      </c>
      <c r="Q1531" s="19">
        <f t="shared" si="314"/>
        <v>0</v>
      </c>
      <c r="R1531" s="2" t="str">
        <f t="shared" si="315"/>
        <v>Number</v>
      </c>
      <c r="S1531" s="2">
        <v>7.99</v>
      </c>
      <c r="T1531" s="19">
        <f t="shared" si="316"/>
        <v>7.99</v>
      </c>
      <c r="U1531" s="2">
        <v>26.98</v>
      </c>
      <c r="V1531" s="19">
        <f t="shared" si="317"/>
        <v>26.98</v>
      </c>
      <c r="W1531" s="19">
        <f t="shared" si="318"/>
        <v>26.979999999999997</v>
      </c>
      <c r="X1531" s="19" t="str">
        <f t="shared" si="319"/>
        <v>True</v>
      </c>
      <c r="Y1531" s="19" t="str">
        <f>IF(OR(W1531&lt;'Cleaning Tasks'!$G$18,W1531&gt;'Cleaning Tasks'!$H$18),"Outlier","Normal")</f>
        <v>Normal</v>
      </c>
      <c r="Z1531" s="2" t="s">
        <v>26</v>
      </c>
      <c r="AA1531" s="2" t="s">
        <v>27</v>
      </c>
      <c r="AB1531" s="2" t="s">
        <v>28</v>
      </c>
      <c r="AC1531" s="2" t="s">
        <v>29</v>
      </c>
      <c r="AD1531" s="2" t="s">
        <v>58</v>
      </c>
      <c r="AE1531" s="2" t="str">
        <f t="shared" si="320"/>
        <v>Valid</v>
      </c>
      <c r="AF1531" s="2" t="s">
        <v>4176</v>
      </c>
    </row>
    <row r="1532" spans="1:32" x14ac:dyDescent="0.3">
      <c r="A1532" s="2" t="s">
        <v>4177</v>
      </c>
      <c r="B1532" s="2">
        <f t="shared" si="310"/>
        <v>1</v>
      </c>
      <c r="C1532" s="12">
        <f t="shared" si="321"/>
        <v>46238.581582812498</v>
      </c>
      <c r="D1532" s="13">
        <v>46238.581582812498</v>
      </c>
      <c r="E1532" s="2" t="s">
        <v>1886</v>
      </c>
      <c r="F1532" s="2" t="str">
        <f t="shared" si="311"/>
        <v>Email Available</v>
      </c>
      <c r="G1532" s="2" t="s">
        <v>1887</v>
      </c>
      <c r="H1532" s="2" t="s">
        <v>63</v>
      </c>
      <c r="I1532" s="2" t="s">
        <v>47</v>
      </c>
      <c r="J1532" s="2" t="s">
        <v>64</v>
      </c>
      <c r="K1532" s="2">
        <v>3</v>
      </c>
      <c r="L1532" s="2">
        <v>14.99</v>
      </c>
      <c r="M1532" s="19">
        <f t="shared" si="312"/>
        <v>14.99</v>
      </c>
      <c r="N1532" s="2" t="s">
        <v>24</v>
      </c>
      <c r="O1532" s="2" t="str">
        <f t="shared" si="313"/>
        <v>SAVE20</v>
      </c>
      <c r="P1532" s="2">
        <v>8.99</v>
      </c>
      <c r="Q1532" s="19">
        <f t="shared" si="314"/>
        <v>8.99</v>
      </c>
      <c r="R1532" s="2" t="str">
        <f t="shared" si="315"/>
        <v>Number</v>
      </c>
      <c r="S1532" s="2">
        <v>4.99</v>
      </c>
      <c r="T1532" s="19">
        <f t="shared" si="316"/>
        <v>4.99</v>
      </c>
      <c r="U1532" s="2">
        <v>40.97</v>
      </c>
      <c r="V1532" s="19">
        <f t="shared" si="317"/>
        <v>40.97</v>
      </c>
      <c r="W1532" s="19">
        <f t="shared" si="318"/>
        <v>40.97</v>
      </c>
      <c r="X1532" s="19" t="str">
        <f t="shared" si="319"/>
        <v>True</v>
      </c>
      <c r="Y1532" s="19" t="str">
        <f>IF(OR(W1532&lt;'Cleaning Tasks'!$G$18,W1532&gt;'Cleaning Tasks'!$H$18),"Outlier","Normal")</f>
        <v>Normal</v>
      </c>
      <c r="Z1532" s="2" t="s">
        <v>39</v>
      </c>
      <c r="AA1532" s="2" t="s">
        <v>88</v>
      </c>
      <c r="AB1532" s="2" t="s">
        <v>50</v>
      </c>
      <c r="AC1532" s="2" t="s">
        <v>223</v>
      </c>
      <c r="AD1532" s="2"/>
      <c r="AE1532" s="2" t="str">
        <f t="shared" si="320"/>
        <v>Not Required</v>
      </c>
      <c r="AF1532" s="2" t="s">
        <v>4178</v>
      </c>
    </row>
    <row r="1533" spans="1:32" x14ac:dyDescent="0.3">
      <c r="A1533" s="2" t="s">
        <v>4179</v>
      </c>
      <c r="B1533" s="2">
        <f t="shared" si="310"/>
        <v>1</v>
      </c>
      <c r="C1533" s="12">
        <f t="shared" si="321"/>
        <v>46238.582318738423</v>
      </c>
      <c r="D1533" s="13">
        <v>46238.582318738423</v>
      </c>
      <c r="E1533" s="2" t="s">
        <v>2549</v>
      </c>
      <c r="F1533" s="2" t="str">
        <f t="shared" si="311"/>
        <v>Email Available</v>
      </c>
      <c r="G1533" s="2" t="s">
        <v>2550</v>
      </c>
      <c r="H1533" s="2" t="s">
        <v>35</v>
      </c>
      <c r="I1533" s="2" t="s">
        <v>36</v>
      </c>
      <c r="J1533" s="2" t="s">
        <v>37</v>
      </c>
      <c r="K1533" s="2">
        <v>1</v>
      </c>
      <c r="L1533" s="2">
        <v>21.99</v>
      </c>
      <c r="M1533" s="19">
        <f t="shared" si="312"/>
        <v>21.99</v>
      </c>
      <c r="N1533" s="2" t="s">
        <v>118</v>
      </c>
      <c r="O1533" s="2" t="str">
        <f t="shared" si="313"/>
        <v>BFCM25</v>
      </c>
      <c r="P1533" s="2">
        <v>5.5</v>
      </c>
      <c r="Q1533" s="19">
        <f t="shared" si="314"/>
        <v>5.5</v>
      </c>
      <c r="R1533" s="2" t="str">
        <f t="shared" si="315"/>
        <v>Number</v>
      </c>
      <c r="S1533" s="2">
        <v>5.99</v>
      </c>
      <c r="T1533" s="19">
        <f t="shared" si="316"/>
        <v>5.99</v>
      </c>
      <c r="U1533" s="2">
        <v>22.48</v>
      </c>
      <c r="V1533" s="19">
        <f t="shared" si="317"/>
        <v>22.48</v>
      </c>
      <c r="W1533" s="19">
        <f t="shared" si="318"/>
        <v>22.479999999999997</v>
      </c>
      <c r="X1533" s="19" t="str">
        <f t="shared" si="319"/>
        <v>True</v>
      </c>
      <c r="Y1533" s="19" t="str">
        <f>IF(OR(W1533&lt;'Cleaning Tasks'!$G$18,W1533&gt;'Cleaning Tasks'!$H$18),"Outlier","Normal")</f>
        <v>Normal</v>
      </c>
      <c r="Z1533" s="2" t="s">
        <v>49</v>
      </c>
      <c r="AA1533" s="2" t="s">
        <v>40</v>
      </c>
      <c r="AB1533" s="2" t="s">
        <v>41</v>
      </c>
      <c r="AC1533" s="2" t="s">
        <v>42</v>
      </c>
      <c r="AD1533" s="2"/>
      <c r="AE1533" s="2" t="str">
        <f t="shared" si="320"/>
        <v>Not Required</v>
      </c>
      <c r="AF1533" s="2" t="s">
        <v>4180</v>
      </c>
    </row>
    <row r="1534" spans="1:32" x14ac:dyDescent="0.3">
      <c r="A1534" s="2" t="s">
        <v>4181</v>
      </c>
      <c r="B1534" s="2">
        <f t="shared" si="310"/>
        <v>1</v>
      </c>
      <c r="C1534" s="12">
        <f t="shared" si="321"/>
        <v>46238.583272476862</v>
      </c>
      <c r="D1534" s="13">
        <v>46238.583272476862</v>
      </c>
      <c r="E1534" s="2" t="s">
        <v>2268</v>
      </c>
      <c r="F1534" s="2" t="str">
        <f t="shared" si="311"/>
        <v>Email Available</v>
      </c>
      <c r="G1534" s="2" t="s">
        <v>2269</v>
      </c>
      <c r="H1534" s="2" t="s">
        <v>190</v>
      </c>
      <c r="I1534" s="2" t="s">
        <v>191</v>
      </c>
      <c r="J1534" s="2" t="s">
        <v>192</v>
      </c>
      <c r="K1534" s="2">
        <v>1</v>
      </c>
      <c r="L1534" s="2">
        <v>13.49</v>
      </c>
      <c r="M1534" s="19">
        <f t="shared" si="312"/>
        <v>13.49</v>
      </c>
      <c r="N1534" s="2" t="s">
        <v>24</v>
      </c>
      <c r="O1534" s="2" t="str">
        <f t="shared" si="313"/>
        <v>SAVE20</v>
      </c>
      <c r="P1534" s="2">
        <v>2.7</v>
      </c>
      <c r="Q1534" s="19">
        <f t="shared" si="314"/>
        <v>2.7</v>
      </c>
      <c r="R1534" s="2" t="str">
        <f t="shared" si="315"/>
        <v>Number</v>
      </c>
      <c r="S1534" s="2">
        <v>4.99</v>
      </c>
      <c r="T1534" s="19">
        <f t="shared" si="316"/>
        <v>4.99</v>
      </c>
      <c r="U1534" s="2">
        <v>15.78</v>
      </c>
      <c r="V1534" s="19">
        <f t="shared" si="317"/>
        <v>15.78</v>
      </c>
      <c r="W1534" s="19">
        <f t="shared" si="318"/>
        <v>15.78</v>
      </c>
      <c r="X1534" s="19" t="str">
        <f t="shared" si="319"/>
        <v>True</v>
      </c>
      <c r="Y1534" s="19" t="str">
        <f>IF(OR(W1534&lt;'Cleaning Tasks'!$G$18,W1534&gt;'Cleaning Tasks'!$H$18),"Outlier","Normal")</f>
        <v>Normal</v>
      </c>
      <c r="Z1534" s="2" t="s">
        <v>49</v>
      </c>
      <c r="AA1534" s="2" t="s">
        <v>27</v>
      </c>
      <c r="AB1534" s="2" t="s">
        <v>41</v>
      </c>
      <c r="AC1534" s="2" t="s">
        <v>29</v>
      </c>
      <c r="AD1534" s="2" t="s">
        <v>140</v>
      </c>
      <c r="AE1534" s="2" t="str">
        <f t="shared" si="320"/>
        <v>Valid</v>
      </c>
      <c r="AF1534" s="2" t="s">
        <v>4182</v>
      </c>
    </row>
    <row r="1535" spans="1:32" x14ac:dyDescent="0.3">
      <c r="A1535" s="2" t="s">
        <v>4183</v>
      </c>
      <c r="B1535" s="2">
        <f t="shared" si="310"/>
        <v>1</v>
      </c>
      <c r="C1535" s="12">
        <f t="shared" si="321"/>
        <v>46238.587571469907</v>
      </c>
      <c r="D1535" s="13">
        <v>46238.587571469907</v>
      </c>
      <c r="E1535" s="2" t="s">
        <v>606</v>
      </c>
      <c r="F1535" s="2" t="str">
        <f t="shared" si="311"/>
        <v>Email Available</v>
      </c>
      <c r="G1535" s="2" t="s">
        <v>607</v>
      </c>
      <c r="H1535" s="2" t="s">
        <v>130</v>
      </c>
      <c r="I1535" s="2" t="s">
        <v>103</v>
      </c>
      <c r="J1535" s="2" t="s">
        <v>131</v>
      </c>
      <c r="K1535" s="2">
        <v>3</v>
      </c>
      <c r="L1535" s="2">
        <v>16.989999999999998</v>
      </c>
      <c r="M1535" s="19">
        <f t="shared" si="312"/>
        <v>16.989999999999998</v>
      </c>
      <c r="N1535" s="2" t="s">
        <v>94</v>
      </c>
      <c r="O1535" s="2" t="str">
        <f t="shared" si="313"/>
        <v>SAVE20</v>
      </c>
      <c r="P1535" s="2">
        <v>10.19</v>
      </c>
      <c r="Q1535" s="19">
        <f t="shared" si="314"/>
        <v>10.19</v>
      </c>
      <c r="R1535" s="2" t="str">
        <f t="shared" si="315"/>
        <v>Number</v>
      </c>
      <c r="S1535" s="2">
        <v>5.99</v>
      </c>
      <c r="T1535" s="19">
        <f t="shared" si="316"/>
        <v>5.99</v>
      </c>
      <c r="U1535" s="2">
        <v>46.77</v>
      </c>
      <c r="V1535" s="19">
        <f t="shared" si="317"/>
        <v>46.77</v>
      </c>
      <c r="W1535" s="19">
        <f t="shared" si="318"/>
        <v>46.77</v>
      </c>
      <c r="X1535" s="19" t="str">
        <f t="shared" si="319"/>
        <v>True</v>
      </c>
      <c r="Y1535" s="19" t="str">
        <f>IF(OR(W1535&lt;'Cleaning Tasks'!$G$18,W1535&gt;'Cleaning Tasks'!$H$18),"Outlier","Normal")</f>
        <v>Normal</v>
      </c>
      <c r="Z1535" s="2" t="s">
        <v>26</v>
      </c>
      <c r="AA1535" s="2" t="s">
        <v>111</v>
      </c>
      <c r="AB1535" s="2" t="s">
        <v>28</v>
      </c>
      <c r="AC1535" s="2" t="s">
        <v>42</v>
      </c>
      <c r="AD1535" s="2"/>
      <c r="AE1535" s="2" t="str">
        <f t="shared" si="320"/>
        <v>Not Required</v>
      </c>
      <c r="AF1535" s="2" t="s">
        <v>4184</v>
      </c>
    </row>
    <row r="1536" spans="1:32" x14ac:dyDescent="0.3">
      <c r="A1536" s="2" t="s">
        <v>4185</v>
      </c>
      <c r="B1536" s="2">
        <f t="shared" si="310"/>
        <v>1</v>
      </c>
      <c r="C1536" s="12">
        <f t="shared" ref="C1536:C1567" si="322">IF(ISNUMBER(D1536),D1536,DATEVALUE(SUBSTITUTE(TRIM(D1536),CHAR(160)," ")))</f>
        <v>46238</v>
      </c>
      <c r="D1536" s="13">
        <v>46238</v>
      </c>
      <c r="E1536" s="2" t="s">
        <v>213</v>
      </c>
      <c r="F1536" s="2" t="str">
        <f t="shared" si="311"/>
        <v>Email Available</v>
      </c>
      <c r="G1536" s="2" t="s">
        <v>214</v>
      </c>
      <c r="H1536" s="2" t="s">
        <v>166</v>
      </c>
      <c r="I1536" s="2" t="s">
        <v>103</v>
      </c>
      <c r="J1536" s="2" t="s">
        <v>167</v>
      </c>
      <c r="K1536" s="2">
        <v>1</v>
      </c>
      <c r="L1536" s="2" t="s">
        <v>168</v>
      </c>
      <c r="M1536" s="19">
        <f t="shared" si="312"/>
        <v>32.99</v>
      </c>
      <c r="N1536" s="2"/>
      <c r="O1536" s="2" t="str">
        <f t="shared" si="313"/>
        <v/>
      </c>
      <c r="P1536" s="2">
        <v>0</v>
      </c>
      <c r="Q1536" s="19">
        <f t="shared" si="314"/>
        <v>0</v>
      </c>
      <c r="R1536" s="2" t="str">
        <f t="shared" si="315"/>
        <v>Number</v>
      </c>
      <c r="S1536" s="2">
        <v>5.99</v>
      </c>
      <c r="T1536" s="19">
        <f t="shared" si="316"/>
        <v>5.99</v>
      </c>
      <c r="U1536" s="2">
        <v>38.979999999999997</v>
      </c>
      <c r="V1536" s="19">
        <f t="shared" si="317"/>
        <v>38.979999999999997</v>
      </c>
      <c r="W1536" s="19">
        <f t="shared" si="318"/>
        <v>38.980000000000004</v>
      </c>
      <c r="X1536" s="19" t="str">
        <f t="shared" si="319"/>
        <v>True</v>
      </c>
      <c r="Y1536" s="19" t="str">
        <f>IF(OR(W1536&lt;'Cleaning Tasks'!$G$18,W1536&gt;'Cleaning Tasks'!$H$18),"Outlier","Normal")</f>
        <v>Normal</v>
      </c>
      <c r="Z1536" s="2" t="s">
        <v>39</v>
      </c>
      <c r="AA1536" s="2" t="s">
        <v>88</v>
      </c>
      <c r="AB1536" s="2" t="s">
        <v>50</v>
      </c>
      <c r="AC1536" s="2" t="s">
        <v>29</v>
      </c>
      <c r="AD1536" s="2" t="s">
        <v>447</v>
      </c>
      <c r="AE1536" s="2" t="str">
        <f t="shared" si="320"/>
        <v>Valid</v>
      </c>
      <c r="AF1536" s="2" t="s">
        <v>4186</v>
      </c>
    </row>
    <row r="1537" spans="1:32" x14ac:dyDescent="0.3">
      <c r="A1537" s="2" t="s">
        <v>4187</v>
      </c>
      <c r="B1537" s="2">
        <f t="shared" si="310"/>
        <v>1</v>
      </c>
      <c r="C1537" s="12">
        <f t="shared" si="322"/>
        <v>46238.585648368047</v>
      </c>
      <c r="D1537" s="13">
        <v>46238.585648368047</v>
      </c>
      <c r="E1537" s="2" t="s">
        <v>1151</v>
      </c>
      <c r="F1537" s="2" t="str">
        <f t="shared" si="311"/>
        <v>Email Available</v>
      </c>
      <c r="G1537" s="2" t="s">
        <v>1152</v>
      </c>
      <c r="H1537" s="2" t="s">
        <v>117</v>
      </c>
      <c r="I1537" s="2" t="s">
        <v>22</v>
      </c>
      <c r="J1537" s="2" t="s">
        <v>23</v>
      </c>
      <c r="K1537" s="2">
        <v>1</v>
      </c>
      <c r="L1537" s="2" t="s">
        <v>1148</v>
      </c>
      <c r="M1537" s="19">
        <f t="shared" si="312"/>
        <v>12.99</v>
      </c>
      <c r="N1537" s="2"/>
      <c r="O1537" s="2" t="str">
        <f t="shared" si="313"/>
        <v/>
      </c>
      <c r="P1537" s="2">
        <v>0</v>
      </c>
      <c r="Q1537" s="19">
        <f t="shared" si="314"/>
        <v>0</v>
      </c>
      <c r="R1537" s="2" t="str">
        <f t="shared" si="315"/>
        <v>Number</v>
      </c>
      <c r="S1537" s="2">
        <v>4.99</v>
      </c>
      <c r="T1537" s="19">
        <f t="shared" si="316"/>
        <v>4.99</v>
      </c>
      <c r="U1537" s="2">
        <v>17.98</v>
      </c>
      <c r="V1537" s="19">
        <f t="shared" si="317"/>
        <v>17.98</v>
      </c>
      <c r="W1537" s="19">
        <f t="shared" si="318"/>
        <v>17.98</v>
      </c>
      <c r="X1537" s="19" t="str">
        <f t="shared" si="319"/>
        <v>True</v>
      </c>
      <c r="Y1537" s="19" t="str">
        <f>IF(OR(W1537&lt;'Cleaning Tasks'!$G$18,W1537&gt;'Cleaning Tasks'!$H$18),"Outlier","Normal")</f>
        <v>Normal</v>
      </c>
      <c r="Z1537" s="2" t="s">
        <v>72</v>
      </c>
      <c r="AA1537" s="2" t="s">
        <v>27</v>
      </c>
      <c r="AB1537" s="2" t="s">
        <v>41</v>
      </c>
      <c r="AC1537" s="2" t="s">
        <v>29</v>
      </c>
      <c r="AD1537" s="2" t="s">
        <v>51</v>
      </c>
      <c r="AE1537" s="2" t="str">
        <f t="shared" si="320"/>
        <v>Valid</v>
      </c>
      <c r="AF1537" s="2" t="s">
        <v>4188</v>
      </c>
    </row>
    <row r="1538" spans="1:32" x14ac:dyDescent="0.3">
      <c r="A1538" s="2" t="s">
        <v>4189</v>
      </c>
      <c r="B1538" s="2">
        <f t="shared" ref="B1538:B1601" si="323">COUNTIF($A$2:$A$1993,A1538)</f>
        <v>1</v>
      </c>
      <c r="C1538" s="12">
        <f t="shared" si="322"/>
        <v>46238.587219421293</v>
      </c>
      <c r="D1538" s="13">
        <v>46238.587219421293</v>
      </c>
      <c r="E1538" s="2" t="s">
        <v>3312</v>
      </c>
      <c r="F1538" s="2" t="str">
        <f t="shared" ref="F1538:F1601" si="324">IF(TRIM(G1538)="","Missing Email","Email Available")</f>
        <v>Missing Email</v>
      </c>
      <c r="G1538" s="2"/>
      <c r="H1538" s="2" t="s">
        <v>361</v>
      </c>
      <c r="I1538" s="2" t="s">
        <v>86</v>
      </c>
      <c r="J1538" s="2" t="s">
        <v>362</v>
      </c>
      <c r="K1538" s="2">
        <v>1</v>
      </c>
      <c r="L1538" s="2">
        <v>54.99</v>
      </c>
      <c r="M1538" s="19">
        <f t="shared" ref="M1538:M1601" si="325">IF(ISNUMBER(L1538),L1538,VALUE(SUBSTITUTE(L1538,"$","")))</f>
        <v>54.99</v>
      </c>
      <c r="N1538" s="2" t="s">
        <v>24</v>
      </c>
      <c r="O1538" s="2" t="str">
        <f t="shared" ref="O1538:O1601" si="326">IF(TRIM(N1538)="","",UPPER(TRIM(SUBSTITUTE(N1538,CHAR(160)," "))))</f>
        <v>SAVE20</v>
      </c>
      <c r="P1538" s="2">
        <v>11</v>
      </c>
      <c r="Q1538" s="19">
        <f t="shared" ref="Q1538:Q1601" si="327">IF(ISNUMBER(P1538),P1538,VALUE(TRIM(SUBSTITUTE(P1538,"$",""))))</f>
        <v>11</v>
      </c>
      <c r="R1538" s="2" t="str">
        <f t="shared" ref="R1538:R1601" si="328">IF(ISNUMBER(Q1538),"Number","Text")</f>
        <v>Number</v>
      </c>
      <c r="S1538" s="2">
        <v>5.99</v>
      </c>
      <c r="T1538" s="19">
        <f t="shared" ref="T1538:T1601" si="329">IF(ISNUMBER(S1538),S1538,VALUE(TRIM(SUBSTITUTE(S1538,"$",""))))</f>
        <v>5.99</v>
      </c>
      <c r="U1538" s="2">
        <v>49.98</v>
      </c>
      <c r="V1538" s="19">
        <f t="shared" ref="V1538:V1601" si="330">IF(ISNUMBER(U1538),U1538,VALUE(TRIM(SUBSTITUTE(U1538,"$",""))))</f>
        <v>49.98</v>
      </c>
      <c r="W1538" s="19">
        <f t="shared" ref="W1538:W1601" si="331">((M1538*K1538)-Q1538)+T1538</f>
        <v>49.980000000000004</v>
      </c>
      <c r="X1538" s="19" t="str">
        <f t="shared" ref="X1538:X1601" si="332">IF(V1538=W1538,"True","False")</f>
        <v>True</v>
      </c>
      <c r="Y1538" s="19" t="str">
        <f>IF(OR(W1538&lt;'Cleaning Tasks'!$G$18,W1538&gt;'Cleaning Tasks'!$H$18),"Outlier","Normal")</f>
        <v>Normal</v>
      </c>
      <c r="Z1538" s="2" t="s">
        <v>66</v>
      </c>
      <c r="AA1538" s="2" t="s">
        <v>88</v>
      </c>
      <c r="AB1538" s="2" t="s">
        <v>50</v>
      </c>
      <c r="AC1538" s="2" t="s">
        <v>29</v>
      </c>
      <c r="AD1538" s="2" t="s">
        <v>89</v>
      </c>
      <c r="AE1538" s="2" t="str">
        <f t="shared" ref="AE1538:AE1601" si="333">IF(AND(AC1538="United States",AD1538=""),"Missing state",IF(AD1538="","Not Required","Valid"))</f>
        <v>Valid</v>
      </c>
      <c r="AF1538" s="2" t="s">
        <v>4190</v>
      </c>
    </row>
    <row r="1539" spans="1:32" x14ac:dyDescent="0.3">
      <c r="A1539" s="2" t="s">
        <v>4191</v>
      </c>
      <c r="B1539" s="2">
        <f t="shared" si="323"/>
        <v>1</v>
      </c>
      <c r="C1539" s="12">
        <f t="shared" si="322"/>
        <v>46238.587068761582</v>
      </c>
      <c r="D1539" s="13">
        <v>46238.587068761582</v>
      </c>
      <c r="E1539" s="2" t="s">
        <v>213</v>
      </c>
      <c r="F1539" s="2" t="str">
        <f t="shared" si="324"/>
        <v>Email Available</v>
      </c>
      <c r="G1539" s="2" t="s">
        <v>214</v>
      </c>
      <c r="H1539" s="2" t="s">
        <v>309</v>
      </c>
      <c r="I1539" s="2" t="s">
        <v>36</v>
      </c>
      <c r="J1539" s="2" t="s">
        <v>310</v>
      </c>
      <c r="K1539" s="2">
        <v>2</v>
      </c>
      <c r="L1539" s="2" t="s">
        <v>2242</v>
      </c>
      <c r="M1539" s="19">
        <f t="shared" si="325"/>
        <v>8.99</v>
      </c>
      <c r="N1539" s="2" t="s">
        <v>118</v>
      </c>
      <c r="O1539" s="2" t="str">
        <f t="shared" si="326"/>
        <v>BFCM25</v>
      </c>
      <c r="P1539" s="2">
        <v>4.5</v>
      </c>
      <c r="Q1539" s="19">
        <f t="shared" si="327"/>
        <v>4.5</v>
      </c>
      <c r="R1539" s="2" t="str">
        <f t="shared" si="328"/>
        <v>Number</v>
      </c>
      <c r="S1539" s="2">
        <v>5.99</v>
      </c>
      <c r="T1539" s="19">
        <f t="shared" si="329"/>
        <v>5.99</v>
      </c>
      <c r="U1539" s="2">
        <v>19.47</v>
      </c>
      <c r="V1539" s="19">
        <f t="shared" si="330"/>
        <v>19.47</v>
      </c>
      <c r="W1539" s="19">
        <f t="shared" si="331"/>
        <v>19.47</v>
      </c>
      <c r="X1539" s="19" t="str">
        <f t="shared" si="332"/>
        <v>True</v>
      </c>
      <c r="Y1539" s="19" t="str">
        <f>IF(OR(W1539&lt;'Cleaning Tasks'!$G$18,W1539&gt;'Cleaning Tasks'!$H$18),"Outlier","Normal")</f>
        <v>Normal</v>
      </c>
      <c r="Z1539" s="2" t="s">
        <v>26</v>
      </c>
      <c r="AA1539" s="2" t="s">
        <v>27</v>
      </c>
      <c r="AB1539" s="2" t="s">
        <v>50</v>
      </c>
      <c r="AC1539" s="2" t="s">
        <v>29</v>
      </c>
      <c r="AD1539" s="2" t="s">
        <v>112</v>
      </c>
      <c r="AE1539" s="2" t="str">
        <f t="shared" si="333"/>
        <v>Valid</v>
      </c>
      <c r="AF1539" s="2" t="s">
        <v>4192</v>
      </c>
    </row>
    <row r="1540" spans="1:32" x14ac:dyDescent="0.3">
      <c r="A1540" s="2" t="s">
        <v>4193</v>
      </c>
      <c r="B1540" s="2">
        <f t="shared" si="323"/>
        <v>1</v>
      </c>
      <c r="C1540" s="12">
        <f t="shared" si="322"/>
        <v>46238</v>
      </c>
      <c r="D1540" s="13">
        <v>46238</v>
      </c>
      <c r="E1540" s="2" t="s">
        <v>1210</v>
      </c>
      <c r="F1540" s="2" t="str">
        <f t="shared" si="324"/>
        <v>Email Available</v>
      </c>
      <c r="G1540" s="2" t="s">
        <v>1211</v>
      </c>
      <c r="H1540" s="2" t="s">
        <v>124</v>
      </c>
      <c r="I1540" s="2" t="s">
        <v>79</v>
      </c>
      <c r="J1540" s="2" t="s">
        <v>125</v>
      </c>
      <c r="K1540" s="2">
        <v>1</v>
      </c>
      <c r="L1540" s="2">
        <v>13.99</v>
      </c>
      <c r="M1540" s="19">
        <f t="shared" si="325"/>
        <v>13.99</v>
      </c>
      <c r="N1540" s="2"/>
      <c r="O1540" s="2" t="str">
        <f t="shared" si="326"/>
        <v/>
      </c>
      <c r="P1540" s="2">
        <v>0</v>
      </c>
      <c r="Q1540" s="19">
        <f t="shared" si="327"/>
        <v>0</v>
      </c>
      <c r="R1540" s="2" t="str">
        <f t="shared" si="328"/>
        <v>Number</v>
      </c>
      <c r="S1540" s="2">
        <v>5.99</v>
      </c>
      <c r="T1540" s="19">
        <f t="shared" si="329"/>
        <v>5.99</v>
      </c>
      <c r="U1540" s="2">
        <v>19.98</v>
      </c>
      <c r="V1540" s="19">
        <f t="shared" si="330"/>
        <v>19.98</v>
      </c>
      <c r="W1540" s="19">
        <f t="shared" si="331"/>
        <v>19.98</v>
      </c>
      <c r="X1540" s="19" t="str">
        <f t="shared" si="332"/>
        <v>True</v>
      </c>
      <c r="Y1540" s="19" t="str">
        <f>IF(OR(W1540&lt;'Cleaning Tasks'!$G$18,W1540&gt;'Cleaning Tasks'!$H$18),"Outlier","Normal")</f>
        <v>Normal</v>
      </c>
      <c r="Z1540" s="2" t="s">
        <v>66</v>
      </c>
      <c r="AA1540" s="2" t="s">
        <v>88</v>
      </c>
      <c r="AB1540" s="2" t="s">
        <v>50</v>
      </c>
      <c r="AC1540" s="2" t="s">
        <v>29</v>
      </c>
      <c r="AD1540" s="2" t="s">
        <v>30</v>
      </c>
      <c r="AE1540" s="2" t="str">
        <f t="shared" si="333"/>
        <v>Valid</v>
      </c>
      <c r="AF1540" s="2" t="s">
        <v>4194</v>
      </c>
    </row>
    <row r="1541" spans="1:32" x14ac:dyDescent="0.3">
      <c r="A1541" s="2" t="s">
        <v>4195</v>
      </c>
      <c r="B1541" s="2">
        <f t="shared" si="323"/>
        <v>1</v>
      </c>
      <c r="C1541" s="12">
        <f t="shared" si="322"/>
        <v>46238.578866157397</v>
      </c>
      <c r="D1541" s="13">
        <v>46238.578866157397</v>
      </c>
      <c r="E1541" s="2" t="s">
        <v>2628</v>
      </c>
      <c r="F1541" s="2" t="str">
        <f t="shared" si="324"/>
        <v>Email Available</v>
      </c>
      <c r="G1541" s="2" t="s">
        <v>2629</v>
      </c>
      <c r="H1541" s="2" t="s">
        <v>236</v>
      </c>
      <c r="I1541" s="2" t="s">
        <v>237</v>
      </c>
      <c r="J1541" s="2" t="s">
        <v>238</v>
      </c>
      <c r="K1541" s="2">
        <v>1</v>
      </c>
      <c r="L1541" s="2">
        <v>27.99</v>
      </c>
      <c r="M1541" s="19">
        <f t="shared" si="325"/>
        <v>27.99</v>
      </c>
      <c r="N1541" s="2" t="s">
        <v>203</v>
      </c>
      <c r="O1541" s="2" t="str">
        <f t="shared" si="326"/>
        <v>VIP15</v>
      </c>
      <c r="P1541" s="2" t="s">
        <v>3424</v>
      </c>
      <c r="Q1541" s="19">
        <f t="shared" si="327"/>
        <v>4.2</v>
      </c>
      <c r="R1541" s="2" t="str">
        <f t="shared" si="328"/>
        <v>Number</v>
      </c>
      <c r="S1541" s="2">
        <v>4.99</v>
      </c>
      <c r="T1541" s="19">
        <f t="shared" si="329"/>
        <v>4.99</v>
      </c>
      <c r="U1541" s="2">
        <v>28.78</v>
      </c>
      <c r="V1541" s="19">
        <f t="shared" si="330"/>
        <v>28.78</v>
      </c>
      <c r="W1541" s="19">
        <f t="shared" si="331"/>
        <v>28.78</v>
      </c>
      <c r="X1541" s="19" t="str">
        <f t="shared" si="332"/>
        <v>True</v>
      </c>
      <c r="Y1541" s="19" t="str">
        <f>IF(OR(W1541&lt;'Cleaning Tasks'!$G$18,W1541&gt;'Cleaning Tasks'!$H$18),"Outlier","Normal")</f>
        <v>Normal</v>
      </c>
      <c r="Z1541" s="2" t="s">
        <v>72</v>
      </c>
      <c r="AA1541" s="2" t="s">
        <v>27</v>
      </c>
      <c r="AB1541" s="2" t="s">
        <v>28</v>
      </c>
      <c r="AC1541" s="2" t="s">
        <v>29</v>
      </c>
      <c r="AD1541" s="2" t="s">
        <v>67</v>
      </c>
      <c r="AE1541" s="2" t="str">
        <f t="shared" si="333"/>
        <v>Valid</v>
      </c>
      <c r="AF1541" s="2" t="s">
        <v>4196</v>
      </c>
    </row>
    <row r="1542" spans="1:32" x14ac:dyDescent="0.3">
      <c r="A1542" s="2" t="s">
        <v>4197</v>
      </c>
      <c r="B1542" s="2">
        <f t="shared" si="323"/>
        <v>1</v>
      </c>
      <c r="C1542" s="12">
        <f t="shared" si="322"/>
        <v>46238.589143090278</v>
      </c>
      <c r="D1542" s="13">
        <v>46238.589143090278</v>
      </c>
      <c r="E1542" s="2" t="s">
        <v>867</v>
      </c>
      <c r="F1542" s="2" t="str">
        <f t="shared" si="324"/>
        <v>Email Available</v>
      </c>
      <c r="G1542" s="2" t="s">
        <v>868</v>
      </c>
      <c r="H1542" s="2" t="s">
        <v>46</v>
      </c>
      <c r="I1542" s="2" t="s">
        <v>47</v>
      </c>
      <c r="J1542" s="2" t="s">
        <v>48</v>
      </c>
      <c r="K1542" s="2">
        <v>1</v>
      </c>
      <c r="L1542" s="2">
        <v>39.99</v>
      </c>
      <c r="M1542" s="19">
        <f t="shared" si="325"/>
        <v>39.99</v>
      </c>
      <c r="N1542" s="2"/>
      <c r="O1542" s="2" t="str">
        <f t="shared" si="326"/>
        <v/>
      </c>
      <c r="P1542" s="2">
        <v>0</v>
      </c>
      <c r="Q1542" s="19">
        <f t="shared" si="327"/>
        <v>0</v>
      </c>
      <c r="R1542" s="2" t="str">
        <f t="shared" si="328"/>
        <v>Number</v>
      </c>
      <c r="S1542" s="2">
        <v>5.99</v>
      </c>
      <c r="T1542" s="19">
        <f t="shared" si="329"/>
        <v>5.99</v>
      </c>
      <c r="U1542" s="2">
        <v>45.98</v>
      </c>
      <c r="V1542" s="19">
        <f t="shared" si="330"/>
        <v>45.98</v>
      </c>
      <c r="W1542" s="19">
        <f t="shared" si="331"/>
        <v>45.980000000000004</v>
      </c>
      <c r="X1542" s="19" t="str">
        <f t="shared" si="332"/>
        <v>True</v>
      </c>
      <c r="Y1542" s="19" t="str">
        <f>IF(OR(W1542&lt;'Cleaning Tasks'!$G$18,W1542&gt;'Cleaning Tasks'!$H$18),"Outlier","Normal")</f>
        <v>Normal</v>
      </c>
      <c r="Z1542" s="2" t="s">
        <v>72</v>
      </c>
      <c r="AA1542" s="2" t="s">
        <v>40</v>
      </c>
      <c r="AB1542" s="2" t="s">
        <v>50</v>
      </c>
      <c r="AC1542" s="2" t="s">
        <v>73</v>
      </c>
      <c r="AD1542" s="2"/>
      <c r="AE1542" s="2" t="str">
        <f t="shared" si="333"/>
        <v>Not Required</v>
      </c>
      <c r="AF1542" s="2" t="s">
        <v>4198</v>
      </c>
    </row>
    <row r="1543" spans="1:32" x14ac:dyDescent="0.3">
      <c r="A1543" s="2" t="s">
        <v>4199</v>
      </c>
      <c r="B1543" s="2">
        <f t="shared" si="323"/>
        <v>1</v>
      </c>
      <c r="C1543" s="12">
        <f t="shared" si="322"/>
        <v>46238.586943981492</v>
      </c>
      <c r="D1543" s="13">
        <v>46238.586943981492</v>
      </c>
      <c r="E1543" s="2" t="s">
        <v>2097</v>
      </c>
      <c r="F1543" s="2" t="str">
        <f t="shared" si="324"/>
        <v>Email Available</v>
      </c>
      <c r="G1543" s="2" t="s">
        <v>2098</v>
      </c>
      <c r="H1543" s="2" t="s">
        <v>46</v>
      </c>
      <c r="I1543" s="2" t="s">
        <v>47</v>
      </c>
      <c r="J1543" s="2" t="s">
        <v>48</v>
      </c>
      <c r="K1543" s="2">
        <v>1</v>
      </c>
      <c r="L1543" s="2" t="s">
        <v>1493</v>
      </c>
      <c r="M1543" s="19">
        <f t="shared" si="325"/>
        <v>39.99</v>
      </c>
      <c r="N1543" s="2" t="s">
        <v>38</v>
      </c>
      <c r="O1543" s="2" t="str">
        <f t="shared" si="326"/>
        <v>FREESHIP</v>
      </c>
      <c r="P1543" s="2" t="s">
        <v>184</v>
      </c>
      <c r="Q1543" s="19">
        <f t="shared" si="327"/>
        <v>0</v>
      </c>
      <c r="R1543" s="2" t="str">
        <f t="shared" si="328"/>
        <v>Number</v>
      </c>
      <c r="S1543" s="2">
        <v>0</v>
      </c>
      <c r="T1543" s="19">
        <f t="shared" si="329"/>
        <v>0</v>
      </c>
      <c r="U1543" s="2">
        <v>39.99</v>
      </c>
      <c r="V1543" s="19">
        <f t="shared" si="330"/>
        <v>39.99</v>
      </c>
      <c r="W1543" s="19">
        <f t="shared" si="331"/>
        <v>39.99</v>
      </c>
      <c r="X1543" s="19" t="str">
        <f t="shared" si="332"/>
        <v>True</v>
      </c>
      <c r="Y1543" s="19" t="str">
        <f>IF(OR(W1543&lt;'Cleaning Tasks'!$G$18,W1543&gt;'Cleaning Tasks'!$H$18),"Outlier","Normal")</f>
        <v>Normal</v>
      </c>
      <c r="Z1543" s="2" t="s">
        <v>72</v>
      </c>
      <c r="AA1543" s="2" t="s">
        <v>111</v>
      </c>
      <c r="AB1543" s="2" t="s">
        <v>50</v>
      </c>
      <c r="AC1543" s="2" t="s">
        <v>223</v>
      </c>
      <c r="AD1543" s="2"/>
      <c r="AE1543" s="2" t="str">
        <f t="shared" si="333"/>
        <v>Not Required</v>
      </c>
      <c r="AF1543" s="2" t="s">
        <v>4200</v>
      </c>
    </row>
    <row r="1544" spans="1:32" x14ac:dyDescent="0.3">
      <c r="A1544" s="2" t="s">
        <v>4201</v>
      </c>
      <c r="B1544" s="2">
        <f t="shared" si="323"/>
        <v>1</v>
      </c>
      <c r="C1544" s="12">
        <f t="shared" si="322"/>
        <v>46238.585546608803</v>
      </c>
      <c r="D1544" s="13">
        <v>46238.585546608803</v>
      </c>
      <c r="E1544" s="2" t="s">
        <v>3115</v>
      </c>
      <c r="F1544" s="2" t="str">
        <f t="shared" si="324"/>
        <v>Email Available</v>
      </c>
      <c r="G1544" s="2" t="s">
        <v>260</v>
      </c>
      <c r="H1544" s="2" t="s">
        <v>124</v>
      </c>
      <c r="I1544" s="2" t="s">
        <v>79</v>
      </c>
      <c r="J1544" s="2" t="s">
        <v>125</v>
      </c>
      <c r="K1544" s="2">
        <v>1</v>
      </c>
      <c r="L1544" s="2">
        <v>13.99</v>
      </c>
      <c r="M1544" s="19">
        <f t="shared" si="325"/>
        <v>13.99</v>
      </c>
      <c r="N1544" s="2" t="s">
        <v>118</v>
      </c>
      <c r="O1544" s="2" t="str">
        <f t="shared" si="326"/>
        <v>BFCM25</v>
      </c>
      <c r="P1544" s="2">
        <v>3.5</v>
      </c>
      <c r="Q1544" s="19">
        <f t="shared" si="327"/>
        <v>3.5</v>
      </c>
      <c r="R1544" s="2" t="str">
        <f t="shared" si="328"/>
        <v>Number</v>
      </c>
      <c r="S1544" s="2">
        <v>4.99</v>
      </c>
      <c r="T1544" s="19">
        <f t="shared" si="329"/>
        <v>4.99</v>
      </c>
      <c r="U1544" s="2">
        <v>15.48</v>
      </c>
      <c r="V1544" s="19">
        <f t="shared" si="330"/>
        <v>15.48</v>
      </c>
      <c r="W1544" s="19">
        <f t="shared" si="331"/>
        <v>15.48</v>
      </c>
      <c r="X1544" s="19" t="str">
        <f t="shared" si="332"/>
        <v>True</v>
      </c>
      <c r="Y1544" s="19" t="str">
        <f>IF(OR(W1544&lt;'Cleaning Tasks'!$G$18,W1544&gt;'Cleaning Tasks'!$H$18),"Outlier","Normal")</f>
        <v>Normal</v>
      </c>
      <c r="Z1544" s="2" t="s">
        <v>72</v>
      </c>
      <c r="AA1544" s="2" t="s">
        <v>27</v>
      </c>
      <c r="AB1544" s="2" t="s">
        <v>28</v>
      </c>
      <c r="AC1544" s="2" t="s">
        <v>29</v>
      </c>
      <c r="AD1544" s="2" t="s">
        <v>89</v>
      </c>
      <c r="AE1544" s="2" t="str">
        <f t="shared" si="333"/>
        <v>Valid</v>
      </c>
      <c r="AF1544" s="2" t="s">
        <v>4202</v>
      </c>
    </row>
    <row r="1545" spans="1:32" x14ac:dyDescent="0.3">
      <c r="A1545" s="2" t="s">
        <v>4203</v>
      </c>
      <c r="B1545" s="2">
        <f t="shared" si="323"/>
        <v>1</v>
      </c>
      <c r="C1545" s="12">
        <f t="shared" si="322"/>
        <v>46238.58345431713</v>
      </c>
      <c r="D1545" s="13">
        <v>46238.58345431713</v>
      </c>
      <c r="E1545" s="2" t="s">
        <v>1031</v>
      </c>
      <c r="F1545" s="2" t="str">
        <f t="shared" si="324"/>
        <v>Email Available</v>
      </c>
      <c r="G1545" s="2" t="s">
        <v>1032</v>
      </c>
      <c r="H1545" s="2" t="s">
        <v>85</v>
      </c>
      <c r="I1545" s="2" t="s">
        <v>86</v>
      </c>
      <c r="J1545" s="2" t="s">
        <v>87</v>
      </c>
      <c r="K1545" s="2">
        <v>1</v>
      </c>
      <c r="L1545" s="2">
        <v>54.99</v>
      </c>
      <c r="M1545" s="19">
        <f t="shared" si="325"/>
        <v>54.99</v>
      </c>
      <c r="N1545" s="2"/>
      <c r="O1545" s="2" t="str">
        <f t="shared" si="326"/>
        <v/>
      </c>
      <c r="P1545" s="2">
        <v>0</v>
      </c>
      <c r="Q1545" s="19">
        <f t="shared" si="327"/>
        <v>0</v>
      </c>
      <c r="R1545" s="2" t="str">
        <f t="shared" si="328"/>
        <v>Number</v>
      </c>
      <c r="S1545" s="2">
        <v>5.99</v>
      </c>
      <c r="T1545" s="19">
        <f t="shared" si="329"/>
        <v>5.99</v>
      </c>
      <c r="U1545" s="2">
        <v>60.98</v>
      </c>
      <c r="V1545" s="19">
        <f t="shared" si="330"/>
        <v>60.98</v>
      </c>
      <c r="W1545" s="19">
        <f t="shared" si="331"/>
        <v>60.980000000000004</v>
      </c>
      <c r="X1545" s="19" t="str">
        <f t="shared" si="332"/>
        <v>True</v>
      </c>
      <c r="Y1545" s="19" t="str">
        <f>IF(OR(W1545&lt;'Cleaning Tasks'!$G$18,W1545&gt;'Cleaning Tasks'!$H$18),"Outlier","Normal")</f>
        <v>Normal</v>
      </c>
      <c r="Z1545" s="2" t="s">
        <v>66</v>
      </c>
      <c r="AA1545" s="2" t="s">
        <v>27</v>
      </c>
      <c r="AB1545" s="2" t="s">
        <v>50</v>
      </c>
      <c r="AC1545" s="2" t="s">
        <v>29</v>
      </c>
      <c r="AD1545" s="2" t="s">
        <v>112</v>
      </c>
      <c r="AE1545" s="2" t="str">
        <f t="shared" si="333"/>
        <v>Valid</v>
      </c>
      <c r="AF1545" s="2" t="s">
        <v>4204</v>
      </c>
    </row>
    <row r="1546" spans="1:32" x14ac:dyDescent="0.3">
      <c r="A1546" s="2" t="s">
        <v>4205</v>
      </c>
      <c r="B1546" s="2">
        <f t="shared" si="323"/>
        <v>1</v>
      </c>
      <c r="C1546" s="12">
        <f t="shared" si="322"/>
        <v>46238.586556284718</v>
      </c>
      <c r="D1546" s="13">
        <v>46238.586556284718</v>
      </c>
      <c r="E1546" s="2" t="s">
        <v>3371</v>
      </c>
      <c r="F1546" s="2" t="str">
        <f t="shared" si="324"/>
        <v>Email Available</v>
      </c>
      <c r="G1546" s="2" t="s">
        <v>3372</v>
      </c>
      <c r="H1546" s="2" t="s">
        <v>267</v>
      </c>
      <c r="I1546" s="2" t="s">
        <v>22</v>
      </c>
      <c r="J1546" s="2" t="s">
        <v>268</v>
      </c>
      <c r="K1546" s="2">
        <v>1</v>
      </c>
      <c r="L1546" s="2">
        <v>18.989999999999998</v>
      </c>
      <c r="M1546" s="19">
        <f t="shared" si="325"/>
        <v>18.989999999999998</v>
      </c>
      <c r="N1546" s="2" t="s">
        <v>38</v>
      </c>
      <c r="O1546" s="2" t="str">
        <f t="shared" si="326"/>
        <v>FREESHIP</v>
      </c>
      <c r="P1546" s="2">
        <v>0</v>
      </c>
      <c r="Q1546" s="19">
        <f t="shared" si="327"/>
        <v>0</v>
      </c>
      <c r="R1546" s="2" t="str">
        <f t="shared" si="328"/>
        <v>Number</v>
      </c>
      <c r="S1546" s="2">
        <v>0</v>
      </c>
      <c r="T1546" s="19">
        <f t="shared" si="329"/>
        <v>0</v>
      </c>
      <c r="U1546" s="2">
        <v>18.989999999999998</v>
      </c>
      <c r="V1546" s="19">
        <f t="shared" si="330"/>
        <v>18.989999999999998</v>
      </c>
      <c r="W1546" s="19">
        <f t="shared" si="331"/>
        <v>18.989999999999998</v>
      </c>
      <c r="X1546" s="19" t="str">
        <f t="shared" si="332"/>
        <v>True</v>
      </c>
      <c r="Y1546" s="19" t="str">
        <f>IF(OR(W1546&lt;'Cleaning Tasks'!$G$18,W1546&gt;'Cleaning Tasks'!$H$18),"Outlier","Normal")</f>
        <v>Normal</v>
      </c>
      <c r="Z1546" s="2" t="s">
        <v>26</v>
      </c>
      <c r="AA1546" s="2" t="s">
        <v>88</v>
      </c>
      <c r="AB1546" s="2" t="s">
        <v>50</v>
      </c>
      <c r="AC1546" s="2" t="s">
        <v>331</v>
      </c>
      <c r="AD1546" s="2"/>
      <c r="AE1546" s="2" t="str">
        <f t="shared" si="333"/>
        <v>Not Required</v>
      </c>
      <c r="AF1546" s="2" t="s">
        <v>4206</v>
      </c>
    </row>
    <row r="1547" spans="1:32" x14ac:dyDescent="0.3">
      <c r="A1547" s="2" t="s">
        <v>4207</v>
      </c>
      <c r="B1547" s="2">
        <f t="shared" si="323"/>
        <v>1</v>
      </c>
      <c r="C1547" s="12">
        <f t="shared" si="322"/>
        <v>46238.585821342589</v>
      </c>
      <c r="D1547" s="13">
        <v>46238.585821342589</v>
      </c>
      <c r="E1547" s="2" t="s">
        <v>1157</v>
      </c>
      <c r="F1547" s="2" t="str">
        <f t="shared" si="324"/>
        <v>Email Available</v>
      </c>
      <c r="G1547" s="2" t="s">
        <v>1158</v>
      </c>
      <c r="H1547" s="2" t="s">
        <v>35</v>
      </c>
      <c r="I1547" s="2" t="s">
        <v>36</v>
      </c>
      <c r="J1547" s="2" t="s">
        <v>37</v>
      </c>
      <c r="K1547" s="2">
        <v>1</v>
      </c>
      <c r="L1547" s="2">
        <v>21.99</v>
      </c>
      <c r="M1547" s="19">
        <f t="shared" si="325"/>
        <v>21.99</v>
      </c>
      <c r="N1547" s="2" t="s">
        <v>203</v>
      </c>
      <c r="O1547" s="2" t="str">
        <f t="shared" si="326"/>
        <v>VIP15</v>
      </c>
      <c r="P1547" s="2">
        <v>3.3</v>
      </c>
      <c r="Q1547" s="19">
        <f t="shared" si="327"/>
        <v>3.3</v>
      </c>
      <c r="R1547" s="2" t="str">
        <f t="shared" si="328"/>
        <v>Number</v>
      </c>
      <c r="S1547" s="2">
        <v>5.99</v>
      </c>
      <c r="T1547" s="19">
        <f t="shared" si="329"/>
        <v>5.99</v>
      </c>
      <c r="U1547" s="2" t="s">
        <v>4208</v>
      </c>
      <c r="V1547" s="19">
        <f t="shared" si="330"/>
        <v>24.68</v>
      </c>
      <c r="W1547" s="19">
        <f t="shared" si="331"/>
        <v>24.68</v>
      </c>
      <c r="X1547" s="19" t="str">
        <f t="shared" si="332"/>
        <v>True</v>
      </c>
      <c r="Y1547" s="19" t="str">
        <f>IF(OR(W1547&lt;'Cleaning Tasks'!$G$18,W1547&gt;'Cleaning Tasks'!$H$18),"Outlier","Normal")</f>
        <v>Normal</v>
      </c>
      <c r="Z1547" s="2" t="s">
        <v>66</v>
      </c>
      <c r="AA1547" s="2" t="s">
        <v>27</v>
      </c>
      <c r="AB1547" s="2" t="s">
        <v>41</v>
      </c>
      <c r="AC1547" s="2" t="s">
        <v>42</v>
      </c>
      <c r="AD1547" s="2"/>
      <c r="AE1547" s="2" t="str">
        <f t="shared" si="333"/>
        <v>Not Required</v>
      </c>
      <c r="AF1547" s="2" t="s">
        <v>4209</v>
      </c>
    </row>
    <row r="1548" spans="1:32" x14ac:dyDescent="0.3">
      <c r="A1548" s="2" t="s">
        <v>4210</v>
      </c>
      <c r="B1548" s="2">
        <f t="shared" si="323"/>
        <v>1</v>
      </c>
      <c r="C1548" s="12">
        <f t="shared" si="322"/>
        <v>46238.579535254627</v>
      </c>
      <c r="D1548" s="13">
        <v>46238.579535254627</v>
      </c>
      <c r="E1548" s="2" t="s">
        <v>4211</v>
      </c>
      <c r="F1548" s="2" t="str">
        <f t="shared" si="324"/>
        <v>Email Available</v>
      </c>
      <c r="G1548" s="2" t="s">
        <v>3416</v>
      </c>
      <c r="H1548" s="2" t="s">
        <v>236</v>
      </c>
      <c r="I1548" s="2" t="s">
        <v>237</v>
      </c>
      <c r="J1548" s="2" t="s">
        <v>238</v>
      </c>
      <c r="K1548" s="2">
        <v>2</v>
      </c>
      <c r="L1548" s="2">
        <v>27.99</v>
      </c>
      <c r="M1548" s="19">
        <f t="shared" si="325"/>
        <v>27.99</v>
      </c>
      <c r="N1548" s="2" t="s">
        <v>203</v>
      </c>
      <c r="O1548" s="2" t="str">
        <f t="shared" si="326"/>
        <v>VIP15</v>
      </c>
      <c r="P1548" s="2">
        <v>8.4</v>
      </c>
      <c r="Q1548" s="19">
        <f t="shared" si="327"/>
        <v>8.4</v>
      </c>
      <c r="R1548" s="2" t="str">
        <f t="shared" si="328"/>
        <v>Number</v>
      </c>
      <c r="S1548" s="2">
        <v>4.99</v>
      </c>
      <c r="T1548" s="19">
        <f t="shared" si="329"/>
        <v>4.99</v>
      </c>
      <c r="U1548" s="2">
        <v>52.57</v>
      </c>
      <c r="V1548" s="19">
        <f t="shared" si="330"/>
        <v>52.57</v>
      </c>
      <c r="W1548" s="19">
        <f t="shared" si="331"/>
        <v>52.57</v>
      </c>
      <c r="X1548" s="19" t="str">
        <f t="shared" si="332"/>
        <v>True</v>
      </c>
      <c r="Y1548" s="19" t="str">
        <f>IF(OR(W1548&lt;'Cleaning Tasks'!$G$18,W1548&gt;'Cleaning Tasks'!$H$18),"Outlier","Normal")</f>
        <v>Normal</v>
      </c>
      <c r="Z1548" s="2" t="s">
        <v>49</v>
      </c>
      <c r="AA1548" s="2" t="s">
        <v>111</v>
      </c>
      <c r="AB1548" s="2" t="s">
        <v>50</v>
      </c>
      <c r="AC1548" s="2" t="s">
        <v>29</v>
      </c>
      <c r="AD1548" s="2" t="s">
        <v>67</v>
      </c>
      <c r="AE1548" s="2" t="str">
        <f t="shared" si="333"/>
        <v>Valid</v>
      </c>
      <c r="AF1548" s="2" t="s">
        <v>4212</v>
      </c>
    </row>
    <row r="1549" spans="1:32" x14ac:dyDescent="0.3">
      <c r="A1549" s="2" t="s">
        <v>4213</v>
      </c>
      <c r="B1549" s="2">
        <f t="shared" si="323"/>
        <v>1</v>
      </c>
      <c r="C1549" s="12">
        <f t="shared" si="322"/>
        <v>46238.579164826391</v>
      </c>
      <c r="D1549" s="13">
        <v>46238.579164826391</v>
      </c>
      <c r="E1549" s="2" t="s">
        <v>1455</v>
      </c>
      <c r="F1549" s="2" t="str">
        <f t="shared" si="324"/>
        <v>Email Available</v>
      </c>
      <c r="G1549" s="2" t="s">
        <v>1279</v>
      </c>
      <c r="H1549" s="2" t="s">
        <v>35</v>
      </c>
      <c r="I1549" s="2" t="s">
        <v>36</v>
      </c>
      <c r="J1549" s="2" t="s">
        <v>37</v>
      </c>
      <c r="K1549" s="2">
        <v>1</v>
      </c>
      <c r="L1549" s="2">
        <v>21.99</v>
      </c>
      <c r="M1549" s="19">
        <f t="shared" si="325"/>
        <v>21.99</v>
      </c>
      <c r="N1549" s="2" t="s">
        <v>65</v>
      </c>
      <c r="O1549" s="2" t="str">
        <f t="shared" si="326"/>
        <v>WELCOME10</v>
      </c>
      <c r="P1549" s="2">
        <v>2.2000000000000002</v>
      </c>
      <c r="Q1549" s="19">
        <f t="shared" si="327"/>
        <v>2.2000000000000002</v>
      </c>
      <c r="R1549" s="2" t="str">
        <f t="shared" si="328"/>
        <v>Number</v>
      </c>
      <c r="S1549" s="2">
        <v>7.99</v>
      </c>
      <c r="T1549" s="19">
        <f t="shared" si="329"/>
        <v>7.99</v>
      </c>
      <c r="U1549" s="2">
        <v>27.78</v>
      </c>
      <c r="V1549" s="19">
        <f t="shared" si="330"/>
        <v>27.78</v>
      </c>
      <c r="W1549" s="19">
        <f t="shared" si="331"/>
        <v>27.78</v>
      </c>
      <c r="X1549" s="19" t="str">
        <f t="shared" si="332"/>
        <v>True</v>
      </c>
      <c r="Y1549" s="19" t="str">
        <f>IF(OR(W1549&lt;'Cleaning Tasks'!$G$18,W1549&gt;'Cleaning Tasks'!$H$18),"Outlier","Normal")</f>
        <v>Normal</v>
      </c>
      <c r="Z1549" s="2" t="s">
        <v>26</v>
      </c>
      <c r="AA1549" s="2" t="s">
        <v>27</v>
      </c>
      <c r="AB1549" s="2" t="s">
        <v>50</v>
      </c>
      <c r="AC1549" s="2" t="s">
        <v>29</v>
      </c>
      <c r="AD1549" s="22" t="s">
        <v>51</v>
      </c>
      <c r="AE1549" s="2" t="str">
        <f t="shared" si="333"/>
        <v>Valid</v>
      </c>
      <c r="AF1549" s="2" t="s">
        <v>4214</v>
      </c>
    </row>
    <row r="1550" spans="1:32" x14ac:dyDescent="0.3">
      <c r="A1550" s="2" t="s">
        <v>4215</v>
      </c>
      <c r="B1550" s="2">
        <f t="shared" si="323"/>
        <v>1</v>
      </c>
      <c r="C1550" s="12">
        <f t="shared" si="322"/>
        <v>46238.583263067128</v>
      </c>
      <c r="D1550" s="13">
        <v>46238.583263067128</v>
      </c>
      <c r="E1550" s="2" t="s">
        <v>339</v>
      </c>
      <c r="F1550" s="2" t="str">
        <f t="shared" si="324"/>
        <v>Email Available</v>
      </c>
      <c r="G1550" s="2" t="s">
        <v>445</v>
      </c>
      <c r="H1550" s="2" t="s">
        <v>102</v>
      </c>
      <c r="I1550" s="2" t="s">
        <v>103</v>
      </c>
      <c r="J1550" s="2" t="s">
        <v>104</v>
      </c>
      <c r="K1550" s="2">
        <v>1</v>
      </c>
      <c r="L1550" s="2">
        <v>19.989999999999998</v>
      </c>
      <c r="M1550" s="19">
        <f t="shared" si="325"/>
        <v>19.989999999999998</v>
      </c>
      <c r="N1550" s="2"/>
      <c r="O1550" s="2" t="str">
        <f t="shared" si="326"/>
        <v/>
      </c>
      <c r="P1550" s="2">
        <v>0</v>
      </c>
      <c r="Q1550" s="19">
        <f t="shared" si="327"/>
        <v>0</v>
      </c>
      <c r="R1550" s="2" t="str">
        <f t="shared" si="328"/>
        <v>Number</v>
      </c>
      <c r="S1550" s="2">
        <v>4.99</v>
      </c>
      <c r="T1550" s="19">
        <f t="shared" si="329"/>
        <v>4.99</v>
      </c>
      <c r="U1550" s="2">
        <v>24.98</v>
      </c>
      <c r="V1550" s="19">
        <f t="shared" si="330"/>
        <v>24.98</v>
      </c>
      <c r="W1550" s="19">
        <f t="shared" si="331"/>
        <v>24.979999999999997</v>
      </c>
      <c r="X1550" s="19" t="str">
        <f t="shared" si="332"/>
        <v>True</v>
      </c>
      <c r="Y1550" s="19" t="str">
        <f>IF(OR(W1550&lt;'Cleaning Tasks'!$G$18,W1550&gt;'Cleaning Tasks'!$H$18),"Outlier","Normal")</f>
        <v>Normal</v>
      </c>
      <c r="Z1550" s="2" t="s">
        <v>72</v>
      </c>
      <c r="AA1550" s="2" t="s">
        <v>111</v>
      </c>
      <c r="AB1550" s="2" t="s">
        <v>50</v>
      </c>
      <c r="AC1550" s="2" t="s">
        <v>29</v>
      </c>
      <c r="AD1550" s="2" t="s">
        <v>51</v>
      </c>
      <c r="AE1550" s="2" t="str">
        <f t="shared" si="333"/>
        <v>Valid</v>
      </c>
      <c r="AF1550" s="2" t="s">
        <v>4216</v>
      </c>
    </row>
    <row r="1551" spans="1:32" x14ac:dyDescent="0.3">
      <c r="A1551" s="2" t="s">
        <v>4217</v>
      </c>
      <c r="B1551" s="2">
        <f t="shared" si="323"/>
        <v>1</v>
      </c>
      <c r="C1551" s="12">
        <f t="shared" si="322"/>
        <v>46238</v>
      </c>
      <c r="D1551" s="13">
        <v>46238</v>
      </c>
      <c r="E1551" s="2" t="s">
        <v>3312</v>
      </c>
      <c r="F1551" s="2" t="str">
        <f t="shared" si="324"/>
        <v>Email Available</v>
      </c>
      <c r="G1551" s="2" t="s">
        <v>737</v>
      </c>
      <c r="H1551" s="2" t="s">
        <v>201</v>
      </c>
      <c r="I1551" s="2" t="s">
        <v>191</v>
      </c>
      <c r="J1551" s="2" t="s">
        <v>202</v>
      </c>
      <c r="K1551" s="2">
        <v>1</v>
      </c>
      <c r="L1551" s="2" t="s">
        <v>1212</v>
      </c>
      <c r="M1551" s="19">
        <f t="shared" si="325"/>
        <v>24.99</v>
      </c>
      <c r="N1551" s="2" t="s">
        <v>118</v>
      </c>
      <c r="O1551" s="2" t="str">
        <f t="shared" si="326"/>
        <v>BFCM25</v>
      </c>
      <c r="P1551" s="2">
        <v>6.25</v>
      </c>
      <c r="Q1551" s="19">
        <f t="shared" si="327"/>
        <v>6.25</v>
      </c>
      <c r="R1551" s="2" t="str">
        <f t="shared" si="328"/>
        <v>Number</v>
      </c>
      <c r="S1551" s="2">
        <v>5.99</v>
      </c>
      <c r="T1551" s="19">
        <f t="shared" si="329"/>
        <v>5.99</v>
      </c>
      <c r="U1551" s="2">
        <v>24.73</v>
      </c>
      <c r="V1551" s="19">
        <f t="shared" si="330"/>
        <v>24.73</v>
      </c>
      <c r="W1551" s="19">
        <f t="shared" si="331"/>
        <v>24.729999999999997</v>
      </c>
      <c r="X1551" s="19" t="str">
        <f t="shared" si="332"/>
        <v>True</v>
      </c>
      <c r="Y1551" s="19" t="str">
        <f>IF(OR(W1551&lt;'Cleaning Tasks'!$G$18,W1551&gt;'Cleaning Tasks'!$H$18),"Outlier","Normal")</f>
        <v>Normal</v>
      </c>
      <c r="Z1551" s="2" t="s">
        <v>26</v>
      </c>
      <c r="AA1551" s="2" t="s">
        <v>27</v>
      </c>
      <c r="AB1551" s="2" t="s">
        <v>50</v>
      </c>
      <c r="AC1551" s="2" t="s">
        <v>29</v>
      </c>
      <c r="AD1551" s="2" t="s">
        <v>140</v>
      </c>
      <c r="AE1551" s="2" t="str">
        <f t="shared" si="333"/>
        <v>Valid</v>
      </c>
      <c r="AF1551" s="2" t="s">
        <v>4218</v>
      </c>
    </row>
    <row r="1552" spans="1:32" x14ac:dyDescent="0.3">
      <c r="A1552" s="2" t="s">
        <v>4219</v>
      </c>
      <c r="B1552" s="2">
        <f t="shared" si="323"/>
        <v>1</v>
      </c>
      <c r="C1552" s="12">
        <f t="shared" si="322"/>
        <v>46238.583467627323</v>
      </c>
      <c r="D1552" s="13">
        <v>46238.583467627323</v>
      </c>
      <c r="E1552" s="2" t="s">
        <v>195</v>
      </c>
      <c r="F1552" s="2" t="str">
        <f t="shared" si="324"/>
        <v>Email Available</v>
      </c>
      <c r="G1552" s="2" t="s">
        <v>196</v>
      </c>
      <c r="H1552" s="2" t="s">
        <v>221</v>
      </c>
      <c r="I1552" s="2" t="s">
        <v>22</v>
      </c>
      <c r="J1552" s="2" t="s">
        <v>222</v>
      </c>
      <c r="K1552" s="2">
        <v>2</v>
      </c>
      <c r="L1552" s="2">
        <v>17.989999999999998</v>
      </c>
      <c r="M1552" s="19">
        <f t="shared" si="325"/>
        <v>17.989999999999998</v>
      </c>
      <c r="N1552" s="2" t="s">
        <v>118</v>
      </c>
      <c r="O1552" s="2" t="str">
        <f t="shared" si="326"/>
        <v>BFCM25</v>
      </c>
      <c r="P1552" s="2">
        <v>8.99</v>
      </c>
      <c r="Q1552" s="19">
        <f t="shared" si="327"/>
        <v>8.99</v>
      </c>
      <c r="R1552" s="2" t="str">
        <f t="shared" si="328"/>
        <v>Number</v>
      </c>
      <c r="S1552" s="2">
        <v>5.99</v>
      </c>
      <c r="T1552" s="19">
        <f t="shared" si="329"/>
        <v>5.99</v>
      </c>
      <c r="U1552" s="2">
        <v>32.979999999999997</v>
      </c>
      <c r="V1552" s="19">
        <f t="shared" si="330"/>
        <v>32.979999999999997</v>
      </c>
      <c r="W1552" s="19">
        <f t="shared" si="331"/>
        <v>32.979999999999997</v>
      </c>
      <c r="X1552" s="19" t="str">
        <f t="shared" si="332"/>
        <v>True</v>
      </c>
      <c r="Y1552" s="19" t="str">
        <f>IF(OR(W1552&lt;'Cleaning Tasks'!$G$18,W1552&gt;'Cleaning Tasks'!$H$18),"Outlier","Normal")</f>
        <v>Normal</v>
      </c>
      <c r="Z1552" s="2" t="s">
        <v>72</v>
      </c>
      <c r="AA1552" s="2" t="s">
        <v>27</v>
      </c>
      <c r="AB1552" s="2" t="s">
        <v>50</v>
      </c>
      <c r="AC1552" s="2" t="s">
        <v>29</v>
      </c>
      <c r="AD1552" s="22" t="s">
        <v>67</v>
      </c>
      <c r="AE1552" s="2" t="str">
        <f t="shared" si="333"/>
        <v>Valid</v>
      </c>
      <c r="AF1552" s="2" t="s">
        <v>4220</v>
      </c>
    </row>
    <row r="1553" spans="1:32" x14ac:dyDescent="0.3">
      <c r="A1553" s="2" t="s">
        <v>4221</v>
      </c>
      <c r="B1553" s="2">
        <f t="shared" si="323"/>
        <v>1</v>
      </c>
      <c r="C1553" s="12">
        <f t="shared" si="322"/>
        <v>46238</v>
      </c>
      <c r="D1553" s="13">
        <v>46238</v>
      </c>
      <c r="E1553" s="2" t="s">
        <v>4222</v>
      </c>
      <c r="F1553" s="2" t="str">
        <f t="shared" si="324"/>
        <v>Email Available</v>
      </c>
      <c r="G1553" s="2" t="s">
        <v>292</v>
      </c>
      <c r="H1553" s="2" t="s">
        <v>361</v>
      </c>
      <c r="I1553" s="2" t="s">
        <v>86</v>
      </c>
      <c r="J1553" s="2" t="s">
        <v>362</v>
      </c>
      <c r="K1553" s="2">
        <v>1</v>
      </c>
      <c r="L1553" s="2">
        <v>54.99</v>
      </c>
      <c r="M1553" s="19">
        <f t="shared" si="325"/>
        <v>54.99</v>
      </c>
      <c r="N1553" s="2" t="s">
        <v>203</v>
      </c>
      <c r="O1553" s="2" t="str">
        <f t="shared" si="326"/>
        <v>VIP15</v>
      </c>
      <c r="P1553" s="2">
        <v>8.25</v>
      </c>
      <c r="Q1553" s="19">
        <f t="shared" si="327"/>
        <v>8.25</v>
      </c>
      <c r="R1553" s="2" t="str">
        <f t="shared" si="328"/>
        <v>Number</v>
      </c>
      <c r="S1553" s="2">
        <v>4.99</v>
      </c>
      <c r="T1553" s="19">
        <f t="shared" si="329"/>
        <v>4.99</v>
      </c>
      <c r="U1553" s="2">
        <v>51.73</v>
      </c>
      <c r="V1553" s="19">
        <f t="shared" si="330"/>
        <v>51.73</v>
      </c>
      <c r="W1553" s="19">
        <f t="shared" si="331"/>
        <v>51.730000000000004</v>
      </c>
      <c r="X1553" s="19" t="str">
        <f t="shared" si="332"/>
        <v>True</v>
      </c>
      <c r="Y1553" s="19" t="str">
        <f>IF(OR(W1553&lt;'Cleaning Tasks'!$G$18,W1553&gt;'Cleaning Tasks'!$H$18),"Outlier","Normal")</f>
        <v>Normal</v>
      </c>
      <c r="Z1553" s="2" t="s">
        <v>66</v>
      </c>
      <c r="AA1553" s="2" t="s">
        <v>40</v>
      </c>
      <c r="AB1553" s="2" t="s">
        <v>96</v>
      </c>
      <c r="AC1553" s="2" t="s">
        <v>223</v>
      </c>
      <c r="AD1553" s="2"/>
      <c r="AE1553" s="2" t="str">
        <f t="shared" si="333"/>
        <v>Not Required</v>
      </c>
      <c r="AF1553" s="2" t="s">
        <v>4223</v>
      </c>
    </row>
    <row r="1554" spans="1:32" x14ac:dyDescent="0.3">
      <c r="A1554" s="2" t="s">
        <v>4224</v>
      </c>
      <c r="B1554" s="2">
        <f t="shared" si="323"/>
        <v>1</v>
      </c>
      <c r="C1554" s="12">
        <f t="shared" si="322"/>
        <v>46238</v>
      </c>
      <c r="D1554" s="13">
        <v>46238</v>
      </c>
      <c r="E1554" s="2" t="s">
        <v>329</v>
      </c>
      <c r="F1554" s="2" t="str">
        <f t="shared" si="324"/>
        <v>Missing Email</v>
      </c>
      <c r="G1554" s="2"/>
      <c r="H1554" s="2" t="s">
        <v>63</v>
      </c>
      <c r="I1554" s="2" t="s">
        <v>47</v>
      </c>
      <c r="J1554" s="2" t="s">
        <v>64</v>
      </c>
      <c r="K1554" s="2">
        <v>1</v>
      </c>
      <c r="L1554" s="2">
        <v>14.99</v>
      </c>
      <c r="M1554" s="19">
        <f t="shared" si="325"/>
        <v>14.99</v>
      </c>
      <c r="N1554" s="2" t="s">
        <v>118</v>
      </c>
      <c r="O1554" s="2" t="str">
        <f t="shared" si="326"/>
        <v>BFCM25</v>
      </c>
      <c r="P1554" s="2">
        <v>3.75</v>
      </c>
      <c r="Q1554" s="19">
        <f t="shared" si="327"/>
        <v>3.75</v>
      </c>
      <c r="R1554" s="2" t="str">
        <f t="shared" si="328"/>
        <v>Number</v>
      </c>
      <c r="S1554" s="2">
        <v>5.99</v>
      </c>
      <c r="T1554" s="19">
        <f t="shared" si="329"/>
        <v>5.99</v>
      </c>
      <c r="U1554" s="2">
        <v>17.23</v>
      </c>
      <c r="V1554" s="19">
        <f t="shared" si="330"/>
        <v>17.23</v>
      </c>
      <c r="W1554" s="19">
        <f t="shared" si="331"/>
        <v>17.23</v>
      </c>
      <c r="X1554" s="19" t="str">
        <f t="shared" si="332"/>
        <v>True</v>
      </c>
      <c r="Y1554" s="19" t="str">
        <f>IF(OR(W1554&lt;'Cleaning Tasks'!$G$18,W1554&gt;'Cleaning Tasks'!$H$18),"Outlier","Normal")</f>
        <v>Normal</v>
      </c>
      <c r="Z1554" s="2" t="s">
        <v>26</v>
      </c>
      <c r="AA1554" s="2" t="s">
        <v>111</v>
      </c>
      <c r="AB1554" s="2" t="s">
        <v>50</v>
      </c>
      <c r="AC1554" s="2" t="s">
        <v>331</v>
      </c>
      <c r="AD1554" s="2"/>
      <c r="AE1554" s="2" t="str">
        <f t="shared" si="333"/>
        <v>Not Required</v>
      </c>
      <c r="AF1554" s="2" t="s">
        <v>4225</v>
      </c>
    </row>
    <row r="1555" spans="1:32" x14ac:dyDescent="0.3">
      <c r="A1555" s="2" t="s">
        <v>4226</v>
      </c>
      <c r="B1555" s="2">
        <f t="shared" si="323"/>
        <v>1</v>
      </c>
      <c r="C1555" s="12">
        <f t="shared" si="322"/>
        <v>46238.588210347218</v>
      </c>
      <c r="D1555" s="13">
        <v>46238.588210347218</v>
      </c>
      <c r="E1555" s="2" t="s">
        <v>2304</v>
      </c>
      <c r="F1555" s="2" t="str">
        <f t="shared" si="324"/>
        <v>Email Available</v>
      </c>
      <c r="G1555" s="2" t="s">
        <v>2305</v>
      </c>
      <c r="H1555" s="2" t="s">
        <v>182</v>
      </c>
      <c r="I1555" s="2" t="s">
        <v>36</v>
      </c>
      <c r="J1555" s="2" t="s">
        <v>183</v>
      </c>
      <c r="K1555" s="2">
        <v>1</v>
      </c>
      <c r="L1555" s="2">
        <v>11.99</v>
      </c>
      <c r="M1555" s="19">
        <f t="shared" si="325"/>
        <v>11.99</v>
      </c>
      <c r="N1555" s="2" t="s">
        <v>65</v>
      </c>
      <c r="O1555" s="2" t="str">
        <f t="shared" si="326"/>
        <v>WELCOME10</v>
      </c>
      <c r="P1555" s="2">
        <v>1.2</v>
      </c>
      <c r="Q1555" s="19">
        <f t="shared" si="327"/>
        <v>1.2</v>
      </c>
      <c r="R1555" s="2" t="str">
        <f t="shared" si="328"/>
        <v>Number</v>
      </c>
      <c r="S1555" s="2">
        <v>5.99</v>
      </c>
      <c r="T1555" s="19">
        <f t="shared" si="329"/>
        <v>5.99</v>
      </c>
      <c r="U1555" s="2">
        <v>16.78</v>
      </c>
      <c r="V1555" s="19">
        <f t="shared" si="330"/>
        <v>16.78</v>
      </c>
      <c r="W1555" s="19">
        <f t="shared" si="331"/>
        <v>16.78</v>
      </c>
      <c r="X1555" s="19" t="str">
        <f t="shared" si="332"/>
        <v>True</v>
      </c>
      <c r="Y1555" s="19" t="str">
        <f>IF(OR(W1555&lt;'Cleaning Tasks'!$G$18,W1555&gt;'Cleaning Tasks'!$H$18),"Outlier","Normal")</f>
        <v>Normal</v>
      </c>
      <c r="Z1555" s="2" t="s">
        <v>49</v>
      </c>
      <c r="AA1555" s="2" t="s">
        <v>111</v>
      </c>
      <c r="AB1555" s="2" t="s">
        <v>28</v>
      </c>
      <c r="AC1555" s="2" t="s">
        <v>29</v>
      </c>
      <c r="AD1555" s="2" t="s">
        <v>89</v>
      </c>
      <c r="AE1555" s="2" t="str">
        <f t="shared" si="333"/>
        <v>Valid</v>
      </c>
      <c r="AF1555" s="2" t="s">
        <v>4227</v>
      </c>
    </row>
    <row r="1556" spans="1:32" x14ac:dyDescent="0.3">
      <c r="A1556" s="2" t="s">
        <v>4228</v>
      </c>
      <c r="B1556" s="2">
        <f t="shared" si="323"/>
        <v>1</v>
      </c>
      <c r="C1556" s="12">
        <f t="shared" si="322"/>
        <v>46238.584222858794</v>
      </c>
      <c r="D1556" s="13">
        <v>46238.584222858794</v>
      </c>
      <c r="E1556" s="2" t="s">
        <v>3728</v>
      </c>
      <c r="F1556" s="2" t="str">
        <f t="shared" si="324"/>
        <v>Email Available</v>
      </c>
      <c r="G1556" s="2" t="s">
        <v>3729</v>
      </c>
      <c r="H1556" s="2" t="s">
        <v>146</v>
      </c>
      <c r="I1556" s="2" t="s">
        <v>47</v>
      </c>
      <c r="J1556" s="2" t="s">
        <v>147</v>
      </c>
      <c r="K1556" s="2">
        <v>1</v>
      </c>
      <c r="L1556" s="2">
        <v>34.99</v>
      </c>
      <c r="M1556" s="19">
        <f t="shared" si="325"/>
        <v>34.99</v>
      </c>
      <c r="N1556" s="2" t="s">
        <v>65</v>
      </c>
      <c r="O1556" s="2" t="str">
        <f t="shared" si="326"/>
        <v>WELCOME10</v>
      </c>
      <c r="P1556" s="2">
        <v>3.5</v>
      </c>
      <c r="Q1556" s="19">
        <f t="shared" si="327"/>
        <v>3.5</v>
      </c>
      <c r="R1556" s="2" t="str">
        <f t="shared" si="328"/>
        <v>Number</v>
      </c>
      <c r="S1556" s="2">
        <v>7.99</v>
      </c>
      <c r="T1556" s="19">
        <f t="shared" si="329"/>
        <v>7.99</v>
      </c>
      <c r="U1556" s="2">
        <v>39.479999999999997</v>
      </c>
      <c r="V1556" s="19">
        <f t="shared" si="330"/>
        <v>39.479999999999997</v>
      </c>
      <c r="W1556" s="19">
        <f t="shared" si="331"/>
        <v>39.480000000000004</v>
      </c>
      <c r="X1556" s="19" t="str">
        <f t="shared" si="332"/>
        <v>True</v>
      </c>
      <c r="Y1556" s="19" t="str">
        <f>IF(OR(W1556&lt;'Cleaning Tasks'!$G$18,W1556&gt;'Cleaning Tasks'!$H$18),"Outlier","Normal")</f>
        <v>Normal</v>
      </c>
      <c r="Z1556" s="2" t="s">
        <v>72</v>
      </c>
      <c r="AA1556" s="2" t="s">
        <v>111</v>
      </c>
      <c r="AB1556" s="2" t="s">
        <v>28</v>
      </c>
      <c r="AC1556" s="2" t="s">
        <v>42</v>
      </c>
      <c r="AD1556" s="2"/>
      <c r="AE1556" s="2" t="str">
        <f t="shared" si="333"/>
        <v>Not Required</v>
      </c>
      <c r="AF1556" s="2" t="s">
        <v>4229</v>
      </c>
    </row>
    <row r="1557" spans="1:32" x14ac:dyDescent="0.3">
      <c r="A1557" s="2" t="s">
        <v>4230</v>
      </c>
      <c r="B1557" s="2">
        <f t="shared" si="323"/>
        <v>1</v>
      </c>
      <c r="C1557" s="12">
        <f t="shared" si="322"/>
        <v>46238.57910166667</v>
      </c>
      <c r="D1557" s="13">
        <v>46238.57910166667</v>
      </c>
      <c r="E1557" s="2" t="s">
        <v>2826</v>
      </c>
      <c r="F1557" s="2" t="str">
        <f t="shared" si="324"/>
        <v>Email Available</v>
      </c>
      <c r="G1557" s="2" t="s">
        <v>2827</v>
      </c>
      <c r="H1557" s="2" t="s">
        <v>56</v>
      </c>
      <c r="I1557" s="2" t="s">
        <v>22</v>
      </c>
      <c r="J1557" s="2" t="s">
        <v>57</v>
      </c>
      <c r="K1557" s="2">
        <v>1</v>
      </c>
      <c r="L1557" s="2">
        <v>9.99</v>
      </c>
      <c r="M1557" s="19">
        <f t="shared" si="325"/>
        <v>9.99</v>
      </c>
      <c r="N1557" s="2" t="s">
        <v>38</v>
      </c>
      <c r="O1557" s="2" t="str">
        <f t="shared" si="326"/>
        <v>FREESHIP</v>
      </c>
      <c r="P1557" s="2" t="s">
        <v>184</v>
      </c>
      <c r="Q1557" s="19">
        <f t="shared" si="327"/>
        <v>0</v>
      </c>
      <c r="R1557" s="2" t="str">
        <f t="shared" si="328"/>
        <v>Number</v>
      </c>
      <c r="S1557" s="2">
        <v>0</v>
      </c>
      <c r="T1557" s="19">
        <f t="shared" si="329"/>
        <v>0</v>
      </c>
      <c r="U1557" s="2">
        <v>9.99</v>
      </c>
      <c r="V1557" s="19">
        <f t="shared" si="330"/>
        <v>9.99</v>
      </c>
      <c r="W1557" s="19">
        <f t="shared" si="331"/>
        <v>9.99</v>
      </c>
      <c r="X1557" s="19" t="str">
        <f t="shared" si="332"/>
        <v>True</v>
      </c>
      <c r="Y1557" s="19" t="str">
        <f>IF(OR(W1557&lt;'Cleaning Tasks'!$G$18,W1557&gt;'Cleaning Tasks'!$H$18),"Outlier","Normal")</f>
        <v>Normal</v>
      </c>
      <c r="Z1557" s="2" t="s">
        <v>72</v>
      </c>
      <c r="AA1557" s="2" t="s">
        <v>111</v>
      </c>
      <c r="AB1557" s="2" t="s">
        <v>50</v>
      </c>
      <c r="AC1557" s="2" t="s">
        <v>73</v>
      </c>
      <c r="AD1557" s="2"/>
      <c r="AE1557" s="2" t="str">
        <f t="shared" si="333"/>
        <v>Not Required</v>
      </c>
      <c r="AF1557" s="2" t="s">
        <v>4231</v>
      </c>
    </row>
    <row r="1558" spans="1:32" x14ac:dyDescent="0.3">
      <c r="A1558" s="2" t="s">
        <v>4232</v>
      </c>
      <c r="B1558" s="2">
        <f t="shared" si="323"/>
        <v>1</v>
      </c>
      <c r="C1558" s="12">
        <f t="shared" si="322"/>
        <v>46238</v>
      </c>
      <c r="D1558" s="13" t="s">
        <v>1228</v>
      </c>
      <c r="E1558" s="2" t="s">
        <v>92</v>
      </c>
      <c r="F1558" s="2" t="str">
        <f t="shared" si="324"/>
        <v>Missing Email</v>
      </c>
      <c r="G1558" s="2"/>
      <c r="H1558" s="2" t="s">
        <v>261</v>
      </c>
      <c r="I1558" s="2" t="s">
        <v>36</v>
      </c>
      <c r="J1558" s="2" t="s">
        <v>262</v>
      </c>
      <c r="K1558" s="2">
        <v>1</v>
      </c>
      <c r="L1558" s="2">
        <v>15.49</v>
      </c>
      <c r="M1558" s="19">
        <f t="shared" si="325"/>
        <v>15.49</v>
      </c>
      <c r="N1558" s="2"/>
      <c r="O1558" s="2" t="str">
        <f t="shared" si="326"/>
        <v/>
      </c>
      <c r="P1558" s="2">
        <v>0</v>
      </c>
      <c r="Q1558" s="19">
        <f t="shared" si="327"/>
        <v>0</v>
      </c>
      <c r="R1558" s="2" t="str">
        <f t="shared" si="328"/>
        <v>Number</v>
      </c>
      <c r="S1558" s="2">
        <v>4.99</v>
      </c>
      <c r="T1558" s="19">
        <f t="shared" si="329"/>
        <v>4.99</v>
      </c>
      <c r="U1558" s="2">
        <v>20.48</v>
      </c>
      <c r="V1558" s="19">
        <f t="shared" si="330"/>
        <v>20.48</v>
      </c>
      <c r="W1558" s="19">
        <f t="shared" si="331"/>
        <v>20.48</v>
      </c>
      <c r="X1558" s="19" t="str">
        <f t="shared" si="332"/>
        <v>True</v>
      </c>
      <c r="Y1558" s="19" t="str">
        <f>IF(OR(W1558&lt;'Cleaning Tasks'!$G$18,W1558&gt;'Cleaning Tasks'!$H$18),"Outlier","Normal")</f>
        <v>Normal</v>
      </c>
      <c r="Z1558" s="2" t="s">
        <v>49</v>
      </c>
      <c r="AA1558" s="2" t="s">
        <v>27</v>
      </c>
      <c r="AB1558" s="2" t="s">
        <v>50</v>
      </c>
      <c r="AC1558" s="2" t="s">
        <v>42</v>
      </c>
      <c r="AD1558" s="2"/>
      <c r="AE1558" s="2" t="str">
        <f t="shared" si="333"/>
        <v>Not Required</v>
      </c>
      <c r="AF1558" s="2" t="s">
        <v>4233</v>
      </c>
    </row>
    <row r="1559" spans="1:32" x14ac:dyDescent="0.3">
      <c r="A1559" s="2" t="s">
        <v>4234</v>
      </c>
      <c r="B1559" s="2">
        <f t="shared" si="323"/>
        <v>1</v>
      </c>
      <c r="C1559" s="12">
        <f t="shared" si="322"/>
        <v>46238.583504456023</v>
      </c>
      <c r="D1559" s="13">
        <v>46238.583504456023</v>
      </c>
      <c r="E1559" s="2" t="s">
        <v>329</v>
      </c>
      <c r="F1559" s="2" t="str">
        <f t="shared" si="324"/>
        <v>Missing Email</v>
      </c>
      <c r="G1559" s="2"/>
      <c r="H1559" s="2" t="s">
        <v>124</v>
      </c>
      <c r="I1559" s="2" t="s">
        <v>79</v>
      </c>
      <c r="J1559" s="2" t="s">
        <v>125</v>
      </c>
      <c r="K1559" s="2">
        <v>2</v>
      </c>
      <c r="L1559" s="2">
        <v>13.99</v>
      </c>
      <c r="M1559" s="19">
        <f t="shared" si="325"/>
        <v>13.99</v>
      </c>
      <c r="N1559" s="2" t="s">
        <v>118</v>
      </c>
      <c r="O1559" s="2" t="str">
        <f t="shared" si="326"/>
        <v>BFCM25</v>
      </c>
      <c r="P1559" s="2">
        <v>7</v>
      </c>
      <c r="Q1559" s="19">
        <f t="shared" si="327"/>
        <v>7</v>
      </c>
      <c r="R1559" s="2" t="str">
        <f t="shared" si="328"/>
        <v>Number</v>
      </c>
      <c r="S1559" s="2">
        <v>5.99</v>
      </c>
      <c r="T1559" s="19">
        <f t="shared" si="329"/>
        <v>5.99</v>
      </c>
      <c r="U1559" s="2">
        <v>26.97</v>
      </c>
      <c r="V1559" s="19">
        <f t="shared" si="330"/>
        <v>26.97</v>
      </c>
      <c r="W1559" s="19">
        <f t="shared" si="331"/>
        <v>26.97</v>
      </c>
      <c r="X1559" s="19" t="str">
        <f t="shared" si="332"/>
        <v>True</v>
      </c>
      <c r="Y1559" s="19" t="str">
        <f>IF(OR(W1559&lt;'Cleaning Tasks'!$G$18,W1559&gt;'Cleaning Tasks'!$H$18),"Outlier","Normal")</f>
        <v>Normal</v>
      </c>
      <c r="Z1559" s="2" t="s">
        <v>66</v>
      </c>
      <c r="AA1559" s="2" t="s">
        <v>27</v>
      </c>
      <c r="AB1559" s="2" t="s">
        <v>50</v>
      </c>
      <c r="AC1559" s="2" t="s">
        <v>331</v>
      </c>
      <c r="AD1559" s="2"/>
      <c r="AE1559" s="2" t="str">
        <f t="shared" si="333"/>
        <v>Not Required</v>
      </c>
      <c r="AF1559" s="2" t="s">
        <v>4235</v>
      </c>
    </row>
    <row r="1560" spans="1:32" x14ac:dyDescent="0.3">
      <c r="A1560" s="2" t="s">
        <v>4236</v>
      </c>
      <c r="B1560" s="2">
        <f t="shared" si="323"/>
        <v>1</v>
      </c>
      <c r="C1560" s="12">
        <f t="shared" si="322"/>
        <v>46238.583938935182</v>
      </c>
      <c r="D1560" s="13">
        <v>46238.583938935182</v>
      </c>
      <c r="E1560" s="2" t="s">
        <v>2988</v>
      </c>
      <c r="F1560" s="2" t="str">
        <f t="shared" si="324"/>
        <v>Email Available</v>
      </c>
      <c r="G1560" s="2" t="s">
        <v>2989</v>
      </c>
      <c r="H1560" s="2" t="s">
        <v>78</v>
      </c>
      <c r="I1560" s="2" t="s">
        <v>79</v>
      </c>
      <c r="J1560" s="2" t="s">
        <v>80</v>
      </c>
      <c r="K1560" s="2">
        <v>1</v>
      </c>
      <c r="L1560" s="2">
        <v>89.99</v>
      </c>
      <c r="M1560" s="19">
        <f t="shared" si="325"/>
        <v>89.99</v>
      </c>
      <c r="N1560" s="2"/>
      <c r="O1560" s="2" t="str">
        <f t="shared" si="326"/>
        <v/>
      </c>
      <c r="P1560" s="2">
        <v>0</v>
      </c>
      <c r="Q1560" s="19">
        <f t="shared" si="327"/>
        <v>0</v>
      </c>
      <c r="R1560" s="2" t="str">
        <f t="shared" si="328"/>
        <v>Number</v>
      </c>
      <c r="S1560" s="2">
        <v>0</v>
      </c>
      <c r="T1560" s="19">
        <f t="shared" si="329"/>
        <v>0</v>
      </c>
      <c r="U1560" s="2">
        <v>89.99</v>
      </c>
      <c r="V1560" s="19">
        <f t="shared" si="330"/>
        <v>89.99</v>
      </c>
      <c r="W1560" s="19">
        <f t="shared" si="331"/>
        <v>89.99</v>
      </c>
      <c r="X1560" s="19" t="str">
        <f t="shared" si="332"/>
        <v>True</v>
      </c>
      <c r="Y1560" s="19" t="str">
        <f>IF(OR(W1560&lt;'Cleaning Tasks'!$G$18,W1560&gt;'Cleaning Tasks'!$H$18),"Outlier","Normal")</f>
        <v>Outlier</v>
      </c>
      <c r="Z1560" s="2" t="s">
        <v>26</v>
      </c>
      <c r="AA1560" s="2" t="s">
        <v>27</v>
      </c>
      <c r="AB1560" s="2" t="s">
        <v>50</v>
      </c>
      <c r="AC1560" s="2" t="s">
        <v>105</v>
      </c>
      <c r="AD1560" s="2"/>
      <c r="AE1560" s="2" t="str">
        <f t="shared" si="333"/>
        <v>Not Required</v>
      </c>
      <c r="AF1560" s="2" t="s">
        <v>2425</v>
      </c>
    </row>
    <row r="1561" spans="1:32" x14ac:dyDescent="0.3">
      <c r="A1561" s="2" t="s">
        <v>4237</v>
      </c>
      <c r="B1561" s="2">
        <f t="shared" si="323"/>
        <v>1</v>
      </c>
      <c r="C1561" s="12">
        <f t="shared" si="322"/>
        <v>46238.579385752317</v>
      </c>
      <c r="D1561" s="13">
        <v>46238.579385752317</v>
      </c>
      <c r="E1561" s="2" t="s">
        <v>4238</v>
      </c>
      <c r="F1561" s="2" t="str">
        <f t="shared" si="324"/>
        <v>Email Available</v>
      </c>
      <c r="G1561" s="2" t="s">
        <v>4239</v>
      </c>
      <c r="H1561" s="2" t="s">
        <v>63</v>
      </c>
      <c r="I1561" s="2" t="s">
        <v>47</v>
      </c>
      <c r="J1561" s="2" t="s">
        <v>446</v>
      </c>
      <c r="K1561" s="2">
        <v>2</v>
      </c>
      <c r="L1561" s="2">
        <v>14.99</v>
      </c>
      <c r="M1561" s="19">
        <f t="shared" si="325"/>
        <v>14.99</v>
      </c>
      <c r="N1561" s="2" t="s">
        <v>391</v>
      </c>
      <c r="O1561" s="2" t="str">
        <f t="shared" si="326"/>
        <v>BFCM25</v>
      </c>
      <c r="P1561" s="2">
        <v>7.5</v>
      </c>
      <c r="Q1561" s="19">
        <f t="shared" si="327"/>
        <v>7.5</v>
      </c>
      <c r="R1561" s="2" t="str">
        <f t="shared" si="328"/>
        <v>Number</v>
      </c>
      <c r="S1561" s="2">
        <v>4.99</v>
      </c>
      <c r="T1561" s="19">
        <f t="shared" si="329"/>
        <v>4.99</v>
      </c>
      <c r="U1561" s="2">
        <v>27.47</v>
      </c>
      <c r="V1561" s="19">
        <f t="shared" si="330"/>
        <v>27.47</v>
      </c>
      <c r="W1561" s="19">
        <f t="shared" si="331"/>
        <v>27.47</v>
      </c>
      <c r="X1561" s="19" t="str">
        <f t="shared" si="332"/>
        <v>True</v>
      </c>
      <c r="Y1561" s="19" t="str">
        <f>IF(OR(W1561&lt;'Cleaning Tasks'!$G$18,W1561&gt;'Cleaning Tasks'!$H$18),"Outlier","Normal")</f>
        <v>Normal</v>
      </c>
      <c r="Z1561" s="2" t="s">
        <v>39</v>
      </c>
      <c r="AA1561" s="2" t="s">
        <v>88</v>
      </c>
      <c r="AB1561" s="2" t="s">
        <v>50</v>
      </c>
      <c r="AC1561" s="2" t="s">
        <v>29</v>
      </c>
      <c r="AD1561" s="22" t="s">
        <v>58</v>
      </c>
      <c r="AE1561" s="2" t="str">
        <f t="shared" si="333"/>
        <v>Valid</v>
      </c>
      <c r="AF1561" s="2" t="s">
        <v>1441</v>
      </c>
    </row>
    <row r="1562" spans="1:32" x14ac:dyDescent="0.3">
      <c r="A1562" s="2" t="s">
        <v>4240</v>
      </c>
      <c r="B1562" s="2">
        <f t="shared" si="323"/>
        <v>1</v>
      </c>
      <c r="C1562" s="12">
        <f t="shared" si="322"/>
        <v>46238.583228055562</v>
      </c>
      <c r="D1562" s="13">
        <v>46238.583228055562</v>
      </c>
      <c r="E1562" s="2" t="s">
        <v>3834</v>
      </c>
      <c r="F1562" s="2" t="str">
        <f t="shared" si="324"/>
        <v>Email Available</v>
      </c>
      <c r="G1562" s="2" t="s">
        <v>3835</v>
      </c>
      <c r="H1562" s="2" t="s">
        <v>201</v>
      </c>
      <c r="I1562" s="2" t="s">
        <v>191</v>
      </c>
      <c r="J1562" s="2" t="s">
        <v>202</v>
      </c>
      <c r="K1562" s="2">
        <v>1</v>
      </c>
      <c r="L1562" s="2">
        <v>24.99</v>
      </c>
      <c r="M1562" s="19">
        <f t="shared" si="325"/>
        <v>24.99</v>
      </c>
      <c r="N1562" s="2"/>
      <c r="O1562" s="2" t="str">
        <f t="shared" si="326"/>
        <v/>
      </c>
      <c r="P1562" s="2">
        <v>0</v>
      </c>
      <c r="Q1562" s="19">
        <f t="shared" si="327"/>
        <v>0</v>
      </c>
      <c r="R1562" s="2" t="str">
        <f t="shared" si="328"/>
        <v>Number</v>
      </c>
      <c r="S1562" s="2">
        <v>7.99</v>
      </c>
      <c r="T1562" s="19">
        <f t="shared" si="329"/>
        <v>7.99</v>
      </c>
      <c r="U1562" s="2">
        <v>32.979999999999997</v>
      </c>
      <c r="V1562" s="19">
        <f t="shared" si="330"/>
        <v>32.979999999999997</v>
      </c>
      <c r="W1562" s="19">
        <f t="shared" si="331"/>
        <v>32.979999999999997</v>
      </c>
      <c r="X1562" s="19" t="str">
        <f t="shared" si="332"/>
        <v>True</v>
      </c>
      <c r="Y1562" s="19" t="str">
        <f>IF(OR(W1562&lt;'Cleaning Tasks'!$G$18,W1562&gt;'Cleaning Tasks'!$H$18),"Outlier","Normal")</f>
        <v>Normal</v>
      </c>
      <c r="Z1562" s="2" t="s">
        <v>26</v>
      </c>
      <c r="AA1562" s="2" t="s">
        <v>111</v>
      </c>
      <c r="AB1562" s="2" t="s">
        <v>28</v>
      </c>
      <c r="AC1562" s="2" t="s">
        <v>29</v>
      </c>
      <c r="AD1562" s="2" t="s">
        <v>51</v>
      </c>
      <c r="AE1562" s="2" t="str">
        <f t="shared" si="333"/>
        <v>Valid</v>
      </c>
      <c r="AF1562" s="2" t="s">
        <v>2190</v>
      </c>
    </row>
    <row r="1563" spans="1:32" x14ac:dyDescent="0.3">
      <c r="A1563" s="2" t="s">
        <v>4241</v>
      </c>
      <c r="B1563" s="2">
        <f t="shared" si="323"/>
        <v>1</v>
      </c>
      <c r="C1563" s="12">
        <f t="shared" si="322"/>
        <v>46238.586362465277</v>
      </c>
      <c r="D1563" s="13">
        <v>46238.586362465277</v>
      </c>
      <c r="E1563" s="2" t="s">
        <v>1500</v>
      </c>
      <c r="F1563" s="2" t="str">
        <f t="shared" si="324"/>
        <v>Email Available</v>
      </c>
      <c r="G1563" s="2" t="s">
        <v>1501</v>
      </c>
      <c r="H1563" s="2" t="s">
        <v>109</v>
      </c>
      <c r="I1563" s="2" t="s">
        <v>79</v>
      </c>
      <c r="J1563" s="2" t="s">
        <v>110</v>
      </c>
      <c r="K1563" s="2">
        <v>1</v>
      </c>
      <c r="L1563" s="2">
        <v>22.99</v>
      </c>
      <c r="M1563" s="19">
        <f t="shared" si="325"/>
        <v>22.99</v>
      </c>
      <c r="N1563" s="2" t="s">
        <v>24</v>
      </c>
      <c r="O1563" s="2" t="str">
        <f t="shared" si="326"/>
        <v>SAVE20</v>
      </c>
      <c r="P1563" s="2">
        <v>4.5999999999999996</v>
      </c>
      <c r="Q1563" s="19">
        <f t="shared" si="327"/>
        <v>4.5999999999999996</v>
      </c>
      <c r="R1563" s="2" t="str">
        <f t="shared" si="328"/>
        <v>Number</v>
      </c>
      <c r="S1563" s="2">
        <v>7.99</v>
      </c>
      <c r="T1563" s="19">
        <f t="shared" si="329"/>
        <v>7.99</v>
      </c>
      <c r="U1563" s="2">
        <v>26.38</v>
      </c>
      <c r="V1563" s="19">
        <f t="shared" si="330"/>
        <v>26.38</v>
      </c>
      <c r="W1563" s="19">
        <f t="shared" si="331"/>
        <v>26.380000000000003</v>
      </c>
      <c r="X1563" s="19" t="str">
        <f t="shared" si="332"/>
        <v>True</v>
      </c>
      <c r="Y1563" s="19" t="str">
        <f>IF(OR(W1563&lt;'Cleaning Tasks'!$G$18,W1563&gt;'Cleaning Tasks'!$H$18),"Outlier","Normal")</f>
        <v>Normal</v>
      </c>
      <c r="Z1563" s="2" t="s">
        <v>72</v>
      </c>
      <c r="AA1563" s="2" t="s">
        <v>27</v>
      </c>
      <c r="AB1563" s="2" t="s">
        <v>50</v>
      </c>
      <c r="AC1563" s="2" t="s">
        <v>29</v>
      </c>
      <c r="AD1563" s="2" t="s">
        <v>140</v>
      </c>
      <c r="AE1563" s="2" t="str">
        <f t="shared" si="333"/>
        <v>Valid</v>
      </c>
      <c r="AF1563" s="2" t="s">
        <v>4242</v>
      </c>
    </row>
    <row r="1564" spans="1:32" x14ac:dyDescent="0.3">
      <c r="A1564" s="2" t="s">
        <v>4243</v>
      </c>
      <c r="B1564" s="2">
        <f t="shared" si="323"/>
        <v>1</v>
      </c>
      <c r="C1564" s="12">
        <f t="shared" si="322"/>
        <v>46238.586894884262</v>
      </c>
      <c r="D1564" s="13">
        <v>46238.586894884262</v>
      </c>
      <c r="E1564" s="2" t="s">
        <v>835</v>
      </c>
      <c r="F1564" s="2" t="str">
        <f t="shared" si="324"/>
        <v>Email Available</v>
      </c>
      <c r="G1564" s="2" t="s">
        <v>836</v>
      </c>
      <c r="H1564" s="2" t="s">
        <v>78</v>
      </c>
      <c r="I1564" s="2" t="s">
        <v>79</v>
      </c>
      <c r="J1564" s="2" t="s">
        <v>80</v>
      </c>
      <c r="K1564" s="2">
        <v>1</v>
      </c>
      <c r="L1564" s="2">
        <v>89.99</v>
      </c>
      <c r="M1564" s="19">
        <f t="shared" si="325"/>
        <v>89.99</v>
      </c>
      <c r="N1564" s="2" t="s">
        <v>24</v>
      </c>
      <c r="O1564" s="2" t="str">
        <f t="shared" si="326"/>
        <v>SAVE20</v>
      </c>
      <c r="P1564" s="2" t="s">
        <v>1626</v>
      </c>
      <c r="Q1564" s="19">
        <f t="shared" si="327"/>
        <v>18</v>
      </c>
      <c r="R1564" s="2" t="str">
        <f t="shared" si="328"/>
        <v>Number</v>
      </c>
      <c r="S1564" s="2">
        <v>0</v>
      </c>
      <c r="T1564" s="19">
        <f t="shared" si="329"/>
        <v>0</v>
      </c>
      <c r="U1564" s="2">
        <v>71.989999999999995</v>
      </c>
      <c r="V1564" s="19">
        <f t="shared" si="330"/>
        <v>71.989999999999995</v>
      </c>
      <c r="W1564" s="19">
        <f t="shared" si="331"/>
        <v>71.989999999999995</v>
      </c>
      <c r="X1564" s="19" t="str">
        <f t="shared" si="332"/>
        <v>True</v>
      </c>
      <c r="Y1564" s="19" t="str">
        <f>IF(OR(W1564&lt;'Cleaning Tasks'!$G$18,W1564&gt;'Cleaning Tasks'!$H$18),"Outlier","Normal")</f>
        <v>Normal</v>
      </c>
      <c r="Z1564" s="2" t="s">
        <v>72</v>
      </c>
      <c r="AA1564" s="2" t="s">
        <v>88</v>
      </c>
      <c r="AB1564" s="2" t="s">
        <v>41</v>
      </c>
      <c r="AC1564" s="2" t="s">
        <v>29</v>
      </c>
      <c r="AD1564" s="2" t="s">
        <v>140</v>
      </c>
      <c r="AE1564" s="2" t="str">
        <f t="shared" si="333"/>
        <v>Valid</v>
      </c>
      <c r="AF1564" s="2" t="s">
        <v>2427</v>
      </c>
    </row>
    <row r="1565" spans="1:32" x14ac:dyDescent="0.3">
      <c r="A1565" s="2" t="s">
        <v>4244</v>
      </c>
      <c r="B1565" s="2">
        <f t="shared" si="323"/>
        <v>1</v>
      </c>
      <c r="C1565" s="12">
        <f t="shared" si="322"/>
        <v>46238</v>
      </c>
      <c r="D1565" s="13" t="s">
        <v>714</v>
      </c>
      <c r="E1565" s="2" t="s">
        <v>1782</v>
      </c>
      <c r="F1565" s="2" t="str">
        <f t="shared" si="324"/>
        <v>Email Available</v>
      </c>
      <c r="G1565" s="2" t="s">
        <v>1783</v>
      </c>
      <c r="H1565" s="2" t="s">
        <v>35</v>
      </c>
      <c r="I1565" s="2" t="s">
        <v>36</v>
      </c>
      <c r="J1565" s="2" t="s">
        <v>37</v>
      </c>
      <c r="K1565" s="2">
        <v>2</v>
      </c>
      <c r="L1565" s="2">
        <v>21.99</v>
      </c>
      <c r="M1565" s="19">
        <f t="shared" si="325"/>
        <v>21.99</v>
      </c>
      <c r="N1565" s="2" t="s">
        <v>65</v>
      </c>
      <c r="O1565" s="2" t="str">
        <f t="shared" si="326"/>
        <v>WELCOME10</v>
      </c>
      <c r="P1565" s="2">
        <v>4.4000000000000004</v>
      </c>
      <c r="Q1565" s="19">
        <f t="shared" si="327"/>
        <v>4.4000000000000004</v>
      </c>
      <c r="R1565" s="2" t="str">
        <f t="shared" si="328"/>
        <v>Number</v>
      </c>
      <c r="S1565" s="2">
        <v>5.99</v>
      </c>
      <c r="T1565" s="19">
        <f t="shared" si="329"/>
        <v>5.99</v>
      </c>
      <c r="U1565" s="2">
        <v>45.57</v>
      </c>
      <c r="V1565" s="19">
        <f t="shared" si="330"/>
        <v>45.57</v>
      </c>
      <c r="W1565" s="19">
        <f t="shared" si="331"/>
        <v>45.57</v>
      </c>
      <c r="X1565" s="19" t="str">
        <f t="shared" si="332"/>
        <v>True</v>
      </c>
      <c r="Y1565" s="19" t="str">
        <f>IF(OR(W1565&lt;'Cleaning Tasks'!$G$18,W1565&gt;'Cleaning Tasks'!$H$18),"Outlier","Normal")</f>
        <v>Normal</v>
      </c>
      <c r="Z1565" s="2" t="s">
        <v>26</v>
      </c>
      <c r="AA1565" s="2" t="s">
        <v>88</v>
      </c>
      <c r="AB1565" s="2" t="s">
        <v>50</v>
      </c>
      <c r="AC1565" s="2" t="s">
        <v>29</v>
      </c>
      <c r="AD1565" s="2" t="s">
        <v>51</v>
      </c>
      <c r="AE1565" s="2" t="str">
        <f t="shared" si="333"/>
        <v>Valid</v>
      </c>
      <c r="AF1565" s="2" t="s">
        <v>4245</v>
      </c>
    </row>
    <row r="1566" spans="1:32" x14ac:dyDescent="0.3">
      <c r="A1566" s="2" t="s">
        <v>4246</v>
      </c>
      <c r="B1566" s="2">
        <f t="shared" si="323"/>
        <v>1</v>
      </c>
      <c r="C1566" s="12">
        <f t="shared" si="322"/>
        <v>46238.57891960648</v>
      </c>
      <c r="D1566" s="13">
        <v>46238.57891960648</v>
      </c>
      <c r="E1566" s="2" t="s">
        <v>188</v>
      </c>
      <c r="F1566" s="2" t="str">
        <f t="shared" si="324"/>
        <v>Email Available</v>
      </c>
      <c r="G1566" s="2" t="s">
        <v>189</v>
      </c>
      <c r="H1566" s="2" t="s">
        <v>221</v>
      </c>
      <c r="I1566" s="2" t="s">
        <v>22</v>
      </c>
      <c r="J1566" s="2" t="s">
        <v>222</v>
      </c>
      <c r="K1566" s="2">
        <v>1</v>
      </c>
      <c r="L1566" s="2">
        <v>17.989999999999998</v>
      </c>
      <c r="M1566" s="19">
        <f t="shared" si="325"/>
        <v>17.989999999999998</v>
      </c>
      <c r="N1566" s="2" t="s">
        <v>38</v>
      </c>
      <c r="O1566" s="2" t="str">
        <f t="shared" si="326"/>
        <v>FREESHIP</v>
      </c>
      <c r="P1566" s="2">
        <v>0</v>
      </c>
      <c r="Q1566" s="19">
        <f t="shared" si="327"/>
        <v>0</v>
      </c>
      <c r="R1566" s="2" t="str">
        <f t="shared" si="328"/>
        <v>Number</v>
      </c>
      <c r="S1566" s="2">
        <v>0</v>
      </c>
      <c r="T1566" s="19">
        <f t="shared" si="329"/>
        <v>0</v>
      </c>
      <c r="U1566" s="2">
        <v>17.989999999999998</v>
      </c>
      <c r="V1566" s="19">
        <f t="shared" si="330"/>
        <v>17.989999999999998</v>
      </c>
      <c r="W1566" s="19">
        <f t="shared" si="331"/>
        <v>17.989999999999998</v>
      </c>
      <c r="X1566" s="19" t="str">
        <f t="shared" si="332"/>
        <v>True</v>
      </c>
      <c r="Y1566" s="19" t="str">
        <f>IF(OR(W1566&lt;'Cleaning Tasks'!$G$18,W1566&gt;'Cleaning Tasks'!$H$18),"Outlier","Normal")</f>
        <v>Normal</v>
      </c>
      <c r="Z1566" s="2" t="s">
        <v>26</v>
      </c>
      <c r="AA1566" s="2" t="s">
        <v>27</v>
      </c>
      <c r="AB1566" s="2" t="s">
        <v>41</v>
      </c>
      <c r="AC1566" s="2" t="s">
        <v>29</v>
      </c>
      <c r="AD1566" s="2" t="s">
        <v>67</v>
      </c>
      <c r="AE1566" s="2" t="str">
        <f t="shared" si="333"/>
        <v>Valid</v>
      </c>
      <c r="AF1566" s="2" t="s">
        <v>4247</v>
      </c>
    </row>
    <row r="1567" spans="1:32" x14ac:dyDescent="0.3">
      <c r="A1567" s="2" t="s">
        <v>4248</v>
      </c>
      <c r="B1567" s="2">
        <f t="shared" si="323"/>
        <v>1</v>
      </c>
      <c r="C1567" s="12">
        <f t="shared" si="322"/>
        <v>46238.584037928238</v>
      </c>
      <c r="D1567" s="13">
        <v>46238.584037928238</v>
      </c>
      <c r="E1567" s="2" t="s">
        <v>4249</v>
      </c>
      <c r="F1567" s="2" t="str">
        <f t="shared" si="324"/>
        <v>Email Available</v>
      </c>
      <c r="G1567" s="2" t="s">
        <v>4250</v>
      </c>
      <c r="H1567" s="2" t="s">
        <v>201</v>
      </c>
      <c r="I1567" s="2" t="s">
        <v>191</v>
      </c>
      <c r="J1567" s="2" t="s">
        <v>202</v>
      </c>
      <c r="K1567" s="2">
        <v>1</v>
      </c>
      <c r="L1567" s="2" t="s">
        <v>1212</v>
      </c>
      <c r="M1567" s="19">
        <f t="shared" si="325"/>
        <v>24.99</v>
      </c>
      <c r="N1567" s="2"/>
      <c r="O1567" s="2" t="str">
        <f t="shared" si="326"/>
        <v/>
      </c>
      <c r="P1567" s="2">
        <v>0</v>
      </c>
      <c r="Q1567" s="19">
        <f t="shared" si="327"/>
        <v>0</v>
      </c>
      <c r="R1567" s="2" t="str">
        <f t="shared" si="328"/>
        <v>Number</v>
      </c>
      <c r="S1567" s="2">
        <v>4.99</v>
      </c>
      <c r="T1567" s="19">
        <f t="shared" si="329"/>
        <v>4.99</v>
      </c>
      <c r="U1567" s="2">
        <v>29.98</v>
      </c>
      <c r="V1567" s="19">
        <f t="shared" si="330"/>
        <v>29.98</v>
      </c>
      <c r="W1567" s="19">
        <f t="shared" si="331"/>
        <v>29.979999999999997</v>
      </c>
      <c r="X1567" s="19" t="str">
        <f t="shared" si="332"/>
        <v>True</v>
      </c>
      <c r="Y1567" s="19" t="str">
        <f>IF(OR(W1567&lt;'Cleaning Tasks'!$G$18,W1567&gt;'Cleaning Tasks'!$H$18),"Outlier","Normal")</f>
        <v>Normal</v>
      </c>
      <c r="Z1567" s="2" t="s">
        <v>72</v>
      </c>
      <c r="AA1567" s="2" t="s">
        <v>40</v>
      </c>
      <c r="AB1567" s="2" t="s">
        <v>50</v>
      </c>
      <c r="AC1567" s="2" t="s">
        <v>73</v>
      </c>
      <c r="AD1567" s="2"/>
      <c r="AE1567" s="2" t="str">
        <f t="shared" si="333"/>
        <v>Not Required</v>
      </c>
      <c r="AF1567" s="2" t="s">
        <v>4251</v>
      </c>
    </row>
    <row r="1568" spans="1:32" x14ac:dyDescent="0.3">
      <c r="A1568" s="2" t="s">
        <v>4252</v>
      </c>
      <c r="B1568" s="2">
        <f t="shared" si="323"/>
        <v>1</v>
      </c>
      <c r="C1568" s="12">
        <f t="shared" ref="C1568:C1577" si="334">IF(ISNUMBER(D1568),D1568,DATEVALUE(SUBSTITUTE(TRIM(D1568),CHAR(160)," ")))</f>
        <v>46238.582837060188</v>
      </c>
      <c r="D1568" s="13">
        <v>46238.582837060188</v>
      </c>
      <c r="E1568" s="2" t="s">
        <v>4253</v>
      </c>
      <c r="F1568" s="2" t="str">
        <f t="shared" si="324"/>
        <v>Email Available</v>
      </c>
      <c r="G1568" s="2" t="s">
        <v>4046</v>
      </c>
      <c r="H1568" s="2" t="s">
        <v>166</v>
      </c>
      <c r="I1568" s="2" t="s">
        <v>103</v>
      </c>
      <c r="J1568" s="2" t="s">
        <v>167</v>
      </c>
      <c r="K1568" s="2">
        <v>1</v>
      </c>
      <c r="L1568" s="2" t="s">
        <v>168</v>
      </c>
      <c r="M1568" s="19">
        <f t="shared" si="325"/>
        <v>32.99</v>
      </c>
      <c r="N1568" s="2"/>
      <c r="O1568" s="2" t="str">
        <f t="shared" si="326"/>
        <v/>
      </c>
      <c r="P1568" s="2">
        <v>0</v>
      </c>
      <c r="Q1568" s="19">
        <f t="shared" si="327"/>
        <v>0</v>
      </c>
      <c r="R1568" s="2" t="str">
        <f t="shared" si="328"/>
        <v>Number</v>
      </c>
      <c r="S1568" s="2">
        <v>4.99</v>
      </c>
      <c r="T1568" s="19">
        <f t="shared" si="329"/>
        <v>4.99</v>
      </c>
      <c r="U1568" s="2">
        <v>0</v>
      </c>
      <c r="V1568" s="19">
        <f t="shared" si="330"/>
        <v>0</v>
      </c>
      <c r="W1568" s="19">
        <f t="shared" si="331"/>
        <v>37.980000000000004</v>
      </c>
      <c r="X1568" s="19" t="str">
        <f t="shared" si="332"/>
        <v>False</v>
      </c>
      <c r="Y1568" s="19" t="str">
        <f>IF(OR(W1568&lt;'Cleaning Tasks'!$G$18,W1568&gt;'Cleaning Tasks'!$H$18),"Outlier","Normal")</f>
        <v>Normal</v>
      </c>
      <c r="Z1568" s="2" t="s">
        <v>39</v>
      </c>
      <c r="AA1568" s="2" t="s">
        <v>88</v>
      </c>
      <c r="AB1568" s="2" t="s">
        <v>96</v>
      </c>
      <c r="AC1568" s="2" t="s">
        <v>331</v>
      </c>
      <c r="AD1568" s="2"/>
      <c r="AE1568" s="2" t="str">
        <f t="shared" si="333"/>
        <v>Not Required</v>
      </c>
      <c r="AF1568" s="2" t="s">
        <v>4254</v>
      </c>
    </row>
    <row r="1569" spans="1:32" x14ac:dyDescent="0.3">
      <c r="A1569" s="2" t="s">
        <v>4255</v>
      </c>
      <c r="B1569" s="2">
        <f t="shared" si="323"/>
        <v>1</v>
      </c>
      <c r="C1569" s="12">
        <f t="shared" si="334"/>
        <v>46238.584089988428</v>
      </c>
      <c r="D1569" s="13">
        <v>46238.584089988428</v>
      </c>
      <c r="E1569" s="2" t="s">
        <v>602</v>
      </c>
      <c r="F1569" s="2" t="str">
        <f t="shared" si="324"/>
        <v>Email Available</v>
      </c>
      <c r="G1569" s="2" t="s">
        <v>603</v>
      </c>
      <c r="H1569" s="2" t="s">
        <v>117</v>
      </c>
      <c r="I1569" s="2" t="s">
        <v>22</v>
      </c>
      <c r="J1569" s="2" t="s">
        <v>23</v>
      </c>
      <c r="K1569" s="2">
        <v>1</v>
      </c>
      <c r="L1569" s="2" t="s">
        <v>1148</v>
      </c>
      <c r="M1569" s="19">
        <f t="shared" si="325"/>
        <v>12.99</v>
      </c>
      <c r="N1569" s="2"/>
      <c r="O1569" s="2" t="str">
        <f t="shared" si="326"/>
        <v/>
      </c>
      <c r="P1569" s="2">
        <v>0</v>
      </c>
      <c r="Q1569" s="19">
        <f t="shared" si="327"/>
        <v>0</v>
      </c>
      <c r="R1569" s="2" t="str">
        <f t="shared" si="328"/>
        <v>Number</v>
      </c>
      <c r="S1569" s="2">
        <v>7.99</v>
      </c>
      <c r="T1569" s="19">
        <f t="shared" si="329"/>
        <v>7.99</v>
      </c>
      <c r="U1569" s="2">
        <v>20.98</v>
      </c>
      <c r="V1569" s="19">
        <f t="shared" si="330"/>
        <v>20.98</v>
      </c>
      <c r="W1569" s="19">
        <f t="shared" si="331"/>
        <v>20.98</v>
      </c>
      <c r="X1569" s="19" t="str">
        <f t="shared" si="332"/>
        <v>True</v>
      </c>
      <c r="Y1569" s="19" t="str">
        <f>IF(OR(W1569&lt;'Cleaning Tasks'!$G$18,W1569&gt;'Cleaning Tasks'!$H$18),"Outlier","Normal")</f>
        <v>Normal</v>
      </c>
      <c r="Z1569" s="2" t="s">
        <v>26</v>
      </c>
      <c r="AA1569" s="2" t="s">
        <v>27</v>
      </c>
      <c r="AB1569" s="2" t="s">
        <v>50</v>
      </c>
      <c r="AC1569" s="2" t="s">
        <v>42</v>
      </c>
      <c r="AD1569" s="2"/>
      <c r="AE1569" s="2" t="str">
        <f t="shared" si="333"/>
        <v>Not Required</v>
      </c>
      <c r="AF1569" s="2" t="s">
        <v>4256</v>
      </c>
    </row>
    <row r="1570" spans="1:32" x14ac:dyDescent="0.3">
      <c r="A1570" s="2" t="s">
        <v>4257</v>
      </c>
      <c r="B1570" s="2">
        <f t="shared" si="323"/>
        <v>1</v>
      </c>
      <c r="C1570" s="12">
        <f t="shared" si="334"/>
        <v>46238</v>
      </c>
      <c r="D1570" s="13">
        <v>46238</v>
      </c>
      <c r="E1570" s="2" t="s">
        <v>325</v>
      </c>
      <c r="F1570" s="2" t="str">
        <f t="shared" si="324"/>
        <v>Email Available</v>
      </c>
      <c r="G1570" s="2" t="s">
        <v>326</v>
      </c>
      <c r="H1570" s="2" t="s">
        <v>85</v>
      </c>
      <c r="I1570" s="2" t="s">
        <v>86</v>
      </c>
      <c r="J1570" s="2" t="s">
        <v>87</v>
      </c>
      <c r="K1570" s="2">
        <v>1</v>
      </c>
      <c r="L1570" s="2">
        <v>54.99</v>
      </c>
      <c r="M1570" s="19">
        <f t="shared" si="325"/>
        <v>54.99</v>
      </c>
      <c r="N1570" s="2" t="s">
        <v>203</v>
      </c>
      <c r="O1570" s="2" t="str">
        <f t="shared" si="326"/>
        <v>VIP15</v>
      </c>
      <c r="P1570" s="2">
        <v>8.25</v>
      </c>
      <c r="Q1570" s="19">
        <f t="shared" si="327"/>
        <v>8.25</v>
      </c>
      <c r="R1570" s="2" t="str">
        <f t="shared" si="328"/>
        <v>Number</v>
      </c>
      <c r="S1570" s="2">
        <v>4.99</v>
      </c>
      <c r="T1570" s="19">
        <f t="shared" si="329"/>
        <v>4.99</v>
      </c>
      <c r="U1570" s="2">
        <v>51.73</v>
      </c>
      <c r="V1570" s="19">
        <f t="shared" si="330"/>
        <v>51.73</v>
      </c>
      <c r="W1570" s="19">
        <f t="shared" si="331"/>
        <v>51.730000000000004</v>
      </c>
      <c r="X1570" s="19" t="str">
        <f t="shared" si="332"/>
        <v>True</v>
      </c>
      <c r="Y1570" s="19" t="str">
        <f>IF(OR(W1570&lt;'Cleaning Tasks'!$G$18,W1570&gt;'Cleaning Tasks'!$H$18),"Outlier","Normal")</f>
        <v>Normal</v>
      </c>
      <c r="Z1570" s="2" t="s">
        <v>66</v>
      </c>
      <c r="AA1570" s="2" t="s">
        <v>111</v>
      </c>
      <c r="AB1570" s="2" t="s">
        <v>41</v>
      </c>
      <c r="AC1570" s="2" t="s">
        <v>29</v>
      </c>
      <c r="AD1570" s="2" t="s">
        <v>67</v>
      </c>
      <c r="AE1570" s="2" t="str">
        <f t="shared" si="333"/>
        <v>Valid</v>
      </c>
      <c r="AF1570" s="2" t="s">
        <v>4258</v>
      </c>
    </row>
    <row r="1571" spans="1:32" x14ac:dyDescent="0.3">
      <c r="A1571" s="2" t="s">
        <v>4259</v>
      </c>
      <c r="B1571" s="2">
        <f t="shared" si="323"/>
        <v>1</v>
      </c>
      <c r="C1571" s="12">
        <f t="shared" si="334"/>
        <v>46238.588941608803</v>
      </c>
      <c r="D1571" s="13">
        <v>46238.588941608803</v>
      </c>
      <c r="E1571" s="2" t="s">
        <v>843</v>
      </c>
      <c r="F1571" s="2" t="str">
        <f t="shared" si="324"/>
        <v>Email Available</v>
      </c>
      <c r="G1571" s="2" t="s">
        <v>844</v>
      </c>
      <c r="H1571" s="2" t="s">
        <v>279</v>
      </c>
      <c r="I1571" s="2" t="s">
        <v>22</v>
      </c>
      <c r="J1571" s="2" t="s">
        <v>280</v>
      </c>
      <c r="K1571" s="2">
        <v>1</v>
      </c>
      <c r="L1571" s="2">
        <v>24.99</v>
      </c>
      <c r="M1571" s="19">
        <f t="shared" si="325"/>
        <v>24.99</v>
      </c>
      <c r="N1571" s="2" t="s">
        <v>203</v>
      </c>
      <c r="O1571" s="2" t="str">
        <f t="shared" si="326"/>
        <v>VIP15</v>
      </c>
      <c r="P1571" s="2">
        <v>3.75</v>
      </c>
      <c r="Q1571" s="19">
        <f t="shared" si="327"/>
        <v>3.75</v>
      </c>
      <c r="R1571" s="2" t="str">
        <f t="shared" si="328"/>
        <v>Number</v>
      </c>
      <c r="S1571" s="2">
        <v>5.99</v>
      </c>
      <c r="T1571" s="19">
        <f t="shared" si="329"/>
        <v>5.99</v>
      </c>
      <c r="U1571" s="2">
        <v>27.23</v>
      </c>
      <c r="V1571" s="19">
        <f t="shared" si="330"/>
        <v>27.23</v>
      </c>
      <c r="W1571" s="19">
        <f t="shared" si="331"/>
        <v>27.229999999999997</v>
      </c>
      <c r="X1571" s="19" t="str">
        <f t="shared" si="332"/>
        <v>True</v>
      </c>
      <c r="Y1571" s="19" t="str">
        <f>IF(OR(W1571&lt;'Cleaning Tasks'!$G$18,W1571&gt;'Cleaning Tasks'!$H$18),"Outlier","Normal")</f>
        <v>Normal</v>
      </c>
      <c r="Z1571" s="2" t="s">
        <v>72</v>
      </c>
      <c r="AA1571" s="2" t="s">
        <v>111</v>
      </c>
      <c r="AB1571" s="2" t="s">
        <v>28</v>
      </c>
      <c r="AC1571" s="2" t="s">
        <v>29</v>
      </c>
      <c r="AD1571" s="22" t="s">
        <v>341</v>
      </c>
      <c r="AE1571" s="2" t="str">
        <f t="shared" si="333"/>
        <v>Valid</v>
      </c>
      <c r="AF1571" s="2" t="s">
        <v>2563</v>
      </c>
    </row>
    <row r="1572" spans="1:32" x14ac:dyDescent="0.3">
      <c r="A1572" s="2" t="s">
        <v>4260</v>
      </c>
      <c r="B1572" s="2">
        <f t="shared" si="323"/>
        <v>1</v>
      </c>
      <c r="C1572" s="12">
        <f t="shared" si="334"/>
        <v>46238.580615775463</v>
      </c>
      <c r="D1572" s="13">
        <v>46238.580615775463</v>
      </c>
      <c r="E1572" s="2" t="s">
        <v>1443</v>
      </c>
      <c r="F1572" s="2" t="str">
        <f t="shared" si="324"/>
        <v>Email Available</v>
      </c>
      <c r="G1572" s="2" t="s">
        <v>1444</v>
      </c>
      <c r="H1572" s="2" t="s">
        <v>56</v>
      </c>
      <c r="I1572" s="2" t="s">
        <v>22</v>
      </c>
      <c r="J1572" s="2" t="s">
        <v>57</v>
      </c>
      <c r="K1572" s="2">
        <v>1</v>
      </c>
      <c r="L1572" s="2">
        <v>9.99</v>
      </c>
      <c r="M1572" s="19">
        <f t="shared" si="325"/>
        <v>9.99</v>
      </c>
      <c r="N1572" s="2" t="s">
        <v>24</v>
      </c>
      <c r="O1572" s="2" t="str">
        <f t="shared" si="326"/>
        <v>SAVE20</v>
      </c>
      <c r="P1572" s="2">
        <v>2</v>
      </c>
      <c r="Q1572" s="19">
        <f t="shared" si="327"/>
        <v>2</v>
      </c>
      <c r="R1572" s="2" t="str">
        <f t="shared" si="328"/>
        <v>Number</v>
      </c>
      <c r="S1572" s="2">
        <v>4.99</v>
      </c>
      <c r="T1572" s="19">
        <f t="shared" si="329"/>
        <v>4.99</v>
      </c>
      <c r="U1572" s="2">
        <v>12.98</v>
      </c>
      <c r="V1572" s="19">
        <f t="shared" si="330"/>
        <v>12.98</v>
      </c>
      <c r="W1572" s="19">
        <f t="shared" si="331"/>
        <v>12.98</v>
      </c>
      <c r="X1572" s="19" t="str">
        <f t="shared" si="332"/>
        <v>True</v>
      </c>
      <c r="Y1572" s="19" t="str">
        <f>IF(OR(W1572&lt;'Cleaning Tasks'!$G$18,W1572&gt;'Cleaning Tasks'!$H$18),"Outlier","Normal")</f>
        <v>Normal</v>
      </c>
      <c r="Z1572" s="2" t="s">
        <v>72</v>
      </c>
      <c r="AA1572" s="2" t="s">
        <v>27</v>
      </c>
      <c r="AB1572" s="2" t="s">
        <v>41</v>
      </c>
      <c r="AC1572" s="2" t="s">
        <v>42</v>
      </c>
      <c r="AD1572" s="2"/>
      <c r="AE1572" s="2" t="str">
        <f t="shared" si="333"/>
        <v>Not Required</v>
      </c>
      <c r="AF1572" s="2" t="s">
        <v>4261</v>
      </c>
    </row>
    <row r="1573" spans="1:32" x14ac:dyDescent="0.3">
      <c r="A1573" s="2" t="s">
        <v>4262</v>
      </c>
      <c r="B1573" s="2">
        <f t="shared" si="323"/>
        <v>1</v>
      </c>
      <c r="C1573" s="12">
        <f t="shared" si="334"/>
        <v>46238.582575405089</v>
      </c>
      <c r="D1573" s="13">
        <v>46238.582575405089</v>
      </c>
      <c r="E1573" s="2" t="s">
        <v>144</v>
      </c>
      <c r="F1573" s="2" t="str">
        <f t="shared" si="324"/>
        <v>Email Available</v>
      </c>
      <c r="G1573" s="2" t="s">
        <v>145</v>
      </c>
      <c r="H1573" s="2" t="s">
        <v>56</v>
      </c>
      <c r="I1573" s="2" t="s">
        <v>22</v>
      </c>
      <c r="J1573" s="2" t="s">
        <v>57</v>
      </c>
      <c r="K1573" s="2">
        <v>1</v>
      </c>
      <c r="L1573" s="2">
        <v>9.99</v>
      </c>
      <c r="M1573" s="19">
        <f t="shared" si="325"/>
        <v>9.99</v>
      </c>
      <c r="N1573" s="2" t="s">
        <v>118</v>
      </c>
      <c r="O1573" s="2" t="str">
        <f t="shared" si="326"/>
        <v>BFCM25</v>
      </c>
      <c r="P1573" s="2">
        <v>2.5</v>
      </c>
      <c r="Q1573" s="19">
        <f t="shared" si="327"/>
        <v>2.5</v>
      </c>
      <c r="R1573" s="2" t="str">
        <f t="shared" si="328"/>
        <v>Number</v>
      </c>
      <c r="S1573" s="2">
        <v>4.99</v>
      </c>
      <c r="T1573" s="19">
        <f t="shared" si="329"/>
        <v>4.99</v>
      </c>
      <c r="U1573" s="2">
        <v>12.48</v>
      </c>
      <c r="V1573" s="19">
        <f t="shared" si="330"/>
        <v>12.48</v>
      </c>
      <c r="W1573" s="19">
        <f t="shared" si="331"/>
        <v>12.48</v>
      </c>
      <c r="X1573" s="19" t="str">
        <f t="shared" si="332"/>
        <v>True</v>
      </c>
      <c r="Y1573" s="19" t="str">
        <f>IF(OR(W1573&lt;'Cleaning Tasks'!$G$18,W1573&gt;'Cleaning Tasks'!$H$18),"Outlier","Normal")</f>
        <v>Normal</v>
      </c>
      <c r="Z1573" s="2" t="s">
        <v>26</v>
      </c>
      <c r="AA1573" s="2" t="s">
        <v>40</v>
      </c>
      <c r="AB1573" s="2" t="s">
        <v>50</v>
      </c>
      <c r="AC1573" s="2" t="s">
        <v>105</v>
      </c>
      <c r="AD1573" s="2"/>
      <c r="AE1573" s="2" t="str">
        <f t="shared" si="333"/>
        <v>Not Required</v>
      </c>
      <c r="AF1573" s="2" t="s">
        <v>4263</v>
      </c>
    </row>
    <row r="1574" spans="1:32" x14ac:dyDescent="0.3">
      <c r="A1574" s="2" t="s">
        <v>4264</v>
      </c>
      <c r="B1574" s="2">
        <f t="shared" si="323"/>
        <v>1</v>
      </c>
      <c r="C1574" s="12">
        <f t="shared" si="334"/>
        <v>46238.582415682868</v>
      </c>
      <c r="D1574" s="13">
        <v>46238.582415682868</v>
      </c>
      <c r="E1574" s="2" t="s">
        <v>206</v>
      </c>
      <c r="F1574" s="2" t="str">
        <f t="shared" si="324"/>
        <v>Email Available</v>
      </c>
      <c r="G1574" s="2" t="s">
        <v>207</v>
      </c>
      <c r="H1574" s="2" t="s">
        <v>261</v>
      </c>
      <c r="I1574" s="2" t="s">
        <v>36</v>
      </c>
      <c r="J1574" s="2" t="s">
        <v>262</v>
      </c>
      <c r="K1574" s="2">
        <v>1</v>
      </c>
      <c r="L1574" s="2">
        <v>15.49</v>
      </c>
      <c r="M1574" s="19">
        <f t="shared" si="325"/>
        <v>15.49</v>
      </c>
      <c r="N1574" s="2"/>
      <c r="O1574" s="2" t="str">
        <f t="shared" si="326"/>
        <v/>
      </c>
      <c r="P1574" s="2">
        <v>0</v>
      </c>
      <c r="Q1574" s="19">
        <f t="shared" si="327"/>
        <v>0</v>
      </c>
      <c r="R1574" s="2" t="str">
        <f t="shared" si="328"/>
        <v>Number</v>
      </c>
      <c r="S1574" s="2">
        <v>4.99</v>
      </c>
      <c r="T1574" s="19">
        <f t="shared" si="329"/>
        <v>4.99</v>
      </c>
      <c r="U1574" s="2">
        <v>20.48</v>
      </c>
      <c r="V1574" s="19">
        <f t="shared" si="330"/>
        <v>20.48</v>
      </c>
      <c r="W1574" s="19">
        <f t="shared" si="331"/>
        <v>20.48</v>
      </c>
      <c r="X1574" s="19" t="str">
        <f t="shared" si="332"/>
        <v>True</v>
      </c>
      <c r="Y1574" s="19" t="str">
        <f>IF(OR(W1574&lt;'Cleaning Tasks'!$G$18,W1574&gt;'Cleaning Tasks'!$H$18),"Outlier","Normal")</f>
        <v>Normal</v>
      </c>
      <c r="Z1574" s="2" t="s">
        <v>66</v>
      </c>
      <c r="AA1574" s="2" t="s">
        <v>40</v>
      </c>
      <c r="AB1574" s="2" t="s">
        <v>50</v>
      </c>
      <c r="AC1574" s="2" t="s">
        <v>105</v>
      </c>
      <c r="AD1574" s="2"/>
      <c r="AE1574" s="2" t="str">
        <f t="shared" si="333"/>
        <v>Not Required</v>
      </c>
      <c r="AF1574" s="2" t="s">
        <v>4265</v>
      </c>
    </row>
    <row r="1575" spans="1:32" x14ac:dyDescent="0.3">
      <c r="A1575" s="2" t="s">
        <v>4266</v>
      </c>
      <c r="B1575" s="2">
        <f t="shared" si="323"/>
        <v>1</v>
      </c>
      <c r="C1575" s="12">
        <f t="shared" si="334"/>
        <v>46238.584310092592</v>
      </c>
      <c r="D1575" s="13">
        <v>46238.584310092592</v>
      </c>
      <c r="E1575" s="2" t="s">
        <v>409</v>
      </c>
      <c r="F1575" s="2" t="str">
        <f t="shared" si="324"/>
        <v>Email Available</v>
      </c>
      <c r="G1575" s="2" t="s">
        <v>410</v>
      </c>
      <c r="H1575" s="2" t="s">
        <v>117</v>
      </c>
      <c r="I1575" s="2" t="s">
        <v>22</v>
      </c>
      <c r="J1575" s="2" t="s">
        <v>23</v>
      </c>
      <c r="K1575" s="2">
        <v>1</v>
      </c>
      <c r="L1575" s="2">
        <v>12.99</v>
      </c>
      <c r="M1575" s="19">
        <f t="shared" si="325"/>
        <v>12.99</v>
      </c>
      <c r="N1575" s="2" t="s">
        <v>118</v>
      </c>
      <c r="O1575" s="2" t="str">
        <f t="shared" si="326"/>
        <v>BFCM25</v>
      </c>
      <c r="P1575" s="2">
        <v>3.25</v>
      </c>
      <c r="Q1575" s="19">
        <f t="shared" si="327"/>
        <v>3.25</v>
      </c>
      <c r="R1575" s="2" t="str">
        <f t="shared" si="328"/>
        <v>Number</v>
      </c>
      <c r="S1575" s="2">
        <v>5.99</v>
      </c>
      <c r="T1575" s="19">
        <f t="shared" si="329"/>
        <v>5.99</v>
      </c>
      <c r="U1575" s="2">
        <v>15.73</v>
      </c>
      <c r="V1575" s="19">
        <f t="shared" si="330"/>
        <v>15.73</v>
      </c>
      <c r="W1575" s="19">
        <f t="shared" si="331"/>
        <v>15.73</v>
      </c>
      <c r="X1575" s="19" t="str">
        <f t="shared" si="332"/>
        <v>True</v>
      </c>
      <c r="Y1575" s="19" t="str">
        <f>IF(OR(W1575&lt;'Cleaning Tasks'!$G$18,W1575&gt;'Cleaning Tasks'!$H$18),"Outlier","Normal")</f>
        <v>Normal</v>
      </c>
      <c r="Z1575" s="2" t="s">
        <v>39</v>
      </c>
      <c r="AA1575" s="2" t="s">
        <v>111</v>
      </c>
      <c r="AB1575" s="2" t="s">
        <v>41</v>
      </c>
      <c r="AC1575" s="2" t="s">
        <v>42</v>
      </c>
      <c r="AD1575" s="2"/>
      <c r="AE1575" s="2" t="str">
        <f t="shared" si="333"/>
        <v>Not Required</v>
      </c>
      <c r="AF1575" s="2" t="s">
        <v>4267</v>
      </c>
    </row>
    <row r="1576" spans="1:32" x14ac:dyDescent="0.3">
      <c r="A1576" s="2" t="s">
        <v>4268</v>
      </c>
      <c r="B1576" s="2">
        <f t="shared" si="323"/>
        <v>1</v>
      </c>
      <c r="C1576" s="12">
        <f t="shared" si="334"/>
        <v>46238</v>
      </c>
      <c r="D1576" s="13" t="s">
        <v>143</v>
      </c>
      <c r="E1576" s="2" t="s">
        <v>835</v>
      </c>
      <c r="F1576" s="2" t="str">
        <f t="shared" si="324"/>
        <v>Email Available</v>
      </c>
      <c r="G1576" s="2" t="s">
        <v>836</v>
      </c>
      <c r="H1576" s="2" t="s">
        <v>102</v>
      </c>
      <c r="I1576" s="2" t="s">
        <v>103</v>
      </c>
      <c r="J1576" s="2" t="s">
        <v>104</v>
      </c>
      <c r="K1576" s="2">
        <v>1</v>
      </c>
      <c r="L1576" s="2">
        <v>19.989999999999998</v>
      </c>
      <c r="M1576" s="19">
        <f t="shared" si="325"/>
        <v>19.989999999999998</v>
      </c>
      <c r="N1576" s="2" t="s">
        <v>118</v>
      </c>
      <c r="O1576" s="2" t="str">
        <f t="shared" si="326"/>
        <v>BFCM25</v>
      </c>
      <c r="P1576" s="2" t="s">
        <v>919</v>
      </c>
      <c r="Q1576" s="19">
        <f t="shared" si="327"/>
        <v>5</v>
      </c>
      <c r="R1576" s="2" t="str">
        <f t="shared" si="328"/>
        <v>Number</v>
      </c>
      <c r="S1576" s="2">
        <v>4.99</v>
      </c>
      <c r="T1576" s="19">
        <f t="shared" si="329"/>
        <v>4.99</v>
      </c>
      <c r="U1576" s="2">
        <v>19.98</v>
      </c>
      <c r="V1576" s="19">
        <f t="shared" si="330"/>
        <v>19.98</v>
      </c>
      <c r="W1576" s="19">
        <f t="shared" si="331"/>
        <v>19.979999999999997</v>
      </c>
      <c r="X1576" s="19" t="str">
        <f t="shared" si="332"/>
        <v>True</v>
      </c>
      <c r="Y1576" s="19" t="str">
        <f>IF(OR(W1576&lt;'Cleaning Tasks'!$G$18,W1576&gt;'Cleaning Tasks'!$H$18),"Outlier","Normal")</f>
        <v>Normal</v>
      </c>
      <c r="Z1576" s="2" t="s">
        <v>49</v>
      </c>
      <c r="AA1576" s="2" t="s">
        <v>27</v>
      </c>
      <c r="AB1576" s="2" t="s">
        <v>50</v>
      </c>
      <c r="AC1576" s="2" t="s">
        <v>29</v>
      </c>
      <c r="AD1576" s="2" t="s">
        <v>243</v>
      </c>
      <c r="AE1576" s="2" t="str">
        <f t="shared" si="333"/>
        <v>Valid</v>
      </c>
      <c r="AF1576" s="2" t="s">
        <v>4269</v>
      </c>
    </row>
    <row r="1577" spans="1:32" x14ac:dyDescent="0.3">
      <c r="A1577" s="2" t="s">
        <v>4270</v>
      </c>
      <c r="B1577" s="2">
        <f t="shared" si="323"/>
        <v>1</v>
      </c>
      <c r="C1577" s="12">
        <f t="shared" si="334"/>
        <v>46238.582255555557</v>
      </c>
      <c r="D1577" s="13">
        <v>46238.582255555557</v>
      </c>
      <c r="E1577" s="2" t="s">
        <v>4253</v>
      </c>
      <c r="F1577" s="2" t="str">
        <f t="shared" si="324"/>
        <v>Email Available</v>
      </c>
      <c r="G1577" s="2" t="s">
        <v>4046</v>
      </c>
      <c r="H1577" s="22" t="s">
        <v>261</v>
      </c>
      <c r="I1577" s="2" t="s">
        <v>36</v>
      </c>
      <c r="J1577" s="2" t="s">
        <v>262</v>
      </c>
      <c r="K1577" s="2">
        <v>1</v>
      </c>
      <c r="L1577" s="2">
        <v>15.49</v>
      </c>
      <c r="M1577" s="19">
        <f t="shared" si="325"/>
        <v>15.49</v>
      </c>
      <c r="N1577" s="2" t="s">
        <v>38</v>
      </c>
      <c r="O1577" s="2" t="str">
        <f t="shared" si="326"/>
        <v>FREESHIP</v>
      </c>
      <c r="P1577" s="2" t="s">
        <v>184</v>
      </c>
      <c r="Q1577" s="19">
        <f t="shared" si="327"/>
        <v>0</v>
      </c>
      <c r="R1577" s="2" t="str">
        <f t="shared" si="328"/>
        <v>Number</v>
      </c>
      <c r="S1577" s="2">
        <v>0</v>
      </c>
      <c r="T1577" s="19">
        <f t="shared" si="329"/>
        <v>0</v>
      </c>
      <c r="U1577" s="2">
        <v>0</v>
      </c>
      <c r="V1577" s="19">
        <f t="shared" si="330"/>
        <v>0</v>
      </c>
      <c r="W1577" s="19">
        <f t="shared" si="331"/>
        <v>15.49</v>
      </c>
      <c r="X1577" s="19" t="str">
        <f t="shared" si="332"/>
        <v>False</v>
      </c>
      <c r="Y1577" s="19" t="str">
        <f>IF(OR(W1577&lt;'Cleaning Tasks'!$G$18,W1577&gt;'Cleaning Tasks'!$H$18),"Outlier","Normal")</f>
        <v>Normal</v>
      </c>
      <c r="Z1577" s="2" t="s">
        <v>39</v>
      </c>
      <c r="AA1577" s="2" t="s">
        <v>40</v>
      </c>
      <c r="AB1577" s="2" t="s">
        <v>41</v>
      </c>
      <c r="AC1577" s="2" t="s">
        <v>29</v>
      </c>
      <c r="AD1577" s="2" t="s">
        <v>67</v>
      </c>
      <c r="AE1577" s="2" t="str">
        <f t="shared" si="333"/>
        <v>Valid</v>
      </c>
      <c r="AF1577" s="2" t="s">
        <v>4271</v>
      </c>
    </row>
    <row r="1578" spans="1:32" x14ac:dyDescent="0.3">
      <c r="A1578" s="2" t="s">
        <v>4272</v>
      </c>
      <c r="B1578" s="2">
        <f t="shared" si="323"/>
        <v>1</v>
      </c>
      <c r="C1578" s="12">
        <f>DATE(VALUE(RIGHT(D1578,4)),MATCH(LEFT(D1578,3),{"Jan","Feb","Mar","Apr","May","Jun","Jul","Aug","Sep","Oct","Nov","Dec"},0),VALUE(MID(D1578,5,2)))</f>
        <v>46238</v>
      </c>
      <c r="D1578" s="13" t="s">
        <v>171</v>
      </c>
      <c r="E1578" s="2" t="s">
        <v>1275</v>
      </c>
      <c r="F1578" s="2" t="str">
        <f t="shared" si="324"/>
        <v>Email Available</v>
      </c>
      <c r="G1578" s="2" t="s">
        <v>1256</v>
      </c>
      <c r="H1578" s="2" t="s">
        <v>190</v>
      </c>
      <c r="I1578" s="2" t="s">
        <v>191</v>
      </c>
      <c r="J1578" s="2" t="s">
        <v>192</v>
      </c>
      <c r="K1578" s="2">
        <v>1</v>
      </c>
      <c r="L1578" s="2">
        <v>13.49</v>
      </c>
      <c r="M1578" s="19">
        <f t="shared" si="325"/>
        <v>13.49</v>
      </c>
      <c r="N1578" s="2"/>
      <c r="O1578" s="2" t="str">
        <f t="shared" si="326"/>
        <v/>
      </c>
      <c r="P1578" s="2">
        <v>0</v>
      </c>
      <c r="Q1578" s="19">
        <f t="shared" si="327"/>
        <v>0</v>
      </c>
      <c r="R1578" s="2" t="str">
        <f t="shared" si="328"/>
        <v>Number</v>
      </c>
      <c r="S1578" s="2">
        <v>4.99</v>
      </c>
      <c r="T1578" s="19">
        <f t="shared" si="329"/>
        <v>4.99</v>
      </c>
      <c r="U1578" s="2">
        <v>18.48</v>
      </c>
      <c r="V1578" s="19">
        <f t="shared" si="330"/>
        <v>18.48</v>
      </c>
      <c r="W1578" s="19">
        <f t="shared" si="331"/>
        <v>18.48</v>
      </c>
      <c r="X1578" s="19" t="str">
        <f t="shared" si="332"/>
        <v>True</v>
      </c>
      <c r="Y1578" s="19" t="str">
        <f>IF(OR(W1578&lt;'Cleaning Tasks'!$G$18,W1578&gt;'Cleaning Tasks'!$H$18),"Outlier","Normal")</f>
        <v>Normal</v>
      </c>
      <c r="Z1578" s="2" t="s">
        <v>72</v>
      </c>
      <c r="AA1578" s="2" t="s">
        <v>111</v>
      </c>
      <c r="AB1578" s="2" t="s">
        <v>96</v>
      </c>
      <c r="AC1578" s="2" t="s">
        <v>105</v>
      </c>
      <c r="AD1578" s="2"/>
      <c r="AE1578" s="2" t="str">
        <f t="shared" si="333"/>
        <v>Not Required</v>
      </c>
      <c r="AF1578" s="2" t="s">
        <v>4273</v>
      </c>
    </row>
    <row r="1579" spans="1:32" x14ac:dyDescent="0.3">
      <c r="A1579" s="2" t="s">
        <v>4274</v>
      </c>
      <c r="B1579" s="2">
        <f t="shared" si="323"/>
        <v>1</v>
      </c>
      <c r="C1579" s="12">
        <f t="shared" ref="C1579:C1610" si="335">IF(ISNUMBER(D1579),D1579,DATEVALUE(SUBSTITUTE(TRIM(D1579),CHAR(160)," ")))</f>
        <v>46238.585652974543</v>
      </c>
      <c r="D1579" s="13">
        <v>46238.585652974543</v>
      </c>
      <c r="E1579" s="2" t="s">
        <v>4275</v>
      </c>
      <c r="F1579" s="2" t="str">
        <f t="shared" si="324"/>
        <v>Email Available</v>
      </c>
      <c r="G1579" s="2" t="s">
        <v>165</v>
      </c>
      <c r="H1579" s="2" t="s">
        <v>35</v>
      </c>
      <c r="I1579" s="2" t="s">
        <v>36</v>
      </c>
      <c r="J1579" s="2" t="s">
        <v>37</v>
      </c>
      <c r="K1579" s="2">
        <v>1</v>
      </c>
      <c r="L1579" s="2">
        <v>21.99</v>
      </c>
      <c r="M1579" s="19">
        <f t="shared" si="325"/>
        <v>21.99</v>
      </c>
      <c r="N1579" s="2"/>
      <c r="O1579" s="2" t="str">
        <f t="shared" si="326"/>
        <v/>
      </c>
      <c r="P1579" s="2">
        <v>0</v>
      </c>
      <c r="Q1579" s="19">
        <f t="shared" si="327"/>
        <v>0</v>
      </c>
      <c r="R1579" s="2" t="str">
        <f t="shared" si="328"/>
        <v>Number</v>
      </c>
      <c r="S1579" s="2">
        <v>5.99</v>
      </c>
      <c r="T1579" s="19">
        <f t="shared" si="329"/>
        <v>5.99</v>
      </c>
      <c r="U1579" s="2">
        <v>27.98</v>
      </c>
      <c r="V1579" s="19">
        <f t="shared" si="330"/>
        <v>27.98</v>
      </c>
      <c r="W1579" s="19">
        <f t="shared" si="331"/>
        <v>27.979999999999997</v>
      </c>
      <c r="X1579" s="19" t="str">
        <f t="shared" si="332"/>
        <v>True</v>
      </c>
      <c r="Y1579" s="19" t="str">
        <f>IF(OR(W1579&lt;'Cleaning Tasks'!$G$18,W1579&gt;'Cleaning Tasks'!$H$18),"Outlier","Normal")</f>
        <v>Normal</v>
      </c>
      <c r="Z1579" s="2" t="s">
        <v>72</v>
      </c>
      <c r="AA1579" s="2" t="s">
        <v>40</v>
      </c>
      <c r="AB1579" s="2" t="s">
        <v>28</v>
      </c>
      <c r="AC1579" s="2" t="s">
        <v>105</v>
      </c>
      <c r="AD1579" s="2"/>
      <c r="AE1579" s="2" t="str">
        <f t="shared" si="333"/>
        <v>Not Required</v>
      </c>
      <c r="AF1579" s="2" t="s">
        <v>4276</v>
      </c>
    </row>
    <row r="1580" spans="1:32" x14ac:dyDescent="0.3">
      <c r="A1580" s="2" t="s">
        <v>4277</v>
      </c>
      <c r="B1580" s="2">
        <f t="shared" si="323"/>
        <v>1</v>
      </c>
      <c r="C1580" s="12">
        <f t="shared" si="335"/>
        <v>46238</v>
      </c>
      <c r="D1580" s="13" t="s">
        <v>143</v>
      </c>
      <c r="E1580" s="2" t="s">
        <v>935</v>
      </c>
      <c r="F1580" s="2" t="str">
        <f t="shared" si="324"/>
        <v>Email Available</v>
      </c>
      <c r="G1580" s="2" t="s">
        <v>936</v>
      </c>
      <c r="H1580" s="2" t="s">
        <v>221</v>
      </c>
      <c r="I1580" s="2" t="s">
        <v>22</v>
      </c>
      <c r="J1580" s="2" t="s">
        <v>222</v>
      </c>
      <c r="K1580" s="2">
        <v>2</v>
      </c>
      <c r="L1580" s="2">
        <v>17.989999999999998</v>
      </c>
      <c r="M1580" s="19">
        <f t="shared" si="325"/>
        <v>17.989999999999998</v>
      </c>
      <c r="N1580" s="2" t="s">
        <v>203</v>
      </c>
      <c r="O1580" s="2" t="str">
        <f t="shared" si="326"/>
        <v>VIP15</v>
      </c>
      <c r="P1580" s="2">
        <v>5.4</v>
      </c>
      <c r="Q1580" s="19">
        <f t="shared" si="327"/>
        <v>5.4</v>
      </c>
      <c r="R1580" s="2" t="str">
        <f t="shared" si="328"/>
        <v>Number</v>
      </c>
      <c r="S1580" s="2">
        <v>7.99</v>
      </c>
      <c r="T1580" s="19">
        <f t="shared" si="329"/>
        <v>7.99</v>
      </c>
      <c r="U1580" s="2">
        <v>38.57</v>
      </c>
      <c r="V1580" s="19">
        <f t="shared" si="330"/>
        <v>38.57</v>
      </c>
      <c r="W1580" s="19">
        <f t="shared" si="331"/>
        <v>38.57</v>
      </c>
      <c r="X1580" s="19" t="str">
        <f t="shared" si="332"/>
        <v>True</v>
      </c>
      <c r="Y1580" s="19" t="str">
        <f>IF(OR(W1580&lt;'Cleaning Tasks'!$G$18,W1580&gt;'Cleaning Tasks'!$H$18),"Outlier","Normal")</f>
        <v>Normal</v>
      </c>
      <c r="Z1580" s="2" t="s">
        <v>39</v>
      </c>
      <c r="AA1580" s="2" t="s">
        <v>27</v>
      </c>
      <c r="AB1580" s="2" t="s">
        <v>50</v>
      </c>
      <c r="AC1580" s="2" t="s">
        <v>29</v>
      </c>
      <c r="AD1580" s="2" t="s">
        <v>67</v>
      </c>
      <c r="AE1580" s="2" t="str">
        <f t="shared" si="333"/>
        <v>Valid</v>
      </c>
      <c r="AF1580" s="2" t="s">
        <v>4278</v>
      </c>
    </row>
    <row r="1581" spans="1:32" x14ac:dyDescent="0.3">
      <c r="A1581" s="2" t="s">
        <v>4279</v>
      </c>
      <c r="B1581" s="2">
        <f t="shared" si="323"/>
        <v>1</v>
      </c>
      <c r="C1581" s="12">
        <f t="shared" si="335"/>
        <v>46238.583300138889</v>
      </c>
      <c r="D1581" s="13">
        <v>46238.583300138889</v>
      </c>
      <c r="E1581" s="2" t="s">
        <v>4280</v>
      </c>
      <c r="F1581" s="2" t="str">
        <f t="shared" si="324"/>
        <v>Email Available</v>
      </c>
      <c r="G1581" s="2" t="s">
        <v>966</v>
      </c>
      <c r="H1581" s="2" t="s">
        <v>279</v>
      </c>
      <c r="I1581" s="2" t="s">
        <v>22</v>
      </c>
      <c r="J1581" s="2" t="s">
        <v>280</v>
      </c>
      <c r="K1581" s="2">
        <v>1</v>
      </c>
      <c r="L1581" s="2">
        <v>24.99</v>
      </c>
      <c r="M1581" s="19">
        <f t="shared" si="325"/>
        <v>24.99</v>
      </c>
      <c r="N1581" s="2"/>
      <c r="O1581" s="2" t="str">
        <f t="shared" si="326"/>
        <v/>
      </c>
      <c r="P1581" s="2" t="s">
        <v>184</v>
      </c>
      <c r="Q1581" s="19">
        <f t="shared" si="327"/>
        <v>0</v>
      </c>
      <c r="R1581" s="2" t="str">
        <f t="shared" si="328"/>
        <v>Number</v>
      </c>
      <c r="S1581" s="2">
        <v>5.99</v>
      </c>
      <c r="T1581" s="19">
        <f t="shared" si="329"/>
        <v>5.99</v>
      </c>
      <c r="U1581" s="2">
        <v>30.98</v>
      </c>
      <c r="V1581" s="19">
        <f t="shared" si="330"/>
        <v>30.98</v>
      </c>
      <c r="W1581" s="19">
        <f t="shared" si="331"/>
        <v>30.979999999999997</v>
      </c>
      <c r="X1581" s="19" t="str">
        <f t="shared" si="332"/>
        <v>True</v>
      </c>
      <c r="Y1581" s="19" t="str">
        <f>IF(OR(W1581&lt;'Cleaning Tasks'!$G$18,W1581&gt;'Cleaning Tasks'!$H$18),"Outlier","Normal")</f>
        <v>Normal</v>
      </c>
      <c r="Z1581" s="2" t="s">
        <v>49</v>
      </c>
      <c r="AA1581" s="2" t="s">
        <v>27</v>
      </c>
      <c r="AB1581" s="2" t="s">
        <v>28</v>
      </c>
      <c r="AC1581" s="2" t="s">
        <v>73</v>
      </c>
      <c r="AD1581" s="2"/>
      <c r="AE1581" s="2" t="str">
        <f t="shared" si="333"/>
        <v>Not Required</v>
      </c>
      <c r="AF1581" s="2" t="s">
        <v>4281</v>
      </c>
    </row>
    <row r="1582" spans="1:32" x14ac:dyDescent="0.3">
      <c r="A1582" s="2" t="s">
        <v>4282</v>
      </c>
      <c r="B1582" s="2">
        <f t="shared" si="323"/>
        <v>1</v>
      </c>
      <c r="C1582" s="12">
        <f t="shared" si="335"/>
        <v>46238.586487581022</v>
      </c>
      <c r="D1582" s="13">
        <v>46238.586487581022</v>
      </c>
      <c r="E1582" s="2" t="s">
        <v>787</v>
      </c>
      <c r="F1582" s="2" t="str">
        <f t="shared" si="324"/>
        <v>Email Available</v>
      </c>
      <c r="G1582" s="2" t="s">
        <v>788</v>
      </c>
      <c r="H1582" s="2" t="s">
        <v>102</v>
      </c>
      <c r="I1582" s="2" t="s">
        <v>103</v>
      </c>
      <c r="J1582" s="2" t="s">
        <v>104</v>
      </c>
      <c r="K1582" s="2">
        <v>1</v>
      </c>
      <c r="L1582" s="2">
        <v>19.989999999999998</v>
      </c>
      <c r="M1582" s="19">
        <f t="shared" si="325"/>
        <v>19.989999999999998</v>
      </c>
      <c r="N1582" s="2"/>
      <c r="O1582" s="2" t="str">
        <f t="shared" si="326"/>
        <v/>
      </c>
      <c r="P1582" s="2">
        <v>0</v>
      </c>
      <c r="Q1582" s="19">
        <f t="shared" si="327"/>
        <v>0</v>
      </c>
      <c r="R1582" s="2" t="str">
        <f t="shared" si="328"/>
        <v>Number</v>
      </c>
      <c r="S1582" s="2">
        <v>4.99</v>
      </c>
      <c r="T1582" s="19">
        <f t="shared" si="329"/>
        <v>4.99</v>
      </c>
      <c r="U1582" s="2">
        <v>24.98</v>
      </c>
      <c r="V1582" s="19">
        <f t="shared" si="330"/>
        <v>24.98</v>
      </c>
      <c r="W1582" s="19">
        <f t="shared" si="331"/>
        <v>24.979999999999997</v>
      </c>
      <c r="X1582" s="19" t="str">
        <f t="shared" si="332"/>
        <v>True</v>
      </c>
      <c r="Y1582" s="19" t="str">
        <f>IF(OR(W1582&lt;'Cleaning Tasks'!$G$18,W1582&gt;'Cleaning Tasks'!$H$18),"Outlier","Normal")</f>
        <v>Normal</v>
      </c>
      <c r="Z1582" s="2" t="s">
        <v>26</v>
      </c>
      <c r="AA1582" s="2" t="s">
        <v>27</v>
      </c>
      <c r="AB1582" s="2" t="s">
        <v>41</v>
      </c>
      <c r="AC1582" s="2" t="s">
        <v>331</v>
      </c>
      <c r="AD1582" s="2"/>
      <c r="AE1582" s="2" t="str">
        <f t="shared" si="333"/>
        <v>Not Required</v>
      </c>
      <c r="AF1582" s="2" t="s">
        <v>4283</v>
      </c>
    </row>
    <row r="1583" spans="1:32" x14ac:dyDescent="0.3">
      <c r="A1583" s="2" t="s">
        <v>4284</v>
      </c>
      <c r="B1583" s="2">
        <f t="shared" si="323"/>
        <v>1</v>
      </c>
      <c r="C1583" s="12">
        <f t="shared" si="335"/>
        <v>46238.585481539347</v>
      </c>
      <c r="D1583" s="13">
        <v>46238.585481539347</v>
      </c>
      <c r="E1583" s="2" t="s">
        <v>557</v>
      </c>
      <c r="F1583" s="2" t="str">
        <f t="shared" si="324"/>
        <v>Email Available</v>
      </c>
      <c r="G1583" s="2" t="s">
        <v>558</v>
      </c>
      <c r="H1583" s="2" t="s">
        <v>130</v>
      </c>
      <c r="I1583" s="2" t="s">
        <v>103</v>
      </c>
      <c r="J1583" s="2" t="s">
        <v>131</v>
      </c>
      <c r="K1583" s="2">
        <v>1</v>
      </c>
      <c r="L1583" s="2">
        <v>16.989999999999998</v>
      </c>
      <c r="M1583" s="19">
        <f t="shared" si="325"/>
        <v>16.989999999999998</v>
      </c>
      <c r="N1583" s="2" t="s">
        <v>118</v>
      </c>
      <c r="O1583" s="2" t="str">
        <f t="shared" si="326"/>
        <v>BFCM25</v>
      </c>
      <c r="P1583" s="2">
        <v>4.25</v>
      </c>
      <c r="Q1583" s="19">
        <f t="shared" si="327"/>
        <v>4.25</v>
      </c>
      <c r="R1583" s="2" t="str">
        <f t="shared" si="328"/>
        <v>Number</v>
      </c>
      <c r="S1583" s="2">
        <v>7.99</v>
      </c>
      <c r="T1583" s="19">
        <f t="shared" si="329"/>
        <v>7.99</v>
      </c>
      <c r="U1583" s="2">
        <v>20.73</v>
      </c>
      <c r="V1583" s="19">
        <f t="shared" si="330"/>
        <v>20.73</v>
      </c>
      <c r="W1583" s="19">
        <f t="shared" si="331"/>
        <v>20.729999999999997</v>
      </c>
      <c r="X1583" s="19" t="str">
        <f t="shared" si="332"/>
        <v>True</v>
      </c>
      <c r="Y1583" s="19" t="str">
        <f>IF(OR(W1583&lt;'Cleaning Tasks'!$G$18,W1583&gt;'Cleaning Tasks'!$H$18),"Outlier","Normal")</f>
        <v>Normal</v>
      </c>
      <c r="Z1583" s="2" t="s">
        <v>72</v>
      </c>
      <c r="AA1583" s="2" t="s">
        <v>88</v>
      </c>
      <c r="AB1583" s="2" t="s">
        <v>50</v>
      </c>
      <c r="AC1583" s="2" t="s">
        <v>42</v>
      </c>
      <c r="AD1583" s="2"/>
      <c r="AE1583" s="2" t="str">
        <f t="shared" si="333"/>
        <v>Not Required</v>
      </c>
      <c r="AF1583" s="2" t="s">
        <v>4285</v>
      </c>
    </row>
    <row r="1584" spans="1:32" x14ac:dyDescent="0.3">
      <c r="A1584" s="2" t="s">
        <v>4286</v>
      </c>
      <c r="B1584" s="2">
        <f t="shared" si="323"/>
        <v>1</v>
      </c>
      <c r="C1584" s="12">
        <f t="shared" si="335"/>
        <v>46238.580665717593</v>
      </c>
      <c r="D1584" s="13">
        <v>46238.580665717593</v>
      </c>
      <c r="E1584" s="2" t="s">
        <v>421</v>
      </c>
      <c r="F1584" s="2" t="str">
        <f t="shared" si="324"/>
        <v>Email Available</v>
      </c>
      <c r="G1584" s="2" t="s">
        <v>422</v>
      </c>
      <c r="H1584" s="2" t="s">
        <v>78</v>
      </c>
      <c r="I1584" s="2" t="s">
        <v>79</v>
      </c>
      <c r="J1584" s="2" t="s">
        <v>80</v>
      </c>
      <c r="K1584" s="2">
        <v>1</v>
      </c>
      <c r="L1584" s="2">
        <v>89.99</v>
      </c>
      <c r="M1584" s="19">
        <f t="shared" si="325"/>
        <v>89.99</v>
      </c>
      <c r="N1584" s="2"/>
      <c r="O1584" s="2" t="str">
        <f t="shared" si="326"/>
        <v/>
      </c>
      <c r="P1584" s="2" t="s">
        <v>184</v>
      </c>
      <c r="Q1584" s="19">
        <f t="shared" si="327"/>
        <v>0</v>
      </c>
      <c r="R1584" s="2" t="str">
        <f t="shared" si="328"/>
        <v>Number</v>
      </c>
      <c r="S1584" s="2">
        <v>0</v>
      </c>
      <c r="T1584" s="19">
        <f t="shared" si="329"/>
        <v>0</v>
      </c>
      <c r="U1584" s="2">
        <v>89.99</v>
      </c>
      <c r="V1584" s="19">
        <f t="shared" si="330"/>
        <v>89.99</v>
      </c>
      <c r="W1584" s="19">
        <f t="shared" si="331"/>
        <v>89.99</v>
      </c>
      <c r="X1584" s="19" t="str">
        <f t="shared" si="332"/>
        <v>True</v>
      </c>
      <c r="Y1584" s="19" t="str">
        <f>IF(OR(W1584&lt;'Cleaning Tasks'!$G$18,W1584&gt;'Cleaning Tasks'!$H$18),"Outlier","Normal")</f>
        <v>Outlier</v>
      </c>
      <c r="Z1584" s="2" t="s">
        <v>72</v>
      </c>
      <c r="AA1584" s="2" t="s">
        <v>27</v>
      </c>
      <c r="AB1584" s="2" t="s">
        <v>96</v>
      </c>
      <c r="AC1584" s="2" t="s">
        <v>29</v>
      </c>
      <c r="AD1584" s="2" t="s">
        <v>341</v>
      </c>
      <c r="AE1584" s="2" t="str">
        <f t="shared" si="333"/>
        <v>Valid</v>
      </c>
      <c r="AF1584" s="2" t="s">
        <v>4287</v>
      </c>
    </row>
    <row r="1585" spans="1:32" x14ac:dyDescent="0.3">
      <c r="A1585" s="2" t="s">
        <v>4288</v>
      </c>
      <c r="B1585" s="2">
        <f t="shared" si="323"/>
        <v>1</v>
      </c>
      <c r="C1585" s="12">
        <f t="shared" si="335"/>
        <v>46238.584993935183</v>
      </c>
      <c r="D1585" s="13">
        <v>46238.584993935183</v>
      </c>
      <c r="E1585" s="2" t="s">
        <v>4289</v>
      </c>
      <c r="F1585" s="2" t="str">
        <f t="shared" si="324"/>
        <v>Email Available</v>
      </c>
      <c r="G1585" s="2" t="s">
        <v>4290</v>
      </c>
      <c r="H1585" s="2" t="s">
        <v>267</v>
      </c>
      <c r="I1585" s="2" t="s">
        <v>22</v>
      </c>
      <c r="J1585" s="2" t="s">
        <v>268</v>
      </c>
      <c r="K1585" s="2">
        <v>1</v>
      </c>
      <c r="L1585" s="2">
        <v>18.989999999999998</v>
      </c>
      <c r="M1585" s="19">
        <f t="shared" si="325"/>
        <v>18.989999999999998</v>
      </c>
      <c r="N1585" s="2"/>
      <c r="O1585" s="2" t="str">
        <f t="shared" si="326"/>
        <v/>
      </c>
      <c r="P1585" s="2">
        <v>0</v>
      </c>
      <c r="Q1585" s="19">
        <f t="shared" si="327"/>
        <v>0</v>
      </c>
      <c r="R1585" s="2" t="str">
        <f t="shared" si="328"/>
        <v>Number</v>
      </c>
      <c r="S1585" s="2">
        <v>5.99</v>
      </c>
      <c r="T1585" s="19">
        <f t="shared" si="329"/>
        <v>5.99</v>
      </c>
      <c r="U1585" s="2">
        <v>24.98</v>
      </c>
      <c r="V1585" s="19">
        <f t="shared" si="330"/>
        <v>24.98</v>
      </c>
      <c r="W1585" s="19">
        <f t="shared" si="331"/>
        <v>24.979999999999997</v>
      </c>
      <c r="X1585" s="19" t="str">
        <f t="shared" si="332"/>
        <v>True</v>
      </c>
      <c r="Y1585" s="19" t="str">
        <f>IF(OR(W1585&lt;'Cleaning Tasks'!$G$18,W1585&gt;'Cleaning Tasks'!$H$18),"Outlier","Normal")</f>
        <v>Normal</v>
      </c>
      <c r="Z1585" s="2" t="s">
        <v>26</v>
      </c>
      <c r="AA1585" s="2" t="s">
        <v>111</v>
      </c>
      <c r="AB1585" s="2" t="s">
        <v>50</v>
      </c>
      <c r="AC1585" s="2" t="s">
        <v>29</v>
      </c>
      <c r="AD1585" s="2" t="s">
        <v>140</v>
      </c>
      <c r="AE1585" s="2" t="str">
        <f t="shared" si="333"/>
        <v>Valid</v>
      </c>
      <c r="AF1585" s="2" t="s">
        <v>4291</v>
      </c>
    </row>
    <row r="1586" spans="1:32" x14ac:dyDescent="0.3">
      <c r="A1586" s="2" t="s">
        <v>4292</v>
      </c>
      <c r="B1586" s="2">
        <f t="shared" si="323"/>
        <v>1</v>
      </c>
      <c r="C1586" s="12">
        <f t="shared" si="335"/>
        <v>46238</v>
      </c>
      <c r="D1586" s="13">
        <v>46238</v>
      </c>
      <c r="E1586" s="2" t="s">
        <v>287</v>
      </c>
      <c r="F1586" s="2" t="str">
        <f t="shared" si="324"/>
        <v>Email Available</v>
      </c>
      <c r="G1586" s="2" t="s">
        <v>288</v>
      </c>
      <c r="H1586" s="2" t="s">
        <v>56</v>
      </c>
      <c r="I1586" s="2" t="s">
        <v>22</v>
      </c>
      <c r="J1586" s="2" t="s">
        <v>57</v>
      </c>
      <c r="K1586" s="2">
        <v>1</v>
      </c>
      <c r="L1586" s="2">
        <v>9.99</v>
      </c>
      <c r="M1586" s="19">
        <f t="shared" si="325"/>
        <v>9.99</v>
      </c>
      <c r="N1586" s="2" t="s">
        <v>65</v>
      </c>
      <c r="O1586" s="2" t="str">
        <f t="shared" si="326"/>
        <v>WELCOME10</v>
      </c>
      <c r="P1586" s="2">
        <v>1</v>
      </c>
      <c r="Q1586" s="19">
        <f t="shared" si="327"/>
        <v>1</v>
      </c>
      <c r="R1586" s="2" t="str">
        <f t="shared" si="328"/>
        <v>Number</v>
      </c>
      <c r="S1586" s="2">
        <v>7.99</v>
      </c>
      <c r="T1586" s="19">
        <f t="shared" si="329"/>
        <v>7.99</v>
      </c>
      <c r="U1586" s="2">
        <v>16.98</v>
      </c>
      <c r="V1586" s="19">
        <f t="shared" si="330"/>
        <v>16.98</v>
      </c>
      <c r="W1586" s="19">
        <f t="shared" si="331"/>
        <v>16.98</v>
      </c>
      <c r="X1586" s="19" t="str">
        <f t="shared" si="332"/>
        <v>True</v>
      </c>
      <c r="Y1586" s="19" t="str">
        <f>IF(OR(W1586&lt;'Cleaning Tasks'!$G$18,W1586&gt;'Cleaning Tasks'!$H$18),"Outlier","Normal")</f>
        <v>Normal</v>
      </c>
      <c r="Z1586" s="2" t="s">
        <v>39</v>
      </c>
      <c r="AA1586" s="2" t="s">
        <v>27</v>
      </c>
      <c r="AB1586" s="2" t="s">
        <v>50</v>
      </c>
      <c r="AC1586" s="2" t="s">
        <v>29</v>
      </c>
      <c r="AD1586" s="2" t="s">
        <v>447</v>
      </c>
      <c r="AE1586" s="2" t="str">
        <f t="shared" si="333"/>
        <v>Valid</v>
      </c>
      <c r="AF1586" s="2" t="s">
        <v>4293</v>
      </c>
    </row>
    <row r="1587" spans="1:32" x14ac:dyDescent="0.3">
      <c r="A1587" s="2" t="s">
        <v>4294</v>
      </c>
      <c r="B1587" s="2">
        <f t="shared" si="323"/>
        <v>1</v>
      </c>
      <c r="C1587" s="12">
        <f t="shared" si="335"/>
        <v>46238.583898657409</v>
      </c>
      <c r="D1587" s="13">
        <v>46238.583898657409</v>
      </c>
      <c r="E1587" s="2" t="s">
        <v>172</v>
      </c>
      <c r="F1587" s="2" t="str">
        <f t="shared" si="324"/>
        <v>Email Available</v>
      </c>
      <c r="G1587" s="2" t="s">
        <v>173</v>
      </c>
      <c r="H1587" s="2" t="s">
        <v>63</v>
      </c>
      <c r="I1587" s="2" t="s">
        <v>47</v>
      </c>
      <c r="J1587" s="2" t="s">
        <v>446</v>
      </c>
      <c r="K1587" s="2">
        <v>2</v>
      </c>
      <c r="L1587" s="2">
        <v>14.99</v>
      </c>
      <c r="M1587" s="19">
        <f t="shared" si="325"/>
        <v>14.99</v>
      </c>
      <c r="N1587" s="2" t="s">
        <v>38</v>
      </c>
      <c r="O1587" s="2" t="str">
        <f t="shared" si="326"/>
        <v>FREESHIP</v>
      </c>
      <c r="P1587" s="2">
        <v>0</v>
      </c>
      <c r="Q1587" s="19">
        <f t="shared" si="327"/>
        <v>0</v>
      </c>
      <c r="R1587" s="2" t="str">
        <f t="shared" si="328"/>
        <v>Number</v>
      </c>
      <c r="S1587" s="2">
        <v>0</v>
      </c>
      <c r="T1587" s="19">
        <f t="shared" si="329"/>
        <v>0</v>
      </c>
      <c r="U1587" s="2">
        <v>29.98</v>
      </c>
      <c r="V1587" s="19">
        <f t="shared" si="330"/>
        <v>29.98</v>
      </c>
      <c r="W1587" s="19">
        <f t="shared" si="331"/>
        <v>29.98</v>
      </c>
      <c r="X1587" s="19" t="str">
        <f t="shared" si="332"/>
        <v>True</v>
      </c>
      <c r="Y1587" s="19" t="str">
        <f>IF(OR(W1587&lt;'Cleaning Tasks'!$G$18,W1587&gt;'Cleaning Tasks'!$H$18),"Outlier","Normal")</f>
        <v>Normal</v>
      </c>
      <c r="Z1587" s="2" t="s">
        <v>72</v>
      </c>
      <c r="AA1587" s="2" t="s">
        <v>27</v>
      </c>
      <c r="AB1587" s="2" t="s">
        <v>50</v>
      </c>
      <c r="AC1587" s="2" t="s">
        <v>29</v>
      </c>
      <c r="AD1587" s="2" t="s">
        <v>112</v>
      </c>
      <c r="AE1587" s="2" t="str">
        <f t="shared" si="333"/>
        <v>Valid</v>
      </c>
      <c r="AF1587" s="2" t="s">
        <v>4295</v>
      </c>
    </row>
    <row r="1588" spans="1:32" x14ac:dyDescent="0.3">
      <c r="A1588" s="2" t="s">
        <v>4296</v>
      </c>
      <c r="B1588" s="2">
        <f t="shared" si="323"/>
        <v>1</v>
      </c>
      <c r="C1588" s="12">
        <f t="shared" si="335"/>
        <v>46238.582727430563</v>
      </c>
      <c r="D1588" s="13">
        <v>46238.582727430563</v>
      </c>
      <c r="E1588" s="2" t="s">
        <v>4297</v>
      </c>
      <c r="F1588" s="2" t="str">
        <f t="shared" si="324"/>
        <v>Email Available</v>
      </c>
      <c r="G1588" s="2" t="s">
        <v>4298</v>
      </c>
      <c r="H1588" s="2" t="s">
        <v>56</v>
      </c>
      <c r="I1588" s="2" t="s">
        <v>22</v>
      </c>
      <c r="J1588" s="2" t="s">
        <v>57</v>
      </c>
      <c r="K1588" s="2">
        <v>1</v>
      </c>
      <c r="L1588" s="2">
        <v>9.99</v>
      </c>
      <c r="M1588" s="19">
        <f t="shared" si="325"/>
        <v>9.99</v>
      </c>
      <c r="N1588" s="2"/>
      <c r="O1588" s="2" t="str">
        <f t="shared" si="326"/>
        <v/>
      </c>
      <c r="P1588" s="2">
        <v>0</v>
      </c>
      <c r="Q1588" s="19">
        <f t="shared" si="327"/>
        <v>0</v>
      </c>
      <c r="R1588" s="2" t="str">
        <f t="shared" si="328"/>
        <v>Number</v>
      </c>
      <c r="S1588" s="2">
        <v>5.99</v>
      </c>
      <c r="T1588" s="19">
        <f t="shared" si="329"/>
        <v>5.99</v>
      </c>
      <c r="U1588" s="2">
        <v>15.98</v>
      </c>
      <c r="V1588" s="19">
        <f t="shared" si="330"/>
        <v>15.98</v>
      </c>
      <c r="W1588" s="19">
        <f t="shared" si="331"/>
        <v>15.98</v>
      </c>
      <c r="X1588" s="19" t="str">
        <f t="shared" si="332"/>
        <v>True</v>
      </c>
      <c r="Y1588" s="19" t="str">
        <f>IF(OR(W1588&lt;'Cleaning Tasks'!$G$18,W1588&gt;'Cleaning Tasks'!$H$18),"Outlier","Normal")</f>
        <v>Normal</v>
      </c>
      <c r="Z1588" s="2" t="s">
        <v>39</v>
      </c>
      <c r="AA1588" s="2" t="s">
        <v>88</v>
      </c>
      <c r="AB1588" s="2" t="s">
        <v>50</v>
      </c>
      <c r="AC1588" s="2" t="s">
        <v>29</v>
      </c>
      <c r="AD1588" s="2" t="s">
        <v>341</v>
      </c>
      <c r="AE1588" s="2" t="str">
        <f t="shared" si="333"/>
        <v>Valid</v>
      </c>
      <c r="AF1588" s="2" t="s">
        <v>4299</v>
      </c>
    </row>
    <row r="1589" spans="1:32" x14ac:dyDescent="0.3">
      <c r="A1589" s="2" t="s">
        <v>4300</v>
      </c>
      <c r="B1589" s="2">
        <f t="shared" si="323"/>
        <v>1</v>
      </c>
      <c r="C1589" s="12">
        <f t="shared" si="335"/>
        <v>46238.580577569453</v>
      </c>
      <c r="D1589" s="13">
        <v>46238.580577569453</v>
      </c>
      <c r="E1589" s="2" t="s">
        <v>613</v>
      </c>
      <c r="F1589" s="2" t="str">
        <f t="shared" si="324"/>
        <v>Email Available</v>
      </c>
      <c r="G1589" s="2" t="s">
        <v>614</v>
      </c>
      <c r="H1589" s="2" t="s">
        <v>35</v>
      </c>
      <c r="I1589" s="2" t="s">
        <v>36</v>
      </c>
      <c r="J1589" s="2" t="s">
        <v>37</v>
      </c>
      <c r="K1589" s="2">
        <v>1</v>
      </c>
      <c r="L1589" s="2">
        <v>21.99</v>
      </c>
      <c r="M1589" s="19">
        <f t="shared" si="325"/>
        <v>21.99</v>
      </c>
      <c r="N1589" s="2"/>
      <c r="O1589" s="2" t="str">
        <f t="shared" si="326"/>
        <v/>
      </c>
      <c r="P1589" s="2">
        <v>0</v>
      </c>
      <c r="Q1589" s="19">
        <f t="shared" si="327"/>
        <v>0</v>
      </c>
      <c r="R1589" s="2" t="str">
        <f t="shared" si="328"/>
        <v>Number</v>
      </c>
      <c r="S1589" s="2">
        <v>7.99</v>
      </c>
      <c r="T1589" s="19">
        <f t="shared" si="329"/>
        <v>7.99</v>
      </c>
      <c r="U1589" s="2">
        <v>29.98</v>
      </c>
      <c r="V1589" s="19">
        <f t="shared" si="330"/>
        <v>29.98</v>
      </c>
      <c r="W1589" s="19">
        <f t="shared" si="331"/>
        <v>29.979999999999997</v>
      </c>
      <c r="X1589" s="19" t="str">
        <f t="shared" si="332"/>
        <v>True</v>
      </c>
      <c r="Y1589" s="19" t="str">
        <f>IF(OR(W1589&lt;'Cleaning Tasks'!$G$18,W1589&gt;'Cleaning Tasks'!$H$18),"Outlier","Normal")</f>
        <v>Normal</v>
      </c>
      <c r="Z1589" s="2" t="s">
        <v>39</v>
      </c>
      <c r="AA1589" s="2" t="s">
        <v>27</v>
      </c>
      <c r="AB1589" s="2" t="s">
        <v>50</v>
      </c>
      <c r="AC1589" s="2" t="s">
        <v>29</v>
      </c>
      <c r="AD1589" s="2" t="s">
        <v>58</v>
      </c>
      <c r="AE1589" s="2" t="str">
        <f t="shared" si="333"/>
        <v>Valid</v>
      </c>
      <c r="AF1589" s="2" t="s">
        <v>4301</v>
      </c>
    </row>
    <row r="1590" spans="1:32" x14ac:dyDescent="0.3">
      <c r="A1590" s="2" t="s">
        <v>4302</v>
      </c>
      <c r="B1590" s="2">
        <f t="shared" si="323"/>
        <v>1</v>
      </c>
      <c r="C1590" s="12">
        <f t="shared" si="335"/>
        <v>46238.582822372693</v>
      </c>
      <c r="D1590" s="13">
        <v>46238.582822372693</v>
      </c>
      <c r="E1590" s="2" t="s">
        <v>307</v>
      </c>
      <c r="F1590" s="2" t="str">
        <f t="shared" si="324"/>
        <v>Email Available</v>
      </c>
      <c r="G1590" s="2" t="s">
        <v>308</v>
      </c>
      <c r="H1590" s="2" t="s">
        <v>146</v>
      </c>
      <c r="I1590" s="2" t="s">
        <v>47</v>
      </c>
      <c r="J1590" s="2" t="s">
        <v>147</v>
      </c>
      <c r="K1590" s="2">
        <v>2</v>
      </c>
      <c r="L1590" s="2">
        <v>34.99</v>
      </c>
      <c r="M1590" s="19">
        <f t="shared" si="325"/>
        <v>34.99</v>
      </c>
      <c r="N1590" s="2" t="s">
        <v>38</v>
      </c>
      <c r="O1590" s="2" t="str">
        <f t="shared" si="326"/>
        <v>FREESHIP</v>
      </c>
      <c r="P1590" s="2">
        <v>0</v>
      </c>
      <c r="Q1590" s="19">
        <f t="shared" si="327"/>
        <v>0</v>
      </c>
      <c r="R1590" s="2" t="str">
        <f t="shared" si="328"/>
        <v>Number</v>
      </c>
      <c r="S1590" s="2">
        <v>0</v>
      </c>
      <c r="T1590" s="19">
        <f t="shared" si="329"/>
        <v>0</v>
      </c>
      <c r="U1590" s="2">
        <v>69.98</v>
      </c>
      <c r="V1590" s="19">
        <f t="shared" si="330"/>
        <v>69.98</v>
      </c>
      <c r="W1590" s="19">
        <f t="shared" si="331"/>
        <v>69.98</v>
      </c>
      <c r="X1590" s="19" t="str">
        <f t="shared" si="332"/>
        <v>True</v>
      </c>
      <c r="Y1590" s="19" t="str">
        <f>IF(OR(W1590&lt;'Cleaning Tasks'!$G$18,W1590&gt;'Cleaning Tasks'!$H$18),"Outlier","Normal")</f>
        <v>Normal</v>
      </c>
      <c r="Z1590" s="2" t="s">
        <v>39</v>
      </c>
      <c r="AA1590" s="2" t="s">
        <v>27</v>
      </c>
      <c r="AB1590" s="2" t="s">
        <v>96</v>
      </c>
      <c r="AC1590" s="2" t="s">
        <v>105</v>
      </c>
      <c r="AD1590" s="2"/>
      <c r="AE1590" s="2" t="str">
        <f t="shared" si="333"/>
        <v>Not Required</v>
      </c>
      <c r="AF1590" s="2" t="s">
        <v>4303</v>
      </c>
    </row>
    <row r="1591" spans="1:32" x14ac:dyDescent="0.3">
      <c r="A1591" s="2" t="s">
        <v>4304</v>
      </c>
      <c r="B1591" s="2">
        <f t="shared" si="323"/>
        <v>1</v>
      </c>
      <c r="C1591" s="12">
        <f t="shared" si="335"/>
        <v>46238.588951759259</v>
      </c>
      <c r="D1591" s="13">
        <v>46238.588951759259</v>
      </c>
      <c r="E1591" s="2" t="s">
        <v>1084</v>
      </c>
      <c r="F1591" s="2" t="str">
        <f t="shared" si="324"/>
        <v>Email Available</v>
      </c>
      <c r="G1591" s="2" t="s">
        <v>1085</v>
      </c>
      <c r="H1591" s="2" t="s">
        <v>221</v>
      </c>
      <c r="I1591" s="2" t="s">
        <v>22</v>
      </c>
      <c r="J1591" s="2" t="s">
        <v>222</v>
      </c>
      <c r="K1591" s="2">
        <v>1</v>
      </c>
      <c r="L1591" s="2">
        <v>17.989999999999998</v>
      </c>
      <c r="M1591" s="19">
        <f t="shared" si="325"/>
        <v>17.989999999999998</v>
      </c>
      <c r="N1591" s="2"/>
      <c r="O1591" s="2" t="str">
        <f t="shared" si="326"/>
        <v/>
      </c>
      <c r="P1591" s="2">
        <v>0</v>
      </c>
      <c r="Q1591" s="19">
        <f t="shared" si="327"/>
        <v>0</v>
      </c>
      <c r="R1591" s="2" t="str">
        <f t="shared" si="328"/>
        <v>Number</v>
      </c>
      <c r="S1591" s="2">
        <v>4.99</v>
      </c>
      <c r="T1591" s="19">
        <f t="shared" si="329"/>
        <v>4.99</v>
      </c>
      <c r="U1591" s="2">
        <v>22.98</v>
      </c>
      <c r="V1591" s="19">
        <f t="shared" si="330"/>
        <v>22.98</v>
      </c>
      <c r="W1591" s="19">
        <f t="shared" si="331"/>
        <v>22.979999999999997</v>
      </c>
      <c r="X1591" s="19" t="str">
        <f t="shared" si="332"/>
        <v>True</v>
      </c>
      <c r="Y1591" s="19" t="str">
        <f>IF(OR(W1591&lt;'Cleaning Tasks'!$G$18,W1591&gt;'Cleaning Tasks'!$H$18),"Outlier","Normal")</f>
        <v>Normal</v>
      </c>
      <c r="Z1591" s="2" t="s">
        <v>26</v>
      </c>
      <c r="AA1591" s="2" t="s">
        <v>40</v>
      </c>
      <c r="AB1591" s="2" t="s">
        <v>50</v>
      </c>
      <c r="AC1591" s="2" t="s">
        <v>29</v>
      </c>
      <c r="AD1591" s="2" t="s">
        <v>140</v>
      </c>
      <c r="AE1591" s="2" t="str">
        <f t="shared" si="333"/>
        <v>Valid</v>
      </c>
      <c r="AF1591" s="2" t="s">
        <v>4305</v>
      </c>
    </row>
    <row r="1592" spans="1:32" x14ac:dyDescent="0.3">
      <c r="A1592" s="2" t="s">
        <v>4306</v>
      </c>
      <c r="B1592" s="2">
        <f t="shared" si="323"/>
        <v>1</v>
      </c>
      <c r="C1592" s="12">
        <f t="shared" si="335"/>
        <v>46238.586173946758</v>
      </c>
      <c r="D1592" s="13">
        <v>46238.586173946758</v>
      </c>
      <c r="E1592" s="2" t="s">
        <v>3728</v>
      </c>
      <c r="F1592" s="2" t="str">
        <f t="shared" si="324"/>
        <v>Email Available</v>
      </c>
      <c r="G1592" s="2" t="s">
        <v>3729</v>
      </c>
      <c r="H1592" s="2" t="s">
        <v>46</v>
      </c>
      <c r="I1592" s="2" t="s">
        <v>47</v>
      </c>
      <c r="J1592" s="2" t="s">
        <v>48</v>
      </c>
      <c r="K1592" s="2">
        <v>1</v>
      </c>
      <c r="L1592" s="2" t="s">
        <v>1493</v>
      </c>
      <c r="M1592" s="19">
        <f t="shared" si="325"/>
        <v>39.99</v>
      </c>
      <c r="N1592" s="2"/>
      <c r="O1592" s="2" t="str">
        <f t="shared" si="326"/>
        <v/>
      </c>
      <c r="P1592" s="2">
        <v>0</v>
      </c>
      <c r="Q1592" s="19">
        <f t="shared" si="327"/>
        <v>0</v>
      </c>
      <c r="R1592" s="2" t="str">
        <f t="shared" si="328"/>
        <v>Number</v>
      </c>
      <c r="S1592" s="2">
        <v>7.99</v>
      </c>
      <c r="T1592" s="19">
        <f t="shared" si="329"/>
        <v>7.99</v>
      </c>
      <c r="U1592" s="2">
        <v>47.98</v>
      </c>
      <c r="V1592" s="19">
        <f t="shared" si="330"/>
        <v>47.98</v>
      </c>
      <c r="W1592" s="19">
        <f t="shared" si="331"/>
        <v>47.980000000000004</v>
      </c>
      <c r="X1592" s="19" t="str">
        <f t="shared" si="332"/>
        <v>True</v>
      </c>
      <c r="Y1592" s="19" t="str">
        <f>IF(OR(W1592&lt;'Cleaning Tasks'!$G$18,W1592&gt;'Cleaning Tasks'!$H$18),"Outlier","Normal")</f>
        <v>Normal</v>
      </c>
      <c r="Z1592" s="2" t="s">
        <v>66</v>
      </c>
      <c r="AA1592" s="2" t="s">
        <v>88</v>
      </c>
      <c r="AB1592" s="2" t="s">
        <v>50</v>
      </c>
      <c r="AC1592" s="2" t="s">
        <v>42</v>
      </c>
      <c r="AD1592" s="2"/>
      <c r="AE1592" s="2" t="str">
        <f t="shared" si="333"/>
        <v>Not Required</v>
      </c>
      <c r="AF1592" s="2" t="s">
        <v>4307</v>
      </c>
    </row>
    <row r="1593" spans="1:32" x14ac:dyDescent="0.3">
      <c r="A1593" s="2" t="s">
        <v>4308</v>
      </c>
      <c r="B1593" s="2">
        <f t="shared" si="323"/>
        <v>1</v>
      </c>
      <c r="C1593" s="12">
        <f t="shared" si="335"/>
        <v>46238.584106851849</v>
      </c>
      <c r="D1593" s="13">
        <v>46238.584106851849</v>
      </c>
      <c r="E1593" s="2" t="s">
        <v>134</v>
      </c>
      <c r="F1593" s="2" t="str">
        <f t="shared" si="324"/>
        <v>Email Available</v>
      </c>
      <c r="G1593" s="2" t="s">
        <v>135</v>
      </c>
      <c r="H1593" s="2" t="s">
        <v>35</v>
      </c>
      <c r="I1593" s="2" t="s">
        <v>36</v>
      </c>
      <c r="J1593" s="2" t="s">
        <v>37</v>
      </c>
      <c r="K1593" s="2">
        <v>1</v>
      </c>
      <c r="L1593" s="2">
        <v>21.99</v>
      </c>
      <c r="M1593" s="19">
        <f t="shared" si="325"/>
        <v>21.99</v>
      </c>
      <c r="N1593" s="2"/>
      <c r="O1593" s="2" t="str">
        <f t="shared" si="326"/>
        <v/>
      </c>
      <c r="P1593" s="2" t="s">
        <v>184</v>
      </c>
      <c r="Q1593" s="19">
        <f t="shared" si="327"/>
        <v>0</v>
      </c>
      <c r="R1593" s="2" t="str">
        <f t="shared" si="328"/>
        <v>Number</v>
      </c>
      <c r="S1593" s="2">
        <v>5.99</v>
      </c>
      <c r="T1593" s="19">
        <f t="shared" si="329"/>
        <v>5.99</v>
      </c>
      <c r="U1593" s="2">
        <v>27.98</v>
      </c>
      <c r="V1593" s="19">
        <f t="shared" si="330"/>
        <v>27.98</v>
      </c>
      <c r="W1593" s="19">
        <f t="shared" si="331"/>
        <v>27.979999999999997</v>
      </c>
      <c r="X1593" s="19" t="str">
        <f t="shared" si="332"/>
        <v>True</v>
      </c>
      <c r="Y1593" s="19" t="str">
        <f>IF(OR(W1593&lt;'Cleaning Tasks'!$G$18,W1593&gt;'Cleaning Tasks'!$H$18),"Outlier","Normal")</f>
        <v>Normal</v>
      </c>
      <c r="Z1593" s="2" t="s">
        <v>39</v>
      </c>
      <c r="AA1593" s="2" t="s">
        <v>27</v>
      </c>
      <c r="AB1593" s="2" t="s">
        <v>50</v>
      </c>
      <c r="AC1593" s="2" t="s">
        <v>29</v>
      </c>
      <c r="AD1593" s="2" t="s">
        <v>243</v>
      </c>
      <c r="AE1593" s="2" t="str">
        <f t="shared" si="333"/>
        <v>Valid</v>
      </c>
      <c r="AF1593" s="2" t="s">
        <v>4309</v>
      </c>
    </row>
    <row r="1594" spans="1:32" x14ac:dyDescent="0.3">
      <c r="A1594" s="2" t="s">
        <v>4310</v>
      </c>
      <c r="B1594" s="2">
        <f t="shared" si="323"/>
        <v>1</v>
      </c>
      <c r="C1594" s="12">
        <f t="shared" si="335"/>
        <v>46238.588628194448</v>
      </c>
      <c r="D1594" s="13">
        <v>46238.588628194448</v>
      </c>
      <c r="E1594" s="2" t="s">
        <v>3474</v>
      </c>
      <c r="F1594" s="2" t="str">
        <f t="shared" si="324"/>
        <v>Email Available</v>
      </c>
      <c r="G1594" s="2" t="s">
        <v>3475</v>
      </c>
      <c r="H1594" s="2" t="s">
        <v>63</v>
      </c>
      <c r="I1594" s="2" t="s">
        <v>47</v>
      </c>
      <c r="J1594" s="2" t="s">
        <v>64</v>
      </c>
      <c r="K1594" s="2">
        <v>4</v>
      </c>
      <c r="L1594" s="2">
        <v>14.99</v>
      </c>
      <c r="M1594" s="19">
        <f t="shared" si="325"/>
        <v>14.99</v>
      </c>
      <c r="N1594" s="2"/>
      <c r="O1594" s="2" t="str">
        <f t="shared" si="326"/>
        <v/>
      </c>
      <c r="P1594" s="2">
        <v>0</v>
      </c>
      <c r="Q1594" s="19">
        <f t="shared" si="327"/>
        <v>0</v>
      </c>
      <c r="R1594" s="2" t="str">
        <f t="shared" si="328"/>
        <v>Number</v>
      </c>
      <c r="S1594" s="2">
        <v>4.99</v>
      </c>
      <c r="T1594" s="19">
        <f t="shared" si="329"/>
        <v>4.99</v>
      </c>
      <c r="U1594" s="2">
        <v>64.95</v>
      </c>
      <c r="V1594" s="19">
        <f t="shared" si="330"/>
        <v>64.95</v>
      </c>
      <c r="W1594" s="19">
        <f t="shared" si="331"/>
        <v>64.95</v>
      </c>
      <c r="X1594" s="19" t="str">
        <f t="shared" si="332"/>
        <v>True</v>
      </c>
      <c r="Y1594" s="19" t="str">
        <f>IF(OR(W1594&lt;'Cleaning Tasks'!$G$18,W1594&gt;'Cleaning Tasks'!$H$18),"Outlier","Normal")</f>
        <v>Normal</v>
      </c>
      <c r="Z1594" s="2" t="s">
        <v>39</v>
      </c>
      <c r="AA1594" s="2" t="s">
        <v>27</v>
      </c>
      <c r="AB1594" s="2" t="s">
        <v>50</v>
      </c>
      <c r="AC1594" s="2" t="s">
        <v>105</v>
      </c>
      <c r="AD1594" s="2"/>
      <c r="AE1594" s="2" t="str">
        <f t="shared" si="333"/>
        <v>Not Required</v>
      </c>
      <c r="AF1594" s="2" t="s">
        <v>4311</v>
      </c>
    </row>
    <row r="1595" spans="1:32" x14ac:dyDescent="0.3">
      <c r="A1595" s="2" t="s">
        <v>4312</v>
      </c>
      <c r="B1595" s="2">
        <f t="shared" si="323"/>
        <v>1</v>
      </c>
      <c r="C1595" s="12">
        <f t="shared" si="335"/>
        <v>46238.582907673612</v>
      </c>
      <c r="D1595" s="13">
        <v>46238.582907673612</v>
      </c>
      <c r="E1595" s="2" t="s">
        <v>454</v>
      </c>
      <c r="F1595" s="2" t="str">
        <f t="shared" si="324"/>
        <v>Email Available</v>
      </c>
      <c r="G1595" s="2" t="s">
        <v>455</v>
      </c>
      <c r="H1595" s="2" t="s">
        <v>109</v>
      </c>
      <c r="I1595" s="2" t="s">
        <v>79</v>
      </c>
      <c r="J1595" s="2" t="s">
        <v>110</v>
      </c>
      <c r="K1595" s="2">
        <v>1</v>
      </c>
      <c r="L1595" s="2">
        <v>22.99</v>
      </c>
      <c r="M1595" s="19">
        <f t="shared" si="325"/>
        <v>22.99</v>
      </c>
      <c r="N1595" s="2"/>
      <c r="O1595" s="2" t="str">
        <f t="shared" si="326"/>
        <v/>
      </c>
      <c r="P1595" s="2">
        <v>0</v>
      </c>
      <c r="Q1595" s="19">
        <f t="shared" si="327"/>
        <v>0</v>
      </c>
      <c r="R1595" s="2" t="str">
        <f t="shared" si="328"/>
        <v>Number</v>
      </c>
      <c r="S1595" s="2">
        <v>5.99</v>
      </c>
      <c r="T1595" s="19">
        <f t="shared" si="329"/>
        <v>5.99</v>
      </c>
      <c r="U1595" s="2">
        <v>28.98</v>
      </c>
      <c r="V1595" s="19">
        <f t="shared" si="330"/>
        <v>28.98</v>
      </c>
      <c r="W1595" s="19">
        <f t="shared" si="331"/>
        <v>28.979999999999997</v>
      </c>
      <c r="X1595" s="19" t="str">
        <f t="shared" si="332"/>
        <v>True</v>
      </c>
      <c r="Y1595" s="19" t="str">
        <f>IF(OR(W1595&lt;'Cleaning Tasks'!$G$18,W1595&gt;'Cleaning Tasks'!$H$18),"Outlier","Normal")</f>
        <v>Normal</v>
      </c>
      <c r="Z1595" s="2" t="s">
        <v>39</v>
      </c>
      <c r="AA1595" s="2" t="s">
        <v>27</v>
      </c>
      <c r="AB1595" s="2" t="s">
        <v>28</v>
      </c>
      <c r="AC1595" s="2" t="s">
        <v>331</v>
      </c>
      <c r="AD1595" s="2"/>
      <c r="AE1595" s="2" t="str">
        <f t="shared" si="333"/>
        <v>Not Required</v>
      </c>
      <c r="AF1595" s="2" t="s">
        <v>4313</v>
      </c>
    </row>
    <row r="1596" spans="1:32" x14ac:dyDescent="0.3">
      <c r="A1596" s="2" t="s">
        <v>4314</v>
      </c>
      <c r="B1596" s="2">
        <f t="shared" si="323"/>
        <v>1</v>
      </c>
      <c r="C1596" s="12">
        <f t="shared" si="335"/>
        <v>46238.586762083331</v>
      </c>
      <c r="D1596" s="13">
        <v>46238.586762083331</v>
      </c>
      <c r="E1596" s="2" t="s">
        <v>815</v>
      </c>
      <c r="F1596" s="2" t="str">
        <f t="shared" si="324"/>
        <v>Email Available</v>
      </c>
      <c r="G1596" s="2" t="s">
        <v>816</v>
      </c>
      <c r="H1596" s="2" t="s">
        <v>130</v>
      </c>
      <c r="I1596" s="2" t="s">
        <v>103</v>
      </c>
      <c r="J1596" s="2" t="s">
        <v>131</v>
      </c>
      <c r="K1596" s="2">
        <v>1</v>
      </c>
      <c r="L1596" s="2">
        <v>16.989999999999998</v>
      </c>
      <c r="M1596" s="19">
        <f t="shared" si="325"/>
        <v>16.989999999999998</v>
      </c>
      <c r="N1596" s="2" t="s">
        <v>38</v>
      </c>
      <c r="O1596" s="2" t="str">
        <f t="shared" si="326"/>
        <v>FREESHIP</v>
      </c>
      <c r="P1596" s="2">
        <v>0</v>
      </c>
      <c r="Q1596" s="19">
        <f t="shared" si="327"/>
        <v>0</v>
      </c>
      <c r="R1596" s="2" t="str">
        <f t="shared" si="328"/>
        <v>Number</v>
      </c>
      <c r="S1596" s="2">
        <v>0</v>
      </c>
      <c r="T1596" s="19">
        <f t="shared" si="329"/>
        <v>0</v>
      </c>
      <c r="U1596" s="2">
        <v>16.989999999999998</v>
      </c>
      <c r="V1596" s="19">
        <f t="shared" si="330"/>
        <v>16.989999999999998</v>
      </c>
      <c r="W1596" s="19">
        <f t="shared" si="331"/>
        <v>16.989999999999998</v>
      </c>
      <c r="X1596" s="19" t="str">
        <f t="shared" si="332"/>
        <v>True</v>
      </c>
      <c r="Y1596" s="19" t="str">
        <f>IF(OR(W1596&lt;'Cleaning Tasks'!$G$18,W1596&gt;'Cleaning Tasks'!$H$18),"Outlier","Normal")</f>
        <v>Normal</v>
      </c>
      <c r="Z1596" s="2" t="s">
        <v>39</v>
      </c>
      <c r="AA1596" s="2" t="s">
        <v>27</v>
      </c>
      <c r="AB1596" s="2" t="s">
        <v>50</v>
      </c>
      <c r="AC1596" s="2" t="s">
        <v>73</v>
      </c>
      <c r="AD1596" s="2"/>
      <c r="AE1596" s="2" t="str">
        <f t="shared" si="333"/>
        <v>Not Required</v>
      </c>
      <c r="AF1596" s="2" t="s">
        <v>4315</v>
      </c>
    </row>
    <row r="1597" spans="1:32" x14ac:dyDescent="0.3">
      <c r="A1597" s="2" t="s">
        <v>4316</v>
      </c>
      <c r="B1597" s="2">
        <f t="shared" si="323"/>
        <v>1</v>
      </c>
      <c r="C1597" s="12">
        <f t="shared" si="335"/>
        <v>46238.58727434028</v>
      </c>
      <c r="D1597" s="13">
        <v>46238.58727434028</v>
      </c>
      <c r="E1597" s="2" t="s">
        <v>499</v>
      </c>
      <c r="F1597" s="2" t="str">
        <f t="shared" si="324"/>
        <v>Email Available</v>
      </c>
      <c r="G1597" s="2" t="s">
        <v>500</v>
      </c>
      <c r="H1597" s="2" t="s">
        <v>46</v>
      </c>
      <c r="I1597" s="2" t="s">
        <v>47</v>
      </c>
      <c r="J1597" s="2" t="s">
        <v>48</v>
      </c>
      <c r="K1597" s="2">
        <v>1</v>
      </c>
      <c r="L1597" s="2">
        <v>39.99</v>
      </c>
      <c r="M1597" s="19">
        <f t="shared" si="325"/>
        <v>39.99</v>
      </c>
      <c r="N1597" s="2" t="s">
        <v>65</v>
      </c>
      <c r="O1597" s="2" t="str">
        <f t="shared" si="326"/>
        <v>WELCOME10</v>
      </c>
      <c r="P1597" s="2">
        <v>4</v>
      </c>
      <c r="Q1597" s="19">
        <f t="shared" si="327"/>
        <v>4</v>
      </c>
      <c r="R1597" s="2" t="str">
        <f t="shared" si="328"/>
        <v>Number</v>
      </c>
      <c r="S1597" s="2">
        <v>7.99</v>
      </c>
      <c r="T1597" s="19">
        <f t="shared" si="329"/>
        <v>7.99</v>
      </c>
      <c r="U1597" s="2">
        <v>43.98</v>
      </c>
      <c r="V1597" s="19">
        <f t="shared" si="330"/>
        <v>43.98</v>
      </c>
      <c r="W1597" s="19">
        <f t="shared" si="331"/>
        <v>43.980000000000004</v>
      </c>
      <c r="X1597" s="19" t="str">
        <f t="shared" si="332"/>
        <v>True</v>
      </c>
      <c r="Y1597" s="19" t="str">
        <f>IF(OR(W1597&lt;'Cleaning Tasks'!$G$18,W1597&gt;'Cleaning Tasks'!$H$18),"Outlier","Normal")</f>
        <v>Normal</v>
      </c>
      <c r="Z1597" s="2" t="s">
        <v>66</v>
      </c>
      <c r="AA1597" s="2" t="s">
        <v>88</v>
      </c>
      <c r="AB1597" s="2" t="s">
        <v>41</v>
      </c>
      <c r="AC1597" s="2" t="s">
        <v>29</v>
      </c>
      <c r="AD1597" s="2" t="s">
        <v>243</v>
      </c>
      <c r="AE1597" s="2" t="str">
        <f t="shared" si="333"/>
        <v>Valid</v>
      </c>
      <c r="AF1597" s="2" t="s">
        <v>526</v>
      </c>
    </row>
    <row r="1598" spans="1:32" x14ac:dyDescent="0.3">
      <c r="A1598" s="2" t="s">
        <v>4317</v>
      </c>
      <c r="B1598" s="2">
        <f t="shared" si="323"/>
        <v>1</v>
      </c>
      <c r="C1598" s="12">
        <f t="shared" si="335"/>
        <v>46238.586958229163</v>
      </c>
      <c r="D1598" s="13">
        <v>46238.586958229163</v>
      </c>
      <c r="E1598" s="2" t="s">
        <v>4318</v>
      </c>
      <c r="F1598" s="2" t="str">
        <f t="shared" si="324"/>
        <v>Email Available</v>
      </c>
      <c r="G1598" s="2" t="s">
        <v>4319</v>
      </c>
      <c r="H1598" s="2" t="s">
        <v>102</v>
      </c>
      <c r="I1598" s="2" t="s">
        <v>103</v>
      </c>
      <c r="J1598" s="2" t="s">
        <v>104</v>
      </c>
      <c r="K1598" s="2">
        <v>2</v>
      </c>
      <c r="L1598" s="2">
        <v>19.989999999999998</v>
      </c>
      <c r="M1598" s="19">
        <f t="shared" si="325"/>
        <v>19.989999999999998</v>
      </c>
      <c r="N1598" s="2" t="s">
        <v>65</v>
      </c>
      <c r="O1598" s="2" t="str">
        <f t="shared" si="326"/>
        <v>WELCOME10</v>
      </c>
      <c r="P1598" s="2">
        <v>4</v>
      </c>
      <c r="Q1598" s="19">
        <f t="shared" si="327"/>
        <v>4</v>
      </c>
      <c r="R1598" s="2" t="str">
        <f t="shared" si="328"/>
        <v>Number</v>
      </c>
      <c r="S1598" s="2">
        <v>7.99</v>
      </c>
      <c r="T1598" s="19">
        <f t="shared" si="329"/>
        <v>7.99</v>
      </c>
      <c r="U1598" s="2">
        <v>43.97</v>
      </c>
      <c r="V1598" s="19">
        <f t="shared" si="330"/>
        <v>43.97</v>
      </c>
      <c r="W1598" s="19">
        <f t="shared" si="331"/>
        <v>43.97</v>
      </c>
      <c r="X1598" s="19" t="str">
        <f t="shared" si="332"/>
        <v>True</v>
      </c>
      <c r="Y1598" s="19" t="str">
        <f>IF(OR(W1598&lt;'Cleaning Tasks'!$G$18,W1598&gt;'Cleaning Tasks'!$H$18),"Outlier","Normal")</f>
        <v>Normal</v>
      </c>
      <c r="Z1598" s="2" t="s">
        <v>72</v>
      </c>
      <c r="AA1598" s="2" t="s">
        <v>111</v>
      </c>
      <c r="AB1598" s="2" t="s">
        <v>50</v>
      </c>
      <c r="AC1598" s="2" t="s">
        <v>29</v>
      </c>
      <c r="AD1598" s="2" t="s">
        <v>89</v>
      </c>
      <c r="AE1598" s="2" t="str">
        <f t="shared" si="333"/>
        <v>Valid</v>
      </c>
      <c r="AF1598" s="2" t="s">
        <v>4320</v>
      </c>
    </row>
    <row r="1599" spans="1:32" x14ac:dyDescent="0.3">
      <c r="A1599" s="2" t="s">
        <v>4321</v>
      </c>
      <c r="B1599" s="2">
        <f t="shared" si="323"/>
        <v>1</v>
      </c>
      <c r="C1599" s="12">
        <f t="shared" si="335"/>
        <v>46238</v>
      </c>
      <c r="D1599" s="13">
        <v>46238</v>
      </c>
      <c r="E1599" s="2" t="s">
        <v>413</v>
      </c>
      <c r="F1599" s="2" t="str">
        <f t="shared" si="324"/>
        <v>Email Available</v>
      </c>
      <c r="G1599" s="2" t="s">
        <v>414</v>
      </c>
      <c r="H1599" s="2" t="s">
        <v>63</v>
      </c>
      <c r="I1599" s="2" t="s">
        <v>47</v>
      </c>
      <c r="J1599" s="2" t="s">
        <v>446</v>
      </c>
      <c r="K1599" s="2">
        <v>1</v>
      </c>
      <c r="L1599" s="2">
        <v>14.99</v>
      </c>
      <c r="M1599" s="19">
        <f t="shared" si="325"/>
        <v>14.99</v>
      </c>
      <c r="N1599" s="2"/>
      <c r="O1599" s="2" t="str">
        <f t="shared" si="326"/>
        <v/>
      </c>
      <c r="P1599" s="2">
        <v>0</v>
      </c>
      <c r="Q1599" s="19">
        <f t="shared" si="327"/>
        <v>0</v>
      </c>
      <c r="R1599" s="2" t="str">
        <f t="shared" si="328"/>
        <v>Number</v>
      </c>
      <c r="S1599" s="2">
        <v>4.99</v>
      </c>
      <c r="T1599" s="19">
        <f t="shared" si="329"/>
        <v>4.99</v>
      </c>
      <c r="U1599" s="2">
        <v>19.98</v>
      </c>
      <c r="V1599" s="19">
        <f t="shared" si="330"/>
        <v>19.98</v>
      </c>
      <c r="W1599" s="19">
        <f t="shared" si="331"/>
        <v>19.98</v>
      </c>
      <c r="X1599" s="19" t="str">
        <f t="shared" si="332"/>
        <v>True</v>
      </c>
      <c r="Y1599" s="19" t="str">
        <f>IF(OR(W1599&lt;'Cleaning Tasks'!$G$18,W1599&gt;'Cleaning Tasks'!$H$18),"Outlier","Normal")</f>
        <v>Normal</v>
      </c>
      <c r="Z1599" s="2" t="s">
        <v>49</v>
      </c>
      <c r="AA1599" s="2" t="s">
        <v>40</v>
      </c>
      <c r="AB1599" s="2" t="s">
        <v>41</v>
      </c>
      <c r="AC1599" s="2" t="s">
        <v>331</v>
      </c>
      <c r="AD1599" s="2"/>
      <c r="AE1599" s="2" t="str">
        <f t="shared" si="333"/>
        <v>Not Required</v>
      </c>
      <c r="AF1599" s="2" t="s">
        <v>4322</v>
      </c>
    </row>
    <row r="1600" spans="1:32" x14ac:dyDescent="0.3">
      <c r="A1600" s="2" t="s">
        <v>4323</v>
      </c>
      <c r="B1600" s="2">
        <f t="shared" si="323"/>
        <v>1</v>
      </c>
      <c r="C1600" s="12">
        <f t="shared" si="335"/>
        <v>46238.58238767361</v>
      </c>
      <c r="D1600" s="13">
        <v>46238.58238767361</v>
      </c>
      <c r="E1600" s="2" t="s">
        <v>394</v>
      </c>
      <c r="F1600" s="2" t="str">
        <f t="shared" si="324"/>
        <v>Email Available</v>
      </c>
      <c r="G1600" s="2" t="s">
        <v>395</v>
      </c>
      <c r="H1600" s="2" t="s">
        <v>152</v>
      </c>
      <c r="I1600" s="2" t="s">
        <v>36</v>
      </c>
      <c r="J1600" s="2" t="s">
        <v>153</v>
      </c>
      <c r="K1600" s="2">
        <v>1</v>
      </c>
      <c r="L1600" s="2">
        <v>29.99</v>
      </c>
      <c r="M1600" s="19">
        <f t="shared" si="325"/>
        <v>29.99</v>
      </c>
      <c r="N1600" s="2" t="s">
        <v>65</v>
      </c>
      <c r="O1600" s="2" t="str">
        <f t="shared" si="326"/>
        <v>WELCOME10</v>
      </c>
      <c r="P1600" s="2">
        <v>3</v>
      </c>
      <c r="Q1600" s="19">
        <f t="shared" si="327"/>
        <v>3</v>
      </c>
      <c r="R1600" s="2" t="str">
        <f t="shared" si="328"/>
        <v>Number</v>
      </c>
      <c r="S1600" s="2">
        <v>4.99</v>
      </c>
      <c r="T1600" s="19">
        <f t="shared" si="329"/>
        <v>4.99</v>
      </c>
      <c r="U1600" s="2">
        <v>31.98</v>
      </c>
      <c r="V1600" s="19">
        <f t="shared" si="330"/>
        <v>31.98</v>
      </c>
      <c r="W1600" s="19">
        <f t="shared" si="331"/>
        <v>31.979999999999997</v>
      </c>
      <c r="X1600" s="19" t="str">
        <f t="shared" si="332"/>
        <v>True</v>
      </c>
      <c r="Y1600" s="19" t="str">
        <f>IF(OR(W1600&lt;'Cleaning Tasks'!$G$18,W1600&gt;'Cleaning Tasks'!$H$18),"Outlier","Normal")</f>
        <v>Normal</v>
      </c>
      <c r="Z1600" s="2" t="s">
        <v>26</v>
      </c>
      <c r="AA1600" s="2" t="s">
        <v>40</v>
      </c>
      <c r="AB1600" s="2" t="s">
        <v>41</v>
      </c>
      <c r="AC1600" s="2" t="s">
        <v>73</v>
      </c>
      <c r="AD1600" s="2"/>
      <c r="AE1600" s="2" t="str">
        <f t="shared" si="333"/>
        <v>Not Required</v>
      </c>
      <c r="AF1600" s="2" t="s">
        <v>1065</v>
      </c>
    </row>
    <row r="1601" spans="1:32" x14ac:dyDescent="0.3">
      <c r="A1601" s="2" t="s">
        <v>4324</v>
      </c>
      <c r="B1601" s="2">
        <f t="shared" si="323"/>
        <v>1</v>
      </c>
      <c r="C1601" s="12">
        <f t="shared" si="335"/>
        <v>46238.583252048607</v>
      </c>
      <c r="D1601" s="13">
        <v>46238.583252048607</v>
      </c>
      <c r="E1601" s="2" t="s">
        <v>226</v>
      </c>
      <c r="F1601" s="2" t="str">
        <f t="shared" si="324"/>
        <v>Email Available</v>
      </c>
      <c r="G1601" s="2" t="s">
        <v>227</v>
      </c>
      <c r="H1601" s="2" t="s">
        <v>63</v>
      </c>
      <c r="I1601" s="2" t="s">
        <v>47</v>
      </c>
      <c r="J1601" s="2" t="s">
        <v>446</v>
      </c>
      <c r="K1601" s="2">
        <v>1</v>
      </c>
      <c r="L1601" s="2">
        <v>14.99</v>
      </c>
      <c r="M1601" s="19">
        <f t="shared" si="325"/>
        <v>14.99</v>
      </c>
      <c r="N1601" s="2" t="s">
        <v>65</v>
      </c>
      <c r="O1601" s="2" t="str">
        <f t="shared" si="326"/>
        <v>WELCOME10</v>
      </c>
      <c r="P1601" s="2">
        <v>1.5</v>
      </c>
      <c r="Q1601" s="19">
        <f t="shared" si="327"/>
        <v>1.5</v>
      </c>
      <c r="R1601" s="2" t="str">
        <f t="shared" si="328"/>
        <v>Number</v>
      </c>
      <c r="S1601" s="2">
        <v>5.99</v>
      </c>
      <c r="T1601" s="19">
        <f t="shared" si="329"/>
        <v>5.99</v>
      </c>
      <c r="U1601" s="2">
        <v>19.48</v>
      </c>
      <c r="V1601" s="19">
        <f t="shared" si="330"/>
        <v>19.48</v>
      </c>
      <c r="W1601" s="19">
        <f t="shared" si="331"/>
        <v>19.48</v>
      </c>
      <c r="X1601" s="19" t="str">
        <f t="shared" si="332"/>
        <v>True</v>
      </c>
      <c r="Y1601" s="19" t="str">
        <f>IF(OR(W1601&lt;'Cleaning Tasks'!$G$18,W1601&gt;'Cleaning Tasks'!$H$18),"Outlier","Normal")</f>
        <v>Normal</v>
      </c>
      <c r="Z1601" s="2" t="s">
        <v>39</v>
      </c>
      <c r="AA1601" s="2" t="s">
        <v>88</v>
      </c>
      <c r="AB1601" s="2" t="s">
        <v>28</v>
      </c>
      <c r="AC1601" s="2" t="s">
        <v>29</v>
      </c>
      <c r="AD1601" s="2" t="s">
        <v>140</v>
      </c>
      <c r="AE1601" s="2" t="str">
        <f t="shared" si="333"/>
        <v>Valid</v>
      </c>
      <c r="AF1601" s="2" t="s">
        <v>4325</v>
      </c>
    </row>
    <row r="1602" spans="1:32" x14ac:dyDescent="0.3">
      <c r="A1602" s="2" t="s">
        <v>4326</v>
      </c>
      <c r="B1602" s="2">
        <f t="shared" ref="B1602:B1665" si="336">COUNTIF($A$2:$A$1993,A1602)</f>
        <v>1</v>
      </c>
      <c r="C1602" s="12">
        <f t="shared" si="335"/>
        <v>46238.581616446761</v>
      </c>
      <c r="D1602" s="13">
        <v>46238.581616446761</v>
      </c>
      <c r="E1602" s="2" t="s">
        <v>1006</v>
      </c>
      <c r="F1602" s="2" t="str">
        <f t="shared" ref="F1602:F1665" si="337">IF(TRIM(G1602)="","Missing Email","Email Available")</f>
        <v>Email Available</v>
      </c>
      <c r="G1602" s="2" t="s">
        <v>1007</v>
      </c>
      <c r="H1602" s="2" t="s">
        <v>166</v>
      </c>
      <c r="I1602" s="2" t="s">
        <v>103</v>
      </c>
      <c r="J1602" s="2" t="s">
        <v>167</v>
      </c>
      <c r="K1602" s="2">
        <v>1</v>
      </c>
      <c r="L1602" s="2">
        <v>32.99</v>
      </c>
      <c r="M1602" s="19">
        <f t="shared" ref="M1602:M1665" si="338">IF(ISNUMBER(L1602),L1602,VALUE(SUBSTITUTE(L1602,"$","")))</f>
        <v>32.99</v>
      </c>
      <c r="N1602" s="2" t="s">
        <v>203</v>
      </c>
      <c r="O1602" s="2" t="str">
        <f t="shared" ref="O1602:O1665" si="339">IF(TRIM(N1602)="","",UPPER(TRIM(SUBSTITUTE(N1602,CHAR(160)," "))))</f>
        <v>VIP15</v>
      </c>
      <c r="P1602" s="2">
        <v>4.95</v>
      </c>
      <c r="Q1602" s="19">
        <f t="shared" ref="Q1602:Q1665" si="340">IF(ISNUMBER(P1602),P1602,VALUE(TRIM(SUBSTITUTE(P1602,"$",""))))</f>
        <v>4.95</v>
      </c>
      <c r="R1602" s="2" t="str">
        <f t="shared" ref="R1602:R1665" si="341">IF(ISNUMBER(Q1602),"Number","Text")</f>
        <v>Number</v>
      </c>
      <c r="S1602" s="2">
        <v>4.99</v>
      </c>
      <c r="T1602" s="19">
        <f t="shared" ref="T1602:T1665" si="342">IF(ISNUMBER(S1602),S1602,VALUE(TRIM(SUBSTITUTE(S1602,"$",""))))</f>
        <v>4.99</v>
      </c>
      <c r="U1602" s="2">
        <v>33.03</v>
      </c>
      <c r="V1602" s="19">
        <f t="shared" ref="V1602:V1665" si="343">IF(ISNUMBER(U1602),U1602,VALUE(TRIM(SUBSTITUTE(U1602,"$",""))))</f>
        <v>33.03</v>
      </c>
      <c r="W1602" s="19">
        <f t="shared" ref="W1602:W1665" si="344">((M1602*K1602)-Q1602)+T1602</f>
        <v>33.03</v>
      </c>
      <c r="X1602" s="19" t="str">
        <f t="shared" ref="X1602:X1665" si="345">IF(V1602=W1602,"True","False")</f>
        <v>True</v>
      </c>
      <c r="Y1602" s="19" t="str">
        <f>IF(OR(W1602&lt;'Cleaning Tasks'!$G$18,W1602&gt;'Cleaning Tasks'!$H$18),"Outlier","Normal")</f>
        <v>Normal</v>
      </c>
      <c r="Z1602" s="2" t="s">
        <v>66</v>
      </c>
      <c r="AA1602" s="2" t="s">
        <v>27</v>
      </c>
      <c r="AB1602" s="2" t="s">
        <v>50</v>
      </c>
      <c r="AC1602" s="2" t="s">
        <v>29</v>
      </c>
      <c r="AD1602" s="2" t="s">
        <v>58</v>
      </c>
      <c r="AE1602" s="2" t="str">
        <f t="shared" ref="AE1602:AE1665" si="346">IF(AND(AC1602="United States",AD1602=""),"Missing state",IF(AD1602="","Not Required","Valid"))</f>
        <v>Valid</v>
      </c>
      <c r="AF1602" s="2" t="s">
        <v>4327</v>
      </c>
    </row>
    <row r="1603" spans="1:32" x14ac:dyDescent="0.3">
      <c r="A1603" s="2" t="s">
        <v>4328</v>
      </c>
      <c r="B1603" s="2">
        <f t="shared" si="336"/>
        <v>1</v>
      </c>
      <c r="C1603" s="12">
        <f t="shared" si="335"/>
        <v>46238.584874328713</v>
      </c>
      <c r="D1603" s="13">
        <v>46238.584874328713</v>
      </c>
      <c r="E1603" s="2" t="s">
        <v>1475</v>
      </c>
      <c r="F1603" s="2" t="str">
        <f t="shared" si="337"/>
        <v>Email Available</v>
      </c>
      <c r="G1603" s="2" t="s">
        <v>1476</v>
      </c>
      <c r="H1603" s="2" t="s">
        <v>309</v>
      </c>
      <c r="I1603" s="2" t="s">
        <v>36</v>
      </c>
      <c r="J1603" s="2" t="s">
        <v>310</v>
      </c>
      <c r="K1603" s="2">
        <v>1</v>
      </c>
      <c r="L1603" s="2">
        <v>8.99</v>
      </c>
      <c r="M1603" s="19">
        <f t="shared" si="338"/>
        <v>8.99</v>
      </c>
      <c r="N1603" s="2" t="s">
        <v>38</v>
      </c>
      <c r="O1603" s="2" t="str">
        <f t="shared" si="339"/>
        <v>FREESHIP</v>
      </c>
      <c r="P1603" s="2">
        <v>0</v>
      </c>
      <c r="Q1603" s="19">
        <f t="shared" si="340"/>
        <v>0</v>
      </c>
      <c r="R1603" s="2" t="str">
        <f t="shared" si="341"/>
        <v>Number</v>
      </c>
      <c r="S1603" s="2">
        <v>0</v>
      </c>
      <c r="T1603" s="19">
        <f t="shared" si="342"/>
        <v>0</v>
      </c>
      <c r="U1603" s="2">
        <v>8.99</v>
      </c>
      <c r="V1603" s="19">
        <f t="shared" si="343"/>
        <v>8.99</v>
      </c>
      <c r="W1603" s="19">
        <f t="shared" si="344"/>
        <v>8.99</v>
      </c>
      <c r="X1603" s="19" t="str">
        <f t="shared" si="345"/>
        <v>True</v>
      </c>
      <c r="Y1603" s="19" t="str">
        <f>IF(OR(W1603&lt;'Cleaning Tasks'!$G$18,W1603&gt;'Cleaning Tasks'!$H$18),"Outlier","Normal")</f>
        <v>Normal</v>
      </c>
      <c r="Z1603" s="2" t="s">
        <v>39</v>
      </c>
      <c r="AA1603" s="2" t="s">
        <v>27</v>
      </c>
      <c r="AB1603" s="2" t="s">
        <v>28</v>
      </c>
      <c r="AC1603" s="2" t="s">
        <v>42</v>
      </c>
      <c r="AD1603" s="2"/>
      <c r="AE1603" s="2" t="str">
        <f t="shared" si="346"/>
        <v>Not Required</v>
      </c>
      <c r="AF1603" s="2" t="s">
        <v>4329</v>
      </c>
    </row>
    <row r="1604" spans="1:32" x14ac:dyDescent="0.3">
      <c r="A1604" s="2" t="s">
        <v>4330</v>
      </c>
      <c r="B1604" s="2">
        <f t="shared" si="336"/>
        <v>1</v>
      </c>
      <c r="C1604" s="12">
        <f t="shared" si="335"/>
        <v>46238.584693530087</v>
      </c>
      <c r="D1604" s="13">
        <v>46238.584693530087</v>
      </c>
      <c r="E1604" s="2" t="s">
        <v>339</v>
      </c>
      <c r="F1604" s="2" t="str">
        <f t="shared" si="337"/>
        <v>Email Available</v>
      </c>
      <c r="G1604" s="2" t="s">
        <v>445</v>
      </c>
      <c r="H1604" s="2" t="s">
        <v>130</v>
      </c>
      <c r="I1604" s="2" t="s">
        <v>103</v>
      </c>
      <c r="J1604" s="2" t="s">
        <v>131</v>
      </c>
      <c r="K1604" s="2">
        <v>1</v>
      </c>
      <c r="L1604" s="2">
        <v>16.989999999999998</v>
      </c>
      <c r="M1604" s="19">
        <f t="shared" si="338"/>
        <v>16.989999999999998</v>
      </c>
      <c r="N1604" s="2"/>
      <c r="O1604" s="2" t="str">
        <f t="shared" si="339"/>
        <v/>
      </c>
      <c r="P1604" s="2">
        <v>0</v>
      </c>
      <c r="Q1604" s="19">
        <f t="shared" si="340"/>
        <v>0</v>
      </c>
      <c r="R1604" s="2" t="str">
        <f t="shared" si="341"/>
        <v>Number</v>
      </c>
      <c r="S1604" s="2">
        <v>7.99</v>
      </c>
      <c r="T1604" s="19">
        <f t="shared" si="342"/>
        <v>7.99</v>
      </c>
      <c r="U1604" s="2">
        <v>24.98</v>
      </c>
      <c r="V1604" s="19">
        <f t="shared" si="343"/>
        <v>24.98</v>
      </c>
      <c r="W1604" s="19">
        <f t="shared" si="344"/>
        <v>24.979999999999997</v>
      </c>
      <c r="X1604" s="19" t="str">
        <f t="shared" si="345"/>
        <v>True</v>
      </c>
      <c r="Y1604" s="19" t="str">
        <f>IF(OR(W1604&lt;'Cleaning Tasks'!$G$18,W1604&gt;'Cleaning Tasks'!$H$18),"Outlier","Normal")</f>
        <v>Normal</v>
      </c>
      <c r="Z1604" s="2" t="s">
        <v>66</v>
      </c>
      <c r="AA1604" s="2" t="s">
        <v>111</v>
      </c>
      <c r="AB1604" s="2" t="s">
        <v>96</v>
      </c>
      <c r="AC1604" s="2" t="s">
        <v>29</v>
      </c>
      <c r="AD1604" s="2" t="s">
        <v>58</v>
      </c>
      <c r="AE1604" s="2" t="str">
        <f t="shared" si="346"/>
        <v>Valid</v>
      </c>
      <c r="AF1604" s="2" t="s">
        <v>3712</v>
      </c>
    </row>
    <row r="1605" spans="1:32" x14ac:dyDescent="0.3">
      <c r="A1605" s="2" t="s">
        <v>4331</v>
      </c>
      <c r="B1605" s="2">
        <f t="shared" si="336"/>
        <v>1</v>
      </c>
      <c r="C1605" s="12">
        <f t="shared" si="335"/>
        <v>46238.586474444448</v>
      </c>
      <c r="D1605" s="13">
        <v>46238.586474444448</v>
      </c>
      <c r="E1605" s="2" t="s">
        <v>541</v>
      </c>
      <c r="F1605" s="2" t="str">
        <f t="shared" si="337"/>
        <v>Email Available</v>
      </c>
      <c r="G1605" s="2" t="s">
        <v>542</v>
      </c>
      <c r="H1605" s="2" t="s">
        <v>152</v>
      </c>
      <c r="I1605" s="2" t="s">
        <v>36</v>
      </c>
      <c r="J1605" s="2" t="s">
        <v>153</v>
      </c>
      <c r="K1605" s="2">
        <v>1</v>
      </c>
      <c r="L1605" s="2">
        <v>29.99</v>
      </c>
      <c r="M1605" s="19">
        <f t="shared" si="338"/>
        <v>29.99</v>
      </c>
      <c r="N1605" s="2"/>
      <c r="O1605" s="2" t="str">
        <f t="shared" si="339"/>
        <v/>
      </c>
      <c r="P1605" s="2">
        <v>0</v>
      </c>
      <c r="Q1605" s="19">
        <f t="shared" si="340"/>
        <v>0</v>
      </c>
      <c r="R1605" s="2" t="str">
        <f t="shared" si="341"/>
        <v>Number</v>
      </c>
      <c r="S1605" s="2">
        <v>5.99</v>
      </c>
      <c r="T1605" s="19">
        <f t="shared" si="342"/>
        <v>5.99</v>
      </c>
      <c r="U1605" s="2">
        <v>35.979999999999997</v>
      </c>
      <c r="V1605" s="19">
        <f t="shared" si="343"/>
        <v>35.979999999999997</v>
      </c>
      <c r="W1605" s="19">
        <f t="shared" si="344"/>
        <v>35.979999999999997</v>
      </c>
      <c r="X1605" s="19" t="str">
        <f t="shared" si="345"/>
        <v>True</v>
      </c>
      <c r="Y1605" s="19" t="str">
        <f>IF(OR(W1605&lt;'Cleaning Tasks'!$G$18,W1605&gt;'Cleaning Tasks'!$H$18),"Outlier","Normal")</f>
        <v>Normal</v>
      </c>
      <c r="Z1605" s="2" t="s">
        <v>49</v>
      </c>
      <c r="AA1605" s="2" t="s">
        <v>111</v>
      </c>
      <c r="AB1605" s="2" t="s">
        <v>50</v>
      </c>
      <c r="AC1605" s="2" t="s">
        <v>105</v>
      </c>
      <c r="AD1605" s="2"/>
      <c r="AE1605" s="2" t="str">
        <f t="shared" si="346"/>
        <v>Not Required</v>
      </c>
      <c r="AF1605" s="2" t="s">
        <v>4332</v>
      </c>
    </row>
    <row r="1606" spans="1:32" x14ac:dyDescent="0.3">
      <c r="A1606" s="2" t="s">
        <v>4333</v>
      </c>
      <c r="B1606" s="2">
        <f t="shared" si="336"/>
        <v>1</v>
      </c>
      <c r="C1606" s="12">
        <f t="shared" si="335"/>
        <v>46238.581863854168</v>
      </c>
      <c r="D1606" s="13">
        <v>46238.581863854168</v>
      </c>
      <c r="E1606" s="2" t="s">
        <v>4334</v>
      </c>
      <c r="F1606" s="2" t="str">
        <f t="shared" si="337"/>
        <v>Email Available</v>
      </c>
      <c r="G1606" s="2" t="s">
        <v>2028</v>
      </c>
      <c r="H1606" s="2" t="s">
        <v>63</v>
      </c>
      <c r="I1606" s="2" t="s">
        <v>47</v>
      </c>
      <c r="J1606" s="2" t="s">
        <v>446</v>
      </c>
      <c r="K1606" s="2">
        <v>1</v>
      </c>
      <c r="L1606" s="2">
        <v>14.99</v>
      </c>
      <c r="M1606" s="19">
        <f t="shared" si="338"/>
        <v>14.99</v>
      </c>
      <c r="N1606" s="2" t="s">
        <v>118</v>
      </c>
      <c r="O1606" s="2" t="str">
        <f t="shared" si="339"/>
        <v>BFCM25</v>
      </c>
      <c r="P1606" s="2">
        <v>3.75</v>
      </c>
      <c r="Q1606" s="19">
        <f t="shared" si="340"/>
        <v>3.75</v>
      </c>
      <c r="R1606" s="2" t="str">
        <f t="shared" si="341"/>
        <v>Number</v>
      </c>
      <c r="S1606" s="2">
        <v>7.99</v>
      </c>
      <c r="T1606" s="19">
        <f t="shared" si="342"/>
        <v>7.99</v>
      </c>
      <c r="U1606" s="2">
        <v>19.23</v>
      </c>
      <c r="V1606" s="19">
        <f t="shared" si="343"/>
        <v>19.23</v>
      </c>
      <c r="W1606" s="19">
        <f t="shared" si="344"/>
        <v>19.23</v>
      </c>
      <c r="X1606" s="19" t="str">
        <f t="shared" si="345"/>
        <v>True</v>
      </c>
      <c r="Y1606" s="19" t="str">
        <f>IF(OR(W1606&lt;'Cleaning Tasks'!$G$18,W1606&gt;'Cleaning Tasks'!$H$18),"Outlier","Normal")</f>
        <v>Normal</v>
      </c>
      <c r="Z1606" s="2" t="s">
        <v>26</v>
      </c>
      <c r="AA1606" s="2" t="s">
        <v>27</v>
      </c>
      <c r="AB1606" s="2" t="s">
        <v>41</v>
      </c>
      <c r="AC1606" s="2" t="s">
        <v>42</v>
      </c>
      <c r="AD1606" s="2"/>
      <c r="AE1606" s="2" t="str">
        <f t="shared" si="346"/>
        <v>Not Required</v>
      </c>
      <c r="AF1606" s="2" t="s">
        <v>4335</v>
      </c>
    </row>
    <row r="1607" spans="1:32" x14ac:dyDescent="0.3">
      <c r="A1607" s="2" t="s">
        <v>4336</v>
      </c>
      <c r="B1607" s="2">
        <f t="shared" si="336"/>
        <v>1</v>
      </c>
      <c r="C1607" s="12">
        <f t="shared" si="335"/>
        <v>46238.580095277779</v>
      </c>
      <c r="D1607" s="13">
        <v>46238.580095277779</v>
      </c>
      <c r="E1607" s="2" t="s">
        <v>164</v>
      </c>
      <c r="F1607" s="2" t="str">
        <f t="shared" si="337"/>
        <v>Email Available</v>
      </c>
      <c r="G1607" s="2" t="s">
        <v>165</v>
      </c>
      <c r="H1607" s="2" t="s">
        <v>190</v>
      </c>
      <c r="I1607" s="2" t="s">
        <v>191</v>
      </c>
      <c r="J1607" s="2" t="s">
        <v>192</v>
      </c>
      <c r="K1607" s="2">
        <v>2</v>
      </c>
      <c r="L1607" s="2">
        <v>13.49</v>
      </c>
      <c r="M1607" s="19">
        <f t="shared" si="338"/>
        <v>13.49</v>
      </c>
      <c r="N1607" s="2" t="s">
        <v>24</v>
      </c>
      <c r="O1607" s="2" t="str">
        <f t="shared" si="339"/>
        <v>SAVE20</v>
      </c>
      <c r="P1607" s="2">
        <v>5.4</v>
      </c>
      <c r="Q1607" s="19">
        <f t="shared" si="340"/>
        <v>5.4</v>
      </c>
      <c r="R1607" s="2" t="str">
        <f t="shared" si="341"/>
        <v>Number</v>
      </c>
      <c r="S1607" s="2">
        <v>4.99</v>
      </c>
      <c r="T1607" s="19">
        <f t="shared" si="342"/>
        <v>4.99</v>
      </c>
      <c r="U1607" s="2">
        <v>26.57</v>
      </c>
      <c r="V1607" s="19">
        <f t="shared" si="343"/>
        <v>26.57</v>
      </c>
      <c r="W1607" s="19">
        <f t="shared" si="344"/>
        <v>26.57</v>
      </c>
      <c r="X1607" s="19" t="str">
        <f t="shared" si="345"/>
        <v>True</v>
      </c>
      <c r="Y1607" s="19" t="str">
        <f>IF(OR(W1607&lt;'Cleaning Tasks'!$G$18,W1607&gt;'Cleaning Tasks'!$H$18),"Outlier","Normal")</f>
        <v>Normal</v>
      </c>
      <c r="Z1607" s="2" t="s">
        <v>72</v>
      </c>
      <c r="AA1607" s="2" t="s">
        <v>88</v>
      </c>
      <c r="AB1607" s="2" t="s">
        <v>96</v>
      </c>
      <c r="AC1607" s="2" t="s">
        <v>105</v>
      </c>
      <c r="AD1607" s="2"/>
      <c r="AE1607" s="2" t="str">
        <f t="shared" si="346"/>
        <v>Not Required</v>
      </c>
      <c r="AF1607" s="2" t="s">
        <v>4337</v>
      </c>
    </row>
    <row r="1608" spans="1:32" x14ac:dyDescent="0.3">
      <c r="A1608" s="2" t="s">
        <v>4338</v>
      </c>
      <c r="B1608" s="2">
        <f t="shared" si="336"/>
        <v>1</v>
      </c>
      <c r="C1608" s="12">
        <f t="shared" si="335"/>
        <v>46238.584492696762</v>
      </c>
      <c r="D1608" s="13">
        <v>46238.584492696762</v>
      </c>
      <c r="E1608" s="2" t="s">
        <v>2725</v>
      </c>
      <c r="F1608" s="2" t="str">
        <f t="shared" si="337"/>
        <v>Email Available</v>
      </c>
      <c r="G1608" s="2" t="s">
        <v>2726</v>
      </c>
      <c r="H1608" s="2" t="s">
        <v>146</v>
      </c>
      <c r="I1608" s="2" t="s">
        <v>47</v>
      </c>
      <c r="J1608" s="2" t="s">
        <v>147</v>
      </c>
      <c r="K1608" s="2">
        <v>1</v>
      </c>
      <c r="L1608" s="2">
        <v>34.99</v>
      </c>
      <c r="M1608" s="19">
        <f t="shared" si="338"/>
        <v>34.99</v>
      </c>
      <c r="N1608" s="2" t="s">
        <v>203</v>
      </c>
      <c r="O1608" s="2" t="str">
        <f t="shared" si="339"/>
        <v>VIP15</v>
      </c>
      <c r="P1608" s="2">
        <v>5.25</v>
      </c>
      <c r="Q1608" s="19">
        <f t="shared" si="340"/>
        <v>5.25</v>
      </c>
      <c r="R1608" s="2" t="str">
        <f t="shared" si="341"/>
        <v>Number</v>
      </c>
      <c r="S1608" s="2">
        <v>5.99</v>
      </c>
      <c r="T1608" s="19">
        <f t="shared" si="342"/>
        <v>5.99</v>
      </c>
      <c r="U1608" s="2">
        <v>35.729999999999997</v>
      </c>
      <c r="V1608" s="19">
        <f t="shared" si="343"/>
        <v>35.729999999999997</v>
      </c>
      <c r="W1608" s="19">
        <f t="shared" si="344"/>
        <v>35.730000000000004</v>
      </c>
      <c r="X1608" s="19" t="str">
        <f t="shared" si="345"/>
        <v>True</v>
      </c>
      <c r="Y1608" s="19" t="str">
        <f>IF(OR(W1608&lt;'Cleaning Tasks'!$G$18,W1608&gt;'Cleaning Tasks'!$H$18),"Outlier","Normal")</f>
        <v>Normal</v>
      </c>
      <c r="Z1608" s="2" t="s">
        <v>72</v>
      </c>
      <c r="AA1608" s="2" t="s">
        <v>27</v>
      </c>
      <c r="AB1608" s="2" t="s">
        <v>50</v>
      </c>
      <c r="AC1608" s="2" t="s">
        <v>29</v>
      </c>
      <c r="AD1608" s="2" t="s">
        <v>51</v>
      </c>
      <c r="AE1608" s="2" t="str">
        <f t="shared" si="346"/>
        <v>Valid</v>
      </c>
      <c r="AF1608" s="2" t="s">
        <v>4339</v>
      </c>
    </row>
    <row r="1609" spans="1:32" x14ac:dyDescent="0.3">
      <c r="A1609" s="2" t="s">
        <v>4340</v>
      </c>
      <c r="B1609" s="2">
        <f t="shared" si="336"/>
        <v>1</v>
      </c>
      <c r="C1609" s="12">
        <f t="shared" si="335"/>
        <v>46238.587600509258</v>
      </c>
      <c r="D1609" s="13">
        <v>46238.587600509258</v>
      </c>
      <c r="E1609" s="2" t="s">
        <v>4341</v>
      </c>
      <c r="F1609" s="2" t="str">
        <f t="shared" si="337"/>
        <v>Email Available</v>
      </c>
      <c r="G1609" s="2" t="s">
        <v>3785</v>
      </c>
      <c r="H1609" s="2" t="s">
        <v>35</v>
      </c>
      <c r="I1609" s="2" t="s">
        <v>36</v>
      </c>
      <c r="J1609" s="2" t="s">
        <v>37</v>
      </c>
      <c r="K1609" s="2">
        <v>1</v>
      </c>
      <c r="L1609" s="2">
        <v>21.99</v>
      </c>
      <c r="M1609" s="19">
        <f t="shared" si="338"/>
        <v>21.99</v>
      </c>
      <c r="N1609" s="2" t="s">
        <v>203</v>
      </c>
      <c r="O1609" s="2" t="str">
        <f t="shared" si="339"/>
        <v>VIP15</v>
      </c>
      <c r="P1609" s="2">
        <v>3.3</v>
      </c>
      <c r="Q1609" s="19">
        <f t="shared" si="340"/>
        <v>3.3</v>
      </c>
      <c r="R1609" s="2" t="str">
        <f t="shared" si="341"/>
        <v>Number</v>
      </c>
      <c r="S1609" s="2">
        <v>5.99</v>
      </c>
      <c r="T1609" s="19">
        <f t="shared" si="342"/>
        <v>5.99</v>
      </c>
      <c r="U1609" s="2">
        <v>24.68</v>
      </c>
      <c r="V1609" s="19">
        <f t="shared" si="343"/>
        <v>24.68</v>
      </c>
      <c r="W1609" s="19">
        <f t="shared" si="344"/>
        <v>24.68</v>
      </c>
      <c r="X1609" s="19" t="str">
        <f t="shared" si="345"/>
        <v>True</v>
      </c>
      <c r="Y1609" s="19" t="str">
        <f>IF(OR(W1609&lt;'Cleaning Tasks'!$G$18,W1609&gt;'Cleaning Tasks'!$H$18),"Outlier","Normal")</f>
        <v>Normal</v>
      </c>
      <c r="Z1609" s="2" t="s">
        <v>66</v>
      </c>
      <c r="AA1609" s="2" t="s">
        <v>111</v>
      </c>
      <c r="AB1609" s="2" t="s">
        <v>50</v>
      </c>
      <c r="AC1609" s="2" t="s">
        <v>29</v>
      </c>
      <c r="AD1609" s="2" t="s">
        <v>447</v>
      </c>
      <c r="AE1609" s="2" t="str">
        <f t="shared" si="346"/>
        <v>Valid</v>
      </c>
      <c r="AF1609" s="2" t="s">
        <v>4342</v>
      </c>
    </row>
    <row r="1610" spans="1:32" x14ac:dyDescent="0.3">
      <c r="A1610" s="2" t="s">
        <v>4343</v>
      </c>
      <c r="B1610" s="2">
        <f t="shared" si="336"/>
        <v>1</v>
      </c>
      <c r="C1610" s="12">
        <f t="shared" si="335"/>
        <v>46238</v>
      </c>
      <c r="D1610" s="13" t="s">
        <v>1716</v>
      </c>
      <c r="E1610" s="2" t="s">
        <v>357</v>
      </c>
      <c r="F1610" s="2" t="str">
        <f t="shared" si="337"/>
        <v>Email Available</v>
      </c>
      <c r="G1610" s="2" t="s">
        <v>358</v>
      </c>
      <c r="H1610" s="2" t="s">
        <v>201</v>
      </c>
      <c r="I1610" s="2" t="s">
        <v>191</v>
      </c>
      <c r="J1610" s="2" t="s">
        <v>202</v>
      </c>
      <c r="K1610" s="2">
        <v>2</v>
      </c>
      <c r="L1610" s="2">
        <v>24.99</v>
      </c>
      <c r="M1610" s="19">
        <f t="shared" si="338"/>
        <v>24.99</v>
      </c>
      <c r="N1610" s="2" t="s">
        <v>203</v>
      </c>
      <c r="O1610" s="2" t="str">
        <f t="shared" si="339"/>
        <v>VIP15</v>
      </c>
      <c r="P1610" s="2">
        <v>7.5</v>
      </c>
      <c r="Q1610" s="19">
        <f t="shared" si="340"/>
        <v>7.5</v>
      </c>
      <c r="R1610" s="2" t="str">
        <f t="shared" si="341"/>
        <v>Number</v>
      </c>
      <c r="S1610" s="2">
        <v>7.99</v>
      </c>
      <c r="T1610" s="19">
        <f t="shared" si="342"/>
        <v>7.99</v>
      </c>
      <c r="U1610" s="2">
        <v>50.47</v>
      </c>
      <c r="V1610" s="19">
        <f t="shared" si="343"/>
        <v>50.47</v>
      </c>
      <c r="W1610" s="19">
        <f t="shared" si="344"/>
        <v>50.47</v>
      </c>
      <c r="X1610" s="19" t="str">
        <f t="shared" si="345"/>
        <v>True</v>
      </c>
      <c r="Y1610" s="19" t="str">
        <f>IF(OR(W1610&lt;'Cleaning Tasks'!$G$18,W1610&gt;'Cleaning Tasks'!$H$18),"Outlier","Normal")</f>
        <v>Normal</v>
      </c>
      <c r="Z1610" s="2" t="s">
        <v>49</v>
      </c>
      <c r="AA1610" s="2" t="s">
        <v>40</v>
      </c>
      <c r="AB1610" s="2" t="s">
        <v>50</v>
      </c>
      <c r="AC1610" s="2" t="s">
        <v>73</v>
      </c>
      <c r="AD1610" s="2"/>
      <c r="AE1610" s="2" t="str">
        <f t="shared" si="346"/>
        <v>Not Required</v>
      </c>
      <c r="AF1610" s="2" t="s">
        <v>4344</v>
      </c>
    </row>
    <row r="1611" spans="1:32" x14ac:dyDescent="0.3">
      <c r="A1611" s="2" t="s">
        <v>4345</v>
      </c>
      <c r="B1611" s="2">
        <f t="shared" si="336"/>
        <v>1</v>
      </c>
      <c r="C1611" s="12">
        <f t="shared" ref="C1611:C1642" si="347">IF(ISNUMBER(D1611),D1611,DATEVALUE(SUBSTITUTE(TRIM(D1611),CHAR(160)," ")))</f>
        <v>46238</v>
      </c>
      <c r="D1611" s="13">
        <v>46238</v>
      </c>
      <c r="E1611" s="2" t="s">
        <v>2918</v>
      </c>
      <c r="F1611" s="2" t="str">
        <f t="shared" si="337"/>
        <v>Email Available</v>
      </c>
      <c r="G1611" s="2" t="s">
        <v>2919</v>
      </c>
      <c r="H1611" s="2" t="s">
        <v>361</v>
      </c>
      <c r="I1611" s="2" t="s">
        <v>86</v>
      </c>
      <c r="J1611" s="2" t="s">
        <v>362</v>
      </c>
      <c r="K1611" s="2">
        <v>1</v>
      </c>
      <c r="L1611" s="2" t="s">
        <v>363</v>
      </c>
      <c r="M1611" s="19">
        <f t="shared" si="338"/>
        <v>54.99</v>
      </c>
      <c r="N1611" s="2" t="s">
        <v>65</v>
      </c>
      <c r="O1611" s="2" t="str">
        <f t="shared" si="339"/>
        <v>WELCOME10</v>
      </c>
      <c r="P1611" s="2">
        <v>5.5</v>
      </c>
      <c r="Q1611" s="19">
        <f t="shared" si="340"/>
        <v>5.5</v>
      </c>
      <c r="R1611" s="2" t="str">
        <f t="shared" si="341"/>
        <v>Number</v>
      </c>
      <c r="S1611" s="2">
        <v>5.99</v>
      </c>
      <c r="T1611" s="19">
        <f t="shared" si="342"/>
        <v>5.99</v>
      </c>
      <c r="U1611" s="2">
        <v>55.48</v>
      </c>
      <c r="V1611" s="19">
        <f t="shared" si="343"/>
        <v>55.48</v>
      </c>
      <c r="W1611" s="19">
        <f t="shared" si="344"/>
        <v>55.480000000000004</v>
      </c>
      <c r="X1611" s="19" t="str">
        <f t="shared" si="345"/>
        <v>True</v>
      </c>
      <c r="Y1611" s="19" t="str">
        <f>IF(OR(W1611&lt;'Cleaning Tasks'!$G$18,W1611&gt;'Cleaning Tasks'!$H$18),"Outlier","Normal")</f>
        <v>Normal</v>
      </c>
      <c r="Z1611" s="2" t="s">
        <v>66</v>
      </c>
      <c r="AA1611" s="2" t="s">
        <v>27</v>
      </c>
      <c r="AB1611" s="2" t="s">
        <v>28</v>
      </c>
      <c r="AC1611" s="2" t="s">
        <v>331</v>
      </c>
      <c r="AD1611" s="2"/>
      <c r="AE1611" s="2" t="str">
        <f t="shared" si="346"/>
        <v>Not Required</v>
      </c>
      <c r="AF1611" s="2" t="s">
        <v>4346</v>
      </c>
    </row>
    <row r="1612" spans="1:32" x14ac:dyDescent="0.3">
      <c r="A1612" s="2" t="s">
        <v>4347</v>
      </c>
      <c r="B1612" s="2">
        <f t="shared" si="336"/>
        <v>1</v>
      </c>
      <c r="C1612" s="12">
        <f t="shared" si="347"/>
        <v>46238.579481122688</v>
      </c>
      <c r="D1612" s="13">
        <v>46238.579481122688</v>
      </c>
      <c r="E1612" s="2" t="s">
        <v>265</v>
      </c>
      <c r="F1612" s="2" t="str">
        <f t="shared" si="337"/>
        <v>Email Available</v>
      </c>
      <c r="G1612" s="2" t="s">
        <v>266</v>
      </c>
      <c r="H1612" s="2" t="s">
        <v>109</v>
      </c>
      <c r="I1612" s="2" t="s">
        <v>79</v>
      </c>
      <c r="J1612" s="2" t="s">
        <v>110</v>
      </c>
      <c r="K1612" s="2">
        <v>2</v>
      </c>
      <c r="L1612" s="2">
        <v>22.99</v>
      </c>
      <c r="M1612" s="19">
        <f t="shared" si="338"/>
        <v>22.99</v>
      </c>
      <c r="N1612" s="2"/>
      <c r="O1612" s="2" t="str">
        <f t="shared" si="339"/>
        <v/>
      </c>
      <c r="P1612" s="2">
        <v>0</v>
      </c>
      <c r="Q1612" s="19">
        <f t="shared" si="340"/>
        <v>0</v>
      </c>
      <c r="R1612" s="2" t="str">
        <f t="shared" si="341"/>
        <v>Number</v>
      </c>
      <c r="S1612" s="2">
        <v>5.99</v>
      </c>
      <c r="T1612" s="19">
        <f t="shared" si="342"/>
        <v>5.99</v>
      </c>
      <c r="U1612" s="2">
        <v>51.97</v>
      </c>
      <c r="V1612" s="19">
        <f t="shared" si="343"/>
        <v>51.97</v>
      </c>
      <c r="W1612" s="19">
        <f t="shared" si="344"/>
        <v>51.97</v>
      </c>
      <c r="X1612" s="19" t="str">
        <f t="shared" si="345"/>
        <v>True</v>
      </c>
      <c r="Y1612" s="19" t="str">
        <f>IF(OR(W1612&lt;'Cleaning Tasks'!$G$18,W1612&gt;'Cleaning Tasks'!$H$18),"Outlier","Normal")</f>
        <v>Normal</v>
      </c>
      <c r="Z1612" s="2" t="s">
        <v>39</v>
      </c>
      <c r="AA1612" s="2" t="s">
        <v>88</v>
      </c>
      <c r="AB1612" s="2" t="s">
        <v>41</v>
      </c>
      <c r="AC1612" s="2" t="s">
        <v>29</v>
      </c>
      <c r="AD1612" s="2" t="s">
        <v>67</v>
      </c>
      <c r="AE1612" s="2" t="str">
        <f t="shared" si="346"/>
        <v>Valid</v>
      </c>
      <c r="AF1612" s="2" t="s">
        <v>4348</v>
      </c>
    </row>
    <row r="1613" spans="1:32" x14ac:dyDescent="0.3">
      <c r="A1613" s="2" t="s">
        <v>4349</v>
      </c>
      <c r="B1613" s="2">
        <f t="shared" si="336"/>
        <v>1</v>
      </c>
      <c r="C1613" s="12">
        <f t="shared" si="347"/>
        <v>46238.581006377317</v>
      </c>
      <c r="D1613" s="13">
        <v>46238.581006377317</v>
      </c>
      <c r="E1613" s="2"/>
      <c r="F1613" s="2" t="str">
        <f t="shared" si="337"/>
        <v>Email Available</v>
      </c>
      <c r="G1613" s="2" t="s">
        <v>2768</v>
      </c>
      <c r="H1613" s="2" t="s">
        <v>35</v>
      </c>
      <c r="I1613" s="2" t="s">
        <v>36</v>
      </c>
      <c r="J1613" s="2" t="s">
        <v>37</v>
      </c>
      <c r="K1613" s="2">
        <v>1</v>
      </c>
      <c r="L1613" s="2">
        <v>21.99</v>
      </c>
      <c r="M1613" s="19">
        <f t="shared" si="338"/>
        <v>21.99</v>
      </c>
      <c r="N1613" s="2" t="s">
        <v>24</v>
      </c>
      <c r="O1613" s="2" t="str">
        <f t="shared" si="339"/>
        <v>SAVE20</v>
      </c>
      <c r="P1613" s="2">
        <v>4.4000000000000004</v>
      </c>
      <c r="Q1613" s="19">
        <f t="shared" si="340"/>
        <v>4.4000000000000004</v>
      </c>
      <c r="R1613" s="2" t="str">
        <f t="shared" si="341"/>
        <v>Number</v>
      </c>
      <c r="S1613" s="2">
        <v>4.99</v>
      </c>
      <c r="T1613" s="19">
        <f t="shared" si="342"/>
        <v>4.99</v>
      </c>
      <c r="U1613" s="2">
        <v>22.58</v>
      </c>
      <c r="V1613" s="19">
        <f t="shared" si="343"/>
        <v>22.58</v>
      </c>
      <c r="W1613" s="19">
        <f t="shared" si="344"/>
        <v>22.58</v>
      </c>
      <c r="X1613" s="19" t="str">
        <f t="shared" si="345"/>
        <v>True</v>
      </c>
      <c r="Y1613" s="19" t="str">
        <f>IF(OR(W1613&lt;'Cleaning Tasks'!$G$18,W1613&gt;'Cleaning Tasks'!$H$18),"Outlier","Normal")</f>
        <v>Normal</v>
      </c>
      <c r="Z1613" s="2" t="s">
        <v>66</v>
      </c>
      <c r="AA1613" s="2" t="s">
        <v>88</v>
      </c>
      <c r="AB1613" s="2" t="s">
        <v>50</v>
      </c>
      <c r="AC1613" s="2" t="s">
        <v>29</v>
      </c>
      <c r="AD1613" s="2" t="s">
        <v>30</v>
      </c>
      <c r="AE1613" s="2" t="str">
        <f t="shared" si="346"/>
        <v>Valid</v>
      </c>
      <c r="AF1613" s="2" t="s">
        <v>4350</v>
      </c>
    </row>
    <row r="1614" spans="1:32" x14ac:dyDescent="0.3">
      <c r="A1614" s="2" t="s">
        <v>4351</v>
      </c>
      <c r="B1614" s="2">
        <f t="shared" si="336"/>
        <v>1</v>
      </c>
      <c r="C1614" s="12">
        <f t="shared" si="347"/>
        <v>46238.582162766201</v>
      </c>
      <c r="D1614" s="13">
        <v>46238.582162766201</v>
      </c>
      <c r="E1614" s="2" t="s">
        <v>4352</v>
      </c>
      <c r="F1614" s="2" t="str">
        <f t="shared" si="337"/>
        <v>Email Available</v>
      </c>
      <c r="G1614" s="2" t="s">
        <v>1612</v>
      </c>
      <c r="H1614" s="2" t="s">
        <v>78</v>
      </c>
      <c r="I1614" s="2" t="s">
        <v>79</v>
      </c>
      <c r="J1614" s="2" t="s">
        <v>80</v>
      </c>
      <c r="K1614" s="2">
        <v>2</v>
      </c>
      <c r="L1614" s="2">
        <v>89.99</v>
      </c>
      <c r="M1614" s="19">
        <f t="shared" si="338"/>
        <v>89.99</v>
      </c>
      <c r="N1614" s="2" t="s">
        <v>65</v>
      </c>
      <c r="O1614" s="2" t="str">
        <f t="shared" si="339"/>
        <v>WELCOME10</v>
      </c>
      <c r="P1614" s="2">
        <v>18</v>
      </c>
      <c r="Q1614" s="19">
        <f t="shared" si="340"/>
        <v>18</v>
      </c>
      <c r="R1614" s="2" t="str">
        <f t="shared" si="341"/>
        <v>Number</v>
      </c>
      <c r="S1614" s="2">
        <v>0</v>
      </c>
      <c r="T1614" s="19">
        <f t="shared" si="342"/>
        <v>0</v>
      </c>
      <c r="U1614" s="2">
        <v>161.97999999999999</v>
      </c>
      <c r="V1614" s="19">
        <f t="shared" si="343"/>
        <v>161.97999999999999</v>
      </c>
      <c r="W1614" s="19">
        <f t="shared" si="344"/>
        <v>161.97999999999999</v>
      </c>
      <c r="X1614" s="19" t="str">
        <f t="shared" si="345"/>
        <v>True</v>
      </c>
      <c r="Y1614" s="19" t="str">
        <f>IF(OR(W1614&lt;'Cleaning Tasks'!$G$18,W1614&gt;'Cleaning Tasks'!$H$18),"Outlier","Normal")</f>
        <v>Outlier</v>
      </c>
      <c r="Z1614" s="2" t="s">
        <v>26</v>
      </c>
      <c r="AA1614" s="2" t="s">
        <v>27</v>
      </c>
      <c r="AB1614" s="2" t="s">
        <v>28</v>
      </c>
      <c r="AC1614" s="2" t="s">
        <v>29</v>
      </c>
      <c r="AD1614" s="2" t="s">
        <v>73</v>
      </c>
      <c r="AE1614" s="2" t="str">
        <f t="shared" si="346"/>
        <v>Valid</v>
      </c>
      <c r="AF1614" s="2" t="s">
        <v>4353</v>
      </c>
    </row>
    <row r="1615" spans="1:32" x14ac:dyDescent="0.3">
      <c r="A1615" s="2" t="s">
        <v>4354</v>
      </c>
      <c r="B1615" s="2">
        <f t="shared" si="336"/>
        <v>1</v>
      </c>
      <c r="C1615" s="12">
        <f t="shared" si="347"/>
        <v>46238.582700277781</v>
      </c>
      <c r="D1615" s="13">
        <v>46238.582700277781</v>
      </c>
      <c r="E1615" s="2" t="s">
        <v>494</v>
      </c>
      <c r="F1615" s="2" t="str">
        <f t="shared" si="337"/>
        <v>Email Available</v>
      </c>
      <c r="G1615" s="2" t="s">
        <v>495</v>
      </c>
      <c r="H1615" s="2" t="s">
        <v>279</v>
      </c>
      <c r="I1615" s="2" t="s">
        <v>22</v>
      </c>
      <c r="J1615" s="2" t="s">
        <v>280</v>
      </c>
      <c r="K1615" s="2">
        <v>2</v>
      </c>
      <c r="L1615" s="2">
        <v>24.99</v>
      </c>
      <c r="M1615" s="19">
        <f t="shared" si="338"/>
        <v>24.99</v>
      </c>
      <c r="N1615" s="2"/>
      <c r="O1615" s="2" t="str">
        <f t="shared" si="339"/>
        <v/>
      </c>
      <c r="P1615" s="2">
        <v>0</v>
      </c>
      <c r="Q1615" s="19">
        <f t="shared" si="340"/>
        <v>0</v>
      </c>
      <c r="R1615" s="2" t="str">
        <f t="shared" si="341"/>
        <v>Number</v>
      </c>
      <c r="S1615" s="2">
        <v>4.99</v>
      </c>
      <c r="T1615" s="19">
        <f t="shared" si="342"/>
        <v>4.99</v>
      </c>
      <c r="U1615" s="2">
        <v>54.97</v>
      </c>
      <c r="V1615" s="19">
        <f t="shared" si="343"/>
        <v>54.97</v>
      </c>
      <c r="W1615" s="19">
        <f t="shared" si="344"/>
        <v>54.97</v>
      </c>
      <c r="X1615" s="19" t="str">
        <f t="shared" si="345"/>
        <v>True</v>
      </c>
      <c r="Y1615" s="19" t="str">
        <f>IF(OR(W1615&lt;'Cleaning Tasks'!$G$18,W1615&gt;'Cleaning Tasks'!$H$18),"Outlier","Normal")</f>
        <v>Normal</v>
      </c>
      <c r="Z1615" s="2" t="s">
        <v>26</v>
      </c>
      <c r="AA1615" s="2" t="s">
        <v>27</v>
      </c>
      <c r="AB1615" s="2" t="s">
        <v>41</v>
      </c>
      <c r="AC1615" s="2" t="s">
        <v>105</v>
      </c>
      <c r="AD1615" s="2"/>
      <c r="AE1615" s="2" t="str">
        <f t="shared" si="346"/>
        <v>Not Required</v>
      </c>
      <c r="AF1615" s="2" t="s">
        <v>4355</v>
      </c>
    </row>
    <row r="1616" spans="1:32" x14ac:dyDescent="0.3">
      <c r="A1616" s="2" t="s">
        <v>4356</v>
      </c>
      <c r="B1616" s="2">
        <f t="shared" si="336"/>
        <v>1</v>
      </c>
      <c r="C1616" s="12">
        <f t="shared" si="347"/>
        <v>46238.57935216435</v>
      </c>
      <c r="D1616" s="13">
        <v>46238.57935216435</v>
      </c>
      <c r="E1616" s="2" t="s">
        <v>528</v>
      </c>
      <c r="F1616" s="2" t="str">
        <f t="shared" si="337"/>
        <v>Email Available</v>
      </c>
      <c r="G1616" s="2" t="s">
        <v>529</v>
      </c>
      <c r="H1616" s="2" t="s">
        <v>201</v>
      </c>
      <c r="I1616" s="2" t="s">
        <v>191</v>
      </c>
      <c r="J1616" s="2" t="s">
        <v>202</v>
      </c>
      <c r="K1616" s="2">
        <v>1</v>
      </c>
      <c r="L1616" s="2" t="s">
        <v>1212</v>
      </c>
      <c r="M1616" s="19">
        <f t="shared" si="338"/>
        <v>24.99</v>
      </c>
      <c r="N1616" s="2"/>
      <c r="O1616" s="2" t="str">
        <f t="shared" si="339"/>
        <v/>
      </c>
      <c r="P1616" s="2">
        <v>0</v>
      </c>
      <c r="Q1616" s="19">
        <f t="shared" si="340"/>
        <v>0</v>
      </c>
      <c r="R1616" s="2" t="str">
        <f t="shared" si="341"/>
        <v>Number</v>
      </c>
      <c r="S1616" s="2">
        <v>4.99</v>
      </c>
      <c r="T1616" s="19">
        <f t="shared" si="342"/>
        <v>4.99</v>
      </c>
      <c r="U1616" s="2">
        <v>29.98</v>
      </c>
      <c r="V1616" s="19">
        <f t="shared" si="343"/>
        <v>29.98</v>
      </c>
      <c r="W1616" s="19">
        <f t="shared" si="344"/>
        <v>29.979999999999997</v>
      </c>
      <c r="X1616" s="19" t="str">
        <f t="shared" si="345"/>
        <v>True</v>
      </c>
      <c r="Y1616" s="19" t="str">
        <f>IF(OR(W1616&lt;'Cleaning Tasks'!$G$18,W1616&gt;'Cleaning Tasks'!$H$18),"Outlier","Normal")</f>
        <v>Normal</v>
      </c>
      <c r="Z1616" s="2" t="s">
        <v>66</v>
      </c>
      <c r="AA1616" s="2" t="s">
        <v>88</v>
      </c>
      <c r="AB1616" s="2" t="s">
        <v>50</v>
      </c>
      <c r="AC1616" s="2" t="s">
        <v>29</v>
      </c>
      <c r="AD1616" s="2" t="s">
        <v>447</v>
      </c>
      <c r="AE1616" s="2" t="str">
        <f t="shared" si="346"/>
        <v>Valid</v>
      </c>
      <c r="AF1616" s="2" t="s">
        <v>4357</v>
      </c>
    </row>
    <row r="1617" spans="1:32" x14ac:dyDescent="0.3">
      <c r="A1617" s="2" t="s">
        <v>4358</v>
      </c>
      <c r="B1617" s="2">
        <f t="shared" si="336"/>
        <v>1</v>
      </c>
      <c r="C1617" s="12">
        <f t="shared" si="347"/>
        <v>46238.584570868057</v>
      </c>
      <c r="D1617" s="13">
        <v>46238.584570868057</v>
      </c>
      <c r="E1617" s="2" t="s">
        <v>639</v>
      </c>
      <c r="F1617" s="2" t="str">
        <f t="shared" si="337"/>
        <v>Missing Email</v>
      </c>
      <c r="G1617" s="2"/>
      <c r="H1617" s="2" t="s">
        <v>166</v>
      </c>
      <c r="I1617" s="2" t="s">
        <v>103</v>
      </c>
      <c r="J1617" s="2" t="s">
        <v>167</v>
      </c>
      <c r="K1617" s="2">
        <v>2</v>
      </c>
      <c r="L1617" s="2">
        <v>32.99</v>
      </c>
      <c r="M1617" s="19">
        <f t="shared" si="338"/>
        <v>32.99</v>
      </c>
      <c r="N1617" s="2"/>
      <c r="O1617" s="2" t="str">
        <f t="shared" si="339"/>
        <v/>
      </c>
      <c r="P1617" s="2">
        <v>0</v>
      </c>
      <c r="Q1617" s="19">
        <f t="shared" si="340"/>
        <v>0</v>
      </c>
      <c r="R1617" s="2" t="str">
        <f t="shared" si="341"/>
        <v>Number</v>
      </c>
      <c r="S1617" s="2">
        <v>5.99</v>
      </c>
      <c r="T1617" s="19">
        <f t="shared" si="342"/>
        <v>5.99</v>
      </c>
      <c r="U1617" s="2">
        <v>71.97</v>
      </c>
      <c r="V1617" s="19">
        <f t="shared" si="343"/>
        <v>71.97</v>
      </c>
      <c r="W1617" s="19">
        <f t="shared" si="344"/>
        <v>71.97</v>
      </c>
      <c r="X1617" s="19" t="str">
        <f t="shared" si="345"/>
        <v>True</v>
      </c>
      <c r="Y1617" s="19" t="str">
        <f>IF(OR(W1617&lt;'Cleaning Tasks'!$G$18,W1617&gt;'Cleaning Tasks'!$H$18),"Outlier","Normal")</f>
        <v>Normal</v>
      </c>
      <c r="Z1617" s="2" t="s">
        <v>39</v>
      </c>
      <c r="AA1617" s="2" t="s">
        <v>27</v>
      </c>
      <c r="AB1617" s="2" t="s">
        <v>41</v>
      </c>
      <c r="AC1617" s="2" t="s">
        <v>29</v>
      </c>
      <c r="AD1617" s="2" t="s">
        <v>58</v>
      </c>
      <c r="AE1617" s="2" t="str">
        <f t="shared" si="346"/>
        <v>Valid</v>
      </c>
      <c r="AF1617" s="2" t="s">
        <v>4359</v>
      </c>
    </row>
    <row r="1618" spans="1:32" x14ac:dyDescent="0.3">
      <c r="A1618" s="2" t="s">
        <v>4360</v>
      </c>
      <c r="B1618" s="2">
        <f t="shared" si="336"/>
        <v>1</v>
      </c>
      <c r="C1618" s="12">
        <f t="shared" si="347"/>
        <v>46238.585961747682</v>
      </c>
      <c r="D1618" s="13">
        <v>46238.585961747682</v>
      </c>
      <c r="E1618" s="2" t="s">
        <v>756</v>
      </c>
      <c r="F1618" s="2" t="str">
        <f t="shared" si="337"/>
        <v>Email Available</v>
      </c>
      <c r="G1618" s="2" t="s">
        <v>757</v>
      </c>
      <c r="H1618" s="2" t="s">
        <v>261</v>
      </c>
      <c r="I1618" s="2" t="s">
        <v>36</v>
      </c>
      <c r="J1618" s="2" t="s">
        <v>262</v>
      </c>
      <c r="K1618" s="2">
        <v>1</v>
      </c>
      <c r="L1618" s="2">
        <v>15.49</v>
      </c>
      <c r="M1618" s="19">
        <f t="shared" si="338"/>
        <v>15.49</v>
      </c>
      <c r="N1618" s="2"/>
      <c r="O1618" s="2" t="str">
        <f t="shared" si="339"/>
        <v/>
      </c>
      <c r="P1618" s="2">
        <v>0</v>
      </c>
      <c r="Q1618" s="19">
        <f t="shared" si="340"/>
        <v>0</v>
      </c>
      <c r="R1618" s="2" t="str">
        <f t="shared" si="341"/>
        <v>Number</v>
      </c>
      <c r="S1618" s="2">
        <v>5.99</v>
      </c>
      <c r="T1618" s="19">
        <f t="shared" si="342"/>
        <v>5.99</v>
      </c>
      <c r="U1618" s="2">
        <v>21.48</v>
      </c>
      <c r="V1618" s="19">
        <f t="shared" si="343"/>
        <v>21.48</v>
      </c>
      <c r="W1618" s="19">
        <f t="shared" si="344"/>
        <v>21.48</v>
      </c>
      <c r="X1618" s="19" t="str">
        <f t="shared" si="345"/>
        <v>True</v>
      </c>
      <c r="Y1618" s="19" t="str">
        <f>IF(OR(W1618&lt;'Cleaning Tasks'!$G$18,W1618&gt;'Cleaning Tasks'!$H$18),"Outlier","Normal")</f>
        <v>Normal</v>
      </c>
      <c r="Z1618" s="2" t="s">
        <v>72</v>
      </c>
      <c r="AA1618" s="2" t="s">
        <v>27</v>
      </c>
      <c r="AB1618" s="2" t="s">
        <v>96</v>
      </c>
      <c r="AC1618" s="2" t="s">
        <v>29</v>
      </c>
      <c r="AD1618" s="22" t="s">
        <v>51</v>
      </c>
      <c r="AE1618" s="2" t="str">
        <f t="shared" si="346"/>
        <v>Valid</v>
      </c>
      <c r="AF1618" s="2" t="s">
        <v>4361</v>
      </c>
    </row>
    <row r="1619" spans="1:32" x14ac:dyDescent="0.3">
      <c r="A1619" s="2" t="s">
        <v>4362</v>
      </c>
      <c r="B1619" s="2">
        <f t="shared" si="336"/>
        <v>1</v>
      </c>
      <c r="C1619" s="12">
        <f t="shared" si="347"/>
        <v>46238.584642453701</v>
      </c>
      <c r="D1619" s="13">
        <v>46238.584642453701</v>
      </c>
      <c r="E1619" s="2" t="s">
        <v>554</v>
      </c>
      <c r="F1619" s="2" t="str">
        <f t="shared" si="337"/>
        <v>Missing Email</v>
      </c>
      <c r="G1619" s="2"/>
      <c r="H1619" s="2" t="s">
        <v>56</v>
      </c>
      <c r="I1619" s="2" t="s">
        <v>22</v>
      </c>
      <c r="J1619" s="2" t="s">
        <v>57</v>
      </c>
      <c r="K1619" s="2">
        <v>2</v>
      </c>
      <c r="L1619" s="2">
        <v>9.99</v>
      </c>
      <c r="M1619" s="19">
        <f t="shared" si="338"/>
        <v>9.99</v>
      </c>
      <c r="N1619" s="2" t="s">
        <v>118</v>
      </c>
      <c r="O1619" s="2" t="str">
        <f t="shared" si="339"/>
        <v>BFCM25</v>
      </c>
      <c r="P1619" s="2">
        <v>5</v>
      </c>
      <c r="Q1619" s="19">
        <f t="shared" si="340"/>
        <v>5</v>
      </c>
      <c r="R1619" s="2" t="str">
        <f t="shared" si="341"/>
        <v>Number</v>
      </c>
      <c r="S1619" s="2">
        <v>7.99</v>
      </c>
      <c r="T1619" s="19">
        <f t="shared" si="342"/>
        <v>7.99</v>
      </c>
      <c r="U1619" s="2">
        <v>22.97</v>
      </c>
      <c r="V1619" s="19">
        <f t="shared" si="343"/>
        <v>22.97</v>
      </c>
      <c r="W1619" s="19">
        <f t="shared" si="344"/>
        <v>22.97</v>
      </c>
      <c r="X1619" s="19" t="str">
        <f t="shared" si="345"/>
        <v>True</v>
      </c>
      <c r="Y1619" s="19" t="str">
        <f>IF(OR(W1619&lt;'Cleaning Tasks'!$G$18,W1619&gt;'Cleaning Tasks'!$H$18),"Outlier","Normal")</f>
        <v>Normal</v>
      </c>
      <c r="Z1619" s="2" t="s">
        <v>72</v>
      </c>
      <c r="AA1619" s="2" t="s">
        <v>40</v>
      </c>
      <c r="AB1619" s="2" t="s">
        <v>96</v>
      </c>
      <c r="AC1619" s="2" t="s">
        <v>29</v>
      </c>
      <c r="AD1619" s="22" t="s">
        <v>140</v>
      </c>
      <c r="AE1619" s="2" t="str">
        <f t="shared" si="346"/>
        <v>Valid</v>
      </c>
      <c r="AF1619" s="2" t="s">
        <v>4363</v>
      </c>
    </row>
    <row r="1620" spans="1:32" x14ac:dyDescent="0.3">
      <c r="A1620" s="2" t="s">
        <v>4364</v>
      </c>
      <c r="B1620" s="2">
        <f t="shared" si="336"/>
        <v>1</v>
      </c>
      <c r="C1620" s="12">
        <f t="shared" si="347"/>
        <v>46238.583458819441</v>
      </c>
      <c r="D1620" s="13">
        <v>46238.583458819441</v>
      </c>
      <c r="E1620" s="2" t="s">
        <v>839</v>
      </c>
      <c r="F1620" s="2" t="str">
        <f t="shared" si="337"/>
        <v>Email Available</v>
      </c>
      <c r="G1620" s="2" t="s">
        <v>840</v>
      </c>
      <c r="H1620" s="2" t="s">
        <v>221</v>
      </c>
      <c r="I1620" s="2" t="s">
        <v>22</v>
      </c>
      <c r="J1620" s="2" t="s">
        <v>222</v>
      </c>
      <c r="K1620" s="2">
        <v>1</v>
      </c>
      <c r="L1620" s="2">
        <v>17.989999999999998</v>
      </c>
      <c r="M1620" s="19">
        <f t="shared" si="338"/>
        <v>17.989999999999998</v>
      </c>
      <c r="N1620" s="2"/>
      <c r="O1620" s="2" t="str">
        <f t="shared" si="339"/>
        <v/>
      </c>
      <c r="P1620" s="2" t="s">
        <v>184</v>
      </c>
      <c r="Q1620" s="19">
        <f t="shared" si="340"/>
        <v>0</v>
      </c>
      <c r="R1620" s="2" t="str">
        <f t="shared" si="341"/>
        <v>Number</v>
      </c>
      <c r="S1620" s="2">
        <v>7.99</v>
      </c>
      <c r="T1620" s="19">
        <f t="shared" si="342"/>
        <v>7.99</v>
      </c>
      <c r="U1620" s="2">
        <v>25.98</v>
      </c>
      <c r="V1620" s="19">
        <f t="shared" si="343"/>
        <v>25.98</v>
      </c>
      <c r="W1620" s="19">
        <f t="shared" si="344"/>
        <v>25.979999999999997</v>
      </c>
      <c r="X1620" s="19" t="str">
        <f t="shared" si="345"/>
        <v>True</v>
      </c>
      <c r="Y1620" s="19" t="str">
        <f>IF(OR(W1620&lt;'Cleaning Tasks'!$G$18,W1620&gt;'Cleaning Tasks'!$H$18),"Outlier","Normal")</f>
        <v>Normal</v>
      </c>
      <c r="Z1620" s="2" t="s">
        <v>49</v>
      </c>
      <c r="AA1620" s="2" t="s">
        <v>27</v>
      </c>
      <c r="AB1620" s="2" t="s">
        <v>41</v>
      </c>
      <c r="AC1620" s="2" t="s">
        <v>223</v>
      </c>
      <c r="AD1620" s="2"/>
      <c r="AE1620" s="2" t="str">
        <f t="shared" si="346"/>
        <v>Not Required</v>
      </c>
      <c r="AF1620" s="2" t="s">
        <v>4365</v>
      </c>
    </row>
    <row r="1621" spans="1:32" x14ac:dyDescent="0.3">
      <c r="A1621" s="2" t="s">
        <v>4366</v>
      </c>
      <c r="B1621" s="2">
        <f t="shared" si="336"/>
        <v>1</v>
      </c>
      <c r="C1621" s="12">
        <f t="shared" si="347"/>
        <v>46238</v>
      </c>
      <c r="D1621" s="13" t="s">
        <v>1193</v>
      </c>
      <c r="E1621" s="2" t="s">
        <v>188</v>
      </c>
      <c r="F1621" s="2" t="str">
        <f t="shared" si="337"/>
        <v>Email Available</v>
      </c>
      <c r="G1621" s="2" t="s">
        <v>189</v>
      </c>
      <c r="H1621" s="2" t="s">
        <v>221</v>
      </c>
      <c r="I1621" s="2" t="s">
        <v>22</v>
      </c>
      <c r="J1621" s="2" t="s">
        <v>222</v>
      </c>
      <c r="K1621" s="2">
        <v>1</v>
      </c>
      <c r="L1621" s="2">
        <v>17.989999999999998</v>
      </c>
      <c r="M1621" s="19">
        <f t="shared" si="338"/>
        <v>17.989999999999998</v>
      </c>
      <c r="N1621" s="2" t="s">
        <v>24</v>
      </c>
      <c r="O1621" s="2" t="str">
        <f t="shared" si="339"/>
        <v>SAVE20</v>
      </c>
      <c r="P1621" s="2">
        <v>3.6</v>
      </c>
      <c r="Q1621" s="19">
        <f t="shared" si="340"/>
        <v>3.6</v>
      </c>
      <c r="R1621" s="2" t="str">
        <f t="shared" si="341"/>
        <v>Number</v>
      </c>
      <c r="S1621" s="2">
        <v>4.99</v>
      </c>
      <c r="T1621" s="19">
        <f t="shared" si="342"/>
        <v>4.99</v>
      </c>
      <c r="U1621" s="2">
        <v>19.38</v>
      </c>
      <c r="V1621" s="19">
        <f t="shared" si="343"/>
        <v>19.38</v>
      </c>
      <c r="W1621" s="19">
        <f t="shared" si="344"/>
        <v>19.38</v>
      </c>
      <c r="X1621" s="19" t="str">
        <f t="shared" si="345"/>
        <v>True</v>
      </c>
      <c r="Y1621" s="19" t="str">
        <f>IF(OR(W1621&lt;'Cleaning Tasks'!$G$18,W1621&gt;'Cleaning Tasks'!$H$18),"Outlier","Normal")</f>
        <v>Normal</v>
      </c>
      <c r="Z1621" s="2" t="s">
        <v>72</v>
      </c>
      <c r="AA1621" s="2" t="s">
        <v>27</v>
      </c>
      <c r="AB1621" s="2" t="s">
        <v>50</v>
      </c>
      <c r="AC1621" s="2" t="s">
        <v>29</v>
      </c>
      <c r="AD1621" s="2" t="s">
        <v>447</v>
      </c>
      <c r="AE1621" s="2" t="str">
        <f t="shared" si="346"/>
        <v>Valid</v>
      </c>
      <c r="AF1621" s="2" t="s">
        <v>4367</v>
      </c>
    </row>
    <row r="1622" spans="1:32" x14ac:dyDescent="0.3">
      <c r="A1622" s="2" t="s">
        <v>4368</v>
      </c>
      <c r="B1622" s="2">
        <f t="shared" si="336"/>
        <v>1</v>
      </c>
      <c r="C1622" s="12">
        <f t="shared" si="347"/>
        <v>46238</v>
      </c>
      <c r="D1622" s="13" t="s">
        <v>2750</v>
      </c>
      <c r="E1622" s="2" t="s">
        <v>213</v>
      </c>
      <c r="F1622" s="2" t="str">
        <f t="shared" si="337"/>
        <v>Email Available</v>
      </c>
      <c r="G1622" s="2" t="s">
        <v>214</v>
      </c>
      <c r="H1622" s="2" t="s">
        <v>236</v>
      </c>
      <c r="I1622" s="2" t="s">
        <v>237</v>
      </c>
      <c r="J1622" s="2" t="s">
        <v>238</v>
      </c>
      <c r="K1622" s="2">
        <v>1</v>
      </c>
      <c r="L1622" s="2">
        <v>27.99</v>
      </c>
      <c r="M1622" s="19">
        <f t="shared" si="338"/>
        <v>27.99</v>
      </c>
      <c r="N1622" s="2"/>
      <c r="O1622" s="2" t="str">
        <f t="shared" si="339"/>
        <v/>
      </c>
      <c r="P1622" s="2">
        <v>0</v>
      </c>
      <c r="Q1622" s="19">
        <f t="shared" si="340"/>
        <v>0</v>
      </c>
      <c r="R1622" s="2" t="str">
        <f t="shared" si="341"/>
        <v>Number</v>
      </c>
      <c r="S1622" s="2">
        <v>7.99</v>
      </c>
      <c r="T1622" s="19">
        <f t="shared" si="342"/>
        <v>7.99</v>
      </c>
      <c r="U1622" s="2">
        <v>35.979999999999997</v>
      </c>
      <c r="V1622" s="19">
        <f t="shared" si="343"/>
        <v>35.979999999999997</v>
      </c>
      <c r="W1622" s="19">
        <f t="shared" si="344"/>
        <v>35.979999999999997</v>
      </c>
      <c r="X1622" s="19" t="str">
        <f t="shared" si="345"/>
        <v>True</v>
      </c>
      <c r="Y1622" s="19" t="str">
        <f>IF(OR(W1622&lt;'Cleaning Tasks'!$G$18,W1622&gt;'Cleaning Tasks'!$H$18),"Outlier","Normal")</f>
        <v>Normal</v>
      </c>
      <c r="Z1622" s="2" t="s">
        <v>66</v>
      </c>
      <c r="AA1622" s="2" t="s">
        <v>111</v>
      </c>
      <c r="AB1622" s="2" t="s">
        <v>28</v>
      </c>
      <c r="AC1622" s="2" t="s">
        <v>29</v>
      </c>
      <c r="AD1622" s="2" t="s">
        <v>140</v>
      </c>
      <c r="AE1622" s="2" t="str">
        <f t="shared" si="346"/>
        <v>Valid</v>
      </c>
      <c r="AF1622" s="2" t="s">
        <v>4369</v>
      </c>
    </row>
    <row r="1623" spans="1:32" x14ac:dyDescent="0.3">
      <c r="A1623" s="2" t="s">
        <v>4370</v>
      </c>
      <c r="B1623" s="2">
        <f t="shared" si="336"/>
        <v>1</v>
      </c>
      <c r="C1623" s="12">
        <f t="shared" si="347"/>
        <v>46238.583405868063</v>
      </c>
      <c r="D1623" s="13">
        <v>46238.583405868063</v>
      </c>
      <c r="E1623" s="2" t="s">
        <v>325</v>
      </c>
      <c r="F1623" s="2" t="str">
        <f t="shared" si="337"/>
        <v>Email Available</v>
      </c>
      <c r="G1623" s="2" t="s">
        <v>326</v>
      </c>
      <c r="H1623" s="2" t="s">
        <v>182</v>
      </c>
      <c r="I1623" s="2" t="s">
        <v>36</v>
      </c>
      <c r="J1623" s="2" t="s">
        <v>183</v>
      </c>
      <c r="K1623" s="2">
        <v>2</v>
      </c>
      <c r="L1623" s="2">
        <v>11.99</v>
      </c>
      <c r="M1623" s="19">
        <f t="shared" si="338"/>
        <v>11.99</v>
      </c>
      <c r="N1623" s="2" t="s">
        <v>24</v>
      </c>
      <c r="O1623" s="2" t="str">
        <f t="shared" si="339"/>
        <v>SAVE20</v>
      </c>
      <c r="P1623" s="2">
        <v>4.8</v>
      </c>
      <c r="Q1623" s="19">
        <f t="shared" si="340"/>
        <v>4.8</v>
      </c>
      <c r="R1623" s="2" t="str">
        <f t="shared" si="341"/>
        <v>Number</v>
      </c>
      <c r="S1623" s="2">
        <v>5.99</v>
      </c>
      <c r="T1623" s="19">
        <f t="shared" si="342"/>
        <v>5.99</v>
      </c>
      <c r="U1623" s="2">
        <v>25.17</v>
      </c>
      <c r="V1623" s="19">
        <f t="shared" si="343"/>
        <v>25.17</v>
      </c>
      <c r="W1623" s="19">
        <f t="shared" si="344"/>
        <v>25.17</v>
      </c>
      <c r="X1623" s="19" t="str">
        <f t="shared" si="345"/>
        <v>True</v>
      </c>
      <c r="Y1623" s="19" t="str">
        <f>IF(OR(W1623&lt;'Cleaning Tasks'!$G$18,W1623&gt;'Cleaning Tasks'!$H$18),"Outlier","Normal")</f>
        <v>Normal</v>
      </c>
      <c r="Z1623" s="2" t="s">
        <v>66</v>
      </c>
      <c r="AA1623" s="2" t="s">
        <v>27</v>
      </c>
      <c r="AB1623" s="2" t="s">
        <v>50</v>
      </c>
      <c r="AC1623" s="2" t="s">
        <v>29</v>
      </c>
      <c r="AD1623" s="2" t="s">
        <v>89</v>
      </c>
      <c r="AE1623" s="2" t="str">
        <f t="shared" si="346"/>
        <v>Valid</v>
      </c>
      <c r="AF1623" s="2" t="s">
        <v>4371</v>
      </c>
    </row>
    <row r="1624" spans="1:32" x14ac:dyDescent="0.3">
      <c r="A1624" s="2" t="s">
        <v>4372</v>
      </c>
      <c r="B1624" s="2">
        <f t="shared" si="336"/>
        <v>1</v>
      </c>
      <c r="C1624" s="12">
        <f t="shared" si="347"/>
        <v>46238.581732870371</v>
      </c>
      <c r="D1624" s="13">
        <v>46238.581732870371</v>
      </c>
      <c r="E1624" s="2" t="s">
        <v>164</v>
      </c>
      <c r="F1624" s="2" t="str">
        <f t="shared" si="337"/>
        <v>Email Available</v>
      </c>
      <c r="G1624" s="2" t="s">
        <v>165</v>
      </c>
      <c r="H1624" s="2" t="s">
        <v>236</v>
      </c>
      <c r="I1624" s="2" t="s">
        <v>237</v>
      </c>
      <c r="J1624" s="2" t="s">
        <v>238</v>
      </c>
      <c r="K1624" s="2">
        <v>1</v>
      </c>
      <c r="L1624" s="2">
        <v>27.99</v>
      </c>
      <c r="M1624" s="19">
        <f t="shared" si="338"/>
        <v>27.99</v>
      </c>
      <c r="N1624" s="2"/>
      <c r="O1624" s="2" t="str">
        <f t="shared" si="339"/>
        <v/>
      </c>
      <c r="P1624" s="2" t="s">
        <v>184</v>
      </c>
      <c r="Q1624" s="19">
        <f t="shared" si="340"/>
        <v>0</v>
      </c>
      <c r="R1624" s="2" t="str">
        <f t="shared" si="341"/>
        <v>Number</v>
      </c>
      <c r="S1624" s="2">
        <v>4.99</v>
      </c>
      <c r="T1624" s="19">
        <f t="shared" si="342"/>
        <v>4.99</v>
      </c>
      <c r="U1624" s="2">
        <v>32.979999999999997</v>
      </c>
      <c r="V1624" s="19">
        <f t="shared" si="343"/>
        <v>32.979999999999997</v>
      </c>
      <c r="W1624" s="19">
        <f t="shared" si="344"/>
        <v>32.979999999999997</v>
      </c>
      <c r="X1624" s="19" t="str">
        <f t="shared" si="345"/>
        <v>True</v>
      </c>
      <c r="Y1624" s="19" t="str">
        <f>IF(OR(W1624&lt;'Cleaning Tasks'!$G$18,W1624&gt;'Cleaning Tasks'!$H$18),"Outlier","Normal")</f>
        <v>Normal</v>
      </c>
      <c r="Z1624" s="2" t="s">
        <v>66</v>
      </c>
      <c r="AA1624" s="2" t="s">
        <v>40</v>
      </c>
      <c r="AB1624" s="2" t="s">
        <v>50</v>
      </c>
      <c r="AC1624" s="2" t="s">
        <v>105</v>
      </c>
      <c r="AD1624" s="2"/>
      <c r="AE1624" s="2" t="str">
        <f t="shared" si="346"/>
        <v>Not Required</v>
      </c>
      <c r="AF1624" s="2" t="s">
        <v>4373</v>
      </c>
    </row>
    <row r="1625" spans="1:32" x14ac:dyDescent="0.3">
      <c r="A1625" s="2" t="s">
        <v>4374</v>
      </c>
      <c r="B1625" s="2">
        <f t="shared" si="336"/>
        <v>1</v>
      </c>
      <c r="C1625" s="12">
        <f t="shared" si="347"/>
        <v>46238.586043275463</v>
      </c>
      <c r="D1625" s="13">
        <v>46238.586043275463</v>
      </c>
      <c r="E1625" s="2" t="s">
        <v>485</v>
      </c>
      <c r="F1625" s="2" t="str">
        <f t="shared" si="337"/>
        <v>Email Available</v>
      </c>
      <c r="G1625" s="2" t="s">
        <v>486</v>
      </c>
      <c r="H1625" s="2" t="s">
        <v>46</v>
      </c>
      <c r="I1625" s="2" t="s">
        <v>47</v>
      </c>
      <c r="J1625" s="2" t="s">
        <v>48</v>
      </c>
      <c r="K1625" s="2">
        <v>1</v>
      </c>
      <c r="L1625" s="2">
        <v>39.99</v>
      </c>
      <c r="M1625" s="19">
        <f t="shared" si="338"/>
        <v>39.99</v>
      </c>
      <c r="N1625" s="2"/>
      <c r="O1625" s="2" t="str">
        <f t="shared" si="339"/>
        <v/>
      </c>
      <c r="P1625" s="2">
        <v>0</v>
      </c>
      <c r="Q1625" s="19">
        <f t="shared" si="340"/>
        <v>0</v>
      </c>
      <c r="R1625" s="2" t="str">
        <f t="shared" si="341"/>
        <v>Number</v>
      </c>
      <c r="S1625" s="2">
        <v>7.99</v>
      </c>
      <c r="T1625" s="19">
        <f t="shared" si="342"/>
        <v>7.99</v>
      </c>
      <c r="U1625" s="2">
        <v>47.98</v>
      </c>
      <c r="V1625" s="19">
        <f t="shared" si="343"/>
        <v>47.98</v>
      </c>
      <c r="W1625" s="19">
        <f t="shared" si="344"/>
        <v>47.980000000000004</v>
      </c>
      <c r="X1625" s="19" t="str">
        <f t="shared" si="345"/>
        <v>True</v>
      </c>
      <c r="Y1625" s="19" t="str">
        <f>IF(OR(W1625&lt;'Cleaning Tasks'!$G$18,W1625&gt;'Cleaning Tasks'!$H$18),"Outlier","Normal")</f>
        <v>Normal</v>
      </c>
      <c r="Z1625" s="2" t="s">
        <v>39</v>
      </c>
      <c r="AA1625" s="2" t="s">
        <v>27</v>
      </c>
      <c r="AB1625" s="2" t="s">
        <v>28</v>
      </c>
      <c r="AC1625" s="2" t="s">
        <v>73</v>
      </c>
      <c r="AD1625" s="2"/>
      <c r="AE1625" s="2" t="str">
        <f t="shared" si="346"/>
        <v>Not Required</v>
      </c>
      <c r="AF1625" s="2" t="s">
        <v>4375</v>
      </c>
    </row>
    <row r="1626" spans="1:32" x14ac:dyDescent="0.3">
      <c r="A1626" s="2" t="s">
        <v>4376</v>
      </c>
      <c r="B1626" s="2">
        <f t="shared" si="336"/>
        <v>1</v>
      </c>
      <c r="C1626" s="12">
        <f t="shared" si="347"/>
        <v>46238.589166215279</v>
      </c>
      <c r="D1626" s="13">
        <v>46238.589166215279</v>
      </c>
      <c r="E1626" s="2" t="s">
        <v>4377</v>
      </c>
      <c r="F1626" s="2" t="str">
        <f t="shared" si="337"/>
        <v>Email Available</v>
      </c>
      <c r="G1626" s="2" t="s">
        <v>1152</v>
      </c>
      <c r="H1626" s="2" t="s">
        <v>35</v>
      </c>
      <c r="I1626" s="2" t="s">
        <v>36</v>
      </c>
      <c r="J1626" s="2" t="s">
        <v>37</v>
      </c>
      <c r="K1626" s="2">
        <v>1</v>
      </c>
      <c r="L1626" s="2">
        <v>21.99</v>
      </c>
      <c r="M1626" s="19">
        <f t="shared" si="338"/>
        <v>21.99</v>
      </c>
      <c r="N1626" s="2" t="s">
        <v>38</v>
      </c>
      <c r="O1626" s="2" t="str">
        <f t="shared" si="339"/>
        <v>FREESHIP</v>
      </c>
      <c r="P1626" s="2">
        <v>0</v>
      </c>
      <c r="Q1626" s="19">
        <f t="shared" si="340"/>
        <v>0</v>
      </c>
      <c r="R1626" s="2" t="str">
        <f t="shared" si="341"/>
        <v>Number</v>
      </c>
      <c r="S1626" s="2">
        <v>0</v>
      </c>
      <c r="T1626" s="19">
        <f t="shared" si="342"/>
        <v>0</v>
      </c>
      <c r="U1626" s="2">
        <v>21.99</v>
      </c>
      <c r="V1626" s="19">
        <f t="shared" si="343"/>
        <v>21.99</v>
      </c>
      <c r="W1626" s="19">
        <f t="shared" si="344"/>
        <v>21.99</v>
      </c>
      <c r="X1626" s="19" t="str">
        <f t="shared" si="345"/>
        <v>True</v>
      </c>
      <c r="Y1626" s="19" t="str">
        <f>IF(OR(W1626&lt;'Cleaning Tasks'!$G$18,W1626&gt;'Cleaning Tasks'!$H$18),"Outlier","Normal")</f>
        <v>Normal</v>
      </c>
      <c r="Z1626" s="2" t="s">
        <v>49</v>
      </c>
      <c r="AA1626" s="2" t="s">
        <v>88</v>
      </c>
      <c r="AB1626" s="2" t="s">
        <v>50</v>
      </c>
      <c r="AC1626" s="2" t="s">
        <v>29</v>
      </c>
      <c r="AD1626" s="2" t="s">
        <v>89</v>
      </c>
      <c r="AE1626" s="2" t="str">
        <f t="shared" si="346"/>
        <v>Valid</v>
      </c>
      <c r="AF1626" s="2" t="s">
        <v>2642</v>
      </c>
    </row>
    <row r="1627" spans="1:32" x14ac:dyDescent="0.3">
      <c r="A1627" s="2" t="s">
        <v>4378</v>
      </c>
      <c r="B1627" s="2">
        <f t="shared" si="336"/>
        <v>1</v>
      </c>
      <c r="C1627" s="12">
        <f t="shared" si="347"/>
        <v>46238.585931851849</v>
      </c>
      <c r="D1627" s="13">
        <v>46238.585931851849</v>
      </c>
      <c r="E1627" s="2" t="s">
        <v>993</v>
      </c>
      <c r="F1627" s="2" t="str">
        <f t="shared" si="337"/>
        <v>Missing Email</v>
      </c>
      <c r="G1627" s="2"/>
      <c r="H1627" s="2" t="s">
        <v>309</v>
      </c>
      <c r="I1627" s="2" t="s">
        <v>36</v>
      </c>
      <c r="J1627" s="2" t="s">
        <v>310</v>
      </c>
      <c r="K1627" s="2">
        <v>1</v>
      </c>
      <c r="L1627" s="2">
        <v>8.99</v>
      </c>
      <c r="M1627" s="19">
        <f t="shared" si="338"/>
        <v>8.99</v>
      </c>
      <c r="N1627" s="2"/>
      <c r="O1627" s="2" t="str">
        <f t="shared" si="339"/>
        <v/>
      </c>
      <c r="P1627" s="2">
        <v>0</v>
      </c>
      <c r="Q1627" s="19">
        <f t="shared" si="340"/>
        <v>0</v>
      </c>
      <c r="R1627" s="2" t="str">
        <f t="shared" si="341"/>
        <v>Number</v>
      </c>
      <c r="S1627" s="2">
        <v>5.99</v>
      </c>
      <c r="T1627" s="19">
        <f t="shared" si="342"/>
        <v>5.99</v>
      </c>
      <c r="U1627" s="2">
        <v>14.98</v>
      </c>
      <c r="V1627" s="19">
        <f t="shared" si="343"/>
        <v>14.98</v>
      </c>
      <c r="W1627" s="19">
        <f t="shared" si="344"/>
        <v>14.98</v>
      </c>
      <c r="X1627" s="19" t="str">
        <f t="shared" si="345"/>
        <v>True</v>
      </c>
      <c r="Y1627" s="19" t="str">
        <f>IF(OR(W1627&lt;'Cleaning Tasks'!$G$18,W1627&gt;'Cleaning Tasks'!$H$18),"Outlier","Normal")</f>
        <v>Normal</v>
      </c>
      <c r="Z1627" s="2" t="s">
        <v>39</v>
      </c>
      <c r="AA1627" s="2" t="s">
        <v>27</v>
      </c>
      <c r="AB1627" s="2" t="s">
        <v>28</v>
      </c>
      <c r="AC1627" s="2" t="s">
        <v>42</v>
      </c>
      <c r="AD1627" s="2"/>
      <c r="AE1627" s="2" t="str">
        <f t="shared" si="346"/>
        <v>Not Required</v>
      </c>
      <c r="AF1627" s="2" t="s">
        <v>4379</v>
      </c>
    </row>
    <row r="1628" spans="1:32" x14ac:dyDescent="0.3">
      <c r="A1628" s="2" t="s">
        <v>4380</v>
      </c>
      <c r="B1628" s="2">
        <f t="shared" si="336"/>
        <v>1</v>
      </c>
      <c r="C1628" s="12">
        <f t="shared" si="347"/>
        <v>46238.579335300929</v>
      </c>
      <c r="D1628" s="13">
        <v>46238.579335300929</v>
      </c>
      <c r="E1628" s="2" t="s">
        <v>606</v>
      </c>
      <c r="F1628" s="2" t="str">
        <f t="shared" si="337"/>
        <v>Email Available</v>
      </c>
      <c r="G1628" s="2" t="s">
        <v>607</v>
      </c>
      <c r="H1628" s="2" t="s">
        <v>63</v>
      </c>
      <c r="I1628" s="2" t="s">
        <v>47</v>
      </c>
      <c r="J1628" s="2" t="s">
        <v>64</v>
      </c>
      <c r="K1628" s="2">
        <v>2</v>
      </c>
      <c r="L1628" s="2">
        <v>14.99</v>
      </c>
      <c r="M1628" s="19">
        <f t="shared" si="338"/>
        <v>14.99</v>
      </c>
      <c r="N1628" s="2" t="s">
        <v>118</v>
      </c>
      <c r="O1628" s="2" t="str">
        <f t="shared" si="339"/>
        <v>BFCM25</v>
      </c>
      <c r="P1628" s="2">
        <v>7.5</v>
      </c>
      <c r="Q1628" s="19">
        <f t="shared" si="340"/>
        <v>7.5</v>
      </c>
      <c r="R1628" s="2" t="str">
        <f t="shared" si="341"/>
        <v>Number</v>
      </c>
      <c r="S1628" s="2">
        <v>4.99</v>
      </c>
      <c r="T1628" s="19">
        <f t="shared" si="342"/>
        <v>4.99</v>
      </c>
      <c r="U1628" s="2">
        <v>27.47</v>
      </c>
      <c r="V1628" s="19">
        <f t="shared" si="343"/>
        <v>27.47</v>
      </c>
      <c r="W1628" s="19">
        <f t="shared" si="344"/>
        <v>27.47</v>
      </c>
      <c r="X1628" s="19" t="str">
        <f t="shared" si="345"/>
        <v>True</v>
      </c>
      <c r="Y1628" s="19" t="str">
        <f>IF(OR(W1628&lt;'Cleaning Tasks'!$G$18,W1628&gt;'Cleaning Tasks'!$H$18),"Outlier","Normal")</f>
        <v>Normal</v>
      </c>
      <c r="Z1628" s="2" t="s">
        <v>49</v>
      </c>
      <c r="AA1628" s="2" t="s">
        <v>111</v>
      </c>
      <c r="AB1628" s="2" t="s">
        <v>50</v>
      </c>
      <c r="AC1628" s="2" t="s">
        <v>42</v>
      </c>
      <c r="AD1628" s="2"/>
      <c r="AE1628" s="2" t="str">
        <f t="shared" si="346"/>
        <v>Not Required</v>
      </c>
      <c r="AF1628" s="2" t="s">
        <v>4381</v>
      </c>
    </row>
    <row r="1629" spans="1:32" x14ac:dyDescent="0.3">
      <c r="A1629" s="2" t="s">
        <v>4382</v>
      </c>
      <c r="B1629" s="2">
        <f t="shared" si="336"/>
        <v>1</v>
      </c>
      <c r="C1629" s="12">
        <f t="shared" si="347"/>
        <v>46238.582483599537</v>
      </c>
      <c r="D1629" s="13">
        <v>46238.582483599537</v>
      </c>
      <c r="E1629" s="2" t="s">
        <v>1302</v>
      </c>
      <c r="F1629" s="2" t="str">
        <f t="shared" si="337"/>
        <v>Email Available</v>
      </c>
      <c r="G1629" s="2" t="s">
        <v>1303</v>
      </c>
      <c r="H1629" s="2" t="s">
        <v>309</v>
      </c>
      <c r="I1629" s="2" t="s">
        <v>36</v>
      </c>
      <c r="J1629" s="2" t="s">
        <v>310</v>
      </c>
      <c r="K1629" s="2">
        <v>2</v>
      </c>
      <c r="L1629" s="2">
        <v>8.99</v>
      </c>
      <c r="M1629" s="19">
        <f t="shared" si="338"/>
        <v>8.99</v>
      </c>
      <c r="N1629" s="2" t="s">
        <v>24</v>
      </c>
      <c r="O1629" s="2" t="str">
        <f t="shared" si="339"/>
        <v>SAVE20</v>
      </c>
      <c r="P1629" s="2">
        <v>3.6</v>
      </c>
      <c r="Q1629" s="19">
        <f t="shared" si="340"/>
        <v>3.6</v>
      </c>
      <c r="R1629" s="2" t="str">
        <f t="shared" si="341"/>
        <v>Number</v>
      </c>
      <c r="S1629" s="2">
        <v>7.99</v>
      </c>
      <c r="T1629" s="19">
        <f t="shared" si="342"/>
        <v>7.99</v>
      </c>
      <c r="U1629" s="2">
        <v>22.37</v>
      </c>
      <c r="V1629" s="19">
        <f t="shared" si="343"/>
        <v>22.37</v>
      </c>
      <c r="W1629" s="19">
        <f t="shared" si="344"/>
        <v>22.37</v>
      </c>
      <c r="X1629" s="19" t="str">
        <f t="shared" si="345"/>
        <v>True</v>
      </c>
      <c r="Y1629" s="19" t="str">
        <f>IF(OR(W1629&lt;'Cleaning Tasks'!$G$18,W1629&gt;'Cleaning Tasks'!$H$18),"Outlier","Normal")</f>
        <v>Normal</v>
      </c>
      <c r="Z1629" s="2" t="s">
        <v>66</v>
      </c>
      <c r="AA1629" s="2" t="s">
        <v>88</v>
      </c>
      <c r="AB1629" s="2" t="s">
        <v>50</v>
      </c>
      <c r="AC1629" s="2" t="s">
        <v>29</v>
      </c>
      <c r="AD1629" s="2" t="s">
        <v>89</v>
      </c>
      <c r="AE1629" s="2" t="str">
        <f t="shared" si="346"/>
        <v>Valid</v>
      </c>
      <c r="AF1629" s="2" t="s">
        <v>4383</v>
      </c>
    </row>
    <row r="1630" spans="1:32" x14ac:dyDescent="0.3">
      <c r="A1630" s="2" t="s">
        <v>4384</v>
      </c>
      <c r="B1630" s="2">
        <f t="shared" si="336"/>
        <v>1</v>
      </c>
      <c r="C1630" s="12">
        <f t="shared" si="347"/>
        <v>46238</v>
      </c>
      <c r="D1630" s="13">
        <v>46238</v>
      </c>
      <c r="E1630" s="2" t="s">
        <v>974</v>
      </c>
      <c r="F1630" s="2" t="str">
        <f t="shared" si="337"/>
        <v>Email Available</v>
      </c>
      <c r="G1630" s="2" t="s">
        <v>975</v>
      </c>
      <c r="H1630" s="2" t="s">
        <v>85</v>
      </c>
      <c r="I1630" s="2" t="s">
        <v>86</v>
      </c>
      <c r="J1630" s="2" t="s">
        <v>87</v>
      </c>
      <c r="K1630" s="2">
        <v>1</v>
      </c>
      <c r="L1630" s="2">
        <v>54.99</v>
      </c>
      <c r="M1630" s="19">
        <f t="shared" si="338"/>
        <v>54.99</v>
      </c>
      <c r="N1630" s="2" t="s">
        <v>24</v>
      </c>
      <c r="O1630" s="2" t="str">
        <f t="shared" si="339"/>
        <v>SAVE20</v>
      </c>
      <c r="P1630" s="2">
        <v>11</v>
      </c>
      <c r="Q1630" s="19">
        <f t="shared" si="340"/>
        <v>11</v>
      </c>
      <c r="R1630" s="2" t="str">
        <f t="shared" si="341"/>
        <v>Number</v>
      </c>
      <c r="S1630" s="2">
        <v>5.99</v>
      </c>
      <c r="T1630" s="19">
        <f t="shared" si="342"/>
        <v>5.99</v>
      </c>
      <c r="U1630" s="2">
        <v>49.98</v>
      </c>
      <c r="V1630" s="19">
        <f t="shared" si="343"/>
        <v>49.98</v>
      </c>
      <c r="W1630" s="19">
        <f t="shared" si="344"/>
        <v>49.980000000000004</v>
      </c>
      <c r="X1630" s="19" t="str">
        <f t="shared" si="345"/>
        <v>True</v>
      </c>
      <c r="Y1630" s="19" t="str">
        <f>IF(OR(W1630&lt;'Cleaning Tasks'!$G$18,W1630&gt;'Cleaning Tasks'!$H$18),"Outlier","Normal")</f>
        <v>Normal</v>
      </c>
      <c r="Z1630" s="2" t="s">
        <v>39</v>
      </c>
      <c r="AA1630" s="2" t="s">
        <v>111</v>
      </c>
      <c r="AB1630" s="2" t="s">
        <v>41</v>
      </c>
      <c r="AC1630" s="2" t="s">
        <v>331</v>
      </c>
      <c r="AD1630" s="2"/>
      <c r="AE1630" s="2" t="str">
        <f t="shared" si="346"/>
        <v>Not Required</v>
      </c>
      <c r="AF1630" s="2" t="s">
        <v>4385</v>
      </c>
    </row>
    <row r="1631" spans="1:32" x14ac:dyDescent="0.3">
      <c r="A1631" s="2" t="s">
        <v>4386</v>
      </c>
      <c r="B1631" s="2">
        <f t="shared" si="336"/>
        <v>1</v>
      </c>
      <c r="C1631" s="12">
        <f t="shared" si="347"/>
        <v>46238.584393495366</v>
      </c>
      <c r="D1631" s="13">
        <v>46238.584393495366</v>
      </c>
      <c r="E1631" s="2" t="s">
        <v>2245</v>
      </c>
      <c r="F1631" s="2" t="str">
        <f t="shared" si="337"/>
        <v>Email Available</v>
      </c>
      <c r="G1631" s="2" t="s">
        <v>2246</v>
      </c>
      <c r="H1631" s="2" t="s">
        <v>236</v>
      </c>
      <c r="I1631" s="2" t="s">
        <v>237</v>
      </c>
      <c r="J1631" s="2" t="s">
        <v>238</v>
      </c>
      <c r="K1631" s="2">
        <v>4</v>
      </c>
      <c r="L1631" s="2">
        <v>27.99</v>
      </c>
      <c r="M1631" s="19">
        <f t="shared" si="338"/>
        <v>27.99</v>
      </c>
      <c r="N1631" s="2"/>
      <c r="O1631" s="2" t="str">
        <f t="shared" si="339"/>
        <v/>
      </c>
      <c r="P1631" s="2">
        <v>0</v>
      </c>
      <c r="Q1631" s="19">
        <f t="shared" si="340"/>
        <v>0</v>
      </c>
      <c r="R1631" s="2" t="str">
        <f t="shared" si="341"/>
        <v>Number</v>
      </c>
      <c r="S1631" s="2">
        <v>0</v>
      </c>
      <c r="T1631" s="19">
        <f t="shared" si="342"/>
        <v>0</v>
      </c>
      <c r="U1631" s="2">
        <v>111.96</v>
      </c>
      <c r="V1631" s="19">
        <f t="shared" si="343"/>
        <v>111.96</v>
      </c>
      <c r="W1631" s="19">
        <f t="shared" si="344"/>
        <v>111.96</v>
      </c>
      <c r="X1631" s="19" t="str">
        <f t="shared" si="345"/>
        <v>True</v>
      </c>
      <c r="Y1631" s="19" t="str">
        <f>IF(OR(W1631&lt;'Cleaning Tasks'!$G$18,W1631&gt;'Cleaning Tasks'!$H$18),"Outlier","Normal")</f>
        <v>Outlier</v>
      </c>
      <c r="Z1631" s="2" t="s">
        <v>39</v>
      </c>
      <c r="AA1631" s="2" t="s">
        <v>40</v>
      </c>
      <c r="AB1631" s="2" t="s">
        <v>50</v>
      </c>
      <c r="AC1631" s="2" t="s">
        <v>223</v>
      </c>
      <c r="AD1631" s="2"/>
      <c r="AE1631" s="2" t="str">
        <f t="shared" si="346"/>
        <v>Not Required</v>
      </c>
      <c r="AF1631" s="2" t="s">
        <v>4387</v>
      </c>
    </row>
    <row r="1632" spans="1:32" x14ac:dyDescent="0.3">
      <c r="A1632" s="2" t="s">
        <v>4388</v>
      </c>
      <c r="B1632" s="2">
        <f t="shared" si="336"/>
        <v>1</v>
      </c>
      <c r="C1632" s="12">
        <f t="shared" si="347"/>
        <v>46238</v>
      </c>
      <c r="D1632" s="13" t="s">
        <v>250</v>
      </c>
      <c r="E1632" s="2" t="s">
        <v>92</v>
      </c>
      <c r="F1632" s="2" t="str">
        <f t="shared" si="337"/>
        <v>Email Available</v>
      </c>
      <c r="G1632" s="2" t="s">
        <v>93</v>
      </c>
      <c r="H1632" s="2" t="s">
        <v>117</v>
      </c>
      <c r="I1632" s="2" t="s">
        <v>22</v>
      </c>
      <c r="J1632" s="2" t="s">
        <v>23</v>
      </c>
      <c r="K1632" s="2">
        <v>1</v>
      </c>
      <c r="L1632" s="2">
        <v>12.99</v>
      </c>
      <c r="M1632" s="19">
        <f t="shared" si="338"/>
        <v>12.99</v>
      </c>
      <c r="N1632" s="2" t="s">
        <v>65</v>
      </c>
      <c r="O1632" s="2" t="str">
        <f t="shared" si="339"/>
        <v>WELCOME10</v>
      </c>
      <c r="P1632" s="2">
        <v>1.3</v>
      </c>
      <c r="Q1632" s="19">
        <f t="shared" si="340"/>
        <v>1.3</v>
      </c>
      <c r="R1632" s="2" t="str">
        <f t="shared" si="341"/>
        <v>Number</v>
      </c>
      <c r="S1632" s="2">
        <v>5.99</v>
      </c>
      <c r="T1632" s="19">
        <f t="shared" si="342"/>
        <v>5.99</v>
      </c>
      <c r="U1632" s="2">
        <v>17.68</v>
      </c>
      <c r="V1632" s="19">
        <f t="shared" si="343"/>
        <v>17.68</v>
      </c>
      <c r="W1632" s="19">
        <f t="shared" si="344"/>
        <v>17.68</v>
      </c>
      <c r="X1632" s="19" t="str">
        <f t="shared" si="345"/>
        <v>True</v>
      </c>
      <c r="Y1632" s="19" t="str">
        <f>IF(OR(W1632&lt;'Cleaning Tasks'!$G$18,W1632&gt;'Cleaning Tasks'!$H$18),"Outlier","Normal")</f>
        <v>Normal</v>
      </c>
      <c r="Z1632" s="2" t="s">
        <v>26</v>
      </c>
      <c r="AA1632" s="2" t="s">
        <v>27</v>
      </c>
      <c r="AB1632" s="2" t="s">
        <v>96</v>
      </c>
      <c r="AC1632" s="2" t="s">
        <v>42</v>
      </c>
      <c r="AD1632" s="2"/>
      <c r="AE1632" s="2" t="str">
        <f t="shared" si="346"/>
        <v>Not Required</v>
      </c>
      <c r="AF1632" s="2" t="s">
        <v>4389</v>
      </c>
    </row>
    <row r="1633" spans="1:32" x14ac:dyDescent="0.3">
      <c r="A1633" s="2" t="s">
        <v>4390</v>
      </c>
      <c r="B1633" s="2">
        <f t="shared" si="336"/>
        <v>1</v>
      </c>
      <c r="C1633" s="12">
        <f t="shared" si="347"/>
        <v>46238.585543032408</v>
      </c>
      <c r="D1633" s="13">
        <v>46238.585543032408</v>
      </c>
      <c r="E1633" s="2" t="s">
        <v>150</v>
      </c>
      <c r="F1633" s="2" t="str">
        <f t="shared" si="337"/>
        <v>Email Available</v>
      </c>
      <c r="G1633" s="2" t="s">
        <v>151</v>
      </c>
      <c r="H1633" s="2" t="s">
        <v>182</v>
      </c>
      <c r="I1633" s="2" t="s">
        <v>36</v>
      </c>
      <c r="J1633" s="2" t="s">
        <v>183</v>
      </c>
      <c r="K1633" s="2">
        <v>1</v>
      </c>
      <c r="L1633" s="2">
        <v>11.99</v>
      </c>
      <c r="M1633" s="19">
        <f t="shared" si="338"/>
        <v>11.99</v>
      </c>
      <c r="N1633" s="2" t="s">
        <v>24</v>
      </c>
      <c r="O1633" s="2" t="str">
        <f t="shared" si="339"/>
        <v>SAVE20</v>
      </c>
      <c r="P1633" s="2">
        <v>2.4</v>
      </c>
      <c r="Q1633" s="19">
        <f t="shared" si="340"/>
        <v>2.4</v>
      </c>
      <c r="R1633" s="2" t="str">
        <f t="shared" si="341"/>
        <v>Number</v>
      </c>
      <c r="S1633" s="2">
        <v>4.99</v>
      </c>
      <c r="T1633" s="19">
        <f t="shared" si="342"/>
        <v>4.99</v>
      </c>
      <c r="U1633" s="2">
        <v>14.58</v>
      </c>
      <c r="V1633" s="19">
        <f t="shared" si="343"/>
        <v>14.58</v>
      </c>
      <c r="W1633" s="19">
        <f t="shared" si="344"/>
        <v>14.58</v>
      </c>
      <c r="X1633" s="19" t="str">
        <f t="shared" si="345"/>
        <v>True</v>
      </c>
      <c r="Y1633" s="19" t="str">
        <f>IF(OR(W1633&lt;'Cleaning Tasks'!$G$18,W1633&gt;'Cleaning Tasks'!$H$18),"Outlier","Normal")</f>
        <v>Normal</v>
      </c>
      <c r="Z1633" s="2" t="s">
        <v>66</v>
      </c>
      <c r="AA1633" s="2" t="s">
        <v>27</v>
      </c>
      <c r="AB1633" s="2" t="s">
        <v>50</v>
      </c>
      <c r="AC1633" s="2" t="s">
        <v>29</v>
      </c>
      <c r="AD1633" s="22" t="s">
        <v>89</v>
      </c>
      <c r="AE1633" s="2" t="str">
        <f t="shared" si="346"/>
        <v>Valid</v>
      </c>
      <c r="AF1633" s="2" t="s">
        <v>4391</v>
      </c>
    </row>
    <row r="1634" spans="1:32" x14ac:dyDescent="0.3">
      <c r="A1634" s="2" t="s">
        <v>4392</v>
      </c>
      <c r="B1634" s="2">
        <f t="shared" si="336"/>
        <v>1</v>
      </c>
      <c r="C1634" s="12">
        <f t="shared" si="347"/>
        <v>46238.579489918979</v>
      </c>
      <c r="D1634" s="13">
        <v>46238.579489918979</v>
      </c>
      <c r="E1634" s="2" t="s">
        <v>2021</v>
      </c>
      <c r="F1634" s="2" t="str">
        <f t="shared" si="337"/>
        <v>Email Available</v>
      </c>
      <c r="G1634" s="2" t="s">
        <v>2022</v>
      </c>
      <c r="H1634" s="2" t="s">
        <v>152</v>
      </c>
      <c r="I1634" s="2" t="s">
        <v>36</v>
      </c>
      <c r="J1634" s="2" t="s">
        <v>153</v>
      </c>
      <c r="K1634" s="2">
        <v>2</v>
      </c>
      <c r="L1634" s="2">
        <v>29.99</v>
      </c>
      <c r="M1634" s="19">
        <f t="shared" si="338"/>
        <v>29.99</v>
      </c>
      <c r="N1634" s="2"/>
      <c r="O1634" s="2" t="str">
        <f t="shared" si="339"/>
        <v/>
      </c>
      <c r="P1634" s="2">
        <v>0</v>
      </c>
      <c r="Q1634" s="19">
        <f t="shared" si="340"/>
        <v>0</v>
      </c>
      <c r="R1634" s="2" t="str">
        <f t="shared" si="341"/>
        <v>Number</v>
      </c>
      <c r="S1634" s="2">
        <v>5.99</v>
      </c>
      <c r="T1634" s="19">
        <f t="shared" si="342"/>
        <v>5.99</v>
      </c>
      <c r="U1634" s="2">
        <v>65.97</v>
      </c>
      <c r="V1634" s="19">
        <f t="shared" si="343"/>
        <v>65.97</v>
      </c>
      <c r="W1634" s="19">
        <f t="shared" si="344"/>
        <v>65.97</v>
      </c>
      <c r="X1634" s="19" t="str">
        <f t="shared" si="345"/>
        <v>True</v>
      </c>
      <c r="Y1634" s="19" t="str">
        <f>IF(OR(W1634&lt;'Cleaning Tasks'!$G$18,W1634&gt;'Cleaning Tasks'!$H$18),"Outlier","Normal")</f>
        <v>Normal</v>
      </c>
      <c r="Z1634" s="2" t="s">
        <v>72</v>
      </c>
      <c r="AA1634" s="2" t="s">
        <v>27</v>
      </c>
      <c r="AB1634" s="2" t="s">
        <v>50</v>
      </c>
      <c r="AC1634" s="2" t="s">
        <v>105</v>
      </c>
      <c r="AD1634" s="2"/>
      <c r="AE1634" s="2" t="str">
        <f t="shared" si="346"/>
        <v>Not Required</v>
      </c>
      <c r="AF1634" s="2" t="s">
        <v>4393</v>
      </c>
    </row>
    <row r="1635" spans="1:32" x14ac:dyDescent="0.3">
      <c r="A1635" s="2" t="s">
        <v>4394</v>
      </c>
      <c r="B1635" s="2">
        <f t="shared" si="336"/>
        <v>1</v>
      </c>
      <c r="C1635" s="12">
        <f t="shared" si="347"/>
        <v>46238</v>
      </c>
      <c r="D1635" s="13" t="s">
        <v>2750</v>
      </c>
      <c r="E1635" s="2" t="s">
        <v>347</v>
      </c>
      <c r="F1635" s="2" t="str">
        <f t="shared" si="337"/>
        <v>Email Available</v>
      </c>
      <c r="G1635" s="2" t="s">
        <v>348</v>
      </c>
      <c r="H1635" s="2" t="s">
        <v>190</v>
      </c>
      <c r="I1635" s="2" t="s">
        <v>191</v>
      </c>
      <c r="J1635" s="2" t="s">
        <v>192</v>
      </c>
      <c r="K1635" s="2">
        <v>1</v>
      </c>
      <c r="L1635" s="2">
        <v>13.49</v>
      </c>
      <c r="M1635" s="19">
        <f t="shared" si="338"/>
        <v>13.49</v>
      </c>
      <c r="N1635" s="2"/>
      <c r="O1635" s="2" t="str">
        <f t="shared" si="339"/>
        <v/>
      </c>
      <c r="P1635" s="2">
        <v>0</v>
      </c>
      <c r="Q1635" s="19">
        <f t="shared" si="340"/>
        <v>0</v>
      </c>
      <c r="R1635" s="2" t="str">
        <f t="shared" si="341"/>
        <v>Number</v>
      </c>
      <c r="S1635" s="2">
        <v>5.99</v>
      </c>
      <c r="T1635" s="19">
        <f t="shared" si="342"/>
        <v>5.99</v>
      </c>
      <c r="U1635" s="2">
        <v>19.48</v>
      </c>
      <c r="V1635" s="19">
        <f t="shared" si="343"/>
        <v>19.48</v>
      </c>
      <c r="W1635" s="19">
        <f t="shared" si="344"/>
        <v>19.48</v>
      </c>
      <c r="X1635" s="19" t="str">
        <f t="shared" si="345"/>
        <v>True</v>
      </c>
      <c r="Y1635" s="19" t="str">
        <f>IF(OR(W1635&lt;'Cleaning Tasks'!$G$18,W1635&gt;'Cleaning Tasks'!$H$18),"Outlier","Normal")</f>
        <v>Normal</v>
      </c>
      <c r="Z1635" s="2" t="s">
        <v>66</v>
      </c>
      <c r="AA1635" s="2" t="s">
        <v>27</v>
      </c>
      <c r="AB1635" s="2" t="s">
        <v>28</v>
      </c>
      <c r="AC1635" s="2" t="s">
        <v>223</v>
      </c>
      <c r="AD1635" s="2"/>
      <c r="AE1635" s="2" t="str">
        <f t="shared" si="346"/>
        <v>Not Required</v>
      </c>
      <c r="AF1635" s="2" t="s">
        <v>4395</v>
      </c>
    </row>
    <row r="1636" spans="1:32" x14ac:dyDescent="0.3">
      <c r="A1636" s="2" t="s">
        <v>4396</v>
      </c>
      <c r="B1636" s="2">
        <f t="shared" si="336"/>
        <v>1</v>
      </c>
      <c r="C1636" s="12">
        <f t="shared" si="347"/>
        <v>46238.586334039363</v>
      </c>
      <c r="D1636" s="13">
        <v>46238.586334039363</v>
      </c>
      <c r="E1636" s="2" t="s">
        <v>673</v>
      </c>
      <c r="F1636" s="2" t="str">
        <f t="shared" si="337"/>
        <v>Email Available</v>
      </c>
      <c r="G1636" s="2" t="s">
        <v>674</v>
      </c>
      <c r="H1636" s="2" t="s">
        <v>146</v>
      </c>
      <c r="I1636" s="2" t="s">
        <v>47</v>
      </c>
      <c r="J1636" s="2" t="s">
        <v>147</v>
      </c>
      <c r="K1636" s="2">
        <v>1</v>
      </c>
      <c r="L1636" s="2">
        <v>34.99</v>
      </c>
      <c r="M1636" s="19">
        <f t="shared" si="338"/>
        <v>34.99</v>
      </c>
      <c r="N1636" s="2"/>
      <c r="O1636" s="2" t="str">
        <f t="shared" si="339"/>
        <v/>
      </c>
      <c r="P1636" s="2">
        <v>0</v>
      </c>
      <c r="Q1636" s="19">
        <f t="shared" si="340"/>
        <v>0</v>
      </c>
      <c r="R1636" s="2" t="str">
        <f t="shared" si="341"/>
        <v>Number</v>
      </c>
      <c r="S1636" s="2">
        <v>7.99</v>
      </c>
      <c r="T1636" s="19">
        <f t="shared" si="342"/>
        <v>7.99</v>
      </c>
      <c r="U1636" s="2">
        <v>42.98</v>
      </c>
      <c r="V1636" s="19">
        <f t="shared" si="343"/>
        <v>42.98</v>
      </c>
      <c r="W1636" s="19">
        <f t="shared" si="344"/>
        <v>42.980000000000004</v>
      </c>
      <c r="X1636" s="19" t="str">
        <f t="shared" si="345"/>
        <v>True</v>
      </c>
      <c r="Y1636" s="19" t="str">
        <f>IF(OR(W1636&lt;'Cleaning Tasks'!$G$18,W1636&gt;'Cleaning Tasks'!$H$18),"Outlier","Normal")</f>
        <v>Normal</v>
      </c>
      <c r="Z1636" s="2" t="s">
        <v>26</v>
      </c>
      <c r="AA1636" s="2" t="s">
        <v>27</v>
      </c>
      <c r="AB1636" s="2" t="s">
        <v>50</v>
      </c>
      <c r="AC1636" s="2" t="s">
        <v>73</v>
      </c>
      <c r="AD1636" s="2"/>
      <c r="AE1636" s="2" t="str">
        <f t="shared" si="346"/>
        <v>Not Required</v>
      </c>
      <c r="AF1636" s="2" t="s">
        <v>4397</v>
      </c>
    </row>
    <row r="1637" spans="1:32" x14ac:dyDescent="0.3">
      <c r="A1637" s="2" t="s">
        <v>4398</v>
      </c>
      <c r="B1637" s="2">
        <f t="shared" si="336"/>
        <v>1</v>
      </c>
      <c r="C1637" s="12">
        <f t="shared" si="347"/>
        <v>46238</v>
      </c>
      <c r="D1637" s="13" t="s">
        <v>338</v>
      </c>
      <c r="E1637" s="2" t="s">
        <v>843</v>
      </c>
      <c r="F1637" s="2" t="str">
        <f t="shared" si="337"/>
        <v>Email Available</v>
      </c>
      <c r="G1637" s="2" t="s">
        <v>844</v>
      </c>
      <c r="H1637" s="2" t="s">
        <v>361</v>
      </c>
      <c r="I1637" s="2" t="s">
        <v>86</v>
      </c>
      <c r="J1637" s="2" t="s">
        <v>362</v>
      </c>
      <c r="K1637" s="2">
        <v>1</v>
      </c>
      <c r="L1637" s="2">
        <v>54.99</v>
      </c>
      <c r="M1637" s="19">
        <f t="shared" si="338"/>
        <v>54.99</v>
      </c>
      <c r="N1637" s="2" t="s">
        <v>24</v>
      </c>
      <c r="O1637" s="2" t="str">
        <f t="shared" si="339"/>
        <v>SAVE20</v>
      </c>
      <c r="P1637" s="2">
        <v>11</v>
      </c>
      <c r="Q1637" s="19">
        <f t="shared" si="340"/>
        <v>11</v>
      </c>
      <c r="R1637" s="2" t="str">
        <f t="shared" si="341"/>
        <v>Number</v>
      </c>
      <c r="S1637" s="2">
        <v>5.99</v>
      </c>
      <c r="T1637" s="19">
        <f t="shared" si="342"/>
        <v>5.99</v>
      </c>
      <c r="U1637" s="2">
        <v>49.98</v>
      </c>
      <c r="V1637" s="19">
        <f t="shared" si="343"/>
        <v>49.98</v>
      </c>
      <c r="W1637" s="19">
        <f t="shared" si="344"/>
        <v>49.980000000000004</v>
      </c>
      <c r="X1637" s="19" t="str">
        <f t="shared" si="345"/>
        <v>True</v>
      </c>
      <c r="Y1637" s="19" t="str">
        <f>IF(OR(W1637&lt;'Cleaning Tasks'!$G$18,W1637&gt;'Cleaning Tasks'!$H$18),"Outlier","Normal")</f>
        <v>Normal</v>
      </c>
      <c r="Z1637" s="2" t="s">
        <v>66</v>
      </c>
      <c r="AA1637" s="2" t="s">
        <v>88</v>
      </c>
      <c r="AB1637" s="2" t="s">
        <v>50</v>
      </c>
      <c r="AC1637" s="2" t="s">
        <v>29</v>
      </c>
      <c r="AD1637" s="22" t="s">
        <v>58</v>
      </c>
      <c r="AE1637" s="2" t="str">
        <f t="shared" si="346"/>
        <v>Valid</v>
      </c>
      <c r="AF1637" s="2" t="s">
        <v>4399</v>
      </c>
    </row>
    <row r="1638" spans="1:32" x14ac:dyDescent="0.3">
      <c r="A1638" s="2" t="s">
        <v>4400</v>
      </c>
      <c r="B1638" s="2">
        <f t="shared" si="336"/>
        <v>1</v>
      </c>
      <c r="C1638" s="12">
        <f t="shared" si="347"/>
        <v>46238.586912152779</v>
      </c>
      <c r="D1638" s="13">
        <v>46238.586912152779</v>
      </c>
      <c r="E1638" s="2" t="s">
        <v>787</v>
      </c>
      <c r="F1638" s="2" t="str">
        <f t="shared" si="337"/>
        <v>Email Available</v>
      </c>
      <c r="G1638" s="2" t="s">
        <v>788</v>
      </c>
      <c r="H1638" s="2" t="s">
        <v>236</v>
      </c>
      <c r="I1638" s="2" t="s">
        <v>237</v>
      </c>
      <c r="J1638" s="2" t="s">
        <v>238</v>
      </c>
      <c r="K1638" s="2">
        <v>2</v>
      </c>
      <c r="L1638" s="2">
        <v>27.99</v>
      </c>
      <c r="M1638" s="19">
        <f t="shared" si="338"/>
        <v>27.99</v>
      </c>
      <c r="N1638" s="2" t="s">
        <v>38</v>
      </c>
      <c r="O1638" s="2" t="str">
        <f t="shared" si="339"/>
        <v>FREESHIP</v>
      </c>
      <c r="P1638" s="2">
        <v>0</v>
      </c>
      <c r="Q1638" s="19">
        <f t="shared" si="340"/>
        <v>0</v>
      </c>
      <c r="R1638" s="2" t="str">
        <f t="shared" si="341"/>
        <v>Number</v>
      </c>
      <c r="S1638" s="2">
        <v>0</v>
      </c>
      <c r="T1638" s="19">
        <f t="shared" si="342"/>
        <v>0</v>
      </c>
      <c r="U1638" s="2">
        <v>55.98</v>
      </c>
      <c r="V1638" s="19">
        <f t="shared" si="343"/>
        <v>55.98</v>
      </c>
      <c r="W1638" s="19">
        <f t="shared" si="344"/>
        <v>55.98</v>
      </c>
      <c r="X1638" s="19" t="str">
        <f t="shared" si="345"/>
        <v>True</v>
      </c>
      <c r="Y1638" s="19" t="str">
        <f>IF(OR(W1638&lt;'Cleaning Tasks'!$G$18,W1638&gt;'Cleaning Tasks'!$H$18),"Outlier","Normal")</f>
        <v>Normal</v>
      </c>
      <c r="Z1638" s="2" t="s">
        <v>39</v>
      </c>
      <c r="AA1638" s="2" t="s">
        <v>27</v>
      </c>
      <c r="AB1638" s="2" t="s">
        <v>50</v>
      </c>
      <c r="AC1638" s="2" t="s">
        <v>331</v>
      </c>
      <c r="AD1638" s="2"/>
      <c r="AE1638" s="2" t="str">
        <f t="shared" si="346"/>
        <v>Not Required</v>
      </c>
      <c r="AF1638" s="2" t="s">
        <v>4401</v>
      </c>
    </row>
    <row r="1639" spans="1:32" x14ac:dyDescent="0.3">
      <c r="A1639" s="2" t="s">
        <v>4402</v>
      </c>
      <c r="B1639" s="2">
        <f t="shared" si="336"/>
        <v>1</v>
      </c>
      <c r="C1639" s="12">
        <f t="shared" si="347"/>
        <v>46238.586445115739</v>
      </c>
      <c r="D1639" s="13">
        <v>46238.586445115739</v>
      </c>
      <c r="E1639" s="2" t="s">
        <v>1701</v>
      </c>
      <c r="F1639" s="2" t="str">
        <f t="shared" si="337"/>
        <v>Email Available</v>
      </c>
      <c r="G1639" s="2" t="s">
        <v>598</v>
      </c>
      <c r="H1639" s="2" t="s">
        <v>35</v>
      </c>
      <c r="I1639" s="2" t="s">
        <v>36</v>
      </c>
      <c r="J1639" s="2" t="s">
        <v>37</v>
      </c>
      <c r="K1639" s="2">
        <v>1</v>
      </c>
      <c r="L1639" s="2">
        <v>21.99</v>
      </c>
      <c r="M1639" s="19">
        <f t="shared" si="338"/>
        <v>21.99</v>
      </c>
      <c r="N1639" s="2"/>
      <c r="O1639" s="2" t="str">
        <f t="shared" si="339"/>
        <v/>
      </c>
      <c r="P1639" s="2">
        <v>0</v>
      </c>
      <c r="Q1639" s="19">
        <f t="shared" si="340"/>
        <v>0</v>
      </c>
      <c r="R1639" s="2" t="str">
        <f t="shared" si="341"/>
        <v>Number</v>
      </c>
      <c r="S1639" s="2">
        <v>7.99</v>
      </c>
      <c r="T1639" s="19">
        <f t="shared" si="342"/>
        <v>7.99</v>
      </c>
      <c r="U1639" s="2">
        <v>29.98</v>
      </c>
      <c r="V1639" s="19">
        <f t="shared" si="343"/>
        <v>29.98</v>
      </c>
      <c r="W1639" s="19">
        <f t="shared" si="344"/>
        <v>29.979999999999997</v>
      </c>
      <c r="X1639" s="19" t="str">
        <f t="shared" si="345"/>
        <v>True</v>
      </c>
      <c r="Y1639" s="19" t="str">
        <f>IF(OR(W1639&lt;'Cleaning Tasks'!$G$18,W1639&gt;'Cleaning Tasks'!$H$18),"Outlier","Normal")</f>
        <v>Normal</v>
      </c>
      <c r="Z1639" s="2" t="s">
        <v>26</v>
      </c>
      <c r="AA1639" s="2" t="s">
        <v>27</v>
      </c>
      <c r="AB1639" s="2" t="s">
        <v>50</v>
      </c>
      <c r="AC1639" s="2" t="s">
        <v>29</v>
      </c>
      <c r="AD1639" s="2" t="s">
        <v>447</v>
      </c>
      <c r="AE1639" s="2" t="str">
        <f t="shared" si="346"/>
        <v>Valid</v>
      </c>
      <c r="AF1639" s="2" t="s">
        <v>4403</v>
      </c>
    </row>
    <row r="1640" spans="1:32" x14ac:dyDescent="0.3">
      <c r="A1640" s="2" t="s">
        <v>4404</v>
      </c>
      <c r="B1640" s="2">
        <f t="shared" si="336"/>
        <v>1</v>
      </c>
      <c r="C1640" s="12">
        <f t="shared" si="347"/>
        <v>46238.581741793983</v>
      </c>
      <c r="D1640" s="13">
        <v>46238.581741793983</v>
      </c>
      <c r="E1640" s="2" t="s">
        <v>329</v>
      </c>
      <c r="F1640" s="2" t="str">
        <f t="shared" si="337"/>
        <v>Email Available</v>
      </c>
      <c r="G1640" s="2" t="s">
        <v>330</v>
      </c>
      <c r="H1640" s="2" t="s">
        <v>221</v>
      </c>
      <c r="I1640" s="2" t="s">
        <v>22</v>
      </c>
      <c r="J1640" s="2" t="s">
        <v>222</v>
      </c>
      <c r="K1640" s="2">
        <v>2</v>
      </c>
      <c r="L1640" s="2">
        <v>17.989999999999998</v>
      </c>
      <c r="M1640" s="19">
        <f t="shared" si="338"/>
        <v>17.989999999999998</v>
      </c>
      <c r="N1640" s="2"/>
      <c r="O1640" s="2" t="str">
        <f t="shared" si="339"/>
        <v/>
      </c>
      <c r="P1640" s="2">
        <v>0</v>
      </c>
      <c r="Q1640" s="19">
        <f t="shared" si="340"/>
        <v>0</v>
      </c>
      <c r="R1640" s="2" t="str">
        <f t="shared" si="341"/>
        <v>Number</v>
      </c>
      <c r="S1640" s="2">
        <v>4.99</v>
      </c>
      <c r="T1640" s="19">
        <f t="shared" si="342"/>
        <v>4.99</v>
      </c>
      <c r="U1640" s="2">
        <v>40.97</v>
      </c>
      <c r="V1640" s="19">
        <f t="shared" si="343"/>
        <v>40.97</v>
      </c>
      <c r="W1640" s="19">
        <f t="shared" si="344"/>
        <v>40.97</v>
      </c>
      <c r="X1640" s="19" t="str">
        <f t="shared" si="345"/>
        <v>True</v>
      </c>
      <c r="Y1640" s="19" t="str">
        <f>IF(OR(W1640&lt;'Cleaning Tasks'!$G$18,W1640&gt;'Cleaning Tasks'!$H$18),"Outlier","Normal")</f>
        <v>Normal</v>
      </c>
      <c r="Z1640" s="2" t="s">
        <v>49</v>
      </c>
      <c r="AA1640" s="2" t="s">
        <v>27</v>
      </c>
      <c r="AB1640" s="2" t="s">
        <v>96</v>
      </c>
      <c r="AC1640" s="2" t="s">
        <v>331</v>
      </c>
      <c r="AD1640" s="2"/>
      <c r="AE1640" s="2" t="str">
        <f t="shared" si="346"/>
        <v>Not Required</v>
      </c>
      <c r="AF1640" s="2" t="s">
        <v>4405</v>
      </c>
    </row>
    <row r="1641" spans="1:32" x14ac:dyDescent="0.3">
      <c r="A1641" s="2" t="s">
        <v>4406</v>
      </c>
      <c r="B1641" s="2">
        <f t="shared" si="336"/>
        <v>1</v>
      </c>
      <c r="C1641" s="12">
        <f t="shared" si="347"/>
        <v>46238.585586273148</v>
      </c>
      <c r="D1641" s="13">
        <v>46238.585586273148</v>
      </c>
      <c r="E1641" s="2" t="s">
        <v>647</v>
      </c>
      <c r="F1641" s="2" t="str">
        <f t="shared" si="337"/>
        <v>Email Available</v>
      </c>
      <c r="G1641" s="2" t="s">
        <v>648</v>
      </c>
      <c r="H1641" s="2" t="s">
        <v>166</v>
      </c>
      <c r="I1641" s="2" t="s">
        <v>103</v>
      </c>
      <c r="J1641" s="2" t="s">
        <v>167</v>
      </c>
      <c r="K1641" s="2">
        <v>1</v>
      </c>
      <c r="L1641" s="2">
        <v>32.99</v>
      </c>
      <c r="M1641" s="19">
        <f t="shared" si="338"/>
        <v>32.99</v>
      </c>
      <c r="N1641" s="2" t="s">
        <v>38</v>
      </c>
      <c r="O1641" s="2" t="str">
        <f t="shared" si="339"/>
        <v>FREESHIP</v>
      </c>
      <c r="P1641" s="2">
        <v>0</v>
      </c>
      <c r="Q1641" s="19">
        <f t="shared" si="340"/>
        <v>0</v>
      </c>
      <c r="R1641" s="2" t="str">
        <f t="shared" si="341"/>
        <v>Number</v>
      </c>
      <c r="S1641" s="2">
        <v>0</v>
      </c>
      <c r="T1641" s="19">
        <f t="shared" si="342"/>
        <v>0</v>
      </c>
      <c r="U1641" s="2">
        <v>32.99</v>
      </c>
      <c r="V1641" s="19">
        <f t="shared" si="343"/>
        <v>32.99</v>
      </c>
      <c r="W1641" s="19">
        <f t="shared" si="344"/>
        <v>32.99</v>
      </c>
      <c r="X1641" s="19" t="str">
        <f t="shared" si="345"/>
        <v>True</v>
      </c>
      <c r="Y1641" s="19" t="str">
        <f>IF(OR(W1641&lt;'Cleaning Tasks'!$G$18,W1641&gt;'Cleaning Tasks'!$H$18),"Outlier","Normal")</f>
        <v>Normal</v>
      </c>
      <c r="Z1641" s="2" t="s">
        <v>26</v>
      </c>
      <c r="AA1641" s="2" t="s">
        <v>27</v>
      </c>
      <c r="AB1641" s="2" t="s">
        <v>50</v>
      </c>
      <c r="AC1641" s="2" t="s">
        <v>223</v>
      </c>
      <c r="AD1641" s="2"/>
      <c r="AE1641" s="2" t="str">
        <f t="shared" si="346"/>
        <v>Not Required</v>
      </c>
      <c r="AF1641" s="2" t="s">
        <v>4407</v>
      </c>
    </row>
    <row r="1642" spans="1:32" x14ac:dyDescent="0.3">
      <c r="A1642" s="2" t="s">
        <v>4408</v>
      </c>
      <c r="B1642" s="2">
        <f t="shared" si="336"/>
        <v>1</v>
      </c>
      <c r="C1642" s="12">
        <f t="shared" si="347"/>
        <v>46238.583488657408</v>
      </c>
      <c r="D1642" s="13">
        <v>46238.583488657408</v>
      </c>
      <c r="E1642" s="2" t="s">
        <v>160</v>
      </c>
      <c r="F1642" s="2" t="str">
        <f t="shared" si="337"/>
        <v>Email Available</v>
      </c>
      <c r="G1642" s="2" t="s">
        <v>161</v>
      </c>
      <c r="H1642" s="2" t="s">
        <v>130</v>
      </c>
      <c r="I1642" s="2" t="s">
        <v>103</v>
      </c>
      <c r="J1642" s="2" t="s">
        <v>131</v>
      </c>
      <c r="K1642" s="2">
        <v>1</v>
      </c>
      <c r="L1642" s="2">
        <v>16.989999999999998</v>
      </c>
      <c r="M1642" s="19">
        <f t="shared" si="338"/>
        <v>16.989999999999998</v>
      </c>
      <c r="N1642" s="2" t="s">
        <v>38</v>
      </c>
      <c r="O1642" s="2" t="str">
        <f t="shared" si="339"/>
        <v>FREESHIP</v>
      </c>
      <c r="P1642" s="2">
        <v>0</v>
      </c>
      <c r="Q1642" s="19">
        <f t="shared" si="340"/>
        <v>0</v>
      </c>
      <c r="R1642" s="2" t="str">
        <f t="shared" si="341"/>
        <v>Number</v>
      </c>
      <c r="S1642" s="2">
        <v>0</v>
      </c>
      <c r="T1642" s="19">
        <f t="shared" si="342"/>
        <v>0</v>
      </c>
      <c r="U1642" s="2">
        <v>16.989999999999998</v>
      </c>
      <c r="V1642" s="19">
        <f t="shared" si="343"/>
        <v>16.989999999999998</v>
      </c>
      <c r="W1642" s="19">
        <f t="shared" si="344"/>
        <v>16.989999999999998</v>
      </c>
      <c r="X1642" s="19" t="str">
        <f t="shared" si="345"/>
        <v>True</v>
      </c>
      <c r="Y1642" s="19" t="str">
        <f>IF(OR(W1642&lt;'Cleaning Tasks'!$G$18,W1642&gt;'Cleaning Tasks'!$H$18),"Outlier","Normal")</f>
        <v>Normal</v>
      </c>
      <c r="Z1642" s="2" t="s">
        <v>72</v>
      </c>
      <c r="AA1642" s="2" t="s">
        <v>111</v>
      </c>
      <c r="AB1642" s="2" t="s">
        <v>96</v>
      </c>
      <c r="AC1642" s="2" t="s">
        <v>29</v>
      </c>
      <c r="AD1642" s="2" t="s">
        <v>58</v>
      </c>
      <c r="AE1642" s="2" t="str">
        <f t="shared" si="346"/>
        <v>Valid</v>
      </c>
      <c r="AF1642" s="2" t="s">
        <v>4409</v>
      </c>
    </row>
    <row r="1643" spans="1:32" x14ac:dyDescent="0.3">
      <c r="A1643" s="2" t="s">
        <v>4410</v>
      </c>
      <c r="B1643" s="2">
        <f t="shared" si="336"/>
        <v>1</v>
      </c>
      <c r="C1643" s="12">
        <f t="shared" ref="C1643:C1674" si="348">IF(ISNUMBER(D1643),D1643,DATEVALUE(SUBSTITUTE(TRIM(D1643),CHAR(160)," ")))</f>
        <v>46238.579086076388</v>
      </c>
      <c r="D1643" s="13">
        <v>46238.579086076388</v>
      </c>
      <c r="E1643" s="2" t="s">
        <v>1400</v>
      </c>
      <c r="F1643" s="2" t="str">
        <f t="shared" si="337"/>
        <v>Email Available</v>
      </c>
      <c r="G1643" s="2" t="s">
        <v>1401</v>
      </c>
      <c r="H1643" s="2" t="s">
        <v>152</v>
      </c>
      <c r="I1643" s="2" t="s">
        <v>36</v>
      </c>
      <c r="J1643" s="2" t="s">
        <v>153</v>
      </c>
      <c r="K1643" s="2">
        <v>1</v>
      </c>
      <c r="L1643" s="2">
        <v>29.99</v>
      </c>
      <c r="M1643" s="19">
        <f t="shared" si="338"/>
        <v>29.99</v>
      </c>
      <c r="N1643" s="2"/>
      <c r="O1643" s="2" t="str">
        <f t="shared" si="339"/>
        <v/>
      </c>
      <c r="P1643" s="2">
        <v>0</v>
      </c>
      <c r="Q1643" s="19">
        <f t="shared" si="340"/>
        <v>0</v>
      </c>
      <c r="R1643" s="2" t="str">
        <f t="shared" si="341"/>
        <v>Number</v>
      </c>
      <c r="S1643" s="2">
        <v>4.99</v>
      </c>
      <c r="T1643" s="19">
        <f t="shared" si="342"/>
        <v>4.99</v>
      </c>
      <c r="U1643" s="2">
        <v>34.979999999999997</v>
      </c>
      <c r="V1643" s="19">
        <f t="shared" si="343"/>
        <v>34.979999999999997</v>
      </c>
      <c r="W1643" s="19">
        <f t="shared" si="344"/>
        <v>34.979999999999997</v>
      </c>
      <c r="X1643" s="19" t="str">
        <f t="shared" si="345"/>
        <v>True</v>
      </c>
      <c r="Y1643" s="19" t="str">
        <f>IF(OR(W1643&lt;'Cleaning Tasks'!$G$18,W1643&gt;'Cleaning Tasks'!$H$18),"Outlier","Normal")</f>
        <v>Normal</v>
      </c>
      <c r="Z1643" s="2" t="s">
        <v>26</v>
      </c>
      <c r="AA1643" s="2" t="s">
        <v>88</v>
      </c>
      <c r="AB1643" s="2" t="s">
        <v>50</v>
      </c>
      <c r="AC1643" s="2" t="s">
        <v>105</v>
      </c>
      <c r="AD1643" s="2"/>
      <c r="AE1643" s="2" t="str">
        <f t="shared" si="346"/>
        <v>Not Required</v>
      </c>
      <c r="AF1643" s="2" t="s">
        <v>4411</v>
      </c>
    </row>
    <row r="1644" spans="1:32" x14ac:dyDescent="0.3">
      <c r="A1644" s="2" t="s">
        <v>4412</v>
      </c>
      <c r="B1644" s="2">
        <f t="shared" si="336"/>
        <v>1</v>
      </c>
      <c r="C1644" s="12">
        <f t="shared" si="348"/>
        <v>46238.580747835651</v>
      </c>
      <c r="D1644" s="13">
        <v>46238.580747835651</v>
      </c>
      <c r="E1644" s="2" t="s">
        <v>1818</v>
      </c>
      <c r="F1644" s="2" t="str">
        <f t="shared" si="337"/>
        <v>Email Available</v>
      </c>
      <c r="G1644" s="2" t="s">
        <v>1819</v>
      </c>
      <c r="H1644" s="2" t="s">
        <v>56</v>
      </c>
      <c r="I1644" s="2" t="s">
        <v>22</v>
      </c>
      <c r="J1644" s="2" t="s">
        <v>57</v>
      </c>
      <c r="K1644" s="2">
        <v>2</v>
      </c>
      <c r="L1644" s="2">
        <v>9.99</v>
      </c>
      <c r="M1644" s="19">
        <f t="shared" si="338"/>
        <v>9.99</v>
      </c>
      <c r="N1644" s="2"/>
      <c r="O1644" s="2" t="str">
        <f t="shared" si="339"/>
        <v/>
      </c>
      <c r="P1644" s="2">
        <v>0</v>
      </c>
      <c r="Q1644" s="19">
        <f t="shared" si="340"/>
        <v>0</v>
      </c>
      <c r="R1644" s="2" t="str">
        <f t="shared" si="341"/>
        <v>Number</v>
      </c>
      <c r="S1644" s="2">
        <v>5.99</v>
      </c>
      <c r="T1644" s="19">
        <f t="shared" si="342"/>
        <v>5.99</v>
      </c>
      <c r="U1644" s="2">
        <v>25.97</v>
      </c>
      <c r="V1644" s="19">
        <f t="shared" si="343"/>
        <v>25.97</v>
      </c>
      <c r="W1644" s="19">
        <f t="shared" si="344"/>
        <v>25.97</v>
      </c>
      <c r="X1644" s="19" t="str">
        <f t="shared" si="345"/>
        <v>True</v>
      </c>
      <c r="Y1644" s="19" t="str">
        <f>IF(OR(W1644&lt;'Cleaning Tasks'!$G$18,W1644&gt;'Cleaning Tasks'!$H$18),"Outlier","Normal")</f>
        <v>Normal</v>
      </c>
      <c r="Z1644" s="2" t="s">
        <v>72</v>
      </c>
      <c r="AA1644" s="2" t="s">
        <v>27</v>
      </c>
      <c r="AB1644" s="2" t="s">
        <v>50</v>
      </c>
      <c r="AC1644" s="2" t="s">
        <v>105</v>
      </c>
      <c r="AD1644" s="2"/>
      <c r="AE1644" s="2" t="str">
        <f t="shared" si="346"/>
        <v>Not Required</v>
      </c>
      <c r="AF1644" s="2" t="s">
        <v>3354</v>
      </c>
    </row>
    <row r="1645" spans="1:32" x14ac:dyDescent="0.3">
      <c r="A1645" s="2" t="s">
        <v>4413</v>
      </c>
      <c r="B1645" s="2">
        <f t="shared" si="336"/>
        <v>1</v>
      </c>
      <c r="C1645" s="12">
        <f t="shared" si="348"/>
        <v>46238.585145567129</v>
      </c>
      <c r="D1645" s="13">
        <v>46238.585145567129</v>
      </c>
      <c r="E1645" s="2" t="s">
        <v>895</v>
      </c>
      <c r="F1645" s="2" t="str">
        <f t="shared" si="337"/>
        <v>Email Available</v>
      </c>
      <c r="G1645" s="2" t="s">
        <v>896</v>
      </c>
      <c r="H1645" s="2" t="s">
        <v>124</v>
      </c>
      <c r="I1645" s="2" t="s">
        <v>79</v>
      </c>
      <c r="J1645" s="2" t="s">
        <v>125</v>
      </c>
      <c r="K1645" s="2">
        <v>3</v>
      </c>
      <c r="L1645" s="2">
        <v>13.99</v>
      </c>
      <c r="M1645" s="19">
        <f t="shared" si="338"/>
        <v>13.99</v>
      </c>
      <c r="N1645" s="2" t="s">
        <v>38</v>
      </c>
      <c r="O1645" s="2" t="str">
        <f t="shared" si="339"/>
        <v>FREESHIP</v>
      </c>
      <c r="P1645" s="2" t="s">
        <v>184</v>
      </c>
      <c r="Q1645" s="19">
        <f t="shared" si="340"/>
        <v>0</v>
      </c>
      <c r="R1645" s="2" t="str">
        <f t="shared" si="341"/>
        <v>Number</v>
      </c>
      <c r="S1645" s="2">
        <v>0</v>
      </c>
      <c r="T1645" s="19">
        <f t="shared" si="342"/>
        <v>0</v>
      </c>
      <c r="U1645" s="2">
        <v>41.97</v>
      </c>
      <c r="V1645" s="19">
        <f t="shared" si="343"/>
        <v>41.97</v>
      </c>
      <c r="W1645" s="19">
        <f t="shared" si="344"/>
        <v>41.97</v>
      </c>
      <c r="X1645" s="19" t="str">
        <f t="shared" si="345"/>
        <v>True</v>
      </c>
      <c r="Y1645" s="19" t="str">
        <f>IF(OR(W1645&lt;'Cleaning Tasks'!$G$18,W1645&gt;'Cleaning Tasks'!$H$18),"Outlier","Normal")</f>
        <v>Normal</v>
      </c>
      <c r="Z1645" s="2" t="s">
        <v>72</v>
      </c>
      <c r="AA1645" s="2" t="s">
        <v>88</v>
      </c>
      <c r="AB1645" s="2" t="s">
        <v>41</v>
      </c>
      <c r="AC1645" s="2" t="s">
        <v>29</v>
      </c>
      <c r="AD1645" s="2" t="s">
        <v>67</v>
      </c>
      <c r="AE1645" s="2" t="str">
        <f t="shared" si="346"/>
        <v>Valid</v>
      </c>
      <c r="AF1645" s="2" t="s">
        <v>4414</v>
      </c>
    </row>
    <row r="1646" spans="1:32" x14ac:dyDescent="0.3">
      <c r="A1646" s="2" t="s">
        <v>4415</v>
      </c>
      <c r="B1646" s="2">
        <f t="shared" si="336"/>
        <v>1</v>
      </c>
      <c r="C1646" s="12">
        <f t="shared" si="348"/>
        <v>46238.580938703701</v>
      </c>
      <c r="D1646" s="13">
        <v>46238.580938703701</v>
      </c>
      <c r="E1646" s="2" t="s">
        <v>915</v>
      </c>
      <c r="F1646" s="2" t="str">
        <f t="shared" si="337"/>
        <v>Email Available</v>
      </c>
      <c r="G1646" s="2" t="s">
        <v>916</v>
      </c>
      <c r="H1646" s="2" t="s">
        <v>63</v>
      </c>
      <c r="I1646" s="2" t="s">
        <v>47</v>
      </c>
      <c r="J1646" s="2" t="s">
        <v>64</v>
      </c>
      <c r="K1646" s="2">
        <v>1</v>
      </c>
      <c r="L1646" s="2">
        <v>14.99</v>
      </c>
      <c r="M1646" s="19">
        <f t="shared" si="338"/>
        <v>14.99</v>
      </c>
      <c r="N1646" s="2"/>
      <c r="O1646" s="2" t="str">
        <f t="shared" si="339"/>
        <v/>
      </c>
      <c r="P1646" s="2">
        <v>0</v>
      </c>
      <c r="Q1646" s="19">
        <f t="shared" si="340"/>
        <v>0</v>
      </c>
      <c r="R1646" s="2" t="str">
        <f t="shared" si="341"/>
        <v>Number</v>
      </c>
      <c r="S1646" s="2">
        <v>4.99</v>
      </c>
      <c r="T1646" s="19">
        <f t="shared" si="342"/>
        <v>4.99</v>
      </c>
      <c r="U1646" s="2">
        <v>19.98</v>
      </c>
      <c r="V1646" s="19">
        <f t="shared" si="343"/>
        <v>19.98</v>
      </c>
      <c r="W1646" s="19">
        <f t="shared" si="344"/>
        <v>19.98</v>
      </c>
      <c r="X1646" s="19" t="str">
        <f t="shared" si="345"/>
        <v>True</v>
      </c>
      <c r="Y1646" s="19" t="str">
        <f>IF(OR(W1646&lt;'Cleaning Tasks'!$G$18,W1646&gt;'Cleaning Tasks'!$H$18),"Outlier","Normal")</f>
        <v>Normal</v>
      </c>
      <c r="Z1646" s="2" t="s">
        <v>39</v>
      </c>
      <c r="AA1646" s="2" t="s">
        <v>88</v>
      </c>
      <c r="AB1646" s="2" t="s">
        <v>28</v>
      </c>
      <c r="AC1646" s="2" t="s">
        <v>29</v>
      </c>
      <c r="AD1646" s="22" t="s">
        <v>341</v>
      </c>
      <c r="AE1646" s="2" t="str">
        <f t="shared" si="346"/>
        <v>Valid</v>
      </c>
      <c r="AF1646" s="2" t="s">
        <v>4416</v>
      </c>
    </row>
    <row r="1647" spans="1:32" x14ac:dyDescent="0.3">
      <c r="A1647" s="2" t="s">
        <v>4417</v>
      </c>
      <c r="B1647" s="2">
        <f t="shared" si="336"/>
        <v>1</v>
      </c>
      <c r="C1647" s="12">
        <f t="shared" si="348"/>
        <v>46238.580699293983</v>
      </c>
      <c r="D1647" s="13">
        <v>46238.580699293983</v>
      </c>
      <c r="E1647" s="2" t="s">
        <v>417</v>
      </c>
      <c r="F1647" s="2" t="str">
        <f t="shared" si="337"/>
        <v>Email Available</v>
      </c>
      <c r="G1647" s="2" t="s">
        <v>418</v>
      </c>
      <c r="H1647" s="2" t="s">
        <v>46</v>
      </c>
      <c r="I1647" s="2" t="s">
        <v>47</v>
      </c>
      <c r="J1647" s="2" t="s">
        <v>48</v>
      </c>
      <c r="K1647" s="2">
        <v>1</v>
      </c>
      <c r="L1647" s="2">
        <v>39.99</v>
      </c>
      <c r="M1647" s="19">
        <f t="shared" si="338"/>
        <v>39.99</v>
      </c>
      <c r="N1647" s="2"/>
      <c r="O1647" s="2" t="str">
        <f t="shared" si="339"/>
        <v/>
      </c>
      <c r="P1647" s="2">
        <v>0</v>
      </c>
      <c r="Q1647" s="19">
        <f t="shared" si="340"/>
        <v>0</v>
      </c>
      <c r="R1647" s="2" t="str">
        <f t="shared" si="341"/>
        <v>Number</v>
      </c>
      <c r="S1647" s="2">
        <v>7.99</v>
      </c>
      <c r="T1647" s="19">
        <f t="shared" si="342"/>
        <v>7.99</v>
      </c>
      <c r="U1647" s="2">
        <v>47.98</v>
      </c>
      <c r="V1647" s="19">
        <f t="shared" si="343"/>
        <v>47.98</v>
      </c>
      <c r="W1647" s="19">
        <f t="shared" si="344"/>
        <v>47.980000000000004</v>
      </c>
      <c r="X1647" s="19" t="str">
        <f t="shared" si="345"/>
        <v>True</v>
      </c>
      <c r="Y1647" s="19" t="str">
        <f>IF(OR(W1647&lt;'Cleaning Tasks'!$G$18,W1647&gt;'Cleaning Tasks'!$H$18),"Outlier","Normal")</f>
        <v>Normal</v>
      </c>
      <c r="Z1647" s="2" t="s">
        <v>39</v>
      </c>
      <c r="AA1647" s="2" t="s">
        <v>40</v>
      </c>
      <c r="AB1647" s="2" t="s">
        <v>50</v>
      </c>
      <c r="AC1647" s="2" t="s">
        <v>29</v>
      </c>
      <c r="AD1647" s="2" t="s">
        <v>67</v>
      </c>
      <c r="AE1647" s="2" t="str">
        <f t="shared" si="346"/>
        <v>Valid</v>
      </c>
      <c r="AF1647" s="2" t="s">
        <v>4418</v>
      </c>
    </row>
    <row r="1648" spans="1:32" x14ac:dyDescent="0.3">
      <c r="A1648" s="2" t="s">
        <v>4419</v>
      </c>
      <c r="B1648" s="2">
        <f t="shared" si="336"/>
        <v>1</v>
      </c>
      <c r="C1648" s="12">
        <f t="shared" si="348"/>
        <v>46238.586560972217</v>
      </c>
      <c r="D1648" s="13">
        <v>46238.586560972217</v>
      </c>
      <c r="E1648" s="2" t="s">
        <v>889</v>
      </c>
      <c r="F1648" s="2" t="str">
        <f t="shared" si="337"/>
        <v>Email Available</v>
      </c>
      <c r="G1648" s="2" t="s">
        <v>890</v>
      </c>
      <c r="H1648" s="2" t="s">
        <v>78</v>
      </c>
      <c r="I1648" s="2" t="s">
        <v>79</v>
      </c>
      <c r="J1648" s="2" t="s">
        <v>80</v>
      </c>
      <c r="K1648" s="2">
        <v>1</v>
      </c>
      <c r="L1648" s="2">
        <v>89.99</v>
      </c>
      <c r="M1648" s="19">
        <f t="shared" si="338"/>
        <v>89.99</v>
      </c>
      <c r="N1648" s="2"/>
      <c r="O1648" s="2" t="str">
        <f t="shared" si="339"/>
        <v/>
      </c>
      <c r="P1648" s="2">
        <v>0</v>
      </c>
      <c r="Q1648" s="19">
        <f t="shared" si="340"/>
        <v>0</v>
      </c>
      <c r="R1648" s="2" t="str">
        <f t="shared" si="341"/>
        <v>Number</v>
      </c>
      <c r="S1648" s="2">
        <v>0</v>
      </c>
      <c r="T1648" s="19">
        <f t="shared" si="342"/>
        <v>0</v>
      </c>
      <c r="U1648" s="2">
        <v>89.99</v>
      </c>
      <c r="V1648" s="19">
        <f t="shared" si="343"/>
        <v>89.99</v>
      </c>
      <c r="W1648" s="19">
        <f t="shared" si="344"/>
        <v>89.99</v>
      </c>
      <c r="X1648" s="19" t="str">
        <f t="shared" si="345"/>
        <v>True</v>
      </c>
      <c r="Y1648" s="19" t="str">
        <f>IF(OR(W1648&lt;'Cleaning Tasks'!$G$18,W1648&gt;'Cleaning Tasks'!$H$18),"Outlier","Normal")</f>
        <v>Outlier</v>
      </c>
      <c r="Z1648" s="2" t="s">
        <v>66</v>
      </c>
      <c r="AA1648" s="2" t="s">
        <v>27</v>
      </c>
      <c r="AB1648" s="2" t="s">
        <v>96</v>
      </c>
      <c r="AC1648" s="2" t="s">
        <v>29</v>
      </c>
      <c r="AD1648" s="2" t="s">
        <v>112</v>
      </c>
      <c r="AE1648" s="2" t="str">
        <f t="shared" si="346"/>
        <v>Valid</v>
      </c>
      <c r="AF1648" s="2" t="s">
        <v>4420</v>
      </c>
    </row>
    <row r="1649" spans="1:32" x14ac:dyDescent="0.3">
      <c r="A1649" s="2" t="s">
        <v>4421</v>
      </c>
      <c r="B1649" s="2">
        <f t="shared" si="336"/>
        <v>1</v>
      </c>
      <c r="C1649" s="12">
        <f t="shared" si="348"/>
        <v>46238.578867256947</v>
      </c>
      <c r="D1649" s="13">
        <v>46238.578867256947</v>
      </c>
      <c r="E1649" s="2" t="s">
        <v>1482</v>
      </c>
      <c r="F1649" s="2" t="str">
        <f t="shared" si="337"/>
        <v>Email Available</v>
      </c>
      <c r="G1649" s="2" t="s">
        <v>1483</v>
      </c>
      <c r="H1649" s="2" t="s">
        <v>182</v>
      </c>
      <c r="I1649" s="2" t="s">
        <v>36</v>
      </c>
      <c r="J1649" s="2" t="s">
        <v>183</v>
      </c>
      <c r="K1649" s="2">
        <v>1</v>
      </c>
      <c r="L1649" s="2">
        <v>11.99</v>
      </c>
      <c r="M1649" s="19">
        <f t="shared" si="338"/>
        <v>11.99</v>
      </c>
      <c r="N1649" s="2"/>
      <c r="O1649" s="2" t="str">
        <f t="shared" si="339"/>
        <v/>
      </c>
      <c r="P1649" s="2">
        <v>0</v>
      </c>
      <c r="Q1649" s="19">
        <f t="shared" si="340"/>
        <v>0</v>
      </c>
      <c r="R1649" s="2" t="str">
        <f t="shared" si="341"/>
        <v>Number</v>
      </c>
      <c r="S1649" s="2">
        <v>4.99</v>
      </c>
      <c r="T1649" s="19">
        <f t="shared" si="342"/>
        <v>4.99</v>
      </c>
      <c r="U1649" s="2">
        <v>16.98</v>
      </c>
      <c r="V1649" s="19">
        <f t="shared" si="343"/>
        <v>16.98</v>
      </c>
      <c r="W1649" s="19">
        <f t="shared" si="344"/>
        <v>16.98</v>
      </c>
      <c r="X1649" s="19" t="str">
        <f t="shared" si="345"/>
        <v>True</v>
      </c>
      <c r="Y1649" s="19" t="str">
        <f>IF(OR(W1649&lt;'Cleaning Tasks'!$G$18,W1649&gt;'Cleaning Tasks'!$H$18),"Outlier","Normal")</f>
        <v>Normal</v>
      </c>
      <c r="Z1649" s="2" t="s">
        <v>72</v>
      </c>
      <c r="AA1649" s="2" t="s">
        <v>27</v>
      </c>
      <c r="AB1649" s="2" t="s">
        <v>41</v>
      </c>
      <c r="AC1649" s="2" t="s">
        <v>29</v>
      </c>
      <c r="AD1649" s="2" t="s">
        <v>243</v>
      </c>
      <c r="AE1649" s="2" t="str">
        <f t="shared" si="346"/>
        <v>Valid</v>
      </c>
      <c r="AF1649" s="2" t="s">
        <v>4422</v>
      </c>
    </row>
    <row r="1650" spans="1:32" x14ac:dyDescent="0.3">
      <c r="A1650" s="2" t="s">
        <v>4423</v>
      </c>
      <c r="B1650" s="2">
        <f t="shared" si="336"/>
        <v>1</v>
      </c>
      <c r="C1650" s="12">
        <f t="shared" si="348"/>
        <v>46238.579502511573</v>
      </c>
      <c r="D1650" s="13">
        <v>46238.579502511573</v>
      </c>
      <c r="E1650" s="2" t="s">
        <v>4424</v>
      </c>
      <c r="F1650" s="2" t="str">
        <f t="shared" si="337"/>
        <v>Email Available</v>
      </c>
      <c r="G1650" s="2" t="s">
        <v>4425</v>
      </c>
      <c r="H1650" s="2" t="s">
        <v>361</v>
      </c>
      <c r="I1650" s="2" t="s">
        <v>86</v>
      </c>
      <c r="J1650" s="2" t="s">
        <v>362</v>
      </c>
      <c r="K1650" s="2">
        <v>1</v>
      </c>
      <c r="L1650" s="2">
        <v>54.99</v>
      </c>
      <c r="M1650" s="19">
        <f t="shared" si="338"/>
        <v>54.99</v>
      </c>
      <c r="N1650" s="2" t="s">
        <v>38</v>
      </c>
      <c r="O1650" s="2" t="str">
        <f t="shared" si="339"/>
        <v>FREESHIP</v>
      </c>
      <c r="P1650" s="2">
        <v>0</v>
      </c>
      <c r="Q1650" s="19">
        <f t="shared" si="340"/>
        <v>0</v>
      </c>
      <c r="R1650" s="2" t="str">
        <f t="shared" si="341"/>
        <v>Number</v>
      </c>
      <c r="S1650" s="2">
        <v>0</v>
      </c>
      <c r="T1650" s="19">
        <f t="shared" si="342"/>
        <v>0</v>
      </c>
      <c r="U1650" s="2">
        <v>54.99</v>
      </c>
      <c r="V1650" s="19">
        <f t="shared" si="343"/>
        <v>54.99</v>
      </c>
      <c r="W1650" s="19">
        <f t="shared" si="344"/>
        <v>54.99</v>
      </c>
      <c r="X1650" s="19" t="str">
        <f t="shared" si="345"/>
        <v>True</v>
      </c>
      <c r="Y1650" s="19" t="str">
        <f>IF(OR(W1650&lt;'Cleaning Tasks'!$G$18,W1650&gt;'Cleaning Tasks'!$H$18),"Outlier","Normal")</f>
        <v>Normal</v>
      </c>
      <c r="Z1650" s="2" t="s">
        <v>66</v>
      </c>
      <c r="AA1650" s="2" t="s">
        <v>88</v>
      </c>
      <c r="AB1650" s="2" t="s">
        <v>41</v>
      </c>
      <c r="AC1650" s="2" t="s">
        <v>29</v>
      </c>
      <c r="AD1650" s="2" t="s">
        <v>58</v>
      </c>
      <c r="AE1650" s="2" t="str">
        <f t="shared" si="346"/>
        <v>Valid</v>
      </c>
      <c r="AF1650" s="2" t="s">
        <v>4426</v>
      </c>
    </row>
    <row r="1651" spans="1:32" x14ac:dyDescent="0.3">
      <c r="A1651" s="2" t="s">
        <v>4427</v>
      </c>
      <c r="B1651" s="2">
        <f t="shared" si="336"/>
        <v>1</v>
      </c>
      <c r="C1651" s="12">
        <f t="shared" si="348"/>
        <v>46238.583293425923</v>
      </c>
      <c r="D1651" s="13">
        <v>46238.583293425923</v>
      </c>
      <c r="E1651" s="2" t="s">
        <v>2786</v>
      </c>
      <c r="F1651" s="2" t="str">
        <f t="shared" si="337"/>
        <v>Email Available</v>
      </c>
      <c r="G1651" s="2" t="s">
        <v>2787</v>
      </c>
      <c r="H1651" s="2" t="s">
        <v>130</v>
      </c>
      <c r="I1651" s="2" t="s">
        <v>103</v>
      </c>
      <c r="J1651" s="2" t="s">
        <v>131</v>
      </c>
      <c r="K1651" s="2">
        <v>2</v>
      </c>
      <c r="L1651" s="2">
        <v>16.989999999999998</v>
      </c>
      <c r="M1651" s="19">
        <f t="shared" si="338"/>
        <v>16.989999999999998</v>
      </c>
      <c r="N1651" s="2"/>
      <c r="O1651" s="2" t="str">
        <f t="shared" si="339"/>
        <v/>
      </c>
      <c r="P1651" s="2">
        <v>0</v>
      </c>
      <c r="Q1651" s="19">
        <f t="shared" si="340"/>
        <v>0</v>
      </c>
      <c r="R1651" s="2" t="str">
        <f t="shared" si="341"/>
        <v>Number</v>
      </c>
      <c r="S1651" s="2">
        <v>7.99</v>
      </c>
      <c r="T1651" s="19">
        <f t="shared" si="342"/>
        <v>7.99</v>
      </c>
      <c r="U1651" s="2">
        <v>41.97</v>
      </c>
      <c r="V1651" s="19">
        <f t="shared" si="343"/>
        <v>41.97</v>
      </c>
      <c r="W1651" s="19">
        <f t="shared" si="344"/>
        <v>41.97</v>
      </c>
      <c r="X1651" s="19" t="str">
        <f t="shared" si="345"/>
        <v>True</v>
      </c>
      <c r="Y1651" s="19" t="str">
        <f>IF(OR(W1651&lt;'Cleaning Tasks'!$G$18,W1651&gt;'Cleaning Tasks'!$H$18),"Outlier","Normal")</f>
        <v>Normal</v>
      </c>
      <c r="Z1651" s="2" t="s">
        <v>66</v>
      </c>
      <c r="AA1651" s="2" t="s">
        <v>88</v>
      </c>
      <c r="AB1651" s="2" t="s">
        <v>50</v>
      </c>
      <c r="AC1651" s="2" t="s">
        <v>29</v>
      </c>
      <c r="AD1651" s="2" t="s">
        <v>447</v>
      </c>
      <c r="AE1651" s="2" t="str">
        <f t="shared" si="346"/>
        <v>Valid</v>
      </c>
      <c r="AF1651" s="2" t="s">
        <v>4428</v>
      </c>
    </row>
    <row r="1652" spans="1:32" x14ac:dyDescent="0.3">
      <c r="A1652" s="2" t="s">
        <v>4429</v>
      </c>
      <c r="B1652" s="2">
        <f t="shared" si="336"/>
        <v>1</v>
      </c>
      <c r="C1652" s="12">
        <f t="shared" si="348"/>
        <v>46238</v>
      </c>
      <c r="D1652" s="13">
        <v>46238</v>
      </c>
      <c r="E1652" s="2" t="s">
        <v>4430</v>
      </c>
      <c r="F1652" s="2" t="str">
        <f t="shared" si="337"/>
        <v>Email Available</v>
      </c>
      <c r="G1652" s="2" t="s">
        <v>4431</v>
      </c>
      <c r="H1652" s="2" t="s">
        <v>190</v>
      </c>
      <c r="I1652" s="2" t="s">
        <v>191</v>
      </c>
      <c r="J1652" s="2" t="s">
        <v>192</v>
      </c>
      <c r="K1652" s="2">
        <v>2</v>
      </c>
      <c r="L1652" s="2">
        <v>13.49</v>
      </c>
      <c r="M1652" s="19">
        <f t="shared" si="338"/>
        <v>13.49</v>
      </c>
      <c r="N1652" s="2" t="s">
        <v>38</v>
      </c>
      <c r="O1652" s="2" t="str">
        <f t="shared" si="339"/>
        <v>FREESHIP</v>
      </c>
      <c r="P1652" s="2">
        <v>0</v>
      </c>
      <c r="Q1652" s="19">
        <f t="shared" si="340"/>
        <v>0</v>
      </c>
      <c r="R1652" s="2" t="str">
        <f t="shared" si="341"/>
        <v>Number</v>
      </c>
      <c r="S1652" s="2">
        <v>0</v>
      </c>
      <c r="T1652" s="19">
        <f t="shared" si="342"/>
        <v>0</v>
      </c>
      <c r="U1652" s="2" t="s">
        <v>583</v>
      </c>
      <c r="V1652" s="19">
        <f t="shared" si="343"/>
        <v>26.98</v>
      </c>
      <c r="W1652" s="19">
        <f t="shared" si="344"/>
        <v>26.98</v>
      </c>
      <c r="X1652" s="19" t="str">
        <f t="shared" si="345"/>
        <v>True</v>
      </c>
      <c r="Y1652" s="19" t="str">
        <f>IF(OR(W1652&lt;'Cleaning Tasks'!$G$18,W1652&gt;'Cleaning Tasks'!$H$18),"Outlier","Normal")</f>
        <v>Normal</v>
      </c>
      <c r="Z1652" s="2" t="s">
        <v>39</v>
      </c>
      <c r="AA1652" s="2" t="s">
        <v>27</v>
      </c>
      <c r="AB1652" s="2" t="s">
        <v>50</v>
      </c>
      <c r="AC1652" s="2" t="s">
        <v>223</v>
      </c>
      <c r="AD1652" s="2"/>
      <c r="AE1652" s="2" t="str">
        <f t="shared" si="346"/>
        <v>Not Required</v>
      </c>
      <c r="AF1652" s="2" t="s">
        <v>4432</v>
      </c>
    </row>
    <row r="1653" spans="1:32" x14ac:dyDescent="0.3">
      <c r="A1653" s="2" t="s">
        <v>4433</v>
      </c>
      <c r="B1653" s="2">
        <f t="shared" si="336"/>
        <v>1</v>
      </c>
      <c r="C1653" s="12">
        <f t="shared" si="348"/>
        <v>46238.584152326388</v>
      </c>
      <c r="D1653" s="13">
        <v>46238.584152326388</v>
      </c>
      <c r="E1653" s="2" t="s">
        <v>3404</v>
      </c>
      <c r="F1653" s="2" t="str">
        <f t="shared" si="337"/>
        <v>Email Available</v>
      </c>
      <c r="G1653" s="2" t="s">
        <v>3405</v>
      </c>
      <c r="H1653" s="2" t="s">
        <v>221</v>
      </c>
      <c r="I1653" s="2" t="s">
        <v>22</v>
      </c>
      <c r="J1653" s="2" t="s">
        <v>222</v>
      </c>
      <c r="K1653" s="2">
        <v>1</v>
      </c>
      <c r="L1653" s="2">
        <v>17.989999999999998</v>
      </c>
      <c r="M1653" s="19">
        <f t="shared" si="338"/>
        <v>17.989999999999998</v>
      </c>
      <c r="N1653" s="2"/>
      <c r="O1653" s="2" t="str">
        <f t="shared" si="339"/>
        <v/>
      </c>
      <c r="P1653" s="2">
        <v>0</v>
      </c>
      <c r="Q1653" s="19">
        <f t="shared" si="340"/>
        <v>0</v>
      </c>
      <c r="R1653" s="2" t="str">
        <f t="shared" si="341"/>
        <v>Number</v>
      </c>
      <c r="S1653" s="2">
        <v>7.99</v>
      </c>
      <c r="T1653" s="19">
        <f t="shared" si="342"/>
        <v>7.99</v>
      </c>
      <c r="U1653" s="2">
        <v>25.98</v>
      </c>
      <c r="V1653" s="19">
        <f t="shared" si="343"/>
        <v>25.98</v>
      </c>
      <c r="W1653" s="19">
        <f t="shared" si="344"/>
        <v>25.979999999999997</v>
      </c>
      <c r="X1653" s="19" t="str">
        <f t="shared" si="345"/>
        <v>True</v>
      </c>
      <c r="Y1653" s="19" t="str">
        <f>IF(OR(W1653&lt;'Cleaning Tasks'!$G$18,W1653&gt;'Cleaning Tasks'!$H$18),"Outlier","Normal")</f>
        <v>Normal</v>
      </c>
      <c r="Z1653" s="2" t="s">
        <v>72</v>
      </c>
      <c r="AA1653" s="2" t="s">
        <v>27</v>
      </c>
      <c r="AB1653" s="2" t="s">
        <v>41</v>
      </c>
      <c r="AC1653" s="2" t="s">
        <v>223</v>
      </c>
      <c r="AD1653" s="2"/>
      <c r="AE1653" s="2" t="str">
        <f t="shared" si="346"/>
        <v>Not Required</v>
      </c>
      <c r="AF1653" s="2" t="s">
        <v>4434</v>
      </c>
    </row>
    <row r="1654" spans="1:32" x14ac:dyDescent="0.3">
      <c r="A1654" s="2" t="s">
        <v>4435</v>
      </c>
      <c r="B1654" s="2">
        <f t="shared" si="336"/>
        <v>1</v>
      </c>
      <c r="C1654" s="12">
        <f t="shared" si="348"/>
        <v>46238.580942141212</v>
      </c>
      <c r="D1654" s="13">
        <v>46238.580942141212</v>
      </c>
      <c r="E1654" s="2" t="s">
        <v>1045</v>
      </c>
      <c r="F1654" s="2" t="str">
        <f t="shared" si="337"/>
        <v>Email Available</v>
      </c>
      <c r="G1654" s="2" t="s">
        <v>1046</v>
      </c>
      <c r="H1654" s="2" t="s">
        <v>152</v>
      </c>
      <c r="I1654" s="2" t="s">
        <v>36</v>
      </c>
      <c r="J1654" s="2" t="s">
        <v>153</v>
      </c>
      <c r="K1654" s="2">
        <v>1</v>
      </c>
      <c r="L1654" s="2">
        <v>29.99</v>
      </c>
      <c r="M1654" s="19">
        <f t="shared" si="338"/>
        <v>29.99</v>
      </c>
      <c r="N1654" s="2" t="s">
        <v>24</v>
      </c>
      <c r="O1654" s="2" t="str">
        <f t="shared" si="339"/>
        <v>SAVE20</v>
      </c>
      <c r="P1654" s="2">
        <v>6</v>
      </c>
      <c r="Q1654" s="19">
        <f t="shared" si="340"/>
        <v>6</v>
      </c>
      <c r="R1654" s="2" t="str">
        <f t="shared" si="341"/>
        <v>Number</v>
      </c>
      <c r="S1654" s="2">
        <v>5.99</v>
      </c>
      <c r="T1654" s="19">
        <f t="shared" si="342"/>
        <v>5.99</v>
      </c>
      <c r="U1654" s="2">
        <v>29.98</v>
      </c>
      <c r="V1654" s="19">
        <f t="shared" si="343"/>
        <v>29.98</v>
      </c>
      <c r="W1654" s="19">
        <f t="shared" si="344"/>
        <v>29.979999999999997</v>
      </c>
      <c r="X1654" s="19" t="str">
        <f t="shared" si="345"/>
        <v>True</v>
      </c>
      <c r="Y1654" s="19" t="str">
        <f>IF(OR(W1654&lt;'Cleaning Tasks'!$G$18,W1654&gt;'Cleaning Tasks'!$H$18),"Outlier","Normal")</f>
        <v>Normal</v>
      </c>
      <c r="Z1654" s="2" t="s">
        <v>72</v>
      </c>
      <c r="AA1654" s="2" t="s">
        <v>40</v>
      </c>
      <c r="AB1654" s="2" t="s">
        <v>41</v>
      </c>
      <c r="AC1654" s="2" t="s">
        <v>105</v>
      </c>
      <c r="AD1654" s="2"/>
      <c r="AE1654" s="2" t="str">
        <f t="shared" si="346"/>
        <v>Not Required</v>
      </c>
      <c r="AF1654" s="2" t="s">
        <v>4436</v>
      </c>
    </row>
    <row r="1655" spans="1:32" x14ac:dyDescent="0.3">
      <c r="A1655" s="2" t="s">
        <v>4437</v>
      </c>
      <c r="B1655" s="2">
        <f t="shared" si="336"/>
        <v>1</v>
      </c>
      <c r="C1655" s="12">
        <f t="shared" si="348"/>
        <v>46238.579058958327</v>
      </c>
      <c r="D1655" s="13">
        <v>46238.579058958327</v>
      </c>
      <c r="E1655" s="2" t="s">
        <v>4438</v>
      </c>
      <c r="F1655" s="2" t="str">
        <f t="shared" si="337"/>
        <v>Email Available</v>
      </c>
      <c r="G1655" s="2" t="s">
        <v>4439</v>
      </c>
      <c r="H1655" s="2" t="s">
        <v>279</v>
      </c>
      <c r="I1655" s="2" t="s">
        <v>22</v>
      </c>
      <c r="J1655" s="2" t="s">
        <v>280</v>
      </c>
      <c r="K1655" s="2">
        <v>1</v>
      </c>
      <c r="L1655" s="2">
        <v>24.99</v>
      </c>
      <c r="M1655" s="19">
        <f t="shared" si="338"/>
        <v>24.99</v>
      </c>
      <c r="N1655" s="2" t="s">
        <v>118</v>
      </c>
      <c r="O1655" s="2" t="str">
        <f t="shared" si="339"/>
        <v>BFCM25</v>
      </c>
      <c r="P1655" s="2">
        <v>6.25</v>
      </c>
      <c r="Q1655" s="19">
        <f t="shared" si="340"/>
        <v>6.25</v>
      </c>
      <c r="R1655" s="2" t="str">
        <f t="shared" si="341"/>
        <v>Number</v>
      </c>
      <c r="S1655" s="2">
        <v>5.99</v>
      </c>
      <c r="T1655" s="19">
        <f t="shared" si="342"/>
        <v>5.99</v>
      </c>
      <c r="U1655" s="2">
        <v>24.73</v>
      </c>
      <c r="V1655" s="19">
        <f t="shared" si="343"/>
        <v>24.73</v>
      </c>
      <c r="W1655" s="19">
        <f t="shared" si="344"/>
        <v>24.729999999999997</v>
      </c>
      <c r="X1655" s="19" t="str">
        <f t="shared" si="345"/>
        <v>True</v>
      </c>
      <c r="Y1655" s="19" t="str">
        <f>IF(OR(W1655&lt;'Cleaning Tasks'!$G$18,W1655&gt;'Cleaning Tasks'!$H$18),"Outlier","Normal")</f>
        <v>Normal</v>
      </c>
      <c r="Z1655" s="2" t="s">
        <v>72</v>
      </c>
      <c r="AA1655" s="2" t="s">
        <v>111</v>
      </c>
      <c r="AB1655" s="2" t="s">
        <v>50</v>
      </c>
      <c r="AC1655" s="2" t="s">
        <v>29</v>
      </c>
      <c r="AD1655" s="2" t="s">
        <v>341</v>
      </c>
      <c r="AE1655" s="2" t="str">
        <f t="shared" si="346"/>
        <v>Valid</v>
      </c>
      <c r="AF1655" s="2" t="s">
        <v>4440</v>
      </c>
    </row>
    <row r="1656" spans="1:32" x14ac:dyDescent="0.3">
      <c r="A1656" s="2" t="s">
        <v>4441</v>
      </c>
      <c r="B1656" s="2">
        <f t="shared" si="336"/>
        <v>1</v>
      </c>
      <c r="C1656" s="12">
        <f t="shared" si="348"/>
        <v>46238.579124525473</v>
      </c>
      <c r="D1656" s="13">
        <v>46238.579124525473</v>
      </c>
      <c r="E1656" s="2" t="s">
        <v>613</v>
      </c>
      <c r="F1656" s="2" t="str">
        <f t="shared" si="337"/>
        <v>Email Available</v>
      </c>
      <c r="G1656" s="2" t="s">
        <v>614</v>
      </c>
      <c r="H1656" s="2" t="s">
        <v>109</v>
      </c>
      <c r="I1656" s="2" t="s">
        <v>79</v>
      </c>
      <c r="J1656" s="2" t="s">
        <v>110</v>
      </c>
      <c r="K1656" s="2">
        <v>2</v>
      </c>
      <c r="L1656" s="2">
        <v>22.99</v>
      </c>
      <c r="M1656" s="19">
        <f t="shared" si="338"/>
        <v>22.99</v>
      </c>
      <c r="N1656" s="2" t="s">
        <v>203</v>
      </c>
      <c r="O1656" s="2" t="str">
        <f t="shared" si="339"/>
        <v>VIP15</v>
      </c>
      <c r="P1656" s="2">
        <v>6.9</v>
      </c>
      <c r="Q1656" s="19">
        <f t="shared" si="340"/>
        <v>6.9</v>
      </c>
      <c r="R1656" s="2" t="str">
        <f t="shared" si="341"/>
        <v>Number</v>
      </c>
      <c r="S1656" s="2">
        <v>4.99</v>
      </c>
      <c r="T1656" s="19">
        <f t="shared" si="342"/>
        <v>4.99</v>
      </c>
      <c r="U1656" s="2">
        <v>44.07</v>
      </c>
      <c r="V1656" s="19">
        <f t="shared" si="343"/>
        <v>44.07</v>
      </c>
      <c r="W1656" s="19">
        <f t="shared" si="344"/>
        <v>44.07</v>
      </c>
      <c r="X1656" s="19" t="str">
        <f t="shared" si="345"/>
        <v>True</v>
      </c>
      <c r="Y1656" s="19" t="str">
        <f>IF(OR(W1656&lt;'Cleaning Tasks'!$G$18,W1656&gt;'Cleaning Tasks'!$H$18),"Outlier","Normal")</f>
        <v>Normal</v>
      </c>
      <c r="Z1656" s="2" t="s">
        <v>72</v>
      </c>
      <c r="AA1656" s="2" t="s">
        <v>111</v>
      </c>
      <c r="AB1656" s="2" t="s">
        <v>50</v>
      </c>
      <c r="AC1656" s="2" t="s">
        <v>29</v>
      </c>
      <c r="AD1656" s="2" t="s">
        <v>73</v>
      </c>
      <c r="AE1656" s="2" t="str">
        <f t="shared" si="346"/>
        <v>Valid</v>
      </c>
      <c r="AF1656" s="2" t="s">
        <v>4442</v>
      </c>
    </row>
    <row r="1657" spans="1:32" x14ac:dyDescent="0.3">
      <c r="A1657" s="2" t="s">
        <v>4443</v>
      </c>
      <c r="B1657" s="2">
        <f t="shared" si="336"/>
        <v>1</v>
      </c>
      <c r="C1657" s="12">
        <f t="shared" si="348"/>
        <v>46238.58823400463</v>
      </c>
      <c r="D1657" s="13">
        <v>46238.58823400463</v>
      </c>
      <c r="E1657" s="2" t="s">
        <v>206</v>
      </c>
      <c r="F1657" s="2" t="str">
        <f t="shared" si="337"/>
        <v>Email Available</v>
      </c>
      <c r="G1657" s="2" t="s">
        <v>207</v>
      </c>
      <c r="H1657" s="2" t="s">
        <v>35</v>
      </c>
      <c r="I1657" s="2" t="s">
        <v>36</v>
      </c>
      <c r="J1657" s="2" t="s">
        <v>37</v>
      </c>
      <c r="K1657" s="2">
        <v>2</v>
      </c>
      <c r="L1657" s="2">
        <v>21.99</v>
      </c>
      <c r="M1657" s="19">
        <f t="shared" si="338"/>
        <v>21.99</v>
      </c>
      <c r="N1657" s="2" t="s">
        <v>118</v>
      </c>
      <c r="O1657" s="2" t="str">
        <f t="shared" si="339"/>
        <v>BFCM25</v>
      </c>
      <c r="P1657" s="2">
        <v>10.99</v>
      </c>
      <c r="Q1657" s="19">
        <f t="shared" si="340"/>
        <v>10.99</v>
      </c>
      <c r="R1657" s="2" t="str">
        <f t="shared" si="341"/>
        <v>Number</v>
      </c>
      <c r="S1657" s="2">
        <v>7.99</v>
      </c>
      <c r="T1657" s="19">
        <f t="shared" si="342"/>
        <v>7.99</v>
      </c>
      <c r="U1657" s="2">
        <v>40.98</v>
      </c>
      <c r="V1657" s="19">
        <f t="shared" si="343"/>
        <v>40.98</v>
      </c>
      <c r="W1657" s="19">
        <f t="shared" si="344"/>
        <v>40.98</v>
      </c>
      <c r="X1657" s="19" t="str">
        <f t="shared" si="345"/>
        <v>True</v>
      </c>
      <c r="Y1657" s="19" t="str">
        <f>IF(OR(W1657&lt;'Cleaning Tasks'!$G$18,W1657&gt;'Cleaning Tasks'!$H$18),"Outlier","Normal")</f>
        <v>Normal</v>
      </c>
      <c r="Z1657" s="2" t="s">
        <v>66</v>
      </c>
      <c r="AA1657" s="2" t="s">
        <v>27</v>
      </c>
      <c r="AB1657" s="2" t="s">
        <v>28</v>
      </c>
      <c r="AC1657" s="2" t="s">
        <v>105</v>
      </c>
      <c r="AD1657" s="2"/>
      <c r="AE1657" s="2" t="str">
        <f t="shared" si="346"/>
        <v>Not Required</v>
      </c>
      <c r="AF1657" s="2" t="s">
        <v>4444</v>
      </c>
    </row>
    <row r="1658" spans="1:32" x14ac:dyDescent="0.3">
      <c r="A1658" s="2" t="s">
        <v>4445</v>
      </c>
      <c r="B1658" s="2">
        <f t="shared" si="336"/>
        <v>1</v>
      </c>
      <c r="C1658" s="12">
        <f t="shared" si="348"/>
        <v>46238.580600162037</v>
      </c>
      <c r="D1658" s="13">
        <v>46238.580600162037</v>
      </c>
      <c r="E1658" s="2" t="s">
        <v>1031</v>
      </c>
      <c r="F1658" s="2" t="str">
        <f t="shared" si="337"/>
        <v>Email Available</v>
      </c>
      <c r="G1658" s="2" t="s">
        <v>1032</v>
      </c>
      <c r="H1658" s="2" t="s">
        <v>46</v>
      </c>
      <c r="I1658" s="2" t="s">
        <v>47</v>
      </c>
      <c r="J1658" s="2" t="s">
        <v>48</v>
      </c>
      <c r="K1658" s="2">
        <v>2</v>
      </c>
      <c r="L1658" s="2">
        <v>39.99</v>
      </c>
      <c r="M1658" s="19">
        <f t="shared" si="338"/>
        <v>39.99</v>
      </c>
      <c r="N1658" s="2" t="s">
        <v>38</v>
      </c>
      <c r="O1658" s="2" t="str">
        <f t="shared" si="339"/>
        <v>FREESHIP</v>
      </c>
      <c r="P1658" s="2">
        <v>0</v>
      </c>
      <c r="Q1658" s="19">
        <f t="shared" si="340"/>
        <v>0</v>
      </c>
      <c r="R1658" s="2" t="str">
        <f t="shared" si="341"/>
        <v>Number</v>
      </c>
      <c r="S1658" s="2">
        <v>0</v>
      </c>
      <c r="T1658" s="19">
        <f t="shared" si="342"/>
        <v>0</v>
      </c>
      <c r="U1658" s="2" t="s">
        <v>2251</v>
      </c>
      <c r="V1658" s="19">
        <f t="shared" si="343"/>
        <v>79.98</v>
      </c>
      <c r="W1658" s="19">
        <f t="shared" si="344"/>
        <v>79.98</v>
      </c>
      <c r="X1658" s="19" t="str">
        <f t="shared" si="345"/>
        <v>True</v>
      </c>
      <c r="Y1658" s="19" t="str">
        <f>IF(OR(W1658&lt;'Cleaning Tasks'!$G$18,W1658&gt;'Cleaning Tasks'!$H$18),"Outlier","Normal")</f>
        <v>Normal</v>
      </c>
      <c r="Z1658" s="2" t="s">
        <v>39</v>
      </c>
      <c r="AA1658" s="2" t="s">
        <v>27</v>
      </c>
      <c r="AB1658" s="2" t="s">
        <v>50</v>
      </c>
      <c r="AC1658" s="2" t="s">
        <v>29</v>
      </c>
      <c r="AD1658" s="2" t="s">
        <v>243</v>
      </c>
      <c r="AE1658" s="2" t="str">
        <f t="shared" si="346"/>
        <v>Valid</v>
      </c>
      <c r="AF1658" s="2" t="s">
        <v>4446</v>
      </c>
    </row>
    <row r="1659" spans="1:32" x14ac:dyDescent="0.3">
      <c r="A1659" s="2" t="s">
        <v>4447</v>
      </c>
      <c r="B1659" s="2">
        <f t="shared" si="336"/>
        <v>1</v>
      </c>
      <c r="C1659" s="12">
        <f t="shared" si="348"/>
        <v>46238.58780645833</v>
      </c>
      <c r="D1659" s="13">
        <v>46238.58780645833</v>
      </c>
      <c r="E1659" s="2" t="s">
        <v>321</v>
      </c>
      <c r="F1659" s="2" t="str">
        <f t="shared" si="337"/>
        <v>Missing Email</v>
      </c>
      <c r="G1659" s="2"/>
      <c r="H1659" s="2" t="s">
        <v>152</v>
      </c>
      <c r="I1659" s="2" t="s">
        <v>36</v>
      </c>
      <c r="J1659" s="2" t="s">
        <v>153</v>
      </c>
      <c r="K1659" s="2">
        <v>4</v>
      </c>
      <c r="L1659" s="2">
        <v>29.99</v>
      </c>
      <c r="M1659" s="19">
        <f t="shared" si="338"/>
        <v>29.99</v>
      </c>
      <c r="N1659" s="2"/>
      <c r="O1659" s="2" t="str">
        <f t="shared" si="339"/>
        <v/>
      </c>
      <c r="P1659" s="2">
        <v>0</v>
      </c>
      <c r="Q1659" s="19">
        <f t="shared" si="340"/>
        <v>0</v>
      </c>
      <c r="R1659" s="2" t="str">
        <f t="shared" si="341"/>
        <v>Number</v>
      </c>
      <c r="S1659" s="2">
        <v>0</v>
      </c>
      <c r="T1659" s="19">
        <f t="shared" si="342"/>
        <v>0</v>
      </c>
      <c r="U1659" s="2">
        <v>119.96</v>
      </c>
      <c r="V1659" s="19">
        <f t="shared" si="343"/>
        <v>119.96</v>
      </c>
      <c r="W1659" s="19">
        <f t="shared" si="344"/>
        <v>119.96</v>
      </c>
      <c r="X1659" s="19" t="str">
        <f t="shared" si="345"/>
        <v>True</v>
      </c>
      <c r="Y1659" s="19" t="str">
        <f>IF(OR(W1659&lt;'Cleaning Tasks'!$G$18,W1659&gt;'Cleaning Tasks'!$H$18),"Outlier","Normal")</f>
        <v>Outlier</v>
      </c>
      <c r="Z1659" s="2" t="s">
        <v>72</v>
      </c>
      <c r="AA1659" s="2" t="s">
        <v>27</v>
      </c>
      <c r="AB1659" s="2" t="s">
        <v>41</v>
      </c>
      <c r="AC1659" s="2" t="s">
        <v>29</v>
      </c>
      <c r="AD1659" s="2" t="s">
        <v>89</v>
      </c>
      <c r="AE1659" s="2" t="str">
        <f t="shared" si="346"/>
        <v>Valid</v>
      </c>
      <c r="AF1659" s="2" t="s">
        <v>2278</v>
      </c>
    </row>
    <row r="1660" spans="1:32" x14ac:dyDescent="0.3">
      <c r="A1660" s="2" t="s">
        <v>4448</v>
      </c>
      <c r="B1660" s="2">
        <f t="shared" si="336"/>
        <v>1</v>
      </c>
      <c r="C1660" s="12">
        <f t="shared" si="348"/>
        <v>46238.579872083334</v>
      </c>
      <c r="D1660" s="13">
        <v>46238.579872083334</v>
      </c>
      <c r="E1660" s="2" t="s">
        <v>421</v>
      </c>
      <c r="F1660" s="2" t="str">
        <f t="shared" si="337"/>
        <v>Email Available</v>
      </c>
      <c r="G1660" s="2" t="s">
        <v>422</v>
      </c>
      <c r="H1660" s="2" t="s">
        <v>117</v>
      </c>
      <c r="I1660" s="2" t="s">
        <v>22</v>
      </c>
      <c r="J1660" s="2" t="s">
        <v>23</v>
      </c>
      <c r="K1660" s="2">
        <v>1</v>
      </c>
      <c r="L1660" s="2">
        <v>12.99</v>
      </c>
      <c r="M1660" s="19">
        <f t="shared" si="338"/>
        <v>12.99</v>
      </c>
      <c r="N1660" s="2" t="s">
        <v>65</v>
      </c>
      <c r="O1660" s="2" t="str">
        <f t="shared" si="339"/>
        <v>WELCOME10</v>
      </c>
      <c r="P1660" s="2">
        <v>1.3</v>
      </c>
      <c r="Q1660" s="19">
        <f t="shared" si="340"/>
        <v>1.3</v>
      </c>
      <c r="R1660" s="2" t="str">
        <f t="shared" si="341"/>
        <v>Number</v>
      </c>
      <c r="S1660" s="2">
        <v>5.99</v>
      </c>
      <c r="T1660" s="19">
        <f t="shared" si="342"/>
        <v>5.99</v>
      </c>
      <c r="U1660" s="2">
        <v>17.68</v>
      </c>
      <c r="V1660" s="19">
        <f t="shared" si="343"/>
        <v>17.68</v>
      </c>
      <c r="W1660" s="19">
        <f t="shared" si="344"/>
        <v>17.68</v>
      </c>
      <c r="X1660" s="19" t="str">
        <f t="shared" si="345"/>
        <v>True</v>
      </c>
      <c r="Y1660" s="19" t="str">
        <f>IF(OR(W1660&lt;'Cleaning Tasks'!$G$18,W1660&gt;'Cleaning Tasks'!$H$18),"Outlier","Normal")</f>
        <v>Normal</v>
      </c>
      <c r="Z1660" s="2" t="s">
        <v>72</v>
      </c>
      <c r="AA1660" s="2" t="s">
        <v>27</v>
      </c>
      <c r="AB1660" s="2" t="s">
        <v>50</v>
      </c>
      <c r="AC1660" s="2" t="s">
        <v>29</v>
      </c>
      <c r="AD1660" s="2" t="s">
        <v>67</v>
      </c>
      <c r="AE1660" s="2" t="str">
        <f t="shared" si="346"/>
        <v>Valid</v>
      </c>
      <c r="AF1660" s="2" t="s">
        <v>1028</v>
      </c>
    </row>
    <row r="1661" spans="1:32" x14ac:dyDescent="0.3">
      <c r="A1661" s="2" t="s">
        <v>4449</v>
      </c>
      <c r="B1661" s="2">
        <f t="shared" si="336"/>
        <v>1</v>
      </c>
      <c r="C1661" s="12">
        <f t="shared" si="348"/>
        <v>46238.583949479173</v>
      </c>
      <c r="D1661" s="13">
        <v>46238.583949479173</v>
      </c>
      <c r="E1661" s="2" t="s">
        <v>1117</v>
      </c>
      <c r="F1661" s="2" t="str">
        <f t="shared" si="337"/>
        <v>Email Available</v>
      </c>
      <c r="G1661" s="2" t="s">
        <v>1118</v>
      </c>
      <c r="H1661" s="2" t="s">
        <v>166</v>
      </c>
      <c r="I1661" s="2" t="s">
        <v>103</v>
      </c>
      <c r="J1661" s="2" t="s">
        <v>167</v>
      </c>
      <c r="K1661" s="2">
        <v>2</v>
      </c>
      <c r="L1661" s="2" t="s">
        <v>168</v>
      </c>
      <c r="M1661" s="19">
        <f t="shared" si="338"/>
        <v>32.99</v>
      </c>
      <c r="N1661" s="2"/>
      <c r="O1661" s="2" t="str">
        <f t="shared" si="339"/>
        <v/>
      </c>
      <c r="P1661" s="2">
        <v>0</v>
      </c>
      <c r="Q1661" s="19">
        <f t="shared" si="340"/>
        <v>0</v>
      </c>
      <c r="R1661" s="2" t="str">
        <f t="shared" si="341"/>
        <v>Number</v>
      </c>
      <c r="S1661" s="2">
        <v>5.99</v>
      </c>
      <c r="T1661" s="19">
        <f t="shared" si="342"/>
        <v>5.99</v>
      </c>
      <c r="U1661" s="2">
        <v>71.97</v>
      </c>
      <c r="V1661" s="19">
        <f t="shared" si="343"/>
        <v>71.97</v>
      </c>
      <c r="W1661" s="19">
        <f t="shared" si="344"/>
        <v>71.97</v>
      </c>
      <c r="X1661" s="19" t="str">
        <f t="shared" si="345"/>
        <v>True</v>
      </c>
      <c r="Y1661" s="19" t="str">
        <f>IF(OR(W1661&lt;'Cleaning Tasks'!$G$18,W1661&gt;'Cleaning Tasks'!$H$18),"Outlier","Normal")</f>
        <v>Normal</v>
      </c>
      <c r="Z1661" s="2" t="s">
        <v>66</v>
      </c>
      <c r="AA1661" s="2" t="s">
        <v>111</v>
      </c>
      <c r="AB1661" s="2" t="s">
        <v>28</v>
      </c>
      <c r="AC1661" s="2" t="s">
        <v>331</v>
      </c>
      <c r="AD1661" s="2"/>
      <c r="AE1661" s="2" t="str">
        <f t="shared" si="346"/>
        <v>Not Required</v>
      </c>
      <c r="AF1661" s="2" t="s">
        <v>4450</v>
      </c>
    </row>
    <row r="1662" spans="1:32" x14ac:dyDescent="0.3">
      <c r="A1662" s="2" t="s">
        <v>4451</v>
      </c>
      <c r="B1662" s="2">
        <f t="shared" si="336"/>
        <v>1</v>
      </c>
      <c r="C1662" s="12">
        <f t="shared" si="348"/>
        <v>46238.583081053242</v>
      </c>
      <c r="D1662" s="13">
        <v>46238.583081053242</v>
      </c>
      <c r="E1662" s="2" t="s">
        <v>1216</v>
      </c>
      <c r="F1662" s="2" t="str">
        <f t="shared" si="337"/>
        <v>Email Available</v>
      </c>
      <c r="G1662" s="2" t="s">
        <v>1217</v>
      </c>
      <c r="H1662" s="2" t="s">
        <v>56</v>
      </c>
      <c r="I1662" s="2" t="s">
        <v>22</v>
      </c>
      <c r="J1662" s="2" t="s">
        <v>57</v>
      </c>
      <c r="K1662" s="2">
        <v>1</v>
      </c>
      <c r="L1662" s="2">
        <v>9.99</v>
      </c>
      <c r="M1662" s="19">
        <f t="shared" si="338"/>
        <v>9.99</v>
      </c>
      <c r="N1662" s="2" t="s">
        <v>203</v>
      </c>
      <c r="O1662" s="2" t="str">
        <f t="shared" si="339"/>
        <v>VIP15</v>
      </c>
      <c r="P1662" s="2">
        <v>1.5</v>
      </c>
      <c r="Q1662" s="19">
        <f t="shared" si="340"/>
        <v>1.5</v>
      </c>
      <c r="R1662" s="2" t="str">
        <f t="shared" si="341"/>
        <v>Number</v>
      </c>
      <c r="S1662" s="2">
        <v>4.99</v>
      </c>
      <c r="T1662" s="19">
        <f t="shared" si="342"/>
        <v>4.99</v>
      </c>
      <c r="U1662" s="2">
        <v>13.48</v>
      </c>
      <c r="V1662" s="19">
        <f t="shared" si="343"/>
        <v>13.48</v>
      </c>
      <c r="W1662" s="19">
        <f t="shared" si="344"/>
        <v>13.48</v>
      </c>
      <c r="X1662" s="19" t="str">
        <f t="shared" si="345"/>
        <v>True</v>
      </c>
      <c r="Y1662" s="19" t="str">
        <f>IF(OR(W1662&lt;'Cleaning Tasks'!$G$18,W1662&gt;'Cleaning Tasks'!$H$18),"Outlier","Normal")</f>
        <v>Normal</v>
      </c>
      <c r="Z1662" s="2" t="s">
        <v>66</v>
      </c>
      <c r="AA1662" s="2" t="s">
        <v>111</v>
      </c>
      <c r="AB1662" s="2" t="s">
        <v>96</v>
      </c>
      <c r="AC1662" s="2" t="s">
        <v>223</v>
      </c>
      <c r="AD1662" s="2"/>
      <c r="AE1662" s="2" t="str">
        <f t="shared" si="346"/>
        <v>Not Required</v>
      </c>
      <c r="AF1662" s="2" t="s">
        <v>4452</v>
      </c>
    </row>
    <row r="1663" spans="1:32" x14ac:dyDescent="0.3">
      <c r="A1663" s="2" t="s">
        <v>4453</v>
      </c>
      <c r="B1663" s="2">
        <f t="shared" si="336"/>
        <v>1</v>
      </c>
      <c r="C1663" s="12">
        <f t="shared" si="348"/>
        <v>46238.586897326393</v>
      </c>
      <c r="D1663" s="13">
        <v>46238.586897326393</v>
      </c>
      <c r="E1663" s="2" t="s">
        <v>1544</v>
      </c>
      <c r="F1663" s="2" t="str">
        <f t="shared" si="337"/>
        <v>Email Available</v>
      </c>
      <c r="G1663" s="2" t="s">
        <v>1545</v>
      </c>
      <c r="H1663" s="2" t="s">
        <v>124</v>
      </c>
      <c r="I1663" s="2" t="s">
        <v>79</v>
      </c>
      <c r="J1663" s="2" t="s">
        <v>125</v>
      </c>
      <c r="K1663" s="2">
        <v>1</v>
      </c>
      <c r="L1663" s="2" t="s">
        <v>1086</v>
      </c>
      <c r="M1663" s="19">
        <f t="shared" si="338"/>
        <v>13.99</v>
      </c>
      <c r="N1663" s="2" t="s">
        <v>24</v>
      </c>
      <c r="O1663" s="2" t="str">
        <f t="shared" si="339"/>
        <v>SAVE20</v>
      </c>
      <c r="P1663" s="2" t="s">
        <v>2663</v>
      </c>
      <c r="Q1663" s="19">
        <f t="shared" si="340"/>
        <v>2.8</v>
      </c>
      <c r="R1663" s="2" t="str">
        <f t="shared" si="341"/>
        <v>Number</v>
      </c>
      <c r="S1663" s="2">
        <v>4.99</v>
      </c>
      <c r="T1663" s="19">
        <f t="shared" si="342"/>
        <v>4.99</v>
      </c>
      <c r="U1663" s="2">
        <v>16.18</v>
      </c>
      <c r="V1663" s="19">
        <f t="shared" si="343"/>
        <v>16.18</v>
      </c>
      <c r="W1663" s="19">
        <f t="shared" si="344"/>
        <v>16.18</v>
      </c>
      <c r="X1663" s="19" t="str">
        <f t="shared" si="345"/>
        <v>True</v>
      </c>
      <c r="Y1663" s="19" t="str">
        <f>IF(OR(W1663&lt;'Cleaning Tasks'!$G$18,W1663&gt;'Cleaning Tasks'!$H$18),"Outlier","Normal")</f>
        <v>Normal</v>
      </c>
      <c r="Z1663" s="2" t="s">
        <v>39</v>
      </c>
      <c r="AA1663" s="2" t="s">
        <v>40</v>
      </c>
      <c r="AB1663" s="2" t="s">
        <v>41</v>
      </c>
      <c r="AC1663" s="2" t="s">
        <v>29</v>
      </c>
      <c r="AD1663" s="2" t="s">
        <v>89</v>
      </c>
      <c r="AE1663" s="2" t="str">
        <f t="shared" si="346"/>
        <v>Valid</v>
      </c>
      <c r="AF1663" s="2" t="s">
        <v>4454</v>
      </c>
    </row>
    <row r="1664" spans="1:32" x14ac:dyDescent="0.3">
      <c r="A1664" s="2" t="s">
        <v>4455</v>
      </c>
      <c r="B1664" s="2">
        <f t="shared" si="336"/>
        <v>1</v>
      </c>
      <c r="C1664" s="12">
        <f t="shared" si="348"/>
        <v>46238.589103310187</v>
      </c>
      <c r="D1664" s="13">
        <v>46238.589103310187</v>
      </c>
      <c r="E1664" s="2" t="s">
        <v>4456</v>
      </c>
      <c r="F1664" s="2" t="str">
        <f t="shared" si="337"/>
        <v>Email Available</v>
      </c>
      <c r="G1664" s="2" t="s">
        <v>266</v>
      </c>
      <c r="H1664" s="2" t="s">
        <v>279</v>
      </c>
      <c r="I1664" s="2" t="s">
        <v>22</v>
      </c>
      <c r="J1664" s="2" t="s">
        <v>280</v>
      </c>
      <c r="K1664" s="2">
        <v>1</v>
      </c>
      <c r="L1664" s="2">
        <v>24.99</v>
      </c>
      <c r="M1664" s="19">
        <f t="shared" si="338"/>
        <v>24.99</v>
      </c>
      <c r="N1664" s="2" t="s">
        <v>118</v>
      </c>
      <c r="O1664" s="2" t="str">
        <f t="shared" si="339"/>
        <v>BFCM25</v>
      </c>
      <c r="P1664" s="2">
        <v>6.25</v>
      </c>
      <c r="Q1664" s="19">
        <f t="shared" si="340"/>
        <v>6.25</v>
      </c>
      <c r="R1664" s="2" t="str">
        <f t="shared" si="341"/>
        <v>Number</v>
      </c>
      <c r="S1664" s="2">
        <v>7.99</v>
      </c>
      <c r="T1664" s="19">
        <f t="shared" si="342"/>
        <v>7.99</v>
      </c>
      <c r="U1664" s="2">
        <v>26.73</v>
      </c>
      <c r="V1664" s="19">
        <f t="shared" si="343"/>
        <v>26.73</v>
      </c>
      <c r="W1664" s="19">
        <f t="shared" si="344"/>
        <v>26.729999999999997</v>
      </c>
      <c r="X1664" s="19" t="str">
        <f t="shared" si="345"/>
        <v>True</v>
      </c>
      <c r="Y1664" s="19" t="str">
        <f>IF(OR(W1664&lt;'Cleaning Tasks'!$G$18,W1664&gt;'Cleaning Tasks'!$H$18),"Outlier","Normal")</f>
        <v>Normal</v>
      </c>
      <c r="Z1664" s="2" t="s">
        <v>72</v>
      </c>
      <c r="AA1664" s="2" t="s">
        <v>88</v>
      </c>
      <c r="AB1664" s="2" t="s">
        <v>41</v>
      </c>
      <c r="AC1664" s="2" t="s">
        <v>29</v>
      </c>
      <c r="AD1664" s="2" t="s">
        <v>51</v>
      </c>
      <c r="AE1664" s="2" t="str">
        <f t="shared" si="346"/>
        <v>Valid</v>
      </c>
      <c r="AF1664" s="2" t="s">
        <v>4188</v>
      </c>
    </row>
    <row r="1665" spans="1:32" x14ac:dyDescent="0.3">
      <c r="A1665" s="2" t="s">
        <v>4457</v>
      </c>
      <c r="B1665" s="2">
        <f t="shared" si="336"/>
        <v>1</v>
      </c>
      <c r="C1665" s="12">
        <f t="shared" si="348"/>
        <v>46238.584786932872</v>
      </c>
      <c r="D1665" s="13">
        <v>46238.584786932872</v>
      </c>
      <c r="E1665" s="2" t="s">
        <v>164</v>
      </c>
      <c r="F1665" s="2" t="str">
        <f t="shared" si="337"/>
        <v>Missing Email</v>
      </c>
      <c r="G1665" s="2"/>
      <c r="H1665" s="2" t="s">
        <v>35</v>
      </c>
      <c r="I1665" s="2" t="s">
        <v>36</v>
      </c>
      <c r="J1665" s="2" t="s">
        <v>37</v>
      </c>
      <c r="K1665" s="2">
        <v>4</v>
      </c>
      <c r="L1665" s="2">
        <v>21.99</v>
      </c>
      <c r="M1665" s="19">
        <f t="shared" si="338"/>
        <v>21.99</v>
      </c>
      <c r="N1665" s="2"/>
      <c r="O1665" s="2" t="str">
        <f t="shared" si="339"/>
        <v/>
      </c>
      <c r="P1665" s="2">
        <v>0</v>
      </c>
      <c r="Q1665" s="19">
        <f t="shared" si="340"/>
        <v>0</v>
      </c>
      <c r="R1665" s="2" t="str">
        <f t="shared" si="341"/>
        <v>Number</v>
      </c>
      <c r="S1665" s="2">
        <v>0</v>
      </c>
      <c r="T1665" s="19">
        <f t="shared" si="342"/>
        <v>0</v>
      </c>
      <c r="U1665" s="2">
        <v>87.96</v>
      </c>
      <c r="V1665" s="19">
        <f t="shared" si="343"/>
        <v>87.96</v>
      </c>
      <c r="W1665" s="19">
        <f t="shared" si="344"/>
        <v>87.96</v>
      </c>
      <c r="X1665" s="19" t="str">
        <f t="shared" si="345"/>
        <v>True</v>
      </c>
      <c r="Y1665" s="19" t="str">
        <f>IF(OR(W1665&lt;'Cleaning Tasks'!$G$18,W1665&gt;'Cleaning Tasks'!$H$18),"Outlier","Normal")</f>
        <v>Outlier</v>
      </c>
      <c r="Z1665" s="2" t="s">
        <v>39</v>
      </c>
      <c r="AA1665" s="2" t="s">
        <v>111</v>
      </c>
      <c r="AB1665" s="2" t="s">
        <v>50</v>
      </c>
      <c r="AC1665" s="2" t="s">
        <v>105</v>
      </c>
      <c r="AD1665" s="2"/>
      <c r="AE1665" s="2" t="str">
        <f t="shared" si="346"/>
        <v>Not Required</v>
      </c>
      <c r="AF1665" s="2" t="s">
        <v>4458</v>
      </c>
    </row>
    <row r="1666" spans="1:32" x14ac:dyDescent="0.3">
      <c r="A1666" s="2" t="s">
        <v>4459</v>
      </c>
      <c r="B1666" s="2">
        <f t="shared" ref="B1666:B1729" si="349">COUNTIF($A$2:$A$1993,A1666)</f>
        <v>1</v>
      </c>
      <c r="C1666" s="12">
        <f t="shared" si="348"/>
        <v>46238.581403240743</v>
      </c>
      <c r="D1666" s="13">
        <v>46238.581403240743</v>
      </c>
      <c r="E1666" s="2" t="s">
        <v>602</v>
      </c>
      <c r="F1666" s="2" t="str">
        <f t="shared" ref="F1666:F1729" si="350">IF(TRIM(G1666)="","Missing Email","Email Available")</f>
        <v>Email Available</v>
      </c>
      <c r="G1666" s="2" t="s">
        <v>603</v>
      </c>
      <c r="H1666" s="2" t="s">
        <v>78</v>
      </c>
      <c r="I1666" s="2" t="s">
        <v>79</v>
      </c>
      <c r="J1666" s="2" t="s">
        <v>80</v>
      </c>
      <c r="K1666" s="2">
        <v>4</v>
      </c>
      <c r="L1666" s="2">
        <v>89.99</v>
      </c>
      <c r="M1666" s="19">
        <f t="shared" ref="M1666:M1729" si="351">IF(ISNUMBER(L1666),L1666,VALUE(SUBSTITUTE(L1666,"$","")))</f>
        <v>89.99</v>
      </c>
      <c r="N1666" s="2"/>
      <c r="O1666" s="2" t="str">
        <f t="shared" ref="O1666:O1729" si="352">IF(TRIM(N1666)="","",UPPER(TRIM(SUBSTITUTE(N1666,CHAR(160)," "))))</f>
        <v/>
      </c>
      <c r="P1666" s="2">
        <v>0</v>
      </c>
      <c r="Q1666" s="19">
        <f t="shared" ref="Q1666:Q1729" si="353">IF(ISNUMBER(P1666),P1666,VALUE(TRIM(SUBSTITUTE(P1666,"$",""))))</f>
        <v>0</v>
      </c>
      <c r="R1666" s="2" t="str">
        <f t="shared" ref="R1666:R1729" si="354">IF(ISNUMBER(Q1666),"Number","Text")</f>
        <v>Number</v>
      </c>
      <c r="S1666" s="2">
        <v>0</v>
      </c>
      <c r="T1666" s="19">
        <f t="shared" ref="T1666:T1729" si="355">IF(ISNUMBER(S1666),S1666,VALUE(TRIM(SUBSTITUTE(S1666,"$",""))))</f>
        <v>0</v>
      </c>
      <c r="U1666" s="2">
        <v>359.96</v>
      </c>
      <c r="V1666" s="19">
        <f t="shared" ref="V1666:V1729" si="356">IF(ISNUMBER(U1666),U1666,VALUE(TRIM(SUBSTITUTE(U1666,"$",""))))</f>
        <v>359.96</v>
      </c>
      <c r="W1666" s="19">
        <f t="shared" ref="W1666:W1729" si="357">((M1666*K1666)-Q1666)+T1666</f>
        <v>359.96</v>
      </c>
      <c r="X1666" s="19" t="str">
        <f t="shared" ref="X1666:X1729" si="358">IF(V1666=W1666,"True","False")</f>
        <v>True</v>
      </c>
      <c r="Y1666" s="19" t="str">
        <f>IF(OR(W1666&lt;'Cleaning Tasks'!$G$18,W1666&gt;'Cleaning Tasks'!$H$18),"Outlier","Normal")</f>
        <v>Outlier</v>
      </c>
      <c r="Z1666" s="2" t="s">
        <v>66</v>
      </c>
      <c r="AA1666" s="2" t="s">
        <v>88</v>
      </c>
      <c r="AB1666" s="2" t="s">
        <v>41</v>
      </c>
      <c r="AC1666" s="2" t="s">
        <v>42</v>
      </c>
      <c r="AD1666" s="2"/>
      <c r="AE1666" s="2" t="str">
        <f t="shared" ref="AE1666:AE1729" si="359">IF(AND(AC1666="United States",AD1666=""),"Missing state",IF(AD1666="","Not Required","Valid"))</f>
        <v>Not Required</v>
      </c>
      <c r="AF1666" s="2" t="s">
        <v>4460</v>
      </c>
    </row>
    <row r="1667" spans="1:32" x14ac:dyDescent="0.3">
      <c r="A1667" s="2" t="s">
        <v>4461</v>
      </c>
      <c r="B1667" s="2">
        <f t="shared" si="349"/>
        <v>1</v>
      </c>
      <c r="C1667" s="12">
        <f t="shared" si="348"/>
        <v>46238.584466458327</v>
      </c>
      <c r="D1667" s="13">
        <v>46238.584466458327</v>
      </c>
      <c r="E1667" s="2" t="s">
        <v>234</v>
      </c>
      <c r="F1667" s="2" t="str">
        <f t="shared" si="350"/>
        <v>Email Available</v>
      </c>
      <c r="G1667" s="2" t="s">
        <v>235</v>
      </c>
      <c r="H1667" s="2" t="s">
        <v>124</v>
      </c>
      <c r="I1667" s="2" t="s">
        <v>79</v>
      </c>
      <c r="J1667" s="2" t="s">
        <v>125</v>
      </c>
      <c r="K1667" s="2">
        <v>1</v>
      </c>
      <c r="L1667" s="2">
        <v>13.99</v>
      </c>
      <c r="M1667" s="19">
        <f t="shared" si="351"/>
        <v>13.99</v>
      </c>
      <c r="N1667" s="2"/>
      <c r="O1667" s="2" t="str">
        <f t="shared" si="352"/>
        <v/>
      </c>
      <c r="P1667" s="2">
        <v>0</v>
      </c>
      <c r="Q1667" s="19">
        <f t="shared" si="353"/>
        <v>0</v>
      </c>
      <c r="R1667" s="2" t="str">
        <f t="shared" si="354"/>
        <v>Number</v>
      </c>
      <c r="S1667" s="2">
        <v>5.99</v>
      </c>
      <c r="T1667" s="19">
        <f t="shared" si="355"/>
        <v>5.99</v>
      </c>
      <c r="U1667" s="2">
        <v>19.98</v>
      </c>
      <c r="V1667" s="19">
        <f t="shared" si="356"/>
        <v>19.98</v>
      </c>
      <c r="W1667" s="19">
        <f t="shared" si="357"/>
        <v>19.98</v>
      </c>
      <c r="X1667" s="19" t="str">
        <f t="shared" si="358"/>
        <v>True</v>
      </c>
      <c r="Y1667" s="19" t="str">
        <f>IF(OR(W1667&lt;'Cleaning Tasks'!$G$18,W1667&gt;'Cleaning Tasks'!$H$18),"Outlier","Normal")</f>
        <v>Normal</v>
      </c>
      <c r="Z1667" s="2" t="s">
        <v>26</v>
      </c>
      <c r="AA1667" s="2" t="s">
        <v>27</v>
      </c>
      <c r="AB1667" s="2" t="s">
        <v>41</v>
      </c>
      <c r="AC1667" s="2" t="s">
        <v>73</v>
      </c>
      <c r="AD1667" s="2"/>
      <c r="AE1667" s="2" t="str">
        <f t="shared" si="359"/>
        <v>Not Required</v>
      </c>
      <c r="AF1667" s="2" t="s">
        <v>4462</v>
      </c>
    </row>
    <row r="1668" spans="1:32" x14ac:dyDescent="0.3">
      <c r="A1668" s="2" t="s">
        <v>4463</v>
      </c>
      <c r="B1668" s="2">
        <f t="shared" si="349"/>
        <v>1</v>
      </c>
      <c r="C1668" s="12">
        <f t="shared" si="348"/>
        <v>46238.583429409722</v>
      </c>
      <c r="D1668" s="13">
        <v>46238.583429409722</v>
      </c>
      <c r="E1668" s="2" t="s">
        <v>160</v>
      </c>
      <c r="F1668" s="2" t="str">
        <f t="shared" si="350"/>
        <v>Email Available</v>
      </c>
      <c r="G1668" s="2" t="s">
        <v>161</v>
      </c>
      <c r="H1668" s="2" t="s">
        <v>152</v>
      </c>
      <c r="I1668" s="2" t="s">
        <v>36</v>
      </c>
      <c r="J1668" s="2" t="s">
        <v>153</v>
      </c>
      <c r="K1668" s="2">
        <v>1</v>
      </c>
      <c r="L1668" s="2">
        <v>29.99</v>
      </c>
      <c r="M1668" s="19">
        <f t="shared" si="351"/>
        <v>29.99</v>
      </c>
      <c r="N1668" s="2" t="s">
        <v>118</v>
      </c>
      <c r="O1668" s="2" t="str">
        <f t="shared" si="352"/>
        <v>BFCM25</v>
      </c>
      <c r="P1668" s="2">
        <v>7.5</v>
      </c>
      <c r="Q1668" s="19">
        <f t="shared" si="353"/>
        <v>7.5</v>
      </c>
      <c r="R1668" s="2" t="str">
        <f t="shared" si="354"/>
        <v>Number</v>
      </c>
      <c r="S1668" s="2">
        <v>7.99</v>
      </c>
      <c r="T1668" s="19">
        <f t="shared" si="355"/>
        <v>7.99</v>
      </c>
      <c r="U1668" s="2">
        <v>30.48</v>
      </c>
      <c r="V1668" s="19">
        <f t="shared" si="356"/>
        <v>30.48</v>
      </c>
      <c r="W1668" s="19">
        <f t="shared" si="357"/>
        <v>30.479999999999997</v>
      </c>
      <c r="X1668" s="19" t="str">
        <f t="shared" si="358"/>
        <v>True</v>
      </c>
      <c r="Y1668" s="19" t="str">
        <f>IF(OR(W1668&lt;'Cleaning Tasks'!$G$18,W1668&gt;'Cleaning Tasks'!$H$18),"Outlier","Normal")</f>
        <v>Normal</v>
      </c>
      <c r="Z1668" s="2" t="s">
        <v>39</v>
      </c>
      <c r="AA1668" s="2" t="s">
        <v>27</v>
      </c>
      <c r="AB1668" s="2" t="s">
        <v>50</v>
      </c>
      <c r="AC1668" s="2" t="s">
        <v>29</v>
      </c>
      <c r="AD1668" s="22" t="s">
        <v>140</v>
      </c>
      <c r="AE1668" s="2" t="str">
        <f t="shared" si="359"/>
        <v>Valid</v>
      </c>
      <c r="AF1668" s="2" t="s">
        <v>4464</v>
      </c>
    </row>
    <row r="1669" spans="1:32" x14ac:dyDescent="0.3">
      <c r="A1669" s="2" t="s">
        <v>4465</v>
      </c>
      <c r="B1669" s="2">
        <f t="shared" si="349"/>
        <v>1</v>
      </c>
      <c r="C1669" s="12">
        <f t="shared" si="348"/>
        <v>46238.580109976851</v>
      </c>
      <c r="D1669" s="13">
        <v>46238.580109976851</v>
      </c>
      <c r="E1669" s="2" t="s">
        <v>740</v>
      </c>
      <c r="F1669" s="2" t="str">
        <f t="shared" si="350"/>
        <v>Email Available</v>
      </c>
      <c r="G1669" s="2" t="s">
        <v>741</v>
      </c>
      <c r="H1669" s="2" t="s">
        <v>236</v>
      </c>
      <c r="I1669" s="2" t="s">
        <v>237</v>
      </c>
      <c r="J1669" s="2" t="s">
        <v>238</v>
      </c>
      <c r="K1669" s="2">
        <v>2</v>
      </c>
      <c r="L1669" s="2">
        <v>27.99</v>
      </c>
      <c r="M1669" s="19">
        <f t="shared" si="351"/>
        <v>27.99</v>
      </c>
      <c r="N1669" s="2" t="s">
        <v>203</v>
      </c>
      <c r="O1669" s="2" t="str">
        <f t="shared" si="352"/>
        <v>VIP15</v>
      </c>
      <c r="P1669" s="2">
        <v>8.4</v>
      </c>
      <c r="Q1669" s="19">
        <f t="shared" si="353"/>
        <v>8.4</v>
      </c>
      <c r="R1669" s="2" t="str">
        <f t="shared" si="354"/>
        <v>Number</v>
      </c>
      <c r="S1669" s="2">
        <v>5.99</v>
      </c>
      <c r="T1669" s="19">
        <f t="shared" si="355"/>
        <v>5.99</v>
      </c>
      <c r="U1669" s="2">
        <v>53.57</v>
      </c>
      <c r="V1669" s="19">
        <f t="shared" si="356"/>
        <v>53.57</v>
      </c>
      <c r="W1669" s="19">
        <f t="shared" si="357"/>
        <v>53.57</v>
      </c>
      <c r="X1669" s="19" t="str">
        <f t="shared" si="358"/>
        <v>True</v>
      </c>
      <c r="Y1669" s="19" t="str">
        <f>IF(OR(W1669&lt;'Cleaning Tasks'!$G$18,W1669&gt;'Cleaning Tasks'!$H$18),"Outlier","Normal")</f>
        <v>Normal</v>
      </c>
      <c r="Z1669" s="2" t="s">
        <v>72</v>
      </c>
      <c r="AA1669" s="2" t="s">
        <v>111</v>
      </c>
      <c r="AB1669" s="2" t="s">
        <v>41</v>
      </c>
      <c r="AC1669" s="2" t="s">
        <v>105</v>
      </c>
      <c r="AD1669" s="2"/>
      <c r="AE1669" s="2" t="str">
        <f t="shared" si="359"/>
        <v>Not Required</v>
      </c>
      <c r="AF1669" s="2" t="s">
        <v>4466</v>
      </c>
    </row>
    <row r="1670" spans="1:32" x14ac:dyDescent="0.3">
      <c r="A1670" s="2" t="s">
        <v>4467</v>
      </c>
      <c r="B1670" s="2">
        <f t="shared" si="349"/>
        <v>1</v>
      </c>
      <c r="C1670" s="12">
        <f t="shared" si="348"/>
        <v>46238.589108391207</v>
      </c>
      <c r="D1670" s="13">
        <v>46238.589108391207</v>
      </c>
      <c r="E1670" s="2" t="s">
        <v>528</v>
      </c>
      <c r="F1670" s="2" t="str">
        <f t="shared" si="350"/>
        <v>Email Available</v>
      </c>
      <c r="G1670" s="2" t="s">
        <v>529</v>
      </c>
      <c r="H1670" s="2" t="s">
        <v>56</v>
      </c>
      <c r="I1670" s="2" t="s">
        <v>22</v>
      </c>
      <c r="J1670" s="2" t="s">
        <v>57</v>
      </c>
      <c r="K1670" s="2">
        <v>1</v>
      </c>
      <c r="L1670" s="2">
        <v>9.99</v>
      </c>
      <c r="M1670" s="19">
        <f t="shared" si="351"/>
        <v>9.99</v>
      </c>
      <c r="N1670" s="2"/>
      <c r="O1670" s="2" t="str">
        <f t="shared" si="352"/>
        <v/>
      </c>
      <c r="P1670" s="2">
        <v>0</v>
      </c>
      <c r="Q1670" s="19">
        <f t="shared" si="353"/>
        <v>0</v>
      </c>
      <c r="R1670" s="2" t="str">
        <f t="shared" si="354"/>
        <v>Number</v>
      </c>
      <c r="S1670" s="2">
        <v>5.99</v>
      </c>
      <c r="T1670" s="19">
        <f t="shared" si="355"/>
        <v>5.99</v>
      </c>
      <c r="U1670" s="2">
        <v>15.98</v>
      </c>
      <c r="V1670" s="19">
        <f t="shared" si="356"/>
        <v>15.98</v>
      </c>
      <c r="W1670" s="19">
        <f t="shared" si="357"/>
        <v>15.98</v>
      </c>
      <c r="X1670" s="19" t="str">
        <f t="shared" si="358"/>
        <v>True</v>
      </c>
      <c r="Y1670" s="19" t="str">
        <f>IF(OR(W1670&lt;'Cleaning Tasks'!$G$18,W1670&gt;'Cleaning Tasks'!$H$18),"Outlier","Normal")</f>
        <v>Normal</v>
      </c>
      <c r="Z1670" s="2" t="s">
        <v>49</v>
      </c>
      <c r="AA1670" s="2" t="s">
        <v>111</v>
      </c>
      <c r="AB1670" s="2" t="s">
        <v>50</v>
      </c>
      <c r="AC1670" s="2" t="s">
        <v>29</v>
      </c>
      <c r="AD1670" s="2" t="s">
        <v>243</v>
      </c>
      <c r="AE1670" s="2" t="str">
        <f t="shared" si="359"/>
        <v>Valid</v>
      </c>
      <c r="AF1670" s="2" t="s">
        <v>4468</v>
      </c>
    </row>
    <row r="1671" spans="1:32" x14ac:dyDescent="0.3">
      <c r="A1671" s="2" t="s">
        <v>4469</v>
      </c>
      <c r="B1671" s="2">
        <f t="shared" si="349"/>
        <v>1</v>
      </c>
      <c r="C1671" s="12">
        <f t="shared" si="348"/>
        <v>46238.585209317127</v>
      </c>
      <c r="D1671" s="13">
        <v>46238.585209317127</v>
      </c>
      <c r="E1671" s="2" t="s">
        <v>673</v>
      </c>
      <c r="F1671" s="2" t="str">
        <f t="shared" si="350"/>
        <v>Email Available</v>
      </c>
      <c r="G1671" s="2" t="s">
        <v>674</v>
      </c>
      <c r="H1671" s="2" t="s">
        <v>152</v>
      </c>
      <c r="I1671" s="2" t="s">
        <v>36</v>
      </c>
      <c r="J1671" s="2" t="s">
        <v>153</v>
      </c>
      <c r="K1671" s="2">
        <v>1</v>
      </c>
      <c r="L1671" s="2">
        <v>29.99</v>
      </c>
      <c r="M1671" s="19">
        <f t="shared" si="351"/>
        <v>29.99</v>
      </c>
      <c r="N1671" s="2" t="s">
        <v>38</v>
      </c>
      <c r="O1671" s="2" t="str">
        <f t="shared" si="352"/>
        <v>FREESHIP</v>
      </c>
      <c r="P1671" s="2">
        <v>0</v>
      </c>
      <c r="Q1671" s="19">
        <f t="shared" si="353"/>
        <v>0</v>
      </c>
      <c r="R1671" s="2" t="str">
        <f t="shared" si="354"/>
        <v>Number</v>
      </c>
      <c r="S1671" s="2">
        <v>0</v>
      </c>
      <c r="T1671" s="19">
        <f t="shared" si="355"/>
        <v>0</v>
      </c>
      <c r="U1671" s="2">
        <v>29.99</v>
      </c>
      <c r="V1671" s="19">
        <f t="shared" si="356"/>
        <v>29.99</v>
      </c>
      <c r="W1671" s="19">
        <f t="shared" si="357"/>
        <v>29.99</v>
      </c>
      <c r="X1671" s="19" t="str">
        <f t="shared" si="358"/>
        <v>True</v>
      </c>
      <c r="Y1671" s="19" t="str">
        <f>IF(OR(W1671&lt;'Cleaning Tasks'!$G$18,W1671&gt;'Cleaning Tasks'!$H$18),"Outlier","Normal")</f>
        <v>Normal</v>
      </c>
      <c r="Z1671" s="2" t="s">
        <v>72</v>
      </c>
      <c r="AA1671" s="2" t="s">
        <v>111</v>
      </c>
      <c r="AB1671" s="2" t="s">
        <v>50</v>
      </c>
      <c r="AC1671" s="2" t="s">
        <v>73</v>
      </c>
      <c r="AD1671" s="2"/>
      <c r="AE1671" s="2" t="str">
        <f t="shared" si="359"/>
        <v>Not Required</v>
      </c>
      <c r="AF1671" s="2" t="s">
        <v>4470</v>
      </c>
    </row>
    <row r="1672" spans="1:32" x14ac:dyDescent="0.3">
      <c r="A1672" s="2" t="s">
        <v>4471</v>
      </c>
      <c r="B1672" s="2">
        <f t="shared" si="349"/>
        <v>1</v>
      </c>
      <c r="C1672" s="12">
        <f t="shared" si="348"/>
        <v>46238.584965208327</v>
      </c>
      <c r="D1672" s="13">
        <v>46238.584965208327</v>
      </c>
      <c r="E1672" s="2" t="s">
        <v>993</v>
      </c>
      <c r="F1672" s="2" t="str">
        <f t="shared" si="350"/>
        <v>Email Available</v>
      </c>
      <c r="G1672" s="2" t="s">
        <v>994</v>
      </c>
      <c r="H1672" s="2" t="s">
        <v>146</v>
      </c>
      <c r="I1672" s="2" t="s">
        <v>47</v>
      </c>
      <c r="J1672" s="2" t="s">
        <v>147</v>
      </c>
      <c r="K1672" s="2">
        <v>1</v>
      </c>
      <c r="L1672" s="2">
        <v>34.99</v>
      </c>
      <c r="M1672" s="19">
        <f t="shared" si="351"/>
        <v>34.99</v>
      </c>
      <c r="N1672" s="2"/>
      <c r="O1672" s="2" t="str">
        <f t="shared" si="352"/>
        <v/>
      </c>
      <c r="P1672" s="2">
        <v>0</v>
      </c>
      <c r="Q1672" s="19">
        <f t="shared" si="353"/>
        <v>0</v>
      </c>
      <c r="R1672" s="2" t="str">
        <f t="shared" si="354"/>
        <v>Number</v>
      </c>
      <c r="S1672" s="2">
        <v>5.99</v>
      </c>
      <c r="T1672" s="19">
        <f t="shared" si="355"/>
        <v>5.99</v>
      </c>
      <c r="U1672" s="2">
        <v>40.98</v>
      </c>
      <c r="V1672" s="19">
        <f t="shared" si="356"/>
        <v>40.98</v>
      </c>
      <c r="W1672" s="19">
        <f t="shared" si="357"/>
        <v>40.980000000000004</v>
      </c>
      <c r="X1672" s="19" t="str">
        <f t="shared" si="358"/>
        <v>True</v>
      </c>
      <c r="Y1672" s="19" t="str">
        <f>IF(OR(W1672&lt;'Cleaning Tasks'!$G$18,W1672&gt;'Cleaning Tasks'!$H$18),"Outlier","Normal")</f>
        <v>Normal</v>
      </c>
      <c r="Z1672" s="2" t="s">
        <v>39</v>
      </c>
      <c r="AA1672" s="2" t="s">
        <v>111</v>
      </c>
      <c r="AB1672" s="2" t="s">
        <v>50</v>
      </c>
      <c r="AC1672" s="2" t="s">
        <v>42</v>
      </c>
      <c r="AD1672" s="2"/>
      <c r="AE1672" s="2" t="str">
        <f t="shared" si="359"/>
        <v>Not Required</v>
      </c>
      <c r="AF1672" s="2" t="s">
        <v>2425</v>
      </c>
    </row>
    <row r="1673" spans="1:32" x14ac:dyDescent="0.3">
      <c r="A1673" s="2" t="s">
        <v>4472</v>
      </c>
      <c r="B1673" s="2">
        <f t="shared" si="349"/>
        <v>1</v>
      </c>
      <c r="C1673" s="12">
        <f t="shared" si="348"/>
        <v>46238.581009710651</v>
      </c>
      <c r="D1673" s="13">
        <v>46238.581009710651</v>
      </c>
      <c r="E1673" s="2" t="s">
        <v>303</v>
      </c>
      <c r="F1673" s="2" t="str">
        <f t="shared" si="350"/>
        <v>Email Available</v>
      </c>
      <c r="G1673" s="2" t="s">
        <v>304</v>
      </c>
      <c r="H1673" s="2" t="s">
        <v>63</v>
      </c>
      <c r="I1673" s="2" t="s">
        <v>47</v>
      </c>
      <c r="J1673" s="2" t="s">
        <v>446</v>
      </c>
      <c r="K1673" s="2">
        <v>1</v>
      </c>
      <c r="L1673" s="2">
        <v>14.99</v>
      </c>
      <c r="M1673" s="19">
        <f t="shared" si="351"/>
        <v>14.99</v>
      </c>
      <c r="N1673" s="2" t="s">
        <v>38</v>
      </c>
      <c r="O1673" s="2" t="str">
        <f t="shared" si="352"/>
        <v>FREESHIP</v>
      </c>
      <c r="P1673" s="2">
        <v>0</v>
      </c>
      <c r="Q1673" s="19">
        <f t="shared" si="353"/>
        <v>0</v>
      </c>
      <c r="R1673" s="2" t="str">
        <f t="shared" si="354"/>
        <v>Number</v>
      </c>
      <c r="S1673" s="2">
        <v>0</v>
      </c>
      <c r="T1673" s="19">
        <f t="shared" si="355"/>
        <v>0</v>
      </c>
      <c r="U1673" s="2">
        <v>14.99</v>
      </c>
      <c r="V1673" s="19">
        <f t="shared" si="356"/>
        <v>14.99</v>
      </c>
      <c r="W1673" s="19">
        <f t="shared" si="357"/>
        <v>14.99</v>
      </c>
      <c r="X1673" s="19" t="str">
        <f t="shared" si="358"/>
        <v>True</v>
      </c>
      <c r="Y1673" s="19" t="str">
        <f>IF(OR(W1673&lt;'Cleaning Tasks'!$G$18,W1673&gt;'Cleaning Tasks'!$H$18),"Outlier","Normal")</f>
        <v>Normal</v>
      </c>
      <c r="Z1673" s="2" t="s">
        <v>26</v>
      </c>
      <c r="AA1673" s="2" t="s">
        <v>27</v>
      </c>
      <c r="AB1673" s="2" t="s">
        <v>96</v>
      </c>
      <c r="AC1673" s="2" t="s">
        <v>29</v>
      </c>
      <c r="AD1673" s="2" t="s">
        <v>89</v>
      </c>
      <c r="AE1673" s="2" t="str">
        <f t="shared" si="359"/>
        <v>Valid</v>
      </c>
      <c r="AF1673" s="2" t="s">
        <v>4473</v>
      </c>
    </row>
    <row r="1674" spans="1:32" x14ac:dyDescent="0.3">
      <c r="A1674" s="2" t="s">
        <v>4474</v>
      </c>
      <c r="B1674" s="2">
        <f t="shared" si="349"/>
        <v>1</v>
      </c>
      <c r="C1674" s="12">
        <f t="shared" si="348"/>
        <v>46238.586292222222</v>
      </c>
      <c r="D1674" s="13">
        <v>46238.586292222222</v>
      </c>
      <c r="E1674" s="2" t="s">
        <v>4475</v>
      </c>
      <c r="F1674" s="2" t="str">
        <f t="shared" si="350"/>
        <v>Email Available</v>
      </c>
      <c r="G1674" s="2" t="s">
        <v>3812</v>
      </c>
      <c r="H1674" s="2" t="s">
        <v>56</v>
      </c>
      <c r="I1674" s="2" t="s">
        <v>22</v>
      </c>
      <c r="J1674" s="2" t="s">
        <v>57</v>
      </c>
      <c r="K1674" s="2">
        <v>1</v>
      </c>
      <c r="L1674" s="2">
        <v>9.99</v>
      </c>
      <c r="M1674" s="19">
        <f t="shared" si="351"/>
        <v>9.99</v>
      </c>
      <c r="N1674" s="2"/>
      <c r="O1674" s="2" t="str">
        <f t="shared" si="352"/>
        <v/>
      </c>
      <c r="P1674" s="2" t="s">
        <v>184</v>
      </c>
      <c r="Q1674" s="19">
        <f t="shared" si="353"/>
        <v>0</v>
      </c>
      <c r="R1674" s="2" t="str">
        <f t="shared" si="354"/>
        <v>Number</v>
      </c>
      <c r="S1674" s="2">
        <v>4.99</v>
      </c>
      <c r="T1674" s="19">
        <f t="shared" si="355"/>
        <v>4.99</v>
      </c>
      <c r="U1674" s="2">
        <v>14.98</v>
      </c>
      <c r="V1674" s="19">
        <f t="shared" si="356"/>
        <v>14.98</v>
      </c>
      <c r="W1674" s="19">
        <f t="shared" si="357"/>
        <v>14.98</v>
      </c>
      <c r="X1674" s="19" t="str">
        <f t="shared" si="358"/>
        <v>True</v>
      </c>
      <c r="Y1674" s="19" t="str">
        <f>IF(OR(W1674&lt;'Cleaning Tasks'!$G$18,W1674&gt;'Cleaning Tasks'!$H$18),"Outlier","Normal")</f>
        <v>Normal</v>
      </c>
      <c r="Z1674" s="2" t="s">
        <v>72</v>
      </c>
      <c r="AA1674" s="2" t="s">
        <v>111</v>
      </c>
      <c r="AB1674" s="2" t="s">
        <v>41</v>
      </c>
      <c r="AC1674" s="2" t="s">
        <v>105</v>
      </c>
      <c r="AD1674" s="2"/>
      <c r="AE1674" s="2" t="str">
        <f t="shared" si="359"/>
        <v>Not Required</v>
      </c>
      <c r="AF1674" s="2" t="s">
        <v>1898</v>
      </c>
    </row>
    <row r="1675" spans="1:32" x14ac:dyDescent="0.3">
      <c r="A1675" s="2" t="s">
        <v>4476</v>
      </c>
      <c r="B1675" s="2">
        <f t="shared" si="349"/>
        <v>1</v>
      </c>
      <c r="C1675" s="12">
        <f t="shared" ref="C1675:C1706" si="360">IF(ISNUMBER(D1675),D1675,DATEVALUE(SUBSTITUTE(TRIM(D1675),CHAR(160)," ")))</f>
        <v>46238.579060671298</v>
      </c>
      <c r="D1675" s="13">
        <v>46238.579060671298</v>
      </c>
      <c r="E1675" s="2" t="s">
        <v>1363</v>
      </c>
      <c r="F1675" s="2" t="str">
        <f t="shared" si="350"/>
        <v>Missing Email</v>
      </c>
      <c r="G1675" s="2"/>
      <c r="H1675" s="2" t="s">
        <v>85</v>
      </c>
      <c r="I1675" s="2" t="s">
        <v>86</v>
      </c>
      <c r="J1675" s="2" t="s">
        <v>87</v>
      </c>
      <c r="K1675" s="2">
        <v>1</v>
      </c>
      <c r="L1675" s="2">
        <v>54.99</v>
      </c>
      <c r="M1675" s="19">
        <f t="shared" si="351"/>
        <v>54.99</v>
      </c>
      <c r="N1675" s="2"/>
      <c r="O1675" s="2" t="str">
        <f t="shared" si="352"/>
        <v/>
      </c>
      <c r="P1675" s="2">
        <v>0</v>
      </c>
      <c r="Q1675" s="19">
        <f t="shared" si="353"/>
        <v>0</v>
      </c>
      <c r="R1675" s="2" t="str">
        <f t="shared" si="354"/>
        <v>Number</v>
      </c>
      <c r="S1675" s="2">
        <v>7.99</v>
      </c>
      <c r="T1675" s="19">
        <f t="shared" si="355"/>
        <v>7.99</v>
      </c>
      <c r="U1675" s="2">
        <v>62.98</v>
      </c>
      <c r="V1675" s="19">
        <f t="shared" si="356"/>
        <v>62.98</v>
      </c>
      <c r="W1675" s="19">
        <f t="shared" si="357"/>
        <v>62.980000000000004</v>
      </c>
      <c r="X1675" s="19" t="str">
        <f t="shared" si="358"/>
        <v>True</v>
      </c>
      <c r="Y1675" s="19" t="str">
        <f>IF(OR(W1675&lt;'Cleaning Tasks'!$G$18,W1675&gt;'Cleaning Tasks'!$H$18),"Outlier","Normal")</f>
        <v>Normal</v>
      </c>
      <c r="Z1675" s="2" t="s">
        <v>49</v>
      </c>
      <c r="AA1675" s="2" t="s">
        <v>27</v>
      </c>
      <c r="AB1675" s="2" t="s">
        <v>50</v>
      </c>
      <c r="AC1675" s="2" t="s">
        <v>223</v>
      </c>
      <c r="AD1675" s="2"/>
      <c r="AE1675" s="2" t="str">
        <f t="shared" si="359"/>
        <v>Not Required</v>
      </c>
      <c r="AF1675" s="2" t="s">
        <v>4477</v>
      </c>
    </row>
    <row r="1676" spans="1:32" x14ac:dyDescent="0.3">
      <c r="A1676" s="2" t="s">
        <v>4478</v>
      </c>
      <c r="B1676" s="2">
        <f t="shared" si="349"/>
        <v>1</v>
      </c>
      <c r="C1676" s="12">
        <f t="shared" si="360"/>
        <v>46238.58286480324</v>
      </c>
      <c r="D1676" s="13">
        <v>46238.58286480324</v>
      </c>
      <c r="E1676" s="2" t="s">
        <v>3969</v>
      </c>
      <c r="F1676" s="2" t="str">
        <f t="shared" si="350"/>
        <v>Email Available</v>
      </c>
      <c r="G1676" s="2" t="s">
        <v>4140</v>
      </c>
      <c r="H1676" s="2" t="s">
        <v>236</v>
      </c>
      <c r="I1676" s="2" t="s">
        <v>237</v>
      </c>
      <c r="J1676" s="2" t="s">
        <v>238</v>
      </c>
      <c r="K1676" s="2">
        <v>2</v>
      </c>
      <c r="L1676" s="2">
        <v>27.99</v>
      </c>
      <c r="M1676" s="19">
        <f t="shared" si="351"/>
        <v>27.99</v>
      </c>
      <c r="N1676" s="2" t="s">
        <v>38</v>
      </c>
      <c r="O1676" s="2" t="str">
        <f t="shared" si="352"/>
        <v>FREESHIP</v>
      </c>
      <c r="P1676" s="2">
        <v>0</v>
      </c>
      <c r="Q1676" s="19">
        <f t="shared" si="353"/>
        <v>0</v>
      </c>
      <c r="R1676" s="2" t="str">
        <f t="shared" si="354"/>
        <v>Number</v>
      </c>
      <c r="S1676" s="2">
        <v>0</v>
      </c>
      <c r="T1676" s="19">
        <f t="shared" si="355"/>
        <v>0</v>
      </c>
      <c r="U1676" s="2">
        <v>55.98</v>
      </c>
      <c r="V1676" s="19">
        <f t="shared" si="356"/>
        <v>55.98</v>
      </c>
      <c r="W1676" s="19">
        <f t="shared" si="357"/>
        <v>55.98</v>
      </c>
      <c r="X1676" s="19" t="str">
        <f t="shared" si="358"/>
        <v>True</v>
      </c>
      <c r="Y1676" s="19" t="str">
        <f>IF(OR(W1676&lt;'Cleaning Tasks'!$G$18,W1676&gt;'Cleaning Tasks'!$H$18),"Outlier","Normal")</f>
        <v>Normal</v>
      </c>
      <c r="Z1676" s="2" t="s">
        <v>49</v>
      </c>
      <c r="AA1676" s="2" t="s">
        <v>27</v>
      </c>
      <c r="AB1676" s="2" t="s">
        <v>96</v>
      </c>
      <c r="AC1676" s="2" t="s">
        <v>29</v>
      </c>
      <c r="AD1676" s="2" t="s">
        <v>51</v>
      </c>
      <c r="AE1676" s="2" t="str">
        <f t="shared" si="359"/>
        <v>Valid</v>
      </c>
      <c r="AF1676" s="2" t="s">
        <v>4479</v>
      </c>
    </row>
    <row r="1677" spans="1:32" x14ac:dyDescent="0.3">
      <c r="A1677" s="2" t="s">
        <v>4480</v>
      </c>
      <c r="B1677" s="2">
        <f t="shared" si="349"/>
        <v>1</v>
      </c>
      <c r="C1677" s="12">
        <f t="shared" si="360"/>
        <v>46238.583138009257</v>
      </c>
      <c r="D1677" s="13">
        <v>46238.583138009257</v>
      </c>
      <c r="E1677" s="2" t="s">
        <v>654</v>
      </c>
      <c r="F1677" s="2" t="str">
        <f t="shared" si="350"/>
        <v>Email Available</v>
      </c>
      <c r="G1677" s="2" t="s">
        <v>655</v>
      </c>
      <c r="H1677" s="2" t="s">
        <v>361</v>
      </c>
      <c r="I1677" s="2" t="s">
        <v>86</v>
      </c>
      <c r="J1677" s="2" t="s">
        <v>362</v>
      </c>
      <c r="K1677" s="2">
        <v>2</v>
      </c>
      <c r="L1677" s="2">
        <v>54.99</v>
      </c>
      <c r="M1677" s="19">
        <f t="shared" si="351"/>
        <v>54.99</v>
      </c>
      <c r="N1677" s="2" t="s">
        <v>24</v>
      </c>
      <c r="O1677" s="2" t="str">
        <f t="shared" si="352"/>
        <v>SAVE20</v>
      </c>
      <c r="P1677" s="2">
        <v>22</v>
      </c>
      <c r="Q1677" s="19">
        <f t="shared" si="353"/>
        <v>22</v>
      </c>
      <c r="R1677" s="2" t="str">
        <f t="shared" si="354"/>
        <v>Number</v>
      </c>
      <c r="S1677" s="2">
        <v>0</v>
      </c>
      <c r="T1677" s="19">
        <f t="shared" si="355"/>
        <v>0</v>
      </c>
      <c r="U1677" s="2">
        <v>87.98</v>
      </c>
      <c r="V1677" s="19">
        <f t="shared" si="356"/>
        <v>87.98</v>
      </c>
      <c r="W1677" s="19">
        <f t="shared" si="357"/>
        <v>87.98</v>
      </c>
      <c r="X1677" s="19" t="str">
        <f t="shared" si="358"/>
        <v>True</v>
      </c>
      <c r="Y1677" s="19" t="str">
        <f>IF(OR(W1677&lt;'Cleaning Tasks'!$G$18,W1677&gt;'Cleaning Tasks'!$H$18),"Outlier","Normal")</f>
        <v>Outlier</v>
      </c>
      <c r="Z1677" s="2" t="s">
        <v>49</v>
      </c>
      <c r="AA1677" s="2" t="s">
        <v>111</v>
      </c>
      <c r="AB1677" s="2" t="s">
        <v>50</v>
      </c>
      <c r="AC1677" s="2" t="s">
        <v>29</v>
      </c>
      <c r="AD1677" s="2" t="s">
        <v>243</v>
      </c>
      <c r="AE1677" s="2" t="str">
        <f t="shared" si="359"/>
        <v>Valid</v>
      </c>
      <c r="AF1677" s="2" t="s">
        <v>4481</v>
      </c>
    </row>
    <row r="1678" spans="1:32" x14ac:dyDescent="0.3">
      <c r="A1678" s="2" t="s">
        <v>4482</v>
      </c>
      <c r="B1678" s="2">
        <f t="shared" si="349"/>
        <v>1</v>
      </c>
      <c r="C1678" s="12">
        <f t="shared" si="360"/>
        <v>46238.579080914351</v>
      </c>
      <c r="D1678" s="13">
        <v>46238.579080914351</v>
      </c>
      <c r="E1678" s="2" t="s">
        <v>4483</v>
      </c>
      <c r="F1678" s="2" t="str">
        <f t="shared" si="350"/>
        <v>Email Available</v>
      </c>
      <c r="G1678" s="2" t="s">
        <v>4484</v>
      </c>
      <c r="H1678" s="2" t="s">
        <v>35</v>
      </c>
      <c r="I1678" s="2" t="s">
        <v>36</v>
      </c>
      <c r="J1678" s="2" t="s">
        <v>37</v>
      </c>
      <c r="K1678" s="2">
        <v>1</v>
      </c>
      <c r="L1678" s="2">
        <v>21.99</v>
      </c>
      <c r="M1678" s="19">
        <f t="shared" si="351"/>
        <v>21.99</v>
      </c>
      <c r="N1678" s="2"/>
      <c r="O1678" s="2" t="str">
        <f t="shared" si="352"/>
        <v/>
      </c>
      <c r="P1678" s="2">
        <v>0</v>
      </c>
      <c r="Q1678" s="19">
        <f t="shared" si="353"/>
        <v>0</v>
      </c>
      <c r="R1678" s="2" t="str">
        <f t="shared" si="354"/>
        <v>Number</v>
      </c>
      <c r="S1678" s="2">
        <v>4.99</v>
      </c>
      <c r="T1678" s="19">
        <f t="shared" si="355"/>
        <v>4.99</v>
      </c>
      <c r="U1678" s="2">
        <v>26.98</v>
      </c>
      <c r="V1678" s="19">
        <f t="shared" si="356"/>
        <v>26.98</v>
      </c>
      <c r="W1678" s="19">
        <f t="shared" si="357"/>
        <v>26.979999999999997</v>
      </c>
      <c r="X1678" s="19" t="str">
        <f t="shared" si="358"/>
        <v>True</v>
      </c>
      <c r="Y1678" s="19" t="str">
        <f>IF(OR(W1678&lt;'Cleaning Tasks'!$G$18,W1678&gt;'Cleaning Tasks'!$H$18),"Outlier","Normal")</f>
        <v>Normal</v>
      </c>
      <c r="Z1678" s="2" t="s">
        <v>72</v>
      </c>
      <c r="AA1678" s="2" t="s">
        <v>40</v>
      </c>
      <c r="AB1678" s="2" t="s">
        <v>41</v>
      </c>
      <c r="AC1678" s="2" t="s">
        <v>331</v>
      </c>
      <c r="AD1678" s="2"/>
      <c r="AE1678" s="2" t="str">
        <f t="shared" si="359"/>
        <v>Not Required</v>
      </c>
      <c r="AF1678" s="2" t="s">
        <v>4485</v>
      </c>
    </row>
    <row r="1679" spans="1:32" x14ac:dyDescent="0.3">
      <c r="A1679" s="2" t="s">
        <v>4486</v>
      </c>
      <c r="B1679" s="2">
        <f t="shared" si="349"/>
        <v>1</v>
      </c>
      <c r="C1679" s="12">
        <f t="shared" si="360"/>
        <v>46238.581195763887</v>
      </c>
      <c r="D1679" s="13">
        <v>46238.581195763887</v>
      </c>
      <c r="E1679" s="2" t="s">
        <v>993</v>
      </c>
      <c r="F1679" s="2" t="str">
        <f t="shared" si="350"/>
        <v>Email Available</v>
      </c>
      <c r="G1679" s="2" t="s">
        <v>994</v>
      </c>
      <c r="H1679" s="2" t="s">
        <v>109</v>
      </c>
      <c r="I1679" s="2" t="s">
        <v>79</v>
      </c>
      <c r="J1679" s="2" t="s">
        <v>110</v>
      </c>
      <c r="K1679" s="2">
        <v>3</v>
      </c>
      <c r="L1679" s="2" t="s">
        <v>990</v>
      </c>
      <c r="M1679" s="19">
        <f t="shared" si="351"/>
        <v>22.99</v>
      </c>
      <c r="N1679" s="2" t="s">
        <v>38</v>
      </c>
      <c r="O1679" s="2" t="str">
        <f t="shared" si="352"/>
        <v>FREESHIP</v>
      </c>
      <c r="P1679" s="2">
        <v>0</v>
      </c>
      <c r="Q1679" s="19">
        <f t="shared" si="353"/>
        <v>0</v>
      </c>
      <c r="R1679" s="2" t="str">
        <f t="shared" si="354"/>
        <v>Number</v>
      </c>
      <c r="S1679" s="2">
        <v>0</v>
      </c>
      <c r="T1679" s="19">
        <f t="shared" si="355"/>
        <v>0</v>
      </c>
      <c r="U1679" s="2">
        <v>68.97</v>
      </c>
      <c r="V1679" s="19">
        <f t="shared" si="356"/>
        <v>68.97</v>
      </c>
      <c r="W1679" s="19">
        <f t="shared" si="357"/>
        <v>68.97</v>
      </c>
      <c r="X1679" s="19" t="str">
        <f t="shared" si="358"/>
        <v>True</v>
      </c>
      <c r="Y1679" s="19" t="str">
        <f>IF(OR(W1679&lt;'Cleaning Tasks'!$G$18,W1679&gt;'Cleaning Tasks'!$H$18),"Outlier","Normal")</f>
        <v>Normal</v>
      </c>
      <c r="Z1679" s="2" t="s">
        <v>39</v>
      </c>
      <c r="AA1679" s="2" t="s">
        <v>88</v>
      </c>
      <c r="AB1679" s="2" t="s">
        <v>50</v>
      </c>
      <c r="AC1679" s="2" t="s">
        <v>42</v>
      </c>
      <c r="AD1679" s="2"/>
      <c r="AE1679" s="2" t="str">
        <f t="shared" si="359"/>
        <v>Not Required</v>
      </c>
      <c r="AF1679" s="2" t="s">
        <v>4487</v>
      </c>
    </row>
    <row r="1680" spans="1:32" x14ac:dyDescent="0.3">
      <c r="A1680" s="2" t="s">
        <v>4488</v>
      </c>
      <c r="B1680" s="2">
        <f t="shared" si="349"/>
        <v>1</v>
      </c>
      <c r="C1680" s="12">
        <f t="shared" si="360"/>
        <v>46238.587424826394</v>
      </c>
      <c r="D1680" s="13">
        <v>46238.587424826394</v>
      </c>
      <c r="E1680" s="2" t="s">
        <v>815</v>
      </c>
      <c r="F1680" s="2" t="str">
        <f t="shared" si="350"/>
        <v>Email Available</v>
      </c>
      <c r="G1680" s="2" t="s">
        <v>816</v>
      </c>
      <c r="H1680" s="2" t="s">
        <v>309</v>
      </c>
      <c r="I1680" s="2" t="s">
        <v>36</v>
      </c>
      <c r="J1680" s="2" t="s">
        <v>310</v>
      </c>
      <c r="K1680" s="2">
        <v>2</v>
      </c>
      <c r="L1680" s="2">
        <v>8.99</v>
      </c>
      <c r="M1680" s="19">
        <f t="shared" si="351"/>
        <v>8.99</v>
      </c>
      <c r="N1680" s="2" t="s">
        <v>38</v>
      </c>
      <c r="O1680" s="2" t="str">
        <f t="shared" si="352"/>
        <v>FREESHIP</v>
      </c>
      <c r="P1680" s="2" t="s">
        <v>184</v>
      </c>
      <c r="Q1680" s="19">
        <f t="shared" si="353"/>
        <v>0</v>
      </c>
      <c r="R1680" s="2" t="str">
        <f t="shared" si="354"/>
        <v>Number</v>
      </c>
      <c r="S1680" s="2">
        <v>0</v>
      </c>
      <c r="T1680" s="19">
        <f t="shared" si="355"/>
        <v>0</v>
      </c>
      <c r="U1680" s="2">
        <v>17.98</v>
      </c>
      <c r="V1680" s="19">
        <f t="shared" si="356"/>
        <v>17.98</v>
      </c>
      <c r="W1680" s="19">
        <f t="shared" si="357"/>
        <v>17.98</v>
      </c>
      <c r="X1680" s="19" t="str">
        <f t="shared" si="358"/>
        <v>True</v>
      </c>
      <c r="Y1680" s="19" t="str">
        <f>IF(OR(W1680&lt;'Cleaning Tasks'!$G$18,W1680&gt;'Cleaning Tasks'!$H$18),"Outlier","Normal")</f>
        <v>Normal</v>
      </c>
      <c r="Z1680" s="2" t="s">
        <v>49</v>
      </c>
      <c r="AA1680" s="2" t="s">
        <v>88</v>
      </c>
      <c r="AB1680" s="2" t="s">
        <v>50</v>
      </c>
      <c r="AC1680" s="2" t="s">
        <v>73</v>
      </c>
      <c r="AD1680" s="2"/>
      <c r="AE1680" s="2" t="str">
        <f t="shared" si="359"/>
        <v>Not Required</v>
      </c>
      <c r="AF1680" s="2" t="s">
        <v>4489</v>
      </c>
    </row>
    <row r="1681" spans="1:32" x14ac:dyDescent="0.3">
      <c r="A1681" s="2" t="s">
        <v>4490</v>
      </c>
      <c r="B1681" s="2">
        <f t="shared" si="349"/>
        <v>1</v>
      </c>
      <c r="C1681" s="12">
        <f t="shared" si="360"/>
        <v>46238.588483263891</v>
      </c>
      <c r="D1681" s="13">
        <v>46238.588483263891</v>
      </c>
      <c r="E1681" s="2" t="s">
        <v>4491</v>
      </c>
      <c r="F1681" s="2" t="str">
        <f t="shared" si="350"/>
        <v>Missing Email</v>
      </c>
      <c r="G1681" s="2"/>
      <c r="H1681" s="2" t="s">
        <v>63</v>
      </c>
      <c r="I1681" s="2" t="s">
        <v>47</v>
      </c>
      <c r="J1681" s="2" t="s">
        <v>64</v>
      </c>
      <c r="K1681" s="2">
        <v>2</v>
      </c>
      <c r="L1681" s="2">
        <v>14.99</v>
      </c>
      <c r="M1681" s="19">
        <f t="shared" si="351"/>
        <v>14.99</v>
      </c>
      <c r="N1681" s="2" t="s">
        <v>65</v>
      </c>
      <c r="O1681" s="2" t="str">
        <f t="shared" si="352"/>
        <v>WELCOME10</v>
      </c>
      <c r="P1681" s="2">
        <v>3</v>
      </c>
      <c r="Q1681" s="19">
        <f t="shared" si="353"/>
        <v>3</v>
      </c>
      <c r="R1681" s="2" t="str">
        <f t="shared" si="354"/>
        <v>Number</v>
      </c>
      <c r="S1681" s="2">
        <v>7.99</v>
      </c>
      <c r="T1681" s="19">
        <f t="shared" si="355"/>
        <v>7.99</v>
      </c>
      <c r="U1681" s="2">
        <v>34.97</v>
      </c>
      <c r="V1681" s="19">
        <f t="shared" si="356"/>
        <v>34.97</v>
      </c>
      <c r="W1681" s="19">
        <f t="shared" si="357"/>
        <v>34.97</v>
      </c>
      <c r="X1681" s="19" t="str">
        <f t="shared" si="358"/>
        <v>True</v>
      </c>
      <c r="Y1681" s="19" t="str">
        <f>IF(OR(W1681&lt;'Cleaning Tasks'!$G$18,W1681&gt;'Cleaning Tasks'!$H$18),"Outlier","Normal")</f>
        <v>Normal</v>
      </c>
      <c r="Z1681" s="2" t="s">
        <v>66</v>
      </c>
      <c r="AA1681" s="2" t="s">
        <v>40</v>
      </c>
      <c r="AB1681" s="2" t="s">
        <v>41</v>
      </c>
      <c r="AC1681" s="2" t="s">
        <v>42</v>
      </c>
      <c r="AD1681" s="2"/>
      <c r="AE1681" s="2" t="str">
        <f t="shared" si="359"/>
        <v>Not Required</v>
      </c>
      <c r="AF1681" s="2" t="s">
        <v>4492</v>
      </c>
    </row>
    <row r="1682" spans="1:32" x14ac:dyDescent="0.3">
      <c r="A1682" s="2" t="s">
        <v>4493</v>
      </c>
      <c r="B1682" s="2">
        <f t="shared" si="349"/>
        <v>1</v>
      </c>
      <c r="C1682" s="12">
        <f t="shared" si="360"/>
        <v>46238.583171226863</v>
      </c>
      <c r="D1682" s="13">
        <v>46238.583171226863</v>
      </c>
      <c r="E1682" s="2" t="s">
        <v>5135</v>
      </c>
      <c r="F1682" s="2" t="str">
        <f t="shared" si="350"/>
        <v>Email Available</v>
      </c>
      <c r="G1682" s="2" t="s">
        <v>4494</v>
      </c>
      <c r="H1682" s="2" t="s">
        <v>361</v>
      </c>
      <c r="I1682" s="2" t="s">
        <v>86</v>
      </c>
      <c r="J1682" s="2" t="s">
        <v>362</v>
      </c>
      <c r="K1682" s="2">
        <v>1</v>
      </c>
      <c r="L1682" s="2">
        <v>54.99</v>
      </c>
      <c r="M1682" s="19">
        <f t="shared" si="351"/>
        <v>54.99</v>
      </c>
      <c r="N1682" s="2"/>
      <c r="O1682" s="2" t="str">
        <f t="shared" si="352"/>
        <v/>
      </c>
      <c r="P1682" s="2">
        <v>0</v>
      </c>
      <c r="Q1682" s="19">
        <f t="shared" si="353"/>
        <v>0</v>
      </c>
      <c r="R1682" s="2" t="str">
        <f t="shared" si="354"/>
        <v>Number</v>
      </c>
      <c r="S1682" s="2">
        <v>7.99</v>
      </c>
      <c r="T1682" s="19">
        <f t="shared" si="355"/>
        <v>7.99</v>
      </c>
      <c r="U1682" s="2">
        <v>62.98</v>
      </c>
      <c r="V1682" s="19">
        <f t="shared" si="356"/>
        <v>62.98</v>
      </c>
      <c r="W1682" s="19">
        <f t="shared" si="357"/>
        <v>62.980000000000004</v>
      </c>
      <c r="X1682" s="19" t="str">
        <f t="shared" si="358"/>
        <v>True</v>
      </c>
      <c r="Y1682" s="19" t="str">
        <f>IF(OR(W1682&lt;'Cleaning Tasks'!$G$18,W1682&gt;'Cleaning Tasks'!$H$18),"Outlier","Normal")</f>
        <v>Normal</v>
      </c>
      <c r="Z1682" s="2" t="s">
        <v>72</v>
      </c>
      <c r="AA1682" s="2" t="s">
        <v>88</v>
      </c>
      <c r="AB1682" s="2" t="s">
        <v>50</v>
      </c>
      <c r="AC1682" s="2" t="s">
        <v>331</v>
      </c>
      <c r="AD1682" s="2"/>
      <c r="AE1682" s="2" t="str">
        <f t="shared" si="359"/>
        <v>Not Required</v>
      </c>
      <c r="AF1682" s="2" t="s">
        <v>4495</v>
      </c>
    </row>
    <row r="1683" spans="1:32" x14ac:dyDescent="0.3">
      <c r="A1683" s="2" t="s">
        <v>4496</v>
      </c>
      <c r="B1683" s="2">
        <f t="shared" si="349"/>
        <v>1</v>
      </c>
      <c r="C1683" s="12">
        <f t="shared" si="360"/>
        <v>46238</v>
      </c>
      <c r="D1683" s="13" t="s">
        <v>143</v>
      </c>
      <c r="E1683" s="2" t="s">
        <v>673</v>
      </c>
      <c r="F1683" s="2" t="str">
        <f t="shared" si="350"/>
        <v>Email Available</v>
      </c>
      <c r="G1683" s="2" t="s">
        <v>674</v>
      </c>
      <c r="H1683" s="2" t="s">
        <v>152</v>
      </c>
      <c r="I1683" s="2" t="s">
        <v>36</v>
      </c>
      <c r="J1683" s="2" t="s">
        <v>153</v>
      </c>
      <c r="K1683" s="2">
        <v>1</v>
      </c>
      <c r="L1683" s="2">
        <v>29.99</v>
      </c>
      <c r="M1683" s="19">
        <f t="shared" si="351"/>
        <v>29.99</v>
      </c>
      <c r="N1683" s="2" t="s">
        <v>38</v>
      </c>
      <c r="O1683" s="2" t="str">
        <f t="shared" si="352"/>
        <v>FREESHIP</v>
      </c>
      <c r="P1683" s="2">
        <v>0</v>
      </c>
      <c r="Q1683" s="19">
        <f t="shared" si="353"/>
        <v>0</v>
      </c>
      <c r="R1683" s="2" t="str">
        <f t="shared" si="354"/>
        <v>Number</v>
      </c>
      <c r="S1683" s="2">
        <v>0</v>
      </c>
      <c r="T1683" s="19">
        <f t="shared" si="355"/>
        <v>0</v>
      </c>
      <c r="U1683" s="2">
        <v>29.99</v>
      </c>
      <c r="V1683" s="19">
        <f t="shared" si="356"/>
        <v>29.99</v>
      </c>
      <c r="W1683" s="19">
        <f t="shared" si="357"/>
        <v>29.99</v>
      </c>
      <c r="X1683" s="19" t="str">
        <f t="shared" si="358"/>
        <v>True</v>
      </c>
      <c r="Y1683" s="19" t="str">
        <f>IF(OR(W1683&lt;'Cleaning Tasks'!$G$18,W1683&gt;'Cleaning Tasks'!$H$18),"Outlier","Normal")</f>
        <v>Normal</v>
      </c>
      <c r="Z1683" s="2" t="s">
        <v>49</v>
      </c>
      <c r="AA1683" s="2" t="s">
        <v>111</v>
      </c>
      <c r="AB1683" s="2" t="s">
        <v>50</v>
      </c>
      <c r="AC1683" s="2" t="s">
        <v>73</v>
      </c>
      <c r="AD1683" s="2"/>
      <c r="AE1683" s="2" t="str">
        <f t="shared" si="359"/>
        <v>Not Required</v>
      </c>
      <c r="AF1683" s="2" t="s">
        <v>4497</v>
      </c>
    </row>
    <row r="1684" spans="1:32" x14ac:dyDescent="0.3">
      <c r="A1684" s="2" t="s">
        <v>4498</v>
      </c>
      <c r="B1684" s="2">
        <f t="shared" si="349"/>
        <v>1</v>
      </c>
      <c r="C1684" s="12">
        <f t="shared" si="360"/>
        <v>46238.585978923613</v>
      </c>
      <c r="D1684" s="13">
        <v>46238.585978923613</v>
      </c>
      <c r="E1684" s="2" t="s">
        <v>409</v>
      </c>
      <c r="F1684" s="2" t="str">
        <f t="shared" si="350"/>
        <v>Email Available</v>
      </c>
      <c r="G1684" s="2" t="s">
        <v>410</v>
      </c>
      <c r="H1684" s="2" t="s">
        <v>85</v>
      </c>
      <c r="I1684" s="2" t="s">
        <v>86</v>
      </c>
      <c r="J1684" s="2" t="s">
        <v>87</v>
      </c>
      <c r="K1684" s="2">
        <v>1</v>
      </c>
      <c r="L1684" s="2">
        <v>54.99</v>
      </c>
      <c r="M1684" s="19">
        <f t="shared" si="351"/>
        <v>54.99</v>
      </c>
      <c r="N1684" s="2"/>
      <c r="O1684" s="2" t="str">
        <f t="shared" si="352"/>
        <v/>
      </c>
      <c r="P1684" s="2">
        <v>0</v>
      </c>
      <c r="Q1684" s="19">
        <f t="shared" si="353"/>
        <v>0</v>
      </c>
      <c r="R1684" s="2" t="str">
        <f t="shared" si="354"/>
        <v>Number</v>
      </c>
      <c r="S1684" s="2">
        <v>5.99</v>
      </c>
      <c r="T1684" s="19">
        <f t="shared" si="355"/>
        <v>5.99</v>
      </c>
      <c r="U1684" s="2" t="s">
        <v>4499</v>
      </c>
      <c r="V1684" s="19">
        <f t="shared" si="356"/>
        <v>60.98</v>
      </c>
      <c r="W1684" s="19">
        <f t="shared" si="357"/>
        <v>60.980000000000004</v>
      </c>
      <c r="X1684" s="19" t="str">
        <f t="shared" si="358"/>
        <v>True</v>
      </c>
      <c r="Y1684" s="19" t="str">
        <f>IF(OR(W1684&lt;'Cleaning Tasks'!$G$18,W1684&gt;'Cleaning Tasks'!$H$18),"Outlier","Normal")</f>
        <v>Normal</v>
      </c>
      <c r="Z1684" s="2" t="s">
        <v>39</v>
      </c>
      <c r="AA1684" s="2" t="s">
        <v>27</v>
      </c>
      <c r="AB1684" s="2" t="s">
        <v>50</v>
      </c>
      <c r="AC1684" s="2" t="s">
        <v>42</v>
      </c>
      <c r="AD1684" s="2"/>
      <c r="AE1684" s="2" t="str">
        <f t="shared" si="359"/>
        <v>Not Required</v>
      </c>
      <c r="AF1684" s="2" t="s">
        <v>4500</v>
      </c>
    </row>
    <row r="1685" spans="1:32" x14ac:dyDescent="0.3">
      <c r="A1685" s="2" t="s">
        <v>4501</v>
      </c>
      <c r="B1685" s="2">
        <f t="shared" si="349"/>
        <v>1</v>
      </c>
      <c r="C1685" s="12">
        <f t="shared" si="360"/>
        <v>46238.579212916673</v>
      </c>
      <c r="D1685" s="13">
        <v>46238.579212916673</v>
      </c>
      <c r="E1685" s="2" t="s">
        <v>4502</v>
      </c>
      <c r="F1685" s="2" t="str">
        <f t="shared" si="350"/>
        <v>Email Available</v>
      </c>
      <c r="G1685" s="2" t="s">
        <v>135</v>
      </c>
      <c r="H1685" s="2" t="s">
        <v>166</v>
      </c>
      <c r="I1685" s="2" t="s">
        <v>103</v>
      </c>
      <c r="J1685" s="2" t="s">
        <v>167</v>
      </c>
      <c r="K1685" s="2">
        <v>1</v>
      </c>
      <c r="L1685" s="2">
        <v>32.99</v>
      </c>
      <c r="M1685" s="19">
        <f t="shared" si="351"/>
        <v>32.99</v>
      </c>
      <c r="N1685" s="2" t="s">
        <v>65</v>
      </c>
      <c r="O1685" s="2" t="str">
        <f t="shared" si="352"/>
        <v>WELCOME10</v>
      </c>
      <c r="P1685" s="2">
        <v>3.3</v>
      </c>
      <c r="Q1685" s="19">
        <f t="shared" si="353"/>
        <v>3.3</v>
      </c>
      <c r="R1685" s="2" t="str">
        <f t="shared" si="354"/>
        <v>Number</v>
      </c>
      <c r="S1685" s="2">
        <v>4.99</v>
      </c>
      <c r="T1685" s="19">
        <f t="shared" si="355"/>
        <v>4.99</v>
      </c>
      <c r="U1685" s="2">
        <v>34.68</v>
      </c>
      <c r="V1685" s="19">
        <f t="shared" si="356"/>
        <v>34.68</v>
      </c>
      <c r="W1685" s="19">
        <f t="shared" si="357"/>
        <v>34.68</v>
      </c>
      <c r="X1685" s="19" t="str">
        <f t="shared" si="358"/>
        <v>True</v>
      </c>
      <c r="Y1685" s="19" t="str">
        <f>IF(OR(W1685&lt;'Cleaning Tasks'!$G$18,W1685&gt;'Cleaning Tasks'!$H$18),"Outlier","Normal")</f>
        <v>Normal</v>
      </c>
      <c r="Z1685" s="2" t="s">
        <v>66</v>
      </c>
      <c r="AA1685" s="2" t="s">
        <v>40</v>
      </c>
      <c r="AB1685" s="2" t="s">
        <v>50</v>
      </c>
      <c r="AC1685" s="2" t="s">
        <v>29</v>
      </c>
      <c r="AD1685" s="2" t="s">
        <v>67</v>
      </c>
      <c r="AE1685" s="2" t="str">
        <f t="shared" si="359"/>
        <v>Valid</v>
      </c>
      <c r="AF1685" s="2" t="s">
        <v>4503</v>
      </c>
    </row>
    <row r="1686" spans="1:32" x14ac:dyDescent="0.3">
      <c r="A1686" s="2" t="s">
        <v>4504</v>
      </c>
      <c r="B1686" s="2">
        <f t="shared" si="349"/>
        <v>1</v>
      </c>
      <c r="C1686" s="12">
        <f t="shared" si="360"/>
        <v>46238.579162592592</v>
      </c>
      <c r="D1686" s="13">
        <v>46238.579162592592</v>
      </c>
      <c r="E1686" s="2" t="s">
        <v>1886</v>
      </c>
      <c r="F1686" s="2" t="str">
        <f t="shared" si="350"/>
        <v>Email Available</v>
      </c>
      <c r="G1686" s="2" t="s">
        <v>1887</v>
      </c>
      <c r="H1686" s="2" t="s">
        <v>221</v>
      </c>
      <c r="I1686" s="2" t="s">
        <v>22</v>
      </c>
      <c r="J1686" s="2" t="s">
        <v>222</v>
      </c>
      <c r="K1686" s="2">
        <v>1</v>
      </c>
      <c r="L1686" s="2">
        <v>17.989999999999998</v>
      </c>
      <c r="M1686" s="19">
        <f t="shared" si="351"/>
        <v>17.989999999999998</v>
      </c>
      <c r="N1686" s="2"/>
      <c r="O1686" s="2" t="str">
        <f t="shared" si="352"/>
        <v/>
      </c>
      <c r="P1686" s="2">
        <v>0</v>
      </c>
      <c r="Q1686" s="19">
        <f t="shared" si="353"/>
        <v>0</v>
      </c>
      <c r="R1686" s="2" t="str">
        <f t="shared" si="354"/>
        <v>Number</v>
      </c>
      <c r="S1686" s="2">
        <v>5.99</v>
      </c>
      <c r="T1686" s="19">
        <f t="shared" si="355"/>
        <v>5.99</v>
      </c>
      <c r="U1686" s="2">
        <v>23.98</v>
      </c>
      <c r="V1686" s="19">
        <f t="shared" si="356"/>
        <v>23.98</v>
      </c>
      <c r="W1686" s="19">
        <f t="shared" si="357"/>
        <v>23.979999999999997</v>
      </c>
      <c r="X1686" s="19" t="str">
        <f t="shared" si="358"/>
        <v>True</v>
      </c>
      <c r="Y1686" s="19" t="str">
        <f>IF(OR(W1686&lt;'Cleaning Tasks'!$G$18,W1686&gt;'Cleaning Tasks'!$H$18),"Outlier","Normal")</f>
        <v>Normal</v>
      </c>
      <c r="Z1686" s="2" t="s">
        <v>66</v>
      </c>
      <c r="AA1686" s="2" t="s">
        <v>111</v>
      </c>
      <c r="AB1686" s="2" t="s">
        <v>50</v>
      </c>
      <c r="AC1686" s="2" t="s">
        <v>223</v>
      </c>
      <c r="AD1686" s="2"/>
      <c r="AE1686" s="2" t="str">
        <f t="shared" si="359"/>
        <v>Not Required</v>
      </c>
      <c r="AF1686" s="2" t="s">
        <v>797</v>
      </c>
    </row>
    <row r="1687" spans="1:32" x14ac:dyDescent="0.3">
      <c r="A1687" s="2" t="s">
        <v>4505</v>
      </c>
      <c r="B1687" s="2">
        <f t="shared" si="349"/>
        <v>1</v>
      </c>
      <c r="C1687" s="12">
        <f t="shared" si="360"/>
        <v>46238.585819236112</v>
      </c>
      <c r="D1687" s="13">
        <v>46238.585819236112</v>
      </c>
      <c r="E1687" s="2" t="s">
        <v>4506</v>
      </c>
      <c r="F1687" s="2" t="str">
        <f t="shared" si="350"/>
        <v>Email Available</v>
      </c>
      <c r="G1687" s="2" t="s">
        <v>1032</v>
      </c>
      <c r="H1687" s="2" t="s">
        <v>85</v>
      </c>
      <c r="I1687" s="2" t="s">
        <v>86</v>
      </c>
      <c r="J1687" s="2" t="s">
        <v>87</v>
      </c>
      <c r="K1687" s="2">
        <v>2</v>
      </c>
      <c r="L1687" s="2">
        <v>54.99</v>
      </c>
      <c r="M1687" s="19">
        <f t="shared" si="351"/>
        <v>54.99</v>
      </c>
      <c r="N1687" s="2" t="s">
        <v>38</v>
      </c>
      <c r="O1687" s="2" t="str">
        <f t="shared" si="352"/>
        <v>FREESHIP</v>
      </c>
      <c r="P1687" s="2">
        <v>0</v>
      </c>
      <c r="Q1687" s="19">
        <f t="shared" si="353"/>
        <v>0</v>
      </c>
      <c r="R1687" s="2" t="str">
        <f t="shared" si="354"/>
        <v>Number</v>
      </c>
      <c r="S1687" s="2">
        <v>0</v>
      </c>
      <c r="T1687" s="19">
        <f t="shared" si="355"/>
        <v>0</v>
      </c>
      <c r="U1687" s="2">
        <v>109.98</v>
      </c>
      <c r="V1687" s="19">
        <f t="shared" si="356"/>
        <v>109.98</v>
      </c>
      <c r="W1687" s="19">
        <f t="shared" si="357"/>
        <v>109.98</v>
      </c>
      <c r="X1687" s="19" t="str">
        <f t="shared" si="358"/>
        <v>True</v>
      </c>
      <c r="Y1687" s="19" t="str">
        <f>IF(OR(W1687&lt;'Cleaning Tasks'!$G$18,W1687&gt;'Cleaning Tasks'!$H$18),"Outlier","Normal")</f>
        <v>Outlier</v>
      </c>
      <c r="Z1687" s="2" t="s">
        <v>26</v>
      </c>
      <c r="AA1687" s="2" t="s">
        <v>40</v>
      </c>
      <c r="AB1687" s="2" t="s">
        <v>50</v>
      </c>
      <c r="AC1687" s="2" t="s">
        <v>29</v>
      </c>
      <c r="AD1687" s="2" t="s">
        <v>341</v>
      </c>
      <c r="AE1687" s="2" t="str">
        <f t="shared" si="359"/>
        <v>Valid</v>
      </c>
      <c r="AF1687" s="2" t="s">
        <v>4507</v>
      </c>
    </row>
    <row r="1688" spans="1:32" x14ac:dyDescent="0.3">
      <c r="A1688" s="2" t="s">
        <v>4508</v>
      </c>
      <c r="B1688" s="2">
        <f t="shared" si="349"/>
        <v>1</v>
      </c>
      <c r="C1688" s="12">
        <f t="shared" si="360"/>
        <v>46238.582995532408</v>
      </c>
      <c r="D1688" s="13">
        <v>46238.582995532408</v>
      </c>
      <c r="E1688" s="2" t="s">
        <v>979</v>
      </c>
      <c r="F1688" s="2" t="str">
        <f t="shared" si="350"/>
        <v>Email Available</v>
      </c>
      <c r="G1688" s="2" t="s">
        <v>670</v>
      </c>
      <c r="H1688" s="2" t="s">
        <v>201</v>
      </c>
      <c r="I1688" s="2" t="s">
        <v>191</v>
      </c>
      <c r="J1688" s="2" t="s">
        <v>202</v>
      </c>
      <c r="K1688" s="2">
        <v>1</v>
      </c>
      <c r="L1688" s="2">
        <v>24.99</v>
      </c>
      <c r="M1688" s="19">
        <f t="shared" si="351"/>
        <v>24.99</v>
      </c>
      <c r="N1688" s="2"/>
      <c r="O1688" s="2" t="str">
        <f t="shared" si="352"/>
        <v/>
      </c>
      <c r="P1688" s="2">
        <v>0</v>
      </c>
      <c r="Q1688" s="19">
        <f t="shared" si="353"/>
        <v>0</v>
      </c>
      <c r="R1688" s="2" t="str">
        <f t="shared" si="354"/>
        <v>Number</v>
      </c>
      <c r="S1688" s="2">
        <v>5.99</v>
      </c>
      <c r="T1688" s="19">
        <f t="shared" si="355"/>
        <v>5.99</v>
      </c>
      <c r="U1688" s="2">
        <v>30.98</v>
      </c>
      <c r="V1688" s="19">
        <f t="shared" si="356"/>
        <v>30.98</v>
      </c>
      <c r="W1688" s="19">
        <f t="shared" si="357"/>
        <v>30.979999999999997</v>
      </c>
      <c r="X1688" s="19" t="str">
        <f t="shared" si="358"/>
        <v>True</v>
      </c>
      <c r="Y1688" s="19" t="str">
        <f>IF(OR(W1688&lt;'Cleaning Tasks'!$G$18,W1688&gt;'Cleaning Tasks'!$H$18),"Outlier","Normal")</f>
        <v>Normal</v>
      </c>
      <c r="Z1688" s="2" t="s">
        <v>66</v>
      </c>
      <c r="AA1688" s="2" t="s">
        <v>27</v>
      </c>
      <c r="AB1688" s="2" t="s">
        <v>50</v>
      </c>
      <c r="AC1688" s="2" t="s">
        <v>29</v>
      </c>
      <c r="AD1688" s="2" t="s">
        <v>243</v>
      </c>
      <c r="AE1688" s="2" t="str">
        <f t="shared" si="359"/>
        <v>Valid</v>
      </c>
      <c r="AF1688" s="2" t="s">
        <v>4509</v>
      </c>
    </row>
    <row r="1689" spans="1:32" x14ac:dyDescent="0.3">
      <c r="A1689" s="2" t="s">
        <v>4510</v>
      </c>
      <c r="B1689" s="2">
        <f t="shared" si="349"/>
        <v>1</v>
      </c>
      <c r="C1689" s="12">
        <f t="shared" si="360"/>
        <v>46238.587087546293</v>
      </c>
      <c r="D1689" s="13">
        <v>46238.587087546293</v>
      </c>
      <c r="E1689" s="2" t="s">
        <v>409</v>
      </c>
      <c r="F1689" s="2" t="str">
        <f t="shared" si="350"/>
        <v>Email Available</v>
      </c>
      <c r="G1689" s="2" t="s">
        <v>410</v>
      </c>
      <c r="H1689" s="2" t="s">
        <v>109</v>
      </c>
      <c r="I1689" s="2" t="s">
        <v>79</v>
      </c>
      <c r="J1689" s="2" t="s">
        <v>110</v>
      </c>
      <c r="K1689" s="2">
        <v>1</v>
      </c>
      <c r="L1689" s="2">
        <v>22.99</v>
      </c>
      <c r="M1689" s="19">
        <f t="shared" si="351"/>
        <v>22.99</v>
      </c>
      <c r="N1689" s="2"/>
      <c r="O1689" s="2" t="str">
        <f t="shared" si="352"/>
        <v/>
      </c>
      <c r="P1689" s="2" t="s">
        <v>184</v>
      </c>
      <c r="Q1689" s="19">
        <f t="shared" si="353"/>
        <v>0</v>
      </c>
      <c r="R1689" s="2" t="str">
        <f t="shared" si="354"/>
        <v>Number</v>
      </c>
      <c r="S1689" s="2">
        <v>5.99</v>
      </c>
      <c r="T1689" s="19">
        <f t="shared" si="355"/>
        <v>5.99</v>
      </c>
      <c r="U1689" s="2">
        <v>28.98</v>
      </c>
      <c r="V1689" s="19">
        <f t="shared" si="356"/>
        <v>28.98</v>
      </c>
      <c r="W1689" s="19">
        <f t="shared" si="357"/>
        <v>28.979999999999997</v>
      </c>
      <c r="X1689" s="19" t="str">
        <f t="shared" si="358"/>
        <v>True</v>
      </c>
      <c r="Y1689" s="19" t="str">
        <f>IF(OR(W1689&lt;'Cleaning Tasks'!$G$18,W1689&gt;'Cleaning Tasks'!$H$18),"Outlier","Normal")</f>
        <v>Normal</v>
      </c>
      <c r="Z1689" s="2" t="s">
        <v>66</v>
      </c>
      <c r="AA1689" s="2" t="s">
        <v>27</v>
      </c>
      <c r="AB1689" s="2" t="s">
        <v>50</v>
      </c>
      <c r="AC1689" s="2" t="s">
        <v>42</v>
      </c>
      <c r="AD1689" s="2"/>
      <c r="AE1689" s="2" t="str">
        <f t="shared" si="359"/>
        <v>Not Required</v>
      </c>
      <c r="AF1689" s="2" t="s">
        <v>4511</v>
      </c>
    </row>
    <row r="1690" spans="1:32" x14ac:dyDescent="0.3">
      <c r="A1690" s="2" t="s">
        <v>4512</v>
      </c>
      <c r="B1690" s="2">
        <f t="shared" si="349"/>
        <v>1</v>
      </c>
      <c r="C1690" s="12">
        <f t="shared" si="360"/>
        <v>46238.581236747683</v>
      </c>
      <c r="D1690" s="13">
        <v>46238.581236747683</v>
      </c>
      <c r="E1690" s="2" t="s">
        <v>815</v>
      </c>
      <c r="F1690" s="2" t="str">
        <f t="shared" si="350"/>
        <v>Email Available</v>
      </c>
      <c r="G1690" s="2" t="s">
        <v>816</v>
      </c>
      <c r="H1690" s="2" t="s">
        <v>63</v>
      </c>
      <c r="I1690" s="2" t="s">
        <v>47</v>
      </c>
      <c r="J1690" s="2" t="s">
        <v>446</v>
      </c>
      <c r="K1690" s="2">
        <v>1</v>
      </c>
      <c r="L1690" s="2">
        <v>14.99</v>
      </c>
      <c r="M1690" s="19">
        <f t="shared" si="351"/>
        <v>14.99</v>
      </c>
      <c r="N1690" s="2"/>
      <c r="O1690" s="2" t="str">
        <f t="shared" si="352"/>
        <v/>
      </c>
      <c r="P1690" s="2">
        <v>0</v>
      </c>
      <c r="Q1690" s="19">
        <f t="shared" si="353"/>
        <v>0</v>
      </c>
      <c r="R1690" s="2" t="str">
        <f t="shared" si="354"/>
        <v>Number</v>
      </c>
      <c r="S1690" s="2">
        <v>4.99</v>
      </c>
      <c r="T1690" s="19">
        <f t="shared" si="355"/>
        <v>4.99</v>
      </c>
      <c r="U1690" s="2">
        <v>19.98</v>
      </c>
      <c r="V1690" s="19">
        <f t="shared" si="356"/>
        <v>19.98</v>
      </c>
      <c r="W1690" s="19">
        <f t="shared" si="357"/>
        <v>19.98</v>
      </c>
      <c r="X1690" s="19" t="str">
        <f t="shared" si="358"/>
        <v>True</v>
      </c>
      <c r="Y1690" s="19" t="str">
        <f>IF(OR(W1690&lt;'Cleaning Tasks'!$G$18,W1690&gt;'Cleaning Tasks'!$H$18),"Outlier","Normal")</f>
        <v>Normal</v>
      </c>
      <c r="Z1690" s="2" t="s">
        <v>39</v>
      </c>
      <c r="AA1690" s="2" t="s">
        <v>40</v>
      </c>
      <c r="AB1690" s="2" t="s">
        <v>50</v>
      </c>
      <c r="AC1690" s="2" t="s">
        <v>73</v>
      </c>
      <c r="AD1690" s="2"/>
      <c r="AE1690" s="2" t="str">
        <f t="shared" si="359"/>
        <v>Not Required</v>
      </c>
      <c r="AF1690" s="2" t="s">
        <v>4513</v>
      </c>
    </row>
    <row r="1691" spans="1:32" x14ac:dyDescent="0.3">
      <c r="A1691" s="2" t="s">
        <v>4514</v>
      </c>
      <c r="B1691" s="2">
        <f t="shared" si="349"/>
        <v>1</v>
      </c>
      <c r="C1691" s="12">
        <f t="shared" si="360"/>
        <v>46238.584043553237</v>
      </c>
      <c r="D1691" s="13">
        <v>46238.584043553237</v>
      </c>
      <c r="E1691" s="2" t="s">
        <v>1707</v>
      </c>
      <c r="F1691" s="2" t="str">
        <f t="shared" si="350"/>
        <v>Email Available</v>
      </c>
      <c r="G1691" s="2" t="s">
        <v>1708</v>
      </c>
      <c r="H1691" s="22" t="s">
        <v>261</v>
      </c>
      <c r="I1691" s="2" t="s">
        <v>36</v>
      </c>
      <c r="J1691" s="2" t="s">
        <v>262</v>
      </c>
      <c r="K1691" s="2">
        <v>1</v>
      </c>
      <c r="L1691" s="2" t="s">
        <v>318</v>
      </c>
      <c r="M1691" s="19">
        <f t="shared" si="351"/>
        <v>15.49</v>
      </c>
      <c r="N1691" s="2" t="s">
        <v>203</v>
      </c>
      <c r="O1691" s="2" t="str">
        <f t="shared" si="352"/>
        <v>VIP15</v>
      </c>
      <c r="P1691" s="2">
        <v>2.3199999999999998</v>
      </c>
      <c r="Q1691" s="19">
        <f t="shared" si="353"/>
        <v>2.3199999999999998</v>
      </c>
      <c r="R1691" s="2" t="str">
        <f t="shared" si="354"/>
        <v>Number</v>
      </c>
      <c r="S1691" s="2">
        <v>7.99</v>
      </c>
      <c r="T1691" s="19">
        <f t="shared" si="355"/>
        <v>7.99</v>
      </c>
      <c r="U1691" s="2">
        <v>21.16</v>
      </c>
      <c r="V1691" s="19">
        <f t="shared" si="356"/>
        <v>21.16</v>
      </c>
      <c r="W1691" s="19">
        <f t="shared" si="357"/>
        <v>21.16</v>
      </c>
      <c r="X1691" s="19" t="str">
        <f t="shared" si="358"/>
        <v>True</v>
      </c>
      <c r="Y1691" s="19" t="str">
        <f>IF(OR(W1691&lt;'Cleaning Tasks'!$G$18,W1691&gt;'Cleaning Tasks'!$H$18),"Outlier","Normal")</f>
        <v>Normal</v>
      </c>
      <c r="Z1691" s="2" t="s">
        <v>72</v>
      </c>
      <c r="AA1691" s="2" t="s">
        <v>88</v>
      </c>
      <c r="AB1691" s="2" t="s">
        <v>50</v>
      </c>
      <c r="AC1691" s="2" t="s">
        <v>29</v>
      </c>
      <c r="AD1691" s="22" t="s">
        <v>51</v>
      </c>
      <c r="AE1691" s="2" t="str">
        <f t="shared" si="359"/>
        <v>Valid</v>
      </c>
      <c r="AF1691" s="2" t="s">
        <v>4515</v>
      </c>
    </row>
    <row r="1692" spans="1:32" x14ac:dyDescent="0.3">
      <c r="A1692" s="2" t="s">
        <v>4516</v>
      </c>
      <c r="B1692" s="2">
        <f t="shared" si="349"/>
        <v>1</v>
      </c>
      <c r="C1692" s="12">
        <f t="shared" si="360"/>
        <v>46238.587819247688</v>
      </c>
      <c r="D1692" s="13">
        <v>46238.587819247688</v>
      </c>
      <c r="E1692" s="2" t="s">
        <v>459</v>
      </c>
      <c r="F1692" s="2" t="str">
        <f t="shared" si="350"/>
        <v>Email Available</v>
      </c>
      <c r="G1692" s="2" t="s">
        <v>460</v>
      </c>
      <c r="H1692" s="2" t="s">
        <v>63</v>
      </c>
      <c r="I1692" s="2" t="s">
        <v>47</v>
      </c>
      <c r="J1692" s="2" t="s">
        <v>446</v>
      </c>
      <c r="K1692" s="2">
        <v>1</v>
      </c>
      <c r="L1692" s="2">
        <v>14.99</v>
      </c>
      <c r="M1692" s="19">
        <f t="shared" si="351"/>
        <v>14.99</v>
      </c>
      <c r="N1692" s="2" t="s">
        <v>65</v>
      </c>
      <c r="O1692" s="2" t="str">
        <f t="shared" si="352"/>
        <v>WELCOME10</v>
      </c>
      <c r="P1692" s="2" t="s">
        <v>4517</v>
      </c>
      <c r="Q1692" s="19">
        <f t="shared" si="353"/>
        <v>1.5</v>
      </c>
      <c r="R1692" s="2" t="str">
        <f t="shared" si="354"/>
        <v>Number</v>
      </c>
      <c r="S1692" s="2">
        <v>4.99</v>
      </c>
      <c r="T1692" s="19">
        <f t="shared" si="355"/>
        <v>4.99</v>
      </c>
      <c r="U1692" s="2">
        <v>18.48</v>
      </c>
      <c r="V1692" s="19">
        <f t="shared" si="356"/>
        <v>18.48</v>
      </c>
      <c r="W1692" s="19">
        <f t="shared" si="357"/>
        <v>18.48</v>
      </c>
      <c r="X1692" s="19" t="str">
        <f t="shared" si="358"/>
        <v>True</v>
      </c>
      <c r="Y1692" s="19" t="str">
        <f>IF(OR(W1692&lt;'Cleaning Tasks'!$G$18,W1692&gt;'Cleaning Tasks'!$H$18),"Outlier","Normal")</f>
        <v>Normal</v>
      </c>
      <c r="Z1692" s="2" t="s">
        <v>49</v>
      </c>
      <c r="AA1692" s="2" t="s">
        <v>88</v>
      </c>
      <c r="AB1692" s="2" t="s">
        <v>41</v>
      </c>
      <c r="AC1692" s="2" t="s">
        <v>223</v>
      </c>
      <c r="AD1692" s="2"/>
      <c r="AE1692" s="2" t="str">
        <f t="shared" si="359"/>
        <v>Not Required</v>
      </c>
      <c r="AF1692" s="2" t="s">
        <v>4518</v>
      </c>
    </row>
    <row r="1693" spans="1:32" x14ac:dyDescent="0.3">
      <c r="A1693" s="2" t="s">
        <v>4519</v>
      </c>
      <c r="B1693" s="2">
        <f t="shared" si="349"/>
        <v>1</v>
      </c>
      <c r="C1693" s="12">
        <f t="shared" si="360"/>
        <v>46238.581140138893</v>
      </c>
      <c r="D1693" s="13">
        <v>46238.581140138893</v>
      </c>
      <c r="E1693" s="2" t="s">
        <v>489</v>
      </c>
      <c r="F1693" s="2" t="str">
        <f t="shared" si="350"/>
        <v>Email Available</v>
      </c>
      <c r="G1693" s="2" t="s">
        <v>490</v>
      </c>
      <c r="H1693" s="2" t="s">
        <v>201</v>
      </c>
      <c r="I1693" s="2" t="s">
        <v>191</v>
      </c>
      <c r="J1693" s="2" t="s">
        <v>202</v>
      </c>
      <c r="K1693" s="2">
        <v>1</v>
      </c>
      <c r="L1693" s="2">
        <v>24.99</v>
      </c>
      <c r="M1693" s="19">
        <f t="shared" si="351"/>
        <v>24.99</v>
      </c>
      <c r="N1693" s="2"/>
      <c r="O1693" s="2" t="str">
        <f t="shared" si="352"/>
        <v/>
      </c>
      <c r="P1693" s="2">
        <v>0</v>
      </c>
      <c r="Q1693" s="19">
        <f t="shared" si="353"/>
        <v>0</v>
      </c>
      <c r="R1693" s="2" t="str">
        <f t="shared" si="354"/>
        <v>Number</v>
      </c>
      <c r="S1693" s="2">
        <v>7.99</v>
      </c>
      <c r="T1693" s="19">
        <f t="shared" si="355"/>
        <v>7.99</v>
      </c>
      <c r="U1693" s="2">
        <v>32.979999999999997</v>
      </c>
      <c r="V1693" s="19">
        <f t="shared" si="356"/>
        <v>32.979999999999997</v>
      </c>
      <c r="W1693" s="19">
        <f t="shared" si="357"/>
        <v>32.979999999999997</v>
      </c>
      <c r="X1693" s="19" t="str">
        <f t="shared" si="358"/>
        <v>True</v>
      </c>
      <c r="Y1693" s="19" t="str">
        <f>IF(OR(W1693&lt;'Cleaning Tasks'!$G$18,W1693&gt;'Cleaning Tasks'!$H$18),"Outlier","Normal")</f>
        <v>Normal</v>
      </c>
      <c r="Z1693" s="2" t="s">
        <v>26</v>
      </c>
      <c r="AA1693" s="2" t="s">
        <v>40</v>
      </c>
      <c r="AB1693" s="2" t="s">
        <v>28</v>
      </c>
      <c r="AC1693" s="2" t="s">
        <v>29</v>
      </c>
      <c r="AD1693" s="2" t="s">
        <v>73</v>
      </c>
      <c r="AE1693" s="2" t="str">
        <f t="shared" si="359"/>
        <v>Valid</v>
      </c>
      <c r="AF1693" s="2" t="s">
        <v>4520</v>
      </c>
    </row>
    <row r="1694" spans="1:32" x14ac:dyDescent="0.3">
      <c r="A1694" s="2" t="s">
        <v>4521</v>
      </c>
      <c r="B1694" s="2">
        <f t="shared" si="349"/>
        <v>1</v>
      </c>
      <c r="C1694" s="12">
        <f t="shared" si="360"/>
        <v>46238.58792111111</v>
      </c>
      <c r="D1694" s="13">
        <v>46238.58792111111</v>
      </c>
      <c r="E1694" s="2" t="s">
        <v>993</v>
      </c>
      <c r="F1694" s="2" t="str">
        <f t="shared" si="350"/>
        <v>Email Available</v>
      </c>
      <c r="G1694" s="2" t="s">
        <v>994</v>
      </c>
      <c r="H1694" s="2" t="s">
        <v>279</v>
      </c>
      <c r="I1694" s="2" t="s">
        <v>22</v>
      </c>
      <c r="J1694" s="2" t="s">
        <v>280</v>
      </c>
      <c r="K1694" s="2">
        <v>1</v>
      </c>
      <c r="L1694" s="2">
        <v>24.99</v>
      </c>
      <c r="M1694" s="19">
        <f t="shared" si="351"/>
        <v>24.99</v>
      </c>
      <c r="N1694" s="2" t="s">
        <v>65</v>
      </c>
      <c r="O1694" s="2" t="str">
        <f t="shared" si="352"/>
        <v>WELCOME10</v>
      </c>
      <c r="P1694" s="2">
        <v>2.5</v>
      </c>
      <c r="Q1694" s="19">
        <f t="shared" si="353"/>
        <v>2.5</v>
      </c>
      <c r="R1694" s="2" t="str">
        <f t="shared" si="354"/>
        <v>Number</v>
      </c>
      <c r="S1694" s="2">
        <v>4.99</v>
      </c>
      <c r="T1694" s="19">
        <f t="shared" si="355"/>
        <v>4.99</v>
      </c>
      <c r="U1694" s="2">
        <v>27.48</v>
      </c>
      <c r="V1694" s="19">
        <f t="shared" si="356"/>
        <v>27.48</v>
      </c>
      <c r="W1694" s="19">
        <f t="shared" si="357"/>
        <v>27.479999999999997</v>
      </c>
      <c r="X1694" s="19" t="str">
        <f t="shared" si="358"/>
        <v>True</v>
      </c>
      <c r="Y1694" s="19" t="str">
        <f>IF(OR(W1694&lt;'Cleaning Tasks'!$G$18,W1694&gt;'Cleaning Tasks'!$H$18),"Outlier","Normal")</f>
        <v>Normal</v>
      </c>
      <c r="Z1694" s="2" t="s">
        <v>66</v>
      </c>
      <c r="AA1694" s="2" t="s">
        <v>40</v>
      </c>
      <c r="AB1694" s="2" t="s">
        <v>50</v>
      </c>
      <c r="AC1694" s="2" t="s">
        <v>42</v>
      </c>
      <c r="AD1694" s="2"/>
      <c r="AE1694" s="2" t="str">
        <f t="shared" si="359"/>
        <v>Not Required</v>
      </c>
      <c r="AF1694" s="2" t="s">
        <v>4522</v>
      </c>
    </row>
    <row r="1695" spans="1:32" x14ac:dyDescent="0.3">
      <c r="A1695" s="2" t="s">
        <v>4523</v>
      </c>
      <c r="B1695" s="2">
        <f t="shared" si="349"/>
        <v>1</v>
      </c>
      <c r="C1695" s="12">
        <f t="shared" si="360"/>
        <v>46238.581882395833</v>
      </c>
      <c r="D1695" s="13">
        <v>46238.581882395833</v>
      </c>
      <c r="E1695" s="2" t="s">
        <v>441</v>
      </c>
      <c r="F1695" s="2" t="str">
        <f t="shared" si="350"/>
        <v>Email Available</v>
      </c>
      <c r="G1695" s="2" t="s">
        <v>442</v>
      </c>
      <c r="H1695" s="2" t="s">
        <v>201</v>
      </c>
      <c r="I1695" s="2" t="s">
        <v>191</v>
      </c>
      <c r="J1695" s="2" t="s">
        <v>202</v>
      </c>
      <c r="K1695" s="2">
        <v>1</v>
      </c>
      <c r="L1695" s="2">
        <v>24.99</v>
      </c>
      <c r="M1695" s="19">
        <f t="shared" si="351"/>
        <v>24.99</v>
      </c>
      <c r="N1695" s="2" t="s">
        <v>203</v>
      </c>
      <c r="O1695" s="2" t="str">
        <f t="shared" si="352"/>
        <v>VIP15</v>
      </c>
      <c r="P1695" s="2">
        <v>3.75</v>
      </c>
      <c r="Q1695" s="19">
        <f t="shared" si="353"/>
        <v>3.75</v>
      </c>
      <c r="R1695" s="2" t="str">
        <f t="shared" si="354"/>
        <v>Number</v>
      </c>
      <c r="S1695" s="2">
        <v>7.99</v>
      </c>
      <c r="T1695" s="19">
        <f t="shared" si="355"/>
        <v>7.99</v>
      </c>
      <c r="U1695" s="2">
        <v>29.23</v>
      </c>
      <c r="V1695" s="19">
        <f t="shared" si="356"/>
        <v>29.23</v>
      </c>
      <c r="W1695" s="19">
        <f t="shared" si="357"/>
        <v>29.229999999999997</v>
      </c>
      <c r="X1695" s="19" t="str">
        <f t="shared" si="358"/>
        <v>True</v>
      </c>
      <c r="Y1695" s="19" t="str">
        <f>IF(OR(W1695&lt;'Cleaning Tasks'!$G$18,W1695&gt;'Cleaning Tasks'!$H$18),"Outlier","Normal")</f>
        <v>Normal</v>
      </c>
      <c r="Z1695" s="2" t="s">
        <v>39</v>
      </c>
      <c r="AA1695" s="2" t="s">
        <v>88</v>
      </c>
      <c r="AB1695" s="2" t="s">
        <v>96</v>
      </c>
      <c r="AC1695" s="2" t="s">
        <v>29</v>
      </c>
      <c r="AD1695" s="2" t="s">
        <v>51</v>
      </c>
      <c r="AE1695" s="2" t="str">
        <f t="shared" si="359"/>
        <v>Valid</v>
      </c>
      <c r="AF1695" s="2" t="s">
        <v>4524</v>
      </c>
    </row>
    <row r="1696" spans="1:32" x14ac:dyDescent="0.3">
      <c r="A1696" s="2" t="s">
        <v>4525</v>
      </c>
      <c r="B1696" s="2">
        <f t="shared" si="349"/>
        <v>1</v>
      </c>
      <c r="C1696" s="12">
        <f t="shared" si="360"/>
        <v>46238.583423148149</v>
      </c>
      <c r="D1696" s="13">
        <v>46238.583423148149</v>
      </c>
      <c r="E1696" s="2" t="s">
        <v>1475</v>
      </c>
      <c r="F1696" s="2" t="str">
        <f t="shared" si="350"/>
        <v>Email Available</v>
      </c>
      <c r="G1696" s="2" t="s">
        <v>1476</v>
      </c>
      <c r="H1696" s="2" t="s">
        <v>56</v>
      </c>
      <c r="I1696" s="2" t="s">
        <v>22</v>
      </c>
      <c r="J1696" s="2" t="s">
        <v>57</v>
      </c>
      <c r="K1696" s="2">
        <v>1</v>
      </c>
      <c r="L1696" s="2" t="s">
        <v>208</v>
      </c>
      <c r="M1696" s="19">
        <f t="shared" si="351"/>
        <v>9.99</v>
      </c>
      <c r="N1696" s="2"/>
      <c r="O1696" s="2" t="str">
        <f t="shared" si="352"/>
        <v/>
      </c>
      <c r="P1696" s="2">
        <v>0</v>
      </c>
      <c r="Q1696" s="19">
        <f t="shared" si="353"/>
        <v>0</v>
      </c>
      <c r="R1696" s="2" t="str">
        <f t="shared" si="354"/>
        <v>Number</v>
      </c>
      <c r="S1696" s="2">
        <v>7.99</v>
      </c>
      <c r="T1696" s="19">
        <f t="shared" si="355"/>
        <v>7.99</v>
      </c>
      <c r="U1696" s="2">
        <v>17.98</v>
      </c>
      <c r="V1696" s="19">
        <f t="shared" si="356"/>
        <v>17.98</v>
      </c>
      <c r="W1696" s="19">
        <f t="shared" si="357"/>
        <v>17.98</v>
      </c>
      <c r="X1696" s="19" t="str">
        <f t="shared" si="358"/>
        <v>True</v>
      </c>
      <c r="Y1696" s="19" t="str">
        <f>IF(OR(W1696&lt;'Cleaning Tasks'!$G$18,W1696&gt;'Cleaning Tasks'!$H$18),"Outlier","Normal")</f>
        <v>Normal</v>
      </c>
      <c r="Z1696" s="2" t="s">
        <v>72</v>
      </c>
      <c r="AA1696" s="2" t="s">
        <v>40</v>
      </c>
      <c r="AB1696" s="2" t="s">
        <v>50</v>
      </c>
      <c r="AC1696" s="2" t="s">
        <v>42</v>
      </c>
      <c r="AD1696" s="2"/>
      <c r="AE1696" s="2" t="str">
        <f t="shared" si="359"/>
        <v>Not Required</v>
      </c>
      <c r="AF1696" s="2" t="s">
        <v>4526</v>
      </c>
    </row>
    <row r="1697" spans="1:32" x14ac:dyDescent="0.3">
      <c r="A1697" s="2" t="s">
        <v>4527</v>
      </c>
      <c r="B1697" s="2">
        <f t="shared" si="349"/>
        <v>1</v>
      </c>
      <c r="C1697" s="12">
        <f t="shared" si="360"/>
        <v>46238.586595844907</v>
      </c>
      <c r="D1697" s="13">
        <v>46238.586595844907</v>
      </c>
      <c r="E1697" s="2" t="s">
        <v>3747</v>
      </c>
      <c r="F1697" s="2" t="str">
        <f t="shared" si="350"/>
        <v>Email Available</v>
      </c>
      <c r="G1697" s="2" t="s">
        <v>3748</v>
      </c>
      <c r="H1697" s="2" t="s">
        <v>261</v>
      </c>
      <c r="I1697" s="2" t="s">
        <v>36</v>
      </c>
      <c r="J1697" s="2" t="s">
        <v>262</v>
      </c>
      <c r="K1697" s="2">
        <v>2</v>
      </c>
      <c r="L1697" s="2">
        <v>15.49</v>
      </c>
      <c r="M1697" s="19">
        <f t="shared" si="351"/>
        <v>15.49</v>
      </c>
      <c r="N1697" s="2" t="s">
        <v>203</v>
      </c>
      <c r="O1697" s="2" t="str">
        <f t="shared" si="352"/>
        <v>VIP15</v>
      </c>
      <c r="P1697" s="2">
        <v>4.6500000000000004</v>
      </c>
      <c r="Q1697" s="19">
        <f t="shared" si="353"/>
        <v>4.6500000000000004</v>
      </c>
      <c r="R1697" s="2" t="str">
        <f t="shared" si="354"/>
        <v>Number</v>
      </c>
      <c r="S1697" s="2">
        <v>5.99</v>
      </c>
      <c r="T1697" s="19">
        <f t="shared" si="355"/>
        <v>5.99</v>
      </c>
      <c r="U1697" s="2">
        <v>32.32</v>
      </c>
      <c r="V1697" s="19">
        <f t="shared" si="356"/>
        <v>32.32</v>
      </c>
      <c r="W1697" s="19">
        <f t="shared" si="357"/>
        <v>32.32</v>
      </c>
      <c r="X1697" s="19" t="str">
        <f t="shared" si="358"/>
        <v>True</v>
      </c>
      <c r="Y1697" s="19" t="str">
        <f>IF(OR(W1697&lt;'Cleaning Tasks'!$G$18,W1697&gt;'Cleaning Tasks'!$H$18),"Outlier","Normal")</f>
        <v>Normal</v>
      </c>
      <c r="Z1697" s="2" t="s">
        <v>66</v>
      </c>
      <c r="AA1697" s="2" t="s">
        <v>27</v>
      </c>
      <c r="AB1697" s="2" t="s">
        <v>50</v>
      </c>
      <c r="AC1697" s="2" t="s">
        <v>223</v>
      </c>
      <c r="AD1697" s="2"/>
      <c r="AE1697" s="2" t="str">
        <f t="shared" si="359"/>
        <v>Not Required</v>
      </c>
      <c r="AF1697" s="2" t="s">
        <v>4528</v>
      </c>
    </row>
    <row r="1698" spans="1:32" x14ac:dyDescent="0.3">
      <c r="A1698" s="2" t="s">
        <v>4529</v>
      </c>
      <c r="B1698" s="2">
        <f t="shared" si="349"/>
        <v>1</v>
      </c>
      <c r="C1698" s="12">
        <f t="shared" si="360"/>
        <v>46238.584377476851</v>
      </c>
      <c r="D1698" s="13">
        <v>46238.584377476851</v>
      </c>
      <c r="E1698" s="2" t="s">
        <v>805</v>
      </c>
      <c r="F1698" s="2" t="str">
        <f t="shared" si="350"/>
        <v>Email Available</v>
      </c>
      <c r="G1698" s="2" t="s">
        <v>806</v>
      </c>
      <c r="H1698" s="2" t="s">
        <v>56</v>
      </c>
      <c r="I1698" s="2" t="s">
        <v>22</v>
      </c>
      <c r="J1698" s="2" t="s">
        <v>57</v>
      </c>
      <c r="K1698" s="2">
        <v>1</v>
      </c>
      <c r="L1698" s="2">
        <v>9.99</v>
      </c>
      <c r="M1698" s="19">
        <f t="shared" si="351"/>
        <v>9.99</v>
      </c>
      <c r="N1698" s="2"/>
      <c r="O1698" s="2" t="str">
        <f t="shared" si="352"/>
        <v/>
      </c>
      <c r="P1698" s="2">
        <v>0</v>
      </c>
      <c r="Q1698" s="19">
        <f t="shared" si="353"/>
        <v>0</v>
      </c>
      <c r="R1698" s="2" t="str">
        <f t="shared" si="354"/>
        <v>Number</v>
      </c>
      <c r="S1698" s="2">
        <v>4.99</v>
      </c>
      <c r="T1698" s="19">
        <f t="shared" si="355"/>
        <v>4.99</v>
      </c>
      <c r="U1698" s="2">
        <v>14.98</v>
      </c>
      <c r="V1698" s="19">
        <f t="shared" si="356"/>
        <v>14.98</v>
      </c>
      <c r="W1698" s="19">
        <f t="shared" si="357"/>
        <v>14.98</v>
      </c>
      <c r="X1698" s="19" t="str">
        <f t="shared" si="358"/>
        <v>True</v>
      </c>
      <c r="Y1698" s="19" t="str">
        <f>IF(OR(W1698&lt;'Cleaning Tasks'!$G$18,W1698&gt;'Cleaning Tasks'!$H$18),"Outlier","Normal")</f>
        <v>Normal</v>
      </c>
      <c r="Z1698" s="2" t="s">
        <v>72</v>
      </c>
      <c r="AA1698" s="2" t="s">
        <v>88</v>
      </c>
      <c r="AB1698" s="2" t="s">
        <v>96</v>
      </c>
      <c r="AC1698" s="2" t="s">
        <v>29</v>
      </c>
      <c r="AD1698" s="2" t="s">
        <v>140</v>
      </c>
      <c r="AE1698" s="2" t="str">
        <f t="shared" si="359"/>
        <v>Valid</v>
      </c>
      <c r="AF1698" s="2" t="s">
        <v>4530</v>
      </c>
    </row>
    <row r="1699" spans="1:32" x14ac:dyDescent="0.3">
      <c r="A1699" s="2" t="s">
        <v>4531</v>
      </c>
      <c r="B1699" s="2">
        <f t="shared" si="349"/>
        <v>1</v>
      </c>
      <c r="C1699" s="12">
        <f t="shared" si="360"/>
        <v>46238.58142141204</v>
      </c>
      <c r="D1699" s="13">
        <v>46238.58142141204</v>
      </c>
      <c r="E1699" s="2" t="s">
        <v>3323</v>
      </c>
      <c r="F1699" s="2" t="str">
        <f t="shared" si="350"/>
        <v>Email Available</v>
      </c>
      <c r="G1699" s="2" t="s">
        <v>3324</v>
      </c>
      <c r="H1699" s="2" t="s">
        <v>117</v>
      </c>
      <c r="I1699" s="2" t="s">
        <v>22</v>
      </c>
      <c r="J1699" s="2" t="s">
        <v>23</v>
      </c>
      <c r="K1699" s="2">
        <v>2</v>
      </c>
      <c r="L1699" s="2">
        <v>12.99</v>
      </c>
      <c r="M1699" s="19">
        <f t="shared" si="351"/>
        <v>12.99</v>
      </c>
      <c r="N1699" s="2" t="s">
        <v>65</v>
      </c>
      <c r="O1699" s="2" t="str">
        <f t="shared" si="352"/>
        <v>WELCOME10</v>
      </c>
      <c r="P1699" s="2" t="s">
        <v>25</v>
      </c>
      <c r="Q1699" s="19">
        <f t="shared" si="353"/>
        <v>2.6</v>
      </c>
      <c r="R1699" s="2" t="str">
        <f t="shared" si="354"/>
        <v>Number</v>
      </c>
      <c r="S1699" s="2">
        <v>5.99</v>
      </c>
      <c r="T1699" s="19">
        <f t="shared" si="355"/>
        <v>5.99</v>
      </c>
      <c r="U1699" s="2">
        <v>29.37</v>
      </c>
      <c r="V1699" s="19">
        <f t="shared" si="356"/>
        <v>29.37</v>
      </c>
      <c r="W1699" s="19">
        <f t="shared" si="357"/>
        <v>29.369999999999997</v>
      </c>
      <c r="X1699" s="19" t="str">
        <f t="shared" si="358"/>
        <v>True</v>
      </c>
      <c r="Y1699" s="19" t="str">
        <f>IF(OR(W1699&lt;'Cleaning Tasks'!$G$18,W1699&gt;'Cleaning Tasks'!$H$18),"Outlier","Normal")</f>
        <v>Normal</v>
      </c>
      <c r="Z1699" s="2" t="s">
        <v>66</v>
      </c>
      <c r="AA1699" s="2" t="s">
        <v>88</v>
      </c>
      <c r="AB1699" s="2" t="s">
        <v>50</v>
      </c>
      <c r="AC1699" s="2" t="s">
        <v>29</v>
      </c>
      <c r="AD1699" s="2" t="s">
        <v>67</v>
      </c>
      <c r="AE1699" s="2" t="str">
        <f t="shared" si="359"/>
        <v>Valid</v>
      </c>
      <c r="AF1699" s="2" t="s">
        <v>4532</v>
      </c>
    </row>
    <row r="1700" spans="1:32" x14ac:dyDescent="0.3">
      <c r="A1700" s="2" t="s">
        <v>4533</v>
      </c>
      <c r="B1700" s="2">
        <f t="shared" si="349"/>
        <v>1</v>
      </c>
      <c r="C1700" s="12">
        <f t="shared" si="360"/>
        <v>46238.581758067128</v>
      </c>
      <c r="D1700" s="13">
        <v>46238.581758067128</v>
      </c>
      <c r="E1700" s="2" t="s">
        <v>550</v>
      </c>
      <c r="F1700" s="2" t="str">
        <f t="shared" si="350"/>
        <v>Email Available</v>
      </c>
      <c r="G1700" s="2" t="s">
        <v>551</v>
      </c>
      <c r="H1700" s="2" t="s">
        <v>146</v>
      </c>
      <c r="I1700" s="2" t="s">
        <v>47</v>
      </c>
      <c r="J1700" s="2" t="s">
        <v>147</v>
      </c>
      <c r="K1700" s="2">
        <v>4</v>
      </c>
      <c r="L1700" s="2">
        <v>34.99</v>
      </c>
      <c r="M1700" s="19">
        <f t="shared" si="351"/>
        <v>34.99</v>
      </c>
      <c r="N1700" s="2"/>
      <c r="O1700" s="2" t="str">
        <f t="shared" si="352"/>
        <v/>
      </c>
      <c r="P1700" s="2">
        <v>0</v>
      </c>
      <c r="Q1700" s="19">
        <f t="shared" si="353"/>
        <v>0</v>
      </c>
      <c r="R1700" s="2" t="str">
        <f t="shared" si="354"/>
        <v>Number</v>
      </c>
      <c r="S1700" s="2">
        <v>0</v>
      </c>
      <c r="T1700" s="19">
        <f t="shared" si="355"/>
        <v>0</v>
      </c>
      <c r="U1700" s="2">
        <v>139.96</v>
      </c>
      <c r="V1700" s="19">
        <f t="shared" si="356"/>
        <v>139.96</v>
      </c>
      <c r="W1700" s="19">
        <f t="shared" si="357"/>
        <v>139.96</v>
      </c>
      <c r="X1700" s="19" t="str">
        <f t="shared" si="358"/>
        <v>True</v>
      </c>
      <c r="Y1700" s="19" t="str">
        <f>IF(OR(W1700&lt;'Cleaning Tasks'!$G$18,W1700&gt;'Cleaning Tasks'!$H$18),"Outlier","Normal")</f>
        <v>Outlier</v>
      </c>
      <c r="Z1700" s="2" t="s">
        <v>39</v>
      </c>
      <c r="AA1700" s="2" t="s">
        <v>111</v>
      </c>
      <c r="AB1700" s="2" t="s">
        <v>50</v>
      </c>
      <c r="AC1700" s="2" t="s">
        <v>29</v>
      </c>
      <c r="AD1700" s="2" t="s">
        <v>51</v>
      </c>
      <c r="AE1700" s="2" t="str">
        <f t="shared" si="359"/>
        <v>Valid</v>
      </c>
      <c r="AF1700" s="2" t="s">
        <v>4534</v>
      </c>
    </row>
    <row r="1701" spans="1:32" x14ac:dyDescent="0.3">
      <c r="A1701" s="2" t="s">
        <v>4535</v>
      </c>
      <c r="B1701" s="2">
        <f t="shared" si="349"/>
        <v>1</v>
      </c>
      <c r="C1701" s="12">
        <f t="shared" si="360"/>
        <v>46238.582718969898</v>
      </c>
      <c r="D1701" s="13">
        <v>46238.582718969898</v>
      </c>
      <c r="E1701" s="2" t="s">
        <v>2826</v>
      </c>
      <c r="F1701" s="2" t="str">
        <f t="shared" si="350"/>
        <v>Missing Email</v>
      </c>
      <c r="G1701" s="2"/>
      <c r="H1701" s="2" t="s">
        <v>109</v>
      </c>
      <c r="I1701" s="2" t="s">
        <v>79</v>
      </c>
      <c r="J1701" s="2" t="s">
        <v>110</v>
      </c>
      <c r="K1701" s="2">
        <v>1</v>
      </c>
      <c r="L1701" s="2">
        <v>22.99</v>
      </c>
      <c r="M1701" s="19">
        <f t="shared" si="351"/>
        <v>22.99</v>
      </c>
      <c r="N1701" s="2"/>
      <c r="O1701" s="2" t="str">
        <f t="shared" si="352"/>
        <v/>
      </c>
      <c r="P1701" s="2">
        <v>0</v>
      </c>
      <c r="Q1701" s="19">
        <f t="shared" si="353"/>
        <v>0</v>
      </c>
      <c r="R1701" s="2" t="str">
        <f t="shared" si="354"/>
        <v>Number</v>
      </c>
      <c r="S1701" s="2">
        <v>5.99</v>
      </c>
      <c r="T1701" s="19">
        <f t="shared" si="355"/>
        <v>5.99</v>
      </c>
      <c r="U1701" s="2">
        <v>28.98</v>
      </c>
      <c r="V1701" s="19">
        <f t="shared" si="356"/>
        <v>28.98</v>
      </c>
      <c r="W1701" s="19">
        <f t="shared" si="357"/>
        <v>28.979999999999997</v>
      </c>
      <c r="X1701" s="19" t="str">
        <f t="shared" si="358"/>
        <v>True</v>
      </c>
      <c r="Y1701" s="19" t="str">
        <f>IF(OR(W1701&lt;'Cleaning Tasks'!$G$18,W1701&gt;'Cleaning Tasks'!$H$18),"Outlier","Normal")</f>
        <v>Normal</v>
      </c>
      <c r="Z1701" s="2" t="s">
        <v>39</v>
      </c>
      <c r="AA1701" s="2" t="s">
        <v>27</v>
      </c>
      <c r="AB1701" s="2" t="s">
        <v>50</v>
      </c>
      <c r="AC1701" s="2" t="s">
        <v>73</v>
      </c>
      <c r="AD1701" s="2"/>
      <c r="AE1701" s="2" t="str">
        <f t="shared" si="359"/>
        <v>Not Required</v>
      </c>
      <c r="AF1701" s="2" t="s">
        <v>4536</v>
      </c>
    </row>
    <row r="1702" spans="1:32" x14ac:dyDescent="0.3">
      <c r="A1702" s="2" t="s">
        <v>4537</v>
      </c>
      <c r="B1702" s="2">
        <f t="shared" si="349"/>
        <v>1</v>
      </c>
      <c r="C1702" s="12">
        <f t="shared" si="360"/>
        <v>46238.581492083344</v>
      </c>
      <c r="D1702" s="13">
        <v>46238.581492083344</v>
      </c>
      <c r="E1702" s="2" t="s">
        <v>160</v>
      </c>
      <c r="F1702" s="2" t="str">
        <f t="shared" si="350"/>
        <v>Email Available</v>
      </c>
      <c r="G1702" s="2" t="s">
        <v>161</v>
      </c>
      <c r="H1702" s="2" t="s">
        <v>146</v>
      </c>
      <c r="I1702" s="2" t="s">
        <v>47</v>
      </c>
      <c r="J1702" s="2" t="s">
        <v>147</v>
      </c>
      <c r="K1702" s="2">
        <v>1</v>
      </c>
      <c r="L1702" s="2">
        <v>34.99</v>
      </c>
      <c r="M1702" s="19">
        <f t="shared" si="351"/>
        <v>34.99</v>
      </c>
      <c r="N1702" s="2" t="s">
        <v>38</v>
      </c>
      <c r="O1702" s="2" t="str">
        <f t="shared" si="352"/>
        <v>FREESHIP</v>
      </c>
      <c r="P1702" s="2" t="s">
        <v>184</v>
      </c>
      <c r="Q1702" s="19">
        <f t="shared" si="353"/>
        <v>0</v>
      </c>
      <c r="R1702" s="2" t="str">
        <f t="shared" si="354"/>
        <v>Number</v>
      </c>
      <c r="S1702" s="2">
        <v>0</v>
      </c>
      <c r="T1702" s="19">
        <f t="shared" si="355"/>
        <v>0</v>
      </c>
      <c r="U1702" s="2">
        <v>34.99</v>
      </c>
      <c r="V1702" s="19">
        <f t="shared" si="356"/>
        <v>34.99</v>
      </c>
      <c r="W1702" s="19">
        <f t="shared" si="357"/>
        <v>34.99</v>
      </c>
      <c r="X1702" s="19" t="str">
        <f t="shared" si="358"/>
        <v>True</v>
      </c>
      <c r="Y1702" s="19" t="str">
        <f>IF(OR(W1702&lt;'Cleaning Tasks'!$G$18,W1702&gt;'Cleaning Tasks'!$H$18),"Outlier","Normal")</f>
        <v>Normal</v>
      </c>
      <c r="Z1702" s="2" t="s">
        <v>66</v>
      </c>
      <c r="AA1702" s="2" t="s">
        <v>111</v>
      </c>
      <c r="AB1702" s="2" t="s">
        <v>50</v>
      </c>
      <c r="AC1702" s="2" t="s">
        <v>29</v>
      </c>
      <c r="AD1702" s="22" t="s">
        <v>243</v>
      </c>
      <c r="AE1702" s="2" t="str">
        <f t="shared" si="359"/>
        <v>Valid</v>
      </c>
      <c r="AF1702" s="2" t="s">
        <v>4538</v>
      </c>
    </row>
    <row r="1703" spans="1:32" x14ac:dyDescent="0.3">
      <c r="A1703" s="2" t="s">
        <v>4539</v>
      </c>
      <c r="B1703" s="2">
        <f t="shared" si="349"/>
        <v>1</v>
      </c>
      <c r="C1703" s="12">
        <f t="shared" si="360"/>
        <v>46238.579241817133</v>
      </c>
      <c r="D1703" s="13">
        <v>46238.579241817133</v>
      </c>
      <c r="E1703" s="2" t="s">
        <v>385</v>
      </c>
      <c r="F1703" s="2" t="str">
        <f t="shared" si="350"/>
        <v>Email Available</v>
      </c>
      <c r="G1703" s="2" t="s">
        <v>386</v>
      </c>
      <c r="H1703" s="2" t="s">
        <v>309</v>
      </c>
      <c r="I1703" s="2" t="s">
        <v>36</v>
      </c>
      <c r="J1703" s="2" t="s">
        <v>310</v>
      </c>
      <c r="K1703" s="2">
        <v>1</v>
      </c>
      <c r="L1703" s="2">
        <v>8.99</v>
      </c>
      <c r="M1703" s="19">
        <f t="shared" si="351"/>
        <v>8.99</v>
      </c>
      <c r="N1703" s="2" t="s">
        <v>24</v>
      </c>
      <c r="O1703" s="2" t="str">
        <f t="shared" si="352"/>
        <v>SAVE20</v>
      </c>
      <c r="P1703" s="2">
        <v>1.8</v>
      </c>
      <c r="Q1703" s="19">
        <f t="shared" si="353"/>
        <v>1.8</v>
      </c>
      <c r="R1703" s="2" t="str">
        <f t="shared" si="354"/>
        <v>Number</v>
      </c>
      <c r="S1703" s="2">
        <v>5.99</v>
      </c>
      <c r="T1703" s="19">
        <f t="shared" si="355"/>
        <v>5.99</v>
      </c>
      <c r="U1703" s="2">
        <v>13.18</v>
      </c>
      <c r="V1703" s="19">
        <f t="shared" si="356"/>
        <v>13.18</v>
      </c>
      <c r="W1703" s="19">
        <f t="shared" si="357"/>
        <v>13.18</v>
      </c>
      <c r="X1703" s="19" t="str">
        <f t="shared" si="358"/>
        <v>True</v>
      </c>
      <c r="Y1703" s="19" t="str">
        <f>IF(OR(W1703&lt;'Cleaning Tasks'!$G$18,W1703&gt;'Cleaning Tasks'!$H$18),"Outlier","Normal")</f>
        <v>Normal</v>
      </c>
      <c r="Z1703" s="2" t="s">
        <v>49</v>
      </c>
      <c r="AA1703" s="2" t="s">
        <v>40</v>
      </c>
      <c r="AB1703" s="2" t="s">
        <v>50</v>
      </c>
      <c r="AC1703" s="2" t="s">
        <v>105</v>
      </c>
      <c r="AD1703" s="2"/>
      <c r="AE1703" s="2" t="str">
        <f t="shared" si="359"/>
        <v>Not Required</v>
      </c>
      <c r="AF1703" s="2" t="s">
        <v>4540</v>
      </c>
    </row>
    <row r="1704" spans="1:32" x14ac:dyDescent="0.3">
      <c r="A1704" s="2" t="s">
        <v>4541</v>
      </c>
      <c r="B1704" s="2">
        <f t="shared" si="349"/>
        <v>1</v>
      </c>
      <c r="C1704" s="12">
        <f t="shared" si="360"/>
        <v>46238.582124560176</v>
      </c>
      <c r="D1704" s="13">
        <v>46238.582124560176</v>
      </c>
      <c r="E1704" s="2" t="s">
        <v>554</v>
      </c>
      <c r="F1704" s="2" t="str">
        <f t="shared" si="350"/>
        <v>Email Available</v>
      </c>
      <c r="G1704" s="2" t="s">
        <v>45</v>
      </c>
      <c r="H1704" s="2" t="s">
        <v>109</v>
      </c>
      <c r="I1704" s="2" t="s">
        <v>79</v>
      </c>
      <c r="J1704" s="2" t="s">
        <v>110</v>
      </c>
      <c r="K1704" s="2">
        <v>2</v>
      </c>
      <c r="L1704" s="2">
        <v>22.99</v>
      </c>
      <c r="M1704" s="19">
        <f t="shared" si="351"/>
        <v>22.99</v>
      </c>
      <c r="N1704" s="2"/>
      <c r="O1704" s="2" t="str">
        <f t="shared" si="352"/>
        <v/>
      </c>
      <c r="P1704" s="2">
        <v>0</v>
      </c>
      <c r="Q1704" s="19">
        <f t="shared" si="353"/>
        <v>0</v>
      </c>
      <c r="R1704" s="2" t="str">
        <f t="shared" si="354"/>
        <v>Number</v>
      </c>
      <c r="S1704" s="2">
        <v>5.99</v>
      </c>
      <c r="T1704" s="19">
        <f t="shared" si="355"/>
        <v>5.99</v>
      </c>
      <c r="U1704" s="2">
        <v>51.97</v>
      </c>
      <c r="V1704" s="19">
        <f t="shared" si="356"/>
        <v>51.97</v>
      </c>
      <c r="W1704" s="19">
        <f t="shared" si="357"/>
        <v>51.97</v>
      </c>
      <c r="X1704" s="19" t="str">
        <f t="shared" si="358"/>
        <v>True</v>
      </c>
      <c r="Y1704" s="19" t="str">
        <f>IF(OR(W1704&lt;'Cleaning Tasks'!$G$18,W1704&gt;'Cleaning Tasks'!$H$18),"Outlier","Normal")</f>
        <v>Normal</v>
      </c>
      <c r="Z1704" s="2" t="s">
        <v>49</v>
      </c>
      <c r="AA1704" s="2" t="s">
        <v>27</v>
      </c>
      <c r="AB1704" s="2" t="s">
        <v>50</v>
      </c>
      <c r="AC1704" s="2" t="s">
        <v>29</v>
      </c>
      <c r="AD1704" s="2" t="s">
        <v>140</v>
      </c>
      <c r="AE1704" s="2" t="str">
        <f t="shared" si="359"/>
        <v>Valid</v>
      </c>
      <c r="AF1704" s="2" t="s">
        <v>4542</v>
      </c>
    </row>
    <row r="1705" spans="1:32" x14ac:dyDescent="0.3">
      <c r="A1705" s="2" t="s">
        <v>4543</v>
      </c>
      <c r="B1705" s="2">
        <f t="shared" si="349"/>
        <v>1</v>
      </c>
      <c r="C1705" s="12">
        <f t="shared" si="360"/>
        <v>46238.587981053242</v>
      </c>
      <c r="D1705" s="13">
        <v>46238.587981053242</v>
      </c>
      <c r="E1705" s="2" t="s">
        <v>394</v>
      </c>
      <c r="F1705" s="2" t="str">
        <f t="shared" si="350"/>
        <v>Email Available</v>
      </c>
      <c r="G1705" s="2" t="s">
        <v>395</v>
      </c>
      <c r="H1705" s="2" t="s">
        <v>63</v>
      </c>
      <c r="I1705" s="2" t="s">
        <v>47</v>
      </c>
      <c r="J1705" s="2" t="s">
        <v>446</v>
      </c>
      <c r="K1705" s="2">
        <v>1</v>
      </c>
      <c r="L1705" s="2">
        <v>14.99</v>
      </c>
      <c r="M1705" s="19">
        <f t="shared" si="351"/>
        <v>14.99</v>
      </c>
      <c r="N1705" s="2" t="s">
        <v>203</v>
      </c>
      <c r="O1705" s="2" t="str">
        <f t="shared" si="352"/>
        <v>VIP15</v>
      </c>
      <c r="P1705" s="2">
        <v>2.25</v>
      </c>
      <c r="Q1705" s="19">
        <f t="shared" si="353"/>
        <v>2.25</v>
      </c>
      <c r="R1705" s="2" t="str">
        <f t="shared" si="354"/>
        <v>Number</v>
      </c>
      <c r="S1705" s="2">
        <v>5.99</v>
      </c>
      <c r="T1705" s="19">
        <f t="shared" si="355"/>
        <v>5.99</v>
      </c>
      <c r="U1705" s="2">
        <v>18.73</v>
      </c>
      <c r="V1705" s="19">
        <f t="shared" si="356"/>
        <v>18.73</v>
      </c>
      <c r="W1705" s="19">
        <f t="shared" si="357"/>
        <v>18.73</v>
      </c>
      <c r="X1705" s="19" t="str">
        <f t="shared" si="358"/>
        <v>True</v>
      </c>
      <c r="Y1705" s="19" t="str">
        <f>IF(OR(W1705&lt;'Cleaning Tasks'!$G$18,W1705&gt;'Cleaning Tasks'!$H$18),"Outlier","Normal")</f>
        <v>Normal</v>
      </c>
      <c r="Z1705" s="2" t="s">
        <v>26</v>
      </c>
      <c r="AA1705" s="2" t="s">
        <v>27</v>
      </c>
      <c r="AB1705" s="2" t="s">
        <v>50</v>
      </c>
      <c r="AC1705" s="2" t="s">
        <v>73</v>
      </c>
      <c r="AD1705" s="2"/>
      <c r="AE1705" s="2" t="str">
        <f t="shared" si="359"/>
        <v>Not Required</v>
      </c>
      <c r="AF1705" s="2" t="s">
        <v>4544</v>
      </c>
    </row>
    <row r="1706" spans="1:32" x14ac:dyDescent="0.3">
      <c r="A1706" s="2" t="s">
        <v>4545</v>
      </c>
      <c r="B1706" s="2">
        <f t="shared" si="349"/>
        <v>1</v>
      </c>
      <c r="C1706" s="12">
        <f t="shared" si="360"/>
        <v>46238.587447337974</v>
      </c>
      <c r="D1706" s="13">
        <v>46238.587447337974</v>
      </c>
      <c r="E1706" s="2" t="s">
        <v>809</v>
      </c>
      <c r="F1706" s="2" t="str">
        <f t="shared" si="350"/>
        <v>Email Available</v>
      </c>
      <c r="G1706" s="2" t="s">
        <v>810</v>
      </c>
      <c r="H1706" s="2" t="s">
        <v>85</v>
      </c>
      <c r="I1706" s="2" t="s">
        <v>86</v>
      </c>
      <c r="J1706" s="2" t="s">
        <v>87</v>
      </c>
      <c r="K1706" s="2">
        <v>1</v>
      </c>
      <c r="L1706" s="2">
        <v>54.99</v>
      </c>
      <c r="M1706" s="19">
        <f t="shared" si="351"/>
        <v>54.99</v>
      </c>
      <c r="N1706" s="2" t="s">
        <v>24</v>
      </c>
      <c r="O1706" s="2" t="str">
        <f t="shared" si="352"/>
        <v>SAVE20</v>
      </c>
      <c r="P1706" s="2">
        <v>11</v>
      </c>
      <c r="Q1706" s="19">
        <f t="shared" si="353"/>
        <v>11</v>
      </c>
      <c r="R1706" s="2" t="str">
        <f t="shared" si="354"/>
        <v>Number</v>
      </c>
      <c r="S1706" s="2">
        <v>4.99</v>
      </c>
      <c r="T1706" s="19">
        <f t="shared" si="355"/>
        <v>4.99</v>
      </c>
      <c r="U1706" s="2">
        <v>48.98</v>
      </c>
      <c r="V1706" s="19">
        <f t="shared" si="356"/>
        <v>48.98</v>
      </c>
      <c r="W1706" s="19">
        <f t="shared" si="357"/>
        <v>48.980000000000004</v>
      </c>
      <c r="X1706" s="19" t="str">
        <f t="shared" si="358"/>
        <v>True</v>
      </c>
      <c r="Y1706" s="19" t="str">
        <f>IF(OR(W1706&lt;'Cleaning Tasks'!$G$18,W1706&gt;'Cleaning Tasks'!$H$18),"Outlier","Normal")</f>
        <v>Normal</v>
      </c>
      <c r="Z1706" s="2" t="s">
        <v>39</v>
      </c>
      <c r="AA1706" s="2" t="s">
        <v>27</v>
      </c>
      <c r="AB1706" s="2" t="s">
        <v>50</v>
      </c>
      <c r="AC1706" s="2" t="s">
        <v>29</v>
      </c>
      <c r="AD1706" s="2" t="s">
        <v>112</v>
      </c>
      <c r="AE1706" s="2" t="str">
        <f t="shared" si="359"/>
        <v>Valid</v>
      </c>
      <c r="AF1706" s="2" t="s">
        <v>4546</v>
      </c>
    </row>
    <row r="1707" spans="1:32" x14ac:dyDescent="0.3">
      <c r="A1707" s="2" t="s">
        <v>4547</v>
      </c>
      <c r="B1707" s="2">
        <f t="shared" si="349"/>
        <v>1</v>
      </c>
      <c r="C1707" s="12">
        <f t="shared" ref="C1707:C1738" si="361">IF(ISNUMBER(D1707),D1707,DATEVALUE(SUBSTITUTE(TRIM(D1707),CHAR(160)," ")))</f>
        <v>46238.579907650463</v>
      </c>
      <c r="D1707" s="13">
        <v>46238.579907650463</v>
      </c>
      <c r="E1707" s="2" t="s">
        <v>1462</v>
      </c>
      <c r="F1707" s="2" t="str">
        <f t="shared" si="350"/>
        <v>Email Available</v>
      </c>
      <c r="G1707" s="2" t="s">
        <v>1463</v>
      </c>
      <c r="H1707" s="2" t="s">
        <v>236</v>
      </c>
      <c r="I1707" s="2" t="s">
        <v>237</v>
      </c>
      <c r="J1707" s="2" t="s">
        <v>238</v>
      </c>
      <c r="K1707" s="2">
        <v>1</v>
      </c>
      <c r="L1707" s="2">
        <v>27.99</v>
      </c>
      <c r="M1707" s="19">
        <f t="shared" si="351"/>
        <v>27.99</v>
      </c>
      <c r="N1707" s="2"/>
      <c r="O1707" s="2" t="str">
        <f t="shared" si="352"/>
        <v/>
      </c>
      <c r="P1707" s="2">
        <v>0</v>
      </c>
      <c r="Q1707" s="19">
        <f t="shared" si="353"/>
        <v>0</v>
      </c>
      <c r="R1707" s="2" t="str">
        <f t="shared" si="354"/>
        <v>Number</v>
      </c>
      <c r="S1707" s="2">
        <v>4.99</v>
      </c>
      <c r="T1707" s="19">
        <f t="shared" si="355"/>
        <v>4.99</v>
      </c>
      <c r="U1707" s="2">
        <v>32.979999999999997</v>
      </c>
      <c r="V1707" s="19">
        <f t="shared" si="356"/>
        <v>32.979999999999997</v>
      </c>
      <c r="W1707" s="19">
        <f t="shared" si="357"/>
        <v>32.979999999999997</v>
      </c>
      <c r="X1707" s="19" t="str">
        <f t="shared" si="358"/>
        <v>True</v>
      </c>
      <c r="Y1707" s="19" t="str">
        <f>IF(OR(W1707&lt;'Cleaning Tasks'!$G$18,W1707&gt;'Cleaning Tasks'!$H$18),"Outlier","Normal")</f>
        <v>Normal</v>
      </c>
      <c r="Z1707" s="2" t="s">
        <v>39</v>
      </c>
      <c r="AA1707" s="2" t="s">
        <v>27</v>
      </c>
      <c r="AB1707" s="2" t="s">
        <v>50</v>
      </c>
      <c r="AC1707" s="2" t="s">
        <v>73</v>
      </c>
      <c r="AD1707" s="2"/>
      <c r="AE1707" s="2" t="str">
        <f t="shared" si="359"/>
        <v>Not Required</v>
      </c>
      <c r="AF1707" s="2" t="s">
        <v>4548</v>
      </c>
    </row>
    <row r="1708" spans="1:32" x14ac:dyDescent="0.3">
      <c r="A1708" s="2" t="s">
        <v>4549</v>
      </c>
      <c r="B1708" s="2">
        <f t="shared" si="349"/>
        <v>1</v>
      </c>
      <c r="C1708" s="12">
        <f t="shared" si="361"/>
        <v>46238.586730590279</v>
      </c>
      <c r="D1708" s="13">
        <v>46238.586730590279</v>
      </c>
      <c r="E1708" s="2" t="s">
        <v>4550</v>
      </c>
      <c r="F1708" s="2" t="str">
        <f t="shared" si="350"/>
        <v>Email Available</v>
      </c>
      <c r="G1708" s="2" t="s">
        <v>4551</v>
      </c>
      <c r="H1708" s="2" t="s">
        <v>190</v>
      </c>
      <c r="I1708" s="2" t="s">
        <v>191</v>
      </c>
      <c r="J1708" s="2" t="s">
        <v>192</v>
      </c>
      <c r="K1708" s="2">
        <v>1</v>
      </c>
      <c r="L1708" s="2">
        <v>13.49</v>
      </c>
      <c r="M1708" s="19">
        <f t="shared" si="351"/>
        <v>13.49</v>
      </c>
      <c r="N1708" s="2" t="s">
        <v>24</v>
      </c>
      <c r="O1708" s="2" t="str">
        <f t="shared" si="352"/>
        <v>SAVE20</v>
      </c>
      <c r="P1708" s="2">
        <v>2.7</v>
      </c>
      <c r="Q1708" s="19">
        <f t="shared" si="353"/>
        <v>2.7</v>
      </c>
      <c r="R1708" s="2" t="str">
        <f t="shared" si="354"/>
        <v>Number</v>
      </c>
      <c r="S1708" s="2">
        <v>7.99</v>
      </c>
      <c r="T1708" s="19">
        <f t="shared" si="355"/>
        <v>7.99</v>
      </c>
      <c r="U1708" s="2">
        <v>18.78</v>
      </c>
      <c r="V1708" s="19">
        <f t="shared" si="356"/>
        <v>18.78</v>
      </c>
      <c r="W1708" s="19">
        <f t="shared" si="357"/>
        <v>18.78</v>
      </c>
      <c r="X1708" s="19" t="str">
        <f t="shared" si="358"/>
        <v>True</v>
      </c>
      <c r="Y1708" s="19" t="str">
        <f>IF(OR(W1708&lt;'Cleaning Tasks'!$G$18,W1708&gt;'Cleaning Tasks'!$H$18),"Outlier","Normal")</f>
        <v>Normal</v>
      </c>
      <c r="Z1708" s="2" t="s">
        <v>26</v>
      </c>
      <c r="AA1708" s="2" t="s">
        <v>111</v>
      </c>
      <c r="AB1708" s="2" t="s">
        <v>96</v>
      </c>
      <c r="AC1708" s="2" t="s">
        <v>29</v>
      </c>
      <c r="AD1708" s="2" t="s">
        <v>67</v>
      </c>
      <c r="AE1708" s="2" t="str">
        <f t="shared" si="359"/>
        <v>Valid</v>
      </c>
      <c r="AF1708" s="2" t="s">
        <v>4552</v>
      </c>
    </row>
    <row r="1709" spans="1:32" x14ac:dyDescent="0.3">
      <c r="A1709" s="2" t="s">
        <v>4553</v>
      </c>
      <c r="B1709" s="2">
        <f t="shared" si="349"/>
        <v>1</v>
      </c>
      <c r="C1709" s="12">
        <f t="shared" si="361"/>
        <v>46238.584219375</v>
      </c>
      <c r="D1709" s="13">
        <v>46238.584219375</v>
      </c>
      <c r="E1709" s="2" t="s">
        <v>673</v>
      </c>
      <c r="F1709" s="2" t="str">
        <f t="shared" si="350"/>
        <v>Email Available</v>
      </c>
      <c r="G1709" s="2" t="s">
        <v>674</v>
      </c>
      <c r="H1709" s="2" t="s">
        <v>182</v>
      </c>
      <c r="I1709" s="2" t="s">
        <v>36</v>
      </c>
      <c r="J1709" s="2" t="s">
        <v>183</v>
      </c>
      <c r="K1709" s="2">
        <v>1</v>
      </c>
      <c r="L1709" s="2">
        <v>11.99</v>
      </c>
      <c r="M1709" s="19">
        <f t="shared" si="351"/>
        <v>11.99</v>
      </c>
      <c r="N1709" s="2"/>
      <c r="O1709" s="2" t="str">
        <f t="shared" si="352"/>
        <v/>
      </c>
      <c r="P1709" s="2">
        <v>0</v>
      </c>
      <c r="Q1709" s="19">
        <f t="shared" si="353"/>
        <v>0</v>
      </c>
      <c r="R1709" s="2" t="str">
        <f t="shared" si="354"/>
        <v>Number</v>
      </c>
      <c r="S1709" s="2">
        <v>4.99</v>
      </c>
      <c r="T1709" s="19">
        <f t="shared" si="355"/>
        <v>4.99</v>
      </c>
      <c r="U1709" s="2">
        <v>16.98</v>
      </c>
      <c r="V1709" s="19">
        <f t="shared" si="356"/>
        <v>16.98</v>
      </c>
      <c r="W1709" s="19">
        <f t="shared" si="357"/>
        <v>16.98</v>
      </c>
      <c r="X1709" s="19" t="str">
        <f t="shared" si="358"/>
        <v>True</v>
      </c>
      <c r="Y1709" s="19" t="str">
        <f>IF(OR(W1709&lt;'Cleaning Tasks'!$G$18,W1709&gt;'Cleaning Tasks'!$H$18),"Outlier","Normal")</f>
        <v>Normal</v>
      </c>
      <c r="Z1709" s="2" t="s">
        <v>26</v>
      </c>
      <c r="AA1709" s="2" t="s">
        <v>27</v>
      </c>
      <c r="AB1709" s="2" t="s">
        <v>96</v>
      </c>
      <c r="AC1709" s="2" t="s">
        <v>73</v>
      </c>
      <c r="AD1709" s="2"/>
      <c r="AE1709" s="2" t="str">
        <f t="shared" si="359"/>
        <v>Not Required</v>
      </c>
      <c r="AF1709" s="2" t="s">
        <v>4554</v>
      </c>
    </row>
    <row r="1710" spans="1:32" x14ac:dyDescent="0.3">
      <c r="A1710" s="2" t="s">
        <v>4555</v>
      </c>
      <c r="B1710" s="2">
        <f t="shared" si="349"/>
        <v>1</v>
      </c>
      <c r="C1710" s="12">
        <f t="shared" si="361"/>
        <v>46238.588752430558</v>
      </c>
      <c r="D1710" s="13">
        <v>46238.588752430558</v>
      </c>
      <c r="E1710" s="2" t="s">
        <v>993</v>
      </c>
      <c r="F1710" s="2" t="str">
        <f t="shared" si="350"/>
        <v>Email Available</v>
      </c>
      <c r="G1710" s="2" t="s">
        <v>994</v>
      </c>
      <c r="H1710" s="2" t="s">
        <v>35</v>
      </c>
      <c r="I1710" s="2" t="s">
        <v>36</v>
      </c>
      <c r="J1710" s="2" t="s">
        <v>37</v>
      </c>
      <c r="K1710" s="2">
        <v>1</v>
      </c>
      <c r="L1710" s="2">
        <v>21.99</v>
      </c>
      <c r="M1710" s="19">
        <f t="shared" si="351"/>
        <v>21.99</v>
      </c>
      <c r="N1710" s="2" t="s">
        <v>65</v>
      </c>
      <c r="O1710" s="2" t="str">
        <f t="shared" si="352"/>
        <v>WELCOME10</v>
      </c>
      <c r="P1710" s="2">
        <v>2.2000000000000002</v>
      </c>
      <c r="Q1710" s="19">
        <f t="shared" si="353"/>
        <v>2.2000000000000002</v>
      </c>
      <c r="R1710" s="2" t="str">
        <f t="shared" si="354"/>
        <v>Number</v>
      </c>
      <c r="S1710" s="2">
        <v>5.99</v>
      </c>
      <c r="T1710" s="19">
        <f t="shared" si="355"/>
        <v>5.99</v>
      </c>
      <c r="U1710" s="2">
        <v>25.78</v>
      </c>
      <c r="V1710" s="19">
        <f t="shared" si="356"/>
        <v>25.78</v>
      </c>
      <c r="W1710" s="19">
        <f t="shared" si="357"/>
        <v>25.78</v>
      </c>
      <c r="X1710" s="19" t="str">
        <f t="shared" si="358"/>
        <v>True</v>
      </c>
      <c r="Y1710" s="19" t="str">
        <f>IF(OR(W1710&lt;'Cleaning Tasks'!$G$18,W1710&gt;'Cleaning Tasks'!$H$18),"Outlier","Normal")</f>
        <v>Normal</v>
      </c>
      <c r="Z1710" s="2" t="s">
        <v>49</v>
      </c>
      <c r="AA1710" s="2" t="s">
        <v>27</v>
      </c>
      <c r="AB1710" s="2" t="s">
        <v>50</v>
      </c>
      <c r="AC1710" s="2" t="s">
        <v>42</v>
      </c>
      <c r="AD1710" s="2"/>
      <c r="AE1710" s="2" t="str">
        <f t="shared" si="359"/>
        <v>Not Required</v>
      </c>
      <c r="AF1710" s="2" t="s">
        <v>4556</v>
      </c>
    </row>
    <row r="1711" spans="1:32" x14ac:dyDescent="0.3">
      <c r="A1711" s="2" t="s">
        <v>4557</v>
      </c>
      <c r="B1711" s="2">
        <f t="shared" si="349"/>
        <v>1</v>
      </c>
      <c r="C1711" s="12">
        <f t="shared" si="361"/>
        <v>46238.586550949083</v>
      </c>
      <c r="D1711" s="13">
        <v>46238.586550949083</v>
      </c>
      <c r="E1711" s="2" t="s">
        <v>61</v>
      </c>
      <c r="F1711" s="2" t="str">
        <f t="shared" si="350"/>
        <v>Email Available</v>
      </c>
      <c r="G1711" s="2" t="s">
        <v>62</v>
      </c>
      <c r="H1711" s="2" t="s">
        <v>267</v>
      </c>
      <c r="I1711" s="2" t="s">
        <v>22</v>
      </c>
      <c r="J1711" s="2" t="s">
        <v>268</v>
      </c>
      <c r="K1711" s="2">
        <v>1</v>
      </c>
      <c r="L1711" s="2">
        <v>18.989999999999998</v>
      </c>
      <c r="M1711" s="19">
        <f t="shared" si="351"/>
        <v>18.989999999999998</v>
      </c>
      <c r="N1711" s="2"/>
      <c r="O1711" s="2" t="str">
        <f t="shared" si="352"/>
        <v/>
      </c>
      <c r="P1711" s="2">
        <v>0</v>
      </c>
      <c r="Q1711" s="19">
        <f t="shared" si="353"/>
        <v>0</v>
      </c>
      <c r="R1711" s="2" t="str">
        <f t="shared" si="354"/>
        <v>Number</v>
      </c>
      <c r="S1711" s="2">
        <v>4.99</v>
      </c>
      <c r="T1711" s="19">
        <f t="shared" si="355"/>
        <v>4.99</v>
      </c>
      <c r="U1711" s="2" t="s">
        <v>3122</v>
      </c>
      <c r="V1711" s="19">
        <f t="shared" si="356"/>
        <v>23.98</v>
      </c>
      <c r="W1711" s="19">
        <f t="shared" si="357"/>
        <v>23.979999999999997</v>
      </c>
      <c r="X1711" s="19" t="str">
        <f t="shared" si="358"/>
        <v>True</v>
      </c>
      <c r="Y1711" s="19" t="str">
        <f>IF(OR(W1711&lt;'Cleaning Tasks'!$G$18,W1711&gt;'Cleaning Tasks'!$H$18),"Outlier","Normal")</f>
        <v>Normal</v>
      </c>
      <c r="Z1711" s="2" t="s">
        <v>66</v>
      </c>
      <c r="AA1711" s="2" t="s">
        <v>27</v>
      </c>
      <c r="AB1711" s="2" t="s">
        <v>50</v>
      </c>
      <c r="AC1711" s="2" t="s">
        <v>29</v>
      </c>
      <c r="AD1711" s="2" t="s">
        <v>30</v>
      </c>
      <c r="AE1711" s="2" t="str">
        <f t="shared" si="359"/>
        <v>Valid</v>
      </c>
      <c r="AF1711" s="2" t="s">
        <v>4558</v>
      </c>
    </row>
    <row r="1712" spans="1:32" x14ac:dyDescent="0.3">
      <c r="A1712" s="2" t="s">
        <v>4559</v>
      </c>
      <c r="B1712" s="2">
        <f t="shared" si="349"/>
        <v>1</v>
      </c>
      <c r="C1712" s="12">
        <f t="shared" si="361"/>
        <v>46238.581215358798</v>
      </c>
      <c r="D1712" s="13">
        <v>46238.581215358798</v>
      </c>
      <c r="E1712" s="2" t="s">
        <v>725</v>
      </c>
      <c r="F1712" s="2" t="str">
        <f t="shared" si="350"/>
        <v>Email Available</v>
      </c>
      <c r="G1712" s="2" t="s">
        <v>726</v>
      </c>
      <c r="H1712" s="2" t="s">
        <v>267</v>
      </c>
      <c r="I1712" s="2" t="s">
        <v>22</v>
      </c>
      <c r="J1712" s="2" t="s">
        <v>268</v>
      </c>
      <c r="K1712" s="2">
        <v>3</v>
      </c>
      <c r="L1712" s="2">
        <v>18.989999999999998</v>
      </c>
      <c r="M1712" s="19">
        <f t="shared" si="351"/>
        <v>18.989999999999998</v>
      </c>
      <c r="N1712" s="2"/>
      <c r="O1712" s="2" t="str">
        <f t="shared" si="352"/>
        <v/>
      </c>
      <c r="P1712" s="2">
        <v>0</v>
      </c>
      <c r="Q1712" s="19">
        <f t="shared" si="353"/>
        <v>0</v>
      </c>
      <c r="R1712" s="2" t="str">
        <f t="shared" si="354"/>
        <v>Number</v>
      </c>
      <c r="S1712" s="2">
        <v>7.99</v>
      </c>
      <c r="T1712" s="19">
        <f t="shared" si="355"/>
        <v>7.99</v>
      </c>
      <c r="U1712" s="2">
        <v>64.959999999999994</v>
      </c>
      <c r="V1712" s="19">
        <f t="shared" si="356"/>
        <v>64.959999999999994</v>
      </c>
      <c r="W1712" s="19">
        <f t="shared" si="357"/>
        <v>64.959999999999994</v>
      </c>
      <c r="X1712" s="19" t="str">
        <f t="shared" si="358"/>
        <v>True</v>
      </c>
      <c r="Y1712" s="19" t="str">
        <f>IF(OR(W1712&lt;'Cleaning Tasks'!$G$18,W1712&gt;'Cleaning Tasks'!$H$18),"Outlier","Normal")</f>
        <v>Normal</v>
      </c>
      <c r="Z1712" s="2" t="s">
        <v>26</v>
      </c>
      <c r="AA1712" s="2" t="s">
        <v>88</v>
      </c>
      <c r="AB1712" s="2" t="s">
        <v>28</v>
      </c>
      <c r="AC1712" s="2" t="s">
        <v>105</v>
      </c>
      <c r="AD1712" s="2"/>
      <c r="AE1712" s="2" t="str">
        <f t="shared" si="359"/>
        <v>Not Required</v>
      </c>
      <c r="AF1712" s="2" t="s">
        <v>4560</v>
      </c>
    </row>
    <row r="1713" spans="1:32" x14ac:dyDescent="0.3">
      <c r="A1713" s="2" t="s">
        <v>4561</v>
      </c>
      <c r="B1713" s="2">
        <f t="shared" si="349"/>
        <v>1</v>
      </c>
      <c r="C1713" s="12">
        <f t="shared" si="361"/>
        <v>46238.581473472223</v>
      </c>
      <c r="D1713" s="13">
        <v>46238.581473472223</v>
      </c>
      <c r="E1713" s="2" t="s">
        <v>1349</v>
      </c>
      <c r="F1713" s="2" t="str">
        <f t="shared" si="350"/>
        <v>Email Available</v>
      </c>
      <c r="G1713" s="2" t="s">
        <v>1350</v>
      </c>
      <c r="H1713" s="2" t="s">
        <v>309</v>
      </c>
      <c r="I1713" s="2" t="s">
        <v>36</v>
      </c>
      <c r="J1713" s="2" t="s">
        <v>310</v>
      </c>
      <c r="K1713" s="2">
        <v>1</v>
      </c>
      <c r="L1713" s="2">
        <v>8.99</v>
      </c>
      <c r="M1713" s="19">
        <f t="shared" si="351"/>
        <v>8.99</v>
      </c>
      <c r="N1713" s="2" t="s">
        <v>24</v>
      </c>
      <c r="O1713" s="2" t="str">
        <f t="shared" si="352"/>
        <v>SAVE20</v>
      </c>
      <c r="P1713" s="2">
        <v>1.8</v>
      </c>
      <c r="Q1713" s="19">
        <f t="shared" si="353"/>
        <v>1.8</v>
      </c>
      <c r="R1713" s="2" t="str">
        <f t="shared" si="354"/>
        <v>Number</v>
      </c>
      <c r="S1713" s="2">
        <v>4.99</v>
      </c>
      <c r="T1713" s="19">
        <f t="shared" si="355"/>
        <v>4.99</v>
      </c>
      <c r="U1713" s="2">
        <v>12.18</v>
      </c>
      <c r="V1713" s="19">
        <f t="shared" si="356"/>
        <v>12.18</v>
      </c>
      <c r="W1713" s="19">
        <f t="shared" si="357"/>
        <v>12.18</v>
      </c>
      <c r="X1713" s="19" t="str">
        <f t="shared" si="358"/>
        <v>True</v>
      </c>
      <c r="Y1713" s="19" t="str">
        <f>IF(OR(W1713&lt;'Cleaning Tasks'!$G$18,W1713&gt;'Cleaning Tasks'!$H$18),"Outlier","Normal")</f>
        <v>Normal</v>
      </c>
      <c r="Z1713" s="2" t="s">
        <v>39</v>
      </c>
      <c r="AA1713" s="2" t="s">
        <v>27</v>
      </c>
      <c r="AB1713" s="2" t="s">
        <v>41</v>
      </c>
      <c r="AC1713" s="2" t="s">
        <v>42</v>
      </c>
      <c r="AD1713" s="2"/>
      <c r="AE1713" s="2" t="str">
        <f t="shared" si="359"/>
        <v>Not Required</v>
      </c>
      <c r="AF1713" s="2" t="s">
        <v>4562</v>
      </c>
    </row>
    <row r="1714" spans="1:32" x14ac:dyDescent="0.3">
      <c r="A1714" s="2" t="s">
        <v>4563</v>
      </c>
      <c r="B1714" s="2">
        <f t="shared" si="349"/>
        <v>1</v>
      </c>
      <c r="C1714" s="12">
        <f t="shared" si="361"/>
        <v>46238.584981446758</v>
      </c>
      <c r="D1714" s="13">
        <v>46238.584981446758</v>
      </c>
      <c r="E1714" s="2" t="s">
        <v>188</v>
      </c>
      <c r="F1714" s="2" t="str">
        <f t="shared" si="350"/>
        <v>Email Available</v>
      </c>
      <c r="G1714" s="2" t="s">
        <v>189</v>
      </c>
      <c r="H1714" s="2" t="s">
        <v>279</v>
      </c>
      <c r="I1714" s="2" t="s">
        <v>22</v>
      </c>
      <c r="J1714" s="2" t="s">
        <v>280</v>
      </c>
      <c r="K1714" s="2">
        <v>1</v>
      </c>
      <c r="L1714" s="2">
        <v>24.99</v>
      </c>
      <c r="M1714" s="19">
        <f t="shared" si="351"/>
        <v>24.99</v>
      </c>
      <c r="N1714" s="2"/>
      <c r="O1714" s="2" t="str">
        <f t="shared" si="352"/>
        <v/>
      </c>
      <c r="P1714" s="2">
        <v>0</v>
      </c>
      <c r="Q1714" s="19">
        <f t="shared" si="353"/>
        <v>0</v>
      </c>
      <c r="R1714" s="2" t="str">
        <f t="shared" si="354"/>
        <v>Number</v>
      </c>
      <c r="S1714" s="2">
        <v>7.99</v>
      </c>
      <c r="T1714" s="19">
        <f t="shared" si="355"/>
        <v>7.99</v>
      </c>
      <c r="U1714" s="2">
        <v>32.979999999999997</v>
      </c>
      <c r="V1714" s="19">
        <f t="shared" si="356"/>
        <v>32.979999999999997</v>
      </c>
      <c r="W1714" s="19">
        <f t="shared" si="357"/>
        <v>32.979999999999997</v>
      </c>
      <c r="X1714" s="19" t="str">
        <f t="shared" si="358"/>
        <v>True</v>
      </c>
      <c r="Y1714" s="19" t="str">
        <f>IF(OR(W1714&lt;'Cleaning Tasks'!$G$18,W1714&gt;'Cleaning Tasks'!$H$18),"Outlier","Normal")</f>
        <v>Normal</v>
      </c>
      <c r="Z1714" s="2" t="s">
        <v>26</v>
      </c>
      <c r="AA1714" s="2" t="s">
        <v>40</v>
      </c>
      <c r="AB1714" s="2" t="s">
        <v>28</v>
      </c>
      <c r="AC1714" s="2" t="s">
        <v>29</v>
      </c>
      <c r="AD1714" s="22" t="s">
        <v>30</v>
      </c>
      <c r="AE1714" s="2" t="str">
        <f t="shared" si="359"/>
        <v>Valid</v>
      </c>
      <c r="AF1714" s="2" t="s">
        <v>4564</v>
      </c>
    </row>
    <row r="1715" spans="1:32" x14ac:dyDescent="0.3">
      <c r="A1715" s="2" t="s">
        <v>4565</v>
      </c>
      <c r="B1715" s="2">
        <f t="shared" si="349"/>
        <v>1</v>
      </c>
      <c r="C1715" s="12">
        <f t="shared" si="361"/>
        <v>46238.586637499997</v>
      </c>
      <c r="D1715" s="13">
        <v>46238.586637499997</v>
      </c>
      <c r="E1715" s="2" t="s">
        <v>815</v>
      </c>
      <c r="F1715" s="2" t="str">
        <f t="shared" si="350"/>
        <v>Email Available</v>
      </c>
      <c r="G1715" s="2" t="s">
        <v>816</v>
      </c>
      <c r="H1715" s="2" t="s">
        <v>46</v>
      </c>
      <c r="I1715" s="2" t="s">
        <v>47</v>
      </c>
      <c r="J1715" s="2" t="s">
        <v>48</v>
      </c>
      <c r="K1715" s="2">
        <v>2</v>
      </c>
      <c r="L1715" s="2" t="s">
        <v>1493</v>
      </c>
      <c r="M1715" s="19">
        <f t="shared" si="351"/>
        <v>39.99</v>
      </c>
      <c r="N1715" s="2" t="s">
        <v>118</v>
      </c>
      <c r="O1715" s="2" t="str">
        <f t="shared" si="352"/>
        <v>BFCM25</v>
      </c>
      <c r="P1715" s="2" t="s">
        <v>1794</v>
      </c>
      <c r="Q1715" s="19">
        <f t="shared" si="353"/>
        <v>20</v>
      </c>
      <c r="R1715" s="2" t="str">
        <f t="shared" si="354"/>
        <v>Number</v>
      </c>
      <c r="S1715" s="2">
        <v>0</v>
      </c>
      <c r="T1715" s="19">
        <f t="shared" si="355"/>
        <v>0</v>
      </c>
      <c r="U1715" s="2">
        <v>59.98</v>
      </c>
      <c r="V1715" s="19">
        <f t="shared" si="356"/>
        <v>59.98</v>
      </c>
      <c r="W1715" s="19">
        <f t="shared" si="357"/>
        <v>59.980000000000004</v>
      </c>
      <c r="X1715" s="19" t="str">
        <f t="shared" si="358"/>
        <v>True</v>
      </c>
      <c r="Y1715" s="19" t="str">
        <f>IF(OR(W1715&lt;'Cleaning Tasks'!$G$18,W1715&gt;'Cleaning Tasks'!$H$18),"Outlier","Normal")</f>
        <v>Normal</v>
      </c>
      <c r="Z1715" s="2" t="s">
        <v>39</v>
      </c>
      <c r="AA1715" s="2" t="s">
        <v>88</v>
      </c>
      <c r="AB1715" s="2" t="s">
        <v>96</v>
      </c>
      <c r="AC1715" s="2" t="s">
        <v>73</v>
      </c>
      <c r="AD1715" s="2"/>
      <c r="AE1715" s="2" t="str">
        <f t="shared" si="359"/>
        <v>Not Required</v>
      </c>
      <c r="AF1715" s="2" t="s">
        <v>4566</v>
      </c>
    </row>
    <row r="1716" spans="1:32" x14ac:dyDescent="0.3">
      <c r="A1716" s="2" t="s">
        <v>4567</v>
      </c>
      <c r="B1716" s="2">
        <f t="shared" si="349"/>
        <v>1</v>
      </c>
      <c r="C1716" s="12">
        <f t="shared" si="361"/>
        <v>46238.58322054398</v>
      </c>
      <c r="D1716" s="13">
        <v>46238.58322054398</v>
      </c>
      <c r="E1716" s="2" t="s">
        <v>469</v>
      </c>
      <c r="F1716" s="2" t="str">
        <f t="shared" si="350"/>
        <v>Email Available</v>
      </c>
      <c r="G1716" s="2" t="s">
        <v>470</v>
      </c>
      <c r="H1716" s="2" t="s">
        <v>166</v>
      </c>
      <c r="I1716" s="2" t="s">
        <v>103</v>
      </c>
      <c r="J1716" s="2" t="s">
        <v>167</v>
      </c>
      <c r="K1716" s="2">
        <v>1</v>
      </c>
      <c r="L1716" s="2">
        <v>32.99</v>
      </c>
      <c r="M1716" s="19">
        <f t="shared" si="351"/>
        <v>32.99</v>
      </c>
      <c r="N1716" s="2" t="s">
        <v>203</v>
      </c>
      <c r="O1716" s="2" t="str">
        <f t="shared" si="352"/>
        <v>VIP15</v>
      </c>
      <c r="P1716" s="2">
        <v>4.95</v>
      </c>
      <c r="Q1716" s="19">
        <f t="shared" si="353"/>
        <v>4.95</v>
      </c>
      <c r="R1716" s="2" t="str">
        <f t="shared" si="354"/>
        <v>Number</v>
      </c>
      <c r="S1716" s="2">
        <v>7.99</v>
      </c>
      <c r="T1716" s="19">
        <f t="shared" si="355"/>
        <v>7.99</v>
      </c>
      <c r="U1716" s="2">
        <v>36.03</v>
      </c>
      <c r="V1716" s="19">
        <f t="shared" si="356"/>
        <v>36.03</v>
      </c>
      <c r="W1716" s="19">
        <f t="shared" si="357"/>
        <v>36.03</v>
      </c>
      <c r="X1716" s="19" t="str">
        <f t="shared" si="358"/>
        <v>True</v>
      </c>
      <c r="Y1716" s="19" t="str">
        <f>IF(OR(W1716&lt;'Cleaning Tasks'!$G$18,W1716&gt;'Cleaning Tasks'!$H$18),"Outlier","Normal")</f>
        <v>Normal</v>
      </c>
      <c r="Z1716" s="2" t="s">
        <v>49</v>
      </c>
      <c r="AA1716" s="2" t="s">
        <v>27</v>
      </c>
      <c r="AB1716" s="2" t="s">
        <v>50</v>
      </c>
      <c r="AC1716" s="2" t="s">
        <v>223</v>
      </c>
      <c r="AD1716" s="2"/>
      <c r="AE1716" s="2" t="str">
        <f t="shared" si="359"/>
        <v>Not Required</v>
      </c>
      <c r="AF1716" s="2" t="s">
        <v>4568</v>
      </c>
    </row>
    <row r="1717" spans="1:32" x14ac:dyDescent="0.3">
      <c r="A1717" s="2" t="s">
        <v>4569</v>
      </c>
      <c r="B1717" s="2">
        <f t="shared" si="349"/>
        <v>1</v>
      </c>
      <c r="C1717" s="12">
        <f t="shared" si="361"/>
        <v>46238.579244664354</v>
      </c>
      <c r="D1717" s="13">
        <v>46238.579244664354</v>
      </c>
      <c r="E1717" s="2" t="s">
        <v>489</v>
      </c>
      <c r="F1717" s="2" t="str">
        <f t="shared" si="350"/>
        <v>Email Available</v>
      </c>
      <c r="G1717" s="2" t="s">
        <v>490</v>
      </c>
      <c r="H1717" s="2" t="s">
        <v>261</v>
      </c>
      <c r="I1717" s="2" t="s">
        <v>36</v>
      </c>
      <c r="J1717" s="2" t="s">
        <v>262</v>
      </c>
      <c r="K1717" s="2">
        <v>1</v>
      </c>
      <c r="L1717" s="2">
        <v>15.49</v>
      </c>
      <c r="M1717" s="19">
        <f t="shared" si="351"/>
        <v>15.49</v>
      </c>
      <c r="N1717" s="2"/>
      <c r="O1717" s="2" t="str">
        <f t="shared" si="352"/>
        <v/>
      </c>
      <c r="P1717" s="2">
        <v>0</v>
      </c>
      <c r="Q1717" s="19">
        <f t="shared" si="353"/>
        <v>0</v>
      </c>
      <c r="R1717" s="2" t="str">
        <f t="shared" si="354"/>
        <v>Number</v>
      </c>
      <c r="S1717" s="2">
        <v>7.99</v>
      </c>
      <c r="T1717" s="19">
        <f t="shared" si="355"/>
        <v>7.99</v>
      </c>
      <c r="U1717" s="2">
        <v>23.48</v>
      </c>
      <c r="V1717" s="19">
        <f t="shared" si="356"/>
        <v>23.48</v>
      </c>
      <c r="W1717" s="19">
        <f t="shared" si="357"/>
        <v>23.48</v>
      </c>
      <c r="X1717" s="19" t="str">
        <f t="shared" si="358"/>
        <v>True</v>
      </c>
      <c r="Y1717" s="19" t="str">
        <f>IF(OR(W1717&lt;'Cleaning Tasks'!$G$18,W1717&gt;'Cleaning Tasks'!$H$18),"Outlier","Normal")</f>
        <v>Normal</v>
      </c>
      <c r="Z1717" s="2" t="s">
        <v>26</v>
      </c>
      <c r="AA1717" s="2" t="s">
        <v>111</v>
      </c>
      <c r="AB1717" s="2" t="s">
        <v>50</v>
      </c>
      <c r="AC1717" s="2" t="s">
        <v>29</v>
      </c>
      <c r="AD1717" s="22" t="s">
        <v>58</v>
      </c>
      <c r="AE1717" s="2" t="str">
        <f t="shared" si="359"/>
        <v>Valid</v>
      </c>
      <c r="AF1717" s="2" t="s">
        <v>4570</v>
      </c>
    </row>
    <row r="1718" spans="1:32" x14ac:dyDescent="0.3">
      <c r="A1718" s="2" t="s">
        <v>4571</v>
      </c>
      <c r="B1718" s="2">
        <f t="shared" si="349"/>
        <v>1</v>
      </c>
      <c r="C1718" s="12">
        <f t="shared" si="361"/>
        <v>46238.583734305546</v>
      </c>
      <c r="D1718" s="13">
        <v>46238.583734305546</v>
      </c>
      <c r="E1718" s="2" t="s">
        <v>1210</v>
      </c>
      <c r="F1718" s="2" t="str">
        <f t="shared" si="350"/>
        <v>Email Available</v>
      </c>
      <c r="G1718" s="2" t="s">
        <v>1211</v>
      </c>
      <c r="H1718" s="2" t="s">
        <v>63</v>
      </c>
      <c r="I1718" s="2" t="s">
        <v>47</v>
      </c>
      <c r="J1718" s="2" t="s">
        <v>64</v>
      </c>
      <c r="K1718" s="2">
        <v>1</v>
      </c>
      <c r="L1718" s="2">
        <v>14.99</v>
      </c>
      <c r="M1718" s="19">
        <f t="shared" si="351"/>
        <v>14.99</v>
      </c>
      <c r="N1718" s="2"/>
      <c r="O1718" s="2" t="str">
        <f t="shared" si="352"/>
        <v/>
      </c>
      <c r="P1718" s="2">
        <v>0</v>
      </c>
      <c r="Q1718" s="19">
        <f t="shared" si="353"/>
        <v>0</v>
      </c>
      <c r="R1718" s="2" t="str">
        <f t="shared" si="354"/>
        <v>Number</v>
      </c>
      <c r="S1718" s="2">
        <v>5.99</v>
      </c>
      <c r="T1718" s="19">
        <f t="shared" si="355"/>
        <v>5.99</v>
      </c>
      <c r="U1718" s="2">
        <v>20.98</v>
      </c>
      <c r="V1718" s="19">
        <f t="shared" si="356"/>
        <v>20.98</v>
      </c>
      <c r="W1718" s="19">
        <f t="shared" si="357"/>
        <v>20.98</v>
      </c>
      <c r="X1718" s="19" t="str">
        <f t="shared" si="358"/>
        <v>True</v>
      </c>
      <c r="Y1718" s="19" t="str">
        <f>IF(OR(W1718&lt;'Cleaning Tasks'!$G$18,W1718&gt;'Cleaning Tasks'!$H$18),"Outlier","Normal")</f>
        <v>Normal</v>
      </c>
      <c r="Z1718" s="2" t="s">
        <v>49</v>
      </c>
      <c r="AA1718" s="2" t="s">
        <v>40</v>
      </c>
      <c r="AB1718" s="2" t="s">
        <v>96</v>
      </c>
      <c r="AC1718" s="2" t="s">
        <v>29</v>
      </c>
      <c r="AD1718" s="2" t="s">
        <v>447</v>
      </c>
      <c r="AE1718" s="2" t="str">
        <f t="shared" si="359"/>
        <v>Valid</v>
      </c>
      <c r="AF1718" s="2" t="s">
        <v>4572</v>
      </c>
    </row>
    <row r="1719" spans="1:32" x14ac:dyDescent="0.3">
      <c r="A1719" s="2" t="s">
        <v>4573</v>
      </c>
      <c r="B1719" s="2">
        <f t="shared" si="349"/>
        <v>1</v>
      </c>
      <c r="C1719" s="12">
        <f t="shared" si="361"/>
        <v>46238.587669143519</v>
      </c>
      <c r="D1719" s="13">
        <v>46238.587669143519</v>
      </c>
      <c r="E1719" s="2" t="s">
        <v>3474</v>
      </c>
      <c r="F1719" s="2" t="str">
        <f t="shared" si="350"/>
        <v>Email Available</v>
      </c>
      <c r="G1719" s="2" t="s">
        <v>3475</v>
      </c>
      <c r="H1719" s="2" t="s">
        <v>102</v>
      </c>
      <c r="I1719" s="2" t="s">
        <v>103</v>
      </c>
      <c r="J1719" s="2" t="s">
        <v>104</v>
      </c>
      <c r="K1719" s="2">
        <v>1</v>
      </c>
      <c r="L1719" s="2">
        <v>19.989999999999998</v>
      </c>
      <c r="M1719" s="19">
        <f t="shared" si="351"/>
        <v>19.989999999999998</v>
      </c>
      <c r="N1719" s="2" t="s">
        <v>203</v>
      </c>
      <c r="O1719" s="2" t="str">
        <f t="shared" si="352"/>
        <v>VIP15</v>
      </c>
      <c r="P1719" s="2">
        <v>3</v>
      </c>
      <c r="Q1719" s="19">
        <f t="shared" si="353"/>
        <v>3</v>
      </c>
      <c r="R1719" s="2" t="str">
        <f t="shared" si="354"/>
        <v>Number</v>
      </c>
      <c r="S1719" s="2">
        <v>4.99</v>
      </c>
      <c r="T1719" s="19">
        <f t="shared" si="355"/>
        <v>4.99</v>
      </c>
      <c r="U1719" s="2">
        <v>21.98</v>
      </c>
      <c r="V1719" s="19">
        <f t="shared" si="356"/>
        <v>21.98</v>
      </c>
      <c r="W1719" s="19">
        <f t="shared" si="357"/>
        <v>21.979999999999997</v>
      </c>
      <c r="X1719" s="19" t="str">
        <f t="shared" si="358"/>
        <v>True</v>
      </c>
      <c r="Y1719" s="19" t="str">
        <f>IF(OR(W1719&lt;'Cleaning Tasks'!$G$18,W1719&gt;'Cleaning Tasks'!$H$18),"Outlier","Normal")</f>
        <v>Normal</v>
      </c>
      <c r="Z1719" s="2" t="s">
        <v>72</v>
      </c>
      <c r="AA1719" s="2" t="s">
        <v>111</v>
      </c>
      <c r="AB1719" s="2" t="s">
        <v>50</v>
      </c>
      <c r="AC1719" s="2" t="s">
        <v>105</v>
      </c>
      <c r="AD1719" s="2"/>
      <c r="AE1719" s="2" t="str">
        <f t="shared" si="359"/>
        <v>Not Required</v>
      </c>
      <c r="AF1719" s="2" t="s">
        <v>4574</v>
      </c>
    </row>
    <row r="1720" spans="1:32" x14ac:dyDescent="0.3">
      <c r="A1720" s="2" t="s">
        <v>4575</v>
      </c>
      <c r="B1720" s="2">
        <f t="shared" si="349"/>
        <v>1</v>
      </c>
      <c r="C1720" s="12">
        <f t="shared" si="361"/>
        <v>46238</v>
      </c>
      <c r="D1720" s="13" t="s">
        <v>338</v>
      </c>
      <c r="E1720" s="2" t="s">
        <v>164</v>
      </c>
      <c r="F1720" s="2" t="str">
        <f t="shared" si="350"/>
        <v>Missing Email</v>
      </c>
      <c r="G1720" s="2"/>
      <c r="H1720" s="2" t="s">
        <v>190</v>
      </c>
      <c r="I1720" s="2" t="s">
        <v>191</v>
      </c>
      <c r="J1720" s="2" t="s">
        <v>192</v>
      </c>
      <c r="K1720" s="2">
        <v>1</v>
      </c>
      <c r="L1720" s="2" t="s">
        <v>944</v>
      </c>
      <c r="M1720" s="19">
        <f t="shared" si="351"/>
        <v>13.49</v>
      </c>
      <c r="N1720" s="2"/>
      <c r="O1720" s="2" t="str">
        <f t="shared" si="352"/>
        <v/>
      </c>
      <c r="P1720" s="2">
        <v>0</v>
      </c>
      <c r="Q1720" s="19">
        <f t="shared" si="353"/>
        <v>0</v>
      </c>
      <c r="R1720" s="2" t="str">
        <f t="shared" si="354"/>
        <v>Number</v>
      </c>
      <c r="S1720" s="2">
        <v>5.99</v>
      </c>
      <c r="T1720" s="19">
        <f t="shared" si="355"/>
        <v>5.99</v>
      </c>
      <c r="U1720" s="2">
        <v>19.48</v>
      </c>
      <c r="V1720" s="19">
        <f t="shared" si="356"/>
        <v>19.48</v>
      </c>
      <c r="W1720" s="19">
        <f t="shared" si="357"/>
        <v>19.48</v>
      </c>
      <c r="X1720" s="19" t="str">
        <f t="shared" si="358"/>
        <v>True</v>
      </c>
      <c r="Y1720" s="19" t="str">
        <f>IF(OR(W1720&lt;'Cleaning Tasks'!$G$18,W1720&gt;'Cleaning Tasks'!$H$18),"Outlier","Normal")</f>
        <v>Normal</v>
      </c>
      <c r="Z1720" s="2" t="s">
        <v>26</v>
      </c>
      <c r="AA1720" s="2" t="s">
        <v>40</v>
      </c>
      <c r="AB1720" s="2" t="s">
        <v>50</v>
      </c>
      <c r="AC1720" s="2" t="s">
        <v>105</v>
      </c>
      <c r="AD1720" s="2"/>
      <c r="AE1720" s="2" t="str">
        <f t="shared" si="359"/>
        <v>Not Required</v>
      </c>
      <c r="AF1720" s="2" t="s">
        <v>4576</v>
      </c>
    </row>
    <row r="1721" spans="1:32" x14ac:dyDescent="0.3">
      <c r="A1721" s="2" t="s">
        <v>4577</v>
      </c>
      <c r="B1721" s="2">
        <f t="shared" si="349"/>
        <v>1</v>
      </c>
      <c r="C1721" s="12">
        <f t="shared" si="361"/>
        <v>46238.580891805563</v>
      </c>
      <c r="D1721" s="13">
        <v>46238.580891805563</v>
      </c>
      <c r="E1721" s="2" t="s">
        <v>436</v>
      </c>
      <c r="F1721" s="2" t="str">
        <f t="shared" si="350"/>
        <v>Email Available</v>
      </c>
      <c r="G1721" s="2" t="s">
        <v>437</v>
      </c>
      <c r="H1721" s="2" t="s">
        <v>166</v>
      </c>
      <c r="I1721" s="2" t="s">
        <v>103</v>
      </c>
      <c r="J1721" s="2" t="s">
        <v>167</v>
      </c>
      <c r="K1721" s="2">
        <v>3</v>
      </c>
      <c r="L1721" s="2">
        <v>32.99</v>
      </c>
      <c r="M1721" s="19">
        <f t="shared" si="351"/>
        <v>32.99</v>
      </c>
      <c r="N1721" s="2"/>
      <c r="O1721" s="2" t="str">
        <f t="shared" si="352"/>
        <v/>
      </c>
      <c r="P1721" s="2">
        <v>0</v>
      </c>
      <c r="Q1721" s="19">
        <f t="shared" si="353"/>
        <v>0</v>
      </c>
      <c r="R1721" s="2" t="str">
        <f t="shared" si="354"/>
        <v>Number</v>
      </c>
      <c r="S1721" s="2">
        <v>0</v>
      </c>
      <c r="T1721" s="19">
        <f t="shared" si="355"/>
        <v>0</v>
      </c>
      <c r="U1721" s="2">
        <v>98.97</v>
      </c>
      <c r="V1721" s="19">
        <f t="shared" si="356"/>
        <v>98.97</v>
      </c>
      <c r="W1721" s="19">
        <f t="shared" si="357"/>
        <v>98.97</v>
      </c>
      <c r="X1721" s="19" t="str">
        <f t="shared" si="358"/>
        <v>True</v>
      </c>
      <c r="Y1721" s="19" t="str">
        <f>IF(OR(W1721&lt;'Cleaning Tasks'!$G$18,W1721&gt;'Cleaning Tasks'!$H$18),"Outlier","Normal")</f>
        <v>Outlier</v>
      </c>
      <c r="Z1721" s="2" t="s">
        <v>26</v>
      </c>
      <c r="AA1721" s="2" t="s">
        <v>27</v>
      </c>
      <c r="AB1721" s="2" t="s">
        <v>50</v>
      </c>
      <c r="AC1721" s="2" t="s">
        <v>42</v>
      </c>
      <c r="AD1721" s="2"/>
      <c r="AE1721" s="2" t="str">
        <f t="shared" si="359"/>
        <v>Not Required</v>
      </c>
      <c r="AF1721" s="2" t="s">
        <v>4578</v>
      </c>
    </row>
    <row r="1722" spans="1:32" x14ac:dyDescent="0.3">
      <c r="A1722" s="2" t="s">
        <v>4579</v>
      </c>
      <c r="B1722" s="2">
        <f t="shared" si="349"/>
        <v>1</v>
      </c>
      <c r="C1722" s="12">
        <f t="shared" si="361"/>
        <v>46238.580943055553</v>
      </c>
      <c r="D1722" s="13">
        <v>46238.580943055553</v>
      </c>
      <c r="E1722" s="2" t="s">
        <v>463</v>
      </c>
      <c r="F1722" s="2" t="str">
        <f t="shared" si="350"/>
        <v>Email Available</v>
      </c>
      <c r="G1722" s="2" t="s">
        <v>464</v>
      </c>
      <c r="H1722" s="2" t="s">
        <v>63</v>
      </c>
      <c r="I1722" s="2" t="s">
        <v>47</v>
      </c>
      <c r="J1722" s="2" t="s">
        <v>446</v>
      </c>
      <c r="K1722" s="2">
        <v>1</v>
      </c>
      <c r="L1722" s="2">
        <v>14.99</v>
      </c>
      <c r="M1722" s="19">
        <f t="shared" si="351"/>
        <v>14.99</v>
      </c>
      <c r="N1722" s="2" t="s">
        <v>24</v>
      </c>
      <c r="O1722" s="2" t="str">
        <f t="shared" si="352"/>
        <v>SAVE20</v>
      </c>
      <c r="P1722" s="2" t="s">
        <v>4580</v>
      </c>
      <c r="Q1722" s="19">
        <f t="shared" si="353"/>
        <v>3</v>
      </c>
      <c r="R1722" s="2" t="str">
        <f t="shared" si="354"/>
        <v>Number</v>
      </c>
      <c r="S1722" s="2">
        <v>4.99</v>
      </c>
      <c r="T1722" s="19">
        <f t="shared" si="355"/>
        <v>4.99</v>
      </c>
      <c r="U1722" s="2">
        <v>16.98</v>
      </c>
      <c r="V1722" s="19">
        <f t="shared" si="356"/>
        <v>16.98</v>
      </c>
      <c r="W1722" s="19">
        <f t="shared" si="357"/>
        <v>16.98</v>
      </c>
      <c r="X1722" s="19" t="str">
        <f t="shared" si="358"/>
        <v>True</v>
      </c>
      <c r="Y1722" s="19" t="str">
        <f>IF(OR(W1722&lt;'Cleaning Tasks'!$G$18,W1722&gt;'Cleaning Tasks'!$H$18),"Outlier","Normal")</f>
        <v>Normal</v>
      </c>
      <c r="Z1722" s="2" t="s">
        <v>49</v>
      </c>
      <c r="AA1722" s="2" t="s">
        <v>27</v>
      </c>
      <c r="AB1722" s="2" t="s">
        <v>28</v>
      </c>
      <c r="AC1722" s="2" t="s">
        <v>42</v>
      </c>
      <c r="AD1722" s="2"/>
      <c r="AE1722" s="2" t="str">
        <f t="shared" si="359"/>
        <v>Not Required</v>
      </c>
      <c r="AF1722" s="2" t="s">
        <v>4581</v>
      </c>
    </row>
    <row r="1723" spans="1:32" x14ac:dyDescent="0.3">
      <c r="A1723" s="2" t="s">
        <v>4582</v>
      </c>
      <c r="B1723" s="2">
        <f t="shared" si="349"/>
        <v>1</v>
      </c>
      <c r="C1723" s="12">
        <f t="shared" si="361"/>
        <v>46238.587462939817</v>
      </c>
      <c r="D1723" s="13">
        <v>46238.587462939817</v>
      </c>
      <c r="E1723" s="2" t="s">
        <v>1913</v>
      </c>
      <c r="F1723" s="2" t="str">
        <f t="shared" si="350"/>
        <v>Email Available</v>
      </c>
      <c r="G1723" s="2" t="s">
        <v>1914</v>
      </c>
      <c r="H1723" s="2" t="s">
        <v>190</v>
      </c>
      <c r="I1723" s="2" t="s">
        <v>191</v>
      </c>
      <c r="J1723" s="2" t="s">
        <v>192</v>
      </c>
      <c r="K1723" s="2">
        <v>2</v>
      </c>
      <c r="L1723" s="2">
        <v>13.49</v>
      </c>
      <c r="M1723" s="19">
        <f t="shared" si="351"/>
        <v>13.49</v>
      </c>
      <c r="N1723" s="2" t="s">
        <v>24</v>
      </c>
      <c r="O1723" s="2" t="str">
        <f t="shared" si="352"/>
        <v>SAVE20</v>
      </c>
      <c r="P1723" s="2">
        <v>5.4</v>
      </c>
      <c r="Q1723" s="19">
        <f t="shared" si="353"/>
        <v>5.4</v>
      </c>
      <c r="R1723" s="2" t="str">
        <f t="shared" si="354"/>
        <v>Number</v>
      </c>
      <c r="S1723" s="2">
        <v>7.99</v>
      </c>
      <c r="T1723" s="19">
        <f t="shared" si="355"/>
        <v>7.99</v>
      </c>
      <c r="U1723" s="2">
        <v>29.57</v>
      </c>
      <c r="V1723" s="19">
        <f t="shared" si="356"/>
        <v>29.57</v>
      </c>
      <c r="W1723" s="19">
        <f t="shared" si="357"/>
        <v>29.57</v>
      </c>
      <c r="X1723" s="19" t="str">
        <f t="shared" si="358"/>
        <v>True</v>
      </c>
      <c r="Y1723" s="19" t="str">
        <f>IF(OR(W1723&lt;'Cleaning Tasks'!$G$18,W1723&gt;'Cleaning Tasks'!$H$18),"Outlier","Normal")</f>
        <v>Normal</v>
      </c>
      <c r="Z1723" s="2" t="s">
        <v>26</v>
      </c>
      <c r="AA1723" s="2" t="s">
        <v>111</v>
      </c>
      <c r="AB1723" s="2" t="s">
        <v>50</v>
      </c>
      <c r="AC1723" s="2" t="s">
        <v>105</v>
      </c>
      <c r="AD1723" s="2"/>
      <c r="AE1723" s="2" t="str">
        <f t="shared" si="359"/>
        <v>Not Required</v>
      </c>
      <c r="AF1723" s="2" t="s">
        <v>4583</v>
      </c>
    </row>
    <row r="1724" spans="1:32" x14ac:dyDescent="0.3">
      <c r="A1724" s="2" t="s">
        <v>4584</v>
      </c>
      <c r="B1724" s="2">
        <f t="shared" si="349"/>
        <v>1</v>
      </c>
      <c r="C1724" s="12">
        <f t="shared" si="361"/>
        <v>46238.580673692129</v>
      </c>
      <c r="D1724" s="13">
        <v>46238.580673692129</v>
      </c>
      <c r="E1724" s="2" t="s">
        <v>4585</v>
      </c>
      <c r="F1724" s="2" t="str">
        <f t="shared" si="350"/>
        <v>Email Available</v>
      </c>
      <c r="G1724" s="2" t="s">
        <v>4586</v>
      </c>
      <c r="H1724" s="2" t="s">
        <v>63</v>
      </c>
      <c r="I1724" s="2" t="s">
        <v>47</v>
      </c>
      <c r="J1724" s="2" t="s">
        <v>64</v>
      </c>
      <c r="K1724" s="2">
        <v>1</v>
      </c>
      <c r="L1724" s="2">
        <v>14.99</v>
      </c>
      <c r="M1724" s="19">
        <f t="shared" si="351"/>
        <v>14.99</v>
      </c>
      <c r="N1724" s="2" t="s">
        <v>203</v>
      </c>
      <c r="O1724" s="2" t="str">
        <f t="shared" si="352"/>
        <v>VIP15</v>
      </c>
      <c r="P1724" s="2">
        <v>2.25</v>
      </c>
      <c r="Q1724" s="19">
        <f t="shared" si="353"/>
        <v>2.25</v>
      </c>
      <c r="R1724" s="2" t="str">
        <f t="shared" si="354"/>
        <v>Number</v>
      </c>
      <c r="S1724" s="2">
        <v>7.99</v>
      </c>
      <c r="T1724" s="19">
        <f t="shared" si="355"/>
        <v>7.99</v>
      </c>
      <c r="U1724" s="2">
        <v>20.73</v>
      </c>
      <c r="V1724" s="19">
        <f t="shared" si="356"/>
        <v>20.73</v>
      </c>
      <c r="W1724" s="19">
        <f t="shared" si="357"/>
        <v>20.73</v>
      </c>
      <c r="X1724" s="19" t="str">
        <f t="shared" si="358"/>
        <v>True</v>
      </c>
      <c r="Y1724" s="19" t="str">
        <f>IF(OR(W1724&lt;'Cleaning Tasks'!$G$18,W1724&gt;'Cleaning Tasks'!$H$18),"Outlier","Normal")</f>
        <v>Normal</v>
      </c>
      <c r="Z1724" s="2" t="s">
        <v>39</v>
      </c>
      <c r="AA1724" s="2" t="s">
        <v>111</v>
      </c>
      <c r="AB1724" s="2" t="s">
        <v>41</v>
      </c>
      <c r="AC1724" s="2" t="s">
        <v>105</v>
      </c>
      <c r="AD1724" s="2"/>
      <c r="AE1724" s="2" t="str">
        <f t="shared" si="359"/>
        <v>Not Required</v>
      </c>
      <c r="AF1724" s="2" t="s">
        <v>4587</v>
      </c>
    </row>
    <row r="1725" spans="1:32" x14ac:dyDescent="0.3">
      <c r="A1725" s="2" t="s">
        <v>4588</v>
      </c>
      <c r="B1725" s="2">
        <f t="shared" si="349"/>
        <v>1</v>
      </c>
      <c r="C1725" s="12">
        <f t="shared" si="361"/>
        <v>46238.580896157408</v>
      </c>
      <c r="D1725" s="13">
        <v>46238.580896157408</v>
      </c>
      <c r="E1725" s="2" t="s">
        <v>339</v>
      </c>
      <c r="F1725" s="2" t="str">
        <f t="shared" si="350"/>
        <v>Email Available</v>
      </c>
      <c r="G1725" s="2" t="s">
        <v>445</v>
      </c>
      <c r="H1725" s="2" t="s">
        <v>130</v>
      </c>
      <c r="I1725" s="2" t="s">
        <v>103</v>
      </c>
      <c r="J1725" s="2" t="s">
        <v>131</v>
      </c>
      <c r="K1725" s="2">
        <v>1</v>
      </c>
      <c r="L1725" s="2">
        <v>16.989999999999998</v>
      </c>
      <c r="M1725" s="19">
        <f t="shared" si="351"/>
        <v>16.989999999999998</v>
      </c>
      <c r="N1725" s="2"/>
      <c r="O1725" s="2" t="str">
        <f t="shared" si="352"/>
        <v/>
      </c>
      <c r="P1725" s="2" t="s">
        <v>184</v>
      </c>
      <c r="Q1725" s="19">
        <f t="shared" si="353"/>
        <v>0</v>
      </c>
      <c r="R1725" s="2" t="str">
        <f t="shared" si="354"/>
        <v>Number</v>
      </c>
      <c r="S1725" s="2">
        <v>7.99</v>
      </c>
      <c r="T1725" s="19">
        <f t="shared" si="355"/>
        <v>7.99</v>
      </c>
      <c r="U1725" s="2">
        <v>24.98</v>
      </c>
      <c r="V1725" s="19">
        <f t="shared" si="356"/>
        <v>24.98</v>
      </c>
      <c r="W1725" s="19">
        <f t="shared" si="357"/>
        <v>24.979999999999997</v>
      </c>
      <c r="X1725" s="19" t="str">
        <f t="shared" si="358"/>
        <v>True</v>
      </c>
      <c r="Y1725" s="19" t="str">
        <f>IF(OR(W1725&lt;'Cleaning Tasks'!$G$18,W1725&gt;'Cleaning Tasks'!$H$18),"Outlier","Normal")</f>
        <v>Normal</v>
      </c>
      <c r="Z1725" s="2" t="s">
        <v>66</v>
      </c>
      <c r="AA1725" s="2" t="s">
        <v>111</v>
      </c>
      <c r="AB1725" s="2" t="s">
        <v>50</v>
      </c>
      <c r="AC1725" s="2" t="s">
        <v>29</v>
      </c>
      <c r="AD1725" s="2" t="s">
        <v>447</v>
      </c>
      <c r="AE1725" s="2" t="str">
        <f t="shared" si="359"/>
        <v>Valid</v>
      </c>
      <c r="AF1725" s="2" t="s">
        <v>4589</v>
      </c>
    </row>
    <row r="1726" spans="1:32" x14ac:dyDescent="0.3">
      <c r="A1726" s="2" t="s">
        <v>4590</v>
      </c>
      <c r="B1726" s="2">
        <f t="shared" si="349"/>
        <v>1</v>
      </c>
      <c r="C1726" s="12">
        <f t="shared" si="361"/>
        <v>46238.58448957176</v>
      </c>
      <c r="D1726" s="13">
        <v>46238.58448957176</v>
      </c>
      <c r="E1726" s="2" t="s">
        <v>4591</v>
      </c>
      <c r="F1726" s="2" t="str">
        <f t="shared" si="350"/>
        <v>Email Available</v>
      </c>
      <c r="G1726" s="2" t="s">
        <v>4592</v>
      </c>
      <c r="H1726" s="2" t="s">
        <v>166</v>
      </c>
      <c r="I1726" s="2" t="s">
        <v>103</v>
      </c>
      <c r="J1726" s="2" t="s">
        <v>167</v>
      </c>
      <c r="K1726" s="2">
        <v>1</v>
      </c>
      <c r="L1726" s="2">
        <v>32.99</v>
      </c>
      <c r="M1726" s="19">
        <f t="shared" si="351"/>
        <v>32.99</v>
      </c>
      <c r="N1726" s="2"/>
      <c r="O1726" s="2" t="str">
        <f t="shared" si="352"/>
        <v/>
      </c>
      <c r="P1726" s="2">
        <v>0</v>
      </c>
      <c r="Q1726" s="19">
        <f t="shared" si="353"/>
        <v>0</v>
      </c>
      <c r="R1726" s="2" t="str">
        <f t="shared" si="354"/>
        <v>Number</v>
      </c>
      <c r="S1726" s="2">
        <v>5.99</v>
      </c>
      <c r="T1726" s="19">
        <f t="shared" si="355"/>
        <v>5.99</v>
      </c>
      <c r="U1726" s="2">
        <v>38.979999999999997</v>
      </c>
      <c r="V1726" s="19">
        <f t="shared" si="356"/>
        <v>38.979999999999997</v>
      </c>
      <c r="W1726" s="19">
        <f t="shared" si="357"/>
        <v>38.980000000000004</v>
      </c>
      <c r="X1726" s="19" t="str">
        <f t="shared" si="358"/>
        <v>True</v>
      </c>
      <c r="Y1726" s="19" t="str">
        <f>IF(OR(W1726&lt;'Cleaning Tasks'!$G$18,W1726&gt;'Cleaning Tasks'!$H$18),"Outlier","Normal")</f>
        <v>Normal</v>
      </c>
      <c r="Z1726" s="2" t="s">
        <v>66</v>
      </c>
      <c r="AA1726" s="2" t="s">
        <v>27</v>
      </c>
      <c r="AB1726" s="2" t="s">
        <v>28</v>
      </c>
      <c r="AC1726" s="2" t="s">
        <v>331</v>
      </c>
      <c r="AD1726" s="2"/>
      <c r="AE1726" s="2" t="str">
        <f t="shared" si="359"/>
        <v>Not Required</v>
      </c>
      <c r="AF1726" s="2" t="s">
        <v>4593</v>
      </c>
    </row>
    <row r="1727" spans="1:32" x14ac:dyDescent="0.3">
      <c r="A1727" s="2" t="s">
        <v>4594</v>
      </c>
      <c r="B1727" s="2">
        <f t="shared" si="349"/>
        <v>1</v>
      </c>
      <c r="C1727" s="12">
        <f t="shared" si="361"/>
        <v>46238</v>
      </c>
      <c r="D1727" s="13">
        <v>46238</v>
      </c>
      <c r="E1727" s="2" t="s">
        <v>4595</v>
      </c>
      <c r="F1727" s="2" t="str">
        <f t="shared" si="350"/>
        <v>Email Available</v>
      </c>
      <c r="G1727" s="2" t="s">
        <v>418</v>
      </c>
      <c r="H1727" s="2" t="s">
        <v>63</v>
      </c>
      <c r="I1727" s="2" t="s">
        <v>47</v>
      </c>
      <c r="J1727" s="2" t="s">
        <v>446</v>
      </c>
      <c r="K1727" s="2">
        <v>1</v>
      </c>
      <c r="L1727" s="2">
        <v>14.99</v>
      </c>
      <c r="M1727" s="19">
        <f t="shared" si="351"/>
        <v>14.99</v>
      </c>
      <c r="N1727" s="2" t="s">
        <v>38</v>
      </c>
      <c r="O1727" s="2" t="str">
        <f t="shared" si="352"/>
        <v>FREESHIP</v>
      </c>
      <c r="P1727" s="2">
        <v>0</v>
      </c>
      <c r="Q1727" s="19">
        <f t="shared" si="353"/>
        <v>0</v>
      </c>
      <c r="R1727" s="2" t="str">
        <f t="shared" si="354"/>
        <v>Number</v>
      </c>
      <c r="S1727" s="2">
        <v>0</v>
      </c>
      <c r="T1727" s="19">
        <f t="shared" si="355"/>
        <v>0</v>
      </c>
      <c r="U1727" s="2">
        <v>14.99</v>
      </c>
      <c r="V1727" s="19">
        <f t="shared" si="356"/>
        <v>14.99</v>
      </c>
      <c r="W1727" s="19">
        <f t="shared" si="357"/>
        <v>14.99</v>
      </c>
      <c r="X1727" s="19" t="str">
        <f t="shared" si="358"/>
        <v>True</v>
      </c>
      <c r="Y1727" s="19" t="str">
        <f>IF(OR(W1727&lt;'Cleaning Tasks'!$G$18,W1727&gt;'Cleaning Tasks'!$H$18),"Outlier","Normal")</f>
        <v>Normal</v>
      </c>
      <c r="Z1727" s="2" t="s">
        <v>66</v>
      </c>
      <c r="AA1727" s="2" t="s">
        <v>27</v>
      </c>
      <c r="AB1727" s="2" t="s">
        <v>50</v>
      </c>
      <c r="AC1727" s="2" t="s">
        <v>29</v>
      </c>
      <c r="AD1727" s="2" t="s">
        <v>30</v>
      </c>
      <c r="AE1727" s="2" t="str">
        <f t="shared" si="359"/>
        <v>Valid</v>
      </c>
      <c r="AF1727" s="2" t="s">
        <v>4596</v>
      </c>
    </row>
    <row r="1728" spans="1:32" x14ac:dyDescent="0.3">
      <c r="A1728" s="2" t="s">
        <v>4597</v>
      </c>
      <c r="B1728" s="2">
        <f t="shared" si="349"/>
        <v>1</v>
      </c>
      <c r="C1728" s="12">
        <f t="shared" si="361"/>
        <v>46238.583980578704</v>
      </c>
      <c r="D1728" s="13">
        <v>46238.583980578704</v>
      </c>
      <c r="E1728" s="2" t="s">
        <v>1611</v>
      </c>
      <c r="F1728" s="2" t="str">
        <f t="shared" si="350"/>
        <v>Email Available</v>
      </c>
      <c r="G1728" s="2" t="s">
        <v>1612</v>
      </c>
      <c r="H1728" s="2" t="s">
        <v>267</v>
      </c>
      <c r="I1728" s="2" t="s">
        <v>22</v>
      </c>
      <c r="J1728" s="2" t="s">
        <v>268</v>
      </c>
      <c r="K1728" s="2">
        <v>1</v>
      </c>
      <c r="L1728" s="2">
        <v>18.989999999999998</v>
      </c>
      <c r="M1728" s="19">
        <f t="shared" si="351"/>
        <v>18.989999999999998</v>
      </c>
      <c r="N1728" s="2" t="s">
        <v>65</v>
      </c>
      <c r="O1728" s="2" t="str">
        <f t="shared" si="352"/>
        <v>WELCOME10</v>
      </c>
      <c r="P1728" s="2">
        <v>1.9</v>
      </c>
      <c r="Q1728" s="19">
        <f t="shared" si="353"/>
        <v>1.9</v>
      </c>
      <c r="R1728" s="2" t="str">
        <f t="shared" si="354"/>
        <v>Number</v>
      </c>
      <c r="S1728" s="2">
        <v>5.99</v>
      </c>
      <c r="T1728" s="19">
        <f t="shared" si="355"/>
        <v>5.99</v>
      </c>
      <c r="U1728" s="2">
        <v>23.08</v>
      </c>
      <c r="V1728" s="19">
        <f t="shared" si="356"/>
        <v>23.08</v>
      </c>
      <c r="W1728" s="19">
        <f t="shared" si="357"/>
        <v>23.08</v>
      </c>
      <c r="X1728" s="19" t="str">
        <f t="shared" si="358"/>
        <v>True</v>
      </c>
      <c r="Y1728" s="19" t="str">
        <f>IF(OR(W1728&lt;'Cleaning Tasks'!$G$18,W1728&gt;'Cleaning Tasks'!$H$18),"Outlier","Normal")</f>
        <v>Normal</v>
      </c>
      <c r="Z1728" s="2" t="s">
        <v>26</v>
      </c>
      <c r="AA1728" s="2" t="s">
        <v>40</v>
      </c>
      <c r="AB1728" s="2" t="s">
        <v>50</v>
      </c>
      <c r="AC1728" s="2" t="s">
        <v>29</v>
      </c>
      <c r="AD1728" s="2" t="s">
        <v>30</v>
      </c>
      <c r="AE1728" s="2" t="str">
        <f t="shared" si="359"/>
        <v>Valid</v>
      </c>
      <c r="AF1728" s="2" t="s">
        <v>4598</v>
      </c>
    </row>
    <row r="1729" spans="1:32" x14ac:dyDescent="0.3">
      <c r="A1729" s="2" t="s">
        <v>4599</v>
      </c>
      <c r="B1729" s="2">
        <f t="shared" si="349"/>
        <v>1</v>
      </c>
      <c r="C1729" s="12">
        <f t="shared" si="361"/>
        <v>46238.588715162034</v>
      </c>
      <c r="D1729" s="13">
        <v>46238.588715162034</v>
      </c>
      <c r="E1729" s="2" t="s">
        <v>413</v>
      </c>
      <c r="F1729" s="2" t="str">
        <f t="shared" si="350"/>
        <v>Email Available</v>
      </c>
      <c r="G1729" s="2" t="s">
        <v>414</v>
      </c>
      <c r="H1729" s="2" t="s">
        <v>102</v>
      </c>
      <c r="I1729" s="2" t="s">
        <v>103</v>
      </c>
      <c r="J1729" s="2" t="s">
        <v>104</v>
      </c>
      <c r="K1729" s="2">
        <v>1</v>
      </c>
      <c r="L1729" s="2">
        <v>19.989999999999998</v>
      </c>
      <c r="M1729" s="19">
        <f t="shared" si="351"/>
        <v>19.989999999999998</v>
      </c>
      <c r="N1729" s="2"/>
      <c r="O1729" s="2" t="str">
        <f t="shared" si="352"/>
        <v/>
      </c>
      <c r="P1729" s="2" t="s">
        <v>184</v>
      </c>
      <c r="Q1729" s="19">
        <f t="shared" si="353"/>
        <v>0</v>
      </c>
      <c r="R1729" s="2" t="str">
        <f t="shared" si="354"/>
        <v>Number</v>
      </c>
      <c r="S1729" s="2">
        <v>7.99</v>
      </c>
      <c r="T1729" s="19">
        <f t="shared" si="355"/>
        <v>7.99</v>
      </c>
      <c r="U1729" s="2">
        <v>27.98</v>
      </c>
      <c r="V1729" s="19">
        <f t="shared" si="356"/>
        <v>27.98</v>
      </c>
      <c r="W1729" s="19">
        <f t="shared" si="357"/>
        <v>27.979999999999997</v>
      </c>
      <c r="X1729" s="19" t="str">
        <f t="shared" si="358"/>
        <v>True</v>
      </c>
      <c r="Y1729" s="19" t="str">
        <f>IF(OR(W1729&lt;'Cleaning Tasks'!$G$18,W1729&gt;'Cleaning Tasks'!$H$18),"Outlier","Normal")</f>
        <v>Normal</v>
      </c>
      <c r="Z1729" s="2" t="s">
        <v>49</v>
      </c>
      <c r="AA1729" s="2" t="s">
        <v>40</v>
      </c>
      <c r="AB1729" s="2" t="s">
        <v>96</v>
      </c>
      <c r="AC1729" s="2" t="s">
        <v>331</v>
      </c>
      <c r="AD1729" s="2"/>
      <c r="AE1729" s="2" t="str">
        <f t="shared" si="359"/>
        <v>Not Required</v>
      </c>
      <c r="AF1729" s="2" t="s">
        <v>4600</v>
      </c>
    </row>
    <row r="1730" spans="1:32" x14ac:dyDescent="0.3">
      <c r="A1730" s="2" t="s">
        <v>4601</v>
      </c>
      <c r="B1730" s="2">
        <f t="shared" ref="B1730:B1793" si="362">COUNTIF($A$2:$A$1993,A1730)</f>
        <v>1</v>
      </c>
      <c r="C1730" s="12">
        <f t="shared" si="361"/>
        <v>46238.584720833343</v>
      </c>
      <c r="D1730" s="13">
        <v>46238.584720833343</v>
      </c>
      <c r="E1730" s="2" t="s">
        <v>231</v>
      </c>
      <c r="F1730" s="2" t="str">
        <f t="shared" ref="F1730:F1793" si="363">IF(TRIM(G1730)="","Missing Email","Email Available")</f>
        <v>Email Available</v>
      </c>
      <c r="G1730" s="2" t="s">
        <v>1012</v>
      </c>
      <c r="H1730" s="2" t="s">
        <v>63</v>
      </c>
      <c r="I1730" s="2" t="s">
        <v>47</v>
      </c>
      <c r="J1730" s="2" t="s">
        <v>64</v>
      </c>
      <c r="K1730" s="2">
        <v>1</v>
      </c>
      <c r="L1730" s="2">
        <v>14.99</v>
      </c>
      <c r="M1730" s="19">
        <f t="shared" ref="M1730:M1793" si="364">IF(ISNUMBER(L1730),L1730,VALUE(SUBSTITUTE(L1730,"$","")))</f>
        <v>14.99</v>
      </c>
      <c r="N1730" s="2" t="s">
        <v>118</v>
      </c>
      <c r="O1730" s="2" t="str">
        <f t="shared" ref="O1730:O1793" si="365">IF(TRIM(N1730)="","",UPPER(TRIM(SUBSTITUTE(N1730,CHAR(160)," "))))</f>
        <v>BFCM25</v>
      </c>
      <c r="P1730" s="2">
        <v>3.75</v>
      </c>
      <c r="Q1730" s="19">
        <f t="shared" ref="Q1730:Q1793" si="366">IF(ISNUMBER(P1730),P1730,VALUE(TRIM(SUBSTITUTE(P1730,"$",""))))</f>
        <v>3.75</v>
      </c>
      <c r="R1730" s="2" t="str">
        <f t="shared" ref="R1730:R1793" si="367">IF(ISNUMBER(Q1730),"Number","Text")</f>
        <v>Number</v>
      </c>
      <c r="S1730" s="2">
        <v>7.99</v>
      </c>
      <c r="T1730" s="19">
        <f t="shared" ref="T1730:T1793" si="368">IF(ISNUMBER(S1730),S1730,VALUE(TRIM(SUBSTITUTE(S1730,"$",""))))</f>
        <v>7.99</v>
      </c>
      <c r="U1730" s="2">
        <v>19.23</v>
      </c>
      <c r="V1730" s="19">
        <f t="shared" ref="V1730:V1793" si="369">IF(ISNUMBER(U1730),U1730,VALUE(TRIM(SUBSTITUTE(U1730,"$",""))))</f>
        <v>19.23</v>
      </c>
      <c r="W1730" s="19">
        <f t="shared" ref="W1730:W1793" si="370">((M1730*K1730)-Q1730)+T1730</f>
        <v>19.23</v>
      </c>
      <c r="X1730" s="19" t="str">
        <f t="shared" ref="X1730:X1793" si="371">IF(V1730=W1730,"True","False")</f>
        <v>True</v>
      </c>
      <c r="Y1730" s="19" t="str">
        <f>IF(OR(W1730&lt;'Cleaning Tasks'!$G$18,W1730&gt;'Cleaning Tasks'!$H$18),"Outlier","Normal")</f>
        <v>Normal</v>
      </c>
      <c r="Z1730" s="2" t="s">
        <v>66</v>
      </c>
      <c r="AA1730" s="2" t="s">
        <v>27</v>
      </c>
      <c r="AB1730" s="2" t="s">
        <v>50</v>
      </c>
      <c r="AC1730" s="2" t="s">
        <v>42</v>
      </c>
      <c r="AD1730" s="2"/>
      <c r="AE1730" s="2" t="str">
        <f t="shared" ref="AE1730:AE1793" si="372">IF(AND(AC1730="United States",AD1730=""),"Missing state",IF(AD1730="","Not Required","Valid"))</f>
        <v>Not Required</v>
      </c>
      <c r="AF1730" s="2" t="s">
        <v>4602</v>
      </c>
    </row>
    <row r="1731" spans="1:32" x14ac:dyDescent="0.3">
      <c r="A1731" s="2" t="s">
        <v>4603</v>
      </c>
      <c r="B1731" s="2">
        <f t="shared" si="362"/>
        <v>1</v>
      </c>
      <c r="C1731" s="12">
        <f t="shared" si="361"/>
        <v>46238.588603506942</v>
      </c>
      <c r="D1731" s="13">
        <v>46238.588603506942</v>
      </c>
      <c r="E1731" s="2" t="s">
        <v>389</v>
      </c>
      <c r="F1731" s="2" t="str">
        <f t="shared" si="363"/>
        <v>Email Available</v>
      </c>
      <c r="G1731" s="2" t="s">
        <v>390</v>
      </c>
      <c r="H1731" s="2" t="s">
        <v>35</v>
      </c>
      <c r="I1731" s="2" t="s">
        <v>36</v>
      </c>
      <c r="J1731" s="2" t="s">
        <v>37</v>
      </c>
      <c r="K1731" s="2">
        <v>1</v>
      </c>
      <c r="L1731" s="2">
        <v>21.99</v>
      </c>
      <c r="M1731" s="19">
        <f t="shared" si="364"/>
        <v>21.99</v>
      </c>
      <c r="N1731" s="2"/>
      <c r="O1731" s="2" t="str">
        <f t="shared" si="365"/>
        <v/>
      </c>
      <c r="P1731" s="2">
        <v>0</v>
      </c>
      <c r="Q1731" s="19">
        <f t="shared" si="366"/>
        <v>0</v>
      </c>
      <c r="R1731" s="2" t="str">
        <f t="shared" si="367"/>
        <v>Number</v>
      </c>
      <c r="S1731" s="2">
        <v>4.99</v>
      </c>
      <c r="T1731" s="19">
        <f t="shared" si="368"/>
        <v>4.99</v>
      </c>
      <c r="U1731" s="2" t="s">
        <v>583</v>
      </c>
      <c r="V1731" s="19">
        <f t="shared" si="369"/>
        <v>26.98</v>
      </c>
      <c r="W1731" s="19">
        <f t="shared" si="370"/>
        <v>26.979999999999997</v>
      </c>
      <c r="X1731" s="19" t="str">
        <f t="shared" si="371"/>
        <v>True</v>
      </c>
      <c r="Y1731" s="19" t="str">
        <f>IF(OR(W1731&lt;'Cleaning Tasks'!$G$18,W1731&gt;'Cleaning Tasks'!$H$18),"Outlier","Normal")</f>
        <v>Normal</v>
      </c>
      <c r="Z1731" s="2" t="s">
        <v>26</v>
      </c>
      <c r="AA1731" s="2" t="s">
        <v>27</v>
      </c>
      <c r="AB1731" s="2" t="s">
        <v>96</v>
      </c>
      <c r="AC1731" s="2" t="s">
        <v>331</v>
      </c>
      <c r="AD1731" s="2"/>
      <c r="AE1731" s="2" t="str">
        <f t="shared" si="372"/>
        <v>Not Required</v>
      </c>
      <c r="AF1731" s="2" t="s">
        <v>4604</v>
      </c>
    </row>
    <row r="1732" spans="1:32" x14ac:dyDescent="0.3">
      <c r="A1732" s="2" t="s">
        <v>4605</v>
      </c>
      <c r="B1732" s="2">
        <f t="shared" si="362"/>
        <v>1</v>
      </c>
      <c r="C1732" s="12">
        <f t="shared" si="361"/>
        <v>46238</v>
      </c>
      <c r="D1732" s="13">
        <v>46238</v>
      </c>
      <c r="E1732" s="2" t="s">
        <v>1261</v>
      </c>
      <c r="F1732" s="2" t="str">
        <f t="shared" si="363"/>
        <v>Email Available</v>
      </c>
      <c r="G1732" s="2" t="s">
        <v>1262</v>
      </c>
      <c r="H1732" s="2" t="s">
        <v>361</v>
      </c>
      <c r="I1732" s="2" t="s">
        <v>86</v>
      </c>
      <c r="J1732" s="2" t="s">
        <v>362</v>
      </c>
      <c r="K1732" s="2">
        <v>1</v>
      </c>
      <c r="L1732" s="2">
        <v>54.99</v>
      </c>
      <c r="M1732" s="19">
        <f t="shared" si="364"/>
        <v>54.99</v>
      </c>
      <c r="N1732" s="2" t="s">
        <v>118</v>
      </c>
      <c r="O1732" s="2" t="str">
        <f t="shared" si="365"/>
        <v>BFCM25</v>
      </c>
      <c r="P1732" s="2">
        <v>13.75</v>
      </c>
      <c r="Q1732" s="19">
        <f t="shared" si="366"/>
        <v>13.75</v>
      </c>
      <c r="R1732" s="2" t="str">
        <f t="shared" si="367"/>
        <v>Number</v>
      </c>
      <c r="S1732" s="2">
        <v>4.99</v>
      </c>
      <c r="T1732" s="19">
        <f t="shared" si="368"/>
        <v>4.99</v>
      </c>
      <c r="U1732" s="2">
        <v>46.23</v>
      </c>
      <c r="V1732" s="19">
        <f t="shared" si="369"/>
        <v>46.23</v>
      </c>
      <c r="W1732" s="19">
        <f t="shared" si="370"/>
        <v>46.230000000000004</v>
      </c>
      <c r="X1732" s="19" t="str">
        <f t="shared" si="371"/>
        <v>True</v>
      </c>
      <c r="Y1732" s="19" t="str">
        <f>IF(OR(W1732&lt;'Cleaning Tasks'!$G$18,W1732&gt;'Cleaning Tasks'!$H$18),"Outlier","Normal")</f>
        <v>Normal</v>
      </c>
      <c r="Z1732" s="2" t="s">
        <v>66</v>
      </c>
      <c r="AA1732" s="2" t="s">
        <v>40</v>
      </c>
      <c r="AB1732" s="2" t="s">
        <v>50</v>
      </c>
      <c r="AC1732" s="2" t="s">
        <v>331</v>
      </c>
      <c r="AD1732" s="2"/>
      <c r="AE1732" s="2" t="str">
        <f t="shared" si="372"/>
        <v>Not Required</v>
      </c>
      <c r="AF1732" s="2" t="s">
        <v>4606</v>
      </c>
    </row>
    <row r="1733" spans="1:32" x14ac:dyDescent="0.3">
      <c r="A1733" s="2" t="s">
        <v>4607</v>
      </c>
      <c r="B1733" s="2">
        <f t="shared" si="362"/>
        <v>1</v>
      </c>
      <c r="C1733" s="12">
        <f t="shared" si="361"/>
        <v>46238.587208622688</v>
      </c>
      <c r="D1733" s="13">
        <v>46238.587208622688</v>
      </c>
      <c r="E1733" s="2" t="s">
        <v>2245</v>
      </c>
      <c r="F1733" s="2" t="str">
        <f t="shared" si="363"/>
        <v>Email Available</v>
      </c>
      <c r="G1733" s="2" t="s">
        <v>2246</v>
      </c>
      <c r="H1733" s="2" t="s">
        <v>109</v>
      </c>
      <c r="I1733" s="2" t="s">
        <v>79</v>
      </c>
      <c r="J1733" s="2" t="s">
        <v>110</v>
      </c>
      <c r="K1733" s="2">
        <v>1</v>
      </c>
      <c r="L1733" s="2">
        <v>22.99</v>
      </c>
      <c r="M1733" s="19">
        <f t="shared" si="364"/>
        <v>22.99</v>
      </c>
      <c r="N1733" s="2" t="s">
        <v>65</v>
      </c>
      <c r="O1733" s="2" t="str">
        <f t="shared" si="365"/>
        <v>WELCOME10</v>
      </c>
      <c r="P1733" s="2">
        <v>2.2999999999999998</v>
      </c>
      <c r="Q1733" s="19">
        <f t="shared" si="366"/>
        <v>2.2999999999999998</v>
      </c>
      <c r="R1733" s="2" t="str">
        <f t="shared" si="367"/>
        <v>Number</v>
      </c>
      <c r="S1733" s="2">
        <v>7.99</v>
      </c>
      <c r="T1733" s="19">
        <f t="shared" si="368"/>
        <v>7.99</v>
      </c>
      <c r="U1733" s="2">
        <v>28.68</v>
      </c>
      <c r="V1733" s="19">
        <f t="shared" si="369"/>
        <v>28.68</v>
      </c>
      <c r="W1733" s="19">
        <f t="shared" si="370"/>
        <v>28.68</v>
      </c>
      <c r="X1733" s="19" t="str">
        <f t="shared" si="371"/>
        <v>True</v>
      </c>
      <c r="Y1733" s="19" t="str">
        <f>IF(OR(W1733&lt;'Cleaning Tasks'!$G$18,W1733&gt;'Cleaning Tasks'!$H$18),"Outlier","Normal")</f>
        <v>Normal</v>
      </c>
      <c r="Z1733" s="2" t="s">
        <v>26</v>
      </c>
      <c r="AA1733" s="2" t="s">
        <v>111</v>
      </c>
      <c r="AB1733" s="2" t="s">
        <v>41</v>
      </c>
      <c r="AC1733" s="2" t="s">
        <v>223</v>
      </c>
      <c r="AD1733" s="2"/>
      <c r="AE1733" s="2" t="str">
        <f t="shared" si="372"/>
        <v>Not Required</v>
      </c>
      <c r="AF1733" s="2" t="s">
        <v>4608</v>
      </c>
    </row>
    <row r="1734" spans="1:32" x14ac:dyDescent="0.3">
      <c r="A1734" s="2" t="s">
        <v>4609</v>
      </c>
      <c r="B1734" s="2">
        <f t="shared" si="362"/>
        <v>1</v>
      </c>
      <c r="C1734" s="12">
        <f t="shared" si="361"/>
        <v>46238.588953321763</v>
      </c>
      <c r="D1734" s="13">
        <v>46238.588953321763</v>
      </c>
      <c r="E1734" s="2" t="s">
        <v>4610</v>
      </c>
      <c r="F1734" s="2" t="str">
        <f t="shared" si="363"/>
        <v>Missing Email</v>
      </c>
      <c r="G1734" s="2"/>
      <c r="H1734" s="2" t="s">
        <v>130</v>
      </c>
      <c r="I1734" s="2" t="s">
        <v>103</v>
      </c>
      <c r="J1734" s="2" t="s">
        <v>131</v>
      </c>
      <c r="K1734" s="2">
        <v>1</v>
      </c>
      <c r="L1734" s="2">
        <v>16.989999999999998</v>
      </c>
      <c r="M1734" s="19">
        <f t="shared" si="364"/>
        <v>16.989999999999998</v>
      </c>
      <c r="N1734" s="2" t="s">
        <v>118</v>
      </c>
      <c r="O1734" s="2" t="str">
        <f t="shared" si="365"/>
        <v>BFCM25</v>
      </c>
      <c r="P1734" s="2">
        <v>4.25</v>
      </c>
      <c r="Q1734" s="19">
        <f t="shared" si="366"/>
        <v>4.25</v>
      </c>
      <c r="R1734" s="2" t="str">
        <f t="shared" si="367"/>
        <v>Number</v>
      </c>
      <c r="S1734" s="2">
        <v>5.99</v>
      </c>
      <c r="T1734" s="19">
        <f t="shared" si="368"/>
        <v>5.99</v>
      </c>
      <c r="U1734" s="2">
        <v>18.73</v>
      </c>
      <c r="V1734" s="19">
        <f t="shared" si="369"/>
        <v>18.73</v>
      </c>
      <c r="W1734" s="19">
        <f t="shared" si="370"/>
        <v>18.729999999999997</v>
      </c>
      <c r="X1734" s="19" t="str">
        <f t="shared" si="371"/>
        <v>True</v>
      </c>
      <c r="Y1734" s="19" t="str">
        <f>IF(OR(W1734&lt;'Cleaning Tasks'!$G$18,W1734&gt;'Cleaning Tasks'!$H$18),"Outlier","Normal")</f>
        <v>Normal</v>
      </c>
      <c r="Z1734" s="2" t="s">
        <v>72</v>
      </c>
      <c r="AA1734" s="2" t="s">
        <v>27</v>
      </c>
      <c r="AB1734" s="2" t="s">
        <v>41</v>
      </c>
      <c r="AC1734" s="2" t="s">
        <v>73</v>
      </c>
      <c r="AD1734" s="2"/>
      <c r="AE1734" s="2" t="str">
        <f t="shared" si="372"/>
        <v>Not Required</v>
      </c>
      <c r="AF1734" s="2" t="s">
        <v>4611</v>
      </c>
    </row>
    <row r="1735" spans="1:32" x14ac:dyDescent="0.3">
      <c r="A1735" s="2" t="s">
        <v>4612</v>
      </c>
      <c r="B1735" s="2">
        <f t="shared" si="362"/>
        <v>1</v>
      </c>
      <c r="C1735" s="12">
        <f t="shared" si="361"/>
        <v>46238.582935405087</v>
      </c>
      <c r="D1735" s="13">
        <v>46238.582935405087</v>
      </c>
      <c r="E1735" s="2" t="s">
        <v>557</v>
      </c>
      <c r="F1735" s="2" t="str">
        <f t="shared" si="363"/>
        <v>Email Available</v>
      </c>
      <c r="G1735" s="2" t="s">
        <v>558</v>
      </c>
      <c r="H1735" s="2" t="s">
        <v>190</v>
      </c>
      <c r="I1735" s="2" t="s">
        <v>191</v>
      </c>
      <c r="J1735" s="2" t="s">
        <v>192</v>
      </c>
      <c r="K1735" s="2">
        <v>1</v>
      </c>
      <c r="L1735" s="2">
        <v>13.49</v>
      </c>
      <c r="M1735" s="19">
        <f t="shared" si="364"/>
        <v>13.49</v>
      </c>
      <c r="N1735" s="2"/>
      <c r="O1735" s="2" t="str">
        <f t="shared" si="365"/>
        <v/>
      </c>
      <c r="P1735" s="2">
        <v>0</v>
      </c>
      <c r="Q1735" s="19">
        <f t="shared" si="366"/>
        <v>0</v>
      </c>
      <c r="R1735" s="2" t="str">
        <f t="shared" si="367"/>
        <v>Number</v>
      </c>
      <c r="S1735" s="2">
        <v>4.99</v>
      </c>
      <c r="T1735" s="19">
        <f t="shared" si="368"/>
        <v>4.99</v>
      </c>
      <c r="U1735" s="2">
        <v>18.48</v>
      </c>
      <c r="V1735" s="19">
        <f t="shared" si="369"/>
        <v>18.48</v>
      </c>
      <c r="W1735" s="19">
        <f t="shared" si="370"/>
        <v>18.48</v>
      </c>
      <c r="X1735" s="19" t="str">
        <f t="shared" si="371"/>
        <v>True</v>
      </c>
      <c r="Y1735" s="19" t="str">
        <f>IF(OR(W1735&lt;'Cleaning Tasks'!$G$18,W1735&gt;'Cleaning Tasks'!$H$18),"Outlier","Normal")</f>
        <v>Normal</v>
      </c>
      <c r="Z1735" s="2" t="s">
        <v>72</v>
      </c>
      <c r="AA1735" s="2" t="s">
        <v>88</v>
      </c>
      <c r="AB1735" s="2" t="s">
        <v>50</v>
      </c>
      <c r="AC1735" s="2" t="s">
        <v>42</v>
      </c>
      <c r="AD1735" s="2"/>
      <c r="AE1735" s="2" t="str">
        <f t="shared" si="372"/>
        <v>Not Required</v>
      </c>
      <c r="AF1735" s="2" t="s">
        <v>4613</v>
      </c>
    </row>
    <row r="1736" spans="1:32" x14ac:dyDescent="0.3">
      <c r="A1736" s="2" t="s">
        <v>4614</v>
      </c>
      <c r="B1736" s="2">
        <f t="shared" si="362"/>
        <v>1</v>
      </c>
      <c r="C1736" s="12">
        <f t="shared" si="361"/>
        <v>46238.583024560183</v>
      </c>
      <c r="D1736" s="13">
        <v>46238.583024560183</v>
      </c>
      <c r="E1736" s="2" t="s">
        <v>199</v>
      </c>
      <c r="F1736" s="2" t="str">
        <f t="shared" si="363"/>
        <v>Email Available</v>
      </c>
      <c r="G1736" s="2" t="s">
        <v>200</v>
      </c>
      <c r="H1736" s="2" t="s">
        <v>124</v>
      </c>
      <c r="I1736" s="2" t="s">
        <v>79</v>
      </c>
      <c r="J1736" s="2" t="s">
        <v>125</v>
      </c>
      <c r="K1736" s="2">
        <v>1</v>
      </c>
      <c r="L1736" s="2" t="s">
        <v>1086</v>
      </c>
      <c r="M1736" s="19">
        <f t="shared" si="364"/>
        <v>13.99</v>
      </c>
      <c r="N1736" s="2"/>
      <c r="O1736" s="2" t="str">
        <f t="shared" si="365"/>
        <v/>
      </c>
      <c r="P1736" s="2">
        <v>0</v>
      </c>
      <c r="Q1736" s="19">
        <f t="shared" si="366"/>
        <v>0</v>
      </c>
      <c r="R1736" s="2" t="str">
        <f t="shared" si="367"/>
        <v>Number</v>
      </c>
      <c r="S1736" s="2">
        <v>4.99</v>
      </c>
      <c r="T1736" s="19">
        <f t="shared" si="368"/>
        <v>4.99</v>
      </c>
      <c r="U1736" s="2">
        <v>18.98</v>
      </c>
      <c r="V1736" s="19">
        <f t="shared" si="369"/>
        <v>18.98</v>
      </c>
      <c r="W1736" s="19">
        <f t="shared" si="370"/>
        <v>18.98</v>
      </c>
      <c r="X1736" s="19" t="str">
        <f t="shared" si="371"/>
        <v>True</v>
      </c>
      <c r="Y1736" s="19" t="str">
        <f>IF(OR(W1736&lt;'Cleaning Tasks'!$G$18,W1736&gt;'Cleaning Tasks'!$H$18),"Outlier","Normal")</f>
        <v>Normal</v>
      </c>
      <c r="Z1736" s="2" t="s">
        <v>66</v>
      </c>
      <c r="AA1736" s="2" t="s">
        <v>27</v>
      </c>
      <c r="AB1736" s="2" t="s">
        <v>50</v>
      </c>
      <c r="AC1736" s="2" t="s">
        <v>73</v>
      </c>
      <c r="AD1736" s="2"/>
      <c r="AE1736" s="2" t="str">
        <f t="shared" si="372"/>
        <v>Not Required</v>
      </c>
      <c r="AF1736" s="2" t="s">
        <v>4615</v>
      </c>
    </row>
    <row r="1737" spans="1:32" x14ac:dyDescent="0.3">
      <c r="A1737" s="2" t="s">
        <v>4616</v>
      </c>
      <c r="B1737" s="2">
        <f t="shared" si="362"/>
        <v>1</v>
      </c>
      <c r="C1737" s="12">
        <f t="shared" si="361"/>
        <v>46238.586839444448</v>
      </c>
      <c r="D1737" s="13">
        <v>46238.586839444448</v>
      </c>
      <c r="E1737" s="2" t="s">
        <v>1625</v>
      </c>
      <c r="F1737" s="2" t="str">
        <f t="shared" si="363"/>
        <v>Email Available</v>
      </c>
      <c r="G1737" s="2" t="s">
        <v>1533</v>
      </c>
      <c r="H1737" s="2" t="s">
        <v>182</v>
      </c>
      <c r="I1737" s="2" t="s">
        <v>36</v>
      </c>
      <c r="J1737" s="2" t="s">
        <v>183</v>
      </c>
      <c r="K1737" s="2">
        <v>4</v>
      </c>
      <c r="L1737" s="2">
        <v>11.99</v>
      </c>
      <c r="M1737" s="19">
        <f t="shared" si="364"/>
        <v>11.99</v>
      </c>
      <c r="N1737" s="2"/>
      <c r="O1737" s="2" t="str">
        <f t="shared" si="365"/>
        <v/>
      </c>
      <c r="P1737" s="2">
        <v>0</v>
      </c>
      <c r="Q1737" s="19">
        <f t="shared" si="366"/>
        <v>0</v>
      </c>
      <c r="R1737" s="2" t="str">
        <f t="shared" si="367"/>
        <v>Number</v>
      </c>
      <c r="S1737" s="2">
        <v>5.99</v>
      </c>
      <c r="T1737" s="19">
        <f t="shared" si="368"/>
        <v>5.99</v>
      </c>
      <c r="U1737" s="2">
        <v>53.95</v>
      </c>
      <c r="V1737" s="19">
        <f t="shared" si="369"/>
        <v>53.95</v>
      </c>
      <c r="W1737" s="19">
        <f t="shared" si="370"/>
        <v>53.95</v>
      </c>
      <c r="X1737" s="19" t="str">
        <f t="shared" si="371"/>
        <v>True</v>
      </c>
      <c r="Y1737" s="19" t="str">
        <f>IF(OR(W1737&lt;'Cleaning Tasks'!$G$18,W1737&gt;'Cleaning Tasks'!$H$18),"Outlier","Normal")</f>
        <v>Normal</v>
      </c>
      <c r="Z1737" s="2" t="s">
        <v>39</v>
      </c>
      <c r="AA1737" s="2" t="s">
        <v>88</v>
      </c>
      <c r="AB1737" s="2" t="s">
        <v>96</v>
      </c>
      <c r="AC1737" s="2" t="s">
        <v>73</v>
      </c>
      <c r="AD1737" s="2"/>
      <c r="AE1737" s="2" t="str">
        <f t="shared" si="372"/>
        <v>Not Required</v>
      </c>
      <c r="AF1737" s="2" t="s">
        <v>4617</v>
      </c>
    </row>
    <row r="1738" spans="1:32" x14ac:dyDescent="0.3">
      <c r="A1738" s="2" t="s">
        <v>4618</v>
      </c>
      <c r="B1738" s="2">
        <f t="shared" si="362"/>
        <v>1</v>
      </c>
      <c r="C1738" s="12">
        <f t="shared" si="361"/>
        <v>46238.588057523149</v>
      </c>
      <c r="D1738" s="13">
        <v>46238.588057523149</v>
      </c>
      <c r="E1738" s="2" t="s">
        <v>3528</v>
      </c>
      <c r="F1738" s="2" t="str">
        <f t="shared" si="363"/>
        <v>Email Available</v>
      </c>
      <c r="G1738" s="2" t="s">
        <v>2266</v>
      </c>
      <c r="H1738" s="2" t="s">
        <v>152</v>
      </c>
      <c r="I1738" s="2" t="s">
        <v>36</v>
      </c>
      <c r="J1738" s="2" t="s">
        <v>153</v>
      </c>
      <c r="K1738" s="2">
        <v>1</v>
      </c>
      <c r="L1738" s="2">
        <v>29.99</v>
      </c>
      <c r="M1738" s="19">
        <f t="shared" si="364"/>
        <v>29.99</v>
      </c>
      <c r="N1738" s="2"/>
      <c r="O1738" s="2" t="str">
        <f t="shared" si="365"/>
        <v/>
      </c>
      <c r="P1738" s="2">
        <v>0</v>
      </c>
      <c r="Q1738" s="19">
        <f t="shared" si="366"/>
        <v>0</v>
      </c>
      <c r="R1738" s="2" t="str">
        <f t="shared" si="367"/>
        <v>Number</v>
      </c>
      <c r="S1738" s="2">
        <v>5.99</v>
      </c>
      <c r="T1738" s="19">
        <f t="shared" si="368"/>
        <v>5.99</v>
      </c>
      <c r="U1738" s="2" t="s">
        <v>782</v>
      </c>
      <c r="V1738" s="19">
        <f t="shared" si="369"/>
        <v>35.979999999999997</v>
      </c>
      <c r="W1738" s="19">
        <f t="shared" si="370"/>
        <v>35.979999999999997</v>
      </c>
      <c r="X1738" s="19" t="str">
        <f t="shared" si="371"/>
        <v>True</v>
      </c>
      <c r="Y1738" s="19" t="str">
        <f>IF(OR(W1738&lt;'Cleaning Tasks'!$G$18,W1738&gt;'Cleaning Tasks'!$H$18),"Outlier","Normal")</f>
        <v>Normal</v>
      </c>
      <c r="Z1738" s="2" t="s">
        <v>66</v>
      </c>
      <c r="AA1738" s="2" t="s">
        <v>111</v>
      </c>
      <c r="AB1738" s="2" t="s">
        <v>50</v>
      </c>
      <c r="AC1738" s="2" t="s">
        <v>223</v>
      </c>
      <c r="AD1738" s="2"/>
      <c r="AE1738" s="2" t="str">
        <f t="shared" si="372"/>
        <v>Not Required</v>
      </c>
      <c r="AF1738" s="2" t="s">
        <v>4619</v>
      </c>
    </row>
    <row r="1739" spans="1:32" x14ac:dyDescent="0.3">
      <c r="A1739" s="2" t="s">
        <v>4620</v>
      </c>
      <c r="B1739" s="2">
        <f t="shared" si="362"/>
        <v>1</v>
      </c>
      <c r="C1739" s="12">
        <f t="shared" ref="C1739:C1770" si="373">IF(ISNUMBER(D1739),D1739,DATEVALUE(SUBSTITUTE(TRIM(D1739),CHAR(160)," ")))</f>
        <v>46238</v>
      </c>
      <c r="D1739" s="13">
        <v>46238</v>
      </c>
      <c r="E1739" s="2" t="s">
        <v>4621</v>
      </c>
      <c r="F1739" s="2" t="str">
        <f t="shared" si="363"/>
        <v>Email Available</v>
      </c>
      <c r="G1739" s="2" t="s">
        <v>4622</v>
      </c>
      <c r="H1739" s="2" t="s">
        <v>63</v>
      </c>
      <c r="I1739" s="2" t="s">
        <v>47</v>
      </c>
      <c r="J1739" s="2" t="s">
        <v>446</v>
      </c>
      <c r="K1739" s="2">
        <v>2</v>
      </c>
      <c r="L1739" s="2">
        <v>14.99</v>
      </c>
      <c r="M1739" s="19">
        <f t="shared" si="364"/>
        <v>14.99</v>
      </c>
      <c r="N1739" s="2" t="s">
        <v>24</v>
      </c>
      <c r="O1739" s="2" t="str">
        <f t="shared" si="365"/>
        <v>SAVE20</v>
      </c>
      <c r="P1739" s="2">
        <v>6</v>
      </c>
      <c r="Q1739" s="19">
        <f t="shared" si="366"/>
        <v>6</v>
      </c>
      <c r="R1739" s="2" t="str">
        <f t="shared" si="367"/>
        <v>Number</v>
      </c>
      <c r="S1739" s="2">
        <v>4.99</v>
      </c>
      <c r="T1739" s="19">
        <f t="shared" si="368"/>
        <v>4.99</v>
      </c>
      <c r="U1739" s="2">
        <v>28.97</v>
      </c>
      <c r="V1739" s="19">
        <f t="shared" si="369"/>
        <v>28.97</v>
      </c>
      <c r="W1739" s="19">
        <f t="shared" si="370"/>
        <v>28.97</v>
      </c>
      <c r="X1739" s="19" t="str">
        <f t="shared" si="371"/>
        <v>True</v>
      </c>
      <c r="Y1739" s="19" t="str">
        <f>IF(OR(W1739&lt;'Cleaning Tasks'!$G$18,W1739&gt;'Cleaning Tasks'!$H$18),"Outlier","Normal")</f>
        <v>Normal</v>
      </c>
      <c r="Z1739" s="2" t="s">
        <v>72</v>
      </c>
      <c r="AA1739" s="2" t="s">
        <v>40</v>
      </c>
      <c r="AB1739" s="2" t="s">
        <v>50</v>
      </c>
      <c r="AC1739" s="2" t="s">
        <v>29</v>
      </c>
      <c r="AD1739" s="2" t="s">
        <v>341</v>
      </c>
      <c r="AE1739" s="2" t="str">
        <f t="shared" si="372"/>
        <v>Valid</v>
      </c>
      <c r="AF1739" s="2" t="s">
        <v>2574</v>
      </c>
    </row>
    <row r="1740" spans="1:32" x14ac:dyDescent="0.3">
      <c r="A1740" s="2" t="s">
        <v>4623</v>
      </c>
      <c r="B1740" s="2">
        <f t="shared" si="362"/>
        <v>1</v>
      </c>
      <c r="C1740" s="12">
        <f t="shared" si="373"/>
        <v>46238</v>
      </c>
      <c r="D1740" s="13">
        <v>46238</v>
      </c>
      <c r="E1740" s="2" t="s">
        <v>436</v>
      </c>
      <c r="F1740" s="2" t="str">
        <f t="shared" si="363"/>
        <v>Email Available</v>
      </c>
      <c r="G1740" s="2" t="s">
        <v>437</v>
      </c>
      <c r="H1740" s="2" t="s">
        <v>63</v>
      </c>
      <c r="I1740" s="2" t="s">
        <v>47</v>
      </c>
      <c r="J1740" s="2" t="s">
        <v>64</v>
      </c>
      <c r="K1740" s="2">
        <v>1</v>
      </c>
      <c r="L1740" s="2">
        <v>14.99</v>
      </c>
      <c r="M1740" s="19">
        <f t="shared" si="364"/>
        <v>14.99</v>
      </c>
      <c r="N1740" s="2"/>
      <c r="O1740" s="2" t="str">
        <f t="shared" si="365"/>
        <v/>
      </c>
      <c r="P1740" s="2">
        <v>0</v>
      </c>
      <c r="Q1740" s="19">
        <f t="shared" si="366"/>
        <v>0</v>
      </c>
      <c r="R1740" s="2" t="str">
        <f t="shared" si="367"/>
        <v>Number</v>
      </c>
      <c r="S1740" s="2">
        <v>7.99</v>
      </c>
      <c r="T1740" s="19">
        <f t="shared" si="368"/>
        <v>7.99</v>
      </c>
      <c r="U1740" s="2" t="s">
        <v>4624</v>
      </c>
      <c r="V1740" s="19">
        <f t="shared" si="369"/>
        <v>22.98</v>
      </c>
      <c r="W1740" s="19">
        <f t="shared" si="370"/>
        <v>22.98</v>
      </c>
      <c r="X1740" s="19" t="str">
        <f t="shared" si="371"/>
        <v>True</v>
      </c>
      <c r="Y1740" s="19" t="str">
        <f>IF(OR(W1740&lt;'Cleaning Tasks'!$G$18,W1740&gt;'Cleaning Tasks'!$H$18),"Outlier","Normal")</f>
        <v>Normal</v>
      </c>
      <c r="Z1740" s="2" t="s">
        <v>66</v>
      </c>
      <c r="AA1740" s="2" t="s">
        <v>111</v>
      </c>
      <c r="AB1740" s="2" t="s">
        <v>50</v>
      </c>
      <c r="AC1740" s="2" t="s">
        <v>42</v>
      </c>
      <c r="AD1740" s="2"/>
      <c r="AE1740" s="2" t="str">
        <f t="shared" si="372"/>
        <v>Not Required</v>
      </c>
      <c r="AF1740" s="2" t="s">
        <v>4625</v>
      </c>
    </row>
    <row r="1741" spans="1:32" x14ac:dyDescent="0.3">
      <c r="A1741" s="2" t="s">
        <v>4626</v>
      </c>
      <c r="B1741" s="2">
        <f t="shared" si="362"/>
        <v>1</v>
      </c>
      <c r="C1741" s="12">
        <f t="shared" si="373"/>
        <v>46238.585805497692</v>
      </c>
      <c r="D1741" s="13">
        <v>46238.585805497692</v>
      </c>
      <c r="E1741" s="2" t="s">
        <v>528</v>
      </c>
      <c r="F1741" s="2" t="str">
        <f t="shared" si="363"/>
        <v>Email Available</v>
      </c>
      <c r="G1741" s="2" t="s">
        <v>529</v>
      </c>
      <c r="H1741" s="2" t="s">
        <v>124</v>
      </c>
      <c r="I1741" s="2" t="s">
        <v>79</v>
      </c>
      <c r="J1741" s="2" t="s">
        <v>125</v>
      </c>
      <c r="K1741" s="2">
        <v>1</v>
      </c>
      <c r="L1741" s="2">
        <v>13.99</v>
      </c>
      <c r="M1741" s="19">
        <f t="shared" si="364"/>
        <v>13.99</v>
      </c>
      <c r="N1741" s="2"/>
      <c r="O1741" s="2" t="str">
        <f t="shared" si="365"/>
        <v/>
      </c>
      <c r="P1741" s="2">
        <v>0</v>
      </c>
      <c r="Q1741" s="19">
        <f t="shared" si="366"/>
        <v>0</v>
      </c>
      <c r="R1741" s="2" t="str">
        <f t="shared" si="367"/>
        <v>Number</v>
      </c>
      <c r="S1741" s="2">
        <v>7.99</v>
      </c>
      <c r="T1741" s="19">
        <f t="shared" si="368"/>
        <v>7.99</v>
      </c>
      <c r="U1741" s="2">
        <v>21.98</v>
      </c>
      <c r="V1741" s="19">
        <f t="shared" si="369"/>
        <v>21.98</v>
      </c>
      <c r="W1741" s="19">
        <f t="shared" si="370"/>
        <v>21.98</v>
      </c>
      <c r="X1741" s="19" t="str">
        <f t="shared" si="371"/>
        <v>True</v>
      </c>
      <c r="Y1741" s="19" t="str">
        <f>IF(OR(W1741&lt;'Cleaning Tasks'!$G$18,W1741&gt;'Cleaning Tasks'!$H$18),"Outlier","Normal")</f>
        <v>Normal</v>
      </c>
      <c r="Z1741" s="2" t="s">
        <v>66</v>
      </c>
      <c r="AA1741" s="2" t="s">
        <v>88</v>
      </c>
      <c r="AB1741" s="2" t="s">
        <v>50</v>
      </c>
      <c r="AC1741" s="2" t="s">
        <v>29</v>
      </c>
      <c r="AD1741" s="2" t="s">
        <v>140</v>
      </c>
      <c r="AE1741" s="2" t="str">
        <f t="shared" si="372"/>
        <v>Valid</v>
      </c>
      <c r="AF1741" s="2" t="s">
        <v>4627</v>
      </c>
    </row>
    <row r="1742" spans="1:32" x14ac:dyDescent="0.3">
      <c r="A1742" s="2" t="s">
        <v>4628</v>
      </c>
      <c r="B1742" s="2">
        <f t="shared" si="362"/>
        <v>1</v>
      </c>
      <c r="C1742" s="12">
        <f t="shared" si="373"/>
        <v>46238.58071642361</v>
      </c>
      <c r="D1742" s="13">
        <v>46238.58071642361</v>
      </c>
      <c r="E1742" s="2" t="s">
        <v>1625</v>
      </c>
      <c r="F1742" s="2" t="str">
        <f t="shared" si="363"/>
        <v>Missing Email</v>
      </c>
      <c r="G1742" s="2"/>
      <c r="H1742" s="2" t="s">
        <v>146</v>
      </c>
      <c r="I1742" s="2" t="s">
        <v>47</v>
      </c>
      <c r="J1742" s="2" t="s">
        <v>147</v>
      </c>
      <c r="K1742" s="2">
        <v>1</v>
      </c>
      <c r="L1742" s="2">
        <v>34.99</v>
      </c>
      <c r="M1742" s="19">
        <f t="shared" si="364"/>
        <v>34.99</v>
      </c>
      <c r="N1742" s="2"/>
      <c r="O1742" s="2" t="str">
        <f t="shared" si="365"/>
        <v/>
      </c>
      <c r="P1742" s="2">
        <v>0</v>
      </c>
      <c r="Q1742" s="19">
        <f t="shared" si="366"/>
        <v>0</v>
      </c>
      <c r="R1742" s="2" t="str">
        <f t="shared" si="367"/>
        <v>Number</v>
      </c>
      <c r="S1742" s="2">
        <v>7.99</v>
      </c>
      <c r="T1742" s="19">
        <f t="shared" si="368"/>
        <v>7.99</v>
      </c>
      <c r="U1742" s="2">
        <v>42.98</v>
      </c>
      <c r="V1742" s="19">
        <f t="shared" si="369"/>
        <v>42.98</v>
      </c>
      <c r="W1742" s="19">
        <f t="shared" si="370"/>
        <v>42.980000000000004</v>
      </c>
      <c r="X1742" s="19" t="str">
        <f t="shared" si="371"/>
        <v>True</v>
      </c>
      <c r="Y1742" s="19" t="str">
        <f>IF(OR(W1742&lt;'Cleaning Tasks'!$G$18,W1742&gt;'Cleaning Tasks'!$H$18),"Outlier","Normal")</f>
        <v>Normal</v>
      </c>
      <c r="Z1742" s="2" t="s">
        <v>26</v>
      </c>
      <c r="AA1742" s="2" t="s">
        <v>27</v>
      </c>
      <c r="AB1742" s="2" t="s">
        <v>50</v>
      </c>
      <c r="AC1742" s="2" t="s">
        <v>73</v>
      </c>
      <c r="AD1742" s="2"/>
      <c r="AE1742" s="2" t="str">
        <f t="shared" si="372"/>
        <v>Not Required</v>
      </c>
      <c r="AF1742" s="2" t="s">
        <v>4629</v>
      </c>
    </row>
    <row r="1743" spans="1:32" x14ac:dyDescent="0.3">
      <c r="A1743" s="2" t="s">
        <v>4630</v>
      </c>
      <c r="B1743" s="2">
        <f t="shared" si="362"/>
        <v>1</v>
      </c>
      <c r="C1743" s="12">
        <f t="shared" si="373"/>
        <v>46238.587070266207</v>
      </c>
      <c r="D1743" s="13">
        <v>46238.587070266207</v>
      </c>
      <c r="E1743" s="2" t="s">
        <v>1475</v>
      </c>
      <c r="F1743" s="2" t="str">
        <f t="shared" si="363"/>
        <v>Email Available</v>
      </c>
      <c r="G1743" s="2" t="s">
        <v>1476</v>
      </c>
      <c r="H1743" s="22" t="s">
        <v>361</v>
      </c>
      <c r="I1743" s="2" t="s">
        <v>86</v>
      </c>
      <c r="J1743" s="2" t="s">
        <v>362</v>
      </c>
      <c r="K1743" s="2">
        <v>1</v>
      </c>
      <c r="L1743" s="2">
        <v>54.99</v>
      </c>
      <c r="M1743" s="19">
        <f t="shared" si="364"/>
        <v>54.99</v>
      </c>
      <c r="N1743" s="2"/>
      <c r="O1743" s="2" t="str">
        <f t="shared" si="365"/>
        <v/>
      </c>
      <c r="P1743" s="2">
        <v>0</v>
      </c>
      <c r="Q1743" s="19">
        <f t="shared" si="366"/>
        <v>0</v>
      </c>
      <c r="R1743" s="2" t="str">
        <f t="shared" si="367"/>
        <v>Number</v>
      </c>
      <c r="S1743" s="2">
        <v>5.99</v>
      </c>
      <c r="T1743" s="19">
        <f t="shared" si="368"/>
        <v>5.99</v>
      </c>
      <c r="U1743" s="2">
        <v>60.98</v>
      </c>
      <c r="V1743" s="19">
        <f t="shared" si="369"/>
        <v>60.98</v>
      </c>
      <c r="W1743" s="19">
        <f t="shared" si="370"/>
        <v>60.980000000000004</v>
      </c>
      <c r="X1743" s="19" t="str">
        <f t="shared" si="371"/>
        <v>True</v>
      </c>
      <c r="Y1743" s="19" t="str">
        <f>IF(OR(W1743&lt;'Cleaning Tasks'!$G$18,W1743&gt;'Cleaning Tasks'!$H$18),"Outlier","Normal")</f>
        <v>Normal</v>
      </c>
      <c r="Z1743" s="2" t="s">
        <v>39</v>
      </c>
      <c r="AA1743" s="2" t="s">
        <v>27</v>
      </c>
      <c r="AB1743" s="2" t="s">
        <v>50</v>
      </c>
      <c r="AC1743" s="2" t="s">
        <v>42</v>
      </c>
      <c r="AD1743" s="2"/>
      <c r="AE1743" s="2" t="str">
        <f t="shared" si="372"/>
        <v>Not Required</v>
      </c>
      <c r="AF1743" s="2" t="s">
        <v>4631</v>
      </c>
    </row>
    <row r="1744" spans="1:32" x14ac:dyDescent="0.3">
      <c r="A1744" s="2" t="s">
        <v>4632</v>
      </c>
      <c r="B1744" s="2">
        <f t="shared" si="362"/>
        <v>1</v>
      </c>
      <c r="C1744" s="12">
        <f t="shared" si="373"/>
        <v>46238.586992407407</v>
      </c>
      <c r="D1744" s="13">
        <v>46238.586992407407</v>
      </c>
      <c r="E1744" s="2" t="s">
        <v>843</v>
      </c>
      <c r="F1744" s="2" t="str">
        <f t="shared" si="363"/>
        <v>Email Available</v>
      </c>
      <c r="G1744" s="2" t="s">
        <v>844</v>
      </c>
      <c r="H1744" s="2" t="s">
        <v>63</v>
      </c>
      <c r="I1744" s="2" t="s">
        <v>47</v>
      </c>
      <c r="J1744" s="2" t="s">
        <v>446</v>
      </c>
      <c r="K1744" s="2">
        <v>2</v>
      </c>
      <c r="L1744" s="2">
        <v>14.99</v>
      </c>
      <c r="M1744" s="19">
        <f t="shared" si="364"/>
        <v>14.99</v>
      </c>
      <c r="N1744" s="2"/>
      <c r="O1744" s="2" t="str">
        <f t="shared" si="365"/>
        <v/>
      </c>
      <c r="P1744" s="2">
        <v>0</v>
      </c>
      <c r="Q1744" s="19">
        <f t="shared" si="366"/>
        <v>0</v>
      </c>
      <c r="R1744" s="2" t="str">
        <f t="shared" si="367"/>
        <v>Number</v>
      </c>
      <c r="S1744" s="2">
        <v>4.99</v>
      </c>
      <c r="T1744" s="19">
        <f t="shared" si="368"/>
        <v>4.99</v>
      </c>
      <c r="U1744" s="2">
        <v>34.97</v>
      </c>
      <c r="V1744" s="19">
        <f t="shared" si="369"/>
        <v>34.97</v>
      </c>
      <c r="W1744" s="19">
        <f t="shared" si="370"/>
        <v>34.97</v>
      </c>
      <c r="X1744" s="19" t="str">
        <f t="shared" si="371"/>
        <v>True</v>
      </c>
      <c r="Y1744" s="19" t="str">
        <f>IF(OR(W1744&lt;'Cleaning Tasks'!$G$18,W1744&gt;'Cleaning Tasks'!$H$18),"Outlier","Normal")</f>
        <v>Normal</v>
      </c>
      <c r="Z1744" s="2" t="s">
        <v>39</v>
      </c>
      <c r="AA1744" s="2" t="s">
        <v>27</v>
      </c>
      <c r="AB1744" s="2" t="s">
        <v>50</v>
      </c>
      <c r="AC1744" s="2" t="s">
        <v>29</v>
      </c>
      <c r="AD1744" s="2" t="s">
        <v>58</v>
      </c>
      <c r="AE1744" s="2" t="str">
        <f t="shared" si="372"/>
        <v>Valid</v>
      </c>
      <c r="AF1744" s="2" t="s">
        <v>4633</v>
      </c>
    </row>
    <row r="1745" spans="1:32" x14ac:dyDescent="0.3">
      <c r="A1745" s="2" t="s">
        <v>4634</v>
      </c>
      <c r="B1745" s="2">
        <f t="shared" si="362"/>
        <v>1</v>
      </c>
      <c r="C1745" s="12">
        <f t="shared" si="373"/>
        <v>46238.582144108797</v>
      </c>
      <c r="D1745" s="13">
        <v>46238.582144108797</v>
      </c>
      <c r="E1745" s="2" t="s">
        <v>92</v>
      </c>
      <c r="F1745" s="2" t="str">
        <f t="shared" si="363"/>
        <v>Email Available</v>
      </c>
      <c r="G1745" s="2" t="s">
        <v>93</v>
      </c>
      <c r="H1745" s="2" t="s">
        <v>279</v>
      </c>
      <c r="I1745" s="2" t="s">
        <v>22</v>
      </c>
      <c r="J1745" s="2" t="s">
        <v>280</v>
      </c>
      <c r="K1745" s="2">
        <v>2</v>
      </c>
      <c r="L1745" s="2">
        <v>24.99</v>
      </c>
      <c r="M1745" s="19">
        <f t="shared" si="364"/>
        <v>24.99</v>
      </c>
      <c r="N1745" s="2"/>
      <c r="O1745" s="2" t="str">
        <f t="shared" si="365"/>
        <v/>
      </c>
      <c r="P1745" s="2">
        <v>0</v>
      </c>
      <c r="Q1745" s="19">
        <f t="shared" si="366"/>
        <v>0</v>
      </c>
      <c r="R1745" s="2" t="str">
        <f t="shared" si="367"/>
        <v>Number</v>
      </c>
      <c r="S1745" s="2">
        <v>5.99</v>
      </c>
      <c r="T1745" s="19">
        <f t="shared" si="368"/>
        <v>5.99</v>
      </c>
      <c r="U1745" s="2" t="s">
        <v>4635</v>
      </c>
      <c r="V1745" s="19">
        <f t="shared" si="369"/>
        <v>55.97</v>
      </c>
      <c r="W1745" s="19">
        <f t="shared" si="370"/>
        <v>55.97</v>
      </c>
      <c r="X1745" s="19" t="str">
        <f t="shared" si="371"/>
        <v>True</v>
      </c>
      <c r="Y1745" s="19" t="str">
        <f>IF(OR(W1745&lt;'Cleaning Tasks'!$G$18,W1745&gt;'Cleaning Tasks'!$H$18),"Outlier","Normal")</f>
        <v>Normal</v>
      </c>
      <c r="Z1745" s="2" t="s">
        <v>72</v>
      </c>
      <c r="AA1745" s="2" t="s">
        <v>27</v>
      </c>
      <c r="AB1745" s="2" t="s">
        <v>28</v>
      </c>
      <c r="AC1745" s="2" t="s">
        <v>42</v>
      </c>
      <c r="AD1745" s="2"/>
      <c r="AE1745" s="2" t="str">
        <f t="shared" si="372"/>
        <v>Not Required</v>
      </c>
      <c r="AF1745" s="2" t="s">
        <v>4636</v>
      </c>
    </row>
    <row r="1746" spans="1:32" x14ac:dyDescent="0.3">
      <c r="A1746" s="2" t="s">
        <v>4637</v>
      </c>
      <c r="B1746" s="2">
        <f t="shared" si="362"/>
        <v>1</v>
      </c>
      <c r="C1746" s="12">
        <f t="shared" si="373"/>
        <v>46238.580650532407</v>
      </c>
      <c r="D1746" s="13">
        <v>46238.580650532407</v>
      </c>
      <c r="E1746" s="2" t="s">
        <v>494</v>
      </c>
      <c r="F1746" s="2" t="str">
        <f t="shared" si="363"/>
        <v>Email Available</v>
      </c>
      <c r="G1746" s="2" t="s">
        <v>495</v>
      </c>
      <c r="H1746" s="2" t="s">
        <v>124</v>
      </c>
      <c r="I1746" s="2" t="s">
        <v>79</v>
      </c>
      <c r="J1746" s="2" t="s">
        <v>125</v>
      </c>
      <c r="K1746" s="2">
        <v>2</v>
      </c>
      <c r="L1746" s="2">
        <v>13.99</v>
      </c>
      <c r="M1746" s="19">
        <f t="shared" si="364"/>
        <v>13.99</v>
      </c>
      <c r="N1746" s="2" t="s">
        <v>118</v>
      </c>
      <c r="O1746" s="2" t="str">
        <f t="shared" si="365"/>
        <v>BFCM25</v>
      </c>
      <c r="P1746" s="2">
        <v>7</v>
      </c>
      <c r="Q1746" s="19">
        <f t="shared" si="366"/>
        <v>7</v>
      </c>
      <c r="R1746" s="2" t="str">
        <f t="shared" si="367"/>
        <v>Number</v>
      </c>
      <c r="S1746" s="2">
        <v>4.99</v>
      </c>
      <c r="T1746" s="19">
        <f t="shared" si="368"/>
        <v>4.99</v>
      </c>
      <c r="U1746" s="2">
        <v>25.97</v>
      </c>
      <c r="V1746" s="19">
        <f t="shared" si="369"/>
        <v>25.97</v>
      </c>
      <c r="W1746" s="19">
        <f t="shared" si="370"/>
        <v>25.97</v>
      </c>
      <c r="X1746" s="19" t="str">
        <f t="shared" si="371"/>
        <v>True</v>
      </c>
      <c r="Y1746" s="19" t="str">
        <f>IF(OR(W1746&lt;'Cleaning Tasks'!$G$18,W1746&gt;'Cleaning Tasks'!$H$18),"Outlier","Normal")</f>
        <v>Normal</v>
      </c>
      <c r="Z1746" s="2" t="s">
        <v>26</v>
      </c>
      <c r="AA1746" s="2" t="s">
        <v>27</v>
      </c>
      <c r="AB1746" s="2" t="s">
        <v>50</v>
      </c>
      <c r="AC1746" s="2" t="s">
        <v>105</v>
      </c>
      <c r="AD1746" s="2"/>
      <c r="AE1746" s="2" t="str">
        <f t="shared" si="372"/>
        <v>Not Required</v>
      </c>
      <c r="AF1746" s="2" t="s">
        <v>4638</v>
      </c>
    </row>
    <row r="1747" spans="1:32" x14ac:dyDescent="0.3">
      <c r="A1747" s="2" t="s">
        <v>4639</v>
      </c>
      <c r="B1747" s="2">
        <f t="shared" si="362"/>
        <v>1</v>
      </c>
      <c r="C1747" s="12">
        <f t="shared" si="373"/>
        <v>46238.586294791668</v>
      </c>
      <c r="D1747" s="13">
        <v>46238.586294791668</v>
      </c>
      <c r="E1747" s="2" t="s">
        <v>389</v>
      </c>
      <c r="F1747" s="2" t="str">
        <f t="shared" si="363"/>
        <v>Email Available</v>
      </c>
      <c r="G1747" s="2" t="s">
        <v>390</v>
      </c>
      <c r="H1747" s="2" t="s">
        <v>63</v>
      </c>
      <c r="I1747" s="2" t="s">
        <v>47</v>
      </c>
      <c r="J1747" s="2" t="s">
        <v>446</v>
      </c>
      <c r="K1747" s="2">
        <v>2</v>
      </c>
      <c r="L1747" s="2" t="s">
        <v>1465</v>
      </c>
      <c r="M1747" s="19">
        <f t="shared" si="364"/>
        <v>14.99</v>
      </c>
      <c r="N1747" s="2"/>
      <c r="O1747" s="2" t="str">
        <f t="shared" si="365"/>
        <v/>
      </c>
      <c r="P1747" s="2">
        <v>0</v>
      </c>
      <c r="Q1747" s="19">
        <f t="shared" si="366"/>
        <v>0</v>
      </c>
      <c r="R1747" s="2" t="str">
        <f t="shared" si="367"/>
        <v>Number</v>
      </c>
      <c r="S1747" s="2">
        <v>5.99</v>
      </c>
      <c r="T1747" s="19">
        <f t="shared" si="368"/>
        <v>5.99</v>
      </c>
      <c r="U1747" s="2">
        <v>35.97</v>
      </c>
      <c r="V1747" s="19">
        <f t="shared" si="369"/>
        <v>35.97</v>
      </c>
      <c r="W1747" s="19">
        <f t="shared" si="370"/>
        <v>35.97</v>
      </c>
      <c r="X1747" s="19" t="str">
        <f t="shared" si="371"/>
        <v>True</v>
      </c>
      <c r="Y1747" s="19" t="str">
        <f>IF(OR(W1747&lt;'Cleaning Tasks'!$G$18,W1747&gt;'Cleaning Tasks'!$H$18),"Outlier","Normal")</f>
        <v>Normal</v>
      </c>
      <c r="Z1747" s="2" t="s">
        <v>26</v>
      </c>
      <c r="AA1747" s="2" t="s">
        <v>88</v>
      </c>
      <c r="AB1747" s="2" t="s">
        <v>50</v>
      </c>
      <c r="AC1747" s="2" t="s">
        <v>331</v>
      </c>
      <c r="AD1747" s="2"/>
      <c r="AE1747" s="2" t="str">
        <f t="shared" si="372"/>
        <v>Not Required</v>
      </c>
      <c r="AF1747" s="2" t="s">
        <v>4640</v>
      </c>
    </row>
    <row r="1748" spans="1:32" x14ac:dyDescent="0.3">
      <c r="A1748" s="2" t="s">
        <v>4641</v>
      </c>
      <c r="B1748" s="2">
        <f t="shared" si="362"/>
        <v>1</v>
      </c>
      <c r="C1748" s="12">
        <f t="shared" si="373"/>
        <v>46238</v>
      </c>
      <c r="D1748" s="13">
        <v>46238</v>
      </c>
      <c r="E1748" s="2" t="s">
        <v>4642</v>
      </c>
      <c r="F1748" s="2" t="str">
        <f t="shared" si="363"/>
        <v>Email Available</v>
      </c>
      <c r="G1748" s="2" t="s">
        <v>181</v>
      </c>
      <c r="H1748" s="2" t="s">
        <v>201</v>
      </c>
      <c r="I1748" s="2" t="s">
        <v>191</v>
      </c>
      <c r="J1748" s="2" t="s">
        <v>202</v>
      </c>
      <c r="K1748" s="2">
        <v>1</v>
      </c>
      <c r="L1748" s="2">
        <v>24.99</v>
      </c>
      <c r="M1748" s="19">
        <f t="shared" si="364"/>
        <v>24.99</v>
      </c>
      <c r="N1748" s="2" t="s">
        <v>118</v>
      </c>
      <c r="O1748" s="2" t="str">
        <f t="shared" si="365"/>
        <v>BFCM25</v>
      </c>
      <c r="P1748" s="2">
        <v>6.25</v>
      </c>
      <c r="Q1748" s="19">
        <f t="shared" si="366"/>
        <v>6.25</v>
      </c>
      <c r="R1748" s="2" t="str">
        <f t="shared" si="367"/>
        <v>Number</v>
      </c>
      <c r="S1748" s="2">
        <v>4.99</v>
      </c>
      <c r="T1748" s="19">
        <f t="shared" si="368"/>
        <v>4.99</v>
      </c>
      <c r="U1748" s="2">
        <v>23.73</v>
      </c>
      <c r="V1748" s="19">
        <f t="shared" si="369"/>
        <v>23.73</v>
      </c>
      <c r="W1748" s="19">
        <f t="shared" si="370"/>
        <v>23.729999999999997</v>
      </c>
      <c r="X1748" s="19" t="str">
        <f t="shared" si="371"/>
        <v>True</v>
      </c>
      <c r="Y1748" s="19" t="str">
        <f>IF(OR(W1748&lt;'Cleaning Tasks'!$G$18,W1748&gt;'Cleaning Tasks'!$H$18),"Outlier","Normal")</f>
        <v>Normal</v>
      </c>
      <c r="Z1748" s="2" t="s">
        <v>49</v>
      </c>
      <c r="AA1748" s="2" t="s">
        <v>40</v>
      </c>
      <c r="AB1748" s="2" t="s">
        <v>41</v>
      </c>
      <c r="AC1748" s="2" t="s">
        <v>29</v>
      </c>
      <c r="AD1748" s="2" t="s">
        <v>30</v>
      </c>
      <c r="AE1748" s="2" t="str">
        <f t="shared" si="372"/>
        <v>Valid</v>
      </c>
      <c r="AF1748" s="2" t="s">
        <v>4643</v>
      </c>
    </row>
    <row r="1749" spans="1:32" x14ac:dyDescent="0.3">
      <c r="A1749" s="2" t="s">
        <v>4644</v>
      </c>
      <c r="B1749" s="2">
        <f t="shared" si="362"/>
        <v>1</v>
      </c>
      <c r="C1749" s="12">
        <f t="shared" si="373"/>
        <v>46238.585610115741</v>
      </c>
      <c r="D1749" s="13">
        <v>46238.585610115741</v>
      </c>
      <c r="E1749" s="2" t="s">
        <v>213</v>
      </c>
      <c r="F1749" s="2" t="str">
        <f t="shared" si="363"/>
        <v>Email Available</v>
      </c>
      <c r="G1749" s="2" t="s">
        <v>214</v>
      </c>
      <c r="H1749" s="2" t="s">
        <v>146</v>
      </c>
      <c r="I1749" s="2" t="s">
        <v>47</v>
      </c>
      <c r="J1749" s="2" t="s">
        <v>147</v>
      </c>
      <c r="K1749" s="2">
        <v>1</v>
      </c>
      <c r="L1749" s="2">
        <v>34.99</v>
      </c>
      <c r="M1749" s="19">
        <f t="shared" si="364"/>
        <v>34.99</v>
      </c>
      <c r="N1749" s="2" t="s">
        <v>24</v>
      </c>
      <c r="O1749" s="2" t="str">
        <f t="shared" si="365"/>
        <v>SAVE20</v>
      </c>
      <c r="P1749" s="2">
        <v>7</v>
      </c>
      <c r="Q1749" s="19">
        <f t="shared" si="366"/>
        <v>7</v>
      </c>
      <c r="R1749" s="2" t="str">
        <f t="shared" si="367"/>
        <v>Number</v>
      </c>
      <c r="S1749" s="2">
        <v>4.99</v>
      </c>
      <c r="T1749" s="19">
        <f t="shared" si="368"/>
        <v>4.99</v>
      </c>
      <c r="U1749" s="2">
        <v>32.979999999999997</v>
      </c>
      <c r="V1749" s="19">
        <f t="shared" si="369"/>
        <v>32.979999999999997</v>
      </c>
      <c r="W1749" s="19">
        <f t="shared" si="370"/>
        <v>32.980000000000004</v>
      </c>
      <c r="X1749" s="19" t="str">
        <f t="shared" si="371"/>
        <v>True</v>
      </c>
      <c r="Y1749" s="19" t="str">
        <f>IF(OR(W1749&lt;'Cleaning Tasks'!$G$18,W1749&gt;'Cleaning Tasks'!$H$18),"Outlier","Normal")</f>
        <v>Normal</v>
      </c>
      <c r="Z1749" s="2" t="s">
        <v>66</v>
      </c>
      <c r="AA1749" s="2" t="s">
        <v>40</v>
      </c>
      <c r="AB1749" s="2" t="s">
        <v>96</v>
      </c>
      <c r="AC1749" s="2" t="s">
        <v>29</v>
      </c>
      <c r="AD1749" s="2" t="s">
        <v>140</v>
      </c>
      <c r="AE1749" s="2" t="str">
        <f t="shared" si="372"/>
        <v>Valid</v>
      </c>
      <c r="AF1749" s="2" t="s">
        <v>2651</v>
      </c>
    </row>
    <row r="1750" spans="1:32" x14ac:dyDescent="0.3">
      <c r="A1750" s="2" t="s">
        <v>4645</v>
      </c>
      <c r="B1750" s="2">
        <f t="shared" si="362"/>
        <v>1</v>
      </c>
      <c r="C1750" s="12">
        <f t="shared" si="373"/>
        <v>46238.587343171297</v>
      </c>
      <c r="D1750" s="13">
        <v>46238.587343171297</v>
      </c>
      <c r="E1750" s="2" t="s">
        <v>554</v>
      </c>
      <c r="F1750" s="2" t="str">
        <f t="shared" si="363"/>
        <v>Email Available</v>
      </c>
      <c r="G1750" s="2" t="s">
        <v>45</v>
      </c>
      <c r="H1750" s="2" t="s">
        <v>309</v>
      </c>
      <c r="I1750" s="2" t="s">
        <v>36</v>
      </c>
      <c r="J1750" s="2" t="s">
        <v>310</v>
      </c>
      <c r="K1750" s="2">
        <v>1</v>
      </c>
      <c r="L1750" s="2">
        <v>8.99</v>
      </c>
      <c r="M1750" s="19">
        <f t="shared" si="364"/>
        <v>8.99</v>
      </c>
      <c r="N1750" s="2" t="s">
        <v>118</v>
      </c>
      <c r="O1750" s="2" t="str">
        <f t="shared" si="365"/>
        <v>BFCM25</v>
      </c>
      <c r="P1750" s="2">
        <v>2.25</v>
      </c>
      <c r="Q1750" s="19">
        <f t="shared" si="366"/>
        <v>2.25</v>
      </c>
      <c r="R1750" s="2" t="str">
        <f t="shared" si="367"/>
        <v>Number</v>
      </c>
      <c r="S1750" s="2">
        <v>5.99</v>
      </c>
      <c r="T1750" s="19">
        <f t="shared" si="368"/>
        <v>5.99</v>
      </c>
      <c r="U1750" s="2">
        <v>12.73</v>
      </c>
      <c r="V1750" s="19">
        <f t="shared" si="369"/>
        <v>12.73</v>
      </c>
      <c r="W1750" s="19">
        <f t="shared" si="370"/>
        <v>12.73</v>
      </c>
      <c r="X1750" s="19" t="str">
        <f t="shared" si="371"/>
        <v>True</v>
      </c>
      <c r="Y1750" s="19" t="str">
        <f>IF(OR(W1750&lt;'Cleaning Tasks'!$G$18,W1750&gt;'Cleaning Tasks'!$H$18),"Outlier","Normal")</f>
        <v>Normal</v>
      </c>
      <c r="Z1750" s="2" t="s">
        <v>26</v>
      </c>
      <c r="AA1750" s="2" t="s">
        <v>27</v>
      </c>
      <c r="AB1750" s="2" t="s">
        <v>50</v>
      </c>
      <c r="AC1750" s="2" t="s">
        <v>29</v>
      </c>
      <c r="AD1750" s="2" t="s">
        <v>112</v>
      </c>
      <c r="AE1750" s="2" t="str">
        <f t="shared" si="372"/>
        <v>Valid</v>
      </c>
      <c r="AF1750" s="2" t="s">
        <v>4646</v>
      </c>
    </row>
    <row r="1751" spans="1:32" x14ac:dyDescent="0.3">
      <c r="A1751" s="2" t="s">
        <v>4647</v>
      </c>
      <c r="B1751" s="2">
        <f t="shared" si="362"/>
        <v>1</v>
      </c>
      <c r="C1751" s="12">
        <f t="shared" si="373"/>
        <v>46238.58646903935</v>
      </c>
      <c r="D1751" s="13">
        <v>46238.58646903935</v>
      </c>
      <c r="E1751" s="2" t="s">
        <v>377</v>
      </c>
      <c r="F1751" s="2" t="str">
        <f t="shared" si="363"/>
        <v>Email Available</v>
      </c>
      <c r="G1751" s="2" t="s">
        <v>378</v>
      </c>
      <c r="H1751" s="2" t="s">
        <v>130</v>
      </c>
      <c r="I1751" s="2" t="s">
        <v>103</v>
      </c>
      <c r="J1751" s="2" t="s">
        <v>131</v>
      </c>
      <c r="K1751" s="2">
        <v>4</v>
      </c>
      <c r="L1751" s="2">
        <v>16.989999999999998</v>
      </c>
      <c r="M1751" s="19">
        <f t="shared" si="364"/>
        <v>16.989999999999998</v>
      </c>
      <c r="N1751" s="2" t="s">
        <v>118</v>
      </c>
      <c r="O1751" s="2" t="str">
        <f t="shared" si="365"/>
        <v>BFCM25</v>
      </c>
      <c r="P1751" s="2">
        <v>16.989999999999998</v>
      </c>
      <c r="Q1751" s="19">
        <f t="shared" si="366"/>
        <v>16.989999999999998</v>
      </c>
      <c r="R1751" s="2" t="str">
        <f t="shared" si="367"/>
        <v>Number</v>
      </c>
      <c r="S1751" s="2">
        <v>7.99</v>
      </c>
      <c r="T1751" s="19">
        <f t="shared" si="368"/>
        <v>7.99</v>
      </c>
      <c r="U1751" s="2">
        <v>58.96</v>
      </c>
      <c r="V1751" s="19">
        <f t="shared" si="369"/>
        <v>58.96</v>
      </c>
      <c r="W1751" s="19">
        <f t="shared" si="370"/>
        <v>58.96</v>
      </c>
      <c r="X1751" s="19" t="str">
        <f t="shared" si="371"/>
        <v>True</v>
      </c>
      <c r="Y1751" s="19" t="str">
        <f>IF(OR(W1751&lt;'Cleaning Tasks'!$G$18,W1751&gt;'Cleaning Tasks'!$H$18),"Outlier","Normal")</f>
        <v>Normal</v>
      </c>
      <c r="Z1751" s="2" t="s">
        <v>39</v>
      </c>
      <c r="AA1751" s="2" t="s">
        <v>88</v>
      </c>
      <c r="AB1751" s="2" t="s">
        <v>50</v>
      </c>
      <c r="AC1751" s="2" t="s">
        <v>73</v>
      </c>
      <c r="AD1751" s="2"/>
      <c r="AE1751" s="2" t="str">
        <f t="shared" si="372"/>
        <v>Not Required</v>
      </c>
      <c r="AF1751" s="2" t="s">
        <v>4648</v>
      </c>
    </row>
    <row r="1752" spans="1:32" x14ac:dyDescent="0.3">
      <c r="A1752" s="2" t="s">
        <v>4649</v>
      </c>
      <c r="B1752" s="2">
        <f t="shared" si="362"/>
        <v>1</v>
      </c>
      <c r="C1752" s="12">
        <f t="shared" si="373"/>
        <v>46238.583656817129</v>
      </c>
      <c r="D1752" s="13">
        <v>46238.583656817129</v>
      </c>
      <c r="E1752" s="2" t="s">
        <v>339</v>
      </c>
      <c r="F1752" s="2" t="str">
        <f t="shared" si="363"/>
        <v>Email Available</v>
      </c>
      <c r="G1752" s="2" t="s">
        <v>445</v>
      </c>
      <c r="H1752" s="2" t="s">
        <v>201</v>
      </c>
      <c r="I1752" s="2" t="s">
        <v>191</v>
      </c>
      <c r="J1752" s="2" t="s">
        <v>202</v>
      </c>
      <c r="K1752" s="2">
        <v>1</v>
      </c>
      <c r="L1752" s="2">
        <v>24.99</v>
      </c>
      <c r="M1752" s="19">
        <f t="shared" si="364"/>
        <v>24.99</v>
      </c>
      <c r="N1752" s="2"/>
      <c r="O1752" s="2" t="str">
        <f t="shared" si="365"/>
        <v/>
      </c>
      <c r="P1752" s="2">
        <v>0</v>
      </c>
      <c r="Q1752" s="19">
        <f t="shared" si="366"/>
        <v>0</v>
      </c>
      <c r="R1752" s="2" t="str">
        <f t="shared" si="367"/>
        <v>Number</v>
      </c>
      <c r="S1752" s="2">
        <v>4.99</v>
      </c>
      <c r="T1752" s="19">
        <f t="shared" si="368"/>
        <v>4.99</v>
      </c>
      <c r="U1752" s="2">
        <v>29.98</v>
      </c>
      <c r="V1752" s="19">
        <f t="shared" si="369"/>
        <v>29.98</v>
      </c>
      <c r="W1752" s="19">
        <f t="shared" si="370"/>
        <v>29.979999999999997</v>
      </c>
      <c r="X1752" s="19" t="str">
        <f t="shared" si="371"/>
        <v>True</v>
      </c>
      <c r="Y1752" s="19" t="str">
        <f>IF(OR(W1752&lt;'Cleaning Tasks'!$G$18,W1752&gt;'Cleaning Tasks'!$H$18),"Outlier","Normal")</f>
        <v>Normal</v>
      </c>
      <c r="Z1752" s="2" t="s">
        <v>49</v>
      </c>
      <c r="AA1752" s="2" t="s">
        <v>40</v>
      </c>
      <c r="AB1752" s="2" t="s">
        <v>50</v>
      </c>
      <c r="AC1752" s="2" t="s">
        <v>29</v>
      </c>
      <c r="AD1752" s="2" t="s">
        <v>341</v>
      </c>
      <c r="AE1752" s="2" t="str">
        <f t="shared" si="372"/>
        <v>Valid</v>
      </c>
      <c r="AF1752" s="2" t="s">
        <v>4650</v>
      </c>
    </row>
    <row r="1753" spans="1:32" x14ac:dyDescent="0.3">
      <c r="A1753" s="2" t="s">
        <v>4651</v>
      </c>
      <c r="B1753" s="2">
        <f t="shared" si="362"/>
        <v>1</v>
      </c>
      <c r="C1753" s="12">
        <f t="shared" si="373"/>
        <v>46238.586757870369</v>
      </c>
      <c r="D1753" s="13">
        <v>46238.586757870369</v>
      </c>
      <c r="E1753" s="2" t="s">
        <v>635</v>
      </c>
      <c r="F1753" s="2" t="str">
        <f t="shared" si="363"/>
        <v>Email Available</v>
      </c>
      <c r="G1753" s="2" t="s">
        <v>636</v>
      </c>
      <c r="H1753" s="2" t="s">
        <v>182</v>
      </c>
      <c r="I1753" s="2" t="s">
        <v>36</v>
      </c>
      <c r="J1753" s="2" t="s">
        <v>183</v>
      </c>
      <c r="K1753" s="2">
        <v>2</v>
      </c>
      <c r="L1753" s="2">
        <v>11.99</v>
      </c>
      <c r="M1753" s="19">
        <f t="shared" si="364"/>
        <v>11.99</v>
      </c>
      <c r="N1753" s="2"/>
      <c r="O1753" s="2" t="str">
        <f t="shared" si="365"/>
        <v/>
      </c>
      <c r="P1753" s="2">
        <v>0</v>
      </c>
      <c r="Q1753" s="19">
        <f t="shared" si="366"/>
        <v>0</v>
      </c>
      <c r="R1753" s="2" t="str">
        <f t="shared" si="367"/>
        <v>Number</v>
      </c>
      <c r="S1753" s="2">
        <v>5.99</v>
      </c>
      <c r="T1753" s="19">
        <f t="shared" si="368"/>
        <v>5.99</v>
      </c>
      <c r="U1753" s="2" t="s">
        <v>4652</v>
      </c>
      <c r="V1753" s="19">
        <f t="shared" si="369"/>
        <v>29.97</v>
      </c>
      <c r="W1753" s="19">
        <f t="shared" si="370"/>
        <v>29.97</v>
      </c>
      <c r="X1753" s="19" t="str">
        <f t="shared" si="371"/>
        <v>True</v>
      </c>
      <c r="Y1753" s="19" t="str">
        <f>IF(OR(W1753&lt;'Cleaning Tasks'!$G$18,W1753&gt;'Cleaning Tasks'!$H$18),"Outlier","Normal")</f>
        <v>Normal</v>
      </c>
      <c r="Z1753" s="2" t="s">
        <v>49</v>
      </c>
      <c r="AA1753" s="2" t="s">
        <v>27</v>
      </c>
      <c r="AB1753" s="2" t="s">
        <v>50</v>
      </c>
      <c r="AC1753" s="2" t="s">
        <v>29</v>
      </c>
      <c r="AD1753" s="2" t="s">
        <v>140</v>
      </c>
      <c r="AE1753" s="2" t="str">
        <f t="shared" si="372"/>
        <v>Valid</v>
      </c>
      <c r="AF1753" s="2" t="s">
        <v>248</v>
      </c>
    </row>
    <row r="1754" spans="1:32" x14ac:dyDescent="0.3">
      <c r="A1754" s="2" t="s">
        <v>4653</v>
      </c>
      <c r="B1754" s="2">
        <f t="shared" si="362"/>
        <v>1</v>
      </c>
      <c r="C1754" s="12">
        <f t="shared" si="373"/>
        <v>46238.587649907407</v>
      </c>
      <c r="D1754" s="13">
        <v>46238.587649907407</v>
      </c>
      <c r="E1754" s="2" t="s">
        <v>725</v>
      </c>
      <c r="F1754" s="2" t="str">
        <f t="shared" si="363"/>
        <v>Email Available</v>
      </c>
      <c r="G1754" s="2" t="s">
        <v>726</v>
      </c>
      <c r="H1754" s="2" t="s">
        <v>201</v>
      </c>
      <c r="I1754" s="2" t="s">
        <v>191</v>
      </c>
      <c r="J1754" s="2" t="s">
        <v>202</v>
      </c>
      <c r="K1754" s="2">
        <v>2</v>
      </c>
      <c r="L1754" s="2">
        <v>24.99</v>
      </c>
      <c r="M1754" s="19">
        <f t="shared" si="364"/>
        <v>24.99</v>
      </c>
      <c r="N1754" s="2" t="s">
        <v>24</v>
      </c>
      <c r="O1754" s="2" t="str">
        <f t="shared" si="365"/>
        <v>SAVE20</v>
      </c>
      <c r="P1754" s="2" t="s">
        <v>4654</v>
      </c>
      <c r="Q1754" s="19">
        <f t="shared" si="366"/>
        <v>10</v>
      </c>
      <c r="R1754" s="2" t="str">
        <f t="shared" si="367"/>
        <v>Number</v>
      </c>
      <c r="S1754" s="2">
        <v>4.99</v>
      </c>
      <c r="T1754" s="19">
        <f t="shared" si="368"/>
        <v>4.99</v>
      </c>
      <c r="U1754" s="2">
        <v>44.97</v>
      </c>
      <c r="V1754" s="19">
        <f t="shared" si="369"/>
        <v>44.97</v>
      </c>
      <c r="W1754" s="19">
        <f t="shared" si="370"/>
        <v>44.97</v>
      </c>
      <c r="X1754" s="19" t="str">
        <f t="shared" si="371"/>
        <v>True</v>
      </c>
      <c r="Y1754" s="19" t="str">
        <f>IF(OR(W1754&lt;'Cleaning Tasks'!$G$18,W1754&gt;'Cleaning Tasks'!$H$18),"Outlier","Normal")</f>
        <v>Normal</v>
      </c>
      <c r="Z1754" s="2" t="s">
        <v>66</v>
      </c>
      <c r="AA1754" s="2" t="s">
        <v>40</v>
      </c>
      <c r="AB1754" s="2" t="s">
        <v>41</v>
      </c>
      <c r="AC1754" s="2" t="s">
        <v>105</v>
      </c>
      <c r="AD1754" s="2"/>
      <c r="AE1754" s="2" t="str">
        <f t="shared" si="372"/>
        <v>Not Required</v>
      </c>
      <c r="AF1754" s="2" t="s">
        <v>4655</v>
      </c>
    </row>
    <row r="1755" spans="1:32" x14ac:dyDescent="0.3">
      <c r="A1755" s="2" t="s">
        <v>4656</v>
      </c>
      <c r="B1755" s="2">
        <f t="shared" si="362"/>
        <v>1</v>
      </c>
      <c r="C1755" s="12">
        <f t="shared" si="373"/>
        <v>46238.579988032398</v>
      </c>
      <c r="D1755" s="13">
        <v>46238.579988032398</v>
      </c>
      <c r="E1755" s="2" t="s">
        <v>4657</v>
      </c>
      <c r="F1755" s="2" t="str">
        <f t="shared" si="363"/>
        <v>Email Available</v>
      </c>
      <c r="G1755" s="2" t="s">
        <v>367</v>
      </c>
      <c r="H1755" s="2" t="s">
        <v>190</v>
      </c>
      <c r="I1755" s="2" t="s">
        <v>191</v>
      </c>
      <c r="J1755" s="2" t="s">
        <v>192</v>
      </c>
      <c r="K1755" s="2">
        <v>1</v>
      </c>
      <c r="L1755" s="2" t="s">
        <v>944</v>
      </c>
      <c r="M1755" s="19">
        <f t="shared" si="364"/>
        <v>13.49</v>
      </c>
      <c r="N1755" s="2" t="s">
        <v>118</v>
      </c>
      <c r="O1755" s="2" t="str">
        <f t="shared" si="365"/>
        <v>BFCM25</v>
      </c>
      <c r="P1755" s="2">
        <v>3.37</v>
      </c>
      <c r="Q1755" s="19">
        <f t="shared" si="366"/>
        <v>3.37</v>
      </c>
      <c r="R1755" s="2" t="str">
        <f t="shared" si="367"/>
        <v>Number</v>
      </c>
      <c r="S1755" s="2">
        <v>4.99</v>
      </c>
      <c r="T1755" s="19">
        <f t="shared" si="368"/>
        <v>4.99</v>
      </c>
      <c r="U1755" s="2">
        <v>15.11</v>
      </c>
      <c r="V1755" s="19">
        <f t="shared" si="369"/>
        <v>15.11</v>
      </c>
      <c r="W1755" s="19">
        <f t="shared" si="370"/>
        <v>15.110000000000001</v>
      </c>
      <c r="X1755" s="19" t="str">
        <f t="shared" si="371"/>
        <v>True</v>
      </c>
      <c r="Y1755" s="19" t="str">
        <f>IF(OR(W1755&lt;'Cleaning Tasks'!$G$18,W1755&gt;'Cleaning Tasks'!$H$18),"Outlier","Normal")</f>
        <v>Normal</v>
      </c>
      <c r="Z1755" s="2" t="s">
        <v>39</v>
      </c>
      <c r="AA1755" s="2" t="s">
        <v>27</v>
      </c>
      <c r="AB1755" s="2" t="s">
        <v>28</v>
      </c>
      <c r="AC1755" s="2" t="s">
        <v>331</v>
      </c>
      <c r="AD1755" s="2"/>
      <c r="AE1755" s="2" t="str">
        <f t="shared" si="372"/>
        <v>Not Required</v>
      </c>
      <c r="AF1755" s="2" t="s">
        <v>1141</v>
      </c>
    </row>
    <row r="1756" spans="1:32" x14ac:dyDescent="0.3">
      <c r="A1756" s="2" t="s">
        <v>4658</v>
      </c>
      <c r="B1756" s="2">
        <f t="shared" si="362"/>
        <v>1</v>
      </c>
      <c r="C1756" s="12">
        <f t="shared" si="373"/>
        <v>46238</v>
      </c>
      <c r="D1756" s="13">
        <v>46238</v>
      </c>
      <c r="E1756" s="2" t="s">
        <v>4659</v>
      </c>
      <c r="F1756" s="2" t="str">
        <f t="shared" si="363"/>
        <v>Email Available</v>
      </c>
      <c r="G1756" s="2" t="s">
        <v>45</v>
      </c>
      <c r="H1756" s="2" t="s">
        <v>109</v>
      </c>
      <c r="I1756" s="2" t="s">
        <v>79</v>
      </c>
      <c r="J1756" s="2" t="s">
        <v>110</v>
      </c>
      <c r="K1756" s="2">
        <v>2</v>
      </c>
      <c r="L1756" s="2">
        <v>22.99</v>
      </c>
      <c r="M1756" s="19">
        <f t="shared" si="364"/>
        <v>22.99</v>
      </c>
      <c r="N1756" s="2" t="s">
        <v>118</v>
      </c>
      <c r="O1756" s="2" t="str">
        <f t="shared" si="365"/>
        <v>BFCM25</v>
      </c>
      <c r="P1756" s="2">
        <v>11.49</v>
      </c>
      <c r="Q1756" s="19">
        <f t="shared" si="366"/>
        <v>11.49</v>
      </c>
      <c r="R1756" s="2" t="str">
        <f t="shared" si="367"/>
        <v>Number</v>
      </c>
      <c r="S1756" s="2">
        <v>7.99</v>
      </c>
      <c r="T1756" s="19">
        <f t="shared" si="368"/>
        <v>7.99</v>
      </c>
      <c r="U1756" s="2">
        <v>42.48</v>
      </c>
      <c r="V1756" s="19">
        <f t="shared" si="369"/>
        <v>42.48</v>
      </c>
      <c r="W1756" s="19">
        <f t="shared" si="370"/>
        <v>42.48</v>
      </c>
      <c r="X1756" s="19" t="str">
        <f t="shared" si="371"/>
        <v>True</v>
      </c>
      <c r="Y1756" s="19" t="str">
        <f>IF(OR(W1756&lt;'Cleaning Tasks'!$G$18,W1756&gt;'Cleaning Tasks'!$H$18),"Outlier","Normal")</f>
        <v>Normal</v>
      </c>
      <c r="Z1756" s="2" t="s">
        <v>66</v>
      </c>
      <c r="AA1756" s="2" t="s">
        <v>88</v>
      </c>
      <c r="AB1756" s="2" t="s">
        <v>50</v>
      </c>
      <c r="AC1756" s="2" t="s">
        <v>29</v>
      </c>
      <c r="AD1756" s="2" t="s">
        <v>140</v>
      </c>
      <c r="AE1756" s="2" t="str">
        <f t="shared" si="372"/>
        <v>Valid</v>
      </c>
      <c r="AF1756" s="2" t="s">
        <v>4660</v>
      </c>
    </row>
    <row r="1757" spans="1:32" x14ac:dyDescent="0.3">
      <c r="A1757" s="2" t="s">
        <v>4661</v>
      </c>
      <c r="B1757" s="2">
        <f t="shared" si="362"/>
        <v>1</v>
      </c>
      <c r="C1757" s="12">
        <f t="shared" si="373"/>
        <v>46238.58118458333</v>
      </c>
      <c r="D1757" s="13">
        <v>46238.58118458333</v>
      </c>
      <c r="E1757" s="2" t="s">
        <v>885</v>
      </c>
      <c r="F1757" s="2" t="str">
        <f t="shared" si="363"/>
        <v>Email Available</v>
      </c>
      <c r="G1757" s="2" t="s">
        <v>886</v>
      </c>
      <c r="H1757" s="2" t="s">
        <v>63</v>
      </c>
      <c r="I1757" s="2" t="s">
        <v>47</v>
      </c>
      <c r="J1757" s="2" t="s">
        <v>64</v>
      </c>
      <c r="K1757" s="2">
        <v>1</v>
      </c>
      <c r="L1757" s="2">
        <v>14.99</v>
      </c>
      <c r="M1757" s="19">
        <f t="shared" si="364"/>
        <v>14.99</v>
      </c>
      <c r="N1757" s="2"/>
      <c r="O1757" s="2" t="str">
        <f t="shared" si="365"/>
        <v/>
      </c>
      <c r="P1757" s="2">
        <v>0</v>
      </c>
      <c r="Q1757" s="19">
        <f t="shared" si="366"/>
        <v>0</v>
      </c>
      <c r="R1757" s="2" t="str">
        <f t="shared" si="367"/>
        <v>Number</v>
      </c>
      <c r="S1757" s="2">
        <v>5.99</v>
      </c>
      <c r="T1757" s="19">
        <f t="shared" si="368"/>
        <v>5.99</v>
      </c>
      <c r="U1757" s="2">
        <v>20.98</v>
      </c>
      <c r="V1757" s="19">
        <f t="shared" si="369"/>
        <v>20.98</v>
      </c>
      <c r="W1757" s="19">
        <f t="shared" si="370"/>
        <v>20.98</v>
      </c>
      <c r="X1757" s="19" t="str">
        <f t="shared" si="371"/>
        <v>True</v>
      </c>
      <c r="Y1757" s="19" t="str">
        <f>IF(OR(W1757&lt;'Cleaning Tasks'!$G$18,W1757&gt;'Cleaning Tasks'!$H$18),"Outlier","Normal")</f>
        <v>Normal</v>
      </c>
      <c r="Z1757" s="2" t="s">
        <v>49</v>
      </c>
      <c r="AA1757" s="2" t="s">
        <v>27</v>
      </c>
      <c r="AB1757" s="2" t="s">
        <v>50</v>
      </c>
      <c r="AC1757" s="2" t="s">
        <v>331</v>
      </c>
      <c r="AD1757" s="2"/>
      <c r="AE1757" s="2" t="str">
        <f t="shared" si="372"/>
        <v>Not Required</v>
      </c>
      <c r="AF1757" s="2" t="s">
        <v>4662</v>
      </c>
    </row>
    <row r="1758" spans="1:32" x14ac:dyDescent="0.3">
      <c r="A1758" s="2" t="s">
        <v>4663</v>
      </c>
      <c r="B1758" s="2">
        <f t="shared" si="362"/>
        <v>1</v>
      </c>
      <c r="C1758" s="12">
        <f t="shared" si="373"/>
        <v>46238.582336701387</v>
      </c>
      <c r="D1758" s="13">
        <v>46238.582336701387</v>
      </c>
      <c r="E1758" s="2" t="s">
        <v>4664</v>
      </c>
      <c r="F1758" s="2" t="str">
        <f t="shared" si="363"/>
        <v>Email Available</v>
      </c>
      <c r="G1758" s="2" t="s">
        <v>4665</v>
      </c>
      <c r="H1758" s="2" t="s">
        <v>361</v>
      </c>
      <c r="I1758" s="2" t="s">
        <v>86</v>
      </c>
      <c r="J1758" s="2" t="s">
        <v>362</v>
      </c>
      <c r="K1758" s="2">
        <v>2</v>
      </c>
      <c r="L1758" s="2">
        <v>54.99</v>
      </c>
      <c r="M1758" s="19">
        <f t="shared" si="364"/>
        <v>54.99</v>
      </c>
      <c r="N1758" s="2"/>
      <c r="O1758" s="2" t="str">
        <f t="shared" si="365"/>
        <v/>
      </c>
      <c r="P1758" s="2">
        <v>0</v>
      </c>
      <c r="Q1758" s="19">
        <f t="shared" si="366"/>
        <v>0</v>
      </c>
      <c r="R1758" s="2" t="str">
        <f t="shared" si="367"/>
        <v>Number</v>
      </c>
      <c r="S1758" s="2">
        <v>0</v>
      </c>
      <c r="T1758" s="19">
        <f t="shared" si="368"/>
        <v>0</v>
      </c>
      <c r="U1758" s="2">
        <v>109.98</v>
      </c>
      <c r="V1758" s="19">
        <f t="shared" si="369"/>
        <v>109.98</v>
      </c>
      <c r="W1758" s="19">
        <f t="shared" si="370"/>
        <v>109.98</v>
      </c>
      <c r="X1758" s="19" t="str">
        <f t="shared" si="371"/>
        <v>True</v>
      </c>
      <c r="Y1758" s="19" t="str">
        <f>IF(OR(W1758&lt;'Cleaning Tasks'!$G$18,W1758&gt;'Cleaning Tasks'!$H$18),"Outlier","Normal")</f>
        <v>Outlier</v>
      </c>
      <c r="Z1758" s="2" t="s">
        <v>39</v>
      </c>
      <c r="AA1758" s="2" t="s">
        <v>27</v>
      </c>
      <c r="AB1758" s="2" t="s">
        <v>50</v>
      </c>
      <c r="AC1758" s="2" t="s">
        <v>105</v>
      </c>
      <c r="AD1758" s="2"/>
      <c r="AE1758" s="2" t="str">
        <f t="shared" si="372"/>
        <v>Not Required</v>
      </c>
      <c r="AF1758" s="2" t="s">
        <v>4666</v>
      </c>
    </row>
    <row r="1759" spans="1:32" x14ac:dyDescent="0.3">
      <c r="A1759" s="2" t="s">
        <v>4667</v>
      </c>
      <c r="B1759" s="2">
        <f t="shared" si="362"/>
        <v>1</v>
      </c>
      <c r="C1759" s="12">
        <f t="shared" si="373"/>
        <v>46238.583040659723</v>
      </c>
      <c r="D1759" s="13">
        <v>46238.583040659723</v>
      </c>
      <c r="E1759" s="2" t="s">
        <v>1261</v>
      </c>
      <c r="F1759" s="2" t="str">
        <f t="shared" si="363"/>
        <v>Email Available</v>
      </c>
      <c r="G1759" s="2" t="s">
        <v>1262</v>
      </c>
      <c r="H1759" s="2" t="s">
        <v>124</v>
      </c>
      <c r="I1759" s="2" t="s">
        <v>79</v>
      </c>
      <c r="J1759" s="2" t="s">
        <v>125</v>
      </c>
      <c r="K1759" s="2">
        <v>1</v>
      </c>
      <c r="L1759" s="2">
        <v>13.99</v>
      </c>
      <c r="M1759" s="19">
        <f t="shared" si="364"/>
        <v>13.99</v>
      </c>
      <c r="N1759" s="2"/>
      <c r="O1759" s="2" t="str">
        <f t="shared" si="365"/>
        <v/>
      </c>
      <c r="P1759" s="2">
        <v>0</v>
      </c>
      <c r="Q1759" s="19">
        <f t="shared" si="366"/>
        <v>0</v>
      </c>
      <c r="R1759" s="2" t="str">
        <f t="shared" si="367"/>
        <v>Number</v>
      </c>
      <c r="S1759" s="2">
        <v>5.99</v>
      </c>
      <c r="T1759" s="19">
        <f t="shared" si="368"/>
        <v>5.99</v>
      </c>
      <c r="U1759" s="2">
        <v>19.98</v>
      </c>
      <c r="V1759" s="19">
        <f t="shared" si="369"/>
        <v>19.98</v>
      </c>
      <c r="W1759" s="19">
        <f t="shared" si="370"/>
        <v>19.98</v>
      </c>
      <c r="X1759" s="19" t="str">
        <f t="shared" si="371"/>
        <v>True</v>
      </c>
      <c r="Y1759" s="19" t="str">
        <f>IF(OR(W1759&lt;'Cleaning Tasks'!$G$18,W1759&gt;'Cleaning Tasks'!$H$18),"Outlier","Normal")</f>
        <v>Normal</v>
      </c>
      <c r="Z1759" s="2" t="s">
        <v>26</v>
      </c>
      <c r="AA1759" s="2" t="s">
        <v>40</v>
      </c>
      <c r="AB1759" s="2" t="s">
        <v>50</v>
      </c>
      <c r="AC1759" s="2" t="s">
        <v>331</v>
      </c>
      <c r="AD1759" s="2"/>
      <c r="AE1759" s="2" t="str">
        <f t="shared" si="372"/>
        <v>Not Required</v>
      </c>
      <c r="AF1759" s="2" t="s">
        <v>4668</v>
      </c>
    </row>
    <row r="1760" spans="1:32" x14ac:dyDescent="0.3">
      <c r="A1760" s="2" t="s">
        <v>4669</v>
      </c>
      <c r="B1760" s="2">
        <f t="shared" si="362"/>
        <v>1</v>
      </c>
      <c r="C1760" s="12">
        <f t="shared" si="373"/>
        <v>46238.579962881937</v>
      </c>
      <c r="D1760" s="13">
        <v>46238.579962881937</v>
      </c>
      <c r="E1760" s="2" t="s">
        <v>639</v>
      </c>
      <c r="F1760" s="2" t="str">
        <f t="shared" si="363"/>
        <v>Email Available</v>
      </c>
      <c r="G1760" s="2" t="s">
        <v>640</v>
      </c>
      <c r="H1760" s="2" t="s">
        <v>182</v>
      </c>
      <c r="I1760" s="2" t="s">
        <v>36</v>
      </c>
      <c r="J1760" s="2" t="s">
        <v>183</v>
      </c>
      <c r="K1760" s="2">
        <v>1</v>
      </c>
      <c r="L1760" s="2">
        <v>11.99</v>
      </c>
      <c r="M1760" s="19">
        <f t="shared" si="364"/>
        <v>11.99</v>
      </c>
      <c r="N1760" s="2" t="s">
        <v>38</v>
      </c>
      <c r="O1760" s="2" t="str">
        <f t="shared" si="365"/>
        <v>FREESHIP</v>
      </c>
      <c r="P1760" s="2">
        <v>0</v>
      </c>
      <c r="Q1760" s="19">
        <f t="shared" si="366"/>
        <v>0</v>
      </c>
      <c r="R1760" s="2" t="str">
        <f t="shared" si="367"/>
        <v>Number</v>
      </c>
      <c r="S1760" s="2">
        <v>0</v>
      </c>
      <c r="T1760" s="19">
        <f t="shared" si="368"/>
        <v>0</v>
      </c>
      <c r="U1760" s="2">
        <v>11.99</v>
      </c>
      <c r="V1760" s="19">
        <f t="shared" si="369"/>
        <v>11.99</v>
      </c>
      <c r="W1760" s="19">
        <f t="shared" si="370"/>
        <v>11.99</v>
      </c>
      <c r="X1760" s="19" t="str">
        <f t="shared" si="371"/>
        <v>True</v>
      </c>
      <c r="Y1760" s="19" t="str">
        <f>IF(OR(W1760&lt;'Cleaning Tasks'!$G$18,W1760&gt;'Cleaning Tasks'!$H$18),"Outlier","Normal")</f>
        <v>Normal</v>
      </c>
      <c r="Z1760" s="2" t="s">
        <v>66</v>
      </c>
      <c r="AA1760" s="2" t="s">
        <v>40</v>
      </c>
      <c r="AB1760" s="2" t="s">
        <v>96</v>
      </c>
      <c r="AC1760" s="2" t="s">
        <v>29</v>
      </c>
      <c r="AD1760" s="2" t="s">
        <v>67</v>
      </c>
      <c r="AE1760" s="2" t="str">
        <f t="shared" si="372"/>
        <v>Valid</v>
      </c>
      <c r="AF1760" s="2" t="s">
        <v>4670</v>
      </c>
    </row>
    <row r="1761" spans="1:32" x14ac:dyDescent="0.3">
      <c r="A1761" s="2" t="s">
        <v>4671</v>
      </c>
      <c r="B1761" s="2">
        <f t="shared" si="362"/>
        <v>1</v>
      </c>
      <c r="C1761" s="12">
        <f t="shared" si="373"/>
        <v>46238.587316111109</v>
      </c>
      <c r="D1761" s="13">
        <v>46238.587316111109</v>
      </c>
      <c r="E1761" s="2" t="s">
        <v>4672</v>
      </c>
      <c r="F1761" s="2" t="str">
        <f t="shared" si="363"/>
        <v>Email Available</v>
      </c>
      <c r="G1761" s="2" t="s">
        <v>2281</v>
      </c>
      <c r="H1761" s="2" t="s">
        <v>279</v>
      </c>
      <c r="I1761" s="2" t="s">
        <v>22</v>
      </c>
      <c r="J1761" s="2" t="s">
        <v>280</v>
      </c>
      <c r="K1761" s="2">
        <v>1</v>
      </c>
      <c r="L1761" s="2">
        <v>24.99</v>
      </c>
      <c r="M1761" s="19">
        <f t="shared" si="364"/>
        <v>24.99</v>
      </c>
      <c r="N1761" s="2"/>
      <c r="O1761" s="2" t="str">
        <f t="shared" si="365"/>
        <v/>
      </c>
      <c r="P1761" s="2">
        <v>0</v>
      </c>
      <c r="Q1761" s="19">
        <f t="shared" si="366"/>
        <v>0</v>
      </c>
      <c r="R1761" s="2" t="str">
        <f t="shared" si="367"/>
        <v>Number</v>
      </c>
      <c r="S1761" s="2">
        <v>4.99</v>
      </c>
      <c r="T1761" s="19">
        <f t="shared" si="368"/>
        <v>4.99</v>
      </c>
      <c r="U1761" s="2">
        <v>29.98</v>
      </c>
      <c r="V1761" s="19">
        <f t="shared" si="369"/>
        <v>29.98</v>
      </c>
      <c r="W1761" s="19">
        <f t="shared" si="370"/>
        <v>29.979999999999997</v>
      </c>
      <c r="X1761" s="19" t="str">
        <f t="shared" si="371"/>
        <v>True</v>
      </c>
      <c r="Y1761" s="19" t="str">
        <f>IF(OR(W1761&lt;'Cleaning Tasks'!$G$18,W1761&gt;'Cleaning Tasks'!$H$18),"Outlier","Normal")</f>
        <v>Normal</v>
      </c>
      <c r="Z1761" s="2" t="s">
        <v>66</v>
      </c>
      <c r="AA1761" s="2" t="s">
        <v>111</v>
      </c>
      <c r="AB1761" s="2" t="s">
        <v>50</v>
      </c>
      <c r="AC1761" s="2" t="s">
        <v>29</v>
      </c>
      <c r="AD1761" s="2" t="s">
        <v>140</v>
      </c>
      <c r="AE1761" s="2" t="str">
        <f t="shared" si="372"/>
        <v>Valid</v>
      </c>
      <c r="AF1761" s="2" t="s">
        <v>4673</v>
      </c>
    </row>
    <row r="1762" spans="1:32" x14ac:dyDescent="0.3">
      <c r="A1762" s="2" t="s">
        <v>4674</v>
      </c>
      <c r="B1762" s="2">
        <f t="shared" si="362"/>
        <v>1</v>
      </c>
      <c r="C1762" s="12">
        <f t="shared" si="373"/>
        <v>46238.585607511573</v>
      </c>
      <c r="D1762" s="13">
        <v>46238.585607511573</v>
      </c>
      <c r="E1762" s="2" t="s">
        <v>3346</v>
      </c>
      <c r="F1762" s="2" t="str">
        <f t="shared" si="363"/>
        <v>Email Available</v>
      </c>
      <c r="G1762" s="2" t="s">
        <v>3347</v>
      </c>
      <c r="H1762" s="2" t="s">
        <v>124</v>
      </c>
      <c r="I1762" s="2" t="s">
        <v>79</v>
      </c>
      <c r="J1762" s="2" t="s">
        <v>125</v>
      </c>
      <c r="K1762" s="2">
        <v>2</v>
      </c>
      <c r="L1762" s="2">
        <v>13.99</v>
      </c>
      <c r="M1762" s="19">
        <f t="shared" si="364"/>
        <v>13.99</v>
      </c>
      <c r="N1762" s="2" t="s">
        <v>118</v>
      </c>
      <c r="O1762" s="2" t="str">
        <f t="shared" si="365"/>
        <v>BFCM25</v>
      </c>
      <c r="P1762" s="2">
        <v>7</v>
      </c>
      <c r="Q1762" s="19">
        <f t="shared" si="366"/>
        <v>7</v>
      </c>
      <c r="R1762" s="2" t="str">
        <f t="shared" si="367"/>
        <v>Number</v>
      </c>
      <c r="S1762" s="2">
        <v>7.99</v>
      </c>
      <c r="T1762" s="19">
        <f t="shared" si="368"/>
        <v>7.99</v>
      </c>
      <c r="U1762" s="2">
        <v>28.97</v>
      </c>
      <c r="V1762" s="19">
        <f t="shared" si="369"/>
        <v>28.97</v>
      </c>
      <c r="W1762" s="19">
        <f t="shared" si="370"/>
        <v>28.97</v>
      </c>
      <c r="X1762" s="19" t="str">
        <f t="shared" si="371"/>
        <v>True</v>
      </c>
      <c r="Y1762" s="19" t="str">
        <f>IF(OR(W1762&lt;'Cleaning Tasks'!$G$18,W1762&gt;'Cleaning Tasks'!$H$18),"Outlier","Normal")</f>
        <v>Normal</v>
      </c>
      <c r="Z1762" s="2" t="s">
        <v>39</v>
      </c>
      <c r="AA1762" s="2" t="s">
        <v>111</v>
      </c>
      <c r="AB1762" s="2" t="s">
        <v>28</v>
      </c>
      <c r="AC1762" s="2" t="s">
        <v>73</v>
      </c>
      <c r="AD1762" s="2"/>
      <c r="AE1762" s="2" t="str">
        <f t="shared" si="372"/>
        <v>Not Required</v>
      </c>
      <c r="AF1762" s="2" t="s">
        <v>4675</v>
      </c>
    </row>
    <row r="1763" spans="1:32" x14ac:dyDescent="0.3">
      <c r="A1763" s="2" t="s">
        <v>4676</v>
      </c>
      <c r="B1763" s="2">
        <f t="shared" si="362"/>
        <v>1</v>
      </c>
      <c r="C1763" s="12">
        <f t="shared" si="373"/>
        <v>46238.581853981479</v>
      </c>
      <c r="D1763" s="13">
        <v>46238.581853981479</v>
      </c>
      <c r="E1763" s="2" t="s">
        <v>1625</v>
      </c>
      <c r="F1763" s="2" t="str">
        <f t="shared" si="363"/>
        <v>Email Available</v>
      </c>
      <c r="G1763" s="2" t="s">
        <v>1533</v>
      </c>
      <c r="H1763" s="2" t="s">
        <v>236</v>
      </c>
      <c r="I1763" s="2" t="s">
        <v>237</v>
      </c>
      <c r="J1763" s="2" t="s">
        <v>238</v>
      </c>
      <c r="K1763" s="2">
        <v>1</v>
      </c>
      <c r="L1763" s="2">
        <v>27.99</v>
      </c>
      <c r="M1763" s="19">
        <f t="shared" si="364"/>
        <v>27.99</v>
      </c>
      <c r="N1763" s="2" t="s">
        <v>118</v>
      </c>
      <c r="O1763" s="2" t="str">
        <f t="shared" si="365"/>
        <v>BFCM25</v>
      </c>
      <c r="P1763" s="2">
        <v>7</v>
      </c>
      <c r="Q1763" s="19">
        <f t="shared" si="366"/>
        <v>7</v>
      </c>
      <c r="R1763" s="2" t="str">
        <f t="shared" si="367"/>
        <v>Number</v>
      </c>
      <c r="S1763" s="2">
        <v>7.99</v>
      </c>
      <c r="T1763" s="19">
        <f t="shared" si="368"/>
        <v>7.99</v>
      </c>
      <c r="U1763" s="2">
        <v>28.98</v>
      </c>
      <c r="V1763" s="19">
        <f t="shared" si="369"/>
        <v>28.98</v>
      </c>
      <c r="W1763" s="19">
        <f t="shared" si="370"/>
        <v>28.979999999999997</v>
      </c>
      <c r="X1763" s="19" t="str">
        <f t="shared" si="371"/>
        <v>True</v>
      </c>
      <c r="Y1763" s="19" t="str">
        <f>IF(OR(W1763&lt;'Cleaning Tasks'!$G$18,W1763&gt;'Cleaning Tasks'!$H$18),"Outlier","Normal")</f>
        <v>Normal</v>
      </c>
      <c r="Z1763" s="2" t="s">
        <v>49</v>
      </c>
      <c r="AA1763" s="2" t="s">
        <v>88</v>
      </c>
      <c r="AB1763" s="2" t="s">
        <v>28</v>
      </c>
      <c r="AC1763" s="2" t="s">
        <v>73</v>
      </c>
      <c r="AD1763" s="2"/>
      <c r="AE1763" s="2" t="str">
        <f t="shared" si="372"/>
        <v>Not Required</v>
      </c>
      <c r="AF1763" s="2" t="s">
        <v>4677</v>
      </c>
    </row>
    <row r="1764" spans="1:32" x14ac:dyDescent="0.3">
      <c r="A1764" s="2" t="s">
        <v>4678</v>
      </c>
      <c r="B1764" s="2">
        <f t="shared" si="362"/>
        <v>1</v>
      </c>
      <c r="C1764" s="12">
        <f t="shared" si="373"/>
        <v>46238</v>
      </c>
      <c r="D1764" s="13" t="s">
        <v>143</v>
      </c>
      <c r="E1764" s="2" t="s">
        <v>4679</v>
      </c>
      <c r="F1764" s="2" t="str">
        <f t="shared" si="363"/>
        <v>Email Available</v>
      </c>
      <c r="G1764" s="2" t="s">
        <v>1103</v>
      </c>
      <c r="H1764" s="2" t="s">
        <v>279</v>
      </c>
      <c r="I1764" s="2" t="s">
        <v>22</v>
      </c>
      <c r="J1764" s="2" t="s">
        <v>280</v>
      </c>
      <c r="K1764" s="2">
        <v>2</v>
      </c>
      <c r="L1764" s="2" t="s">
        <v>1212</v>
      </c>
      <c r="M1764" s="19">
        <f t="shared" si="364"/>
        <v>24.99</v>
      </c>
      <c r="N1764" s="2"/>
      <c r="O1764" s="2" t="str">
        <f t="shared" si="365"/>
        <v/>
      </c>
      <c r="P1764" s="2">
        <v>0</v>
      </c>
      <c r="Q1764" s="19">
        <f t="shared" si="366"/>
        <v>0</v>
      </c>
      <c r="R1764" s="2" t="str">
        <f t="shared" si="367"/>
        <v>Number</v>
      </c>
      <c r="S1764" s="2">
        <v>4.99</v>
      </c>
      <c r="T1764" s="19">
        <f t="shared" si="368"/>
        <v>4.99</v>
      </c>
      <c r="U1764" s="2">
        <v>54.97</v>
      </c>
      <c r="V1764" s="19">
        <f t="shared" si="369"/>
        <v>54.97</v>
      </c>
      <c r="W1764" s="19">
        <f t="shared" si="370"/>
        <v>54.97</v>
      </c>
      <c r="X1764" s="19" t="str">
        <f t="shared" si="371"/>
        <v>True</v>
      </c>
      <c r="Y1764" s="19" t="str">
        <f>IF(OR(W1764&lt;'Cleaning Tasks'!$G$18,W1764&gt;'Cleaning Tasks'!$H$18),"Outlier","Normal")</f>
        <v>Normal</v>
      </c>
      <c r="Z1764" s="2" t="s">
        <v>49</v>
      </c>
      <c r="AA1764" s="2" t="s">
        <v>40</v>
      </c>
      <c r="AB1764" s="2" t="s">
        <v>96</v>
      </c>
      <c r="AC1764" s="2" t="s">
        <v>105</v>
      </c>
      <c r="AD1764" s="2"/>
      <c r="AE1764" s="2" t="str">
        <f t="shared" si="372"/>
        <v>Not Required</v>
      </c>
      <c r="AF1764" s="2" t="s">
        <v>4680</v>
      </c>
    </row>
    <row r="1765" spans="1:32" x14ac:dyDescent="0.3">
      <c r="A1765" s="2" t="s">
        <v>4681</v>
      </c>
      <c r="B1765" s="2">
        <f t="shared" si="362"/>
        <v>1</v>
      </c>
      <c r="C1765" s="12">
        <f t="shared" si="373"/>
        <v>46238.583686111109</v>
      </c>
      <c r="D1765" s="13">
        <v>46238.583686111109</v>
      </c>
      <c r="E1765" s="2" t="s">
        <v>385</v>
      </c>
      <c r="F1765" s="2" t="str">
        <f t="shared" si="363"/>
        <v>Email Available</v>
      </c>
      <c r="G1765" s="2" t="s">
        <v>386</v>
      </c>
      <c r="H1765" s="2" t="s">
        <v>102</v>
      </c>
      <c r="I1765" s="2" t="s">
        <v>103</v>
      </c>
      <c r="J1765" s="2" t="s">
        <v>104</v>
      </c>
      <c r="K1765" s="2">
        <v>1</v>
      </c>
      <c r="L1765" s="2">
        <v>19.989999999999998</v>
      </c>
      <c r="M1765" s="19">
        <f t="shared" si="364"/>
        <v>19.989999999999998</v>
      </c>
      <c r="N1765" s="2" t="s">
        <v>65</v>
      </c>
      <c r="O1765" s="2" t="str">
        <f t="shared" si="365"/>
        <v>WELCOME10</v>
      </c>
      <c r="P1765" s="2">
        <v>2</v>
      </c>
      <c r="Q1765" s="19">
        <f t="shared" si="366"/>
        <v>2</v>
      </c>
      <c r="R1765" s="2" t="str">
        <f t="shared" si="367"/>
        <v>Number</v>
      </c>
      <c r="S1765" s="2">
        <v>5.99</v>
      </c>
      <c r="T1765" s="19">
        <f t="shared" si="368"/>
        <v>5.99</v>
      </c>
      <c r="U1765" s="2">
        <v>23.98</v>
      </c>
      <c r="V1765" s="19">
        <f t="shared" si="369"/>
        <v>23.98</v>
      </c>
      <c r="W1765" s="19">
        <f t="shared" si="370"/>
        <v>23.979999999999997</v>
      </c>
      <c r="X1765" s="19" t="str">
        <f t="shared" si="371"/>
        <v>True</v>
      </c>
      <c r="Y1765" s="19" t="str">
        <f>IF(OR(W1765&lt;'Cleaning Tasks'!$G$18,W1765&gt;'Cleaning Tasks'!$H$18),"Outlier","Normal")</f>
        <v>Normal</v>
      </c>
      <c r="Z1765" s="2" t="s">
        <v>26</v>
      </c>
      <c r="AA1765" s="2" t="s">
        <v>88</v>
      </c>
      <c r="AB1765" s="2" t="s">
        <v>50</v>
      </c>
      <c r="AC1765" s="2" t="s">
        <v>105</v>
      </c>
      <c r="AD1765" s="2"/>
      <c r="AE1765" s="2" t="str">
        <f t="shared" si="372"/>
        <v>Not Required</v>
      </c>
      <c r="AF1765" s="2" t="s">
        <v>4682</v>
      </c>
    </row>
    <row r="1766" spans="1:32" x14ac:dyDescent="0.3">
      <c r="A1766" s="2" t="s">
        <v>4683</v>
      </c>
      <c r="B1766" s="2">
        <f t="shared" si="362"/>
        <v>1</v>
      </c>
      <c r="C1766" s="12">
        <f t="shared" si="373"/>
        <v>46238</v>
      </c>
      <c r="D1766" s="13">
        <v>46238</v>
      </c>
      <c r="E1766" s="2" t="s">
        <v>554</v>
      </c>
      <c r="F1766" s="2" t="str">
        <f t="shared" si="363"/>
        <v>Email Available</v>
      </c>
      <c r="G1766" s="2" t="s">
        <v>45</v>
      </c>
      <c r="H1766" s="2" t="s">
        <v>63</v>
      </c>
      <c r="I1766" s="2" t="s">
        <v>47</v>
      </c>
      <c r="J1766" s="2" t="s">
        <v>446</v>
      </c>
      <c r="K1766" s="2">
        <v>1</v>
      </c>
      <c r="L1766" s="2">
        <v>14.99</v>
      </c>
      <c r="M1766" s="19">
        <f t="shared" si="364"/>
        <v>14.99</v>
      </c>
      <c r="N1766" s="2" t="s">
        <v>24</v>
      </c>
      <c r="O1766" s="2" t="str">
        <f t="shared" si="365"/>
        <v>SAVE20</v>
      </c>
      <c r="P1766" s="2">
        <v>3</v>
      </c>
      <c r="Q1766" s="19">
        <f t="shared" si="366"/>
        <v>3</v>
      </c>
      <c r="R1766" s="2" t="str">
        <f t="shared" si="367"/>
        <v>Number</v>
      </c>
      <c r="S1766" s="2">
        <v>4.99</v>
      </c>
      <c r="T1766" s="19">
        <f t="shared" si="368"/>
        <v>4.99</v>
      </c>
      <c r="U1766" s="2">
        <v>16.98</v>
      </c>
      <c r="V1766" s="19">
        <f t="shared" si="369"/>
        <v>16.98</v>
      </c>
      <c r="W1766" s="19">
        <f t="shared" si="370"/>
        <v>16.98</v>
      </c>
      <c r="X1766" s="19" t="str">
        <f t="shared" si="371"/>
        <v>True</v>
      </c>
      <c r="Y1766" s="19" t="str">
        <f>IF(OR(W1766&lt;'Cleaning Tasks'!$G$18,W1766&gt;'Cleaning Tasks'!$H$18),"Outlier","Normal")</f>
        <v>Normal</v>
      </c>
      <c r="Z1766" s="2" t="s">
        <v>66</v>
      </c>
      <c r="AA1766" s="2" t="s">
        <v>27</v>
      </c>
      <c r="AB1766" s="2" t="s">
        <v>50</v>
      </c>
      <c r="AC1766" s="2" t="s">
        <v>29</v>
      </c>
      <c r="AD1766" s="2" t="s">
        <v>112</v>
      </c>
      <c r="AE1766" s="2" t="str">
        <f t="shared" si="372"/>
        <v>Valid</v>
      </c>
      <c r="AF1766" s="2" t="s">
        <v>4684</v>
      </c>
    </row>
    <row r="1767" spans="1:32" x14ac:dyDescent="0.3">
      <c r="A1767" s="2" t="s">
        <v>4685</v>
      </c>
      <c r="B1767" s="2">
        <f t="shared" si="362"/>
        <v>1</v>
      </c>
      <c r="C1767" s="12">
        <f t="shared" si="373"/>
        <v>46238</v>
      </c>
      <c r="D1767" s="13" t="s">
        <v>143</v>
      </c>
      <c r="E1767" s="2" t="s">
        <v>673</v>
      </c>
      <c r="F1767" s="2" t="str">
        <f t="shared" si="363"/>
        <v>Email Available</v>
      </c>
      <c r="G1767" s="2" t="s">
        <v>674</v>
      </c>
      <c r="H1767" s="2" t="s">
        <v>102</v>
      </c>
      <c r="I1767" s="2" t="s">
        <v>103</v>
      </c>
      <c r="J1767" s="2" t="s">
        <v>104</v>
      </c>
      <c r="K1767" s="2">
        <v>1</v>
      </c>
      <c r="L1767" s="2">
        <v>19.989999999999998</v>
      </c>
      <c r="M1767" s="19">
        <f t="shared" si="364"/>
        <v>19.989999999999998</v>
      </c>
      <c r="N1767" s="2"/>
      <c r="O1767" s="2" t="str">
        <f t="shared" si="365"/>
        <v/>
      </c>
      <c r="P1767" s="2">
        <v>0</v>
      </c>
      <c r="Q1767" s="19">
        <f t="shared" si="366"/>
        <v>0</v>
      </c>
      <c r="R1767" s="2" t="str">
        <f t="shared" si="367"/>
        <v>Number</v>
      </c>
      <c r="S1767" s="2">
        <v>4.99</v>
      </c>
      <c r="T1767" s="19">
        <f t="shared" si="368"/>
        <v>4.99</v>
      </c>
      <c r="U1767" s="2">
        <v>24.98</v>
      </c>
      <c r="V1767" s="19">
        <f t="shared" si="369"/>
        <v>24.98</v>
      </c>
      <c r="W1767" s="19">
        <f t="shared" si="370"/>
        <v>24.979999999999997</v>
      </c>
      <c r="X1767" s="19" t="str">
        <f t="shared" si="371"/>
        <v>True</v>
      </c>
      <c r="Y1767" s="19" t="str">
        <f>IF(OR(W1767&lt;'Cleaning Tasks'!$G$18,W1767&gt;'Cleaning Tasks'!$H$18),"Outlier","Normal")</f>
        <v>Normal</v>
      </c>
      <c r="Z1767" s="2" t="s">
        <v>49</v>
      </c>
      <c r="AA1767" s="2" t="s">
        <v>40</v>
      </c>
      <c r="AB1767" s="2" t="s">
        <v>96</v>
      </c>
      <c r="AC1767" s="2" t="s">
        <v>73</v>
      </c>
      <c r="AD1767" s="2"/>
      <c r="AE1767" s="2" t="str">
        <f t="shared" si="372"/>
        <v>Not Required</v>
      </c>
      <c r="AF1767" s="2" t="s">
        <v>4686</v>
      </c>
    </row>
    <row r="1768" spans="1:32" x14ac:dyDescent="0.3">
      <c r="A1768" s="2" t="s">
        <v>4687</v>
      </c>
      <c r="B1768" s="2">
        <f t="shared" si="362"/>
        <v>1</v>
      </c>
      <c r="C1768" s="12">
        <f t="shared" si="373"/>
        <v>46238</v>
      </c>
      <c r="D1768" s="13">
        <v>46238</v>
      </c>
      <c r="E1768" s="2" t="s">
        <v>1084</v>
      </c>
      <c r="F1768" s="2" t="str">
        <f t="shared" si="363"/>
        <v>Email Available</v>
      </c>
      <c r="G1768" s="2" t="s">
        <v>1085</v>
      </c>
      <c r="H1768" s="2" t="s">
        <v>261</v>
      </c>
      <c r="I1768" s="2" t="s">
        <v>36</v>
      </c>
      <c r="J1768" s="2" t="s">
        <v>262</v>
      </c>
      <c r="K1768" s="2">
        <v>2</v>
      </c>
      <c r="L1768" s="2">
        <v>15.49</v>
      </c>
      <c r="M1768" s="19">
        <f t="shared" si="364"/>
        <v>15.49</v>
      </c>
      <c r="N1768" s="2"/>
      <c r="O1768" s="2" t="str">
        <f t="shared" si="365"/>
        <v/>
      </c>
      <c r="P1768" s="2">
        <v>0</v>
      </c>
      <c r="Q1768" s="19">
        <f t="shared" si="366"/>
        <v>0</v>
      </c>
      <c r="R1768" s="2" t="str">
        <f t="shared" si="367"/>
        <v>Number</v>
      </c>
      <c r="S1768" s="2">
        <v>7.99</v>
      </c>
      <c r="T1768" s="19">
        <f t="shared" si="368"/>
        <v>7.99</v>
      </c>
      <c r="U1768" s="2">
        <v>38.97</v>
      </c>
      <c r="V1768" s="19">
        <f t="shared" si="369"/>
        <v>38.97</v>
      </c>
      <c r="W1768" s="19">
        <f t="shared" si="370"/>
        <v>38.97</v>
      </c>
      <c r="X1768" s="19" t="str">
        <f t="shared" si="371"/>
        <v>True</v>
      </c>
      <c r="Y1768" s="19" t="str">
        <f>IF(OR(W1768&lt;'Cleaning Tasks'!$G$18,W1768&gt;'Cleaning Tasks'!$H$18),"Outlier","Normal")</f>
        <v>Normal</v>
      </c>
      <c r="Z1768" s="2" t="s">
        <v>72</v>
      </c>
      <c r="AA1768" s="2" t="s">
        <v>27</v>
      </c>
      <c r="AB1768" s="2" t="s">
        <v>50</v>
      </c>
      <c r="AC1768" s="2" t="s">
        <v>29</v>
      </c>
      <c r="AD1768" s="22" t="s">
        <v>112</v>
      </c>
      <c r="AE1768" s="2" t="str">
        <f t="shared" si="372"/>
        <v>Valid</v>
      </c>
      <c r="AF1768" s="2" t="s">
        <v>4688</v>
      </c>
    </row>
    <row r="1769" spans="1:32" x14ac:dyDescent="0.3">
      <c r="A1769" s="2" t="s">
        <v>4689</v>
      </c>
      <c r="B1769" s="2">
        <f t="shared" si="362"/>
        <v>1</v>
      </c>
      <c r="C1769" s="12">
        <f t="shared" si="373"/>
        <v>46238.582550497682</v>
      </c>
      <c r="D1769" s="13">
        <v>46238.582550497682</v>
      </c>
      <c r="E1769" s="2" t="s">
        <v>2160</v>
      </c>
      <c r="F1769" s="2" t="str">
        <f t="shared" si="363"/>
        <v>Email Available</v>
      </c>
      <c r="G1769" s="2" t="s">
        <v>2768</v>
      </c>
      <c r="H1769" s="2" t="s">
        <v>63</v>
      </c>
      <c r="I1769" s="2" t="s">
        <v>47</v>
      </c>
      <c r="J1769" s="2" t="s">
        <v>446</v>
      </c>
      <c r="K1769" s="2">
        <v>2</v>
      </c>
      <c r="L1769" s="2">
        <v>14.99</v>
      </c>
      <c r="M1769" s="19">
        <f t="shared" si="364"/>
        <v>14.99</v>
      </c>
      <c r="N1769" s="2"/>
      <c r="O1769" s="2" t="str">
        <f t="shared" si="365"/>
        <v/>
      </c>
      <c r="P1769" s="2">
        <v>0</v>
      </c>
      <c r="Q1769" s="19">
        <f t="shared" si="366"/>
        <v>0</v>
      </c>
      <c r="R1769" s="2" t="str">
        <f t="shared" si="367"/>
        <v>Number</v>
      </c>
      <c r="S1769" s="2">
        <v>5.99</v>
      </c>
      <c r="T1769" s="19">
        <f t="shared" si="368"/>
        <v>5.99</v>
      </c>
      <c r="U1769" s="2">
        <v>35.97</v>
      </c>
      <c r="V1769" s="19">
        <f t="shared" si="369"/>
        <v>35.97</v>
      </c>
      <c r="W1769" s="19">
        <f t="shared" si="370"/>
        <v>35.97</v>
      </c>
      <c r="X1769" s="19" t="str">
        <f t="shared" si="371"/>
        <v>True</v>
      </c>
      <c r="Y1769" s="19" t="str">
        <f>IF(OR(W1769&lt;'Cleaning Tasks'!$G$18,W1769&gt;'Cleaning Tasks'!$H$18),"Outlier","Normal")</f>
        <v>Normal</v>
      </c>
      <c r="Z1769" s="2" t="s">
        <v>72</v>
      </c>
      <c r="AA1769" s="2" t="s">
        <v>88</v>
      </c>
      <c r="AB1769" s="2" t="s">
        <v>41</v>
      </c>
      <c r="AC1769" s="2" t="s">
        <v>29</v>
      </c>
      <c r="AD1769" s="2" t="s">
        <v>140</v>
      </c>
      <c r="AE1769" s="2" t="str">
        <f t="shared" si="372"/>
        <v>Valid</v>
      </c>
      <c r="AF1769" s="2" t="s">
        <v>4690</v>
      </c>
    </row>
    <row r="1770" spans="1:32" x14ac:dyDescent="0.3">
      <c r="A1770" s="2" t="s">
        <v>4691</v>
      </c>
      <c r="B1770" s="2">
        <f t="shared" si="362"/>
        <v>1</v>
      </c>
      <c r="C1770" s="12">
        <f t="shared" si="373"/>
        <v>46238.580885578704</v>
      </c>
      <c r="D1770" s="13">
        <v>46238.580885578704</v>
      </c>
      <c r="E1770" s="2" t="s">
        <v>643</v>
      </c>
      <c r="F1770" s="2" t="str">
        <f t="shared" si="363"/>
        <v>Email Available</v>
      </c>
      <c r="G1770" s="2" t="s">
        <v>644</v>
      </c>
      <c r="H1770" s="2" t="s">
        <v>130</v>
      </c>
      <c r="I1770" s="2" t="s">
        <v>103</v>
      </c>
      <c r="J1770" s="2" t="s">
        <v>131</v>
      </c>
      <c r="K1770" s="2">
        <v>1</v>
      </c>
      <c r="L1770" s="2">
        <v>16.989999999999998</v>
      </c>
      <c r="M1770" s="19">
        <f t="shared" si="364"/>
        <v>16.989999999999998</v>
      </c>
      <c r="N1770" s="2"/>
      <c r="O1770" s="2" t="str">
        <f t="shared" si="365"/>
        <v/>
      </c>
      <c r="P1770" s="2">
        <v>0</v>
      </c>
      <c r="Q1770" s="19">
        <f t="shared" si="366"/>
        <v>0</v>
      </c>
      <c r="R1770" s="2" t="str">
        <f t="shared" si="367"/>
        <v>Number</v>
      </c>
      <c r="S1770" s="2">
        <v>7.99</v>
      </c>
      <c r="T1770" s="19">
        <f t="shared" si="368"/>
        <v>7.99</v>
      </c>
      <c r="U1770" s="2">
        <v>24.98</v>
      </c>
      <c r="V1770" s="19">
        <f t="shared" si="369"/>
        <v>24.98</v>
      </c>
      <c r="W1770" s="19">
        <f t="shared" si="370"/>
        <v>24.979999999999997</v>
      </c>
      <c r="X1770" s="19" t="str">
        <f t="shared" si="371"/>
        <v>True</v>
      </c>
      <c r="Y1770" s="19" t="str">
        <f>IF(OR(W1770&lt;'Cleaning Tasks'!$G$18,W1770&gt;'Cleaning Tasks'!$H$18),"Outlier","Normal")</f>
        <v>Normal</v>
      </c>
      <c r="Z1770" s="2" t="s">
        <v>49</v>
      </c>
      <c r="AA1770" s="2" t="s">
        <v>111</v>
      </c>
      <c r="AB1770" s="2" t="s">
        <v>50</v>
      </c>
      <c r="AC1770" s="2" t="s">
        <v>29</v>
      </c>
      <c r="AD1770" s="2" t="s">
        <v>341</v>
      </c>
      <c r="AE1770" s="2" t="str">
        <f t="shared" si="372"/>
        <v>Valid</v>
      </c>
      <c r="AF1770" s="2" t="s">
        <v>4692</v>
      </c>
    </row>
    <row r="1771" spans="1:32" x14ac:dyDescent="0.3">
      <c r="A1771" s="2" t="s">
        <v>4693</v>
      </c>
      <c r="B1771" s="2">
        <f t="shared" si="362"/>
        <v>1</v>
      </c>
      <c r="C1771" s="12">
        <f t="shared" ref="C1771:C1773" si="374">IF(ISNUMBER(D1771),D1771,DATEVALUE(SUBSTITUTE(TRIM(D1771),CHAR(160)," ")))</f>
        <v>46238.584892569437</v>
      </c>
      <c r="D1771" s="13">
        <v>46238.584892569437</v>
      </c>
      <c r="E1771" s="2" t="s">
        <v>1287</v>
      </c>
      <c r="F1771" s="2" t="str">
        <f t="shared" si="363"/>
        <v>Email Available</v>
      </c>
      <c r="G1771" s="2" t="s">
        <v>1288</v>
      </c>
      <c r="H1771" s="2" t="s">
        <v>130</v>
      </c>
      <c r="I1771" s="2" t="s">
        <v>103</v>
      </c>
      <c r="J1771" s="2" t="s">
        <v>131</v>
      </c>
      <c r="K1771" s="2">
        <v>1</v>
      </c>
      <c r="L1771" s="2">
        <v>16.989999999999998</v>
      </c>
      <c r="M1771" s="19">
        <f t="shared" si="364"/>
        <v>16.989999999999998</v>
      </c>
      <c r="N1771" s="2"/>
      <c r="O1771" s="2" t="str">
        <f t="shared" si="365"/>
        <v/>
      </c>
      <c r="P1771" s="2">
        <v>0</v>
      </c>
      <c r="Q1771" s="19">
        <f t="shared" si="366"/>
        <v>0</v>
      </c>
      <c r="R1771" s="2" t="str">
        <f t="shared" si="367"/>
        <v>Number</v>
      </c>
      <c r="S1771" s="2">
        <v>5.99</v>
      </c>
      <c r="T1771" s="19">
        <f t="shared" si="368"/>
        <v>5.99</v>
      </c>
      <c r="U1771" s="2">
        <v>22.98</v>
      </c>
      <c r="V1771" s="19">
        <f t="shared" si="369"/>
        <v>22.98</v>
      </c>
      <c r="W1771" s="19">
        <f t="shared" si="370"/>
        <v>22.979999999999997</v>
      </c>
      <c r="X1771" s="19" t="str">
        <f t="shared" si="371"/>
        <v>True</v>
      </c>
      <c r="Y1771" s="19" t="str">
        <f>IF(OR(W1771&lt;'Cleaning Tasks'!$G$18,W1771&gt;'Cleaning Tasks'!$H$18),"Outlier","Normal")</f>
        <v>Normal</v>
      </c>
      <c r="Z1771" s="2" t="s">
        <v>72</v>
      </c>
      <c r="AA1771" s="2" t="s">
        <v>40</v>
      </c>
      <c r="AB1771" s="2" t="s">
        <v>50</v>
      </c>
      <c r="AC1771" s="2" t="s">
        <v>73</v>
      </c>
      <c r="AD1771" s="2"/>
      <c r="AE1771" s="2" t="str">
        <f t="shared" si="372"/>
        <v>Not Required</v>
      </c>
      <c r="AF1771" s="2" t="s">
        <v>4694</v>
      </c>
    </row>
    <row r="1772" spans="1:32" x14ac:dyDescent="0.3">
      <c r="A1772" s="2" t="s">
        <v>4695</v>
      </c>
      <c r="B1772" s="2">
        <f t="shared" si="362"/>
        <v>1</v>
      </c>
      <c r="C1772" s="12">
        <f t="shared" si="374"/>
        <v>46238.582948888892</v>
      </c>
      <c r="D1772" s="13">
        <v>46238.582948888892</v>
      </c>
      <c r="E1772" s="2" t="s">
        <v>213</v>
      </c>
      <c r="F1772" s="2" t="str">
        <f t="shared" si="363"/>
        <v>Email Available</v>
      </c>
      <c r="G1772" s="2" t="s">
        <v>214</v>
      </c>
      <c r="H1772" s="2" t="s">
        <v>124</v>
      </c>
      <c r="I1772" s="2" t="s">
        <v>79</v>
      </c>
      <c r="J1772" s="2" t="s">
        <v>125</v>
      </c>
      <c r="K1772" s="2">
        <v>1</v>
      </c>
      <c r="L1772" s="2">
        <v>13.99</v>
      </c>
      <c r="M1772" s="19">
        <f t="shared" si="364"/>
        <v>13.99</v>
      </c>
      <c r="N1772" s="2"/>
      <c r="O1772" s="2" t="str">
        <f t="shared" si="365"/>
        <v/>
      </c>
      <c r="P1772" s="2">
        <v>0</v>
      </c>
      <c r="Q1772" s="19">
        <f t="shared" si="366"/>
        <v>0</v>
      </c>
      <c r="R1772" s="2" t="str">
        <f t="shared" si="367"/>
        <v>Number</v>
      </c>
      <c r="S1772" s="2">
        <v>5.99</v>
      </c>
      <c r="T1772" s="19">
        <f t="shared" si="368"/>
        <v>5.99</v>
      </c>
      <c r="U1772" s="2">
        <v>19.98</v>
      </c>
      <c r="V1772" s="19">
        <f t="shared" si="369"/>
        <v>19.98</v>
      </c>
      <c r="W1772" s="19">
        <f t="shared" si="370"/>
        <v>19.98</v>
      </c>
      <c r="X1772" s="19" t="str">
        <f t="shared" si="371"/>
        <v>True</v>
      </c>
      <c r="Y1772" s="19" t="str">
        <f>IF(OR(W1772&lt;'Cleaning Tasks'!$G$18,W1772&gt;'Cleaning Tasks'!$H$18),"Outlier","Normal")</f>
        <v>Normal</v>
      </c>
      <c r="Z1772" s="2" t="s">
        <v>26</v>
      </c>
      <c r="AA1772" s="2" t="s">
        <v>111</v>
      </c>
      <c r="AB1772" s="2" t="s">
        <v>50</v>
      </c>
      <c r="AC1772" s="2" t="s">
        <v>29</v>
      </c>
      <c r="AD1772" s="2" t="s">
        <v>30</v>
      </c>
      <c r="AE1772" s="2" t="str">
        <f t="shared" si="372"/>
        <v>Valid</v>
      </c>
      <c r="AF1772" s="2" t="s">
        <v>4696</v>
      </c>
    </row>
    <row r="1773" spans="1:32" x14ac:dyDescent="0.3">
      <c r="A1773" s="2" t="s">
        <v>4697</v>
      </c>
      <c r="B1773" s="2">
        <f t="shared" si="362"/>
        <v>1</v>
      </c>
      <c r="C1773" s="12">
        <f t="shared" si="374"/>
        <v>46238.581985381941</v>
      </c>
      <c r="D1773" s="13">
        <v>46238.581985381941</v>
      </c>
      <c r="E1773" s="2" t="s">
        <v>377</v>
      </c>
      <c r="F1773" s="2" t="str">
        <f t="shared" si="363"/>
        <v>Email Available</v>
      </c>
      <c r="G1773" s="2" t="s">
        <v>378</v>
      </c>
      <c r="H1773" s="2" t="s">
        <v>124</v>
      </c>
      <c r="I1773" s="2" t="s">
        <v>79</v>
      </c>
      <c r="J1773" s="2" t="s">
        <v>125</v>
      </c>
      <c r="K1773" s="2">
        <v>2</v>
      </c>
      <c r="L1773" s="2" t="s">
        <v>1086</v>
      </c>
      <c r="M1773" s="19">
        <f t="shared" si="364"/>
        <v>13.99</v>
      </c>
      <c r="N1773" s="2" t="s">
        <v>203</v>
      </c>
      <c r="O1773" s="2" t="str">
        <f t="shared" si="365"/>
        <v>VIP15</v>
      </c>
      <c r="P1773" s="2">
        <v>4.2</v>
      </c>
      <c r="Q1773" s="19">
        <f t="shared" si="366"/>
        <v>4.2</v>
      </c>
      <c r="R1773" s="2" t="str">
        <f t="shared" si="367"/>
        <v>Number</v>
      </c>
      <c r="S1773" s="2">
        <v>4.99</v>
      </c>
      <c r="T1773" s="19">
        <f t="shared" si="368"/>
        <v>4.99</v>
      </c>
      <c r="U1773" s="2">
        <v>28.77</v>
      </c>
      <c r="V1773" s="19">
        <f t="shared" si="369"/>
        <v>28.77</v>
      </c>
      <c r="W1773" s="19">
        <f t="shared" si="370"/>
        <v>28.770000000000003</v>
      </c>
      <c r="X1773" s="19" t="str">
        <f t="shared" si="371"/>
        <v>True</v>
      </c>
      <c r="Y1773" s="19" t="str">
        <f>IF(OR(W1773&lt;'Cleaning Tasks'!$G$18,W1773&gt;'Cleaning Tasks'!$H$18),"Outlier","Normal")</f>
        <v>Normal</v>
      </c>
      <c r="Z1773" s="2" t="s">
        <v>39</v>
      </c>
      <c r="AA1773" s="2" t="s">
        <v>27</v>
      </c>
      <c r="AB1773" s="2" t="s">
        <v>50</v>
      </c>
      <c r="AC1773" s="2" t="s">
        <v>73</v>
      </c>
      <c r="AD1773" s="2"/>
      <c r="AE1773" s="2" t="str">
        <f t="shared" si="372"/>
        <v>Not Required</v>
      </c>
      <c r="AF1773" s="2" t="s">
        <v>4698</v>
      </c>
    </row>
    <row r="1774" spans="1:32" x14ac:dyDescent="0.3">
      <c r="A1774" s="2" t="s">
        <v>4699</v>
      </c>
      <c r="B1774" s="2">
        <f t="shared" si="362"/>
        <v>1</v>
      </c>
      <c r="C1774" s="12">
        <f>DATE(VALUE(RIGHT(D1774,4)),MATCH(LEFT(D1774,3),{"Jan","Feb","Mar","Apr","May","Jun","Jul","Aug","Sep","Oct","Nov","Dec"},0),VALUE(MID(D1774,5,2)))</f>
        <v>46238</v>
      </c>
      <c r="D1774" s="13" t="s">
        <v>171</v>
      </c>
      <c r="E1774" s="2" t="s">
        <v>904</v>
      </c>
      <c r="F1774" s="2" t="str">
        <f t="shared" si="363"/>
        <v>Missing Email</v>
      </c>
      <c r="G1774" s="2"/>
      <c r="H1774" s="2" t="s">
        <v>130</v>
      </c>
      <c r="I1774" s="2" t="s">
        <v>103</v>
      </c>
      <c r="J1774" s="2" t="s">
        <v>131</v>
      </c>
      <c r="K1774" s="2">
        <v>1</v>
      </c>
      <c r="L1774" s="2">
        <v>16.989999999999998</v>
      </c>
      <c r="M1774" s="19">
        <f t="shared" si="364"/>
        <v>16.989999999999998</v>
      </c>
      <c r="N1774" s="2" t="s">
        <v>118</v>
      </c>
      <c r="O1774" s="2" t="str">
        <f t="shared" si="365"/>
        <v>BFCM25</v>
      </c>
      <c r="P1774" s="2">
        <v>4.25</v>
      </c>
      <c r="Q1774" s="19">
        <f t="shared" si="366"/>
        <v>4.25</v>
      </c>
      <c r="R1774" s="2" t="str">
        <f t="shared" si="367"/>
        <v>Number</v>
      </c>
      <c r="S1774" s="2">
        <v>4.99</v>
      </c>
      <c r="T1774" s="19">
        <f t="shared" si="368"/>
        <v>4.99</v>
      </c>
      <c r="U1774" s="2">
        <v>17.73</v>
      </c>
      <c r="V1774" s="19">
        <f t="shared" si="369"/>
        <v>17.73</v>
      </c>
      <c r="W1774" s="19">
        <f t="shared" si="370"/>
        <v>17.729999999999997</v>
      </c>
      <c r="X1774" s="19" t="str">
        <f t="shared" si="371"/>
        <v>True</v>
      </c>
      <c r="Y1774" s="19" t="str">
        <f>IF(OR(W1774&lt;'Cleaning Tasks'!$G$18,W1774&gt;'Cleaning Tasks'!$H$18),"Outlier","Normal")</f>
        <v>Normal</v>
      </c>
      <c r="Z1774" s="2" t="s">
        <v>49</v>
      </c>
      <c r="AA1774" s="2" t="s">
        <v>40</v>
      </c>
      <c r="AB1774" s="2" t="s">
        <v>28</v>
      </c>
      <c r="AC1774" s="2" t="s">
        <v>29</v>
      </c>
      <c r="AD1774" s="2" t="s">
        <v>30</v>
      </c>
      <c r="AE1774" s="2" t="str">
        <f t="shared" si="372"/>
        <v>Valid</v>
      </c>
      <c r="AF1774" s="2" t="s">
        <v>4700</v>
      </c>
    </row>
    <row r="1775" spans="1:32" x14ac:dyDescent="0.3">
      <c r="A1775" s="2" t="s">
        <v>4701</v>
      </c>
      <c r="B1775" s="2">
        <f t="shared" si="362"/>
        <v>1</v>
      </c>
      <c r="C1775" s="12">
        <f t="shared" ref="C1775:C1801" si="375">IF(ISNUMBER(D1775),D1775,DATEVALUE(SUBSTITUTE(TRIM(D1775),CHAR(160)," ")))</f>
        <v>46238.580926655093</v>
      </c>
      <c r="D1775" s="13">
        <v>46238.580926655093</v>
      </c>
      <c r="E1775" s="2" t="s">
        <v>485</v>
      </c>
      <c r="F1775" s="2" t="str">
        <f t="shared" si="363"/>
        <v>Email Available</v>
      </c>
      <c r="G1775" s="2" t="s">
        <v>486</v>
      </c>
      <c r="H1775" s="2" t="s">
        <v>267</v>
      </c>
      <c r="I1775" s="2" t="s">
        <v>22</v>
      </c>
      <c r="J1775" s="2" t="s">
        <v>268</v>
      </c>
      <c r="K1775" s="2">
        <v>1</v>
      </c>
      <c r="L1775" s="2">
        <v>18.989999999999998</v>
      </c>
      <c r="M1775" s="19">
        <f t="shared" si="364"/>
        <v>18.989999999999998</v>
      </c>
      <c r="N1775" s="2" t="s">
        <v>118</v>
      </c>
      <c r="O1775" s="2" t="str">
        <f t="shared" si="365"/>
        <v>BFCM25</v>
      </c>
      <c r="P1775" s="2">
        <v>4.75</v>
      </c>
      <c r="Q1775" s="19">
        <f t="shared" si="366"/>
        <v>4.75</v>
      </c>
      <c r="R1775" s="2" t="str">
        <f t="shared" si="367"/>
        <v>Number</v>
      </c>
      <c r="S1775" s="2">
        <v>7.99</v>
      </c>
      <c r="T1775" s="19">
        <f t="shared" si="368"/>
        <v>7.99</v>
      </c>
      <c r="U1775" s="2">
        <v>22.23</v>
      </c>
      <c r="V1775" s="19">
        <f t="shared" si="369"/>
        <v>22.23</v>
      </c>
      <c r="W1775" s="19">
        <f t="shared" si="370"/>
        <v>22.229999999999997</v>
      </c>
      <c r="X1775" s="19" t="str">
        <f t="shared" si="371"/>
        <v>True</v>
      </c>
      <c r="Y1775" s="19" t="str">
        <f>IF(OR(W1775&lt;'Cleaning Tasks'!$G$18,W1775&gt;'Cleaning Tasks'!$H$18),"Outlier","Normal")</f>
        <v>Normal</v>
      </c>
      <c r="Z1775" s="2" t="s">
        <v>49</v>
      </c>
      <c r="AA1775" s="2" t="s">
        <v>27</v>
      </c>
      <c r="AB1775" s="2" t="s">
        <v>41</v>
      </c>
      <c r="AC1775" s="2" t="s">
        <v>73</v>
      </c>
      <c r="AD1775" s="2"/>
      <c r="AE1775" s="2" t="str">
        <f t="shared" si="372"/>
        <v>Not Required</v>
      </c>
      <c r="AF1775" s="2" t="s">
        <v>4702</v>
      </c>
    </row>
    <row r="1776" spans="1:32" x14ac:dyDescent="0.3">
      <c r="A1776" s="2" t="s">
        <v>4703</v>
      </c>
      <c r="B1776" s="2">
        <f t="shared" si="362"/>
        <v>1</v>
      </c>
      <c r="C1776" s="12">
        <f t="shared" si="375"/>
        <v>46238.586033414351</v>
      </c>
      <c r="D1776" s="13">
        <v>46238.586033414351</v>
      </c>
      <c r="E1776" s="2" t="s">
        <v>1099</v>
      </c>
      <c r="F1776" s="2" t="str">
        <f t="shared" si="363"/>
        <v>Email Available</v>
      </c>
      <c r="G1776" s="2" t="s">
        <v>1100</v>
      </c>
      <c r="H1776" s="2" t="s">
        <v>361</v>
      </c>
      <c r="I1776" s="2" t="s">
        <v>86</v>
      </c>
      <c r="J1776" s="2" t="s">
        <v>362</v>
      </c>
      <c r="K1776" s="2">
        <v>2</v>
      </c>
      <c r="L1776" s="2">
        <v>54.99</v>
      </c>
      <c r="M1776" s="19">
        <f t="shared" si="364"/>
        <v>54.99</v>
      </c>
      <c r="N1776" s="2" t="s">
        <v>203</v>
      </c>
      <c r="O1776" s="2" t="str">
        <f t="shared" si="365"/>
        <v>VIP15</v>
      </c>
      <c r="P1776" s="2">
        <v>16.5</v>
      </c>
      <c r="Q1776" s="19">
        <f t="shared" si="366"/>
        <v>16.5</v>
      </c>
      <c r="R1776" s="2" t="str">
        <f t="shared" si="367"/>
        <v>Number</v>
      </c>
      <c r="S1776" s="2">
        <v>0</v>
      </c>
      <c r="T1776" s="19">
        <f t="shared" si="368"/>
        <v>0</v>
      </c>
      <c r="U1776" s="2">
        <v>93.48</v>
      </c>
      <c r="V1776" s="19">
        <f t="shared" si="369"/>
        <v>93.48</v>
      </c>
      <c r="W1776" s="19">
        <f t="shared" si="370"/>
        <v>93.48</v>
      </c>
      <c r="X1776" s="19" t="str">
        <f t="shared" si="371"/>
        <v>True</v>
      </c>
      <c r="Y1776" s="19" t="str">
        <f>IF(OR(W1776&lt;'Cleaning Tasks'!$G$18,W1776&gt;'Cleaning Tasks'!$H$18),"Outlier","Normal")</f>
        <v>Outlier</v>
      </c>
      <c r="Z1776" s="2" t="s">
        <v>66</v>
      </c>
      <c r="AA1776" s="2" t="s">
        <v>40</v>
      </c>
      <c r="AB1776" s="2" t="s">
        <v>50</v>
      </c>
      <c r="AC1776" s="2" t="s">
        <v>29</v>
      </c>
      <c r="AD1776" s="2" t="s">
        <v>30</v>
      </c>
      <c r="AE1776" s="2" t="str">
        <f t="shared" si="372"/>
        <v>Valid</v>
      </c>
      <c r="AF1776" s="2" t="s">
        <v>4704</v>
      </c>
    </row>
    <row r="1777" spans="1:32" x14ac:dyDescent="0.3">
      <c r="A1777" s="2" t="s">
        <v>4705</v>
      </c>
      <c r="B1777" s="2">
        <f t="shared" si="362"/>
        <v>1</v>
      </c>
      <c r="C1777" s="12">
        <f t="shared" si="375"/>
        <v>46238</v>
      </c>
      <c r="D1777" s="13" t="s">
        <v>143</v>
      </c>
      <c r="E1777" s="2" t="s">
        <v>2872</v>
      </c>
      <c r="F1777" s="2" t="str">
        <f t="shared" si="363"/>
        <v>Email Available</v>
      </c>
      <c r="G1777" s="2" t="s">
        <v>2873</v>
      </c>
      <c r="H1777" s="2" t="s">
        <v>201</v>
      </c>
      <c r="I1777" s="2" t="s">
        <v>191</v>
      </c>
      <c r="J1777" s="2" t="s">
        <v>202</v>
      </c>
      <c r="K1777" s="2">
        <v>1</v>
      </c>
      <c r="L1777" s="2">
        <v>24.99</v>
      </c>
      <c r="M1777" s="19">
        <f t="shared" si="364"/>
        <v>24.99</v>
      </c>
      <c r="N1777" s="2"/>
      <c r="O1777" s="2" t="str">
        <f t="shared" si="365"/>
        <v/>
      </c>
      <c r="P1777" s="2">
        <v>0</v>
      </c>
      <c r="Q1777" s="19">
        <f t="shared" si="366"/>
        <v>0</v>
      </c>
      <c r="R1777" s="2" t="str">
        <f t="shared" si="367"/>
        <v>Number</v>
      </c>
      <c r="S1777" s="2">
        <v>7.99</v>
      </c>
      <c r="T1777" s="19">
        <f t="shared" si="368"/>
        <v>7.99</v>
      </c>
      <c r="U1777" s="2">
        <v>32.979999999999997</v>
      </c>
      <c r="V1777" s="19">
        <f t="shared" si="369"/>
        <v>32.979999999999997</v>
      </c>
      <c r="W1777" s="19">
        <f t="shared" si="370"/>
        <v>32.979999999999997</v>
      </c>
      <c r="X1777" s="19" t="str">
        <f t="shared" si="371"/>
        <v>True</v>
      </c>
      <c r="Y1777" s="19" t="str">
        <f>IF(OR(W1777&lt;'Cleaning Tasks'!$G$18,W1777&gt;'Cleaning Tasks'!$H$18),"Outlier","Normal")</f>
        <v>Normal</v>
      </c>
      <c r="Z1777" s="2" t="s">
        <v>49</v>
      </c>
      <c r="AA1777" s="2" t="s">
        <v>88</v>
      </c>
      <c r="AB1777" s="2" t="s">
        <v>50</v>
      </c>
      <c r="AC1777" s="2" t="s">
        <v>29</v>
      </c>
      <c r="AD1777" s="22" t="s">
        <v>341</v>
      </c>
      <c r="AE1777" s="2" t="str">
        <f t="shared" si="372"/>
        <v>Valid</v>
      </c>
      <c r="AF1777" s="2" t="s">
        <v>4706</v>
      </c>
    </row>
    <row r="1778" spans="1:32" x14ac:dyDescent="0.3">
      <c r="A1778" s="2" t="s">
        <v>4707</v>
      </c>
      <c r="B1778" s="2">
        <f t="shared" si="362"/>
        <v>1</v>
      </c>
      <c r="C1778" s="12">
        <f t="shared" si="375"/>
        <v>46238</v>
      </c>
      <c r="D1778" s="13">
        <v>46238</v>
      </c>
      <c r="E1778" s="2" t="s">
        <v>1203</v>
      </c>
      <c r="F1778" s="2" t="str">
        <f t="shared" si="363"/>
        <v>Email Available</v>
      </c>
      <c r="G1778" s="2" t="s">
        <v>1204</v>
      </c>
      <c r="H1778" s="2" t="s">
        <v>182</v>
      </c>
      <c r="I1778" s="2" t="s">
        <v>36</v>
      </c>
      <c r="J1778" s="2" t="s">
        <v>183</v>
      </c>
      <c r="K1778" s="2">
        <v>1</v>
      </c>
      <c r="L1778" s="2">
        <v>11.99</v>
      </c>
      <c r="M1778" s="19">
        <f t="shared" si="364"/>
        <v>11.99</v>
      </c>
      <c r="N1778" s="2"/>
      <c r="O1778" s="2" t="str">
        <f t="shared" si="365"/>
        <v/>
      </c>
      <c r="P1778" s="2">
        <v>0</v>
      </c>
      <c r="Q1778" s="19">
        <f t="shared" si="366"/>
        <v>0</v>
      </c>
      <c r="R1778" s="2" t="str">
        <f t="shared" si="367"/>
        <v>Number</v>
      </c>
      <c r="S1778" s="2">
        <v>7.99</v>
      </c>
      <c r="T1778" s="19">
        <f t="shared" si="368"/>
        <v>7.99</v>
      </c>
      <c r="U1778" s="2" t="s">
        <v>1813</v>
      </c>
      <c r="V1778" s="19">
        <f t="shared" si="369"/>
        <v>19.98</v>
      </c>
      <c r="W1778" s="19">
        <f t="shared" si="370"/>
        <v>19.98</v>
      </c>
      <c r="X1778" s="19" t="str">
        <f t="shared" si="371"/>
        <v>True</v>
      </c>
      <c r="Y1778" s="19" t="str">
        <f>IF(OR(W1778&lt;'Cleaning Tasks'!$G$18,W1778&gt;'Cleaning Tasks'!$H$18),"Outlier","Normal")</f>
        <v>Normal</v>
      </c>
      <c r="Z1778" s="2" t="s">
        <v>49</v>
      </c>
      <c r="AA1778" s="2" t="s">
        <v>111</v>
      </c>
      <c r="AB1778" s="2" t="s">
        <v>50</v>
      </c>
      <c r="AC1778" s="2" t="s">
        <v>73</v>
      </c>
      <c r="AD1778" s="2"/>
      <c r="AE1778" s="2" t="str">
        <f t="shared" si="372"/>
        <v>Not Required</v>
      </c>
      <c r="AF1778" s="2" t="s">
        <v>4708</v>
      </c>
    </row>
    <row r="1779" spans="1:32" x14ac:dyDescent="0.3">
      <c r="A1779" s="2" t="s">
        <v>4709</v>
      </c>
      <c r="B1779" s="2">
        <f t="shared" si="362"/>
        <v>1</v>
      </c>
      <c r="C1779" s="12">
        <f t="shared" si="375"/>
        <v>46238.58847884259</v>
      </c>
      <c r="D1779" s="13">
        <v>46238.58847884259</v>
      </c>
      <c r="E1779" s="2" t="s">
        <v>1235</v>
      </c>
      <c r="F1779" s="2" t="str">
        <f t="shared" si="363"/>
        <v>Email Available</v>
      </c>
      <c r="G1779" s="2" t="s">
        <v>1236</v>
      </c>
      <c r="H1779" s="2" t="s">
        <v>267</v>
      </c>
      <c r="I1779" s="2" t="s">
        <v>22</v>
      </c>
      <c r="J1779" s="2" t="s">
        <v>268</v>
      </c>
      <c r="K1779" s="2">
        <v>1</v>
      </c>
      <c r="L1779" s="2">
        <v>18.989999999999998</v>
      </c>
      <c r="M1779" s="19">
        <f t="shared" si="364"/>
        <v>18.989999999999998</v>
      </c>
      <c r="N1779" s="2" t="s">
        <v>65</v>
      </c>
      <c r="O1779" s="2" t="str">
        <f t="shared" si="365"/>
        <v>WELCOME10</v>
      </c>
      <c r="P1779" s="2">
        <v>1.9</v>
      </c>
      <c r="Q1779" s="19">
        <f t="shared" si="366"/>
        <v>1.9</v>
      </c>
      <c r="R1779" s="2" t="str">
        <f t="shared" si="367"/>
        <v>Number</v>
      </c>
      <c r="S1779" s="2">
        <v>4.99</v>
      </c>
      <c r="T1779" s="19">
        <f t="shared" si="368"/>
        <v>4.99</v>
      </c>
      <c r="U1779" s="2">
        <v>22.08</v>
      </c>
      <c r="V1779" s="19">
        <f t="shared" si="369"/>
        <v>22.08</v>
      </c>
      <c r="W1779" s="19">
        <f t="shared" si="370"/>
        <v>22.08</v>
      </c>
      <c r="X1779" s="19" t="str">
        <f t="shared" si="371"/>
        <v>True</v>
      </c>
      <c r="Y1779" s="19" t="str">
        <f>IF(OR(W1779&lt;'Cleaning Tasks'!$G$18,W1779&gt;'Cleaning Tasks'!$H$18),"Outlier","Normal")</f>
        <v>Normal</v>
      </c>
      <c r="Z1779" s="2" t="s">
        <v>39</v>
      </c>
      <c r="AA1779" s="2" t="s">
        <v>27</v>
      </c>
      <c r="AB1779" s="2" t="s">
        <v>41</v>
      </c>
      <c r="AC1779" s="2" t="s">
        <v>105</v>
      </c>
      <c r="AD1779" s="2"/>
      <c r="AE1779" s="2" t="str">
        <f t="shared" si="372"/>
        <v>Not Required</v>
      </c>
      <c r="AF1779" s="2" t="s">
        <v>4710</v>
      </c>
    </row>
    <row r="1780" spans="1:32" x14ac:dyDescent="0.3">
      <c r="A1780" s="2" t="s">
        <v>4711</v>
      </c>
      <c r="B1780" s="2">
        <f t="shared" si="362"/>
        <v>1</v>
      </c>
      <c r="C1780" s="12">
        <f t="shared" si="375"/>
        <v>46238.587262280103</v>
      </c>
      <c r="D1780" s="13">
        <v>46238.587262280103</v>
      </c>
      <c r="E1780" s="2" t="s">
        <v>1349</v>
      </c>
      <c r="F1780" s="2" t="str">
        <f t="shared" si="363"/>
        <v>Email Available</v>
      </c>
      <c r="G1780" s="2" t="s">
        <v>1350</v>
      </c>
      <c r="H1780" s="2" t="s">
        <v>117</v>
      </c>
      <c r="I1780" s="2" t="s">
        <v>22</v>
      </c>
      <c r="J1780" s="2" t="s">
        <v>23</v>
      </c>
      <c r="K1780" s="2">
        <v>1</v>
      </c>
      <c r="L1780" s="2">
        <v>12.99</v>
      </c>
      <c r="M1780" s="19">
        <f t="shared" si="364"/>
        <v>12.99</v>
      </c>
      <c r="N1780" s="2" t="s">
        <v>203</v>
      </c>
      <c r="O1780" s="2" t="str">
        <f t="shared" si="365"/>
        <v>VIP15</v>
      </c>
      <c r="P1780" s="2">
        <v>1.95</v>
      </c>
      <c r="Q1780" s="19">
        <f t="shared" si="366"/>
        <v>1.95</v>
      </c>
      <c r="R1780" s="2" t="str">
        <f t="shared" si="367"/>
        <v>Number</v>
      </c>
      <c r="S1780" s="2">
        <v>5.99</v>
      </c>
      <c r="T1780" s="19">
        <f t="shared" si="368"/>
        <v>5.99</v>
      </c>
      <c r="U1780" s="2">
        <v>17.03</v>
      </c>
      <c r="V1780" s="19">
        <f t="shared" si="369"/>
        <v>17.03</v>
      </c>
      <c r="W1780" s="19">
        <f t="shared" si="370"/>
        <v>17.03</v>
      </c>
      <c r="X1780" s="19" t="str">
        <f t="shared" si="371"/>
        <v>True</v>
      </c>
      <c r="Y1780" s="19" t="str">
        <f>IF(OR(W1780&lt;'Cleaning Tasks'!$G$18,W1780&gt;'Cleaning Tasks'!$H$18),"Outlier","Normal")</f>
        <v>Normal</v>
      </c>
      <c r="Z1780" s="2" t="s">
        <v>26</v>
      </c>
      <c r="AA1780" s="2" t="s">
        <v>40</v>
      </c>
      <c r="AB1780" s="2" t="s">
        <v>41</v>
      </c>
      <c r="AC1780" s="2" t="s">
        <v>42</v>
      </c>
      <c r="AD1780" s="2"/>
      <c r="AE1780" s="2" t="str">
        <f t="shared" si="372"/>
        <v>Not Required</v>
      </c>
      <c r="AF1780" s="2" t="s">
        <v>4712</v>
      </c>
    </row>
    <row r="1781" spans="1:32" x14ac:dyDescent="0.3">
      <c r="A1781" s="2" t="s">
        <v>4713</v>
      </c>
      <c r="B1781" s="2">
        <f t="shared" si="362"/>
        <v>1</v>
      </c>
      <c r="C1781" s="12">
        <f t="shared" si="375"/>
        <v>46238.586742835651</v>
      </c>
      <c r="D1781" s="13">
        <v>46238.586742835651</v>
      </c>
      <c r="E1781" s="2" t="s">
        <v>1475</v>
      </c>
      <c r="F1781" s="2" t="str">
        <f t="shared" si="363"/>
        <v>Email Available</v>
      </c>
      <c r="G1781" s="2" t="s">
        <v>1476</v>
      </c>
      <c r="H1781" s="2" t="s">
        <v>102</v>
      </c>
      <c r="I1781" s="2" t="s">
        <v>103</v>
      </c>
      <c r="J1781" s="2" t="s">
        <v>104</v>
      </c>
      <c r="K1781" s="2">
        <v>1</v>
      </c>
      <c r="L1781" s="2">
        <v>19.989999999999998</v>
      </c>
      <c r="M1781" s="19">
        <f t="shared" si="364"/>
        <v>19.989999999999998</v>
      </c>
      <c r="N1781" s="2" t="s">
        <v>203</v>
      </c>
      <c r="O1781" s="2" t="str">
        <f t="shared" si="365"/>
        <v>VIP15</v>
      </c>
      <c r="P1781" s="2">
        <v>3</v>
      </c>
      <c r="Q1781" s="19">
        <f t="shared" si="366"/>
        <v>3</v>
      </c>
      <c r="R1781" s="2" t="str">
        <f t="shared" si="367"/>
        <v>Number</v>
      </c>
      <c r="S1781" s="2">
        <v>7.99</v>
      </c>
      <c r="T1781" s="19">
        <f t="shared" si="368"/>
        <v>7.99</v>
      </c>
      <c r="U1781" s="2">
        <v>24.98</v>
      </c>
      <c r="V1781" s="19">
        <f t="shared" si="369"/>
        <v>24.98</v>
      </c>
      <c r="W1781" s="19">
        <f t="shared" si="370"/>
        <v>24.979999999999997</v>
      </c>
      <c r="X1781" s="19" t="str">
        <f t="shared" si="371"/>
        <v>True</v>
      </c>
      <c r="Y1781" s="19" t="str">
        <f>IF(OR(W1781&lt;'Cleaning Tasks'!$G$18,W1781&gt;'Cleaning Tasks'!$H$18),"Outlier","Normal")</f>
        <v>Normal</v>
      </c>
      <c r="Z1781" s="2" t="s">
        <v>49</v>
      </c>
      <c r="AA1781" s="2" t="s">
        <v>27</v>
      </c>
      <c r="AB1781" s="2" t="s">
        <v>41</v>
      </c>
      <c r="AC1781" s="2" t="s">
        <v>42</v>
      </c>
      <c r="AD1781" s="2"/>
      <c r="AE1781" s="2" t="str">
        <f t="shared" si="372"/>
        <v>Not Required</v>
      </c>
      <c r="AF1781" s="2" t="s">
        <v>4714</v>
      </c>
    </row>
    <row r="1782" spans="1:32" x14ac:dyDescent="0.3">
      <c r="A1782" s="2" t="s">
        <v>4715</v>
      </c>
      <c r="B1782" s="2">
        <f t="shared" si="362"/>
        <v>1</v>
      </c>
      <c r="C1782" s="12">
        <f t="shared" si="375"/>
        <v>46238.588169189818</v>
      </c>
      <c r="D1782" s="13">
        <v>46238.588169189818</v>
      </c>
      <c r="E1782" s="2"/>
      <c r="F1782" s="2" t="str">
        <f t="shared" si="363"/>
        <v>Email Available</v>
      </c>
      <c r="G1782" s="2" t="s">
        <v>726</v>
      </c>
      <c r="H1782" s="2" t="s">
        <v>261</v>
      </c>
      <c r="I1782" s="2" t="s">
        <v>36</v>
      </c>
      <c r="J1782" s="2" t="s">
        <v>262</v>
      </c>
      <c r="K1782" s="2">
        <v>1</v>
      </c>
      <c r="L1782" s="2">
        <v>15.49</v>
      </c>
      <c r="M1782" s="19">
        <f t="shared" si="364"/>
        <v>15.49</v>
      </c>
      <c r="N1782" s="2"/>
      <c r="O1782" s="2" t="str">
        <f t="shared" si="365"/>
        <v/>
      </c>
      <c r="P1782" s="2">
        <v>0</v>
      </c>
      <c r="Q1782" s="19">
        <f t="shared" si="366"/>
        <v>0</v>
      </c>
      <c r="R1782" s="2" t="str">
        <f t="shared" si="367"/>
        <v>Number</v>
      </c>
      <c r="S1782" s="2">
        <v>5.99</v>
      </c>
      <c r="T1782" s="19">
        <f t="shared" si="368"/>
        <v>5.99</v>
      </c>
      <c r="U1782" s="2">
        <v>21.48</v>
      </c>
      <c r="V1782" s="19">
        <f t="shared" si="369"/>
        <v>21.48</v>
      </c>
      <c r="W1782" s="19">
        <f t="shared" si="370"/>
        <v>21.48</v>
      </c>
      <c r="X1782" s="19" t="str">
        <f t="shared" si="371"/>
        <v>True</v>
      </c>
      <c r="Y1782" s="19" t="str">
        <f>IF(OR(W1782&lt;'Cleaning Tasks'!$G$18,W1782&gt;'Cleaning Tasks'!$H$18),"Outlier","Normal")</f>
        <v>Normal</v>
      </c>
      <c r="Z1782" s="2" t="s">
        <v>39</v>
      </c>
      <c r="AA1782" s="2" t="s">
        <v>27</v>
      </c>
      <c r="AB1782" s="2" t="s">
        <v>50</v>
      </c>
      <c r="AC1782" s="2" t="s">
        <v>105</v>
      </c>
      <c r="AD1782" s="2"/>
      <c r="AE1782" s="2" t="str">
        <f t="shared" si="372"/>
        <v>Not Required</v>
      </c>
      <c r="AF1782" s="2" t="s">
        <v>4716</v>
      </c>
    </row>
    <row r="1783" spans="1:32" x14ac:dyDescent="0.3">
      <c r="A1783" s="2" t="s">
        <v>4717</v>
      </c>
      <c r="B1783" s="2">
        <f t="shared" si="362"/>
        <v>1</v>
      </c>
      <c r="C1783" s="12">
        <f t="shared" si="375"/>
        <v>46238.581343634258</v>
      </c>
      <c r="D1783" s="13">
        <v>46238.581343634258</v>
      </c>
      <c r="E1783" s="2" t="s">
        <v>1532</v>
      </c>
      <c r="F1783" s="2" t="str">
        <f t="shared" si="363"/>
        <v>Email Available</v>
      </c>
      <c r="G1783" s="2" t="s">
        <v>1533</v>
      </c>
      <c r="H1783" s="2" t="s">
        <v>78</v>
      </c>
      <c r="I1783" s="2" t="s">
        <v>79</v>
      </c>
      <c r="J1783" s="2" t="s">
        <v>80</v>
      </c>
      <c r="K1783" s="2">
        <v>2</v>
      </c>
      <c r="L1783" s="2">
        <v>89.99</v>
      </c>
      <c r="M1783" s="19">
        <f t="shared" si="364"/>
        <v>89.99</v>
      </c>
      <c r="N1783" s="2"/>
      <c r="O1783" s="2" t="str">
        <f t="shared" si="365"/>
        <v/>
      </c>
      <c r="P1783" s="2">
        <v>0</v>
      </c>
      <c r="Q1783" s="19">
        <f t="shared" si="366"/>
        <v>0</v>
      </c>
      <c r="R1783" s="2" t="str">
        <f t="shared" si="367"/>
        <v>Number</v>
      </c>
      <c r="S1783" s="2">
        <v>0</v>
      </c>
      <c r="T1783" s="19">
        <f t="shared" si="368"/>
        <v>0</v>
      </c>
      <c r="U1783" s="2" t="s">
        <v>2128</v>
      </c>
      <c r="V1783" s="19">
        <f t="shared" si="369"/>
        <v>179.98</v>
      </c>
      <c r="W1783" s="19">
        <f t="shared" si="370"/>
        <v>179.98</v>
      </c>
      <c r="X1783" s="19" t="str">
        <f t="shared" si="371"/>
        <v>True</v>
      </c>
      <c r="Y1783" s="19" t="str">
        <f>IF(OR(W1783&lt;'Cleaning Tasks'!$G$18,W1783&gt;'Cleaning Tasks'!$H$18),"Outlier","Normal")</f>
        <v>Outlier</v>
      </c>
      <c r="Z1783" s="2" t="s">
        <v>49</v>
      </c>
      <c r="AA1783" s="2" t="s">
        <v>27</v>
      </c>
      <c r="AB1783" s="2" t="s">
        <v>41</v>
      </c>
      <c r="AC1783" s="2" t="s">
        <v>73</v>
      </c>
      <c r="AD1783" s="2"/>
      <c r="AE1783" s="2" t="str">
        <f t="shared" si="372"/>
        <v>Not Required</v>
      </c>
      <c r="AF1783" s="2" t="s">
        <v>4718</v>
      </c>
    </row>
    <row r="1784" spans="1:32" x14ac:dyDescent="0.3">
      <c r="A1784" s="2" t="s">
        <v>4719</v>
      </c>
      <c r="B1784" s="2">
        <f t="shared" si="362"/>
        <v>1</v>
      </c>
      <c r="C1784" s="12">
        <f t="shared" si="375"/>
        <v>46238</v>
      </c>
      <c r="D1784" s="13">
        <v>46238</v>
      </c>
      <c r="E1784" s="2" t="s">
        <v>188</v>
      </c>
      <c r="F1784" s="2" t="str">
        <f t="shared" si="363"/>
        <v>Email Available</v>
      </c>
      <c r="G1784" s="2" t="s">
        <v>189</v>
      </c>
      <c r="H1784" s="2" t="s">
        <v>85</v>
      </c>
      <c r="I1784" s="2" t="s">
        <v>86</v>
      </c>
      <c r="J1784" s="2" t="s">
        <v>87</v>
      </c>
      <c r="K1784" s="2">
        <v>1</v>
      </c>
      <c r="L1784" s="2">
        <v>54.99</v>
      </c>
      <c r="M1784" s="19">
        <f t="shared" si="364"/>
        <v>54.99</v>
      </c>
      <c r="N1784" s="2"/>
      <c r="O1784" s="2" t="str">
        <f t="shared" si="365"/>
        <v/>
      </c>
      <c r="P1784" s="2">
        <v>0</v>
      </c>
      <c r="Q1784" s="19">
        <f t="shared" si="366"/>
        <v>0</v>
      </c>
      <c r="R1784" s="2" t="str">
        <f t="shared" si="367"/>
        <v>Number</v>
      </c>
      <c r="S1784" s="2">
        <v>5.99</v>
      </c>
      <c r="T1784" s="19">
        <f t="shared" si="368"/>
        <v>5.99</v>
      </c>
      <c r="U1784" s="2">
        <v>60.98</v>
      </c>
      <c r="V1784" s="19">
        <f t="shared" si="369"/>
        <v>60.98</v>
      </c>
      <c r="W1784" s="19">
        <f t="shared" si="370"/>
        <v>60.980000000000004</v>
      </c>
      <c r="X1784" s="19" t="str">
        <f t="shared" si="371"/>
        <v>True</v>
      </c>
      <c r="Y1784" s="19" t="str">
        <f>IF(OR(W1784&lt;'Cleaning Tasks'!$G$18,W1784&gt;'Cleaning Tasks'!$H$18),"Outlier","Normal")</f>
        <v>Normal</v>
      </c>
      <c r="Z1784" s="2" t="s">
        <v>66</v>
      </c>
      <c r="AA1784" s="2" t="s">
        <v>27</v>
      </c>
      <c r="AB1784" s="2" t="s">
        <v>50</v>
      </c>
      <c r="AC1784" s="2" t="s">
        <v>29</v>
      </c>
      <c r="AD1784" s="2" t="s">
        <v>243</v>
      </c>
      <c r="AE1784" s="2" t="str">
        <f t="shared" si="372"/>
        <v>Valid</v>
      </c>
      <c r="AF1784" s="2" t="s">
        <v>4720</v>
      </c>
    </row>
    <row r="1785" spans="1:32" x14ac:dyDescent="0.3">
      <c r="A1785" s="2" t="s">
        <v>4721</v>
      </c>
      <c r="B1785" s="2">
        <f t="shared" si="362"/>
        <v>1</v>
      </c>
      <c r="C1785" s="12">
        <f t="shared" si="375"/>
        <v>46238.581125925928</v>
      </c>
      <c r="D1785" s="13">
        <v>46238.581125925928</v>
      </c>
      <c r="E1785" s="2" t="s">
        <v>606</v>
      </c>
      <c r="F1785" s="2" t="str">
        <f t="shared" si="363"/>
        <v>Email Available</v>
      </c>
      <c r="G1785" s="2" t="s">
        <v>607</v>
      </c>
      <c r="H1785" s="2" t="s">
        <v>201</v>
      </c>
      <c r="I1785" s="2" t="s">
        <v>191</v>
      </c>
      <c r="J1785" s="2" t="s">
        <v>202</v>
      </c>
      <c r="K1785" s="2">
        <v>1</v>
      </c>
      <c r="L1785" s="2">
        <v>24.99</v>
      </c>
      <c r="M1785" s="19">
        <f t="shared" si="364"/>
        <v>24.99</v>
      </c>
      <c r="N1785" s="2"/>
      <c r="O1785" s="2" t="str">
        <f t="shared" si="365"/>
        <v/>
      </c>
      <c r="P1785" s="2">
        <v>0</v>
      </c>
      <c r="Q1785" s="19">
        <f t="shared" si="366"/>
        <v>0</v>
      </c>
      <c r="R1785" s="2" t="str">
        <f t="shared" si="367"/>
        <v>Number</v>
      </c>
      <c r="S1785" s="2">
        <v>5.99</v>
      </c>
      <c r="T1785" s="19">
        <f t="shared" si="368"/>
        <v>5.99</v>
      </c>
      <c r="U1785" s="2">
        <v>30.98</v>
      </c>
      <c r="V1785" s="19">
        <f t="shared" si="369"/>
        <v>30.98</v>
      </c>
      <c r="W1785" s="19">
        <f t="shared" si="370"/>
        <v>30.979999999999997</v>
      </c>
      <c r="X1785" s="19" t="str">
        <f t="shared" si="371"/>
        <v>True</v>
      </c>
      <c r="Y1785" s="19" t="str">
        <f>IF(OR(W1785&lt;'Cleaning Tasks'!$G$18,W1785&gt;'Cleaning Tasks'!$H$18),"Outlier","Normal")</f>
        <v>Normal</v>
      </c>
      <c r="Z1785" s="2" t="s">
        <v>66</v>
      </c>
      <c r="AA1785" s="2" t="s">
        <v>88</v>
      </c>
      <c r="AB1785" s="2" t="s">
        <v>96</v>
      </c>
      <c r="AC1785" s="2" t="s">
        <v>42</v>
      </c>
      <c r="AD1785" s="2"/>
      <c r="AE1785" s="2" t="str">
        <f t="shared" si="372"/>
        <v>Not Required</v>
      </c>
      <c r="AF1785" s="2" t="s">
        <v>4722</v>
      </c>
    </row>
    <row r="1786" spans="1:32" x14ac:dyDescent="0.3">
      <c r="A1786" s="2" t="s">
        <v>4723</v>
      </c>
      <c r="B1786" s="2">
        <f t="shared" si="362"/>
        <v>1</v>
      </c>
      <c r="C1786" s="12">
        <f t="shared" si="375"/>
        <v>46238.585126724538</v>
      </c>
      <c r="D1786" s="13">
        <v>46238.585126724538</v>
      </c>
      <c r="E1786" s="2" t="s">
        <v>780</v>
      </c>
      <c r="F1786" s="2" t="str">
        <f t="shared" si="363"/>
        <v>Email Available</v>
      </c>
      <c r="G1786" s="2" t="s">
        <v>781</v>
      </c>
      <c r="H1786" s="2" t="s">
        <v>46</v>
      </c>
      <c r="I1786" s="2" t="s">
        <v>47</v>
      </c>
      <c r="J1786" s="2" t="s">
        <v>48</v>
      </c>
      <c r="K1786" s="2">
        <v>1</v>
      </c>
      <c r="L1786" s="2">
        <v>39.99</v>
      </c>
      <c r="M1786" s="19">
        <f t="shared" si="364"/>
        <v>39.99</v>
      </c>
      <c r="N1786" s="2"/>
      <c r="O1786" s="2" t="str">
        <f t="shared" si="365"/>
        <v/>
      </c>
      <c r="P1786" s="2">
        <v>0</v>
      </c>
      <c r="Q1786" s="19">
        <f t="shared" si="366"/>
        <v>0</v>
      </c>
      <c r="R1786" s="2" t="str">
        <f t="shared" si="367"/>
        <v>Number</v>
      </c>
      <c r="S1786" s="2">
        <v>5.99</v>
      </c>
      <c r="T1786" s="19">
        <f t="shared" si="368"/>
        <v>5.99</v>
      </c>
      <c r="U1786" s="2">
        <v>45.98</v>
      </c>
      <c r="V1786" s="19">
        <f t="shared" si="369"/>
        <v>45.98</v>
      </c>
      <c r="W1786" s="19">
        <f t="shared" si="370"/>
        <v>45.980000000000004</v>
      </c>
      <c r="X1786" s="19" t="str">
        <f t="shared" si="371"/>
        <v>True</v>
      </c>
      <c r="Y1786" s="19" t="str">
        <f>IF(OR(W1786&lt;'Cleaning Tasks'!$G$18,W1786&gt;'Cleaning Tasks'!$H$18),"Outlier","Normal")</f>
        <v>Normal</v>
      </c>
      <c r="Z1786" s="2" t="s">
        <v>49</v>
      </c>
      <c r="AA1786" s="2" t="s">
        <v>40</v>
      </c>
      <c r="AB1786" s="2" t="s">
        <v>50</v>
      </c>
      <c r="AC1786" s="2" t="s">
        <v>223</v>
      </c>
      <c r="AD1786" s="2"/>
      <c r="AE1786" s="2" t="str">
        <f t="shared" si="372"/>
        <v>Not Required</v>
      </c>
      <c r="AF1786" s="2" t="s">
        <v>4724</v>
      </c>
    </row>
    <row r="1787" spans="1:32" x14ac:dyDescent="0.3">
      <c r="A1787" s="2" t="s">
        <v>4725</v>
      </c>
      <c r="B1787" s="2">
        <f t="shared" si="362"/>
        <v>1</v>
      </c>
      <c r="C1787" s="12">
        <f t="shared" si="375"/>
        <v>46238.583528009258</v>
      </c>
      <c r="D1787" s="13">
        <v>46238.583528009258</v>
      </c>
      <c r="E1787" s="2" t="s">
        <v>1084</v>
      </c>
      <c r="F1787" s="2" t="str">
        <f t="shared" si="363"/>
        <v>Missing Email</v>
      </c>
      <c r="G1787" s="2"/>
      <c r="H1787" s="2" t="s">
        <v>279</v>
      </c>
      <c r="I1787" s="2" t="s">
        <v>22</v>
      </c>
      <c r="J1787" s="2" t="s">
        <v>280</v>
      </c>
      <c r="K1787" s="2">
        <v>1</v>
      </c>
      <c r="L1787" s="2">
        <v>24.99</v>
      </c>
      <c r="M1787" s="19">
        <f t="shared" si="364"/>
        <v>24.99</v>
      </c>
      <c r="N1787" s="2" t="s">
        <v>38</v>
      </c>
      <c r="O1787" s="2" t="str">
        <f t="shared" si="365"/>
        <v>FREESHIP</v>
      </c>
      <c r="P1787" s="2">
        <v>0</v>
      </c>
      <c r="Q1787" s="19">
        <f t="shared" si="366"/>
        <v>0</v>
      </c>
      <c r="R1787" s="2" t="str">
        <f t="shared" si="367"/>
        <v>Number</v>
      </c>
      <c r="S1787" s="2">
        <v>0</v>
      </c>
      <c r="T1787" s="19">
        <f t="shared" si="368"/>
        <v>0</v>
      </c>
      <c r="U1787" s="2">
        <v>24.99</v>
      </c>
      <c r="V1787" s="19">
        <f t="shared" si="369"/>
        <v>24.99</v>
      </c>
      <c r="W1787" s="19">
        <f t="shared" si="370"/>
        <v>24.99</v>
      </c>
      <c r="X1787" s="19" t="str">
        <f t="shared" si="371"/>
        <v>True</v>
      </c>
      <c r="Y1787" s="19" t="str">
        <f>IF(OR(W1787&lt;'Cleaning Tasks'!$G$18,W1787&gt;'Cleaning Tasks'!$H$18),"Outlier","Normal")</f>
        <v>Normal</v>
      </c>
      <c r="Z1787" s="2" t="s">
        <v>66</v>
      </c>
      <c r="AA1787" s="2" t="s">
        <v>88</v>
      </c>
      <c r="AB1787" s="2" t="s">
        <v>96</v>
      </c>
      <c r="AC1787" s="2" t="s">
        <v>29</v>
      </c>
      <c r="AD1787" s="2" t="s">
        <v>67</v>
      </c>
      <c r="AE1787" s="2" t="str">
        <f t="shared" si="372"/>
        <v>Valid</v>
      </c>
      <c r="AF1787" s="2" t="s">
        <v>4726</v>
      </c>
    </row>
    <row r="1788" spans="1:32" x14ac:dyDescent="0.3">
      <c r="A1788" s="2" t="s">
        <v>4727</v>
      </c>
      <c r="B1788" s="2">
        <f t="shared" si="362"/>
        <v>1</v>
      </c>
      <c r="C1788" s="12">
        <f t="shared" si="375"/>
        <v>46238.586725972222</v>
      </c>
      <c r="D1788" s="13">
        <v>46238.586725972222</v>
      </c>
      <c r="E1788" s="2" t="s">
        <v>494</v>
      </c>
      <c r="F1788" s="2" t="str">
        <f t="shared" si="363"/>
        <v>Email Available</v>
      </c>
      <c r="G1788" s="2" t="s">
        <v>495</v>
      </c>
      <c r="H1788" s="2" t="s">
        <v>130</v>
      </c>
      <c r="I1788" s="2" t="s">
        <v>103</v>
      </c>
      <c r="J1788" s="2" t="s">
        <v>131</v>
      </c>
      <c r="K1788" s="2">
        <v>1</v>
      </c>
      <c r="L1788" s="2">
        <v>16.989999999999998</v>
      </c>
      <c r="M1788" s="19">
        <f t="shared" si="364"/>
        <v>16.989999999999998</v>
      </c>
      <c r="N1788" s="2" t="s">
        <v>118</v>
      </c>
      <c r="O1788" s="2" t="str">
        <f t="shared" si="365"/>
        <v>BFCM25</v>
      </c>
      <c r="P1788" s="2">
        <v>4.25</v>
      </c>
      <c r="Q1788" s="19">
        <f t="shared" si="366"/>
        <v>4.25</v>
      </c>
      <c r="R1788" s="2" t="str">
        <f t="shared" si="367"/>
        <v>Number</v>
      </c>
      <c r="S1788" s="2">
        <v>7.99</v>
      </c>
      <c r="T1788" s="19">
        <f t="shared" si="368"/>
        <v>7.99</v>
      </c>
      <c r="U1788" s="2">
        <v>20.73</v>
      </c>
      <c r="V1788" s="19">
        <f t="shared" si="369"/>
        <v>20.73</v>
      </c>
      <c r="W1788" s="19">
        <f t="shared" si="370"/>
        <v>20.729999999999997</v>
      </c>
      <c r="X1788" s="19" t="str">
        <f t="shared" si="371"/>
        <v>True</v>
      </c>
      <c r="Y1788" s="19" t="str">
        <f>IF(OR(W1788&lt;'Cleaning Tasks'!$G$18,W1788&gt;'Cleaning Tasks'!$H$18),"Outlier","Normal")</f>
        <v>Normal</v>
      </c>
      <c r="Z1788" s="2" t="s">
        <v>26</v>
      </c>
      <c r="AA1788" s="2" t="s">
        <v>111</v>
      </c>
      <c r="AB1788" s="2" t="s">
        <v>50</v>
      </c>
      <c r="AC1788" s="2" t="s">
        <v>105</v>
      </c>
      <c r="AD1788" s="2"/>
      <c r="AE1788" s="2" t="str">
        <f t="shared" si="372"/>
        <v>Not Required</v>
      </c>
      <c r="AF1788" s="2" t="s">
        <v>4728</v>
      </c>
    </row>
    <row r="1789" spans="1:32" x14ac:dyDescent="0.3">
      <c r="A1789" s="2" t="s">
        <v>4729</v>
      </c>
      <c r="B1789" s="2">
        <f t="shared" si="362"/>
        <v>1</v>
      </c>
      <c r="C1789" s="12">
        <f t="shared" si="375"/>
        <v>46238.578977372686</v>
      </c>
      <c r="D1789" s="13">
        <v>46238.578977372686</v>
      </c>
      <c r="E1789" s="2" t="s">
        <v>1099</v>
      </c>
      <c r="F1789" s="2" t="str">
        <f t="shared" si="363"/>
        <v>Email Available</v>
      </c>
      <c r="G1789" s="2" t="s">
        <v>1100</v>
      </c>
      <c r="H1789" s="2" t="s">
        <v>124</v>
      </c>
      <c r="I1789" s="2" t="s">
        <v>79</v>
      </c>
      <c r="J1789" s="2" t="s">
        <v>125</v>
      </c>
      <c r="K1789" s="2">
        <v>1</v>
      </c>
      <c r="L1789" s="2">
        <v>13.99</v>
      </c>
      <c r="M1789" s="19">
        <f t="shared" si="364"/>
        <v>13.99</v>
      </c>
      <c r="N1789" s="2" t="s">
        <v>24</v>
      </c>
      <c r="O1789" s="2" t="str">
        <f t="shared" si="365"/>
        <v>SAVE20</v>
      </c>
      <c r="P1789" s="2">
        <v>2.8</v>
      </c>
      <c r="Q1789" s="19">
        <f t="shared" si="366"/>
        <v>2.8</v>
      </c>
      <c r="R1789" s="2" t="str">
        <f t="shared" si="367"/>
        <v>Number</v>
      </c>
      <c r="S1789" s="2">
        <v>4.99</v>
      </c>
      <c r="T1789" s="19">
        <f t="shared" si="368"/>
        <v>4.99</v>
      </c>
      <c r="U1789" s="2">
        <v>16.18</v>
      </c>
      <c r="V1789" s="19">
        <f t="shared" si="369"/>
        <v>16.18</v>
      </c>
      <c r="W1789" s="19">
        <f t="shared" si="370"/>
        <v>16.18</v>
      </c>
      <c r="X1789" s="19" t="str">
        <f t="shared" si="371"/>
        <v>True</v>
      </c>
      <c r="Y1789" s="19" t="str">
        <f>IF(OR(W1789&lt;'Cleaning Tasks'!$G$18,W1789&gt;'Cleaning Tasks'!$H$18),"Outlier","Normal")</f>
        <v>Normal</v>
      </c>
      <c r="Z1789" s="2" t="s">
        <v>72</v>
      </c>
      <c r="AA1789" s="2" t="s">
        <v>27</v>
      </c>
      <c r="AB1789" s="2" t="s">
        <v>50</v>
      </c>
      <c r="AC1789" s="2" t="s">
        <v>29</v>
      </c>
      <c r="AD1789" s="2" t="s">
        <v>89</v>
      </c>
      <c r="AE1789" s="2" t="str">
        <f t="shared" si="372"/>
        <v>Valid</v>
      </c>
      <c r="AF1789" s="2" t="s">
        <v>4730</v>
      </c>
    </row>
    <row r="1790" spans="1:32" x14ac:dyDescent="0.3">
      <c r="A1790" s="2" t="s">
        <v>4731</v>
      </c>
      <c r="B1790" s="2">
        <f t="shared" si="362"/>
        <v>1</v>
      </c>
      <c r="C1790" s="12">
        <f t="shared" si="375"/>
        <v>46238.588808981483</v>
      </c>
      <c r="D1790" s="13">
        <v>46238.588808981483</v>
      </c>
      <c r="E1790" s="2" t="s">
        <v>756</v>
      </c>
      <c r="F1790" s="2" t="str">
        <f t="shared" si="363"/>
        <v>Email Available</v>
      </c>
      <c r="G1790" s="2" t="s">
        <v>757</v>
      </c>
      <c r="H1790" s="2" t="s">
        <v>182</v>
      </c>
      <c r="I1790" s="2" t="s">
        <v>36</v>
      </c>
      <c r="J1790" s="2" t="s">
        <v>183</v>
      </c>
      <c r="K1790" s="2">
        <v>1</v>
      </c>
      <c r="L1790" s="2">
        <v>11.99</v>
      </c>
      <c r="M1790" s="19">
        <f t="shared" si="364"/>
        <v>11.99</v>
      </c>
      <c r="N1790" s="2" t="s">
        <v>118</v>
      </c>
      <c r="O1790" s="2" t="str">
        <f t="shared" si="365"/>
        <v>BFCM25</v>
      </c>
      <c r="P1790" s="2" t="s">
        <v>4580</v>
      </c>
      <c r="Q1790" s="19">
        <f t="shared" si="366"/>
        <v>3</v>
      </c>
      <c r="R1790" s="2" t="str">
        <f t="shared" si="367"/>
        <v>Number</v>
      </c>
      <c r="S1790" s="2">
        <v>5.99</v>
      </c>
      <c r="T1790" s="19">
        <f t="shared" si="368"/>
        <v>5.99</v>
      </c>
      <c r="U1790" s="2">
        <v>14.98</v>
      </c>
      <c r="V1790" s="19">
        <f t="shared" si="369"/>
        <v>14.98</v>
      </c>
      <c r="W1790" s="19">
        <f t="shared" si="370"/>
        <v>14.98</v>
      </c>
      <c r="X1790" s="19" t="str">
        <f t="shared" si="371"/>
        <v>True</v>
      </c>
      <c r="Y1790" s="19" t="str">
        <f>IF(OR(W1790&lt;'Cleaning Tasks'!$G$18,W1790&gt;'Cleaning Tasks'!$H$18),"Outlier","Normal")</f>
        <v>Normal</v>
      </c>
      <c r="Z1790" s="2" t="s">
        <v>72</v>
      </c>
      <c r="AA1790" s="2" t="s">
        <v>40</v>
      </c>
      <c r="AB1790" s="2" t="s">
        <v>50</v>
      </c>
      <c r="AC1790" s="2" t="s">
        <v>29</v>
      </c>
      <c r="AD1790" s="2" t="s">
        <v>112</v>
      </c>
      <c r="AE1790" s="2" t="str">
        <f t="shared" si="372"/>
        <v>Valid</v>
      </c>
      <c r="AF1790" s="2" t="s">
        <v>4732</v>
      </c>
    </row>
    <row r="1791" spans="1:32" x14ac:dyDescent="0.3">
      <c r="A1791" s="2" t="s">
        <v>4733</v>
      </c>
      <c r="B1791" s="2">
        <f t="shared" si="362"/>
        <v>1</v>
      </c>
      <c r="C1791" s="12">
        <f t="shared" si="375"/>
        <v>46238.580109363429</v>
      </c>
      <c r="D1791" s="13">
        <v>46238.580109363429</v>
      </c>
      <c r="E1791" s="2" t="s">
        <v>3312</v>
      </c>
      <c r="F1791" s="2" t="str">
        <f t="shared" si="363"/>
        <v>Email Available</v>
      </c>
      <c r="G1791" s="2" t="s">
        <v>737</v>
      </c>
      <c r="H1791" s="2" t="s">
        <v>130</v>
      </c>
      <c r="I1791" s="2" t="s">
        <v>103</v>
      </c>
      <c r="J1791" s="2" t="s">
        <v>131</v>
      </c>
      <c r="K1791" s="2">
        <v>1</v>
      </c>
      <c r="L1791" s="2">
        <v>16.989999999999998</v>
      </c>
      <c r="M1791" s="19">
        <f t="shared" si="364"/>
        <v>16.989999999999998</v>
      </c>
      <c r="N1791" s="2" t="s">
        <v>24</v>
      </c>
      <c r="O1791" s="2" t="str">
        <f t="shared" si="365"/>
        <v>SAVE20</v>
      </c>
      <c r="P1791" s="2">
        <v>3.4</v>
      </c>
      <c r="Q1791" s="19">
        <f t="shared" si="366"/>
        <v>3.4</v>
      </c>
      <c r="R1791" s="2" t="str">
        <f t="shared" si="367"/>
        <v>Number</v>
      </c>
      <c r="S1791" s="2">
        <v>7.99</v>
      </c>
      <c r="T1791" s="19">
        <f t="shared" si="368"/>
        <v>7.99</v>
      </c>
      <c r="U1791" s="2">
        <v>21.58</v>
      </c>
      <c r="V1791" s="19">
        <f t="shared" si="369"/>
        <v>21.58</v>
      </c>
      <c r="W1791" s="19">
        <f t="shared" si="370"/>
        <v>21.58</v>
      </c>
      <c r="X1791" s="19" t="str">
        <f t="shared" si="371"/>
        <v>True</v>
      </c>
      <c r="Y1791" s="19" t="str">
        <f>IF(OR(W1791&lt;'Cleaning Tasks'!$G$18,W1791&gt;'Cleaning Tasks'!$H$18),"Outlier","Normal")</f>
        <v>Normal</v>
      </c>
      <c r="Z1791" s="2" t="s">
        <v>66</v>
      </c>
      <c r="AA1791" s="2" t="s">
        <v>40</v>
      </c>
      <c r="AB1791" s="2" t="s">
        <v>96</v>
      </c>
      <c r="AC1791" s="2" t="s">
        <v>29</v>
      </c>
      <c r="AD1791" s="2" t="s">
        <v>51</v>
      </c>
      <c r="AE1791" s="2" t="str">
        <f t="shared" si="372"/>
        <v>Valid</v>
      </c>
      <c r="AF1791" s="2" t="s">
        <v>4734</v>
      </c>
    </row>
    <row r="1792" spans="1:32" x14ac:dyDescent="0.3">
      <c r="A1792" s="2" t="s">
        <v>4735</v>
      </c>
      <c r="B1792" s="2">
        <f t="shared" si="362"/>
        <v>1</v>
      </c>
      <c r="C1792" s="12">
        <f t="shared" si="375"/>
        <v>46238.584362291673</v>
      </c>
      <c r="D1792" s="13">
        <v>46238.584362291673</v>
      </c>
      <c r="E1792" s="2" t="s">
        <v>3790</v>
      </c>
      <c r="F1792" s="2" t="str">
        <f t="shared" si="363"/>
        <v>Email Available</v>
      </c>
      <c r="G1792" s="2" t="s">
        <v>3791</v>
      </c>
      <c r="H1792" s="2" t="s">
        <v>152</v>
      </c>
      <c r="I1792" s="2" t="s">
        <v>36</v>
      </c>
      <c r="J1792" s="2" t="s">
        <v>153</v>
      </c>
      <c r="K1792" s="2">
        <v>1</v>
      </c>
      <c r="L1792" s="2">
        <v>29.99</v>
      </c>
      <c r="M1792" s="19">
        <f t="shared" si="364"/>
        <v>29.99</v>
      </c>
      <c r="N1792" s="2"/>
      <c r="O1792" s="2" t="str">
        <f t="shared" si="365"/>
        <v/>
      </c>
      <c r="P1792" s="2">
        <v>0</v>
      </c>
      <c r="Q1792" s="19">
        <f t="shared" si="366"/>
        <v>0</v>
      </c>
      <c r="R1792" s="2" t="str">
        <f t="shared" si="367"/>
        <v>Number</v>
      </c>
      <c r="S1792" s="2">
        <v>4.99</v>
      </c>
      <c r="T1792" s="19">
        <f t="shared" si="368"/>
        <v>4.99</v>
      </c>
      <c r="U1792" s="2">
        <v>34.979999999999997</v>
      </c>
      <c r="V1792" s="19">
        <f t="shared" si="369"/>
        <v>34.979999999999997</v>
      </c>
      <c r="W1792" s="19">
        <f t="shared" si="370"/>
        <v>34.979999999999997</v>
      </c>
      <c r="X1792" s="19" t="str">
        <f t="shared" si="371"/>
        <v>True</v>
      </c>
      <c r="Y1792" s="19" t="str">
        <f>IF(OR(W1792&lt;'Cleaning Tasks'!$G$18,W1792&gt;'Cleaning Tasks'!$H$18),"Outlier","Normal")</f>
        <v>Normal</v>
      </c>
      <c r="Z1792" s="2" t="s">
        <v>66</v>
      </c>
      <c r="AA1792" s="2" t="s">
        <v>88</v>
      </c>
      <c r="AB1792" s="2" t="s">
        <v>50</v>
      </c>
      <c r="AC1792" s="2" t="s">
        <v>73</v>
      </c>
      <c r="AD1792" s="2"/>
      <c r="AE1792" s="2" t="str">
        <f t="shared" si="372"/>
        <v>Not Required</v>
      </c>
      <c r="AF1792" s="2" t="s">
        <v>4736</v>
      </c>
    </row>
    <row r="1793" spans="1:32" x14ac:dyDescent="0.3">
      <c r="A1793" s="2" t="s">
        <v>4737</v>
      </c>
      <c r="B1793" s="2">
        <f t="shared" si="362"/>
        <v>1</v>
      </c>
      <c r="C1793" s="12">
        <f t="shared" si="375"/>
        <v>46238.581677106478</v>
      </c>
      <c r="D1793" s="13">
        <v>46238.581677106478</v>
      </c>
      <c r="E1793" s="2" t="s">
        <v>673</v>
      </c>
      <c r="F1793" s="2" t="str">
        <f t="shared" si="363"/>
        <v>Email Available</v>
      </c>
      <c r="G1793" s="2" t="s">
        <v>674</v>
      </c>
      <c r="H1793" s="2" t="s">
        <v>63</v>
      </c>
      <c r="I1793" s="2" t="s">
        <v>47</v>
      </c>
      <c r="J1793" s="2" t="s">
        <v>446</v>
      </c>
      <c r="K1793" s="2">
        <v>1</v>
      </c>
      <c r="L1793" s="2">
        <v>14.99</v>
      </c>
      <c r="M1793" s="19">
        <f t="shared" si="364"/>
        <v>14.99</v>
      </c>
      <c r="N1793" s="2" t="s">
        <v>118</v>
      </c>
      <c r="O1793" s="2" t="str">
        <f t="shared" si="365"/>
        <v>BFCM25</v>
      </c>
      <c r="P1793" s="2">
        <v>3.75</v>
      </c>
      <c r="Q1793" s="19">
        <f t="shared" si="366"/>
        <v>3.75</v>
      </c>
      <c r="R1793" s="2" t="str">
        <f t="shared" si="367"/>
        <v>Number</v>
      </c>
      <c r="S1793" s="2">
        <v>7.99</v>
      </c>
      <c r="T1793" s="19">
        <f t="shared" si="368"/>
        <v>7.99</v>
      </c>
      <c r="U1793" s="2">
        <v>19.23</v>
      </c>
      <c r="V1793" s="19">
        <f t="shared" si="369"/>
        <v>19.23</v>
      </c>
      <c r="W1793" s="19">
        <f t="shared" si="370"/>
        <v>19.23</v>
      </c>
      <c r="X1793" s="19" t="str">
        <f t="shared" si="371"/>
        <v>True</v>
      </c>
      <c r="Y1793" s="19" t="str">
        <f>IF(OR(W1793&lt;'Cleaning Tasks'!$G$18,W1793&gt;'Cleaning Tasks'!$H$18),"Outlier","Normal")</f>
        <v>Normal</v>
      </c>
      <c r="Z1793" s="2" t="s">
        <v>39</v>
      </c>
      <c r="AA1793" s="2" t="s">
        <v>111</v>
      </c>
      <c r="AB1793" s="2" t="s">
        <v>28</v>
      </c>
      <c r="AC1793" s="2" t="s">
        <v>73</v>
      </c>
      <c r="AD1793" s="2"/>
      <c r="AE1793" s="2" t="str">
        <f t="shared" si="372"/>
        <v>Not Required</v>
      </c>
      <c r="AF1793" s="2" t="s">
        <v>4738</v>
      </c>
    </row>
    <row r="1794" spans="1:32" x14ac:dyDescent="0.3">
      <c r="A1794" s="2" t="s">
        <v>4739</v>
      </c>
      <c r="B1794" s="2">
        <f t="shared" ref="B1794:B1857" si="376">COUNTIF($A$2:$A$1993,A1794)</f>
        <v>1</v>
      </c>
      <c r="C1794" s="12">
        <f t="shared" si="375"/>
        <v>46238.587428726853</v>
      </c>
      <c r="D1794" s="13">
        <v>46238.587428726853</v>
      </c>
      <c r="E1794" s="2" t="s">
        <v>756</v>
      </c>
      <c r="F1794" s="2" t="str">
        <f t="shared" ref="F1794:F1857" si="377">IF(TRIM(G1794)="","Missing Email","Email Available")</f>
        <v>Email Available</v>
      </c>
      <c r="G1794" s="2" t="s">
        <v>757</v>
      </c>
      <c r="H1794" s="2" t="s">
        <v>279</v>
      </c>
      <c r="I1794" s="2" t="s">
        <v>22</v>
      </c>
      <c r="J1794" s="2" t="s">
        <v>280</v>
      </c>
      <c r="K1794" s="2">
        <v>1</v>
      </c>
      <c r="L1794" s="2">
        <v>24.99</v>
      </c>
      <c r="M1794" s="19">
        <f t="shared" ref="M1794:M1857" si="378">IF(ISNUMBER(L1794),L1794,VALUE(SUBSTITUTE(L1794,"$","")))</f>
        <v>24.99</v>
      </c>
      <c r="N1794" s="2" t="s">
        <v>118</v>
      </c>
      <c r="O1794" s="2" t="str">
        <f t="shared" ref="O1794:O1857" si="379">IF(TRIM(N1794)="","",UPPER(TRIM(SUBSTITUTE(N1794,CHAR(160)," "))))</f>
        <v>BFCM25</v>
      </c>
      <c r="P1794" s="2">
        <v>6.25</v>
      </c>
      <c r="Q1794" s="19">
        <f t="shared" ref="Q1794:Q1857" si="380">IF(ISNUMBER(P1794),P1794,VALUE(TRIM(SUBSTITUTE(P1794,"$",""))))</f>
        <v>6.25</v>
      </c>
      <c r="R1794" s="2" t="str">
        <f t="shared" ref="R1794:R1857" si="381">IF(ISNUMBER(Q1794),"Number","Text")</f>
        <v>Number</v>
      </c>
      <c r="S1794" s="2">
        <v>7.99</v>
      </c>
      <c r="T1794" s="19">
        <f t="shared" ref="T1794:T1857" si="382">IF(ISNUMBER(S1794),S1794,VALUE(TRIM(SUBSTITUTE(S1794,"$",""))))</f>
        <v>7.99</v>
      </c>
      <c r="U1794" s="2">
        <v>26.73</v>
      </c>
      <c r="V1794" s="19">
        <f t="shared" ref="V1794:V1857" si="383">IF(ISNUMBER(U1794),U1794,VALUE(TRIM(SUBSTITUTE(U1794,"$",""))))</f>
        <v>26.73</v>
      </c>
      <c r="W1794" s="19">
        <f t="shared" ref="W1794:W1857" si="384">((M1794*K1794)-Q1794)+T1794</f>
        <v>26.729999999999997</v>
      </c>
      <c r="X1794" s="19" t="str">
        <f t="shared" ref="X1794:X1857" si="385">IF(V1794=W1794,"True","False")</f>
        <v>True</v>
      </c>
      <c r="Y1794" s="19" t="str">
        <f>IF(OR(W1794&lt;'Cleaning Tasks'!$G$18,W1794&gt;'Cleaning Tasks'!$H$18),"Outlier","Normal")</f>
        <v>Normal</v>
      </c>
      <c r="Z1794" s="2" t="s">
        <v>26</v>
      </c>
      <c r="AA1794" s="2" t="s">
        <v>88</v>
      </c>
      <c r="AB1794" s="2" t="s">
        <v>28</v>
      </c>
      <c r="AC1794" s="2" t="s">
        <v>29</v>
      </c>
      <c r="AD1794" s="22" t="s">
        <v>30</v>
      </c>
      <c r="AE1794" s="2" t="str">
        <f t="shared" ref="AE1794:AE1857" si="386">IF(AND(AC1794="United States",AD1794=""),"Missing state",IF(AD1794="","Not Required","Valid"))</f>
        <v>Valid</v>
      </c>
      <c r="AF1794" s="2" t="s">
        <v>4740</v>
      </c>
    </row>
    <row r="1795" spans="1:32" x14ac:dyDescent="0.3">
      <c r="A1795" s="2" t="s">
        <v>4741</v>
      </c>
      <c r="B1795" s="2">
        <f t="shared" si="376"/>
        <v>1</v>
      </c>
      <c r="C1795" s="12">
        <f t="shared" si="375"/>
        <v>46238.588324976852</v>
      </c>
      <c r="D1795" s="13">
        <v>46238.588324976852</v>
      </c>
      <c r="E1795" s="2" t="s">
        <v>417</v>
      </c>
      <c r="F1795" s="2" t="str">
        <f t="shared" si="377"/>
        <v>Email Available</v>
      </c>
      <c r="G1795" s="2" t="s">
        <v>418</v>
      </c>
      <c r="H1795" s="2" t="s">
        <v>152</v>
      </c>
      <c r="I1795" s="2" t="s">
        <v>36</v>
      </c>
      <c r="J1795" s="2" t="s">
        <v>153</v>
      </c>
      <c r="K1795" s="2">
        <v>2</v>
      </c>
      <c r="L1795" s="2">
        <v>29.99</v>
      </c>
      <c r="M1795" s="19">
        <f t="shared" si="378"/>
        <v>29.99</v>
      </c>
      <c r="N1795" s="2" t="s">
        <v>38</v>
      </c>
      <c r="O1795" s="2" t="str">
        <f t="shared" si="379"/>
        <v>FREESHIP</v>
      </c>
      <c r="P1795" s="2">
        <v>0</v>
      </c>
      <c r="Q1795" s="19">
        <f t="shared" si="380"/>
        <v>0</v>
      </c>
      <c r="R1795" s="2" t="str">
        <f t="shared" si="381"/>
        <v>Number</v>
      </c>
      <c r="S1795" s="2">
        <v>0</v>
      </c>
      <c r="T1795" s="19">
        <f t="shared" si="382"/>
        <v>0</v>
      </c>
      <c r="U1795" s="2">
        <v>59.98</v>
      </c>
      <c r="V1795" s="19">
        <f t="shared" si="383"/>
        <v>59.98</v>
      </c>
      <c r="W1795" s="19">
        <f t="shared" si="384"/>
        <v>59.98</v>
      </c>
      <c r="X1795" s="19" t="str">
        <f t="shared" si="385"/>
        <v>True</v>
      </c>
      <c r="Y1795" s="19" t="str">
        <f>IF(OR(W1795&lt;'Cleaning Tasks'!$G$18,W1795&gt;'Cleaning Tasks'!$H$18),"Outlier","Normal")</f>
        <v>Normal</v>
      </c>
      <c r="Z1795" s="2" t="s">
        <v>66</v>
      </c>
      <c r="AA1795" s="2" t="s">
        <v>27</v>
      </c>
      <c r="AB1795" s="2" t="s">
        <v>28</v>
      </c>
      <c r="AC1795" s="2" t="s">
        <v>29</v>
      </c>
      <c r="AD1795" s="2" t="s">
        <v>447</v>
      </c>
      <c r="AE1795" s="2" t="str">
        <f t="shared" si="386"/>
        <v>Valid</v>
      </c>
      <c r="AF1795" s="2" t="s">
        <v>4742</v>
      </c>
    </row>
    <row r="1796" spans="1:32" x14ac:dyDescent="0.3">
      <c r="A1796" s="2" t="s">
        <v>4743</v>
      </c>
      <c r="B1796" s="2">
        <f t="shared" si="376"/>
        <v>1</v>
      </c>
      <c r="C1796" s="12">
        <f t="shared" si="375"/>
        <v>46238</v>
      </c>
      <c r="D1796" s="13" t="s">
        <v>143</v>
      </c>
      <c r="E1796" s="2" t="s">
        <v>283</v>
      </c>
      <c r="F1796" s="2" t="str">
        <f t="shared" si="377"/>
        <v>Missing Email</v>
      </c>
      <c r="G1796" s="2"/>
      <c r="H1796" s="2" t="s">
        <v>56</v>
      </c>
      <c r="I1796" s="2" t="s">
        <v>22</v>
      </c>
      <c r="J1796" s="2" t="s">
        <v>57</v>
      </c>
      <c r="K1796" s="2">
        <v>1</v>
      </c>
      <c r="L1796" s="2">
        <v>9.99</v>
      </c>
      <c r="M1796" s="19">
        <f t="shared" si="378"/>
        <v>9.99</v>
      </c>
      <c r="N1796" s="2" t="s">
        <v>1684</v>
      </c>
      <c r="O1796" s="2" t="str">
        <f t="shared" si="379"/>
        <v>WELCOME10</v>
      </c>
      <c r="P1796" s="2">
        <v>1</v>
      </c>
      <c r="Q1796" s="19">
        <f t="shared" si="380"/>
        <v>1</v>
      </c>
      <c r="R1796" s="2" t="str">
        <f t="shared" si="381"/>
        <v>Number</v>
      </c>
      <c r="S1796" s="2">
        <v>5.99</v>
      </c>
      <c r="T1796" s="19">
        <f t="shared" si="382"/>
        <v>5.99</v>
      </c>
      <c r="U1796" s="2">
        <v>14.98</v>
      </c>
      <c r="V1796" s="19">
        <f t="shared" si="383"/>
        <v>14.98</v>
      </c>
      <c r="W1796" s="19">
        <f t="shared" si="384"/>
        <v>14.98</v>
      </c>
      <c r="X1796" s="19" t="str">
        <f t="shared" si="385"/>
        <v>True</v>
      </c>
      <c r="Y1796" s="19" t="str">
        <f>IF(OR(W1796&lt;'Cleaning Tasks'!$G$18,W1796&gt;'Cleaning Tasks'!$H$18),"Outlier","Normal")</f>
        <v>Normal</v>
      </c>
      <c r="Z1796" s="2" t="s">
        <v>26</v>
      </c>
      <c r="AA1796" s="2" t="s">
        <v>40</v>
      </c>
      <c r="AB1796" s="2" t="s">
        <v>28</v>
      </c>
      <c r="AC1796" s="2" t="s">
        <v>29</v>
      </c>
      <c r="AD1796" s="22" t="s">
        <v>140</v>
      </c>
      <c r="AE1796" s="2" t="str">
        <f t="shared" si="386"/>
        <v>Valid</v>
      </c>
      <c r="AF1796" s="2" t="s">
        <v>4744</v>
      </c>
    </row>
    <row r="1797" spans="1:32" x14ac:dyDescent="0.3">
      <c r="A1797" s="2" t="s">
        <v>4745</v>
      </c>
      <c r="B1797" s="2">
        <f t="shared" si="376"/>
        <v>1</v>
      </c>
      <c r="C1797" s="12">
        <f t="shared" si="375"/>
        <v>46238.588115925922</v>
      </c>
      <c r="D1797" s="13">
        <v>46238.588115925922</v>
      </c>
      <c r="E1797" s="2" t="s">
        <v>1455</v>
      </c>
      <c r="F1797" s="2" t="str">
        <f t="shared" si="377"/>
        <v>Email Available</v>
      </c>
      <c r="G1797" s="2" t="s">
        <v>1279</v>
      </c>
      <c r="H1797" s="2" t="s">
        <v>146</v>
      </c>
      <c r="I1797" s="2" t="s">
        <v>47</v>
      </c>
      <c r="J1797" s="2" t="s">
        <v>147</v>
      </c>
      <c r="K1797" s="2">
        <v>1</v>
      </c>
      <c r="L1797" s="2">
        <v>34.99</v>
      </c>
      <c r="M1797" s="19">
        <f t="shared" si="378"/>
        <v>34.99</v>
      </c>
      <c r="N1797" s="2"/>
      <c r="O1797" s="2" t="str">
        <f t="shared" si="379"/>
        <v/>
      </c>
      <c r="P1797" s="2">
        <v>0</v>
      </c>
      <c r="Q1797" s="19">
        <f t="shared" si="380"/>
        <v>0</v>
      </c>
      <c r="R1797" s="2" t="str">
        <f t="shared" si="381"/>
        <v>Number</v>
      </c>
      <c r="S1797" s="2">
        <v>5.99</v>
      </c>
      <c r="T1797" s="19">
        <f t="shared" si="382"/>
        <v>5.99</v>
      </c>
      <c r="U1797" s="2">
        <v>40.98</v>
      </c>
      <c r="V1797" s="19">
        <f t="shared" si="383"/>
        <v>40.98</v>
      </c>
      <c r="W1797" s="19">
        <f t="shared" si="384"/>
        <v>40.980000000000004</v>
      </c>
      <c r="X1797" s="19" t="str">
        <f t="shared" si="385"/>
        <v>True</v>
      </c>
      <c r="Y1797" s="19" t="str">
        <f>IF(OR(W1797&lt;'Cleaning Tasks'!$G$18,W1797&gt;'Cleaning Tasks'!$H$18),"Outlier","Normal")</f>
        <v>Normal</v>
      </c>
      <c r="Z1797" s="2" t="s">
        <v>49</v>
      </c>
      <c r="AA1797" s="2" t="s">
        <v>27</v>
      </c>
      <c r="AB1797" s="2" t="s">
        <v>50</v>
      </c>
      <c r="AC1797" s="2" t="s">
        <v>29</v>
      </c>
      <c r="AD1797" s="2" t="s">
        <v>51</v>
      </c>
      <c r="AE1797" s="2" t="str">
        <f t="shared" si="386"/>
        <v>Valid</v>
      </c>
      <c r="AF1797" s="2" t="s">
        <v>4746</v>
      </c>
    </row>
    <row r="1798" spans="1:32" x14ac:dyDescent="0.3">
      <c r="A1798" s="2" t="s">
        <v>4747</v>
      </c>
      <c r="B1798" s="2">
        <f t="shared" si="376"/>
        <v>1</v>
      </c>
      <c r="C1798" s="12">
        <f t="shared" si="375"/>
        <v>46238.580758298609</v>
      </c>
      <c r="D1798" s="13">
        <v>46238.580758298609</v>
      </c>
      <c r="E1798" s="2" t="s">
        <v>904</v>
      </c>
      <c r="F1798" s="2" t="str">
        <f t="shared" si="377"/>
        <v>Email Available</v>
      </c>
      <c r="G1798" s="2" t="s">
        <v>905</v>
      </c>
      <c r="H1798" s="2" t="s">
        <v>78</v>
      </c>
      <c r="I1798" s="2" t="s">
        <v>79</v>
      </c>
      <c r="J1798" s="2" t="s">
        <v>80</v>
      </c>
      <c r="K1798" s="2">
        <v>1</v>
      </c>
      <c r="L1798" s="2">
        <v>89.99</v>
      </c>
      <c r="M1798" s="19">
        <f t="shared" si="378"/>
        <v>89.99</v>
      </c>
      <c r="N1798" s="2" t="s">
        <v>65</v>
      </c>
      <c r="O1798" s="2" t="str">
        <f t="shared" si="379"/>
        <v>WELCOME10</v>
      </c>
      <c r="P1798" s="2">
        <v>9</v>
      </c>
      <c r="Q1798" s="19">
        <f t="shared" si="380"/>
        <v>9</v>
      </c>
      <c r="R1798" s="2" t="str">
        <f t="shared" si="381"/>
        <v>Number</v>
      </c>
      <c r="S1798" s="2">
        <v>0</v>
      </c>
      <c r="T1798" s="19">
        <f t="shared" si="382"/>
        <v>0</v>
      </c>
      <c r="U1798" s="2">
        <v>80.989999999999995</v>
      </c>
      <c r="V1798" s="19">
        <f t="shared" si="383"/>
        <v>80.989999999999995</v>
      </c>
      <c r="W1798" s="19">
        <f t="shared" si="384"/>
        <v>80.989999999999995</v>
      </c>
      <c r="X1798" s="19" t="str">
        <f t="shared" si="385"/>
        <v>True</v>
      </c>
      <c r="Y1798" s="19" t="str">
        <f>IF(OR(W1798&lt;'Cleaning Tasks'!$G$18,W1798&gt;'Cleaning Tasks'!$H$18),"Outlier","Normal")</f>
        <v>Normal</v>
      </c>
      <c r="Z1798" s="2" t="s">
        <v>49</v>
      </c>
      <c r="AA1798" s="2" t="s">
        <v>88</v>
      </c>
      <c r="AB1798" s="2" t="s">
        <v>41</v>
      </c>
      <c r="AC1798" s="2" t="s">
        <v>29</v>
      </c>
      <c r="AD1798" s="2" t="s">
        <v>30</v>
      </c>
      <c r="AE1798" s="2" t="str">
        <f t="shared" si="386"/>
        <v>Valid</v>
      </c>
      <c r="AF1798" s="2" t="s">
        <v>4748</v>
      </c>
    </row>
    <row r="1799" spans="1:32" x14ac:dyDescent="0.3">
      <c r="A1799" s="2" t="s">
        <v>4749</v>
      </c>
      <c r="B1799" s="2">
        <f t="shared" si="376"/>
        <v>1</v>
      </c>
      <c r="C1799" s="12">
        <f t="shared" si="375"/>
        <v>46238.580386932867</v>
      </c>
      <c r="D1799" s="13">
        <v>46238.580386932867</v>
      </c>
      <c r="E1799" s="2" t="s">
        <v>2045</v>
      </c>
      <c r="F1799" s="2" t="str">
        <f t="shared" si="377"/>
        <v>Email Available</v>
      </c>
      <c r="G1799" s="2" t="s">
        <v>3162</v>
      </c>
      <c r="H1799" s="2" t="s">
        <v>78</v>
      </c>
      <c r="I1799" s="2" t="s">
        <v>79</v>
      </c>
      <c r="J1799" s="2" t="s">
        <v>80</v>
      </c>
      <c r="K1799" s="2">
        <v>1</v>
      </c>
      <c r="L1799" s="2">
        <v>89.99</v>
      </c>
      <c r="M1799" s="19">
        <f t="shared" si="378"/>
        <v>89.99</v>
      </c>
      <c r="N1799" s="2"/>
      <c r="O1799" s="2" t="str">
        <f t="shared" si="379"/>
        <v/>
      </c>
      <c r="P1799" s="2">
        <v>0</v>
      </c>
      <c r="Q1799" s="19">
        <f t="shared" si="380"/>
        <v>0</v>
      </c>
      <c r="R1799" s="2" t="str">
        <f t="shared" si="381"/>
        <v>Number</v>
      </c>
      <c r="S1799" s="2">
        <v>0</v>
      </c>
      <c r="T1799" s="19">
        <f t="shared" si="382"/>
        <v>0</v>
      </c>
      <c r="U1799" s="2">
        <v>89.99</v>
      </c>
      <c r="V1799" s="19">
        <f t="shared" si="383"/>
        <v>89.99</v>
      </c>
      <c r="W1799" s="19">
        <f t="shared" si="384"/>
        <v>89.99</v>
      </c>
      <c r="X1799" s="19" t="str">
        <f t="shared" si="385"/>
        <v>True</v>
      </c>
      <c r="Y1799" s="19" t="str">
        <f>IF(OR(W1799&lt;'Cleaning Tasks'!$G$18,W1799&gt;'Cleaning Tasks'!$H$18),"Outlier","Normal")</f>
        <v>Outlier</v>
      </c>
      <c r="Z1799" s="2" t="s">
        <v>26</v>
      </c>
      <c r="AA1799" s="2" t="s">
        <v>27</v>
      </c>
      <c r="AB1799" s="2" t="s">
        <v>41</v>
      </c>
      <c r="AC1799" s="2" t="s">
        <v>105</v>
      </c>
      <c r="AD1799" s="2"/>
      <c r="AE1799" s="2" t="str">
        <f t="shared" si="386"/>
        <v>Not Required</v>
      </c>
      <c r="AF1799" s="2" t="s">
        <v>4750</v>
      </c>
    </row>
    <row r="1800" spans="1:32" x14ac:dyDescent="0.3">
      <c r="A1800" s="2" t="s">
        <v>4751</v>
      </c>
      <c r="B1800" s="2">
        <f t="shared" si="376"/>
        <v>1</v>
      </c>
      <c r="C1800" s="12">
        <f t="shared" si="375"/>
        <v>46238.58770261574</v>
      </c>
      <c r="D1800" s="13">
        <v>46238.58770261574</v>
      </c>
      <c r="E1800" s="2" t="s">
        <v>698</v>
      </c>
      <c r="F1800" s="2" t="str">
        <f t="shared" si="377"/>
        <v>Email Available</v>
      </c>
      <c r="G1800" s="2" t="s">
        <v>699</v>
      </c>
      <c r="H1800" s="2" t="s">
        <v>78</v>
      </c>
      <c r="I1800" s="2" t="s">
        <v>79</v>
      </c>
      <c r="J1800" s="2" t="s">
        <v>80</v>
      </c>
      <c r="K1800" s="2">
        <v>1</v>
      </c>
      <c r="L1800" s="2">
        <v>89.99</v>
      </c>
      <c r="M1800" s="19">
        <f t="shared" si="378"/>
        <v>89.99</v>
      </c>
      <c r="N1800" s="2" t="s">
        <v>118</v>
      </c>
      <c r="O1800" s="2" t="str">
        <f t="shared" si="379"/>
        <v>BFCM25</v>
      </c>
      <c r="P1800" s="2">
        <v>22.5</v>
      </c>
      <c r="Q1800" s="19">
        <f t="shared" si="380"/>
        <v>22.5</v>
      </c>
      <c r="R1800" s="2" t="str">
        <f t="shared" si="381"/>
        <v>Number</v>
      </c>
      <c r="S1800" s="2">
        <v>0</v>
      </c>
      <c r="T1800" s="19">
        <f t="shared" si="382"/>
        <v>0</v>
      </c>
      <c r="U1800" s="2">
        <v>67.489999999999995</v>
      </c>
      <c r="V1800" s="19">
        <f t="shared" si="383"/>
        <v>67.489999999999995</v>
      </c>
      <c r="W1800" s="19">
        <f t="shared" si="384"/>
        <v>67.489999999999995</v>
      </c>
      <c r="X1800" s="19" t="str">
        <f t="shared" si="385"/>
        <v>True</v>
      </c>
      <c r="Y1800" s="19" t="str">
        <f>IF(OR(W1800&lt;'Cleaning Tasks'!$G$18,W1800&gt;'Cleaning Tasks'!$H$18),"Outlier","Normal")</f>
        <v>Normal</v>
      </c>
      <c r="Z1800" s="2" t="s">
        <v>26</v>
      </c>
      <c r="AA1800" s="2" t="s">
        <v>27</v>
      </c>
      <c r="AB1800" s="2" t="s">
        <v>28</v>
      </c>
      <c r="AC1800" s="2" t="s">
        <v>29</v>
      </c>
      <c r="AD1800" s="2" t="s">
        <v>30</v>
      </c>
      <c r="AE1800" s="2" t="str">
        <f t="shared" si="386"/>
        <v>Valid</v>
      </c>
      <c r="AF1800" s="2" t="s">
        <v>4752</v>
      </c>
    </row>
    <row r="1801" spans="1:32" x14ac:dyDescent="0.3">
      <c r="A1801" s="2" t="s">
        <v>4753</v>
      </c>
      <c r="B1801" s="2">
        <f t="shared" si="376"/>
        <v>1</v>
      </c>
      <c r="C1801" s="12">
        <f t="shared" si="375"/>
        <v>46238.58384230324</v>
      </c>
      <c r="D1801" s="13">
        <v>46238.58384230324</v>
      </c>
      <c r="E1801" s="2" t="s">
        <v>625</v>
      </c>
      <c r="F1801" s="2" t="str">
        <f t="shared" si="377"/>
        <v>Email Available</v>
      </c>
      <c r="G1801" s="2" t="s">
        <v>626</v>
      </c>
      <c r="H1801" s="2" t="s">
        <v>166</v>
      </c>
      <c r="I1801" s="2" t="s">
        <v>103</v>
      </c>
      <c r="J1801" s="2" t="s">
        <v>167</v>
      </c>
      <c r="K1801" s="2">
        <v>1</v>
      </c>
      <c r="L1801" s="2">
        <v>32.99</v>
      </c>
      <c r="M1801" s="19">
        <f t="shared" si="378"/>
        <v>32.99</v>
      </c>
      <c r="N1801" s="2"/>
      <c r="O1801" s="2" t="str">
        <f t="shared" si="379"/>
        <v/>
      </c>
      <c r="P1801" s="2">
        <v>0</v>
      </c>
      <c r="Q1801" s="19">
        <f t="shared" si="380"/>
        <v>0</v>
      </c>
      <c r="R1801" s="2" t="str">
        <f t="shared" si="381"/>
        <v>Number</v>
      </c>
      <c r="S1801" s="2">
        <v>5.99</v>
      </c>
      <c r="T1801" s="19">
        <f t="shared" si="382"/>
        <v>5.99</v>
      </c>
      <c r="U1801" s="2">
        <v>38.979999999999997</v>
      </c>
      <c r="V1801" s="19">
        <f t="shared" si="383"/>
        <v>38.979999999999997</v>
      </c>
      <c r="W1801" s="19">
        <f t="shared" si="384"/>
        <v>38.980000000000004</v>
      </c>
      <c r="X1801" s="19" t="str">
        <f t="shared" si="385"/>
        <v>True</v>
      </c>
      <c r="Y1801" s="19" t="str">
        <f>IF(OR(W1801&lt;'Cleaning Tasks'!$G$18,W1801&gt;'Cleaning Tasks'!$H$18),"Outlier","Normal")</f>
        <v>Normal</v>
      </c>
      <c r="Z1801" s="2" t="s">
        <v>49</v>
      </c>
      <c r="AA1801" s="2" t="s">
        <v>88</v>
      </c>
      <c r="AB1801" s="2" t="s">
        <v>41</v>
      </c>
      <c r="AC1801" s="2" t="s">
        <v>29</v>
      </c>
      <c r="AD1801" s="2" t="s">
        <v>51</v>
      </c>
      <c r="AE1801" s="2" t="str">
        <f t="shared" si="386"/>
        <v>Valid</v>
      </c>
      <c r="AF1801" s="2" t="s">
        <v>2844</v>
      </c>
    </row>
    <row r="1802" spans="1:32" x14ac:dyDescent="0.3">
      <c r="A1802" s="2" t="s">
        <v>4754</v>
      </c>
      <c r="B1802" s="2">
        <f t="shared" si="376"/>
        <v>1</v>
      </c>
      <c r="C1802" s="12">
        <f>DATE(VALUE(RIGHT(D1802,4)),MATCH(LEFT(D1802,3),{"Jan","Feb","Mar","Apr","May","Jun","Jul","Aug","Sep","Oct","Nov","Dec"},0),VALUE(MID(D1802,5,2)))</f>
        <v>46238</v>
      </c>
      <c r="D1802" s="13" t="s">
        <v>171</v>
      </c>
      <c r="E1802" s="2" t="s">
        <v>3747</v>
      </c>
      <c r="F1802" s="2" t="str">
        <f t="shared" si="377"/>
        <v>Email Available</v>
      </c>
      <c r="G1802" s="2" t="s">
        <v>3748</v>
      </c>
      <c r="H1802" s="2" t="s">
        <v>109</v>
      </c>
      <c r="I1802" s="2" t="s">
        <v>79</v>
      </c>
      <c r="J1802" s="2" t="s">
        <v>110</v>
      </c>
      <c r="K1802" s="2">
        <v>2</v>
      </c>
      <c r="L1802" s="2">
        <v>22.99</v>
      </c>
      <c r="M1802" s="19">
        <f t="shared" si="378"/>
        <v>22.99</v>
      </c>
      <c r="N1802" s="2"/>
      <c r="O1802" s="2" t="str">
        <f t="shared" si="379"/>
        <v/>
      </c>
      <c r="P1802" s="2">
        <v>0</v>
      </c>
      <c r="Q1802" s="19">
        <f t="shared" si="380"/>
        <v>0</v>
      </c>
      <c r="R1802" s="2" t="str">
        <f t="shared" si="381"/>
        <v>Number</v>
      </c>
      <c r="S1802" s="2">
        <v>7.99</v>
      </c>
      <c r="T1802" s="19">
        <f t="shared" si="382"/>
        <v>7.99</v>
      </c>
      <c r="U1802" s="2">
        <v>53.97</v>
      </c>
      <c r="V1802" s="19">
        <f t="shared" si="383"/>
        <v>53.97</v>
      </c>
      <c r="W1802" s="19">
        <f t="shared" si="384"/>
        <v>53.97</v>
      </c>
      <c r="X1802" s="19" t="str">
        <f t="shared" si="385"/>
        <v>True</v>
      </c>
      <c r="Y1802" s="19" t="str">
        <f>IF(OR(W1802&lt;'Cleaning Tasks'!$G$18,W1802&gt;'Cleaning Tasks'!$H$18),"Outlier","Normal")</f>
        <v>Normal</v>
      </c>
      <c r="Z1802" s="2" t="s">
        <v>39</v>
      </c>
      <c r="AA1802" s="2" t="s">
        <v>27</v>
      </c>
      <c r="AB1802" s="2" t="s">
        <v>41</v>
      </c>
      <c r="AC1802" s="2" t="s">
        <v>223</v>
      </c>
      <c r="AD1802" s="2"/>
      <c r="AE1802" s="2" t="str">
        <f t="shared" si="386"/>
        <v>Not Required</v>
      </c>
      <c r="AF1802" s="2" t="s">
        <v>4755</v>
      </c>
    </row>
    <row r="1803" spans="1:32" x14ac:dyDescent="0.3">
      <c r="A1803" s="2" t="s">
        <v>4756</v>
      </c>
      <c r="B1803" s="2">
        <f t="shared" si="376"/>
        <v>1</v>
      </c>
      <c r="C1803" s="12">
        <f t="shared" ref="C1803:C1836" si="387">IF(ISNUMBER(D1803),D1803,DATEVALUE(SUBSTITUTE(TRIM(D1803),CHAR(160)," ")))</f>
        <v>46238.581211805547</v>
      </c>
      <c r="D1803" s="13">
        <v>46238.581211805547</v>
      </c>
      <c r="E1803" s="2" t="s">
        <v>195</v>
      </c>
      <c r="F1803" s="2" t="str">
        <f t="shared" si="377"/>
        <v>Email Available</v>
      </c>
      <c r="G1803" s="2" t="s">
        <v>196</v>
      </c>
      <c r="H1803" s="2" t="s">
        <v>309</v>
      </c>
      <c r="I1803" s="2" t="s">
        <v>36</v>
      </c>
      <c r="J1803" s="2" t="s">
        <v>310</v>
      </c>
      <c r="K1803" s="2">
        <v>1</v>
      </c>
      <c r="L1803" s="2">
        <v>8.99</v>
      </c>
      <c r="M1803" s="19">
        <f t="shared" si="378"/>
        <v>8.99</v>
      </c>
      <c r="N1803" s="2" t="s">
        <v>203</v>
      </c>
      <c r="O1803" s="2" t="str">
        <f t="shared" si="379"/>
        <v>VIP15</v>
      </c>
      <c r="P1803" s="2">
        <v>1.35</v>
      </c>
      <c r="Q1803" s="19">
        <f t="shared" si="380"/>
        <v>1.35</v>
      </c>
      <c r="R1803" s="2" t="str">
        <f t="shared" si="381"/>
        <v>Number</v>
      </c>
      <c r="S1803" s="2">
        <v>7.99</v>
      </c>
      <c r="T1803" s="19">
        <f t="shared" si="382"/>
        <v>7.99</v>
      </c>
      <c r="U1803" s="2">
        <v>15.63</v>
      </c>
      <c r="V1803" s="19">
        <f t="shared" si="383"/>
        <v>15.63</v>
      </c>
      <c r="W1803" s="19">
        <f t="shared" si="384"/>
        <v>15.63</v>
      </c>
      <c r="X1803" s="19" t="str">
        <f t="shared" si="385"/>
        <v>True</v>
      </c>
      <c r="Y1803" s="19" t="str">
        <f>IF(OR(W1803&lt;'Cleaning Tasks'!$G$18,W1803&gt;'Cleaning Tasks'!$H$18),"Outlier","Normal")</f>
        <v>Normal</v>
      </c>
      <c r="Z1803" s="2" t="s">
        <v>72</v>
      </c>
      <c r="AA1803" s="2" t="s">
        <v>40</v>
      </c>
      <c r="AB1803" s="2" t="s">
        <v>96</v>
      </c>
      <c r="AC1803" s="2" t="s">
        <v>29</v>
      </c>
      <c r="AD1803" s="2" t="s">
        <v>51</v>
      </c>
      <c r="AE1803" s="2" t="str">
        <f t="shared" si="386"/>
        <v>Valid</v>
      </c>
      <c r="AF1803" s="2" t="s">
        <v>4757</v>
      </c>
    </row>
    <row r="1804" spans="1:32" x14ac:dyDescent="0.3">
      <c r="A1804" s="2" t="s">
        <v>4758</v>
      </c>
      <c r="B1804" s="2">
        <f t="shared" si="376"/>
        <v>1</v>
      </c>
      <c r="C1804" s="12">
        <f t="shared" si="387"/>
        <v>46238</v>
      </c>
      <c r="D1804" s="13">
        <v>46238</v>
      </c>
      <c r="E1804" s="2" t="s">
        <v>1455</v>
      </c>
      <c r="F1804" s="2" t="str">
        <f t="shared" si="377"/>
        <v>Email Available</v>
      </c>
      <c r="G1804" s="2" t="s">
        <v>1279</v>
      </c>
      <c r="H1804" s="2" t="s">
        <v>109</v>
      </c>
      <c r="I1804" s="2" t="s">
        <v>79</v>
      </c>
      <c r="J1804" s="2" t="s">
        <v>110</v>
      </c>
      <c r="K1804" s="2">
        <v>1</v>
      </c>
      <c r="L1804" s="2">
        <v>22.99</v>
      </c>
      <c r="M1804" s="19">
        <f t="shared" si="378"/>
        <v>22.99</v>
      </c>
      <c r="N1804" s="2" t="s">
        <v>38</v>
      </c>
      <c r="O1804" s="2" t="str">
        <f t="shared" si="379"/>
        <v>FREESHIP</v>
      </c>
      <c r="P1804" s="2">
        <v>0</v>
      </c>
      <c r="Q1804" s="19">
        <f t="shared" si="380"/>
        <v>0</v>
      </c>
      <c r="R1804" s="2" t="str">
        <f t="shared" si="381"/>
        <v>Number</v>
      </c>
      <c r="S1804" s="2">
        <v>0</v>
      </c>
      <c r="T1804" s="19">
        <f t="shared" si="382"/>
        <v>0</v>
      </c>
      <c r="U1804" s="2">
        <v>22.99</v>
      </c>
      <c r="V1804" s="19">
        <f t="shared" si="383"/>
        <v>22.99</v>
      </c>
      <c r="W1804" s="19">
        <f t="shared" si="384"/>
        <v>22.99</v>
      </c>
      <c r="X1804" s="19" t="str">
        <f t="shared" si="385"/>
        <v>True</v>
      </c>
      <c r="Y1804" s="19" t="str">
        <f>IF(OR(W1804&lt;'Cleaning Tasks'!$G$18,W1804&gt;'Cleaning Tasks'!$H$18),"Outlier","Normal")</f>
        <v>Normal</v>
      </c>
      <c r="Z1804" s="2" t="s">
        <v>66</v>
      </c>
      <c r="AA1804" s="2" t="s">
        <v>40</v>
      </c>
      <c r="AB1804" s="2" t="s">
        <v>50</v>
      </c>
      <c r="AC1804" s="2" t="s">
        <v>29</v>
      </c>
      <c r="AD1804" s="2" t="s">
        <v>30</v>
      </c>
      <c r="AE1804" s="2" t="str">
        <f t="shared" si="386"/>
        <v>Valid</v>
      </c>
      <c r="AF1804" s="2" t="s">
        <v>4759</v>
      </c>
    </row>
    <row r="1805" spans="1:32" x14ac:dyDescent="0.3">
      <c r="A1805" s="2" t="s">
        <v>4760</v>
      </c>
      <c r="B1805" s="2">
        <f t="shared" si="376"/>
        <v>1</v>
      </c>
      <c r="C1805" s="12">
        <f t="shared" si="387"/>
        <v>46238</v>
      </c>
      <c r="D1805" s="13" t="s">
        <v>143</v>
      </c>
      <c r="E1805" s="2" t="s">
        <v>2838</v>
      </c>
      <c r="F1805" s="2" t="str">
        <f t="shared" si="377"/>
        <v>Email Available</v>
      </c>
      <c r="G1805" s="2" t="s">
        <v>2839</v>
      </c>
      <c r="H1805" s="2" t="s">
        <v>152</v>
      </c>
      <c r="I1805" s="2" t="s">
        <v>36</v>
      </c>
      <c r="J1805" s="2" t="s">
        <v>153</v>
      </c>
      <c r="K1805" s="2">
        <v>2</v>
      </c>
      <c r="L1805" s="2">
        <v>29.99</v>
      </c>
      <c r="M1805" s="19">
        <f t="shared" si="378"/>
        <v>29.99</v>
      </c>
      <c r="N1805" s="2" t="s">
        <v>24</v>
      </c>
      <c r="O1805" s="2" t="str">
        <f t="shared" si="379"/>
        <v>SAVE20</v>
      </c>
      <c r="P1805" s="2">
        <v>12</v>
      </c>
      <c r="Q1805" s="19">
        <f t="shared" si="380"/>
        <v>12</v>
      </c>
      <c r="R1805" s="2" t="str">
        <f t="shared" si="381"/>
        <v>Number</v>
      </c>
      <c r="S1805" s="2">
        <v>5.99</v>
      </c>
      <c r="T1805" s="19">
        <f t="shared" si="382"/>
        <v>5.99</v>
      </c>
      <c r="U1805" s="2">
        <v>53.97</v>
      </c>
      <c r="V1805" s="19">
        <f t="shared" si="383"/>
        <v>53.97</v>
      </c>
      <c r="W1805" s="19">
        <f t="shared" si="384"/>
        <v>53.97</v>
      </c>
      <c r="X1805" s="19" t="str">
        <f t="shared" si="385"/>
        <v>True</v>
      </c>
      <c r="Y1805" s="19" t="str">
        <f>IF(OR(W1805&lt;'Cleaning Tasks'!$G$18,W1805&gt;'Cleaning Tasks'!$H$18),"Outlier","Normal")</f>
        <v>Normal</v>
      </c>
      <c r="Z1805" s="2" t="s">
        <v>72</v>
      </c>
      <c r="AA1805" s="2" t="s">
        <v>40</v>
      </c>
      <c r="AB1805" s="2" t="s">
        <v>50</v>
      </c>
      <c r="AC1805" s="2" t="s">
        <v>29</v>
      </c>
      <c r="AD1805" s="2" t="s">
        <v>73</v>
      </c>
      <c r="AE1805" s="2" t="str">
        <f t="shared" si="386"/>
        <v>Valid</v>
      </c>
      <c r="AF1805" s="2" t="s">
        <v>4761</v>
      </c>
    </row>
    <row r="1806" spans="1:32" x14ac:dyDescent="0.3">
      <c r="A1806" s="2" t="s">
        <v>4762</v>
      </c>
      <c r="B1806" s="2">
        <f t="shared" si="376"/>
        <v>1</v>
      </c>
      <c r="C1806" s="12">
        <f t="shared" si="387"/>
        <v>46238.588662499998</v>
      </c>
      <c r="D1806" s="13">
        <v>46238.588662499998</v>
      </c>
      <c r="E1806" s="2" t="s">
        <v>1031</v>
      </c>
      <c r="F1806" s="2" t="str">
        <f t="shared" si="377"/>
        <v>Email Available</v>
      </c>
      <c r="G1806" s="2" t="s">
        <v>1032</v>
      </c>
      <c r="H1806" s="2" t="s">
        <v>109</v>
      </c>
      <c r="I1806" s="2" t="s">
        <v>79</v>
      </c>
      <c r="J1806" s="2" t="s">
        <v>110</v>
      </c>
      <c r="K1806" s="2">
        <v>1</v>
      </c>
      <c r="L1806" s="2">
        <v>22.99</v>
      </c>
      <c r="M1806" s="19">
        <f t="shared" si="378"/>
        <v>22.99</v>
      </c>
      <c r="N1806" s="2"/>
      <c r="O1806" s="2" t="str">
        <f t="shared" si="379"/>
        <v/>
      </c>
      <c r="P1806" s="2">
        <v>0</v>
      </c>
      <c r="Q1806" s="19">
        <f t="shared" si="380"/>
        <v>0</v>
      </c>
      <c r="R1806" s="2" t="str">
        <f t="shared" si="381"/>
        <v>Number</v>
      </c>
      <c r="S1806" s="2">
        <v>4.99</v>
      </c>
      <c r="T1806" s="19">
        <f t="shared" si="382"/>
        <v>4.99</v>
      </c>
      <c r="U1806" s="2">
        <v>27.98</v>
      </c>
      <c r="V1806" s="19">
        <f t="shared" si="383"/>
        <v>27.98</v>
      </c>
      <c r="W1806" s="19">
        <f t="shared" si="384"/>
        <v>27.979999999999997</v>
      </c>
      <c r="X1806" s="19" t="str">
        <f t="shared" si="385"/>
        <v>True</v>
      </c>
      <c r="Y1806" s="19" t="str">
        <f>IF(OR(W1806&lt;'Cleaning Tasks'!$G$18,W1806&gt;'Cleaning Tasks'!$H$18),"Outlier","Normal")</f>
        <v>Normal</v>
      </c>
      <c r="Z1806" s="2" t="s">
        <v>72</v>
      </c>
      <c r="AA1806" s="2" t="s">
        <v>111</v>
      </c>
      <c r="AB1806" s="2" t="s">
        <v>41</v>
      </c>
      <c r="AC1806" s="2" t="s">
        <v>29</v>
      </c>
      <c r="AD1806" s="2" t="s">
        <v>140</v>
      </c>
      <c r="AE1806" s="2" t="str">
        <f t="shared" si="386"/>
        <v>Valid</v>
      </c>
      <c r="AF1806" s="2" t="s">
        <v>4763</v>
      </c>
    </row>
    <row r="1807" spans="1:32" x14ac:dyDescent="0.3">
      <c r="A1807" s="2" t="s">
        <v>4764</v>
      </c>
      <c r="B1807" s="2">
        <f t="shared" si="376"/>
        <v>1</v>
      </c>
      <c r="C1807" s="12">
        <f t="shared" si="387"/>
        <v>46238.581545520843</v>
      </c>
      <c r="D1807" s="13">
        <v>46238.581545520843</v>
      </c>
      <c r="E1807" s="2" t="s">
        <v>843</v>
      </c>
      <c r="F1807" s="2" t="str">
        <f t="shared" si="377"/>
        <v>Email Available</v>
      </c>
      <c r="G1807" s="2" t="s">
        <v>844</v>
      </c>
      <c r="H1807" s="2" t="s">
        <v>309</v>
      </c>
      <c r="I1807" s="2" t="s">
        <v>36</v>
      </c>
      <c r="J1807" s="2" t="s">
        <v>310</v>
      </c>
      <c r="K1807" s="2">
        <v>1</v>
      </c>
      <c r="L1807" s="2">
        <v>8.99</v>
      </c>
      <c r="M1807" s="19">
        <f t="shared" si="378"/>
        <v>8.99</v>
      </c>
      <c r="N1807" s="2" t="s">
        <v>203</v>
      </c>
      <c r="O1807" s="2" t="str">
        <f t="shared" si="379"/>
        <v>VIP15</v>
      </c>
      <c r="P1807" s="2">
        <v>1.35</v>
      </c>
      <c r="Q1807" s="19">
        <f t="shared" si="380"/>
        <v>1.35</v>
      </c>
      <c r="R1807" s="2" t="str">
        <f t="shared" si="381"/>
        <v>Number</v>
      </c>
      <c r="S1807" s="2">
        <v>7.99</v>
      </c>
      <c r="T1807" s="19">
        <f t="shared" si="382"/>
        <v>7.99</v>
      </c>
      <c r="U1807" s="2">
        <v>15.63</v>
      </c>
      <c r="V1807" s="19">
        <f t="shared" si="383"/>
        <v>15.63</v>
      </c>
      <c r="W1807" s="19">
        <f t="shared" si="384"/>
        <v>15.63</v>
      </c>
      <c r="X1807" s="19" t="str">
        <f t="shared" si="385"/>
        <v>True</v>
      </c>
      <c r="Y1807" s="19" t="str">
        <f>IF(OR(W1807&lt;'Cleaning Tasks'!$G$18,W1807&gt;'Cleaning Tasks'!$H$18),"Outlier","Normal")</f>
        <v>Normal</v>
      </c>
      <c r="Z1807" s="2" t="s">
        <v>39</v>
      </c>
      <c r="AA1807" s="2" t="s">
        <v>111</v>
      </c>
      <c r="AB1807" s="2" t="s">
        <v>50</v>
      </c>
      <c r="AC1807" s="2" t="s">
        <v>29</v>
      </c>
      <c r="AD1807" s="2" t="s">
        <v>89</v>
      </c>
      <c r="AE1807" s="2" t="str">
        <f t="shared" si="386"/>
        <v>Valid</v>
      </c>
      <c r="AF1807" s="2" t="s">
        <v>4765</v>
      </c>
    </row>
    <row r="1808" spans="1:32" x14ac:dyDescent="0.3">
      <c r="A1808" s="2" t="s">
        <v>4766</v>
      </c>
      <c r="B1808" s="2">
        <f t="shared" si="376"/>
        <v>1</v>
      </c>
      <c r="C1808" s="12">
        <f t="shared" si="387"/>
        <v>46238.586794710653</v>
      </c>
      <c r="D1808" s="13">
        <v>46238.586794710653</v>
      </c>
      <c r="E1808" s="2" t="s">
        <v>1243</v>
      </c>
      <c r="F1808" s="2" t="str">
        <f t="shared" si="377"/>
        <v>Email Available</v>
      </c>
      <c r="G1808" s="2" t="s">
        <v>1244</v>
      </c>
      <c r="H1808" s="2" t="s">
        <v>46</v>
      </c>
      <c r="I1808" s="2" t="s">
        <v>47</v>
      </c>
      <c r="J1808" s="2" t="s">
        <v>48</v>
      </c>
      <c r="K1808" s="2">
        <v>1</v>
      </c>
      <c r="L1808" s="2">
        <v>39.99</v>
      </c>
      <c r="M1808" s="19">
        <f t="shared" si="378"/>
        <v>39.99</v>
      </c>
      <c r="N1808" s="2"/>
      <c r="O1808" s="2" t="str">
        <f t="shared" si="379"/>
        <v/>
      </c>
      <c r="P1808" s="2" t="s">
        <v>184</v>
      </c>
      <c r="Q1808" s="19">
        <f t="shared" si="380"/>
        <v>0</v>
      </c>
      <c r="R1808" s="2" t="str">
        <f t="shared" si="381"/>
        <v>Number</v>
      </c>
      <c r="S1808" s="2">
        <v>4.99</v>
      </c>
      <c r="T1808" s="19">
        <f t="shared" si="382"/>
        <v>4.99</v>
      </c>
      <c r="U1808" s="2">
        <v>44.98</v>
      </c>
      <c r="V1808" s="19">
        <f t="shared" si="383"/>
        <v>44.98</v>
      </c>
      <c r="W1808" s="19">
        <f t="shared" si="384"/>
        <v>44.980000000000004</v>
      </c>
      <c r="X1808" s="19" t="str">
        <f t="shared" si="385"/>
        <v>True</v>
      </c>
      <c r="Y1808" s="19" t="str">
        <f>IF(OR(W1808&lt;'Cleaning Tasks'!$G$18,W1808&gt;'Cleaning Tasks'!$H$18),"Outlier","Normal")</f>
        <v>Normal</v>
      </c>
      <c r="Z1808" s="2" t="s">
        <v>72</v>
      </c>
      <c r="AA1808" s="2" t="s">
        <v>111</v>
      </c>
      <c r="AB1808" s="2" t="s">
        <v>50</v>
      </c>
      <c r="AC1808" s="2" t="s">
        <v>29</v>
      </c>
      <c r="AD1808" s="22" t="s">
        <v>140</v>
      </c>
      <c r="AE1808" s="2" t="str">
        <f t="shared" si="386"/>
        <v>Valid</v>
      </c>
      <c r="AF1808" s="2" t="s">
        <v>4767</v>
      </c>
    </row>
    <row r="1809" spans="1:32" x14ac:dyDescent="0.3">
      <c r="A1809" s="2" t="s">
        <v>4768</v>
      </c>
      <c r="B1809" s="2">
        <f t="shared" si="376"/>
        <v>1</v>
      </c>
      <c r="C1809" s="12">
        <f t="shared" si="387"/>
        <v>46238.585919398152</v>
      </c>
      <c r="D1809" s="13">
        <v>46238.585919398152</v>
      </c>
      <c r="E1809" s="2" t="s">
        <v>839</v>
      </c>
      <c r="F1809" s="2" t="str">
        <f t="shared" si="377"/>
        <v>Email Available</v>
      </c>
      <c r="G1809" s="2" t="s">
        <v>840</v>
      </c>
      <c r="H1809" s="2" t="s">
        <v>63</v>
      </c>
      <c r="I1809" s="2" t="s">
        <v>47</v>
      </c>
      <c r="J1809" s="2" t="s">
        <v>64</v>
      </c>
      <c r="K1809" s="2">
        <v>1</v>
      </c>
      <c r="L1809" s="2">
        <v>14.99</v>
      </c>
      <c r="M1809" s="19">
        <f t="shared" si="378"/>
        <v>14.99</v>
      </c>
      <c r="N1809" s="2" t="s">
        <v>24</v>
      </c>
      <c r="O1809" s="2" t="str">
        <f t="shared" si="379"/>
        <v>SAVE20</v>
      </c>
      <c r="P1809" s="2">
        <v>3</v>
      </c>
      <c r="Q1809" s="19">
        <f t="shared" si="380"/>
        <v>3</v>
      </c>
      <c r="R1809" s="2" t="str">
        <f t="shared" si="381"/>
        <v>Number</v>
      </c>
      <c r="S1809" s="2">
        <v>4.99</v>
      </c>
      <c r="T1809" s="19">
        <f t="shared" si="382"/>
        <v>4.99</v>
      </c>
      <c r="U1809" s="2">
        <v>16.98</v>
      </c>
      <c r="V1809" s="19">
        <f t="shared" si="383"/>
        <v>16.98</v>
      </c>
      <c r="W1809" s="19">
        <f t="shared" si="384"/>
        <v>16.98</v>
      </c>
      <c r="X1809" s="19" t="str">
        <f t="shared" si="385"/>
        <v>True</v>
      </c>
      <c r="Y1809" s="19" t="str">
        <f>IF(OR(W1809&lt;'Cleaning Tasks'!$G$18,W1809&gt;'Cleaning Tasks'!$H$18),"Outlier","Normal")</f>
        <v>Normal</v>
      </c>
      <c r="Z1809" s="2" t="s">
        <v>26</v>
      </c>
      <c r="AA1809" s="2" t="s">
        <v>27</v>
      </c>
      <c r="AB1809" s="2" t="s">
        <v>50</v>
      </c>
      <c r="AC1809" s="2" t="s">
        <v>223</v>
      </c>
      <c r="AD1809" s="2"/>
      <c r="AE1809" s="2" t="str">
        <f t="shared" si="386"/>
        <v>Not Required</v>
      </c>
      <c r="AF1809" s="2" t="s">
        <v>3845</v>
      </c>
    </row>
    <row r="1810" spans="1:32" x14ac:dyDescent="0.3">
      <c r="A1810" s="2" t="s">
        <v>4769</v>
      </c>
      <c r="B1810" s="2">
        <f t="shared" si="376"/>
        <v>1</v>
      </c>
      <c r="C1810" s="12">
        <f t="shared" si="387"/>
        <v>46238.58176572917</v>
      </c>
      <c r="D1810" s="13">
        <v>46238.58176572917</v>
      </c>
      <c r="E1810" s="2" t="s">
        <v>606</v>
      </c>
      <c r="F1810" s="2" t="str">
        <f t="shared" si="377"/>
        <v>Email Available</v>
      </c>
      <c r="G1810" s="2" t="s">
        <v>607</v>
      </c>
      <c r="H1810" s="2" t="s">
        <v>63</v>
      </c>
      <c r="I1810" s="2" t="s">
        <v>47</v>
      </c>
      <c r="J1810" s="2" t="s">
        <v>446</v>
      </c>
      <c r="K1810" s="2">
        <v>1</v>
      </c>
      <c r="L1810" s="2">
        <v>14.99</v>
      </c>
      <c r="M1810" s="19">
        <f t="shared" si="378"/>
        <v>14.99</v>
      </c>
      <c r="N1810" s="2" t="s">
        <v>24</v>
      </c>
      <c r="O1810" s="2" t="str">
        <f t="shared" si="379"/>
        <v>SAVE20</v>
      </c>
      <c r="P1810" s="2">
        <v>3</v>
      </c>
      <c r="Q1810" s="19">
        <f t="shared" si="380"/>
        <v>3</v>
      </c>
      <c r="R1810" s="2" t="str">
        <f t="shared" si="381"/>
        <v>Number</v>
      </c>
      <c r="S1810" s="2">
        <v>7.99</v>
      </c>
      <c r="T1810" s="19">
        <f t="shared" si="382"/>
        <v>7.99</v>
      </c>
      <c r="U1810" s="2">
        <v>19.98</v>
      </c>
      <c r="V1810" s="19">
        <f t="shared" si="383"/>
        <v>19.98</v>
      </c>
      <c r="W1810" s="19">
        <f t="shared" si="384"/>
        <v>19.98</v>
      </c>
      <c r="X1810" s="19" t="str">
        <f t="shared" si="385"/>
        <v>True</v>
      </c>
      <c r="Y1810" s="19" t="str">
        <f>IF(OR(W1810&lt;'Cleaning Tasks'!$G$18,W1810&gt;'Cleaning Tasks'!$H$18),"Outlier","Normal")</f>
        <v>Normal</v>
      </c>
      <c r="Z1810" s="2" t="s">
        <v>39</v>
      </c>
      <c r="AA1810" s="2" t="s">
        <v>27</v>
      </c>
      <c r="AB1810" s="2" t="s">
        <v>50</v>
      </c>
      <c r="AC1810" s="2" t="s">
        <v>42</v>
      </c>
      <c r="AD1810" s="2"/>
      <c r="AE1810" s="2" t="str">
        <f t="shared" si="386"/>
        <v>Not Required</v>
      </c>
      <c r="AF1810" s="2" t="s">
        <v>4770</v>
      </c>
    </row>
    <row r="1811" spans="1:32" x14ac:dyDescent="0.3">
      <c r="A1811" s="2" t="s">
        <v>4771</v>
      </c>
      <c r="B1811" s="2">
        <f t="shared" si="376"/>
        <v>1</v>
      </c>
      <c r="C1811" s="12">
        <f t="shared" si="387"/>
        <v>46238</v>
      </c>
      <c r="D1811" s="13">
        <v>46238</v>
      </c>
      <c r="E1811" s="2" t="s">
        <v>4591</v>
      </c>
      <c r="F1811" s="2" t="str">
        <f t="shared" si="377"/>
        <v>Email Available</v>
      </c>
      <c r="G1811" s="2" t="s">
        <v>4592</v>
      </c>
      <c r="H1811" s="2" t="s">
        <v>146</v>
      </c>
      <c r="I1811" s="2" t="s">
        <v>47</v>
      </c>
      <c r="J1811" s="2" t="s">
        <v>147</v>
      </c>
      <c r="K1811" s="2">
        <v>1</v>
      </c>
      <c r="L1811" s="2">
        <v>34.99</v>
      </c>
      <c r="M1811" s="19">
        <f t="shared" si="378"/>
        <v>34.99</v>
      </c>
      <c r="N1811" s="2" t="s">
        <v>65</v>
      </c>
      <c r="O1811" s="2" t="str">
        <f t="shared" si="379"/>
        <v>WELCOME10</v>
      </c>
      <c r="P1811" s="2">
        <v>3.5</v>
      </c>
      <c r="Q1811" s="19">
        <f t="shared" si="380"/>
        <v>3.5</v>
      </c>
      <c r="R1811" s="2" t="str">
        <f t="shared" si="381"/>
        <v>Number</v>
      </c>
      <c r="S1811" s="2">
        <v>7.99</v>
      </c>
      <c r="T1811" s="19">
        <f t="shared" si="382"/>
        <v>7.99</v>
      </c>
      <c r="U1811" s="2">
        <v>39.479999999999997</v>
      </c>
      <c r="V1811" s="19">
        <f t="shared" si="383"/>
        <v>39.479999999999997</v>
      </c>
      <c r="W1811" s="19">
        <f t="shared" si="384"/>
        <v>39.480000000000004</v>
      </c>
      <c r="X1811" s="19" t="str">
        <f t="shared" si="385"/>
        <v>True</v>
      </c>
      <c r="Y1811" s="19" t="str">
        <f>IF(OR(W1811&lt;'Cleaning Tasks'!$G$18,W1811&gt;'Cleaning Tasks'!$H$18),"Outlier","Normal")</f>
        <v>Normal</v>
      </c>
      <c r="Z1811" s="2" t="s">
        <v>72</v>
      </c>
      <c r="AA1811" s="2" t="s">
        <v>27</v>
      </c>
      <c r="AB1811" s="2" t="s">
        <v>50</v>
      </c>
      <c r="AC1811" s="2" t="s">
        <v>331</v>
      </c>
      <c r="AD1811" s="2"/>
      <c r="AE1811" s="2" t="str">
        <f t="shared" si="386"/>
        <v>Not Required</v>
      </c>
      <c r="AF1811" s="2" t="s">
        <v>4772</v>
      </c>
    </row>
    <row r="1812" spans="1:32" x14ac:dyDescent="0.3">
      <c r="A1812" s="2" t="s">
        <v>4773</v>
      </c>
      <c r="B1812" s="2">
        <f t="shared" si="376"/>
        <v>1</v>
      </c>
      <c r="C1812" s="12">
        <f t="shared" si="387"/>
        <v>46238.584513703703</v>
      </c>
      <c r="D1812" s="13">
        <v>46238.584513703703</v>
      </c>
      <c r="E1812" s="2" t="s">
        <v>325</v>
      </c>
      <c r="F1812" s="2" t="str">
        <f t="shared" si="377"/>
        <v>Email Available</v>
      </c>
      <c r="G1812" s="2" t="s">
        <v>326</v>
      </c>
      <c r="H1812" s="2" t="s">
        <v>261</v>
      </c>
      <c r="I1812" s="2" t="s">
        <v>36</v>
      </c>
      <c r="J1812" s="2" t="s">
        <v>262</v>
      </c>
      <c r="K1812" s="2">
        <v>2</v>
      </c>
      <c r="L1812" s="2">
        <v>15.49</v>
      </c>
      <c r="M1812" s="19">
        <f t="shared" si="378"/>
        <v>15.49</v>
      </c>
      <c r="N1812" s="2" t="s">
        <v>118</v>
      </c>
      <c r="O1812" s="2" t="str">
        <f t="shared" si="379"/>
        <v>BFCM25</v>
      </c>
      <c r="P1812" s="2">
        <v>7.75</v>
      </c>
      <c r="Q1812" s="19">
        <f t="shared" si="380"/>
        <v>7.75</v>
      </c>
      <c r="R1812" s="2" t="str">
        <f t="shared" si="381"/>
        <v>Number</v>
      </c>
      <c r="S1812" s="2">
        <v>7.99</v>
      </c>
      <c r="T1812" s="19">
        <f t="shared" si="382"/>
        <v>7.99</v>
      </c>
      <c r="U1812" s="2">
        <v>31.22</v>
      </c>
      <c r="V1812" s="19">
        <f t="shared" si="383"/>
        <v>31.22</v>
      </c>
      <c r="W1812" s="19">
        <f t="shared" si="384"/>
        <v>31.22</v>
      </c>
      <c r="X1812" s="19" t="str">
        <f t="shared" si="385"/>
        <v>True</v>
      </c>
      <c r="Y1812" s="19" t="str">
        <f>IF(OR(W1812&lt;'Cleaning Tasks'!$G$18,W1812&gt;'Cleaning Tasks'!$H$18),"Outlier","Normal")</f>
        <v>Normal</v>
      </c>
      <c r="Z1812" s="2" t="s">
        <v>72</v>
      </c>
      <c r="AA1812" s="2" t="s">
        <v>111</v>
      </c>
      <c r="AB1812" s="2" t="s">
        <v>41</v>
      </c>
      <c r="AC1812" s="2" t="s">
        <v>29</v>
      </c>
      <c r="AD1812" s="2" t="s">
        <v>112</v>
      </c>
      <c r="AE1812" s="2" t="str">
        <f t="shared" si="386"/>
        <v>Valid</v>
      </c>
      <c r="AF1812" s="2" t="s">
        <v>3855</v>
      </c>
    </row>
    <row r="1813" spans="1:32" x14ac:dyDescent="0.3">
      <c r="A1813" s="2" t="s">
        <v>4774</v>
      </c>
      <c r="B1813" s="2">
        <f t="shared" si="376"/>
        <v>1</v>
      </c>
      <c r="C1813" s="12">
        <f t="shared" si="387"/>
        <v>46238.579588287037</v>
      </c>
      <c r="D1813" s="13">
        <v>46238.579588287037</v>
      </c>
      <c r="E1813" s="2" t="s">
        <v>329</v>
      </c>
      <c r="F1813" s="2" t="str">
        <f t="shared" si="377"/>
        <v>Email Available</v>
      </c>
      <c r="G1813" s="2" t="s">
        <v>330</v>
      </c>
      <c r="H1813" s="2" t="s">
        <v>190</v>
      </c>
      <c r="I1813" s="2" t="s">
        <v>191</v>
      </c>
      <c r="J1813" s="2" t="s">
        <v>192</v>
      </c>
      <c r="K1813" s="2">
        <v>2</v>
      </c>
      <c r="L1813" s="2" t="s">
        <v>944</v>
      </c>
      <c r="M1813" s="19">
        <f t="shared" si="378"/>
        <v>13.49</v>
      </c>
      <c r="N1813" s="2" t="s">
        <v>38</v>
      </c>
      <c r="O1813" s="2" t="str">
        <f t="shared" si="379"/>
        <v>FREESHIP</v>
      </c>
      <c r="P1813" s="2">
        <v>0</v>
      </c>
      <c r="Q1813" s="19">
        <f t="shared" si="380"/>
        <v>0</v>
      </c>
      <c r="R1813" s="2" t="str">
        <f t="shared" si="381"/>
        <v>Number</v>
      </c>
      <c r="S1813" s="2">
        <v>0</v>
      </c>
      <c r="T1813" s="19">
        <f t="shared" si="382"/>
        <v>0</v>
      </c>
      <c r="U1813" s="2">
        <v>26.98</v>
      </c>
      <c r="V1813" s="19">
        <f t="shared" si="383"/>
        <v>26.98</v>
      </c>
      <c r="W1813" s="19">
        <f t="shared" si="384"/>
        <v>26.98</v>
      </c>
      <c r="X1813" s="19" t="str">
        <f t="shared" si="385"/>
        <v>True</v>
      </c>
      <c r="Y1813" s="19" t="str">
        <f>IF(OR(W1813&lt;'Cleaning Tasks'!$G$18,W1813&gt;'Cleaning Tasks'!$H$18),"Outlier","Normal")</f>
        <v>Normal</v>
      </c>
      <c r="Z1813" s="2" t="s">
        <v>26</v>
      </c>
      <c r="AA1813" s="2" t="s">
        <v>27</v>
      </c>
      <c r="AB1813" s="2" t="s">
        <v>50</v>
      </c>
      <c r="AC1813" s="2" t="s">
        <v>331</v>
      </c>
      <c r="AD1813" s="2"/>
      <c r="AE1813" s="2" t="str">
        <f t="shared" si="386"/>
        <v>Not Required</v>
      </c>
      <c r="AF1813" s="2" t="s">
        <v>2890</v>
      </c>
    </row>
    <row r="1814" spans="1:32" x14ac:dyDescent="0.3">
      <c r="A1814" s="2" t="s">
        <v>4775</v>
      </c>
      <c r="B1814" s="2">
        <f t="shared" si="376"/>
        <v>1</v>
      </c>
      <c r="C1814" s="12">
        <f t="shared" si="387"/>
        <v>46238.587603715278</v>
      </c>
      <c r="D1814" s="13">
        <v>46238.587603715278</v>
      </c>
      <c r="E1814" s="2" t="s">
        <v>725</v>
      </c>
      <c r="F1814" s="2" t="str">
        <f t="shared" si="377"/>
        <v>Email Available</v>
      </c>
      <c r="G1814" s="2" t="s">
        <v>726</v>
      </c>
      <c r="H1814" s="2" t="s">
        <v>63</v>
      </c>
      <c r="I1814" s="2" t="s">
        <v>47</v>
      </c>
      <c r="J1814" s="2" t="s">
        <v>446</v>
      </c>
      <c r="K1814" s="2">
        <v>1</v>
      </c>
      <c r="L1814" s="2">
        <v>14.99</v>
      </c>
      <c r="M1814" s="19">
        <f t="shared" si="378"/>
        <v>14.99</v>
      </c>
      <c r="N1814" s="2" t="s">
        <v>65</v>
      </c>
      <c r="O1814" s="2" t="str">
        <f t="shared" si="379"/>
        <v>WELCOME10</v>
      </c>
      <c r="P1814" s="2">
        <v>1.5</v>
      </c>
      <c r="Q1814" s="19">
        <f t="shared" si="380"/>
        <v>1.5</v>
      </c>
      <c r="R1814" s="2" t="str">
        <f t="shared" si="381"/>
        <v>Number</v>
      </c>
      <c r="S1814" s="2">
        <v>5.99</v>
      </c>
      <c r="T1814" s="19">
        <f t="shared" si="382"/>
        <v>5.99</v>
      </c>
      <c r="U1814" s="2">
        <v>19.48</v>
      </c>
      <c r="V1814" s="19">
        <f t="shared" si="383"/>
        <v>19.48</v>
      </c>
      <c r="W1814" s="19">
        <f t="shared" si="384"/>
        <v>19.48</v>
      </c>
      <c r="X1814" s="19" t="str">
        <f t="shared" si="385"/>
        <v>True</v>
      </c>
      <c r="Y1814" s="19" t="str">
        <f>IF(OR(W1814&lt;'Cleaning Tasks'!$G$18,W1814&gt;'Cleaning Tasks'!$H$18),"Outlier","Normal")</f>
        <v>Normal</v>
      </c>
      <c r="Z1814" s="2" t="s">
        <v>66</v>
      </c>
      <c r="AA1814" s="2" t="s">
        <v>27</v>
      </c>
      <c r="AB1814" s="2" t="s">
        <v>28</v>
      </c>
      <c r="AC1814" s="2" t="s">
        <v>105</v>
      </c>
      <c r="AD1814" s="2"/>
      <c r="AE1814" s="2" t="str">
        <f t="shared" si="386"/>
        <v>Not Required</v>
      </c>
      <c r="AF1814" s="2" t="s">
        <v>4776</v>
      </c>
    </row>
    <row r="1815" spans="1:32" x14ac:dyDescent="0.3">
      <c r="A1815" s="2" t="s">
        <v>4777</v>
      </c>
      <c r="B1815" s="2">
        <f t="shared" si="376"/>
        <v>1</v>
      </c>
      <c r="C1815" s="12">
        <f t="shared" si="387"/>
        <v>46238.584332199083</v>
      </c>
      <c r="D1815" s="13">
        <v>46238.584332199083</v>
      </c>
      <c r="E1815" s="2" t="s">
        <v>206</v>
      </c>
      <c r="F1815" s="2" t="str">
        <f t="shared" si="377"/>
        <v>Email Available</v>
      </c>
      <c r="G1815" s="2" t="s">
        <v>207</v>
      </c>
      <c r="H1815" s="2" t="s">
        <v>63</v>
      </c>
      <c r="I1815" s="2" t="s">
        <v>47</v>
      </c>
      <c r="J1815" s="2" t="s">
        <v>446</v>
      </c>
      <c r="K1815" s="2">
        <v>2</v>
      </c>
      <c r="L1815" s="2">
        <v>14.99</v>
      </c>
      <c r="M1815" s="19">
        <f t="shared" si="378"/>
        <v>14.99</v>
      </c>
      <c r="N1815" s="2" t="s">
        <v>24</v>
      </c>
      <c r="O1815" s="2" t="str">
        <f t="shared" si="379"/>
        <v>SAVE20</v>
      </c>
      <c r="P1815" s="2">
        <v>6</v>
      </c>
      <c r="Q1815" s="19">
        <f t="shared" si="380"/>
        <v>6</v>
      </c>
      <c r="R1815" s="2" t="str">
        <f t="shared" si="381"/>
        <v>Number</v>
      </c>
      <c r="S1815" s="2">
        <v>4.99</v>
      </c>
      <c r="T1815" s="19">
        <f t="shared" si="382"/>
        <v>4.99</v>
      </c>
      <c r="U1815" s="2">
        <v>28.97</v>
      </c>
      <c r="V1815" s="19">
        <f t="shared" si="383"/>
        <v>28.97</v>
      </c>
      <c r="W1815" s="19">
        <f t="shared" si="384"/>
        <v>28.97</v>
      </c>
      <c r="X1815" s="19" t="str">
        <f t="shared" si="385"/>
        <v>True</v>
      </c>
      <c r="Y1815" s="19" t="str">
        <f>IF(OR(W1815&lt;'Cleaning Tasks'!$G$18,W1815&gt;'Cleaning Tasks'!$H$18),"Outlier","Normal")</f>
        <v>Normal</v>
      </c>
      <c r="Z1815" s="2" t="s">
        <v>39</v>
      </c>
      <c r="AA1815" s="2" t="s">
        <v>27</v>
      </c>
      <c r="AB1815" s="2" t="s">
        <v>50</v>
      </c>
      <c r="AC1815" s="2" t="s">
        <v>105</v>
      </c>
      <c r="AD1815" s="2"/>
      <c r="AE1815" s="2" t="str">
        <f t="shared" si="386"/>
        <v>Not Required</v>
      </c>
      <c r="AF1815" s="2" t="s">
        <v>4778</v>
      </c>
    </row>
    <row r="1816" spans="1:32" x14ac:dyDescent="0.3">
      <c r="A1816" s="2" t="s">
        <v>4779</v>
      </c>
      <c r="B1816" s="2">
        <f t="shared" si="376"/>
        <v>1</v>
      </c>
      <c r="C1816" s="12">
        <f t="shared" si="387"/>
        <v>46238</v>
      </c>
      <c r="D1816" s="13" t="s">
        <v>143</v>
      </c>
      <c r="E1816" s="2" t="s">
        <v>4780</v>
      </c>
      <c r="F1816" s="2" t="str">
        <f t="shared" si="377"/>
        <v>Email Available</v>
      </c>
      <c r="G1816" s="2" t="s">
        <v>4781</v>
      </c>
      <c r="H1816" s="2" t="s">
        <v>124</v>
      </c>
      <c r="I1816" s="2" t="s">
        <v>79</v>
      </c>
      <c r="J1816" s="2" t="s">
        <v>125</v>
      </c>
      <c r="K1816" s="2">
        <v>1</v>
      </c>
      <c r="L1816" s="2">
        <v>13.99</v>
      </c>
      <c r="M1816" s="19">
        <f t="shared" si="378"/>
        <v>13.99</v>
      </c>
      <c r="N1816" s="2" t="s">
        <v>65</v>
      </c>
      <c r="O1816" s="2" t="str">
        <f t="shared" si="379"/>
        <v>WELCOME10</v>
      </c>
      <c r="P1816" s="2">
        <v>1.4</v>
      </c>
      <c r="Q1816" s="19">
        <f t="shared" si="380"/>
        <v>1.4</v>
      </c>
      <c r="R1816" s="2" t="str">
        <f t="shared" si="381"/>
        <v>Number</v>
      </c>
      <c r="S1816" s="2">
        <v>7.99</v>
      </c>
      <c r="T1816" s="19">
        <f t="shared" si="382"/>
        <v>7.99</v>
      </c>
      <c r="U1816" s="2">
        <v>20.58</v>
      </c>
      <c r="V1816" s="19">
        <f t="shared" si="383"/>
        <v>20.58</v>
      </c>
      <c r="W1816" s="19">
        <f t="shared" si="384"/>
        <v>20.58</v>
      </c>
      <c r="X1816" s="19" t="str">
        <f t="shared" si="385"/>
        <v>True</v>
      </c>
      <c r="Y1816" s="19" t="str">
        <f>IF(OR(W1816&lt;'Cleaning Tasks'!$G$18,W1816&gt;'Cleaning Tasks'!$H$18),"Outlier","Normal")</f>
        <v>Normal</v>
      </c>
      <c r="Z1816" s="2" t="s">
        <v>49</v>
      </c>
      <c r="AA1816" s="2" t="s">
        <v>27</v>
      </c>
      <c r="AB1816" s="2" t="s">
        <v>41</v>
      </c>
      <c r="AC1816" s="2" t="s">
        <v>223</v>
      </c>
      <c r="AD1816" s="2"/>
      <c r="AE1816" s="2" t="str">
        <f t="shared" si="386"/>
        <v>Not Required</v>
      </c>
      <c r="AF1816" s="2" t="s">
        <v>4782</v>
      </c>
    </row>
    <row r="1817" spans="1:32" x14ac:dyDescent="0.3">
      <c r="A1817" s="2" t="s">
        <v>4783</v>
      </c>
      <c r="B1817" s="2">
        <f t="shared" si="376"/>
        <v>1</v>
      </c>
      <c r="C1817" s="12">
        <f t="shared" si="387"/>
        <v>46238.579382581018</v>
      </c>
      <c r="D1817" s="13">
        <v>46238.579382581018</v>
      </c>
      <c r="E1817" s="2" t="s">
        <v>1625</v>
      </c>
      <c r="F1817" s="2" t="str">
        <f t="shared" si="377"/>
        <v>Email Available</v>
      </c>
      <c r="G1817" s="2" t="s">
        <v>1533</v>
      </c>
      <c r="H1817" s="2" t="s">
        <v>236</v>
      </c>
      <c r="I1817" s="2" t="s">
        <v>237</v>
      </c>
      <c r="J1817" s="2" t="s">
        <v>238</v>
      </c>
      <c r="K1817" s="2">
        <v>4</v>
      </c>
      <c r="L1817" s="2">
        <v>27.99</v>
      </c>
      <c r="M1817" s="19">
        <f t="shared" si="378"/>
        <v>27.99</v>
      </c>
      <c r="N1817" s="2" t="s">
        <v>65</v>
      </c>
      <c r="O1817" s="2" t="str">
        <f t="shared" si="379"/>
        <v>WELCOME10</v>
      </c>
      <c r="P1817" s="2" t="s">
        <v>4784</v>
      </c>
      <c r="Q1817" s="19">
        <f t="shared" si="380"/>
        <v>11.2</v>
      </c>
      <c r="R1817" s="2" t="str">
        <f t="shared" si="381"/>
        <v>Number</v>
      </c>
      <c r="S1817" s="2">
        <v>0</v>
      </c>
      <c r="T1817" s="19">
        <f t="shared" si="382"/>
        <v>0</v>
      </c>
      <c r="U1817" s="2">
        <v>100.76</v>
      </c>
      <c r="V1817" s="19">
        <f t="shared" si="383"/>
        <v>100.76</v>
      </c>
      <c r="W1817" s="19">
        <f t="shared" si="384"/>
        <v>100.75999999999999</v>
      </c>
      <c r="X1817" s="19" t="str">
        <f t="shared" si="385"/>
        <v>True</v>
      </c>
      <c r="Y1817" s="19" t="str">
        <f>IF(OR(W1817&lt;'Cleaning Tasks'!$G$18,W1817&gt;'Cleaning Tasks'!$H$18),"Outlier","Normal")</f>
        <v>Outlier</v>
      </c>
      <c r="Z1817" s="2" t="s">
        <v>26</v>
      </c>
      <c r="AA1817" s="2" t="s">
        <v>88</v>
      </c>
      <c r="AB1817" s="2" t="s">
        <v>28</v>
      </c>
      <c r="AC1817" s="2" t="s">
        <v>73</v>
      </c>
      <c r="AD1817" s="2"/>
      <c r="AE1817" s="2" t="str">
        <f t="shared" si="386"/>
        <v>Not Required</v>
      </c>
      <c r="AF1817" s="2" t="s">
        <v>4785</v>
      </c>
    </row>
    <row r="1818" spans="1:32" x14ac:dyDescent="0.3">
      <c r="A1818" s="2" t="s">
        <v>4786</v>
      </c>
      <c r="B1818" s="2">
        <f t="shared" si="376"/>
        <v>1</v>
      </c>
      <c r="C1818" s="12">
        <f t="shared" si="387"/>
        <v>46238.579296759257</v>
      </c>
      <c r="D1818" s="13">
        <v>46238.579296759257</v>
      </c>
      <c r="E1818" s="2" t="s">
        <v>885</v>
      </c>
      <c r="F1818" s="2" t="str">
        <f t="shared" si="377"/>
        <v>Email Available</v>
      </c>
      <c r="G1818" s="2" t="s">
        <v>886</v>
      </c>
      <c r="H1818" s="2" t="s">
        <v>63</v>
      </c>
      <c r="I1818" s="2" t="s">
        <v>47</v>
      </c>
      <c r="J1818" s="2" t="s">
        <v>446</v>
      </c>
      <c r="K1818" s="2">
        <v>1</v>
      </c>
      <c r="L1818" s="2">
        <v>14.99</v>
      </c>
      <c r="M1818" s="19">
        <f t="shared" si="378"/>
        <v>14.99</v>
      </c>
      <c r="N1818" s="2"/>
      <c r="O1818" s="2" t="str">
        <f t="shared" si="379"/>
        <v/>
      </c>
      <c r="P1818" s="2">
        <v>0</v>
      </c>
      <c r="Q1818" s="19">
        <f t="shared" si="380"/>
        <v>0</v>
      </c>
      <c r="R1818" s="2" t="str">
        <f t="shared" si="381"/>
        <v>Number</v>
      </c>
      <c r="S1818" s="2">
        <v>5.99</v>
      </c>
      <c r="T1818" s="19">
        <f t="shared" si="382"/>
        <v>5.99</v>
      </c>
      <c r="U1818" s="2">
        <v>20.98</v>
      </c>
      <c r="V1818" s="19">
        <f t="shared" si="383"/>
        <v>20.98</v>
      </c>
      <c r="W1818" s="19">
        <f t="shared" si="384"/>
        <v>20.98</v>
      </c>
      <c r="X1818" s="19" t="str">
        <f t="shared" si="385"/>
        <v>True</v>
      </c>
      <c r="Y1818" s="19" t="str">
        <f>IF(OR(W1818&lt;'Cleaning Tasks'!$G$18,W1818&gt;'Cleaning Tasks'!$H$18),"Outlier","Normal")</f>
        <v>Normal</v>
      </c>
      <c r="Z1818" s="2" t="s">
        <v>72</v>
      </c>
      <c r="AA1818" s="2" t="s">
        <v>40</v>
      </c>
      <c r="AB1818" s="2" t="s">
        <v>96</v>
      </c>
      <c r="AC1818" s="2" t="s">
        <v>331</v>
      </c>
      <c r="AD1818" s="2"/>
      <c r="AE1818" s="2" t="str">
        <f t="shared" si="386"/>
        <v>Not Required</v>
      </c>
      <c r="AF1818" s="2" t="s">
        <v>4787</v>
      </c>
    </row>
    <row r="1819" spans="1:32" x14ac:dyDescent="0.3">
      <c r="A1819" s="2" t="s">
        <v>4788</v>
      </c>
      <c r="B1819" s="2">
        <f t="shared" si="376"/>
        <v>1</v>
      </c>
      <c r="C1819" s="12">
        <f t="shared" si="387"/>
        <v>46238.587080949073</v>
      </c>
      <c r="D1819" s="13">
        <v>46238.587080949073</v>
      </c>
      <c r="E1819" s="2" t="s">
        <v>4789</v>
      </c>
      <c r="F1819" s="2" t="str">
        <f t="shared" si="377"/>
        <v>Email Available</v>
      </c>
      <c r="G1819" s="2" t="s">
        <v>3372</v>
      </c>
      <c r="H1819" s="2" t="s">
        <v>152</v>
      </c>
      <c r="I1819" s="2" t="s">
        <v>36</v>
      </c>
      <c r="J1819" s="2" t="s">
        <v>153</v>
      </c>
      <c r="K1819" s="2">
        <v>1</v>
      </c>
      <c r="L1819" s="2">
        <v>29.99</v>
      </c>
      <c r="M1819" s="19">
        <f t="shared" si="378"/>
        <v>29.99</v>
      </c>
      <c r="N1819" s="2"/>
      <c r="O1819" s="2" t="str">
        <f t="shared" si="379"/>
        <v/>
      </c>
      <c r="P1819" s="2">
        <v>0</v>
      </c>
      <c r="Q1819" s="19">
        <f t="shared" si="380"/>
        <v>0</v>
      </c>
      <c r="R1819" s="2" t="str">
        <f t="shared" si="381"/>
        <v>Number</v>
      </c>
      <c r="S1819" s="2">
        <v>4.99</v>
      </c>
      <c r="T1819" s="19">
        <f t="shared" si="382"/>
        <v>4.99</v>
      </c>
      <c r="U1819" s="2">
        <v>34.979999999999997</v>
      </c>
      <c r="V1819" s="19">
        <f t="shared" si="383"/>
        <v>34.979999999999997</v>
      </c>
      <c r="W1819" s="19">
        <f t="shared" si="384"/>
        <v>34.979999999999997</v>
      </c>
      <c r="X1819" s="19" t="str">
        <f t="shared" si="385"/>
        <v>True</v>
      </c>
      <c r="Y1819" s="19" t="str">
        <f>IF(OR(W1819&lt;'Cleaning Tasks'!$G$18,W1819&gt;'Cleaning Tasks'!$H$18),"Outlier","Normal")</f>
        <v>Normal</v>
      </c>
      <c r="Z1819" s="2" t="s">
        <v>66</v>
      </c>
      <c r="AA1819" s="2" t="s">
        <v>27</v>
      </c>
      <c r="AB1819" s="2" t="s">
        <v>50</v>
      </c>
      <c r="AC1819" s="2" t="s">
        <v>331</v>
      </c>
      <c r="AD1819" s="2"/>
      <c r="AE1819" s="2" t="str">
        <f t="shared" si="386"/>
        <v>Not Required</v>
      </c>
      <c r="AF1819" s="2" t="s">
        <v>4627</v>
      </c>
    </row>
    <row r="1820" spans="1:32" x14ac:dyDescent="0.3">
      <c r="A1820" s="2" t="s">
        <v>4790</v>
      </c>
      <c r="B1820" s="2">
        <f t="shared" si="376"/>
        <v>1</v>
      </c>
      <c r="C1820" s="12">
        <f t="shared" si="387"/>
        <v>46238.586123831017</v>
      </c>
      <c r="D1820" s="13">
        <v>46238.586123831017</v>
      </c>
      <c r="E1820" s="2" t="s">
        <v>231</v>
      </c>
      <c r="F1820" s="2" t="str">
        <f t="shared" si="377"/>
        <v>Email Available</v>
      </c>
      <c r="G1820" s="2" t="s">
        <v>1012</v>
      </c>
      <c r="H1820" s="2" t="s">
        <v>102</v>
      </c>
      <c r="I1820" s="2" t="s">
        <v>103</v>
      </c>
      <c r="J1820" s="2" t="s">
        <v>104</v>
      </c>
      <c r="K1820" s="2">
        <v>2</v>
      </c>
      <c r="L1820" s="2" t="s">
        <v>451</v>
      </c>
      <c r="M1820" s="19">
        <f t="shared" si="378"/>
        <v>19.989999999999998</v>
      </c>
      <c r="N1820" s="2"/>
      <c r="O1820" s="2" t="str">
        <f t="shared" si="379"/>
        <v/>
      </c>
      <c r="P1820" s="2">
        <v>0</v>
      </c>
      <c r="Q1820" s="19">
        <f t="shared" si="380"/>
        <v>0</v>
      </c>
      <c r="R1820" s="2" t="str">
        <f t="shared" si="381"/>
        <v>Number</v>
      </c>
      <c r="S1820" s="2">
        <v>7.99</v>
      </c>
      <c r="T1820" s="19">
        <f t="shared" si="382"/>
        <v>7.99</v>
      </c>
      <c r="U1820" s="2">
        <v>47.97</v>
      </c>
      <c r="V1820" s="19">
        <f t="shared" si="383"/>
        <v>47.97</v>
      </c>
      <c r="W1820" s="19">
        <f t="shared" si="384"/>
        <v>47.97</v>
      </c>
      <c r="X1820" s="19" t="str">
        <f t="shared" si="385"/>
        <v>True</v>
      </c>
      <c r="Y1820" s="19" t="str">
        <f>IF(OR(W1820&lt;'Cleaning Tasks'!$G$18,W1820&gt;'Cleaning Tasks'!$H$18),"Outlier","Normal")</f>
        <v>Normal</v>
      </c>
      <c r="Z1820" s="2" t="s">
        <v>39</v>
      </c>
      <c r="AA1820" s="2" t="s">
        <v>111</v>
      </c>
      <c r="AB1820" s="2" t="s">
        <v>50</v>
      </c>
      <c r="AC1820" s="2" t="s">
        <v>42</v>
      </c>
      <c r="AD1820" s="2"/>
      <c r="AE1820" s="2" t="str">
        <f t="shared" si="386"/>
        <v>Not Required</v>
      </c>
      <c r="AF1820" s="2" t="s">
        <v>4791</v>
      </c>
    </row>
    <row r="1821" spans="1:32" x14ac:dyDescent="0.3">
      <c r="A1821" s="2" t="s">
        <v>4792</v>
      </c>
      <c r="B1821" s="2">
        <f t="shared" si="376"/>
        <v>1</v>
      </c>
      <c r="C1821" s="12">
        <f t="shared" si="387"/>
        <v>46238.581054328701</v>
      </c>
      <c r="D1821" s="13">
        <v>46238.581054328701</v>
      </c>
      <c r="E1821" s="2" t="s">
        <v>1199</v>
      </c>
      <c r="F1821" s="2" t="str">
        <f t="shared" si="377"/>
        <v>Email Available</v>
      </c>
      <c r="G1821" s="2" t="s">
        <v>1200</v>
      </c>
      <c r="H1821" s="2" t="s">
        <v>85</v>
      </c>
      <c r="I1821" s="2" t="s">
        <v>86</v>
      </c>
      <c r="J1821" s="2" t="s">
        <v>87</v>
      </c>
      <c r="K1821" s="2">
        <v>1</v>
      </c>
      <c r="L1821" s="2">
        <v>54.99</v>
      </c>
      <c r="M1821" s="19">
        <f t="shared" si="378"/>
        <v>54.99</v>
      </c>
      <c r="N1821" s="2"/>
      <c r="O1821" s="2" t="str">
        <f t="shared" si="379"/>
        <v/>
      </c>
      <c r="P1821" s="2">
        <v>0</v>
      </c>
      <c r="Q1821" s="19">
        <f t="shared" si="380"/>
        <v>0</v>
      </c>
      <c r="R1821" s="2" t="str">
        <f t="shared" si="381"/>
        <v>Number</v>
      </c>
      <c r="S1821" s="2">
        <v>5.99</v>
      </c>
      <c r="T1821" s="19">
        <f t="shared" si="382"/>
        <v>5.99</v>
      </c>
      <c r="U1821" s="2">
        <v>60.98</v>
      </c>
      <c r="V1821" s="19">
        <f t="shared" si="383"/>
        <v>60.98</v>
      </c>
      <c r="W1821" s="19">
        <f t="shared" si="384"/>
        <v>60.980000000000004</v>
      </c>
      <c r="X1821" s="19" t="str">
        <f t="shared" si="385"/>
        <v>True</v>
      </c>
      <c r="Y1821" s="19" t="str">
        <f>IF(OR(W1821&lt;'Cleaning Tasks'!$G$18,W1821&gt;'Cleaning Tasks'!$H$18),"Outlier","Normal")</f>
        <v>Normal</v>
      </c>
      <c r="Z1821" s="2" t="s">
        <v>72</v>
      </c>
      <c r="AA1821" s="2" t="s">
        <v>111</v>
      </c>
      <c r="AB1821" s="2" t="s">
        <v>50</v>
      </c>
      <c r="AC1821" s="2" t="s">
        <v>29</v>
      </c>
      <c r="AD1821" s="22" t="s">
        <v>112</v>
      </c>
      <c r="AE1821" s="2" t="str">
        <f t="shared" si="386"/>
        <v>Valid</v>
      </c>
      <c r="AF1821" s="2" t="s">
        <v>668</v>
      </c>
    </row>
    <row r="1822" spans="1:32" x14ac:dyDescent="0.3">
      <c r="A1822" s="2" t="s">
        <v>4793</v>
      </c>
      <c r="B1822" s="2">
        <f t="shared" si="376"/>
        <v>1</v>
      </c>
      <c r="C1822" s="12">
        <f t="shared" si="387"/>
        <v>46238.58343042824</v>
      </c>
      <c r="D1822" s="13">
        <v>46238.58343042824</v>
      </c>
      <c r="E1822" s="2" t="s">
        <v>602</v>
      </c>
      <c r="F1822" s="2" t="str">
        <f t="shared" si="377"/>
        <v>Missing Email</v>
      </c>
      <c r="G1822" s="2"/>
      <c r="H1822" s="2" t="s">
        <v>267</v>
      </c>
      <c r="I1822" s="2" t="s">
        <v>22</v>
      </c>
      <c r="J1822" s="2" t="s">
        <v>268</v>
      </c>
      <c r="K1822" s="2">
        <v>1</v>
      </c>
      <c r="L1822" s="2">
        <v>18.989999999999998</v>
      </c>
      <c r="M1822" s="19">
        <f t="shared" si="378"/>
        <v>18.989999999999998</v>
      </c>
      <c r="N1822" s="2" t="s">
        <v>65</v>
      </c>
      <c r="O1822" s="2" t="str">
        <f t="shared" si="379"/>
        <v>WELCOME10</v>
      </c>
      <c r="P1822" s="2">
        <v>1.9</v>
      </c>
      <c r="Q1822" s="19">
        <f t="shared" si="380"/>
        <v>1.9</v>
      </c>
      <c r="R1822" s="2" t="str">
        <f t="shared" si="381"/>
        <v>Number</v>
      </c>
      <c r="S1822" s="2">
        <v>4.99</v>
      </c>
      <c r="T1822" s="19">
        <f t="shared" si="382"/>
        <v>4.99</v>
      </c>
      <c r="U1822" s="2">
        <v>22.08</v>
      </c>
      <c r="V1822" s="19">
        <f t="shared" si="383"/>
        <v>22.08</v>
      </c>
      <c r="W1822" s="19">
        <f t="shared" si="384"/>
        <v>22.08</v>
      </c>
      <c r="X1822" s="19" t="str">
        <f t="shared" si="385"/>
        <v>True</v>
      </c>
      <c r="Y1822" s="19" t="str">
        <f>IF(OR(W1822&lt;'Cleaning Tasks'!$G$18,W1822&gt;'Cleaning Tasks'!$H$18),"Outlier","Normal")</f>
        <v>Normal</v>
      </c>
      <c r="Z1822" s="2" t="s">
        <v>49</v>
      </c>
      <c r="AA1822" s="2" t="s">
        <v>27</v>
      </c>
      <c r="AB1822" s="2" t="s">
        <v>50</v>
      </c>
      <c r="AC1822" s="2" t="s">
        <v>42</v>
      </c>
      <c r="AD1822" s="2"/>
      <c r="AE1822" s="2" t="str">
        <f t="shared" si="386"/>
        <v>Not Required</v>
      </c>
      <c r="AF1822" s="2" t="s">
        <v>4794</v>
      </c>
    </row>
    <row r="1823" spans="1:32" x14ac:dyDescent="0.3">
      <c r="A1823" s="2" t="s">
        <v>4795</v>
      </c>
      <c r="B1823" s="2">
        <f t="shared" si="376"/>
        <v>1</v>
      </c>
      <c r="C1823" s="12">
        <f t="shared" si="387"/>
        <v>46238.586439247687</v>
      </c>
      <c r="D1823" s="13">
        <v>46238.586439247687</v>
      </c>
      <c r="E1823" s="2" t="s">
        <v>1455</v>
      </c>
      <c r="F1823" s="2" t="str">
        <f t="shared" si="377"/>
        <v>Email Available</v>
      </c>
      <c r="G1823" s="2" t="s">
        <v>1279</v>
      </c>
      <c r="H1823" s="2" t="s">
        <v>130</v>
      </c>
      <c r="I1823" s="2" t="s">
        <v>103</v>
      </c>
      <c r="J1823" s="2" t="s">
        <v>131</v>
      </c>
      <c r="K1823" s="2">
        <v>3</v>
      </c>
      <c r="L1823" s="2">
        <v>16.989999999999998</v>
      </c>
      <c r="M1823" s="19">
        <f t="shared" si="378"/>
        <v>16.989999999999998</v>
      </c>
      <c r="N1823" s="2" t="s">
        <v>38</v>
      </c>
      <c r="O1823" s="2" t="str">
        <f t="shared" si="379"/>
        <v>FREESHIP</v>
      </c>
      <c r="P1823" s="2">
        <v>0</v>
      </c>
      <c r="Q1823" s="19">
        <f t="shared" si="380"/>
        <v>0</v>
      </c>
      <c r="R1823" s="2" t="str">
        <f t="shared" si="381"/>
        <v>Number</v>
      </c>
      <c r="S1823" s="2">
        <v>0</v>
      </c>
      <c r="T1823" s="19">
        <f t="shared" si="382"/>
        <v>0</v>
      </c>
      <c r="U1823" s="2">
        <v>50.97</v>
      </c>
      <c r="V1823" s="19">
        <f t="shared" si="383"/>
        <v>50.97</v>
      </c>
      <c r="W1823" s="19">
        <f t="shared" si="384"/>
        <v>50.97</v>
      </c>
      <c r="X1823" s="19" t="str">
        <f t="shared" si="385"/>
        <v>True</v>
      </c>
      <c r="Y1823" s="19" t="str">
        <f>IF(OR(W1823&lt;'Cleaning Tasks'!$G$18,W1823&gt;'Cleaning Tasks'!$H$18),"Outlier","Normal")</f>
        <v>Normal</v>
      </c>
      <c r="Z1823" s="2" t="s">
        <v>26</v>
      </c>
      <c r="AA1823" s="2" t="s">
        <v>40</v>
      </c>
      <c r="AB1823" s="2" t="s">
        <v>50</v>
      </c>
      <c r="AC1823" s="2" t="s">
        <v>29</v>
      </c>
      <c r="AD1823" s="2" t="s">
        <v>447</v>
      </c>
      <c r="AE1823" s="2" t="str">
        <f t="shared" si="386"/>
        <v>Valid</v>
      </c>
      <c r="AF1823" s="2" t="s">
        <v>4796</v>
      </c>
    </row>
    <row r="1824" spans="1:32" x14ac:dyDescent="0.3">
      <c r="A1824" s="2" t="s">
        <v>4797</v>
      </c>
      <c r="B1824" s="2">
        <f t="shared" si="376"/>
        <v>1</v>
      </c>
      <c r="C1824" s="12">
        <f t="shared" si="387"/>
        <v>46238.58302395833</v>
      </c>
      <c r="D1824" s="13">
        <v>46238.58302395833</v>
      </c>
      <c r="E1824" s="2" t="s">
        <v>1490</v>
      </c>
      <c r="F1824" s="2" t="str">
        <f t="shared" si="377"/>
        <v>Missing Email</v>
      </c>
      <c r="G1824" s="2"/>
      <c r="H1824" s="2" t="s">
        <v>117</v>
      </c>
      <c r="I1824" s="2" t="s">
        <v>22</v>
      </c>
      <c r="J1824" s="2" t="s">
        <v>23</v>
      </c>
      <c r="K1824" s="2">
        <v>1</v>
      </c>
      <c r="L1824" s="2">
        <v>12.99</v>
      </c>
      <c r="M1824" s="19">
        <f t="shared" si="378"/>
        <v>12.99</v>
      </c>
      <c r="N1824" s="2" t="s">
        <v>118</v>
      </c>
      <c r="O1824" s="2" t="str">
        <f t="shared" si="379"/>
        <v>BFCM25</v>
      </c>
      <c r="P1824" s="2">
        <v>3.25</v>
      </c>
      <c r="Q1824" s="19">
        <f t="shared" si="380"/>
        <v>3.25</v>
      </c>
      <c r="R1824" s="2" t="str">
        <f t="shared" si="381"/>
        <v>Number</v>
      </c>
      <c r="S1824" s="2">
        <v>5.99</v>
      </c>
      <c r="T1824" s="19">
        <f t="shared" si="382"/>
        <v>5.99</v>
      </c>
      <c r="U1824" s="2" t="s">
        <v>1166</v>
      </c>
      <c r="V1824" s="19">
        <f t="shared" si="383"/>
        <v>15.73</v>
      </c>
      <c r="W1824" s="19">
        <f t="shared" si="384"/>
        <v>15.73</v>
      </c>
      <c r="X1824" s="19" t="str">
        <f t="shared" si="385"/>
        <v>True</v>
      </c>
      <c r="Y1824" s="19" t="str">
        <f>IF(OR(W1824&lt;'Cleaning Tasks'!$G$18,W1824&gt;'Cleaning Tasks'!$H$18),"Outlier","Normal")</f>
        <v>Normal</v>
      </c>
      <c r="Z1824" s="2" t="s">
        <v>72</v>
      </c>
      <c r="AA1824" s="2" t="s">
        <v>27</v>
      </c>
      <c r="AB1824" s="2" t="s">
        <v>96</v>
      </c>
      <c r="AC1824" s="2" t="s">
        <v>42</v>
      </c>
      <c r="AD1824" s="2"/>
      <c r="AE1824" s="2" t="str">
        <f t="shared" si="386"/>
        <v>Not Required</v>
      </c>
      <c r="AF1824" s="2" t="s">
        <v>4798</v>
      </c>
    </row>
    <row r="1825" spans="1:32" x14ac:dyDescent="0.3">
      <c r="A1825" s="2" t="s">
        <v>4799</v>
      </c>
      <c r="B1825" s="2">
        <f t="shared" si="376"/>
        <v>1</v>
      </c>
      <c r="C1825" s="12">
        <f t="shared" si="387"/>
        <v>46238.580875520827</v>
      </c>
      <c r="D1825" s="13">
        <v>46238.580875520827</v>
      </c>
      <c r="E1825" s="2" t="s">
        <v>2971</v>
      </c>
      <c r="F1825" s="2" t="str">
        <f t="shared" si="377"/>
        <v>Email Available</v>
      </c>
      <c r="G1825" s="2" t="s">
        <v>1924</v>
      </c>
      <c r="H1825" s="2" t="s">
        <v>361</v>
      </c>
      <c r="I1825" s="2" t="s">
        <v>86</v>
      </c>
      <c r="J1825" s="2" t="s">
        <v>362</v>
      </c>
      <c r="K1825" s="2">
        <v>1</v>
      </c>
      <c r="L1825" s="2">
        <v>54.99</v>
      </c>
      <c r="M1825" s="19">
        <f t="shared" si="378"/>
        <v>54.99</v>
      </c>
      <c r="N1825" s="2"/>
      <c r="O1825" s="2" t="str">
        <f t="shared" si="379"/>
        <v/>
      </c>
      <c r="P1825" s="2">
        <v>0</v>
      </c>
      <c r="Q1825" s="19">
        <f t="shared" si="380"/>
        <v>0</v>
      </c>
      <c r="R1825" s="2" t="str">
        <f t="shared" si="381"/>
        <v>Number</v>
      </c>
      <c r="S1825" s="2">
        <v>7.99</v>
      </c>
      <c r="T1825" s="19">
        <f t="shared" si="382"/>
        <v>7.99</v>
      </c>
      <c r="U1825" s="2">
        <v>62.98</v>
      </c>
      <c r="V1825" s="19">
        <f t="shared" si="383"/>
        <v>62.98</v>
      </c>
      <c r="W1825" s="19">
        <f t="shared" si="384"/>
        <v>62.980000000000004</v>
      </c>
      <c r="X1825" s="19" t="str">
        <f t="shared" si="385"/>
        <v>True</v>
      </c>
      <c r="Y1825" s="19" t="str">
        <f>IF(OR(W1825&lt;'Cleaning Tasks'!$G$18,W1825&gt;'Cleaning Tasks'!$H$18),"Outlier","Normal")</f>
        <v>Normal</v>
      </c>
      <c r="Z1825" s="2" t="s">
        <v>66</v>
      </c>
      <c r="AA1825" s="2" t="s">
        <v>111</v>
      </c>
      <c r="AB1825" s="2" t="s">
        <v>41</v>
      </c>
      <c r="AC1825" s="2" t="s">
        <v>29</v>
      </c>
      <c r="AD1825" s="2" t="s">
        <v>140</v>
      </c>
      <c r="AE1825" s="2" t="str">
        <f t="shared" si="386"/>
        <v>Valid</v>
      </c>
      <c r="AF1825" s="2" t="s">
        <v>4800</v>
      </c>
    </row>
    <row r="1826" spans="1:32" x14ac:dyDescent="0.3">
      <c r="A1826" s="2" t="s">
        <v>4801</v>
      </c>
      <c r="B1826" s="2">
        <f t="shared" si="376"/>
        <v>1</v>
      </c>
      <c r="C1826" s="12">
        <f t="shared" si="387"/>
        <v>46238.584297048612</v>
      </c>
      <c r="D1826" s="13">
        <v>46238.584297048612</v>
      </c>
      <c r="E1826" s="2" t="s">
        <v>1592</v>
      </c>
      <c r="F1826" s="2" t="str">
        <f t="shared" si="377"/>
        <v>Email Available</v>
      </c>
      <c r="G1826" s="2" t="s">
        <v>1593</v>
      </c>
      <c r="H1826" s="2" t="s">
        <v>236</v>
      </c>
      <c r="I1826" s="2" t="s">
        <v>237</v>
      </c>
      <c r="J1826" s="2" t="s">
        <v>238</v>
      </c>
      <c r="K1826" s="2">
        <v>2</v>
      </c>
      <c r="L1826" s="2" t="s">
        <v>1512</v>
      </c>
      <c r="M1826" s="19">
        <f t="shared" si="378"/>
        <v>27.99</v>
      </c>
      <c r="N1826" s="2" t="s">
        <v>38</v>
      </c>
      <c r="O1826" s="2" t="str">
        <f t="shared" si="379"/>
        <v>FREESHIP</v>
      </c>
      <c r="P1826" s="2">
        <v>0</v>
      </c>
      <c r="Q1826" s="19">
        <f t="shared" si="380"/>
        <v>0</v>
      </c>
      <c r="R1826" s="2" t="str">
        <f t="shared" si="381"/>
        <v>Number</v>
      </c>
      <c r="S1826" s="2">
        <v>0</v>
      </c>
      <c r="T1826" s="19">
        <f t="shared" si="382"/>
        <v>0</v>
      </c>
      <c r="U1826" s="2">
        <v>55.98</v>
      </c>
      <c r="V1826" s="19">
        <f t="shared" si="383"/>
        <v>55.98</v>
      </c>
      <c r="W1826" s="19">
        <f t="shared" si="384"/>
        <v>55.98</v>
      </c>
      <c r="X1826" s="19" t="str">
        <f t="shared" si="385"/>
        <v>True</v>
      </c>
      <c r="Y1826" s="19" t="str">
        <f>IF(OR(W1826&lt;'Cleaning Tasks'!$G$18,W1826&gt;'Cleaning Tasks'!$H$18),"Outlier","Normal")</f>
        <v>Normal</v>
      </c>
      <c r="Z1826" s="2" t="s">
        <v>26</v>
      </c>
      <c r="AA1826" s="2" t="s">
        <v>88</v>
      </c>
      <c r="AB1826" s="2" t="s">
        <v>50</v>
      </c>
      <c r="AC1826" s="2" t="s">
        <v>331</v>
      </c>
      <c r="AD1826" s="2"/>
      <c r="AE1826" s="2" t="str">
        <f t="shared" si="386"/>
        <v>Not Required</v>
      </c>
      <c r="AF1826" s="2" t="s">
        <v>4802</v>
      </c>
    </row>
    <row r="1827" spans="1:32" x14ac:dyDescent="0.3">
      <c r="A1827" s="2" t="s">
        <v>4803</v>
      </c>
      <c r="B1827" s="2">
        <f t="shared" si="376"/>
        <v>1</v>
      </c>
      <c r="C1827" s="12">
        <f t="shared" si="387"/>
        <v>46238.587747997677</v>
      </c>
      <c r="D1827" s="13">
        <v>46238.587747997677</v>
      </c>
      <c r="E1827" s="2" t="s">
        <v>347</v>
      </c>
      <c r="F1827" s="2" t="str">
        <f t="shared" si="377"/>
        <v>Missing Email</v>
      </c>
      <c r="G1827" s="2"/>
      <c r="H1827" s="2" t="s">
        <v>35</v>
      </c>
      <c r="I1827" s="2" t="s">
        <v>36</v>
      </c>
      <c r="J1827" s="2" t="s">
        <v>37</v>
      </c>
      <c r="K1827" s="2">
        <v>1</v>
      </c>
      <c r="L1827" s="2">
        <v>21.99</v>
      </c>
      <c r="M1827" s="19">
        <f t="shared" si="378"/>
        <v>21.99</v>
      </c>
      <c r="N1827" s="2"/>
      <c r="O1827" s="2" t="str">
        <f t="shared" si="379"/>
        <v/>
      </c>
      <c r="P1827" s="2">
        <v>0</v>
      </c>
      <c r="Q1827" s="19">
        <f t="shared" si="380"/>
        <v>0</v>
      </c>
      <c r="R1827" s="2" t="str">
        <f t="shared" si="381"/>
        <v>Number</v>
      </c>
      <c r="S1827" s="2">
        <v>7.99</v>
      </c>
      <c r="T1827" s="19">
        <f t="shared" si="382"/>
        <v>7.99</v>
      </c>
      <c r="U1827" s="2">
        <v>29.98</v>
      </c>
      <c r="V1827" s="19">
        <f t="shared" si="383"/>
        <v>29.98</v>
      </c>
      <c r="W1827" s="19">
        <f t="shared" si="384"/>
        <v>29.979999999999997</v>
      </c>
      <c r="X1827" s="19" t="str">
        <f t="shared" si="385"/>
        <v>True</v>
      </c>
      <c r="Y1827" s="19" t="str">
        <f>IF(OR(W1827&lt;'Cleaning Tasks'!$G$18,W1827&gt;'Cleaning Tasks'!$H$18),"Outlier","Normal")</f>
        <v>Normal</v>
      </c>
      <c r="Z1827" s="2" t="s">
        <v>39</v>
      </c>
      <c r="AA1827" s="2" t="s">
        <v>88</v>
      </c>
      <c r="AB1827" s="2" t="s">
        <v>50</v>
      </c>
      <c r="AC1827" s="2" t="s">
        <v>223</v>
      </c>
      <c r="AD1827" s="2"/>
      <c r="AE1827" s="2" t="str">
        <f t="shared" si="386"/>
        <v>Not Required</v>
      </c>
      <c r="AF1827" s="2" t="s">
        <v>4804</v>
      </c>
    </row>
    <row r="1828" spans="1:32" x14ac:dyDescent="0.3">
      <c r="A1828" s="2" t="s">
        <v>4805</v>
      </c>
      <c r="B1828" s="2">
        <f t="shared" si="376"/>
        <v>1</v>
      </c>
      <c r="C1828" s="12">
        <f t="shared" si="387"/>
        <v>46238.581238125</v>
      </c>
      <c r="D1828" s="13">
        <v>46238.581238125</v>
      </c>
      <c r="E1828" s="2" t="s">
        <v>1075</v>
      </c>
      <c r="F1828" s="2" t="str">
        <f t="shared" si="377"/>
        <v>Email Available</v>
      </c>
      <c r="G1828" s="2" t="s">
        <v>587</v>
      </c>
      <c r="H1828" s="2" t="s">
        <v>46</v>
      </c>
      <c r="I1828" s="2" t="s">
        <v>47</v>
      </c>
      <c r="J1828" s="2" t="s">
        <v>48</v>
      </c>
      <c r="K1828" s="2">
        <v>1</v>
      </c>
      <c r="L1828" s="2">
        <v>39.99</v>
      </c>
      <c r="M1828" s="19">
        <f t="shared" si="378"/>
        <v>39.99</v>
      </c>
      <c r="N1828" s="2"/>
      <c r="O1828" s="2" t="str">
        <f t="shared" si="379"/>
        <v/>
      </c>
      <c r="P1828" s="2" t="s">
        <v>184</v>
      </c>
      <c r="Q1828" s="19">
        <f t="shared" si="380"/>
        <v>0</v>
      </c>
      <c r="R1828" s="2" t="str">
        <f t="shared" si="381"/>
        <v>Number</v>
      </c>
      <c r="S1828" s="2">
        <v>4.99</v>
      </c>
      <c r="T1828" s="19">
        <f t="shared" si="382"/>
        <v>4.99</v>
      </c>
      <c r="U1828" s="2">
        <v>44.98</v>
      </c>
      <c r="V1828" s="19">
        <f t="shared" si="383"/>
        <v>44.98</v>
      </c>
      <c r="W1828" s="19">
        <f t="shared" si="384"/>
        <v>44.980000000000004</v>
      </c>
      <c r="X1828" s="19" t="str">
        <f t="shared" si="385"/>
        <v>True</v>
      </c>
      <c r="Y1828" s="19" t="str">
        <f>IF(OR(W1828&lt;'Cleaning Tasks'!$G$18,W1828&gt;'Cleaning Tasks'!$H$18),"Outlier","Normal")</f>
        <v>Normal</v>
      </c>
      <c r="Z1828" s="2" t="s">
        <v>39</v>
      </c>
      <c r="AA1828" s="2" t="s">
        <v>111</v>
      </c>
      <c r="AB1828" s="2" t="s">
        <v>50</v>
      </c>
      <c r="AC1828" s="2" t="s">
        <v>29</v>
      </c>
      <c r="AD1828" s="2" t="s">
        <v>58</v>
      </c>
      <c r="AE1828" s="2" t="str">
        <f t="shared" si="386"/>
        <v>Valid</v>
      </c>
      <c r="AF1828" s="2" t="s">
        <v>4806</v>
      </c>
    </row>
    <row r="1829" spans="1:32" x14ac:dyDescent="0.3">
      <c r="A1829" s="2" t="s">
        <v>4807</v>
      </c>
      <c r="B1829" s="2">
        <f t="shared" si="376"/>
        <v>1</v>
      </c>
      <c r="C1829" s="12">
        <f t="shared" si="387"/>
        <v>46238.582536909722</v>
      </c>
      <c r="D1829" s="13">
        <v>46238.582536909722</v>
      </c>
      <c r="E1829" s="2" t="s">
        <v>2450</v>
      </c>
      <c r="F1829" s="2" t="str">
        <f t="shared" si="377"/>
        <v>Email Available</v>
      </c>
      <c r="G1829" s="2" t="s">
        <v>2451</v>
      </c>
      <c r="H1829" s="2" t="s">
        <v>221</v>
      </c>
      <c r="I1829" s="2" t="s">
        <v>22</v>
      </c>
      <c r="J1829" s="2" t="s">
        <v>222</v>
      </c>
      <c r="K1829" s="2">
        <v>1</v>
      </c>
      <c r="L1829" s="2" t="s">
        <v>700</v>
      </c>
      <c r="M1829" s="19">
        <f t="shared" si="378"/>
        <v>17.989999999999998</v>
      </c>
      <c r="N1829" s="2"/>
      <c r="O1829" s="2" t="str">
        <f t="shared" si="379"/>
        <v/>
      </c>
      <c r="P1829" s="2">
        <v>0</v>
      </c>
      <c r="Q1829" s="19">
        <f t="shared" si="380"/>
        <v>0</v>
      </c>
      <c r="R1829" s="2" t="str">
        <f t="shared" si="381"/>
        <v>Number</v>
      </c>
      <c r="S1829" s="2">
        <v>7.99</v>
      </c>
      <c r="T1829" s="19">
        <f t="shared" si="382"/>
        <v>7.99</v>
      </c>
      <c r="U1829" s="2" t="s">
        <v>2437</v>
      </c>
      <c r="V1829" s="19">
        <f t="shared" si="383"/>
        <v>25.98</v>
      </c>
      <c r="W1829" s="19">
        <f t="shared" si="384"/>
        <v>25.979999999999997</v>
      </c>
      <c r="X1829" s="19" t="str">
        <f t="shared" si="385"/>
        <v>True</v>
      </c>
      <c r="Y1829" s="19" t="str">
        <f>IF(OR(W1829&lt;'Cleaning Tasks'!$G$18,W1829&gt;'Cleaning Tasks'!$H$18),"Outlier","Normal")</f>
        <v>Normal</v>
      </c>
      <c r="Z1829" s="2" t="s">
        <v>72</v>
      </c>
      <c r="AA1829" s="2" t="s">
        <v>88</v>
      </c>
      <c r="AB1829" s="2" t="s">
        <v>41</v>
      </c>
      <c r="AC1829" s="2" t="s">
        <v>105</v>
      </c>
      <c r="AD1829" s="2"/>
      <c r="AE1829" s="2" t="str">
        <f t="shared" si="386"/>
        <v>Not Required</v>
      </c>
      <c r="AF1829" s="2" t="s">
        <v>4808</v>
      </c>
    </row>
    <row r="1830" spans="1:32" x14ac:dyDescent="0.3">
      <c r="A1830" s="2" t="s">
        <v>4809</v>
      </c>
      <c r="B1830" s="2">
        <f t="shared" si="376"/>
        <v>1</v>
      </c>
      <c r="C1830" s="12">
        <f t="shared" si="387"/>
        <v>46238</v>
      </c>
      <c r="D1830" s="13" t="s">
        <v>143</v>
      </c>
      <c r="E1830" s="2" t="s">
        <v>1117</v>
      </c>
      <c r="F1830" s="2" t="str">
        <f t="shared" si="377"/>
        <v>Email Available</v>
      </c>
      <c r="G1830" s="2" t="s">
        <v>1118</v>
      </c>
      <c r="H1830" s="2" t="s">
        <v>166</v>
      </c>
      <c r="I1830" s="2" t="s">
        <v>103</v>
      </c>
      <c r="J1830" s="2" t="s">
        <v>167</v>
      </c>
      <c r="K1830" s="2">
        <v>1</v>
      </c>
      <c r="L1830" s="2">
        <v>32.99</v>
      </c>
      <c r="M1830" s="19">
        <f t="shared" si="378"/>
        <v>32.99</v>
      </c>
      <c r="N1830" s="2" t="s">
        <v>38</v>
      </c>
      <c r="O1830" s="2" t="str">
        <f t="shared" si="379"/>
        <v>FREESHIP</v>
      </c>
      <c r="P1830" s="2">
        <v>0</v>
      </c>
      <c r="Q1830" s="19">
        <f t="shared" si="380"/>
        <v>0</v>
      </c>
      <c r="R1830" s="2" t="str">
        <f t="shared" si="381"/>
        <v>Number</v>
      </c>
      <c r="S1830" s="2">
        <v>0</v>
      </c>
      <c r="T1830" s="19">
        <f t="shared" si="382"/>
        <v>0</v>
      </c>
      <c r="U1830" s="2">
        <v>32.99</v>
      </c>
      <c r="V1830" s="19">
        <f t="shared" si="383"/>
        <v>32.99</v>
      </c>
      <c r="W1830" s="19">
        <f t="shared" si="384"/>
        <v>32.99</v>
      </c>
      <c r="X1830" s="19" t="str">
        <f t="shared" si="385"/>
        <v>True</v>
      </c>
      <c r="Y1830" s="19" t="str">
        <f>IF(OR(W1830&lt;'Cleaning Tasks'!$G$18,W1830&gt;'Cleaning Tasks'!$H$18),"Outlier","Normal")</f>
        <v>Normal</v>
      </c>
      <c r="Z1830" s="2" t="s">
        <v>49</v>
      </c>
      <c r="AA1830" s="2" t="s">
        <v>27</v>
      </c>
      <c r="AB1830" s="2" t="s">
        <v>50</v>
      </c>
      <c r="AC1830" s="2" t="s">
        <v>331</v>
      </c>
      <c r="AD1830" s="2"/>
      <c r="AE1830" s="2" t="str">
        <f t="shared" si="386"/>
        <v>Not Required</v>
      </c>
      <c r="AF1830" s="2" t="s">
        <v>4810</v>
      </c>
    </row>
    <row r="1831" spans="1:32" x14ac:dyDescent="0.3">
      <c r="A1831" s="2" t="s">
        <v>4811</v>
      </c>
      <c r="B1831" s="2">
        <f t="shared" si="376"/>
        <v>1</v>
      </c>
      <c r="C1831" s="12">
        <f t="shared" si="387"/>
        <v>46238</v>
      </c>
      <c r="D1831" s="13" t="s">
        <v>2750</v>
      </c>
      <c r="E1831" s="2" t="s">
        <v>654</v>
      </c>
      <c r="F1831" s="2" t="str">
        <f t="shared" si="377"/>
        <v>Email Available</v>
      </c>
      <c r="G1831" s="2" t="s">
        <v>655</v>
      </c>
      <c r="H1831" s="2" t="s">
        <v>85</v>
      </c>
      <c r="I1831" s="2" t="s">
        <v>86</v>
      </c>
      <c r="J1831" s="2" t="s">
        <v>87</v>
      </c>
      <c r="K1831" s="2">
        <v>1</v>
      </c>
      <c r="L1831" s="2">
        <v>54.99</v>
      </c>
      <c r="M1831" s="19">
        <f t="shared" si="378"/>
        <v>54.99</v>
      </c>
      <c r="N1831" s="2"/>
      <c r="O1831" s="2" t="str">
        <f t="shared" si="379"/>
        <v/>
      </c>
      <c r="P1831" s="2">
        <v>0</v>
      </c>
      <c r="Q1831" s="19">
        <f t="shared" si="380"/>
        <v>0</v>
      </c>
      <c r="R1831" s="2" t="str">
        <f t="shared" si="381"/>
        <v>Number</v>
      </c>
      <c r="S1831" s="2">
        <v>7.99</v>
      </c>
      <c r="T1831" s="19">
        <f t="shared" si="382"/>
        <v>7.99</v>
      </c>
      <c r="U1831" s="2">
        <v>62.98</v>
      </c>
      <c r="V1831" s="19">
        <f t="shared" si="383"/>
        <v>62.98</v>
      </c>
      <c r="W1831" s="19">
        <f t="shared" si="384"/>
        <v>62.980000000000004</v>
      </c>
      <c r="X1831" s="19" t="str">
        <f t="shared" si="385"/>
        <v>True</v>
      </c>
      <c r="Y1831" s="19" t="str">
        <f>IF(OR(W1831&lt;'Cleaning Tasks'!$G$18,W1831&gt;'Cleaning Tasks'!$H$18),"Outlier","Normal")</f>
        <v>Normal</v>
      </c>
      <c r="Z1831" s="2" t="s">
        <v>49</v>
      </c>
      <c r="AA1831" s="2" t="s">
        <v>40</v>
      </c>
      <c r="AB1831" s="2" t="s">
        <v>28</v>
      </c>
      <c r="AC1831" s="2" t="s">
        <v>29</v>
      </c>
      <c r="AD1831" s="2" t="s">
        <v>140</v>
      </c>
      <c r="AE1831" s="2" t="str">
        <f t="shared" si="386"/>
        <v>Valid</v>
      </c>
      <c r="AF1831" s="2" t="s">
        <v>4812</v>
      </c>
    </row>
    <row r="1832" spans="1:32" x14ac:dyDescent="0.3">
      <c r="A1832" s="2" t="s">
        <v>4813</v>
      </c>
      <c r="B1832" s="2">
        <f t="shared" si="376"/>
        <v>1</v>
      </c>
      <c r="C1832" s="12">
        <f t="shared" si="387"/>
        <v>46238.581663263889</v>
      </c>
      <c r="D1832" s="13">
        <v>46238.581663263889</v>
      </c>
      <c r="E1832" s="2"/>
      <c r="F1832" s="2" t="str">
        <f t="shared" si="377"/>
        <v>Email Available</v>
      </c>
      <c r="G1832" s="2" t="s">
        <v>93</v>
      </c>
      <c r="H1832" s="2" t="s">
        <v>78</v>
      </c>
      <c r="I1832" s="2" t="s">
        <v>79</v>
      </c>
      <c r="J1832" s="2" t="s">
        <v>80</v>
      </c>
      <c r="K1832" s="2">
        <v>1</v>
      </c>
      <c r="L1832" s="2">
        <v>89.99</v>
      </c>
      <c r="M1832" s="19">
        <f t="shared" si="378"/>
        <v>89.99</v>
      </c>
      <c r="N1832" s="2"/>
      <c r="O1832" s="2" t="str">
        <f t="shared" si="379"/>
        <v/>
      </c>
      <c r="P1832" s="2">
        <v>0</v>
      </c>
      <c r="Q1832" s="19">
        <f t="shared" si="380"/>
        <v>0</v>
      </c>
      <c r="R1832" s="2" t="str">
        <f t="shared" si="381"/>
        <v>Number</v>
      </c>
      <c r="S1832" s="2">
        <v>0</v>
      </c>
      <c r="T1832" s="19">
        <f t="shared" si="382"/>
        <v>0</v>
      </c>
      <c r="U1832" s="2">
        <v>89.99</v>
      </c>
      <c r="V1832" s="19">
        <f t="shared" si="383"/>
        <v>89.99</v>
      </c>
      <c r="W1832" s="19">
        <f t="shared" si="384"/>
        <v>89.99</v>
      </c>
      <c r="X1832" s="19" t="str">
        <f t="shared" si="385"/>
        <v>True</v>
      </c>
      <c r="Y1832" s="19" t="str">
        <f>IF(OR(W1832&lt;'Cleaning Tasks'!$G$18,W1832&gt;'Cleaning Tasks'!$H$18),"Outlier","Normal")</f>
        <v>Outlier</v>
      </c>
      <c r="Z1832" s="2" t="s">
        <v>66</v>
      </c>
      <c r="AA1832" s="2" t="s">
        <v>27</v>
      </c>
      <c r="AB1832" s="2" t="s">
        <v>50</v>
      </c>
      <c r="AC1832" s="2" t="s">
        <v>42</v>
      </c>
      <c r="AD1832" s="2"/>
      <c r="AE1832" s="2" t="str">
        <f t="shared" si="386"/>
        <v>Not Required</v>
      </c>
      <c r="AF1832" s="2" t="s">
        <v>4814</v>
      </c>
    </row>
    <row r="1833" spans="1:32" x14ac:dyDescent="0.3">
      <c r="A1833" s="2" t="s">
        <v>4815</v>
      </c>
      <c r="B1833" s="2">
        <f t="shared" si="376"/>
        <v>1</v>
      </c>
      <c r="C1833" s="12">
        <f t="shared" si="387"/>
        <v>46238</v>
      </c>
      <c r="D1833" s="13">
        <v>46238</v>
      </c>
      <c r="E1833" s="2" t="s">
        <v>1822</v>
      </c>
      <c r="F1833" s="2" t="str">
        <f t="shared" si="377"/>
        <v>Email Available</v>
      </c>
      <c r="G1833" s="2" t="s">
        <v>1823</v>
      </c>
      <c r="H1833" s="2" t="s">
        <v>166</v>
      </c>
      <c r="I1833" s="2" t="s">
        <v>103</v>
      </c>
      <c r="J1833" s="2" t="s">
        <v>167</v>
      </c>
      <c r="K1833" s="2">
        <v>1</v>
      </c>
      <c r="L1833" s="2">
        <v>32.99</v>
      </c>
      <c r="M1833" s="19">
        <f t="shared" si="378"/>
        <v>32.99</v>
      </c>
      <c r="N1833" s="2"/>
      <c r="O1833" s="2" t="str">
        <f t="shared" si="379"/>
        <v/>
      </c>
      <c r="P1833" s="2">
        <v>0</v>
      </c>
      <c r="Q1833" s="19">
        <f t="shared" si="380"/>
        <v>0</v>
      </c>
      <c r="R1833" s="2" t="str">
        <f t="shared" si="381"/>
        <v>Number</v>
      </c>
      <c r="S1833" s="2">
        <v>5.99</v>
      </c>
      <c r="T1833" s="19">
        <f t="shared" si="382"/>
        <v>5.99</v>
      </c>
      <c r="U1833" s="2">
        <v>38.979999999999997</v>
      </c>
      <c r="V1833" s="19">
        <f t="shared" si="383"/>
        <v>38.979999999999997</v>
      </c>
      <c r="W1833" s="19">
        <f t="shared" si="384"/>
        <v>38.980000000000004</v>
      </c>
      <c r="X1833" s="19" t="str">
        <f t="shared" si="385"/>
        <v>True</v>
      </c>
      <c r="Y1833" s="19" t="str">
        <f>IF(OR(W1833&lt;'Cleaning Tasks'!$G$18,W1833&gt;'Cleaning Tasks'!$H$18),"Outlier","Normal")</f>
        <v>Normal</v>
      </c>
      <c r="Z1833" s="2" t="s">
        <v>66</v>
      </c>
      <c r="AA1833" s="2" t="s">
        <v>27</v>
      </c>
      <c r="AB1833" s="2" t="s">
        <v>50</v>
      </c>
      <c r="AC1833" s="2" t="s">
        <v>29</v>
      </c>
      <c r="AD1833" s="2" t="s">
        <v>58</v>
      </c>
      <c r="AE1833" s="2" t="str">
        <f t="shared" si="386"/>
        <v>Valid</v>
      </c>
      <c r="AF1833" s="2" t="s">
        <v>4816</v>
      </c>
    </row>
    <row r="1834" spans="1:32" x14ac:dyDescent="0.3">
      <c r="A1834" s="2" t="s">
        <v>4817</v>
      </c>
      <c r="B1834" s="2">
        <f t="shared" si="376"/>
        <v>1</v>
      </c>
      <c r="C1834" s="12">
        <f t="shared" si="387"/>
        <v>46238</v>
      </c>
      <c r="D1834" s="13" t="s">
        <v>1193</v>
      </c>
      <c r="E1834" s="2" t="s">
        <v>979</v>
      </c>
      <c r="F1834" s="2" t="str">
        <f t="shared" si="377"/>
        <v>Email Available</v>
      </c>
      <c r="G1834" s="2" t="s">
        <v>670</v>
      </c>
      <c r="H1834" s="2" t="s">
        <v>309</v>
      </c>
      <c r="I1834" s="2" t="s">
        <v>36</v>
      </c>
      <c r="J1834" s="2" t="s">
        <v>310</v>
      </c>
      <c r="K1834" s="2">
        <v>1</v>
      </c>
      <c r="L1834" s="2">
        <v>8.99</v>
      </c>
      <c r="M1834" s="19">
        <f t="shared" si="378"/>
        <v>8.99</v>
      </c>
      <c r="N1834" s="2" t="s">
        <v>38</v>
      </c>
      <c r="O1834" s="2" t="str">
        <f t="shared" si="379"/>
        <v>FREESHIP</v>
      </c>
      <c r="P1834" s="2">
        <v>0</v>
      </c>
      <c r="Q1834" s="19">
        <f t="shared" si="380"/>
        <v>0</v>
      </c>
      <c r="R1834" s="2" t="str">
        <f t="shared" si="381"/>
        <v>Number</v>
      </c>
      <c r="S1834" s="2">
        <v>0</v>
      </c>
      <c r="T1834" s="19">
        <f t="shared" si="382"/>
        <v>0</v>
      </c>
      <c r="U1834" s="2">
        <v>8.99</v>
      </c>
      <c r="V1834" s="19">
        <f t="shared" si="383"/>
        <v>8.99</v>
      </c>
      <c r="W1834" s="19">
        <f t="shared" si="384"/>
        <v>8.99</v>
      </c>
      <c r="X1834" s="19" t="str">
        <f t="shared" si="385"/>
        <v>True</v>
      </c>
      <c r="Y1834" s="19" t="str">
        <f>IF(OR(W1834&lt;'Cleaning Tasks'!$G$18,W1834&gt;'Cleaning Tasks'!$H$18),"Outlier","Normal")</f>
        <v>Normal</v>
      </c>
      <c r="Z1834" s="2" t="s">
        <v>66</v>
      </c>
      <c r="AA1834" s="2" t="s">
        <v>40</v>
      </c>
      <c r="AB1834" s="2" t="s">
        <v>96</v>
      </c>
      <c r="AC1834" s="2" t="s">
        <v>29</v>
      </c>
      <c r="AD1834" s="2" t="s">
        <v>67</v>
      </c>
      <c r="AE1834" s="2" t="str">
        <f t="shared" si="386"/>
        <v>Valid</v>
      </c>
      <c r="AF1834" s="2" t="s">
        <v>4818</v>
      </c>
    </row>
    <row r="1835" spans="1:32" x14ac:dyDescent="0.3">
      <c r="A1835" s="2" t="s">
        <v>4819</v>
      </c>
      <c r="B1835" s="2">
        <f t="shared" si="376"/>
        <v>1</v>
      </c>
      <c r="C1835" s="12">
        <f t="shared" si="387"/>
        <v>46238.586699953703</v>
      </c>
      <c r="D1835" s="13">
        <v>46238.586699953703</v>
      </c>
      <c r="E1835" s="2" t="s">
        <v>3443</v>
      </c>
      <c r="F1835" s="2" t="str">
        <f t="shared" si="377"/>
        <v>Email Available</v>
      </c>
      <c r="G1835" s="2" t="s">
        <v>4820</v>
      </c>
      <c r="H1835" s="2" t="s">
        <v>56</v>
      </c>
      <c r="I1835" s="2" t="s">
        <v>22</v>
      </c>
      <c r="J1835" s="2" t="s">
        <v>57</v>
      </c>
      <c r="K1835" s="2">
        <v>1</v>
      </c>
      <c r="L1835" s="2">
        <v>9.99</v>
      </c>
      <c r="M1835" s="19">
        <f t="shared" si="378"/>
        <v>9.99</v>
      </c>
      <c r="N1835" s="2"/>
      <c r="O1835" s="2" t="str">
        <f t="shared" si="379"/>
        <v/>
      </c>
      <c r="P1835" s="2">
        <v>0</v>
      </c>
      <c r="Q1835" s="19">
        <f t="shared" si="380"/>
        <v>0</v>
      </c>
      <c r="R1835" s="2" t="str">
        <f t="shared" si="381"/>
        <v>Number</v>
      </c>
      <c r="S1835" s="2">
        <v>5.99</v>
      </c>
      <c r="T1835" s="19">
        <f t="shared" si="382"/>
        <v>5.99</v>
      </c>
      <c r="U1835" s="2">
        <v>15.98</v>
      </c>
      <c r="V1835" s="19">
        <f t="shared" si="383"/>
        <v>15.98</v>
      </c>
      <c r="W1835" s="19">
        <f t="shared" si="384"/>
        <v>15.98</v>
      </c>
      <c r="X1835" s="19" t="str">
        <f t="shared" si="385"/>
        <v>True</v>
      </c>
      <c r="Y1835" s="19" t="str">
        <f>IF(OR(W1835&lt;'Cleaning Tasks'!$G$18,W1835&gt;'Cleaning Tasks'!$H$18),"Outlier","Normal")</f>
        <v>Normal</v>
      </c>
      <c r="Z1835" s="2" t="s">
        <v>66</v>
      </c>
      <c r="AA1835" s="2" t="s">
        <v>27</v>
      </c>
      <c r="AB1835" s="2" t="s">
        <v>50</v>
      </c>
      <c r="AC1835" s="2" t="s">
        <v>105</v>
      </c>
      <c r="AD1835" s="2"/>
      <c r="AE1835" s="2" t="str">
        <f t="shared" si="386"/>
        <v>Not Required</v>
      </c>
      <c r="AF1835" s="2" t="s">
        <v>4821</v>
      </c>
    </row>
    <row r="1836" spans="1:32" x14ac:dyDescent="0.3">
      <c r="A1836" s="2" t="s">
        <v>4822</v>
      </c>
      <c r="B1836" s="2">
        <f t="shared" si="376"/>
        <v>1</v>
      </c>
      <c r="C1836" s="12">
        <f t="shared" si="387"/>
        <v>46238.580340312503</v>
      </c>
      <c r="D1836" s="13">
        <v>46238.580340312503</v>
      </c>
      <c r="E1836" s="2" t="s">
        <v>2236</v>
      </c>
      <c r="F1836" s="2" t="str">
        <f t="shared" si="377"/>
        <v>Email Available</v>
      </c>
      <c r="G1836" s="2" t="s">
        <v>2237</v>
      </c>
      <c r="H1836" s="2" t="s">
        <v>102</v>
      </c>
      <c r="I1836" s="2" t="s">
        <v>103</v>
      </c>
      <c r="J1836" s="2" t="s">
        <v>104</v>
      </c>
      <c r="K1836" s="2">
        <v>1</v>
      </c>
      <c r="L1836" s="2">
        <v>19.989999999999998</v>
      </c>
      <c r="M1836" s="19">
        <f t="shared" si="378"/>
        <v>19.989999999999998</v>
      </c>
      <c r="N1836" s="2"/>
      <c r="O1836" s="2" t="str">
        <f t="shared" si="379"/>
        <v/>
      </c>
      <c r="P1836" s="2">
        <v>0</v>
      </c>
      <c r="Q1836" s="19">
        <f t="shared" si="380"/>
        <v>0</v>
      </c>
      <c r="R1836" s="2" t="str">
        <f t="shared" si="381"/>
        <v>Number</v>
      </c>
      <c r="S1836" s="2">
        <v>4.99</v>
      </c>
      <c r="T1836" s="19">
        <f t="shared" si="382"/>
        <v>4.99</v>
      </c>
      <c r="U1836" s="2">
        <v>24.98</v>
      </c>
      <c r="V1836" s="19">
        <f t="shared" si="383"/>
        <v>24.98</v>
      </c>
      <c r="W1836" s="19">
        <f t="shared" si="384"/>
        <v>24.979999999999997</v>
      </c>
      <c r="X1836" s="19" t="str">
        <f t="shared" si="385"/>
        <v>True</v>
      </c>
      <c r="Y1836" s="19" t="str">
        <f>IF(OR(W1836&lt;'Cleaning Tasks'!$G$18,W1836&gt;'Cleaning Tasks'!$H$18),"Outlier","Normal")</f>
        <v>Normal</v>
      </c>
      <c r="Z1836" s="2" t="s">
        <v>39</v>
      </c>
      <c r="AA1836" s="2" t="s">
        <v>27</v>
      </c>
      <c r="AB1836" s="2" t="s">
        <v>50</v>
      </c>
      <c r="AC1836" s="2" t="s">
        <v>73</v>
      </c>
      <c r="AD1836" s="2"/>
      <c r="AE1836" s="2" t="str">
        <f t="shared" si="386"/>
        <v>Not Required</v>
      </c>
      <c r="AF1836" s="2" t="s">
        <v>4823</v>
      </c>
    </row>
    <row r="1837" spans="1:32" x14ac:dyDescent="0.3">
      <c r="A1837" s="2" t="s">
        <v>4824</v>
      </c>
      <c r="B1837" s="2">
        <f t="shared" si="376"/>
        <v>1</v>
      </c>
      <c r="C1837" s="12">
        <f>DATE(VALUE(RIGHT(D1837,4)),MATCH(LEFT(D1837,3),{"Jan","Feb","Mar","Apr","May","Jun","Jul","Aug","Sep","Oct","Nov","Dec"},0),VALUE(MID(D1837,5,2)))</f>
        <v>46238</v>
      </c>
      <c r="D1837" s="13" t="s">
        <v>171</v>
      </c>
      <c r="E1837" s="2" t="s">
        <v>485</v>
      </c>
      <c r="F1837" s="2" t="str">
        <f t="shared" si="377"/>
        <v>Email Available</v>
      </c>
      <c r="G1837" s="2" t="s">
        <v>486</v>
      </c>
      <c r="H1837" s="2" t="s">
        <v>182</v>
      </c>
      <c r="I1837" s="2" t="s">
        <v>36</v>
      </c>
      <c r="J1837" s="2" t="s">
        <v>183</v>
      </c>
      <c r="K1837" s="2">
        <v>1</v>
      </c>
      <c r="L1837" s="2">
        <v>11.99</v>
      </c>
      <c r="M1837" s="19">
        <f t="shared" si="378"/>
        <v>11.99</v>
      </c>
      <c r="N1837" s="2" t="s">
        <v>65</v>
      </c>
      <c r="O1837" s="2" t="str">
        <f t="shared" si="379"/>
        <v>WELCOME10</v>
      </c>
      <c r="P1837" s="2">
        <v>1.2</v>
      </c>
      <c r="Q1837" s="19">
        <f t="shared" si="380"/>
        <v>1.2</v>
      </c>
      <c r="R1837" s="2" t="str">
        <f t="shared" si="381"/>
        <v>Number</v>
      </c>
      <c r="S1837" s="2">
        <v>7.99</v>
      </c>
      <c r="T1837" s="19">
        <f t="shared" si="382"/>
        <v>7.99</v>
      </c>
      <c r="U1837" s="2">
        <v>18.78</v>
      </c>
      <c r="V1837" s="19">
        <f t="shared" si="383"/>
        <v>18.78</v>
      </c>
      <c r="W1837" s="19">
        <f t="shared" si="384"/>
        <v>18.78</v>
      </c>
      <c r="X1837" s="19" t="str">
        <f t="shared" si="385"/>
        <v>True</v>
      </c>
      <c r="Y1837" s="19" t="str">
        <f>IF(OR(W1837&lt;'Cleaning Tasks'!$G$18,W1837&gt;'Cleaning Tasks'!$H$18),"Outlier","Normal")</f>
        <v>Normal</v>
      </c>
      <c r="Z1837" s="2" t="s">
        <v>72</v>
      </c>
      <c r="AA1837" s="2" t="s">
        <v>27</v>
      </c>
      <c r="AB1837" s="2" t="s">
        <v>50</v>
      </c>
      <c r="AC1837" s="2" t="s">
        <v>73</v>
      </c>
      <c r="AD1837" s="2"/>
      <c r="AE1837" s="2" t="str">
        <f t="shared" si="386"/>
        <v>Not Required</v>
      </c>
      <c r="AF1837" s="2" t="s">
        <v>4825</v>
      </c>
    </row>
    <row r="1838" spans="1:32" x14ac:dyDescent="0.3">
      <c r="A1838" s="2" t="s">
        <v>4826</v>
      </c>
      <c r="B1838" s="2">
        <f t="shared" si="376"/>
        <v>1</v>
      </c>
      <c r="C1838" s="12">
        <f t="shared" ref="C1838:C1861" si="388">IF(ISNUMBER(D1838),D1838,DATEVALUE(SUBSTITUTE(TRIM(D1838),CHAR(160)," ")))</f>
        <v>46238.587501516202</v>
      </c>
      <c r="D1838" s="13">
        <v>46238.587501516202</v>
      </c>
      <c r="E1838" s="2" t="s">
        <v>325</v>
      </c>
      <c r="F1838" s="2" t="str">
        <f t="shared" si="377"/>
        <v>Email Available</v>
      </c>
      <c r="G1838" s="2" t="s">
        <v>326</v>
      </c>
      <c r="H1838" s="2" t="s">
        <v>201</v>
      </c>
      <c r="I1838" s="2" t="s">
        <v>191</v>
      </c>
      <c r="J1838" s="2" t="s">
        <v>202</v>
      </c>
      <c r="K1838" s="2">
        <v>4</v>
      </c>
      <c r="L1838" s="2">
        <v>24.99</v>
      </c>
      <c r="M1838" s="19">
        <f t="shared" si="378"/>
        <v>24.99</v>
      </c>
      <c r="N1838" s="2" t="s">
        <v>38</v>
      </c>
      <c r="O1838" s="2" t="str">
        <f t="shared" si="379"/>
        <v>FREESHIP</v>
      </c>
      <c r="P1838" s="2">
        <v>0</v>
      </c>
      <c r="Q1838" s="19">
        <f t="shared" si="380"/>
        <v>0</v>
      </c>
      <c r="R1838" s="2" t="str">
        <f t="shared" si="381"/>
        <v>Number</v>
      </c>
      <c r="S1838" s="2">
        <v>0</v>
      </c>
      <c r="T1838" s="19">
        <f t="shared" si="382"/>
        <v>0</v>
      </c>
      <c r="U1838" s="2">
        <v>99.96</v>
      </c>
      <c r="V1838" s="19">
        <f t="shared" si="383"/>
        <v>99.96</v>
      </c>
      <c r="W1838" s="19">
        <f t="shared" si="384"/>
        <v>99.96</v>
      </c>
      <c r="X1838" s="19" t="str">
        <f t="shared" si="385"/>
        <v>True</v>
      </c>
      <c r="Y1838" s="19" t="str">
        <f>IF(OR(W1838&lt;'Cleaning Tasks'!$G$18,W1838&gt;'Cleaning Tasks'!$H$18),"Outlier","Normal")</f>
        <v>Outlier</v>
      </c>
      <c r="Z1838" s="2" t="s">
        <v>72</v>
      </c>
      <c r="AA1838" s="2" t="s">
        <v>111</v>
      </c>
      <c r="AB1838" s="2" t="s">
        <v>41</v>
      </c>
      <c r="AC1838" s="2" t="s">
        <v>29</v>
      </c>
      <c r="AD1838" s="22" t="s">
        <v>51</v>
      </c>
      <c r="AE1838" s="2" t="str">
        <f t="shared" si="386"/>
        <v>Valid</v>
      </c>
      <c r="AF1838" s="2" t="s">
        <v>4827</v>
      </c>
    </row>
    <row r="1839" spans="1:32" x14ac:dyDescent="0.3">
      <c r="A1839" s="2" t="s">
        <v>4828</v>
      </c>
      <c r="B1839" s="2">
        <f t="shared" si="376"/>
        <v>1</v>
      </c>
      <c r="C1839" s="12">
        <f t="shared" si="388"/>
        <v>46238.580646354167</v>
      </c>
      <c r="D1839" s="13">
        <v>46238.580646354167</v>
      </c>
      <c r="E1839" s="2" t="s">
        <v>4045</v>
      </c>
      <c r="F1839" s="2" t="str">
        <f t="shared" si="377"/>
        <v>Email Available</v>
      </c>
      <c r="G1839" s="2" t="s">
        <v>4046</v>
      </c>
      <c r="H1839" s="2" t="s">
        <v>152</v>
      </c>
      <c r="I1839" s="2" t="s">
        <v>36</v>
      </c>
      <c r="J1839" s="2" t="s">
        <v>153</v>
      </c>
      <c r="K1839" s="2">
        <v>1</v>
      </c>
      <c r="L1839" s="2">
        <v>29.99</v>
      </c>
      <c r="M1839" s="19">
        <f t="shared" si="378"/>
        <v>29.99</v>
      </c>
      <c r="N1839" s="2" t="s">
        <v>203</v>
      </c>
      <c r="O1839" s="2" t="str">
        <f t="shared" si="379"/>
        <v>VIP15</v>
      </c>
      <c r="P1839" s="2">
        <v>4.5</v>
      </c>
      <c r="Q1839" s="19">
        <f t="shared" si="380"/>
        <v>4.5</v>
      </c>
      <c r="R1839" s="2" t="str">
        <f t="shared" si="381"/>
        <v>Number</v>
      </c>
      <c r="S1839" s="2">
        <v>7.99</v>
      </c>
      <c r="T1839" s="19">
        <f t="shared" si="382"/>
        <v>7.99</v>
      </c>
      <c r="U1839" s="2">
        <v>0</v>
      </c>
      <c r="V1839" s="19">
        <f t="shared" si="383"/>
        <v>0</v>
      </c>
      <c r="W1839" s="19">
        <f t="shared" si="384"/>
        <v>33.479999999999997</v>
      </c>
      <c r="X1839" s="19" t="str">
        <f t="shared" si="385"/>
        <v>False</v>
      </c>
      <c r="Y1839" s="19" t="str">
        <f>IF(OR(W1839&lt;'Cleaning Tasks'!$G$18,W1839&gt;'Cleaning Tasks'!$H$18),"Outlier","Normal")</f>
        <v>Normal</v>
      </c>
      <c r="Z1839" s="2" t="s">
        <v>49</v>
      </c>
      <c r="AA1839" s="2" t="s">
        <v>88</v>
      </c>
      <c r="AB1839" s="2" t="s">
        <v>50</v>
      </c>
      <c r="AC1839" s="2" t="s">
        <v>105</v>
      </c>
      <c r="AD1839" s="2"/>
      <c r="AE1839" s="2" t="str">
        <f t="shared" si="386"/>
        <v>Not Required</v>
      </c>
      <c r="AF1839" s="2" t="s">
        <v>4829</v>
      </c>
    </row>
    <row r="1840" spans="1:32" x14ac:dyDescent="0.3">
      <c r="A1840" s="2" t="s">
        <v>4830</v>
      </c>
      <c r="B1840" s="2">
        <f t="shared" si="376"/>
        <v>1</v>
      </c>
      <c r="C1840" s="12">
        <f t="shared" si="388"/>
        <v>46238.588121423607</v>
      </c>
      <c r="D1840" s="13">
        <v>46238.588121423607</v>
      </c>
      <c r="E1840" s="2" t="s">
        <v>431</v>
      </c>
      <c r="F1840" s="2" t="str">
        <f t="shared" si="377"/>
        <v>Email Available</v>
      </c>
      <c r="G1840" s="2" t="s">
        <v>432</v>
      </c>
      <c r="H1840" s="2" t="s">
        <v>309</v>
      </c>
      <c r="I1840" s="2" t="s">
        <v>36</v>
      </c>
      <c r="J1840" s="2" t="s">
        <v>310</v>
      </c>
      <c r="K1840" s="2">
        <v>2</v>
      </c>
      <c r="L1840" s="2" t="s">
        <v>2242</v>
      </c>
      <c r="M1840" s="19">
        <f t="shared" si="378"/>
        <v>8.99</v>
      </c>
      <c r="N1840" s="2"/>
      <c r="O1840" s="2" t="str">
        <f t="shared" si="379"/>
        <v/>
      </c>
      <c r="P1840" s="2">
        <v>0</v>
      </c>
      <c r="Q1840" s="19">
        <f t="shared" si="380"/>
        <v>0</v>
      </c>
      <c r="R1840" s="2" t="str">
        <f t="shared" si="381"/>
        <v>Number</v>
      </c>
      <c r="S1840" s="2">
        <v>5.99</v>
      </c>
      <c r="T1840" s="19">
        <f t="shared" si="382"/>
        <v>5.99</v>
      </c>
      <c r="U1840" s="2">
        <v>23.97</v>
      </c>
      <c r="V1840" s="19">
        <f t="shared" si="383"/>
        <v>23.97</v>
      </c>
      <c r="W1840" s="19">
        <f t="shared" si="384"/>
        <v>23.97</v>
      </c>
      <c r="X1840" s="19" t="str">
        <f t="shared" si="385"/>
        <v>True</v>
      </c>
      <c r="Y1840" s="19" t="str">
        <f>IF(OR(W1840&lt;'Cleaning Tasks'!$G$18,W1840&gt;'Cleaning Tasks'!$H$18),"Outlier","Normal")</f>
        <v>Normal</v>
      </c>
      <c r="Z1840" s="2" t="s">
        <v>66</v>
      </c>
      <c r="AA1840" s="2" t="s">
        <v>27</v>
      </c>
      <c r="AB1840" s="2" t="s">
        <v>28</v>
      </c>
      <c r="AC1840" s="2" t="s">
        <v>105</v>
      </c>
      <c r="AD1840" s="2"/>
      <c r="AE1840" s="2" t="str">
        <f t="shared" si="386"/>
        <v>Not Required</v>
      </c>
      <c r="AF1840" s="2" t="s">
        <v>4831</v>
      </c>
    </row>
    <row r="1841" spans="1:32" x14ac:dyDescent="0.3">
      <c r="A1841" s="2" t="s">
        <v>4832</v>
      </c>
      <c r="B1841" s="2">
        <f t="shared" si="376"/>
        <v>1</v>
      </c>
      <c r="C1841" s="12">
        <f t="shared" si="388"/>
        <v>46238.588109976852</v>
      </c>
      <c r="D1841" s="13">
        <v>46238.588109976852</v>
      </c>
      <c r="E1841" s="2" t="s">
        <v>115</v>
      </c>
      <c r="F1841" s="2" t="str">
        <f t="shared" si="377"/>
        <v>Email Available</v>
      </c>
      <c r="G1841" s="2" t="s">
        <v>1183</v>
      </c>
      <c r="H1841" s="2" t="s">
        <v>146</v>
      </c>
      <c r="I1841" s="2" t="s">
        <v>47</v>
      </c>
      <c r="J1841" s="2" t="s">
        <v>147</v>
      </c>
      <c r="K1841" s="2">
        <v>1</v>
      </c>
      <c r="L1841" s="2">
        <v>34.99</v>
      </c>
      <c r="M1841" s="19">
        <f t="shared" si="378"/>
        <v>34.99</v>
      </c>
      <c r="N1841" s="2" t="s">
        <v>118</v>
      </c>
      <c r="O1841" s="2" t="str">
        <f t="shared" si="379"/>
        <v>BFCM25</v>
      </c>
      <c r="P1841" s="2" t="s">
        <v>4101</v>
      </c>
      <c r="Q1841" s="19">
        <f t="shared" si="380"/>
        <v>8.75</v>
      </c>
      <c r="R1841" s="2" t="str">
        <f t="shared" si="381"/>
        <v>Number</v>
      </c>
      <c r="S1841" s="2">
        <v>4.99</v>
      </c>
      <c r="T1841" s="19">
        <f t="shared" si="382"/>
        <v>4.99</v>
      </c>
      <c r="U1841" s="2">
        <v>31.23</v>
      </c>
      <c r="V1841" s="19">
        <f t="shared" si="383"/>
        <v>31.23</v>
      </c>
      <c r="W1841" s="19">
        <f t="shared" si="384"/>
        <v>31.230000000000004</v>
      </c>
      <c r="X1841" s="19" t="str">
        <f t="shared" si="385"/>
        <v>True</v>
      </c>
      <c r="Y1841" s="19" t="str">
        <f>IF(OR(W1841&lt;'Cleaning Tasks'!$G$18,W1841&gt;'Cleaning Tasks'!$H$18),"Outlier","Normal")</f>
        <v>Normal</v>
      </c>
      <c r="Z1841" s="2" t="s">
        <v>72</v>
      </c>
      <c r="AA1841" s="2" t="s">
        <v>27</v>
      </c>
      <c r="AB1841" s="2" t="s">
        <v>28</v>
      </c>
      <c r="AC1841" s="2" t="s">
        <v>105</v>
      </c>
      <c r="AD1841" s="2"/>
      <c r="AE1841" s="2" t="str">
        <f t="shared" si="386"/>
        <v>Not Required</v>
      </c>
      <c r="AF1841" s="2" t="s">
        <v>4833</v>
      </c>
    </row>
    <row r="1842" spans="1:32" x14ac:dyDescent="0.3">
      <c r="A1842" s="2" t="s">
        <v>4834</v>
      </c>
      <c r="B1842" s="2">
        <f t="shared" si="376"/>
        <v>1</v>
      </c>
      <c r="C1842" s="12">
        <f t="shared" si="388"/>
        <v>46238.585043634259</v>
      </c>
      <c r="D1842" s="13">
        <v>46238.585043634259</v>
      </c>
      <c r="E1842" s="2" t="s">
        <v>2045</v>
      </c>
      <c r="F1842" s="2" t="str">
        <f t="shared" si="377"/>
        <v>Email Available</v>
      </c>
      <c r="G1842" s="2" t="s">
        <v>3162</v>
      </c>
      <c r="H1842" s="2" t="s">
        <v>109</v>
      </c>
      <c r="I1842" s="2" t="s">
        <v>79</v>
      </c>
      <c r="J1842" s="2" t="s">
        <v>110</v>
      </c>
      <c r="K1842" s="2">
        <v>1</v>
      </c>
      <c r="L1842" s="2">
        <v>22.99</v>
      </c>
      <c r="M1842" s="19">
        <f t="shared" si="378"/>
        <v>22.99</v>
      </c>
      <c r="N1842" s="2" t="s">
        <v>118</v>
      </c>
      <c r="O1842" s="2" t="str">
        <f t="shared" si="379"/>
        <v>BFCM25</v>
      </c>
      <c r="P1842" s="2">
        <v>5.75</v>
      </c>
      <c r="Q1842" s="19">
        <f t="shared" si="380"/>
        <v>5.75</v>
      </c>
      <c r="R1842" s="2" t="str">
        <f t="shared" si="381"/>
        <v>Number</v>
      </c>
      <c r="S1842" s="2">
        <v>4.99</v>
      </c>
      <c r="T1842" s="19">
        <f t="shared" si="382"/>
        <v>4.99</v>
      </c>
      <c r="U1842" s="2" t="s">
        <v>1569</v>
      </c>
      <c r="V1842" s="19">
        <f t="shared" si="383"/>
        <v>22.23</v>
      </c>
      <c r="W1842" s="19">
        <f t="shared" si="384"/>
        <v>22.229999999999997</v>
      </c>
      <c r="X1842" s="19" t="str">
        <f t="shared" si="385"/>
        <v>True</v>
      </c>
      <c r="Y1842" s="19" t="str">
        <f>IF(OR(W1842&lt;'Cleaning Tasks'!$G$18,W1842&gt;'Cleaning Tasks'!$H$18),"Outlier","Normal")</f>
        <v>Normal</v>
      </c>
      <c r="Z1842" s="2" t="s">
        <v>26</v>
      </c>
      <c r="AA1842" s="2" t="s">
        <v>27</v>
      </c>
      <c r="AB1842" s="2" t="s">
        <v>50</v>
      </c>
      <c r="AC1842" s="2" t="s">
        <v>105</v>
      </c>
      <c r="AD1842" s="2"/>
      <c r="AE1842" s="2" t="str">
        <f t="shared" si="386"/>
        <v>Not Required</v>
      </c>
      <c r="AF1842" s="2" t="s">
        <v>4835</v>
      </c>
    </row>
    <row r="1843" spans="1:32" x14ac:dyDescent="0.3">
      <c r="A1843" s="2" t="s">
        <v>4836</v>
      </c>
      <c r="B1843" s="2">
        <f t="shared" si="376"/>
        <v>1</v>
      </c>
      <c r="C1843" s="12">
        <f t="shared" si="388"/>
        <v>46238.586564467587</v>
      </c>
      <c r="D1843" s="13">
        <v>46238.586564467587</v>
      </c>
      <c r="E1843" s="2" t="s">
        <v>654</v>
      </c>
      <c r="F1843" s="2" t="str">
        <f t="shared" si="377"/>
        <v>Email Available</v>
      </c>
      <c r="G1843" s="2" t="s">
        <v>655</v>
      </c>
      <c r="H1843" s="2" t="s">
        <v>152</v>
      </c>
      <c r="I1843" s="2" t="s">
        <v>36</v>
      </c>
      <c r="J1843" s="2" t="s">
        <v>153</v>
      </c>
      <c r="K1843" s="2">
        <v>1</v>
      </c>
      <c r="L1843" s="2">
        <v>29.99</v>
      </c>
      <c r="M1843" s="19">
        <f t="shared" si="378"/>
        <v>29.99</v>
      </c>
      <c r="N1843" s="2"/>
      <c r="O1843" s="2" t="str">
        <f t="shared" si="379"/>
        <v/>
      </c>
      <c r="P1843" s="2">
        <v>0</v>
      </c>
      <c r="Q1843" s="19">
        <f t="shared" si="380"/>
        <v>0</v>
      </c>
      <c r="R1843" s="2" t="str">
        <f t="shared" si="381"/>
        <v>Number</v>
      </c>
      <c r="S1843" s="2">
        <v>5.99</v>
      </c>
      <c r="T1843" s="19">
        <f t="shared" si="382"/>
        <v>5.99</v>
      </c>
      <c r="U1843" s="2">
        <v>35.979999999999997</v>
      </c>
      <c r="V1843" s="19">
        <f t="shared" si="383"/>
        <v>35.979999999999997</v>
      </c>
      <c r="W1843" s="19">
        <f t="shared" si="384"/>
        <v>35.979999999999997</v>
      </c>
      <c r="X1843" s="19" t="str">
        <f t="shared" si="385"/>
        <v>True</v>
      </c>
      <c r="Y1843" s="19" t="str">
        <f>IF(OR(W1843&lt;'Cleaning Tasks'!$G$18,W1843&gt;'Cleaning Tasks'!$H$18),"Outlier","Normal")</f>
        <v>Normal</v>
      </c>
      <c r="Z1843" s="2" t="s">
        <v>49</v>
      </c>
      <c r="AA1843" s="2" t="s">
        <v>27</v>
      </c>
      <c r="AB1843" s="2" t="s">
        <v>50</v>
      </c>
      <c r="AC1843" s="2" t="s">
        <v>29</v>
      </c>
      <c r="AD1843" s="2" t="s">
        <v>447</v>
      </c>
      <c r="AE1843" s="2" t="str">
        <f t="shared" si="386"/>
        <v>Valid</v>
      </c>
      <c r="AF1843" s="2" t="s">
        <v>4837</v>
      </c>
    </row>
    <row r="1844" spans="1:32" x14ac:dyDescent="0.3">
      <c r="A1844" s="2" t="s">
        <v>4838</v>
      </c>
      <c r="B1844" s="2">
        <f t="shared" si="376"/>
        <v>1</v>
      </c>
      <c r="C1844" s="12">
        <f t="shared" si="388"/>
        <v>46238</v>
      </c>
      <c r="D1844" s="13" t="s">
        <v>1198</v>
      </c>
      <c r="E1844" s="2" t="s">
        <v>1173</v>
      </c>
      <c r="F1844" s="2" t="str">
        <f t="shared" si="377"/>
        <v>Email Available</v>
      </c>
      <c r="G1844" s="2" t="s">
        <v>1174</v>
      </c>
      <c r="H1844" s="2" t="s">
        <v>78</v>
      </c>
      <c r="I1844" s="2" t="s">
        <v>79</v>
      </c>
      <c r="J1844" s="2" t="s">
        <v>80</v>
      </c>
      <c r="K1844" s="2">
        <v>1</v>
      </c>
      <c r="L1844" s="2">
        <v>89.99</v>
      </c>
      <c r="M1844" s="19">
        <f t="shared" si="378"/>
        <v>89.99</v>
      </c>
      <c r="N1844" s="2"/>
      <c r="O1844" s="2" t="str">
        <f t="shared" si="379"/>
        <v/>
      </c>
      <c r="P1844" s="2" t="s">
        <v>184</v>
      </c>
      <c r="Q1844" s="19">
        <f t="shared" si="380"/>
        <v>0</v>
      </c>
      <c r="R1844" s="2" t="str">
        <f t="shared" si="381"/>
        <v>Number</v>
      </c>
      <c r="S1844" s="2">
        <v>0</v>
      </c>
      <c r="T1844" s="19">
        <f t="shared" si="382"/>
        <v>0</v>
      </c>
      <c r="U1844" s="2">
        <v>89.99</v>
      </c>
      <c r="V1844" s="19">
        <f t="shared" si="383"/>
        <v>89.99</v>
      </c>
      <c r="W1844" s="19">
        <f t="shared" si="384"/>
        <v>89.99</v>
      </c>
      <c r="X1844" s="19" t="str">
        <f t="shared" si="385"/>
        <v>True</v>
      </c>
      <c r="Y1844" s="19" t="str">
        <f>IF(OR(W1844&lt;'Cleaning Tasks'!$G$18,W1844&gt;'Cleaning Tasks'!$H$18),"Outlier","Normal")</f>
        <v>Outlier</v>
      </c>
      <c r="Z1844" s="2" t="s">
        <v>39</v>
      </c>
      <c r="AA1844" s="2" t="s">
        <v>88</v>
      </c>
      <c r="AB1844" s="2" t="s">
        <v>50</v>
      </c>
      <c r="AC1844" s="2" t="s">
        <v>42</v>
      </c>
      <c r="AD1844" s="2"/>
      <c r="AE1844" s="2" t="str">
        <f t="shared" si="386"/>
        <v>Not Required</v>
      </c>
      <c r="AF1844" s="2" t="s">
        <v>4839</v>
      </c>
    </row>
    <row r="1845" spans="1:32" x14ac:dyDescent="0.3">
      <c r="A1845" s="2" t="s">
        <v>4840</v>
      </c>
      <c r="B1845" s="2">
        <f t="shared" si="376"/>
        <v>1</v>
      </c>
      <c r="C1845" s="12">
        <f t="shared" si="388"/>
        <v>46238</v>
      </c>
      <c r="D1845" s="13">
        <v>46238</v>
      </c>
      <c r="E1845" s="2" t="s">
        <v>347</v>
      </c>
      <c r="F1845" s="2" t="str">
        <f t="shared" si="377"/>
        <v>Email Available</v>
      </c>
      <c r="G1845" s="2" t="s">
        <v>348</v>
      </c>
      <c r="H1845" s="2" t="s">
        <v>201</v>
      </c>
      <c r="I1845" s="2" t="s">
        <v>191</v>
      </c>
      <c r="J1845" s="2" t="s">
        <v>202</v>
      </c>
      <c r="K1845" s="2">
        <v>1</v>
      </c>
      <c r="L1845" s="2">
        <v>24.99</v>
      </c>
      <c r="M1845" s="19">
        <f t="shared" si="378"/>
        <v>24.99</v>
      </c>
      <c r="N1845" s="2"/>
      <c r="O1845" s="2" t="str">
        <f t="shared" si="379"/>
        <v/>
      </c>
      <c r="P1845" s="2">
        <v>0</v>
      </c>
      <c r="Q1845" s="19">
        <f t="shared" si="380"/>
        <v>0</v>
      </c>
      <c r="R1845" s="2" t="str">
        <f t="shared" si="381"/>
        <v>Number</v>
      </c>
      <c r="S1845" s="2">
        <v>5.99</v>
      </c>
      <c r="T1845" s="19">
        <f t="shared" si="382"/>
        <v>5.99</v>
      </c>
      <c r="U1845" s="2">
        <v>30.98</v>
      </c>
      <c r="V1845" s="19">
        <f t="shared" si="383"/>
        <v>30.98</v>
      </c>
      <c r="W1845" s="19">
        <f t="shared" si="384"/>
        <v>30.979999999999997</v>
      </c>
      <c r="X1845" s="19" t="str">
        <f t="shared" si="385"/>
        <v>True</v>
      </c>
      <c r="Y1845" s="19" t="str">
        <f>IF(OR(W1845&lt;'Cleaning Tasks'!$G$18,W1845&gt;'Cleaning Tasks'!$H$18),"Outlier","Normal")</f>
        <v>Normal</v>
      </c>
      <c r="Z1845" s="2" t="s">
        <v>66</v>
      </c>
      <c r="AA1845" s="2" t="s">
        <v>111</v>
      </c>
      <c r="AB1845" s="2" t="s">
        <v>50</v>
      </c>
      <c r="AC1845" s="2" t="s">
        <v>223</v>
      </c>
      <c r="AD1845" s="2"/>
      <c r="AE1845" s="2" t="str">
        <f t="shared" si="386"/>
        <v>Not Required</v>
      </c>
      <c r="AF1845" s="2" t="s">
        <v>4841</v>
      </c>
    </row>
    <row r="1846" spans="1:32" x14ac:dyDescent="0.3">
      <c r="A1846" s="2" t="s">
        <v>4842</v>
      </c>
      <c r="B1846" s="2">
        <f t="shared" si="376"/>
        <v>1</v>
      </c>
      <c r="C1846" s="12">
        <f t="shared" si="388"/>
        <v>46238.582317731481</v>
      </c>
      <c r="D1846" s="13">
        <v>46238.582317731481</v>
      </c>
      <c r="E1846" s="2" t="s">
        <v>4430</v>
      </c>
      <c r="F1846" s="2" t="str">
        <f t="shared" si="377"/>
        <v>Email Available</v>
      </c>
      <c r="G1846" s="2" t="s">
        <v>4431</v>
      </c>
      <c r="H1846" s="2" t="s">
        <v>152</v>
      </c>
      <c r="I1846" s="2" t="s">
        <v>36</v>
      </c>
      <c r="J1846" s="2" t="s">
        <v>153</v>
      </c>
      <c r="K1846" s="2">
        <v>1</v>
      </c>
      <c r="L1846" s="2">
        <v>29.99</v>
      </c>
      <c r="M1846" s="19">
        <f t="shared" si="378"/>
        <v>29.99</v>
      </c>
      <c r="N1846" s="2"/>
      <c r="O1846" s="2" t="str">
        <f t="shared" si="379"/>
        <v/>
      </c>
      <c r="P1846" s="2" t="s">
        <v>184</v>
      </c>
      <c r="Q1846" s="19">
        <f t="shared" si="380"/>
        <v>0</v>
      </c>
      <c r="R1846" s="2" t="str">
        <f t="shared" si="381"/>
        <v>Number</v>
      </c>
      <c r="S1846" s="2">
        <v>4.99</v>
      </c>
      <c r="T1846" s="19">
        <f t="shared" si="382"/>
        <v>4.99</v>
      </c>
      <c r="U1846" s="2">
        <v>34.979999999999997</v>
      </c>
      <c r="V1846" s="19">
        <f t="shared" si="383"/>
        <v>34.979999999999997</v>
      </c>
      <c r="W1846" s="19">
        <f t="shared" si="384"/>
        <v>34.979999999999997</v>
      </c>
      <c r="X1846" s="19" t="str">
        <f t="shared" si="385"/>
        <v>True</v>
      </c>
      <c r="Y1846" s="19" t="str">
        <f>IF(OR(W1846&lt;'Cleaning Tasks'!$G$18,W1846&gt;'Cleaning Tasks'!$H$18),"Outlier","Normal")</f>
        <v>Normal</v>
      </c>
      <c r="Z1846" s="2" t="s">
        <v>26</v>
      </c>
      <c r="AA1846" s="2" t="s">
        <v>27</v>
      </c>
      <c r="AB1846" s="2" t="s">
        <v>50</v>
      </c>
      <c r="AC1846" s="2" t="s">
        <v>223</v>
      </c>
      <c r="AD1846" s="2"/>
      <c r="AE1846" s="2" t="str">
        <f t="shared" si="386"/>
        <v>Not Required</v>
      </c>
      <c r="AF1846" s="2" t="s">
        <v>4843</v>
      </c>
    </row>
    <row r="1847" spans="1:32" x14ac:dyDescent="0.3">
      <c r="A1847" s="2" t="s">
        <v>4844</v>
      </c>
      <c r="B1847" s="2">
        <f t="shared" si="376"/>
        <v>1</v>
      </c>
      <c r="C1847" s="12">
        <f t="shared" si="388"/>
        <v>46238.585230081022</v>
      </c>
      <c r="D1847" s="13">
        <v>46238.585230081022</v>
      </c>
      <c r="E1847" s="2" t="s">
        <v>4845</v>
      </c>
      <c r="F1847" s="2" t="str">
        <f t="shared" si="377"/>
        <v>Email Available</v>
      </c>
      <c r="G1847" s="2" t="s">
        <v>4846</v>
      </c>
      <c r="H1847" s="2" t="s">
        <v>63</v>
      </c>
      <c r="I1847" s="2" t="s">
        <v>47</v>
      </c>
      <c r="J1847" s="2" t="s">
        <v>64</v>
      </c>
      <c r="K1847" s="2">
        <v>1</v>
      </c>
      <c r="L1847" s="2">
        <v>14.99</v>
      </c>
      <c r="M1847" s="19">
        <f t="shared" si="378"/>
        <v>14.99</v>
      </c>
      <c r="N1847" s="2"/>
      <c r="O1847" s="2" t="str">
        <f t="shared" si="379"/>
        <v/>
      </c>
      <c r="P1847" s="2">
        <v>0</v>
      </c>
      <c r="Q1847" s="19">
        <f t="shared" si="380"/>
        <v>0</v>
      </c>
      <c r="R1847" s="2" t="str">
        <f t="shared" si="381"/>
        <v>Number</v>
      </c>
      <c r="S1847" s="2">
        <v>7.99</v>
      </c>
      <c r="T1847" s="19">
        <f t="shared" si="382"/>
        <v>7.99</v>
      </c>
      <c r="U1847" s="2">
        <v>22.98</v>
      </c>
      <c r="V1847" s="19">
        <f t="shared" si="383"/>
        <v>22.98</v>
      </c>
      <c r="W1847" s="19">
        <f t="shared" si="384"/>
        <v>22.98</v>
      </c>
      <c r="X1847" s="19" t="str">
        <f t="shared" si="385"/>
        <v>True</v>
      </c>
      <c r="Y1847" s="19" t="str">
        <f>IF(OR(W1847&lt;'Cleaning Tasks'!$G$18,W1847&gt;'Cleaning Tasks'!$H$18),"Outlier","Normal")</f>
        <v>Normal</v>
      </c>
      <c r="Z1847" s="2" t="s">
        <v>26</v>
      </c>
      <c r="AA1847" s="2" t="s">
        <v>88</v>
      </c>
      <c r="AB1847" s="2" t="s">
        <v>41</v>
      </c>
      <c r="AC1847" s="2" t="s">
        <v>29</v>
      </c>
      <c r="AD1847" s="2" t="s">
        <v>58</v>
      </c>
      <c r="AE1847" s="2" t="str">
        <f t="shared" si="386"/>
        <v>Valid</v>
      </c>
      <c r="AF1847" s="2" t="s">
        <v>4847</v>
      </c>
    </row>
    <row r="1848" spans="1:32" x14ac:dyDescent="0.3">
      <c r="A1848" s="2" t="s">
        <v>4848</v>
      </c>
      <c r="B1848" s="2">
        <f t="shared" si="376"/>
        <v>1</v>
      </c>
      <c r="C1848" s="12">
        <f t="shared" si="388"/>
        <v>46238.587925381937</v>
      </c>
      <c r="D1848" s="13">
        <v>46238.587925381937</v>
      </c>
      <c r="E1848" s="2" t="s">
        <v>4849</v>
      </c>
      <c r="F1848" s="2" t="str">
        <f t="shared" si="377"/>
        <v>Email Available</v>
      </c>
      <c r="G1848" s="2" t="s">
        <v>4850</v>
      </c>
      <c r="H1848" s="2" t="s">
        <v>152</v>
      </c>
      <c r="I1848" s="2" t="s">
        <v>36</v>
      </c>
      <c r="J1848" s="2" t="s">
        <v>153</v>
      </c>
      <c r="K1848" s="2">
        <v>1</v>
      </c>
      <c r="L1848" s="2">
        <v>29.99</v>
      </c>
      <c r="M1848" s="19">
        <f t="shared" si="378"/>
        <v>29.99</v>
      </c>
      <c r="N1848" s="2" t="s">
        <v>118</v>
      </c>
      <c r="O1848" s="2" t="str">
        <f t="shared" si="379"/>
        <v>BFCM25</v>
      </c>
      <c r="P1848" s="2">
        <v>7.5</v>
      </c>
      <c r="Q1848" s="19">
        <f t="shared" si="380"/>
        <v>7.5</v>
      </c>
      <c r="R1848" s="2" t="str">
        <f t="shared" si="381"/>
        <v>Number</v>
      </c>
      <c r="S1848" s="2">
        <v>4.99</v>
      </c>
      <c r="T1848" s="19">
        <f t="shared" si="382"/>
        <v>4.99</v>
      </c>
      <c r="U1848" s="2">
        <v>27.48</v>
      </c>
      <c r="V1848" s="19">
        <f t="shared" si="383"/>
        <v>27.48</v>
      </c>
      <c r="W1848" s="19">
        <f t="shared" si="384"/>
        <v>27.479999999999997</v>
      </c>
      <c r="X1848" s="19" t="str">
        <f t="shared" si="385"/>
        <v>True</v>
      </c>
      <c r="Y1848" s="19" t="str">
        <f>IF(OR(W1848&lt;'Cleaning Tasks'!$G$18,W1848&gt;'Cleaning Tasks'!$H$18),"Outlier","Normal")</f>
        <v>Normal</v>
      </c>
      <c r="Z1848" s="2" t="s">
        <v>72</v>
      </c>
      <c r="AA1848" s="2" t="s">
        <v>27</v>
      </c>
      <c r="AB1848" s="2" t="s">
        <v>96</v>
      </c>
      <c r="AC1848" s="2" t="s">
        <v>29</v>
      </c>
      <c r="AD1848" s="2" t="s">
        <v>140</v>
      </c>
      <c r="AE1848" s="2" t="str">
        <f t="shared" si="386"/>
        <v>Valid</v>
      </c>
      <c r="AF1848" s="2" t="s">
        <v>4851</v>
      </c>
    </row>
    <row r="1849" spans="1:32" x14ac:dyDescent="0.3">
      <c r="A1849" s="2" t="s">
        <v>4852</v>
      </c>
      <c r="B1849" s="2">
        <f t="shared" si="376"/>
        <v>1</v>
      </c>
      <c r="C1849" s="12">
        <f t="shared" si="388"/>
        <v>46238.579327766201</v>
      </c>
      <c r="D1849" s="13">
        <v>46238.579327766201</v>
      </c>
      <c r="E1849" s="2" t="s">
        <v>1439</v>
      </c>
      <c r="F1849" s="2" t="str">
        <f t="shared" si="377"/>
        <v>Email Available</v>
      </c>
      <c r="G1849" s="2" t="s">
        <v>1440</v>
      </c>
      <c r="H1849" s="2" t="s">
        <v>35</v>
      </c>
      <c r="I1849" s="2" t="s">
        <v>36</v>
      </c>
      <c r="J1849" s="2" t="s">
        <v>37</v>
      </c>
      <c r="K1849" s="2">
        <v>1</v>
      </c>
      <c r="L1849" s="2">
        <v>21.99</v>
      </c>
      <c r="M1849" s="19">
        <f t="shared" si="378"/>
        <v>21.99</v>
      </c>
      <c r="N1849" s="2" t="s">
        <v>65</v>
      </c>
      <c r="O1849" s="2" t="str">
        <f t="shared" si="379"/>
        <v>WELCOME10</v>
      </c>
      <c r="P1849" s="2">
        <v>2.2000000000000002</v>
      </c>
      <c r="Q1849" s="19">
        <f t="shared" si="380"/>
        <v>2.2000000000000002</v>
      </c>
      <c r="R1849" s="2" t="str">
        <f t="shared" si="381"/>
        <v>Number</v>
      </c>
      <c r="S1849" s="2">
        <v>5.99</v>
      </c>
      <c r="T1849" s="19">
        <f t="shared" si="382"/>
        <v>5.99</v>
      </c>
      <c r="U1849" s="2">
        <v>25.78</v>
      </c>
      <c r="V1849" s="19">
        <f t="shared" si="383"/>
        <v>25.78</v>
      </c>
      <c r="W1849" s="19">
        <f t="shared" si="384"/>
        <v>25.78</v>
      </c>
      <c r="X1849" s="19" t="str">
        <f t="shared" si="385"/>
        <v>True</v>
      </c>
      <c r="Y1849" s="19" t="str">
        <f>IF(OR(W1849&lt;'Cleaning Tasks'!$G$18,W1849&gt;'Cleaning Tasks'!$H$18),"Outlier","Normal")</f>
        <v>Normal</v>
      </c>
      <c r="Z1849" s="2" t="s">
        <v>39</v>
      </c>
      <c r="AA1849" s="2" t="s">
        <v>27</v>
      </c>
      <c r="AB1849" s="2" t="s">
        <v>41</v>
      </c>
      <c r="AC1849" s="2" t="s">
        <v>29</v>
      </c>
      <c r="AD1849" s="2" t="s">
        <v>67</v>
      </c>
      <c r="AE1849" s="2" t="str">
        <f t="shared" si="386"/>
        <v>Valid</v>
      </c>
      <c r="AF1849" s="2" t="s">
        <v>4853</v>
      </c>
    </row>
    <row r="1850" spans="1:32" x14ac:dyDescent="0.3">
      <c r="A1850" s="2" t="s">
        <v>4854</v>
      </c>
      <c r="B1850" s="2">
        <f t="shared" si="376"/>
        <v>1</v>
      </c>
      <c r="C1850" s="12">
        <f t="shared" si="388"/>
        <v>46238.58721996528</v>
      </c>
      <c r="D1850" s="13">
        <v>46238.58721996528</v>
      </c>
      <c r="E1850" s="2" t="s">
        <v>4855</v>
      </c>
      <c r="F1850" s="2" t="str">
        <f t="shared" si="377"/>
        <v>Email Available</v>
      </c>
      <c r="G1850" s="2" t="s">
        <v>857</v>
      </c>
      <c r="H1850" s="2" t="s">
        <v>102</v>
      </c>
      <c r="I1850" s="2" t="s">
        <v>103</v>
      </c>
      <c r="J1850" s="2" t="s">
        <v>104</v>
      </c>
      <c r="K1850" s="2">
        <v>1</v>
      </c>
      <c r="L1850" s="2">
        <v>19.989999999999998</v>
      </c>
      <c r="M1850" s="19">
        <f t="shared" si="378"/>
        <v>19.989999999999998</v>
      </c>
      <c r="N1850" s="2" t="s">
        <v>118</v>
      </c>
      <c r="O1850" s="2" t="str">
        <f t="shared" si="379"/>
        <v>BFCM25</v>
      </c>
      <c r="P1850" s="2">
        <v>5</v>
      </c>
      <c r="Q1850" s="19">
        <f t="shared" si="380"/>
        <v>5</v>
      </c>
      <c r="R1850" s="2" t="str">
        <f t="shared" si="381"/>
        <v>Number</v>
      </c>
      <c r="S1850" s="2">
        <v>4.99</v>
      </c>
      <c r="T1850" s="19">
        <f t="shared" si="382"/>
        <v>4.99</v>
      </c>
      <c r="U1850" s="2">
        <v>19.98</v>
      </c>
      <c r="V1850" s="19">
        <f t="shared" si="383"/>
        <v>19.98</v>
      </c>
      <c r="W1850" s="19">
        <f t="shared" si="384"/>
        <v>19.979999999999997</v>
      </c>
      <c r="X1850" s="19" t="str">
        <f t="shared" si="385"/>
        <v>True</v>
      </c>
      <c r="Y1850" s="19" t="str">
        <f>IF(OR(W1850&lt;'Cleaning Tasks'!$G$18,W1850&gt;'Cleaning Tasks'!$H$18),"Outlier","Normal")</f>
        <v>Normal</v>
      </c>
      <c r="Z1850" s="2" t="s">
        <v>26</v>
      </c>
      <c r="AA1850" s="2" t="s">
        <v>40</v>
      </c>
      <c r="AB1850" s="2" t="s">
        <v>50</v>
      </c>
      <c r="AC1850" s="2" t="s">
        <v>105</v>
      </c>
      <c r="AD1850" s="2"/>
      <c r="AE1850" s="2" t="str">
        <f t="shared" si="386"/>
        <v>Not Required</v>
      </c>
      <c r="AF1850" s="2" t="s">
        <v>4856</v>
      </c>
    </row>
    <row r="1851" spans="1:32" x14ac:dyDescent="0.3">
      <c r="A1851" s="2" t="s">
        <v>4857</v>
      </c>
      <c r="B1851" s="2">
        <f t="shared" si="376"/>
        <v>1</v>
      </c>
      <c r="C1851" s="12">
        <f t="shared" si="388"/>
        <v>46238</v>
      </c>
      <c r="D1851" s="13" t="s">
        <v>143</v>
      </c>
      <c r="E1851" s="2" t="s">
        <v>251</v>
      </c>
      <c r="F1851" s="2" t="str">
        <f t="shared" si="377"/>
        <v>Email Available</v>
      </c>
      <c r="G1851" s="2" t="s">
        <v>344</v>
      </c>
      <c r="H1851" s="2" t="s">
        <v>190</v>
      </c>
      <c r="I1851" s="2" t="s">
        <v>191</v>
      </c>
      <c r="J1851" s="2" t="s">
        <v>192</v>
      </c>
      <c r="K1851" s="2">
        <v>1</v>
      </c>
      <c r="L1851" s="2" t="s">
        <v>944</v>
      </c>
      <c r="M1851" s="19">
        <f t="shared" si="378"/>
        <v>13.49</v>
      </c>
      <c r="N1851" s="2"/>
      <c r="O1851" s="2" t="str">
        <f t="shared" si="379"/>
        <v/>
      </c>
      <c r="P1851" s="2">
        <v>0</v>
      </c>
      <c r="Q1851" s="19">
        <f t="shared" si="380"/>
        <v>0</v>
      </c>
      <c r="R1851" s="2" t="str">
        <f t="shared" si="381"/>
        <v>Number</v>
      </c>
      <c r="S1851" s="2">
        <v>5.99</v>
      </c>
      <c r="T1851" s="19">
        <f t="shared" si="382"/>
        <v>5.99</v>
      </c>
      <c r="U1851" s="2">
        <v>19.48</v>
      </c>
      <c r="V1851" s="19">
        <f t="shared" si="383"/>
        <v>19.48</v>
      </c>
      <c r="W1851" s="19">
        <f t="shared" si="384"/>
        <v>19.48</v>
      </c>
      <c r="X1851" s="19" t="str">
        <f t="shared" si="385"/>
        <v>True</v>
      </c>
      <c r="Y1851" s="19" t="str">
        <f>IF(OR(W1851&lt;'Cleaning Tasks'!$G$18,W1851&gt;'Cleaning Tasks'!$H$18),"Outlier","Normal")</f>
        <v>Normal</v>
      </c>
      <c r="Z1851" s="2" t="s">
        <v>66</v>
      </c>
      <c r="AA1851" s="2" t="s">
        <v>40</v>
      </c>
      <c r="AB1851" s="2" t="s">
        <v>50</v>
      </c>
      <c r="AC1851" s="2" t="s">
        <v>29</v>
      </c>
      <c r="AD1851" s="22" t="s">
        <v>112</v>
      </c>
      <c r="AE1851" s="2" t="str">
        <f t="shared" si="386"/>
        <v>Valid</v>
      </c>
      <c r="AF1851" s="2" t="s">
        <v>4858</v>
      </c>
    </row>
    <row r="1852" spans="1:32" x14ac:dyDescent="0.3">
      <c r="A1852" s="2" t="s">
        <v>4859</v>
      </c>
      <c r="B1852" s="2">
        <f t="shared" si="376"/>
        <v>1</v>
      </c>
      <c r="C1852" s="12">
        <f t="shared" si="388"/>
        <v>46238.579915983799</v>
      </c>
      <c r="D1852" s="13">
        <v>46238.579915983799</v>
      </c>
      <c r="E1852" s="2" t="s">
        <v>70</v>
      </c>
      <c r="F1852" s="2" t="str">
        <f t="shared" si="377"/>
        <v>Email Available</v>
      </c>
      <c r="G1852" s="2" t="s">
        <v>71</v>
      </c>
      <c r="H1852" s="2" t="s">
        <v>152</v>
      </c>
      <c r="I1852" s="2" t="s">
        <v>36</v>
      </c>
      <c r="J1852" s="2" t="s">
        <v>153</v>
      </c>
      <c r="K1852" s="2">
        <v>1</v>
      </c>
      <c r="L1852" s="2">
        <v>29.99</v>
      </c>
      <c r="M1852" s="19">
        <f t="shared" si="378"/>
        <v>29.99</v>
      </c>
      <c r="N1852" s="2" t="s">
        <v>38</v>
      </c>
      <c r="O1852" s="2" t="str">
        <f t="shared" si="379"/>
        <v>FREESHIP</v>
      </c>
      <c r="P1852" s="2">
        <v>0</v>
      </c>
      <c r="Q1852" s="19">
        <f t="shared" si="380"/>
        <v>0</v>
      </c>
      <c r="R1852" s="2" t="str">
        <f t="shared" si="381"/>
        <v>Number</v>
      </c>
      <c r="S1852" s="2">
        <v>0</v>
      </c>
      <c r="T1852" s="19">
        <f t="shared" si="382"/>
        <v>0</v>
      </c>
      <c r="U1852" s="2">
        <v>29.99</v>
      </c>
      <c r="V1852" s="19">
        <f t="shared" si="383"/>
        <v>29.99</v>
      </c>
      <c r="W1852" s="19">
        <f t="shared" si="384"/>
        <v>29.99</v>
      </c>
      <c r="X1852" s="19" t="str">
        <f t="shared" si="385"/>
        <v>True</v>
      </c>
      <c r="Y1852" s="19" t="str">
        <f>IF(OR(W1852&lt;'Cleaning Tasks'!$G$18,W1852&gt;'Cleaning Tasks'!$H$18),"Outlier","Normal")</f>
        <v>Normal</v>
      </c>
      <c r="Z1852" s="2" t="s">
        <v>72</v>
      </c>
      <c r="AA1852" s="2" t="s">
        <v>27</v>
      </c>
      <c r="AB1852" s="2" t="s">
        <v>28</v>
      </c>
      <c r="AC1852" s="2" t="s">
        <v>73</v>
      </c>
      <c r="AD1852" s="2"/>
      <c r="AE1852" s="2" t="str">
        <f t="shared" si="386"/>
        <v>Not Required</v>
      </c>
      <c r="AF1852" s="2" t="s">
        <v>4860</v>
      </c>
    </row>
    <row r="1853" spans="1:32" x14ac:dyDescent="0.3">
      <c r="A1853" s="2" t="s">
        <v>4861</v>
      </c>
      <c r="B1853" s="2">
        <f t="shared" si="376"/>
        <v>1</v>
      </c>
      <c r="C1853" s="12">
        <f t="shared" si="388"/>
        <v>46238.58711832176</v>
      </c>
      <c r="D1853" s="13">
        <v>46238.58711832176</v>
      </c>
      <c r="E1853" s="2" t="s">
        <v>3784</v>
      </c>
      <c r="F1853" s="2" t="str">
        <f t="shared" si="377"/>
        <v>Email Available</v>
      </c>
      <c r="G1853" s="2" t="s">
        <v>3785</v>
      </c>
      <c r="H1853" s="2" t="s">
        <v>63</v>
      </c>
      <c r="I1853" s="2" t="s">
        <v>47</v>
      </c>
      <c r="J1853" s="2" t="s">
        <v>64</v>
      </c>
      <c r="K1853" s="2">
        <v>1</v>
      </c>
      <c r="L1853" s="2">
        <v>14.99</v>
      </c>
      <c r="M1853" s="19">
        <f t="shared" si="378"/>
        <v>14.99</v>
      </c>
      <c r="N1853" s="2" t="s">
        <v>203</v>
      </c>
      <c r="O1853" s="2" t="str">
        <f t="shared" si="379"/>
        <v>VIP15</v>
      </c>
      <c r="P1853" s="2">
        <v>2.25</v>
      </c>
      <c r="Q1853" s="19">
        <f t="shared" si="380"/>
        <v>2.25</v>
      </c>
      <c r="R1853" s="2" t="str">
        <f t="shared" si="381"/>
        <v>Number</v>
      </c>
      <c r="S1853" s="2">
        <v>7.99</v>
      </c>
      <c r="T1853" s="19">
        <f t="shared" si="382"/>
        <v>7.99</v>
      </c>
      <c r="U1853" s="2">
        <v>20.73</v>
      </c>
      <c r="V1853" s="19">
        <f t="shared" si="383"/>
        <v>20.73</v>
      </c>
      <c r="W1853" s="19">
        <f t="shared" si="384"/>
        <v>20.73</v>
      </c>
      <c r="X1853" s="19" t="str">
        <f t="shared" si="385"/>
        <v>True</v>
      </c>
      <c r="Y1853" s="19" t="str">
        <f>IF(OR(W1853&lt;'Cleaning Tasks'!$G$18,W1853&gt;'Cleaning Tasks'!$H$18),"Outlier","Normal")</f>
        <v>Normal</v>
      </c>
      <c r="Z1853" s="2" t="s">
        <v>49</v>
      </c>
      <c r="AA1853" s="2" t="s">
        <v>27</v>
      </c>
      <c r="AB1853" s="2" t="s">
        <v>50</v>
      </c>
      <c r="AC1853" s="2" t="s">
        <v>29</v>
      </c>
      <c r="AD1853" s="2" t="s">
        <v>341</v>
      </c>
      <c r="AE1853" s="2" t="str">
        <f t="shared" si="386"/>
        <v>Valid</v>
      </c>
      <c r="AF1853" s="2" t="s">
        <v>4862</v>
      </c>
    </row>
    <row r="1854" spans="1:32" x14ac:dyDescent="0.3">
      <c r="A1854" s="2" t="s">
        <v>4863</v>
      </c>
      <c r="B1854" s="2">
        <f t="shared" si="376"/>
        <v>1</v>
      </c>
      <c r="C1854" s="12">
        <f t="shared" si="388"/>
        <v>46238.585982314813</v>
      </c>
      <c r="D1854" s="13">
        <v>46238.585982314813</v>
      </c>
      <c r="E1854" s="2" t="s">
        <v>1818</v>
      </c>
      <c r="F1854" s="2" t="str">
        <f t="shared" si="377"/>
        <v>Email Available</v>
      </c>
      <c r="G1854" s="2" t="s">
        <v>1819</v>
      </c>
      <c r="H1854" s="2" t="s">
        <v>85</v>
      </c>
      <c r="I1854" s="2" t="s">
        <v>86</v>
      </c>
      <c r="J1854" s="2" t="s">
        <v>87</v>
      </c>
      <c r="K1854" s="2">
        <v>1</v>
      </c>
      <c r="L1854" s="2">
        <v>54.99</v>
      </c>
      <c r="M1854" s="19">
        <f t="shared" si="378"/>
        <v>54.99</v>
      </c>
      <c r="N1854" s="2" t="s">
        <v>65</v>
      </c>
      <c r="O1854" s="2" t="str">
        <f t="shared" si="379"/>
        <v>WELCOME10</v>
      </c>
      <c r="P1854" s="2">
        <v>5.5</v>
      </c>
      <c r="Q1854" s="19">
        <f t="shared" si="380"/>
        <v>5.5</v>
      </c>
      <c r="R1854" s="2" t="str">
        <f t="shared" si="381"/>
        <v>Number</v>
      </c>
      <c r="S1854" s="2">
        <v>7.99</v>
      </c>
      <c r="T1854" s="19">
        <f t="shared" si="382"/>
        <v>7.99</v>
      </c>
      <c r="U1854" s="2">
        <v>57.48</v>
      </c>
      <c r="V1854" s="19">
        <f t="shared" si="383"/>
        <v>57.48</v>
      </c>
      <c r="W1854" s="19">
        <f t="shared" si="384"/>
        <v>57.480000000000004</v>
      </c>
      <c r="X1854" s="19" t="str">
        <f t="shared" si="385"/>
        <v>True</v>
      </c>
      <c r="Y1854" s="19" t="str">
        <f>IF(OR(W1854&lt;'Cleaning Tasks'!$G$18,W1854&gt;'Cleaning Tasks'!$H$18),"Outlier","Normal")</f>
        <v>Normal</v>
      </c>
      <c r="Z1854" s="2" t="s">
        <v>39</v>
      </c>
      <c r="AA1854" s="2" t="s">
        <v>40</v>
      </c>
      <c r="AB1854" s="2" t="s">
        <v>50</v>
      </c>
      <c r="AC1854" s="2" t="s">
        <v>105</v>
      </c>
      <c r="AD1854" s="2"/>
      <c r="AE1854" s="2" t="str">
        <f t="shared" si="386"/>
        <v>Not Required</v>
      </c>
      <c r="AF1854" s="2" t="s">
        <v>4864</v>
      </c>
    </row>
    <row r="1855" spans="1:32" x14ac:dyDescent="0.3">
      <c r="A1855" s="2" t="s">
        <v>4865</v>
      </c>
      <c r="B1855" s="2">
        <f t="shared" si="376"/>
        <v>1</v>
      </c>
      <c r="C1855" s="12">
        <f t="shared" si="388"/>
        <v>46238</v>
      </c>
      <c r="D1855" s="13" t="s">
        <v>1023</v>
      </c>
      <c r="E1855" s="2" t="s">
        <v>271</v>
      </c>
      <c r="F1855" s="2" t="str">
        <f t="shared" si="377"/>
        <v>Email Available</v>
      </c>
      <c r="G1855" s="2" t="s">
        <v>272</v>
      </c>
      <c r="H1855" s="2" t="s">
        <v>236</v>
      </c>
      <c r="I1855" s="2" t="s">
        <v>237</v>
      </c>
      <c r="J1855" s="2" t="s">
        <v>238</v>
      </c>
      <c r="K1855" s="2">
        <v>1</v>
      </c>
      <c r="L1855" s="2">
        <v>27.99</v>
      </c>
      <c r="M1855" s="19">
        <f t="shared" si="378"/>
        <v>27.99</v>
      </c>
      <c r="N1855" s="2"/>
      <c r="O1855" s="2" t="str">
        <f t="shared" si="379"/>
        <v/>
      </c>
      <c r="P1855" s="2">
        <v>0</v>
      </c>
      <c r="Q1855" s="19">
        <f t="shared" si="380"/>
        <v>0</v>
      </c>
      <c r="R1855" s="2" t="str">
        <f t="shared" si="381"/>
        <v>Number</v>
      </c>
      <c r="S1855" s="2">
        <v>7.99</v>
      </c>
      <c r="T1855" s="19">
        <f t="shared" si="382"/>
        <v>7.99</v>
      </c>
      <c r="U1855" s="2">
        <v>35.979999999999997</v>
      </c>
      <c r="V1855" s="19">
        <f t="shared" si="383"/>
        <v>35.979999999999997</v>
      </c>
      <c r="W1855" s="19">
        <f t="shared" si="384"/>
        <v>35.979999999999997</v>
      </c>
      <c r="X1855" s="19" t="str">
        <f t="shared" si="385"/>
        <v>True</v>
      </c>
      <c r="Y1855" s="19" t="str">
        <f>IF(OR(W1855&lt;'Cleaning Tasks'!$G$18,W1855&gt;'Cleaning Tasks'!$H$18),"Outlier","Normal")</f>
        <v>Normal</v>
      </c>
      <c r="Z1855" s="2" t="s">
        <v>66</v>
      </c>
      <c r="AA1855" s="2" t="s">
        <v>111</v>
      </c>
      <c r="AB1855" s="2" t="s">
        <v>50</v>
      </c>
      <c r="AC1855" s="2" t="s">
        <v>42</v>
      </c>
      <c r="AD1855" s="2"/>
      <c r="AE1855" s="2" t="str">
        <f t="shared" si="386"/>
        <v>Not Required</v>
      </c>
      <c r="AF1855" s="2" t="s">
        <v>4866</v>
      </c>
    </row>
    <row r="1856" spans="1:32" x14ac:dyDescent="0.3">
      <c r="A1856" s="2" t="s">
        <v>4867</v>
      </c>
      <c r="B1856" s="2">
        <f t="shared" si="376"/>
        <v>1</v>
      </c>
      <c r="C1856" s="12">
        <f t="shared" si="388"/>
        <v>46238.585088472217</v>
      </c>
      <c r="D1856" s="13">
        <v>46238.585088472217</v>
      </c>
      <c r="E1856" s="2" t="s">
        <v>1462</v>
      </c>
      <c r="F1856" s="2" t="str">
        <f t="shared" si="377"/>
        <v>Email Available</v>
      </c>
      <c r="G1856" s="2" t="s">
        <v>1463</v>
      </c>
      <c r="H1856" s="2" t="s">
        <v>152</v>
      </c>
      <c r="I1856" s="2" t="s">
        <v>36</v>
      </c>
      <c r="J1856" s="2" t="s">
        <v>153</v>
      </c>
      <c r="K1856" s="2">
        <v>2</v>
      </c>
      <c r="L1856" s="2">
        <v>29.99</v>
      </c>
      <c r="M1856" s="19">
        <f t="shared" si="378"/>
        <v>29.99</v>
      </c>
      <c r="N1856" s="2"/>
      <c r="O1856" s="2" t="str">
        <f t="shared" si="379"/>
        <v/>
      </c>
      <c r="P1856" s="2">
        <v>0</v>
      </c>
      <c r="Q1856" s="19">
        <f t="shared" si="380"/>
        <v>0</v>
      </c>
      <c r="R1856" s="2" t="str">
        <f t="shared" si="381"/>
        <v>Number</v>
      </c>
      <c r="S1856" s="2">
        <v>5.99</v>
      </c>
      <c r="T1856" s="19">
        <f t="shared" si="382"/>
        <v>5.99</v>
      </c>
      <c r="U1856" s="2">
        <v>65.97</v>
      </c>
      <c r="V1856" s="19">
        <f t="shared" si="383"/>
        <v>65.97</v>
      </c>
      <c r="W1856" s="19">
        <f t="shared" si="384"/>
        <v>65.97</v>
      </c>
      <c r="X1856" s="19" t="str">
        <f t="shared" si="385"/>
        <v>True</v>
      </c>
      <c r="Y1856" s="19" t="str">
        <f>IF(OR(W1856&lt;'Cleaning Tasks'!$G$18,W1856&gt;'Cleaning Tasks'!$H$18),"Outlier","Normal")</f>
        <v>Normal</v>
      </c>
      <c r="Z1856" s="2" t="s">
        <v>49</v>
      </c>
      <c r="AA1856" s="2" t="s">
        <v>27</v>
      </c>
      <c r="AB1856" s="2" t="s">
        <v>28</v>
      </c>
      <c r="AC1856" s="2" t="s">
        <v>73</v>
      </c>
      <c r="AD1856" s="2"/>
      <c r="AE1856" s="2" t="str">
        <f t="shared" si="386"/>
        <v>Not Required</v>
      </c>
      <c r="AF1856" s="2" t="s">
        <v>4868</v>
      </c>
    </row>
    <row r="1857" spans="1:32" x14ac:dyDescent="0.3">
      <c r="A1857" s="2" t="s">
        <v>4869</v>
      </c>
      <c r="B1857" s="2">
        <f t="shared" si="376"/>
        <v>1</v>
      </c>
      <c r="C1857" s="12">
        <f t="shared" si="388"/>
        <v>46238.582644444446</v>
      </c>
      <c r="D1857" s="13">
        <v>46238.582644444446</v>
      </c>
      <c r="E1857" s="2" t="s">
        <v>1727</v>
      </c>
      <c r="F1857" s="2" t="str">
        <f t="shared" si="377"/>
        <v>Email Available</v>
      </c>
      <c r="G1857" s="2" t="s">
        <v>1728</v>
      </c>
      <c r="H1857" s="2" t="s">
        <v>279</v>
      </c>
      <c r="I1857" s="2" t="s">
        <v>22</v>
      </c>
      <c r="J1857" s="2" t="s">
        <v>280</v>
      </c>
      <c r="K1857" s="2">
        <v>1</v>
      </c>
      <c r="L1857" s="2">
        <v>24.99</v>
      </c>
      <c r="M1857" s="19">
        <f t="shared" si="378"/>
        <v>24.99</v>
      </c>
      <c r="N1857" s="2" t="s">
        <v>38</v>
      </c>
      <c r="O1857" s="2" t="str">
        <f t="shared" si="379"/>
        <v>FREESHIP</v>
      </c>
      <c r="P1857" s="2">
        <v>0</v>
      </c>
      <c r="Q1857" s="19">
        <f t="shared" si="380"/>
        <v>0</v>
      </c>
      <c r="R1857" s="2" t="str">
        <f t="shared" si="381"/>
        <v>Number</v>
      </c>
      <c r="S1857" s="2">
        <v>0</v>
      </c>
      <c r="T1857" s="19">
        <f t="shared" si="382"/>
        <v>0</v>
      </c>
      <c r="U1857" s="2">
        <v>24.99</v>
      </c>
      <c r="V1857" s="19">
        <f t="shared" si="383"/>
        <v>24.99</v>
      </c>
      <c r="W1857" s="19">
        <f t="shared" si="384"/>
        <v>24.99</v>
      </c>
      <c r="X1857" s="19" t="str">
        <f t="shared" si="385"/>
        <v>True</v>
      </c>
      <c r="Y1857" s="19" t="str">
        <f>IF(OR(W1857&lt;'Cleaning Tasks'!$G$18,W1857&gt;'Cleaning Tasks'!$H$18),"Outlier","Normal")</f>
        <v>Normal</v>
      </c>
      <c r="Z1857" s="2" t="s">
        <v>66</v>
      </c>
      <c r="AA1857" s="2" t="s">
        <v>111</v>
      </c>
      <c r="AB1857" s="2" t="s">
        <v>50</v>
      </c>
      <c r="AC1857" s="2" t="s">
        <v>29</v>
      </c>
      <c r="AD1857" s="2" t="s">
        <v>89</v>
      </c>
      <c r="AE1857" s="2" t="str">
        <f t="shared" si="386"/>
        <v>Valid</v>
      </c>
      <c r="AF1857" s="2" t="s">
        <v>4870</v>
      </c>
    </row>
    <row r="1858" spans="1:32" x14ac:dyDescent="0.3">
      <c r="A1858" s="2" t="s">
        <v>4871</v>
      </c>
      <c r="B1858" s="2">
        <f t="shared" ref="B1858:B1921" si="389">COUNTIF($A$2:$A$1993,A1858)</f>
        <v>1</v>
      </c>
      <c r="C1858" s="12">
        <f t="shared" si="388"/>
        <v>46238.585984386576</v>
      </c>
      <c r="D1858" s="13">
        <v>46238.585984386576</v>
      </c>
      <c r="E1858" s="2" t="s">
        <v>2838</v>
      </c>
      <c r="F1858" s="2" t="str">
        <f t="shared" ref="F1858:F1921" si="390">IF(TRIM(G1858)="","Missing Email","Email Available")</f>
        <v>Email Available</v>
      </c>
      <c r="G1858" s="2" t="s">
        <v>2839</v>
      </c>
      <c r="H1858" s="2" t="s">
        <v>117</v>
      </c>
      <c r="I1858" s="2" t="s">
        <v>22</v>
      </c>
      <c r="J1858" s="2" t="s">
        <v>23</v>
      </c>
      <c r="K1858" s="2">
        <v>1</v>
      </c>
      <c r="L1858" s="2">
        <v>12.99</v>
      </c>
      <c r="M1858" s="19">
        <f t="shared" ref="M1858:M1921" si="391">IF(ISNUMBER(L1858),L1858,VALUE(SUBSTITUTE(L1858,"$","")))</f>
        <v>12.99</v>
      </c>
      <c r="N1858" s="2" t="s">
        <v>118</v>
      </c>
      <c r="O1858" s="2" t="str">
        <f t="shared" ref="O1858:O1921" si="392">IF(TRIM(N1858)="","",UPPER(TRIM(SUBSTITUTE(N1858,CHAR(160)," "))))</f>
        <v>BFCM25</v>
      </c>
      <c r="P1858" s="2">
        <v>3.25</v>
      </c>
      <c r="Q1858" s="19">
        <f t="shared" ref="Q1858:Q1921" si="393">IF(ISNUMBER(P1858),P1858,VALUE(TRIM(SUBSTITUTE(P1858,"$",""))))</f>
        <v>3.25</v>
      </c>
      <c r="R1858" s="2" t="str">
        <f t="shared" ref="R1858:R1921" si="394">IF(ISNUMBER(Q1858),"Number","Text")</f>
        <v>Number</v>
      </c>
      <c r="S1858" s="2">
        <v>5.99</v>
      </c>
      <c r="T1858" s="19">
        <f t="shared" ref="T1858:T1921" si="395">IF(ISNUMBER(S1858),S1858,VALUE(TRIM(SUBSTITUTE(S1858,"$",""))))</f>
        <v>5.99</v>
      </c>
      <c r="U1858" s="2">
        <v>15.73</v>
      </c>
      <c r="V1858" s="19">
        <f t="shared" ref="V1858:V1921" si="396">IF(ISNUMBER(U1858),U1858,VALUE(TRIM(SUBSTITUTE(U1858,"$",""))))</f>
        <v>15.73</v>
      </c>
      <c r="W1858" s="19">
        <f t="shared" ref="W1858:W1921" si="397">((M1858*K1858)-Q1858)+T1858</f>
        <v>15.73</v>
      </c>
      <c r="X1858" s="19" t="str">
        <f t="shared" ref="X1858:X1921" si="398">IF(V1858=W1858,"True","False")</f>
        <v>True</v>
      </c>
      <c r="Y1858" s="19" t="str">
        <f>IF(OR(W1858&lt;'Cleaning Tasks'!$G$18,W1858&gt;'Cleaning Tasks'!$H$18),"Outlier","Normal")</f>
        <v>Normal</v>
      </c>
      <c r="Z1858" s="2" t="s">
        <v>72</v>
      </c>
      <c r="AA1858" s="2" t="s">
        <v>27</v>
      </c>
      <c r="AB1858" s="2" t="s">
        <v>28</v>
      </c>
      <c r="AC1858" s="2" t="s">
        <v>29</v>
      </c>
      <c r="AD1858" s="2" t="s">
        <v>67</v>
      </c>
      <c r="AE1858" s="2" t="str">
        <f t="shared" ref="AE1858:AE1921" si="399">IF(AND(AC1858="United States",AD1858=""),"Missing state",IF(AD1858="","Not Required","Valid"))</f>
        <v>Valid</v>
      </c>
      <c r="AF1858" s="2" t="s">
        <v>4872</v>
      </c>
    </row>
    <row r="1859" spans="1:32" x14ac:dyDescent="0.3">
      <c r="A1859" s="2" t="s">
        <v>4873</v>
      </c>
      <c r="B1859" s="2">
        <f t="shared" si="389"/>
        <v>1</v>
      </c>
      <c r="C1859" s="12">
        <f t="shared" si="388"/>
        <v>46238.58004148148</v>
      </c>
      <c r="D1859" s="13">
        <v>46238.58004148148</v>
      </c>
      <c r="E1859" s="2" t="s">
        <v>1455</v>
      </c>
      <c r="F1859" s="2" t="str">
        <f t="shared" si="390"/>
        <v>Email Available</v>
      </c>
      <c r="G1859" s="2" t="s">
        <v>1279</v>
      </c>
      <c r="H1859" s="2" t="s">
        <v>236</v>
      </c>
      <c r="I1859" s="2" t="s">
        <v>237</v>
      </c>
      <c r="J1859" s="2" t="s">
        <v>238</v>
      </c>
      <c r="K1859" s="2">
        <v>1</v>
      </c>
      <c r="L1859" s="2">
        <v>27.99</v>
      </c>
      <c r="M1859" s="19">
        <f t="shared" si="391"/>
        <v>27.99</v>
      </c>
      <c r="N1859" s="2" t="s">
        <v>38</v>
      </c>
      <c r="O1859" s="2" t="str">
        <f t="shared" si="392"/>
        <v>FREESHIP</v>
      </c>
      <c r="P1859" s="2">
        <v>0</v>
      </c>
      <c r="Q1859" s="19">
        <f t="shared" si="393"/>
        <v>0</v>
      </c>
      <c r="R1859" s="2" t="str">
        <f t="shared" si="394"/>
        <v>Number</v>
      </c>
      <c r="S1859" s="2">
        <v>0</v>
      </c>
      <c r="T1859" s="19">
        <f t="shared" si="395"/>
        <v>0</v>
      </c>
      <c r="U1859" s="2" t="s">
        <v>1512</v>
      </c>
      <c r="V1859" s="19">
        <f t="shared" si="396"/>
        <v>27.99</v>
      </c>
      <c r="W1859" s="19">
        <f t="shared" si="397"/>
        <v>27.99</v>
      </c>
      <c r="X1859" s="19" t="str">
        <f t="shared" si="398"/>
        <v>True</v>
      </c>
      <c r="Y1859" s="19" t="str">
        <f>IF(OR(W1859&lt;'Cleaning Tasks'!$G$18,W1859&gt;'Cleaning Tasks'!$H$18),"Outlier","Normal")</f>
        <v>Normal</v>
      </c>
      <c r="Z1859" s="2" t="s">
        <v>66</v>
      </c>
      <c r="AA1859" s="2" t="s">
        <v>111</v>
      </c>
      <c r="AB1859" s="2" t="s">
        <v>50</v>
      </c>
      <c r="AC1859" s="2" t="s">
        <v>29</v>
      </c>
      <c r="AD1859" s="2" t="s">
        <v>140</v>
      </c>
      <c r="AE1859" s="2" t="str">
        <f t="shared" si="399"/>
        <v>Valid</v>
      </c>
      <c r="AF1859" s="2" t="s">
        <v>4874</v>
      </c>
    </row>
    <row r="1860" spans="1:32" x14ac:dyDescent="0.3">
      <c r="A1860" s="2" t="s">
        <v>4875</v>
      </c>
      <c r="B1860" s="2">
        <f t="shared" si="389"/>
        <v>1</v>
      </c>
      <c r="C1860" s="12">
        <f t="shared" si="388"/>
        <v>46238.579311793983</v>
      </c>
      <c r="D1860" s="13">
        <v>46238.579311793983</v>
      </c>
      <c r="E1860" s="2" t="s">
        <v>417</v>
      </c>
      <c r="F1860" s="2" t="str">
        <f t="shared" si="390"/>
        <v>Email Available</v>
      </c>
      <c r="G1860" s="2" t="s">
        <v>418</v>
      </c>
      <c r="H1860" s="2" t="s">
        <v>117</v>
      </c>
      <c r="I1860" s="2" t="s">
        <v>22</v>
      </c>
      <c r="J1860" s="2" t="s">
        <v>23</v>
      </c>
      <c r="K1860" s="2">
        <v>1</v>
      </c>
      <c r="L1860" s="2">
        <v>12.99</v>
      </c>
      <c r="M1860" s="19">
        <f t="shared" si="391"/>
        <v>12.99</v>
      </c>
      <c r="N1860" s="2"/>
      <c r="O1860" s="2" t="str">
        <f t="shared" si="392"/>
        <v/>
      </c>
      <c r="P1860" s="2">
        <v>0</v>
      </c>
      <c r="Q1860" s="19">
        <f t="shared" si="393"/>
        <v>0</v>
      </c>
      <c r="R1860" s="2" t="str">
        <f t="shared" si="394"/>
        <v>Number</v>
      </c>
      <c r="S1860" s="2">
        <v>5.99</v>
      </c>
      <c r="T1860" s="19">
        <f t="shared" si="395"/>
        <v>5.99</v>
      </c>
      <c r="U1860" s="2">
        <v>18.98</v>
      </c>
      <c r="V1860" s="19">
        <f t="shared" si="396"/>
        <v>18.98</v>
      </c>
      <c r="W1860" s="19">
        <f t="shared" si="397"/>
        <v>18.98</v>
      </c>
      <c r="X1860" s="19" t="str">
        <f t="shared" si="398"/>
        <v>True</v>
      </c>
      <c r="Y1860" s="19" t="str">
        <f>IF(OR(W1860&lt;'Cleaning Tasks'!$G$18,W1860&gt;'Cleaning Tasks'!$H$18),"Outlier","Normal")</f>
        <v>Normal</v>
      </c>
      <c r="Z1860" s="2" t="s">
        <v>72</v>
      </c>
      <c r="AA1860" s="2" t="s">
        <v>27</v>
      </c>
      <c r="AB1860" s="2" t="s">
        <v>50</v>
      </c>
      <c r="AC1860" s="2" t="s">
        <v>29</v>
      </c>
      <c r="AD1860" s="2" t="s">
        <v>243</v>
      </c>
      <c r="AE1860" s="2" t="str">
        <f t="shared" si="399"/>
        <v>Valid</v>
      </c>
      <c r="AF1860" s="2" t="s">
        <v>4876</v>
      </c>
    </row>
    <row r="1861" spans="1:32" x14ac:dyDescent="0.3">
      <c r="A1861" s="2" t="s">
        <v>4877</v>
      </c>
      <c r="B1861" s="2">
        <f t="shared" si="389"/>
        <v>1</v>
      </c>
      <c r="C1861" s="12">
        <f t="shared" si="388"/>
        <v>46238</v>
      </c>
      <c r="D1861" s="13" t="s">
        <v>1023</v>
      </c>
      <c r="E1861" s="2" t="s">
        <v>321</v>
      </c>
      <c r="F1861" s="2" t="str">
        <f t="shared" si="390"/>
        <v>Missing Email</v>
      </c>
      <c r="G1861" s="2"/>
      <c r="H1861" s="2" t="s">
        <v>267</v>
      </c>
      <c r="I1861" s="2" t="s">
        <v>22</v>
      </c>
      <c r="J1861" s="2" t="s">
        <v>268</v>
      </c>
      <c r="K1861" s="2">
        <v>2</v>
      </c>
      <c r="L1861" s="2">
        <v>18.989999999999998</v>
      </c>
      <c r="M1861" s="19">
        <f t="shared" si="391"/>
        <v>18.989999999999998</v>
      </c>
      <c r="N1861" s="2"/>
      <c r="O1861" s="2" t="str">
        <f t="shared" si="392"/>
        <v/>
      </c>
      <c r="P1861" s="2">
        <v>0</v>
      </c>
      <c r="Q1861" s="19">
        <f t="shared" si="393"/>
        <v>0</v>
      </c>
      <c r="R1861" s="2" t="str">
        <f t="shared" si="394"/>
        <v>Number</v>
      </c>
      <c r="S1861" s="2">
        <v>5.99</v>
      </c>
      <c r="T1861" s="19">
        <f t="shared" si="395"/>
        <v>5.99</v>
      </c>
      <c r="U1861" s="2">
        <v>43.97</v>
      </c>
      <c r="V1861" s="19">
        <f t="shared" si="396"/>
        <v>43.97</v>
      </c>
      <c r="W1861" s="19">
        <f t="shared" si="397"/>
        <v>43.97</v>
      </c>
      <c r="X1861" s="19" t="str">
        <f t="shared" si="398"/>
        <v>True</v>
      </c>
      <c r="Y1861" s="19" t="str">
        <f>IF(OR(W1861&lt;'Cleaning Tasks'!$G$18,W1861&gt;'Cleaning Tasks'!$H$18),"Outlier","Normal")</f>
        <v>Normal</v>
      </c>
      <c r="Z1861" s="2" t="s">
        <v>39</v>
      </c>
      <c r="AA1861" s="2" t="s">
        <v>111</v>
      </c>
      <c r="AB1861" s="2" t="s">
        <v>28</v>
      </c>
      <c r="AC1861" s="2" t="s">
        <v>223</v>
      </c>
      <c r="AD1861" s="2"/>
      <c r="AE1861" s="2" t="str">
        <f t="shared" si="399"/>
        <v>Not Required</v>
      </c>
      <c r="AF1861" s="2" t="s">
        <v>4878</v>
      </c>
    </row>
    <row r="1862" spans="1:32" x14ac:dyDescent="0.3">
      <c r="A1862" s="2" t="s">
        <v>4879</v>
      </c>
      <c r="B1862" s="2">
        <f t="shared" si="389"/>
        <v>1</v>
      </c>
      <c r="C1862" s="12">
        <f>DATE(VALUE(RIGHT(D1862,4)),MATCH(LEFT(D1862,3),{"Jan","Feb","Mar","Apr","May","Jun","Jul","Aug","Sep","Oct","Nov","Dec"},0),VALUE(MID(D1862,5,2)))</f>
        <v>46238</v>
      </c>
      <c r="D1862" s="13" t="s">
        <v>171</v>
      </c>
      <c r="E1862" s="2" t="s">
        <v>1320</v>
      </c>
      <c r="F1862" s="2" t="str">
        <f t="shared" si="390"/>
        <v>Missing Email</v>
      </c>
      <c r="G1862" s="2"/>
      <c r="H1862" s="2" t="s">
        <v>124</v>
      </c>
      <c r="I1862" s="2" t="s">
        <v>79</v>
      </c>
      <c r="J1862" s="2" t="s">
        <v>125</v>
      </c>
      <c r="K1862" s="2">
        <v>1</v>
      </c>
      <c r="L1862" s="2">
        <v>13.99</v>
      </c>
      <c r="M1862" s="19">
        <f t="shared" si="391"/>
        <v>13.99</v>
      </c>
      <c r="N1862" s="2" t="s">
        <v>24</v>
      </c>
      <c r="O1862" s="2" t="str">
        <f t="shared" si="392"/>
        <v>SAVE20</v>
      </c>
      <c r="P1862" s="2">
        <v>2.8</v>
      </c>
      <c r="Q1862" s="19">
        <f t="shared" si="393"/>
        <v>2.8</v>
      </c>
      <c r="R1862" s="2" t="str">
        <f t="shared" si="394"/>
        <v>Number</v>
      </c>
      <c r="S1862" s="2">
        <v>7.99</v>
      </c>
      <c r="T1862" s="19">
        <f t="shared" si="395"/>
        <v>7.99</v>
      </c>
      <c r="U1862" s="2">
        <v>19.18</v>
      </c>
      <c r="V1862" s="19">
        <f t="shared" si="396"/>
        <v>19.18</v>
      </c>
      <c r="W1862" s="19">
        <f t="shared" si="397"/>
        <v>19.18</v>
      </c>
      <c r="X1862" s="19" t="str">
        <f t="shared" si="398"/>
        <v>True</v>
      </c>
      <c r="Y1862" s="19" t="str">
        <f>IF(OR(W1862&lt;'Cleaning Tasks'!$G$18,W1862&gt;'Cleaning Tasks'!$H$18),"Outlier","Normal")</f>
        <v>Normal</v>
      </c>
      <c r="Z1862" s="2" t="s">
        <v>26</v>
      </c>
      <c r="AA1862" s="2" t="s">
        <v>27</v>
      </c>
      <c r="AB1862" s="2" t="s">
        <v>50</v>
      </c>
      <c r="AC1862" s="2" t="s">
        <v>42</v>
      </c>
      <c r="AD1862" s="2"/>
      <c r="AE1862" s="2" t="str">
        <f t="shared" si="399"/>
        <v>Not Required</v>
      </c>
      <c r="AF1862" s="2" t="s">
        <v>4880</v>
      </c>
    </row>
    <row r="1863" spans="1:32" x14ac:dyDescent="0.3">
      <c r="A1863" s="2" t="s">
        <v>4881</v>
      </c>
      <c r="B1863" s="2">
        <f t="shared" si="389"/>
        <v>1</v>
      </c>
      <c r="C1863" s="12">
        <f t="shared" ref="C1863:C1894" si="400">IF(ISNUMBER(D1863),D1863,DATEVALUE(SUBSTITUTE(TRIM(D1863),CHAR(160)," ")))</f>
        <v>46238</v>
      </c>
      <c r="D1863" s="13" t="s">
        <v>143</v>
      </c>
      <c r="E1863" s="2" t="s">
        <v>275</v>
      </c>
      <c r="F1863" s="2" t="str">
        <f t="shared" si="390"/>
        <v>Email Available</v>
      </c>
      <c r="G1863" s="2" t="s">
        <v>276</v>
      </c>
      <c r="H1863" s="2" t="s">
        <v>201</v>
      </c>
      <c r="I1863" s="2" t="s">
        <v>191</v>
      </c>
      <c r="J1863" s="2" t="s">
        <v>202</v>
      </c>
      <c r="K1863" s="2">
        <v>1</v>
      </c>
      <c r="L1863" s="2">
        <v>24.99</v>
      </c>
      <c r="M1863" s="19">
        <f t="shared" si="391"/>
        <v>24.99</v>
      </c>
      <c r="N1863" s="2"/>
      <c r="O1863" s="2" t="str">
        <f t="shared" si="392"/>
        <v/>
      </c>
      <c r="P1863" s="2">
        <v>0</v>
      </c>
      <c r="Q1863" s="19">
        <f t="shared" si="393"/>
        <v>0</v>
      </c>
      <c r="R1863" s="2" t="str">
        <f t="shared" si="394"/>
        <v>Number</v>
      </c>
      <c r="S1863" s="2">
        <v>4.99</v>
      </c>
      <c r="T1863" s="19">
        <f t="shared" si="395"/>
        <v>4.99</v>
      </c>
      <c r="U1863" s="2">
        <v>29.98</v>
      </c>
      <c r="V1863" s="19">
        <f t="shared" si="396"/>
        <v>29.98</v>
      </c>
      <c r="W1863" s="19">
        <f t="shared" si="397"/>
        <v>29.979999999999997</v>
      </c>
      <c r="X1863" s="19" t="str">
        <f t="shared" si="398"/>
        <v>True</v>
      </c>
      <c r="Y1863" s="19" t="str">
        <f>IF(OR(W1863&lt;'Cleaning Tasks'!$G$18,W1863&gt;'Cleaning Tasks'!$H$18),"Outlier","Normal")</f>
        <v>Normal</v>
      </c>
      <c r="Z1863" s="2" t="s">
        <v>26</v>
      </c>
      <c r="AA1863" s="2" t="s">
        <v>40</v>
      </c>
      <c r="AB1863" s="2" t="s">
        <v>50</v>
      </c>
      <c r="AC1863" s="2" t="s">
        <v>73</v>
      </c>
      <c r="AD1863" s="2"/>
      <c r="AE1863" s="2" t="str">
        <f t="shared" si="399"/>
        <v>Not Required</v>
      </c>
      <c r="AF1863" s="2" t="s">
        <v>4882</v>
      </c>
    </row>
    <row r="1864" spans="1:32" x14ac:dyDescent="0.3">
      <c r="A1864" s="2" t="s">
        <v>4883</v>
      </c>
      <c r="B1864" s="2">
        <f t="shared" si="389"/>
        <v>1</v>
      </c>
      <c r="C1864" s="12">
        <f t="shared" si="400"/>
        <v>46238.581225462964</v>
      </c>
      <c r="D1864" s="13">
        <v>46238.581225462964</v>
      </c>
      <c r="E1864" s="2" t="s">
        <v>1302</v>
      </c>
      <c r="F1864" s="2" t="str">
        <f t="shared" si="390"/>
        <v>Email Available</v>
      </c>
      <c r="G1864" s="2" t="s">
        <v>1303</v>
      </c>
      <c r="H1864" s="2" t="s">
        <v>109</v>
      </c>
      <c r="I1864" s="2" t="s">
        <v>79</v>
      </c>
      <c r="J1864" s="2" t="s">
        <v>110</v>
      </c>
      <c r="K1864" s="2">
        <v>1</v>
      </c>
      <c r="L1864" s="2" t="s">
        <v>990</v>
      </c>
      <c r="M1864" s="19">
        <f t="shared" si="391"/>
        <v>22.99</v>
      </c>
      <c r="N1864" s="2" t="s">
        <v>65</v>
      </c>
      <c r="O1864" s="2" t="str">
        <f t="shared" si="392"/>
        <v>WELCOME10</v>
      </c>
      <c r="P1864" s="2">
        <v>2.2999999999999998</v>
      </c>
      <c r="Q1864" s="19">
        <f t="shared" si="393"/>
        <v>2.2999999999999998</v>
      </c>
      <c r="R1864" s="2" t="str">
        <f t="shared" si="394"/>
        <v>Number</v>
      </c>
      <c r="S1864" s="2">
        <v>7.99</v>
      </c>
      <c r="T1864" s="19">
        <f t="shared" si="395"/>
        <v>7.99</v>
      </c>
      <c r="U1864" s="2">
        <v>28.68</v>
      </c>
      <c r="V1864" s="19">
        <f t="shared" si="396"/>
        <v>28.68</v>
      </c>
      <c r="W1864" s="19">
        <f t="shared" si="397"/>
        <v>28.68</v>
      </c>
      <c r="X1864" s="19" t="str">
        <f t="shared" si="398"/>
        <v>True</v>
      </c>
      <c r="Y1864" s="19" t="str">
        <f>IF(OR(W1864&lt;'Cleaning Tasks'!$G$18,W1864&gt;'Cleaning Tasks'!$H$18),"Outlier","Normal")</f>
        <v>Normal</v>
      </c>
      <c r="Z1864" s="2" t="s">
        <v>26</v>
      </c>
      <c r="AA1864" s="2" t="s">
        <v>40</v>
      </c>
      <c r="AB1864" s="2" t="s">
        <v>50</v>
      </c>
      <c r="AC1864" s="2" t="s">
        <v>29</v>
      </c>
      <c r="AD1864" s="22" t="s">
        <v>67</v>
      </c>
      <c r="AE1864" s="2" t="str">
        <f t="shared" si="399"/>
        <v>Valid</v>
      </c>
      <c r="AF1864" s="2" t="s">
        <v>4884</v>
      </c>
    </row>
    <row r="1865" spans="1:32" x14ac:dyDescent="0.3">
      <c r="A1865" s="2" t="s">
        <v>4885</v>
      </c>
      <c r="B1865" s="2">
        <f t="shared" si="389"/>
        <v>1</v>
      </c>
      <c r="C1865" s="12">
        <f t="shared" si="400"/>
        <v>46238.587955150462</v>
      </c>
      <c r="D1865" s="13">
        <v>46238.587955150462</v>
      </c>
      <c r="E1865" s="2" t="s">
        <v>234</v>
      </c>
      <c r="F1865" s="2" t="str">
        <f t="shared" si="390"/>
        <v>Email Available</v>
      </c>
      <c r="G1865" s="2" t="s">
        <v>235</v>
      </c>
      <c r="H1865" s="2" t="s">
        <v>117</v>
      </c>
      <c r="I1865" s="2" t="s">
        <v>22</v>
      </c>
      <c r="J1865" s="2" t="s">
        <v>23</v>
      </c>
      <c r="K1865" s="2">
        <v>3</v>
      </c>
      <c r="L1865" s="2">
        <v>12.99</v>
      </c>
      <c r="M1865" s="19">
        <f t="shared" si="391"/>
        <v>12.99</v>
      </c>
      <c r="N1865" s="2" t="s">
        <v>38</v>
      </c>
      <c r="O1865" s="2" t="str">
        <f t="shared" si="392"/>
        <v>FREESHIP</v>
      </c>
      <c r="P1865" s="2">
        <v>0</v>
      </c>
      <c r="Q1865" s="19">
        <f t="shared" si="393"/>
        <v>0</v>
      </c>
      <c r="R1865" s="2" t="str">
        <f t="shared" si="394"/>
        <v>Number</v>
      </c>
      <c r="S1865" s="2">
        <v>0</v>
      </c>
      <c r="T1865" s="19">
        <f t="shared" si="395"/>
        <v>0</v>
      </c>
      <c r="U1865" s="2">
        <v>38.97</v>
      </c>
      <c r="V1865" s="19">
        <f t="shared" si="396"/>
        <v>38.97</v>
      </c>
      <c r="W1865" s="19">
        <f t="shared" si="397"/>
        <v>38.97</v>
      </c>
      <c r="X1865" s="19" t="str">
        <f t="shared" si="398"/>
        <v>True</v>
      </c>
      <c r="Y1865" s="19" t="str">
        <f>IF(OR(W1865&lt;'Cleaning Tasks'!$G$18,W1865&gt;'Cleaning Tasks'!$H$18),"Outlier","Normal")</f>
        <v>Normal</v>
      </c>
      <c r="Z1865" s="2" t="s">
        <v>49</v>
      </c>
      <c r="AA1865" s="2" t="s">
        <v>88</v>
      </c>
      <c r="AB1865" s="2" t="s">
        <v>50</v>
      </c>
      <c r="AC1865" s="2" t="s">
        <v>73</v>
      </c>
      <c r="AD1865" s="2"/>
      <c r="AE1865" s="2" t="str">
        <f t="shared" si="399"/>
        <v>Not Required</v>
      </c>
      <c r="AF1865" s="2" t="s">
        <v>3093</v>
      </c>
    </row>
    <row r="1866" spans="1:32" x14ac:dyDescent="0.3">
      <c r="A1866" s="2" t="s">
        <v>4886</v>
      </c>
      <c r="B1866" s="2">
        <f t="shared" si="389"/>
        <v>1</v>
      </c>
      <c r="C1866" s="12">
        <f t="shared" si="400"/>
        <v>46238.582291435188</v>
      </c>
      <c r="D1866" s="13">
        <v>46238.582291435188</v>
      </c>
      <c r="E1866" s="2" t="s">
        <v>61</v>
      </c>
      <c r="F1866" s="2" t="str">
        <f t="shared" si="390"/>
        <v>Missing Email</v>
      </c>
      <c r="G1866" s="2"/>
      <c r="H1866" s="2" t="s">
        <v>146</v>
      </c>
      <c r="I1866" s="2" t="s">
        <v>47</v>
      </c>
      <c r="J1866" s="2" t="s">
        <v>147</v>
      </c>
      <c r="K1866" s="2">
        <v>1</v>
      </c>
      <c r="L1866" s="2">
        <v>34.99</v>
      </c>
      <c r="M1866" s="19">
        <f t="shared" si="391"/>
        <v>34.99</v>
      </c>
      <c r="N1866" s="2" t="s">
        <v>65</v>
      </c>
      <c r="O1866" s="2" t="str">
        <f t="shared" si="392"/>
        <v>WELCOME10</v>
      </c>
      <c r="P1866" s="2">
        <v>3.5</v>
      </c>
      <c r="Q1866" s="19">
        <f t="shared" si="393"/>
        <v>3.5</v>
      </c>
      <c r="R1866" s="2" t="str">
        <f t="shared" si="394"/>
        <v>Number</v>
      </c>
      <c r="S1866" s="2">
        <v>7.99</v>
      </c>
      <c r="T1866" s="19">
        <f t="shared" si="395"/>
        <v>7.99</v>
      </c>
      <c r="U1866" s="2">
        <v>39.479999999999997</v>
      </c>
      <c r="V1866" s="19">
        <f t="shared" si="396"/>
        <v>39.479999999999997</v>
      </c>
      <c r="W1866" s="19">
        <f t="shared" si="397"/>
        <v>39.480000000000004</v>
      </c>
      <c r="X1866" s="19" t="str">
        <f t="shared" si="398"/>
        <v>True</v>
      </c>
      <c r="Y1866" s="19" t="str">
        <f>IF(OR(W1866&lt;'Cleaning Tasks'!$G$18,W1866&gt;'Cleaning Tasks'!$H$18),"Outlier","Normal")</f>
        <v>Normal</v>
      </c>
      <c r="Z1866" s="2" t="s">
        <v>72</v>
      </c>
      <c r="AA1866" s="2" t="s">
        <v>27</v>
      </c>
      <c r="AB1866" s="2" t="s">
        <v>50</v>
      </c>
      <c r="AC1866" s="2" t="s">
        <v>29</v>
      </c>
      <c r="AD1866" s="2" t="s">
        <v>51</v>
      </c>
      <c r="AE1866" s="2" t="str">
        <f t="shared" si="399"/>
        <v>Valid</v>
      </c>
      <c r="AF1866" s="2" t="s">
        <v>4887</v>
      </c>
    </row>
    <row r="1867" spans="1:32" x14ac:dyDescent="0.3">
      <c r="A1867" s="2" t="s">
        <v>4888</v>
      </c>
      <c r="B1867" s="2">
        <f t="shared" si="389"/>
        <v>1</v>
      </c>
      <c r="C1867" s="12">
        <f t="shared" si="400"/>
        <v>46238.587134652778</v>
      </c>
      <c r="D1867" s="13">
        <v>46238.587134652778</v>
      </c>
      <c r="E1867" s="2" t="s">
        <v>4889</v>
      </c>
      <c r="F1867" s="2" t="str">
        <f t="shared" si="390"/>
        <v>Email Available</v>
      </c>
      <c r="G1867" s="2" t="s">
        <v>749</v>
      </c>
      <c r="H1867" s="2" t="s">
        <v>182</v>
      </c>
      <c r="I1867" s="2" t="s">
        <v>36</v>
      </c>
      <c r="J1867" s="2" t="s">
        <v>183</v>
      </c>
      <c r="K1867" s="2">
        <v>3</v>
      </c>
      <c r="L1867" s="2">
        <v>11.99</v>
      </c>
      <c r="M1867" s="19">
        <f t="shared" si="391"/>
        <v>11.99</v>
      </c>
      <c r="N1867" s="2"/>
      <c r="O1867" s="2" t="str">
        <f t="shared" si="392"/>
        <v/>
      </c>
      <c r="P1867" s="2">
        <v>0</v>
      </c>
      <c r="Q1867" s="19">
        <f t="shared" si="393"/>
        <v>0</v>
      </c>
      <c r="R1867" s="2" t="str">
        <f t="shared" si="394"/>
        <v>Number</v>
      </c>
      <c r="S1867" s="2">
        <v>7.99</v>
      </c>
      <c r="T1867" s="19">
        <f t="shared" si="395"/>
        <v>7.99</v>
      </c>
      <c r="U1867" s="2" t="s">
        <v>4890</v>
      </c>
      <c r="V1867" s="19">
        <f t="shared" si="396"/>
        <v>43.96</v>
      </c>
      <c r="W1867" s="19">
        <f t="shared" si="397"/>
        <v>43.96</v>
      </c>
      <c r="X1867" s="19" t="str">
        <f t="shared" si="398"/>
        <v>True</v>
      </c>
      <c r="Y1867" s="19" t="str">
        <f>IF(OR(W1867&lt;'Cleaning Tasks'!$G$18,W1867&gt;'Cleaning Tasks'!$H$18),"Outlier","Normal")</f>
        <v>Normal</v>
      </c>
      <c r="Z1867" s="2" t="s">
        <v>26</v>
      </c>
      <c r="AA1867" s="2" t="s">
        <v>27</v>
      </c>
      <c r="AB1867" s="2" t="s">
        <v>50</v>
      </c>
      <c r="AC1867" s="2" t="s">
        <v>29</v>
      </c>
      <c r="AD1867" s="2" t="s">
        <v>112</v>
      </c>
      <c r="AE1867" s="2" t="str">
        <f t="shared" si="399"/>
        <v>Valid</v>
      </c>
      <c r="AF1867" s="2" t="s">
        <v>4891</v>
      </c>
    </row>
    <row r="1868" spans="1:32" x14ac:dyDescent="0.3">
      <c r="A1868" s="2" t="s">
        <v>4892</v>
      </c>
      <c r="B1868" s="2">
        <f t="shared" si="389"/>
        <v>1</v>
      </c>
      <c r="C1868" s="12">
        <f t="shared" si="400"/>
        <v>46238.585359837962</v>
      </c>
      <c r="D1868" s="13">
        <v>46238.585359837962</v>
      </c>
      <c r="E1868" s="2" t="s">
        <v>431</v>
      </c>
      <c r="F1868" s="2" t="str">
        <f t="shared" si="390"/>
        <v>Email Available</v>
      </c>
      <c r="G1868" s="2" t="s">
        <v>432</v>
      </c>
      <c r="H1868" s="2" t="s">
        <v>146</v>
      </c>
      <c r="I1868" s="2" t="s">
        <v>47</v>
      </c>
      <c r="J1868" s="2" t="s">
        <v>147</v>
      </c>
      <c r="K1868" s="2">
        <v>3</v>
      </c>
      <c r="L1868" s="2" t="s">
        <v>340</v>
      </c>
      <c r="M1868" s="19">
        <f t="shared" si="391"/>
        <v>34.99</v>
      </c>
      <c r="N1868" s="2"/>
      <c r="O1868" s="2" t="str">
        <f t="shared" si="392"/>
        <v/>
      </c>
      <c r="P1868" s="2">
        <v>0</v>
      </c>
      <c r="Q1868" s="19">
        <f t="shared" si="393"/>
        <v>0</v>
      </c>
      <c r="R1868" s="2" t="str">
        <f t="shared" si="394"/>
        <v>Number</v>
      </c>
      <c r="S1868" s="2">
        <v>0</v>
      </c>
      <c r="T1868" s="19">
        <f t="shared" si="395"/>
        <v>0</v>
      </c>
      <c r="U1868" s="2">
        <v>104.97</v>
      </c>
      <c r="V1868" s="19">
        <f t="shared" si="396"/>
        <v>104.97</v>
      </c>
      <c r="W1868" s="19">
        <f t="shared" si="397"/>
        <v>104.97</v>
      </c>
      <c r="X1868" s="19" t="str">
        <f t="shared" si="398"/>
        <v>True</v>
      </c>
      <c r="Y1868" s="19" t="str">
        <f>IF(OR(W1868&lt;'Cleaning Tasks'!$G$18,W1868&gt;'Cleaning Tasks'!$H$18),"Outlier","Normal")</f>
        <v>Outlier</v>
      </c>
      <c r="Z1868" s="2" t="s">
        <v>49</v>
      </c>
      <c r="AA1868" s="2" t="s">
        <v>111</v>
      </c>
      <c r="AB1868" s="2" t="s">
        <v>96</v>
      </c>
      <c r="AC1868" s="2" t="s">
        <v>105</v>
      </c>
      <c r="AD1868" s="2"/>
      <c r="AE1868" s="2" t="str">
        <f t="shared" si="399"/>
        <v>Not Required</v>
      </c>
      <c r="AF1868" s="2" t="s">
        <v>4893</v>
      </c>
    </row>
    <row r="1869" spans="1:32" x14ac:dyDescent="0.3">
      <c r="A1869" s="2" t="s">
        <v>4894</v>
      </c>
      <c r="B1869" s="2">
        <f t="shared" si="389"/>
        <v>1</v>
      </c>
      <c r="C1869" s="12">
        <f t="shared" si="400"/>
        <v>46238.586213194452</v>
      </c>
      <c r="D1869" s="13">
        <v>46238.586213194452</v>
      </c>
      <c r="E1869" s="2" t="s">
        <v>635</v>
      </c>
      <c r="F1869" s="2" t="str">
        <f t="shared" si="390"/>
        <v>Email Available</v>
      </c>
      <c r="G1869" s="2" t="s">
        <v>636</v>
      </c>
      <c r="H1869" s="2" t="s">
        <v>85</v>
      </c>
      <c r="I1869" s="2" t="s">
        <v>86</v>
      </c>
      <c r="J1869" s="2" t="s">
        <v>87</v>
      </c>
      <c r="K1869" s="2">
        <v>1</v>
      </c>
      <c r="L1869" s="2">
        <v>54.99</v>
      </c>
      <c r="M1869" s="19">
        <f t="shared" si="391"/>
        <v>54.99</v>
      </c>
      <c r="N1869" s="2"/>
      <c r="O1869" s="2" t="str">
        <f t="shared" si="392"/>
        <v/>
      </c>
      <c r="P1869" s="2">
        <v>0</v>
      </c>
      <c r="Q1869" s="19">
        <f t="shared" si="393"/>
        <v>0</v>
      </c>
      <c r="R1869" s="2" t="str">
        <f t="shared" si="394"/>
        <v>Number</v>
      </c>
      <c r="S1869" s="2">
        <v>5.99</v>
      </c>
      <c r="T1869" s="19">
        <f t="shared" si="395"/>
        <v>5.99</v>
      </c>
      <c r="U1869" s="2">
        <v>60.98</v>
      </c>
      <c r="V1869" s="19">
        <f t="shared" si="396"/>
        <v>60.98</v>
      </c>
      <c r="W1869" s="19">
        <f t="shared" si="397"/>
        <v>60.980000000000004</v>
      </c>
      <c r="X1869" s="19" t="str">
        <f t="shared" si="398"/>
        <v>True</v>
      </c>
      <c r="Y1869" s="19" t="str">
        <f>IF(OR(W1869&lt;'Cleaning Tasks'!$G$18,W1869&gt;'Cleaning Tasks'!$H$18),"Outlier","Normal")</f>
        <v>Normal</v>
      </c>
      <c r="Z1869" s="2" t="s">
        <v>26</v>
      </c>
      <c r="AA1869" s="2" t="s">
        <v>111</v>
      </c>
      <c r="AB1869" s="2" t="s">
        <v>50</v>
      </c>
      <c r="AC1869" s="2" t="s">
        <v>29</v>
      </c>
      <c r="AD1869" s="22" t="s">
        <v>58</v>
      </c>
      <c r="AE1869" s="2" t="str">
        <f t="shared" si="399"/>
        <v>Valid</v>
      </c>
      <c r="AF1869" s="2" t="s">
        <v>4895</v>
      </c>
    </row>
    <row r="1870" spans="1:32" x14ac:dyDescent="0.3">
      <c r="A1870" s="2" t="s">
        <v>4896</v>
      </c>
      <c r="B1870" s="2">
        <f t="shared" si="389"/>
        <v>1</v>
      </c>
      <c r="C1870" s="12">
        <f t="shared" si="400"/>
        <v>46238.584872928237</v>
      </c>
      <c r="D1870" s="13">
        <v>46238.584872928237</v>
      </c>
      <c r="E1870" s="2" t="s">
        <v>2131</v>
      </c>
      <c r="F1870" s="2" t="str">
        <f t="shared" si="390"/>
        <v>Email Available</v>
      </c>
      <c r="G1870" s="2" t="s">
        <v>2132</v>
      </c>
      <c r="H1870" s="2" t="s">
        <v>236</v>
      </c>
      <c r="I1870" s="2" t="s">
        <v>237</v>
      </c>
      <c r="J1870" s="2" t="s">
        <v>238</v>
      </c>
      <c r="K1870" s="2">
        <v>1</v>
      </c>
      <c r="L1870" s="2">
        <v>27.99</v>
      </c>
      <c r="M1870" s="19">
        <f t="shared" si="391"/>
        <v>27.99</v>
      </c>
      <c r="N1870" s="2"/>
      <c r="O1870" s="2" t="str">
        <f t="shared" si="392"/>
        <v/>
      </c>
      <c r="P1870" s="2">
        <v>0</v>
      </c>
      <c r="Q1870" s="19">
        <f t="shared" si="393"/>
        <v>0</v>
      </c>
      <c r="R1870" s="2" t="str">
        <f t="shared" si="394"/>
        <v>Number</v>
      </c>
      <c r="S1870" s="2">
        <v>5.99</v>
      </c>
      <c r="T1870" s="19">
        <f t="shared" si="395"/>
        <v>5.99</v>
      </c>
      <c r="U1870" s="2">
        <v>33.979999999999997</v>
      </c>
      <c r="V1870" s="19">
        <f t="shared" si="396"/>
        <v>33.979999999999997</v>
      </c>
      <c r="W1870" s="19">
        <f t="shared" si="397"/>
        <v>33.979999999999997</v>
      </c>
      <c r="X1870" s="19" t="str">
        <f t="shared" si="398"/>
        <v>True</v>
      </c>
      <c r="Y1870" s="19" t="str">
        <f>IF(OR(W1870&lt;'Cleaning Tasks'!$G$18,W1870&gt;'Cleaning Tasks'!$H$18),"Outlier","Normal")</f>
        <v>Normal</v>
      </c>
      <c r="Z1870" s="2" t="s">
        <v>49</v>
      </c>
      <c r="AA1870" s="2" t="s">
        <v>88</v>
      </c>
      <c r="AB1870" s="2" t="s">
        <v>50</v>
      </c>
      <c r="AC1870" s="2" t="s">
        <v>42</v>
      </c>
      <c r="AD1870" s="2"/>
      <c r="AE1870" s="2" t="str">
        <f t="shared" si="399"/>
        <v>Not Required</v>
      </c>
      <c r="AF1870" s="2" t="s">
        <v>4897</v>
      </c>
    </row>
    <row r="1871" spans="1:32" x14ac:dyDescent="0.3">
      <c r="A1871" s="2" t="s">
        <v>4898</v>
      </c>
      <c r="B1871" s="2">
        <f t="shared" si="389"/>
        <v>1</v>
      </c>
      <c r="C1871" s="12">
        <f t="shared" si="400"/>
        <v>46238.582341747693</v>
      </c>
      <c r="D1871" s="13">
        <v>46238.582341747693</v>
      </c>
      <c r="E1871" s="2" t="s">
        <v>176</v>
      </c>
      <c r="F1871" s="2" t="str">
        <f t="shared" si="390"/>
        <v>Missing Email</v>
      </c>
      <c r="G1871" s="2"/>
      <c r="H1871" s="2" t="s">
        <v>78</v>
      </c>
      <c r="I1871" s="2" t="s">
        <v>79</v>
      </c>
      <c r="J1871" s="2" t="s">
        <v>80</v>
      </c>
      <c r="K1871" s="2">
        <v>1</v>
      </c>
      <c r="L1871" s="2">
        <v>89.99</v>
      </c>
      <c r="M1871" s="19">
        <f t="shared" si="391"/>
        <v>89.99</v>
      </c>
      <c r="N1871" s="2"/>
      <c r="O1871" s="2" t="str">
        <f t="shared" si="392"/>
        <v/>
      </c>
      <c r="P1871" s="2">
        <v>0</v>
      </c>
      <c r="Q1871" s="19">
        <f t="shared" si="393"/>
        <v>0</v>
      </c>
      <c r="R1871" s="2" t="str">
        <f t="shared" si="394"/>
        <v>Number</v>
      </c>
      <c r="S1871" s="2">
        <v>0</v>
      </c>
      <c r="T1871" s="19">
        <f t="shared" si="395"/>
        <v>0</v>
      </c>
      <c r="U1871" s="2">
        <v>89.99</v>
      </c>
      <c r="V1871" s="19">
        <f t="shared" si="396"/>
        <v>89.99</v>
      </c>
      <c r="W1871" s="19">
        <f t="shared" si="397"/>
        <v>89.99</v>
      </c>
      <c r="X1871" s="19" t="str">
        <f t="shared" si="398"/>
        <v>True</v>
      </c>
      <c r="Y1871" s="19" t="str">
        <f>IF(OR(W1871&lt;'Cleaning Tasks'!$G$18,W1871&gt;'Cleaning Tasks'!$H$18),"Outlier","Normal")</f>
        <v>Outlier</v>
      </c>
      <c r="Z1871" s="2" t="s">
        <v>72</v>
      </c>
      <c r="AA1871" s="2" t="s">
        <v>40</v>
      </c>
      <c r="AB1871" s="2" t="s">
        <v>41</v>
      </c>
      <c r="AC1871" s="2" t="s">
        <v>29</v>
      </c>
      <c r="AD1871" s="2" t="s">
        <v>112</v>
      </c>
      <c r="AE1871" s="2" t="str">
        <f t="shared" si="399"/>
        <v>Valid</v>
      </c>
      <c r="AF1871" s="2" t="s">
        <v>4899</v>
      </c>
    </row>
    <row r="1872" spans="1:32" x14ac:dyDescent="0.3">
      <c r="A1872" s="2" t="s">
        <v>4900</v>
      </c>
      <c r="B1872" s="2">
        <f t="shared" si="389"/>
        <v>1</v>
      </c>
      <c r="C1872" s="12">
        <f t="shared" si="400"/>
        <v>46238</v>
      </c>
      <c r="D1872" s="13" t="s">
        <v>143</v>
      </c>
      <c r="E1872" s="2" t="s">
        <v>3105</v>
      </c>
      <c r="F1872" s="2" t="str">
        <f t="shared" si="390"/>
        <v>Email Available</v>
      </c>
      <c r="G1872" s="2" t="s">
        <v>3106</v>
      </c>
      <c r="H1872" s="2" t="s">
        <v>78</v>
      </c>
      <c r="I1872" s="2" t="s">
        <v>79</v>
      </c>
      <c r="J1872" s="2" t="s">
        <v>80</v>
      </c>
      <c r="K1872" s="2">
        <v>1</v>
      </c>
      <c r="L1872" s="2" t="s">
        <v>571</v>
      </c>
      <c r="M1872" s="19">
        <f t="shared" si="391"/>
        <v>89.99</v>
      </c>
      <c r="N1872" s="2"/>
      <c r="O1872" s="2" t="str">
        <f t="shared" si="392"/>
        <v/>
      </c>
      <c r="P1872" s="2">
        <v>0</v>
      </c>
      <c r="Q1872" s="19">
        <f t="shared" si="393"/>
        <v>0</v>
      </c>
      <c r="R1872" s="2" t="str">
        <f t="shared" si="394"/>
        <v>Number</v>
      </c>
      <c r="S1872" s="2">
        <v>0</v>
      </c>
      <c r="T1872" s="19">
        <f t="shared" si="395"/>
        <v>0</v>
      </c>
      <c r="U1872" s="2">
        <v>89.99</v>
      </c>
      <c r="V1872" s="19">
        <f t="shared" si="396"/>
        <v>89.99</v>
      </c>
      <c r="W1872" s="19">
        <f t="shared" si="397"/>
        <v>89.99</v>
      </c>
      <c r="X1872" s="19" t="str">
        <f t="shared" si="398"/>
        <v>True</v>
      </c>
      <c r="Y1872" s="19" t="str">
        <f>IF(OR(W1872&lt;'Cleaning Tasks'!$G$18,W1872&gt;'Cleaning Tasks'!$H$18),"Outlier","Normal")</f>
        <v>Outlier</v>
      </c>
      <c r="Z1872" s="2" t="s">
        <v>49</v>
      </c>
      <c r="AA1872" s="2" t="s">
        <v>88</v>
      </c>
      <c r="AB1872" s="2" t="s">
        <v>50</v>
      </c>
      <c r="AC1872" s="2" t="s">
        <v>29</v>
      </c>
      <c r="AD1872" s="2" t="s">
        <v>341</v>
      </c>
      <c r="AE1872" s="2" t="str">
        <f t="shared" si="399"/>
        <v>Valid</v>
      </c>
      <c r="AF1872" s="2" t="s">
        <v>4901</v>
      </c>
    </row>
    <row r="1873" spans="1:32" x14ac:dyDescent="0.3">
      <c r="A1873" s="2" t="s">
        <v>4902</v>
      </c>
      <c r="B1873" s="2">
        <f t="shared" si="389"/>
        <v>1</v>
      </c>
      <c r="C1873" s="12">
        <f t="shared" si="400"/>
        <v>46238.58757019676</v>
      </c>
      <c r="D1873" s="13">
        <v>46238.58757019676</v>
      </c>
      <c r="E1873" s="2" t="s">
        <v>156</v>
      </c>
      <c r="F1873" s="2" t="str">
        <f t="shared" si="390"/>
        <v>Email Available</v>
      </c>
      <c r="G1873" s="2" t="s">
        <v>157</v>
      </c>
      <c r="H1873" s="2" t="s">
        <v>85</v>
      </c>
      <c r="I1873" s="2" t="s">
        <v>86</v>
      </c>
      <c r="J1873" s="2" t="s">
        <v>87</v>
      </c>
      <c r="K1873" s="2">
        <v>1</v>
      </c>
      <c r="L1873" s="2">
        <v>54.99</v>
      </c>
      <c r="M1873" s="19">
        <f t="shared" si="391"/>
        <v>54.99</v>
      </c>
      <c r="N1873" s="2"/>
      <c r="O1873" s="2" t="str">
        <f t="shared" si="392"/>
        <v/>
      </c>
      <c r="P1873" s="2">
        <v>0</v>
      </c>
      <c r="Q1873" s="19">
        <f t="shared" si="393"/>
        <v>0</v>
      </c>
      <c r="R1873" s="2" t="str">
        <f t="shared" si="394"/>
        <v>Number</v>
      </c>
      <c r="S1873" s="2">
        <v>5.99</v>
      </c>
      <c r="T1873" s="19">
        <f t="shared" si="395"/>
        <v>5.99</v>
      </c>
      <c r="U1873" s="2" t="s">
        <v>4499</v>
      </c>
      <c r="V1873" s="19">
        <f t="shared" si="396"/>
        <v>60.98</v>
      </c>
      <c r="W1873" s="19">
        <f t="shared" si="397"/>
        <v>60.980000000000004</v>
      </c>
      <c r="X1873" s="19" t="str">
        <f t="shared" si="398"/>
        <v>True</v>
      </c>
      <c r="Y1873" s="19" t="str">
        <f>IF(OR(W1873&lt;'Cleaning Tasks'!$G$18,W1873&gt;'Cleaning Tasks'!$H$18),"Outlier","Normal")</f>
        <v>Normal</v>
      </c>
      <c r="Z1873" s="2" t="s">
        <v>49</v>
      </c>
      <c r="AA1873" s="2" t="s">
        <v>27</v>
      </c>
      <c r="AB1873" s="2" t="s">
        <v>50</v>
      </c>
      <c r="AC1873" s="2" t="s">
        <v>105</v>
      </c>
      <c r="AD1873" s="2"/>
      <c r="AE1873" s="2" t="str">
        <f t="shared" si="399"/>
        <v>Not Required</v>
      </c>
      <c r="AF1873" s="2" t="s">
        <v>4903</v>
      </c>
    </row>
    <row r="1874" spans="1:32" x14ac:dyDescent="0.3">
      <c r="A1874" s="2" t="s">
        <v>4904</v>
      </c>
      <c r="B1874" s="2">
        <f t="shared" si="389"/>
        <v>1</v>
      </c>
      <c r="C1874" s="12">
        <f t="shared" si="400"/>
        <v>46238</v>
      </c>
      <c r="D1874" s="13">
        <v>46238</v>
      </c>
      <c r="E1874" s="2" t="s">
        <v>1555</v>
      </c>
      <c r="F1874" s="2" t="str">
        <f t="shared" si="390"/>
        <v>Email Available</v>
      </c>
      <c r="G1874" s="2" t="s">
        <v>1556</v>
      </c>
      <c r="H1874" s="2" t="s">
        <v>309</v>
      </c>
      <c r="I1874" s="2" t="s">
        <v>36</v>
      </c>
      <c r="J1874" s="2" t="s">
        <v>310</v>
      </c>
      <c r="K1874" s="2">
        <v>1</v>
      </c>
      <c r="L1874" s="2">
        <v>8.99</v>
      </c>
      <c r="M1874" s="19">
        <f t="shared" si="391"/>
        <v>8.99</v>
      </c>
      <c r="N1874" s="2" t="s">
        <v>38</v>
      </c>
      <c r="O1874" s="2" t="str">
        <f t="shared" si="392"/>
        <v>FREESHIP</v>
      </c>
      <c r="P1874" s="2">
        <v>0</v>
      </c>
      <c r="Q1874" s="19">
        <f t="shared" si="393"/>
        <v>0</v>
      </c>
      <c r="R1874" s="2" t="str">
        <f t="shared" si="394"/>
        <v>Number</v>
      </c>
      <c r="S1874" s="2">
        <v>0</v>
      </c>
      <c r="T1874" s="19">
        <f t="shared" si="395"/>
        <v>0</v>
      </c>
      <c r="U1874" s="2">
        <v>8.99</v>
      </c>
      <c r="V1874" s="19">
        <f t="shared" si="396"/>
        <v>8.99</v>
      </c>
      <c r="W1874" s="19">
        <f t="shared" si="397"/>
        <v>8.99</v>
      </c>
      <c r="X1874" s="19" t="str">
        <f t="shared" si="398"/>
        <v>True</v>
      </c>
      <c r="Y1874" s="19" t="str">
        <f>IF(OR(W1874&lt;'Cleaning Tasks'!$G$18,W1874&gt;'Cleaning Tasks'!$H$18),"Outlier","Normal")</f>
        <v>Normal</v>
      </c>
      <c r="Z1874" s="2" t="s">
        <v>26</v>
      </c>
      <c r="AA1874" s="2" t="s">
        <v>40</v>
      </c>
      <c r="AB1874" s="2" t="s">
        <v>41</v>
      </c>
      <c r="AC1874" s="2" t="s">
        <v>105</v>
      </c>
      <c r="AD1874" s="2"/>
      <c r="AE1874" s="2" t="str">
        <f t="shared" si="399"/>
        <v>Not Required</v>
      </c>
      <c r="AF1874" s="2" t="s">
        <v>4905</v>
      </c>
    </row>
    <row r="1875" spans="1:32" x14ac:dyDescent="0.3">
      <c r="A1875" s="2" t="s">
        <v>4906</v>
      </c>
      <c r="B1875" s="2">
        <f t="shared" si="389"/>
        <v>1</v>
      </c>
      <c r="C1875" s="12">
        <f t="shared" si="400"/>
        <v>46238.582762743063</v>
      </c>
      <c r="D1875" s="13">
        <v>46238.582762743063</v>
      </c>
      <c r="E1875" s="2" t="s">
        <v>760</v>
      </c>
      <c r="F1875" s="2" t="str">
        <f t="shared" si="390"/>
        <v>Email Available</v>
      </c>
      <c r="G1875" s="2" t="s">
        <v>761</v>
      </c>
      <c r="H1875" s="2" t="s">
        <v>201</v>
      </c>
      <c r="I1875" s="2" t="s">
        <v>191</v>
      </c>
      <c r="J1875" s="2" t="s">
        <v>202</v>
      </c>
      <c r="K1875" s="2">
        <v>1</v>
      </c>
      <c r="L1875" s="2">
        <v>24.99</v>
      </c>
      <c r="M1875" s="19">
        <f t="shared" si="391"/>
        <v>24.99</v>
      </c>
      <c r="N1875" s="2" t="s">
        <v>203</v>
      </c>
      <c r="O1875" s="2" t="str">
        <f t="shared" si="392"/>
        <v>VIP15</v>
      </c>
      <c r="P1875" s="2">
        <v>3.75</v>
      </c>
      <c r="Q1875" s="19">
        <f t="shared" si="393"/>
        <v>3.75</v>
      </c>
      <c r="R1875" s="2" t="str">
        <f t="shared" si="394"/>
        <v>Number</v>
      </c>
      <c r="S1875" s="2">
        <v>7.99</v>
      </c>
      <c r="T1875" s="19">
        <f t="shared" si="395"/>
        <v>7.99</v>
      </c>
      <c r="U1875" s="2">
        <v>29.23</v>
      </c>
      <c r="V1875" s="19">
        <f t="shared" si="396"/>
        <v>29.23</v>
      </c>
      <c r="W1875" s="19">
        <f t="shared" si="397"/>
        <v>29.229999999999997</v>
      </c>
      <c r="X1875" s="19" t="str">
        <f t="shared" si="398"/>
        <v>True</v>
      </c>
      <c r="Y1875" s="19" t="str">
        <f>IF(OR(W1875&lt;'Cleaning Tasks'!$G$18,W1875&gt;'Cleaning Tasks'!$H$18),"Outlier","Normal")</f>
        <v>Normal</v>
      </c>
      <c r="Z1875" s="2" t="s">
        <v>72</v>
      </c>
      <c r="AA1875" s="2" t="s">
        <v>27</v>
      </c>
      <c r="AB1875" s="2" t="s">
        <v>96</v>
      </c>
      <c r="AC1875" s="2" t="s">
        <v>29</v>
      </c>
      <c r="AD1875" s="2" t="s">
        <v>30</v>
      </c>
      <c r="AE1875" s="2" t="str">
        <f t="shared" si="399"/>
        <v>Valid</v>
      </c>
      <c r="AF1875" s="2" t="s">
        <v>3182</v>
      </c>
    </row>
    <row r="1876" spans="1:32" x14ac:dyDescent="0.3">
      <c r="A1876" s="2" t="s">
        <v>4907</v>
      </c>
      <c r="B1876" s="2">
        <f t="shared" si="389"/>
        <v>1</v>
      </c>
      <c r="C1876" s="12">
        <f t="shared" si="400"/>
        <v>46238.579306585649</v>
      </c>
      <c r="D1876" s="13">
        <v>46238.579306585649</v>
      </c>
      <c r="E1876" s="2" t="s">
        <v>710</v>
      </c>
      <c r="F1876" s="2" t="str">
        <f t="shared" si="390"/>
        <v>Email Available</v>
      </c>
      <c r="G1876" s="2" t="s">
        <v>711</v>
      </c>
      <c r="H1876" s="2" t="s">
        <v>146</v>
      </c>
      <c r="I1876" s="2" t="s">
        <v>47</v>
      </c>
      <c r="J1876" s="2" t="s">
        <v>147</v>
      </c>
      <c r="K1876" s="2">
        <v>1</v>
      </c>
      <c r="L1876" s="2">
        <v>34.99</v>
      </c>
      <c r="M1876" s="19">
        <f t="shared" si="391"/>
        <v>34.99</v>
      </c>
      <c r="N1876" s="2" t="s">
        <v>4908</v>
      </c>
      <c r="O1876" s="2" t="str">
        <f t="shared" si="392"/>
        <v>VIP15</v>
      </c>
      <c r="P1876" s="2">
        <v>5.25</v>
      </c>
      <c r="Q1876" s="19">
        <f t="shared" si="393"/>
        <v>5.25</v>
      </c>
      <c r="R1876" s="2" t="str">
        <f t="shared" si="394"/>
        <v>Number</v>
      </c>
      <c r="S1876" s="2">
        <v>5.99</v>
      </c>
      <c r="T1876" s="19">
        <f t="shared" si="395"/>
        <v>5.99</v>
      </c>
      <c r="U1876" s="2" t="s">
        <v>4909</v>
      </c>
      <c r="V1876" s="19">
        <f t="shared" si="396"/>
        <v>35.729999999999997</v>
      </c>
      <c r="W1876" s="19">
        <f t="shared" si="397"/>
        <v>35.730000000000004</v>
      </c>
      <c r="X1876" s="19" t="str">
        <f t="shared" si="398"/>
        <v>True</v>
      </c>
      <c r="Y1876" s="19" t="str">
        <f>IF(OR(W1876&lt;'Cleaning Tasks'!$G$18,W1876&gt;'Cleaning Tasks'!$H$18),"Outlier","Normal")</f>
        <v>Normal</v>
      </c>
      <c r="Z1876" s="2" t="s">
        <v>26</v>
      </c>
      <c r="AA1876" s="2" t="s">
        <v>27</v>
      </c>
      <c r="AB1876" s="2" t="s">
        <v>50</v>
      </c>
      <c r="AC1876" s="2" t="s">
        <v>29</v>
      </c>
      <c r="AD1876" s="2" t="s">
        <v>447</v>
      </c>
      <c r="AE1876" s="2" t="str">
        <f t="shared" si="399"/>
        <v>Valid</v>
      </c>
      <c r="AF1876" s="2" t="s">
        <v>4910</v>
      </c>
    </row>
    <row r="1877" spans="1:32" x14ac:dyDescent="0.3">
      <c r="A1877" s="2" t="s">
        <v>4911</v>
      </c>
      <c r="B1877" s="2">
        <f t="shared" si="389"/>
        <v>1</v>
      </c>
      <c r="C1877" s="12">
        <f t="shared" si="400"/>
        <v>46238.584052534723</v>
      </c>
      <c r="D1877" s="13">
        <v>46238.584052534723</v>
      </c>
      <c r="E1877" s="2" t="s">
        <v>347</v>
      </c>
      <c r="F1877" s="2" t="str">
        <f t="shared" si="390"/>
        <v>Email Available</v>
      </c>
      <c r="G1877" s="2" t="s">
        <v>348</v>
      </c>
      <c r="H1877" s="2" t="s">
        <v>124</v>
      </c>
      <c r="I1877" s="2" t="s">
        <v>79</v>
      </c>
      <c r="J1877" s="2" t="s">
        <v>125</v>
      </c>
      <c r="K1877" s="2">
        <v>1</v>
      </c>
      <c r="L1877" s="2">
        <v>13.99</v>
      </c>
      <c r="M1877" s="19">
        <f t="shared" si="391"/>
        <v>13.99</v>
      </c>
      <c r="N1877" s="2"/>
      <c r="O1877" s="2" t="str">
        <f t="shared" si="392"/>
        <v/>
      </c>
      <c r="P1877" s="2">
        <v>0</v>
      </c>
      <c r="Q1877" s="19">
        <f t="shared" si="393"/>
        <v>0</v>
      </c>
      <c r="R1877" s="2" t="str">
        <f t="shared" si="394"/>
        <v>Number</v>
      </c>
      <c r="S1877" s="2">
        <v>4.99</v>
      </c>
      <c r="T1877" s="19">
        <f t="shared" si="395"/>
        <v>4.99</v>
      </c>
      <c r="U1877" s="2">
        <v>18.98</v>
      </c>
      <c r="V1877" s="19">
        <f t="shared" si="396"/>
        <v>18.98</v>
      </c>
      <c r="W1877" s="19">
        <f t="shared" si="397"/>
        <v>18.98</v>
      </c>
      <c r="X1877" s="19" t="str">
        <f t="shared" si="398"/>
        <v>True</v>
      </c>
      <c r="Y1877" s="19" t="str">
        <f>IF(OR(W1877&lt;'Cleaning Tasks'!$G$18,W1877&gt;'Cleaning Tasks'!$H$18),"Outlier","Normal")</f>
        <v>Normal</v>
      </c>
      <c r="Z1877" s="2" t="s">
        <v>72</v>
      </c>
      <c r="AA1877" s="2" t="s">
        <v>40</v>
      </c>
      <c r="AB1877" s="2" t="s">
        <v>50</v>
      </c>
      <c r="AC1877" s="2" t="s">
        <v>223</v>
      </c>
      <c r="AD1877" s="2"/>
      <c r="AE1877" s="2" t="str">
        <f t="shared" si="399"/>
        <v>Not Required</v>
      </c>
      <c r="AF1877" s="2" t="s">
        <v>4912</v>
      </c>
    </row>
    <row r="1878" spans="1:32" x14ac:dyDescent="0.3">
      <c r="A1878" s="2" t="s">
        <v>4913</v>
      </c>
      <c r="B1878" s="2">
        <f t="shared" si="389"/>
        <v>1</v>
      </c>
      <c r="C1878" s="12">
        <f t="shared" si="400"/>
        <v>46238.584290914347</v>
      </c>
      <c r="D1878" s="13">
        <v>46238.584290914347</v>
      </c>
      <c r="E1878" s="2" t="s">
        <v>4914</v>
      </c>
      <c r="F1878" s="2" t="str">
        <f t="shared" si="390"/>
        <v>Email Available</v>
      </c>
      <c r="G1878" s="2" t="s">
        <v>4915</v>
      </c>
      <c r="H1878" s="2" t="s">
        <v>63</v>
      </c>
      <c r="I1878" s="2" t="s">
        <v>47</v>
      </c>
      <c r="J1878" s="2" t="s">
        <v>64</v>
      </c>
      <c r="K1878" s="2">
        <v>1</v>
      </c>
      <c r="L1878" s="2">
        <v>14.99</v>
      </c>
      <c r="M1878" s="19">
        <f t="shared" si="391"/>
        <v>14.99</v>
      </c>
      <c r="N1878" s="2" t="s">
        <v>38</v>
      </c>
      <c r="O1878" s="2" t="str">
        <f t="shared" si="392"/>
        <v>FREESHIP</v>
      </c>
      <c r="P1878" s="2">
        <v>0</v>
      </c>
      <c r="Q1878" s="19">
        <f t="shared" si="393"/>
        <v>0</v>
      </c>
      <c r="R1878" s="2" t="str">
        <f t="shared" si="394"/>
        <v>Number</v>
      </c>
      <c r="S1878" s="2">
        <v>0</v>
      </c>
      <c r="T1878" s="19">
        <f t="shared" si="395"/>
        <v>0</v>
      </c>
      <c r="U1878" s="2">
        <v>14.99</v>
      </c>
      <c r="V1878" s="19">
        <f t="shared" si="396"/>
        <v>14.99</v>
      </c>
      <c r="W1878" s="19">
        <f t="shared" si="397"/>
        <v>14.99</v>
      </c>
      <c r="X1878" s="19" t="str">
        <f t="shared" si="398"/>
        <v>True</v>
      </c>
      <c r="Y1878" s="19" t="str">
        <f>IF(OR(W1878&lt;'Cleaning Tasks'!$G$18,W1878&gt;'Cleaning Tasks'!$H$18),"Outlier","Normal")</f>
        <v>Normal</v>
      </c>
      <c r="Z1878" s="2" t="s">
        <v>49</v>
      </c>
      <c r="AA1878" s="2" t="s">
        <v>27</v>
      </c>
      <c r="AB1878" s="2" t="s">
        <v>50</v>
      </c>
      <c r="AC1878" s="2" t="s">
        <v>29</v>
      </c>
      <c r="AD1878" s="2" t="s">
        <v>73</v>
      </c>
      <c r="AE1878" s="2" t="str">
        <f t="shared" si="399"/>
        <v>Valid</v>
      </c>
      <c r="AF1878" s="2" t="s">
        <v>273</v>
      </c>
    </row>
    <row r="1879" spans="1:32" x14ac:dyDescent="0.3">
      <c r="A1879" s="2" t="s">
        <v>4916</v>
      </c>
      <c r="B1879" s="2">
        <f t="shared" si="389"/>
        <v>1</v>
      </c>
      <c r="C1879" s="12">
        <f t="shared" si="400"/>
        <v>46238.589101909733</v>
      </c>
      <c r="D1879" s="13">
        <v>46238.589101909733</v>
      </c>
      <c r="E1879" s="2" t="s">
        <v>545</v>
      </c>
      <c r="F1879" s="2" t="str">
        <f t="shared" si="390"/>
        <v>Email Available</v>
      </c>
      <c r="G1879" s="2" t="s">
        <v>546</v>
      </c>
      <c r="H1879" s="2" t="s">
        <v>63</v>
      </c>
      <c r="I1879" s="2" t="s">
        <v>47</v>
      </c>
      <c r="J1879" s="2" t="s">
        <v>446</v>
      </c>
      <c r="K1879" s="2">
        <v>2</v>
      </c>
      <c r="L1879" s="2">
        <v>14.99</v>
      </c>
      <c r="M1879" s="19">
        <f t="shared" si="391"/>
        <v>14.99</v>
      </c>
      <c r="N1879" s="2"/>
      <c r="O1879" s="2" t="str">
        <f t="shared" si="392"/>
        <v/>
      </c>
      <c r="P1879" s="2">
        <v>0</v>
      </c>
      <c r="Q1879" s="19">
        <f t="shared" si="393"/>
        <v>0</v>
      </c>
      <c r="R1879" s="2" t="str">
        <f t="shared" si="394"/>
        <v>Number</v>
      </c>
      <c r="S1879" s="2">
        <v>4.99</v>
      </c>
      <c r="T1879" s="19">
        <f t="shared" si="395"/>
        <v>4.99</v>
      </c>
      <c r="U1879" s="2">
        <v>34.97</v>
      </c>
      <c r="V1879" s="19">
        <f t="shared" si="396"/>
        <v>34.97</v>
      </c>
      <c r="W1879" s="19">
        <f t="shared" si="397"/>
        <v>34.97</v>
      </c>
      <c r="X1879" s="19" t="str">
        <f t="shared" si="398"/>
        <v>True</v>
      </c>
      <c r="Y1879" s="19" t="str">
        <f>IF(OR(W1879&lt;'Cleaning Tasks'!$G$18,W1879&gt;'Cleaning Tasks'!$H$18),"Outlier","Normal")</f>
        <v>Normal</v>
      </c>
      <c r="Z1879" s="2" t="s">
        <v>26</v>
      </c>
      <c r="AA1879" s="2" t="s">
        <v>27</v>
      </c>
      <c r="AB1879" s="2" t="s">
        <v>50</v>
      </c>
      <c r="AC1879" s="2" t="s">
        <v>223</v>
      </c>
      <c r="AD1879" s="2"/>
      <c r="AE1879" s="2" t="str">
        <f t="shared" si="399"/>
        <v>Not Required</v>
      </c>
      <c r="AF1879" s="2" t="s">
        <v>4917</v>
      </c>
    </row>
    <row r="1880" spans="1:32" x14ac:dyDescent="0.3">
      <c r="A1880" s="2" t="s">
        <v>4918</v>
      </c>
      <c r="B1880" s="2">
        <f t="shared" si="389"/>
        <v>1</v>
      </c>
      <c r="C1880" s="12">
        <f t="shared" si="400"/>
        <v>46238.585174293978</v>
      </c>
      <c r="D1880" s="13">
        <v>46238.585174293978</v>
      </c>
      <c r="E1880" s="2" t="s">
        <v>4289</v>
      </c>
      <c r="F1880" s="2" t="str">
        <f t="shared" si="390"/>
        <v>Email Available</v>
      </c>
      <c r="G1880" s="2" t="s">
        <v>4290</v>
      </c>
      <c r="H1880" s="2" t="s">
        <v>201</v>
      </c>
      <c r="I1880" s="2" t="s">
        <v>191</v>
      </c>
      <c r="J1880" s="2" t="s">
        <v>202</v>
      </c>
      <c r="K1880" s="2">
        <v>1</v>
      </c>
      <c r="L1880" s="2">
        <v>24.99</v>
      </c>
      <c r="M1880" s="19">
        <f t="shared" si="391"/>
        <v>24.99</v>
      </c>
      <c r="N1880" s="2" t="s">
        <v>203</v>
      </c>
      <c r="O1880" s="2" t="str">
        <f t="shared" si="392"/>
        <v>VIP15</v>
      </c>
      <c r="P1880" s="2">
        <v>3.75</v>
      </c>
      <c r="Q1880" s="19">
        <f t="shared" si="393"/>
        <v>3.75</v>
      </c>
      <c r="R1880" s="2" t="str">
        <f t="shared" si="394"/>
        <v>Number</v>
      </c>
      <c r="S1880" s="2">
        <v>7.99</v>
      </c>
      <c r="T1880" s="19">
        <f t="shared" si="395"/>
        <v>7.99</v>
      </c>
      <c r="U1880" s="2">
        <v>29.23</v>
      </c>
      <c r="V1880" s="19">
        <f t="shared" si="396"/>
        <v>29.23</v>
      </c>
      <c r="W1880" s="19">
        <f t="shared" si="397"/>
        <v>29.229999999999997</v>
      </c>
      <c r="X1880" s="19" t="str">
        <f t="shared" si="398"/>
        <v>True</v>
      </c>
      <c r="Y1880" s="19" t="str">
        <f>IF(OR(W1880&lt;'Cleaning Tasks'!$G$18,W1880&gt;'Cleaning Tasks'!$H$18),"Outlier","Normal")</f>
        <v>Normal</v>
      </c>
      <c r="Z1880" s="2" t="s">
        <v>26</v>
      </c>
      <c r="AA1880" s="2" t="s">
        <v>88</v>
      </c>
      <c r="AB1880" s="2" t="s">
        <v>41</v>
      </c>
      <c r="AC1880" s="2" t="s">
        <v>29</v>
      </c>
      <c r="AD1880" s="2" t="s">
        <v>447</v>
      </c>
      <c r="AE1880" s="2" t="str">
        <f t="shared" si="399"/>
        <v>Valid</v>
      </c>
      <c r="AF1880" s="2" t="s">
        <v>4919</v>
      </c>
    </row>
    <row r="1881" spans="1:32" x14ac:dyDescent="0.3">
      <c r="A1881" s="2" t="s">
        <v>4920</v>
      </c>
      <c r="B1881" s="2">
        <f t="shared" si="389"/>
        <v>1</v>
      </c>
      <c r="C1881" s="12">
        <f t="shared" si="400"/>
        <v>46238.58418027778</v>
      </c>
      <c r="D1881" s="13">
        <v>46238.58418027778</v>
      </c>
      <c r="E1881" s="2" t="s">
        <v>4921</v>
      </c>
      <c r="F1881" s="2" t="str">
        <f t="shared" si="390"/>
        <v>Email Available</v>
      </c>
      <c r="G1881" s="2" t="s">
        <v>4922</v>
      </c>
      <c r="H1881" s="2" t="s">
        <v>361</v>
      </c>
      <c r="I1881" s="2" t="s">
        <v>86</v>
      </c>
      <c r="J1881" s="2" t="s">
        <v>362</v>
      </c>
      <c r="K1881" s="2">
        <v>1</v>
      </c>
      <c r="L1881" s="2">
        <v>54.99</v>
      </c>
      <c r="M1881" s="19">
        <f t="shared" si="391"/>
        <v>54.99</v>
      </c>
      <c r="N1881" s="2" t="s">
        <v>65</v>
      </c>
      <c r="O1881" s="2" t="str">
        <f t="shared" si="392"/>
        <v>WELCOME10</v>
      </c>
      <c r="P1881" s="2">
        <v>5.5</v>
      </c>
      <c r="Q1881" s="19">
        <f t="shared" si="393"/>
        <v>5.5</v>
      </c>
      <c r="R1881" s="2" t="str">
        <f t="shared" si="394"/>
        <v>Number</v>
      </c>
      <c r="S1881" s="2">
        <v>5.99</v>
      </c>
      <c r="T1881" s="19">
        <f t="shared" si="395"/>
        <v>5.99</v>
      </c>
      <c r="U1881" s="2">
        <v>55.48</v>
      </c>
      <c r="V1881" s="19">
        <f t="shared" si="396"/>
        <v>55.48</v>
      </c>
      <c r="W1881" s="19">
        <f t="shared" si="397"/>
        <v>55.480000000000004</v>
      </c>
      <c r="X1881" s="19" t="str">
        <f t="shared" si="398"/>
        <v>True</v>
      </c>
      <c r="Y1881" s="19" t="str">
        <f>IF(OR(W1881&lt;'Cleaning Tasks'!$G$18,W1881&gt;'Cleaning Tasks'!$H$18),"Outlier","Normal")</f>
        <v>Normal</v>
      </c>
      <c r="Z1881" s="2" t="s">
        <v>49</v>
      </c>
      <c r="AA1881" s="2" t="s">
        <v>27</v>
      </c>
      <c r="AB1881" s="2" t="s">
        <v>28</v>
      </c>
      <c r="AC1881" s="2" t="s">
        <v>29</v>
      </c>
      <c r="AD1881" s="22" t="s">
        <v>140</v>
      </c>
      <c r="AE1881" s="2" t="str">
        <f t="shared" si="399"/>
        <v>Valid</v>
      </c>
      <c r="AF1881" s="2" t="s">
        <v>4923</v>
      </c>
    </row>
    <row r="1882" spans="1:32" x14ac:dyDescent="0.3">
      <c r="A1882" s="2" t="s">
        <v>4924</v>
      </c>
      <c r="B1882" s="2">
        <f t="shared" si="389"/>
        <v>1</v>
      </c>
      <c r="C1882" s="12">
        <f t="shared" si="400"/>
        <v>46238.584466504632</v>
      </c>
      <c r="D1882" s="13">
        <v>46238.584466504632</v>
      </c>
      <c r="E1882" s="2" t="s">
        <v>561</v>
      </c>
      <c r="F1882" s="2" t="str">
        <f t="shared" si="390"/>
        <v>Email Available</v>
      </c>
      <c r="G1882" s="2" t="s">
        <v>562</v>
      </c>
      <c r="H1882" s="2" t="s">
        <v>146</v>
      </c>
      <c r="I1882" s="2" t="s">
        <v>47</v>
      </c>
      <c r="J1882" s="2" t="s">
        <v>147</v>
      </c>
      <c r="K1882" s="2">
        <v>1</v>
      </c>
      <c r="L1882" s="2">
        <v>34.99</v>
      </c>
      <c r="M1882" s="19">
        <f t="shared" si="391"/>
        <v>34.99</v>
      </c>
      <c r="N1882" s="2"/>
      <c r="O1882" s="2" t="str">
        <f t="shared" si="392"/>
        <v/>
      </c>
      <c r="P1882" s="2">
        <v>0</v>
      </c>
      <c r="Q1882" s="19">
        <f t="shared" si="393"/>
        <v>0</v>
      </c>
      <c r="R1882" s="2" t="str">
        <f t="shared" si="394"/>
        <v>Number</v>
      </c>
      <c r="S1882" s="2">
        <v>7.99</v>
      </c>
      <c r="T1882" s="19">
        <f t="shared" si="395"/>
        <v>7.99</v>
      </c>
      <c r="U1882" s="2">
        <v>42.98</v>
      </c>
      <c r="V1882" s="19">
        <f t="shared" si="396"/>
        <v>42.98</v>
      </c>
      <c r="W1882" s="19">
        <f t="shared" si="397"/>
        <v>42.980000000000004</v>
      </c>
      <c r="X1882" s="19" t="str">
        <f t="shared" si="398"/>
        <v>True</v>
      </c>
      <c r="Y1882" s="19" t="str">
        <f>IF(OR(W1882&lt;'Cleaning Tasks'!$G$18,W1882&gt;'Cleaning Tasks'!$H$18),"Outlier","Normal")</f>
        <v>Normal</v>
      </c>
      <c r="Z1882" s="2" t="s">
        <v>49</v>
      </c>
      <c r="AA1882" s="2" t="s">
        <v>40</v>
      </c>
      <c r="AB1882" s="2" t="s">
        <v>28</v>
      </c>
      <c r="AC1882" s="2" t="s">
        <v>331</v>
      </c>
      <c r="AD1882" s="2"/>
      <c r="AE1882" s="2" t="str">
        <f t="shared" si="399"/>
        <v>Not Required</v>
      </c>
      <c r="AF1882" s="2" t="s">
        <v>4925</v>
      </c>
    </row>
    <row r="1883" spans="1:32" x14ac:dyDescent="0.3">
      <c r="A1883" s="2" t="s">
        <v>4926</v>
      </c>
      <c r="B1883" s="2">
        <f t="shared" si="389"/>
        <v>1</v>
      </c>
      <c r="C1883" s="12">
        <f t="shared" si="400"/>
        <v>46238.583481678237</v>
      </c>
      <c r="D1883" s="13">
        <v>46238.583481678237</v>
      </c>
      <c r="E1883" s="2" t="s">
        <v>725</v>
      </c>
      <c r="F1883" s="2" t="str">
        <f t="shared" si="390"/>
        <v>Missing Email</v>
      </c>
      <c r="G1883" s="2"/>
      <c r="H1883" s="2" t="s">
        <v>109</v>
      </c>
      <c r="I1883" s="2" t="s">
        <v>79</v>
      </c>
      <c r="J1883" s="2" t="s">
        <v>110</v>
      </c>
      <c r="K1883" s="2">
        <v>1</v>
      </c>
      <c r="L1883" s="2">
        <v>22.99</v>
      </c>
      <c r="M1883" s="19">
        <f t="shared" si="391"/>
        <v>22.99</v>
      </c>
      <c r="N1883" s="2"/>
      <c r="O1883" s="2" t="str">
        <f t="shared" si="392"/>
        <v/>
      </c>
      <c r="P1883" s="2">
        <v>0</v>
      </c>
      <c r="Q1883" s="19">
        <f t="shared" si="393"/>
        <v>0</v>
      </c>
      <c r="R1883" s="2" t="str">
        <f t="shared" si="394"/>
        <v>Number</v>
      </c>
      <c r="S1883" s="2">
        <v>7.99</v>
      </c>
      <c r="T1883" s="19">
        <f t="shared" si="395"/>
        <v>7.99</v>
      </c>
      <c r="U1883" s="2">
        <v>30.98</v>
      </c>
      <c r="V1883" s="19">
        <f t="shared" si="396"/>
        <v>30.98</v>
      </c>
      <c r="W1883" s="19">
        <f t="shared" si="397"/>
        <v>30.979999999999997</v>
      </c>
      <c r="X1883" s="19" t="str">
        <f t="shared" si="398"/>
        <v>True</v>
      </c>
      <c r="Y1883" s="19" t="str">
        <f>IF(OR(W1883&lt;'Cleaning Tasks'!$G$18,W1883&gt;'Cleaning Tasks'!$H$18),"Outlier","Normal")</f>
        <v>Normal</v>
      </c>
      <c r="Z1883" s="2" t="s">
        <v>66</v>
      </c>
      <c r="AA1883" s="2" t="s">
        <v>111</v>
      </c>
      <c r="AB1883" s="2" t="s">
        <v>28</v>
      </c>
      <c r="AC1883" s="2" t="s">
        <v>105</v>
      </c>
      <c r="AD1883" s="2"/>
      <c r="AE1883" s="2" t="str">
        <f t="shared" si="399"/>
        <v>Not Required</v>
      </c>
      <c r="AF1883" s="2" t="s">
        <v>4927</v>
      </c>
    </row>
    <row r="1884" spans="1:32" x14ac:dyDescent="0.3">
      <c r="A1884" s="2" t="s">
        <v>4928</v>
      </c>
      <c r="B1884" s="2">
        <f t="shared" si="389"/>
        <v>1</v>
      </c>
      <c r="C1884" s="12">
        <f t="shared" si="400"/>
        <v>46238</v>
      </c>
      <c r="D1884" s="13" t="s">
        <v>143</v>
      </c>
      <c r="E1884" s="2" t="s">
        <v>213</v>
      </c>
      <c r="F1884" s="2" t="str">
        <f t="shared" si="390"/>
        <v>Missing Email</v>
      </c>
      <c r="G1884" s="2"/>
      <c r="H1884" s="2" t="s">
        <v>124</v>
      </c>
      <c r="I1884" s="2" t="s">
        <v>79</v>
      </c>
      <c r="J1884" s="2" t="s">
        <v>125</v>
      </c>
      <c r="K1884" s="2">
        <v>3</v>
      </c>
      <c r="L1884" s="2">
        <v>13.99</v>
      </c>
      <c r="M1884" s="19">
        <f t="shared" si="391"/>
        <v>13.99</v>
      </c>
      <c r="N1884" s="2" t="s">
        <v>24</v>
      </c>
      <c r="O1884" s="2" t="str">
        <f t="shared" si="392"/>
        <v>SAVE20</v>
      </c>
      <c r="P1884" s="2">
        <v>8.39</v>
      </c>
      <c r="Q1884" s="19">
        <f t="shared" si="393"/>
        <v>8.39</v>
      </c>
      <c r="R1884" s="2" t="str">
        <f t="shared" si="394"/>
        <v>Number</v>
      </c>
      <c r="S1884" s="2">
        <v>7.99</v>
      </c>
      <c r="T1884" s="19">
        <f t="shared" si="395"/>
        <v>7.99</v>
      </c>
      <c r="U1884" s="2">
        <v>41.57</v>
      </c>
      <c r="V1884" s="19">
        <f t="shared" si="396"/>
        <v>41.57</v>
      </c>
      <c r="W1884" s="19">
        <f t="shared" si="397"/>
        <v>41.57</v>
      </c>
      <c r="X1884" s="19" t="str">
        <f t="shared" si="398"/>
        <v>True</v>
      </c>
      <c r="Y1884" s="19" t="str">
        <f>IF(OR(W1884&lt;'Cleaning Tasks'!$G$18,W1884&gt;'Cleaning Tasks'!$H$18),"Outlier","Normal")</f>
        <v>Normal</v>
      </c>
      <c r="Z1884" s="2" t="s">
        <v>66</v>
      </c>
      <c r="AA1884" s="2" t="s">
        <v>27</v>
      </c>
      <c r="AB1884" s="2" t="s">
        <v>96</v>
      </c>
      <c r="AC1884" s="2" t="s">
        <v>29</v>
      </c>
      <c r="AD1884" s="2" t="s">
        <v>30</v>
      </c>
      <c r="AE1884" s="2" t="str">
        <f t="shared" si="399"/>
        <v>Valid</v>
      </c>
      <c r="AF1884" s="2" t="s">
        <v>4929</v>
      </c>
    </row>
    <row r="1885" spans="1:32" x14ac:dyDescent="0.3">
      <c r="A1885" s="2" t="s">
        <v>4930</v>
      </c>
      <c r="B1885" s="2">
        <f t="shared" si="389"/>
        <v>1</v>
      </c>
      <c r="C1885" s="12">
        <f t="shared" si="400"/>
        <v>46238.586240983786</v>
      </c>
      <c r="D1885" s="13">
        <v>46238.586240983786</v>
      </c>
      <c r="E1885" s="2" t="s">
        <v>4931</v>
      </c>
      <c r="F1885" s="2" t="str">
        <f t="shared" si="390"/>
        <v>Email Available</v>
      </c>
      <c r="G1885" s="2" t="s">
        <v>4046</v>
      </c>
      <c r="H1885" s="2" t="s">
        <v>146</v>
      </c>
      <c r="I1885" s="2" t="s">
        <v>47</v>
      </c>
      <c r="J1885" s="2" t="s">
        <v>147</v>
      </c>
      <c r="K1885" s="2">
        <v>1</v>
      </c>
      <c r="L1885" s="2">
        <v>34.99</v>
      </c>
      <c r="M1885" s="19">
        <f t="shared" si="391"/>
        <v>34.99</v>
      </c>
      <c r="N1885" s="2"/>
      <c r="O1885" s="2" t="str">
        <f t="shared" si="392"/>
        <v/>
      </c>
      <c r="P1885" s="2">
        <v>0</v>
      </c>
      <c r="Q1885" s="19">
        <f t="shared" si="393"/>
        <v>0</v>
      </c>
      <c r="R1885" s="2" t="str">
        <f t="shared" si="394"/>
        <v>Number</v>
      </c>
      <c r="S1885" s="2">
        <v>5.99</v>
      </c>
      <c r="T1885" s="19">
        <f t="shared" si="395"/>
        <v>5.99</v>
      </c>
      <c r="U1885" s="2">
        <v>0</v>
      </c>
      <c r="V1885" s="19">
        <f t="shared" si="396"/>
        <v>0</v>
      </c>
      <c r="W1885" s="19">
        <f t="shared" si="397"/>
        <v>40.980000000000004</v>
      </c>
      <c r="X1885" s="19" t="str">
        <f t="shared" si="398"/>
        <v>False</v>
      </c>
      <c r="Y1885" s="19" t="str">
        <f>IF(OR(W1885&lt;'Cleaning Tasks'!$G$18,W1885&gt;'Cleaning Tasks'!$H$18),"Outlier","Normal")</f>
        <v>Normal</v>
      </c>
      <c r="Z1885" s="2" t="s">
        <v>26</v>
      </c>
      <c r="AA1885" s="2" t="s">
        <v>27</v>
      </c>
      <c r="AB1885" s="2" t="s">
        <v>28</v>
      </c>
      <c r="AC1885" s="2" t="s">
        <v>29</v>
      </c>
      <c r="AD1885" s="2" t="s">
        <v>341</v>
      </c>
      <c r="AE1885" s="2" t="str">
        <f t="shared" si="399"/>
        <v>Valid</v>
      </c>
      <c r="AF1885" s="2" t="s">
        <v>4932</v>
      </c>
    </row>
    <row r="1886" spans="1:32" x14ac:dyDescent="0.3">
      <c r="A1886" s="2" t="s">
        <v>4933</v>
      </c>
      <c r="B1886" s="2">
        <f t="shared" si="389"/>
        <v>1</v>
      </c>
      <c r="C1886" s="12">
        <f t="shared" si="400"/>
        <v>46238.586388483804</v>
      </c>
      <c r="D1886" s="13">
        <v>46238.586388483804</v>
      </c>
      <c r="E1886" s="2" t="s">
        <v>4934</v>
      </c>
      <c r="F1886" s="2" t="str">
        <f t="shared" si="390"/>
        <v>Email Available</v>
      </c>
      <c r="G1886" s="2" t="s">
        <v>4935</v>
      </c>
      <c r="H1886" s="2" t="s">
        <v>56</v>
      </c>
      <c r="I1886" s="2" t="s">
        <v>22</v>
      </c>
      <c r="J1886" s="2" t="s">
        <v>57</v>
      </c>
      <c r="K1886" s="2">
        <v>1</v>
      </c>
      <c r="L1886" s="2">
        <v>9.99</v>
      </c>
      <c r="M1886" s="19">
        <f t="shared" si="391"/>
        <v>9.99</v>
      </c>
      <c r="N1886" s="2"/>
      <c r="O1886" s="2" t="str">
        <f t="shared" si="392"/>
        <v/>
      </c>
      <c r="P1886" s="2">
        <v>0</v>
      </c>
      <c r="Q1886" s="19">
        <f t="shared" si="393"/>
        <v>0</v>
      </c>
      <c r="R1886" s="2" t="str">
        <f t="shared" si="394"/>
        <v>Number</v>
      </c>
      <c r="S1886" s="2">
        <v>4.99</v>
      </c>
      <c r="T1886" s="19">
        <f t="shared" si="395"/>
        <v>4.99</v>
      </c>
      <c r="U1886" s="2">
        <v>14.98</v>
      </c>
      <c r="V1886" s="19">
        <f t="shared" si="396"/>
        <v>14.98</v>
      </c>
      <c r="W1886" s="19">
        <f t="shared" si="397"/>
        <v>14.98</v>
      </c>
      <c r="X1886" s="19" t="str">
        <f t="shared" si="398"/>
        <v>True</v>
      </c>
      <c r="Y1886" s="19" t="str">
        <f>IF(OR(W1886&lt;'Cleaning Tasks'!$G$18,W1886&gt;'Cleaning Tasks'!$H$18),"Outlier","Normal")</f>
        <v>Normal</v>
      </c>
      <c r="Z1886" s="2" t="s">
        <v>26</v>
      </c>
      <c r="AA1886" s="2" t="s">
        <v>27</v>
      </c>
      <c r="AB1886" s="2" t="s">
        <v>50</v>
      </c>
      <c r="AC1886" s="2" t="s">
        <v>223</v>
      </c>
      <c r="AD1886" s="2"/>
      <c r="AE1886" s="2" t="str">
        <f t="shared" si="399"/>
        <v>Not Required</v>
      </c>
      <c r="AF1886" s="2" t="s">
        <v>4936</v>
      </c>
    </row>
    <row r="1887" spans="1:32" x14ac:dyDescent="0.3">
      <c r="A1887" s="2" t="s">
        <v>4937</v>
      </c>
      <c r="B1887" s="2">
        <f t="shared" si="389"/>
        <v>1</v>
      </c>
      <c r="C1887" s="12">
        <f t="shared" si="400"/>
        <v>46238.583565879628</v>
      </c>
      <c r="D1887" s="13">
        <v>46238.583565879628</v>
      </c>
      <c r="E1887" s="2" t="s">
        <v>366</v>
      </c>
      <c r="F1887" s="2" t="str">
        <f t="shared" si="390"/>
        <v>Email Available</v>
      </c>
      <c r="G1887" s="2" t="s">
        <v>367</v>
      </c>
      <c r="H1887" s="2" t="s">
        <v>361</v>
      </c>
      <c r="I1887" s="2" t="s">
        <v>86</v>
      </c>
      <c r="J1887" s="2" t="s">
        <v>362</v>
      </c>
      <c r="K1887" s="2">
        <v>1</v>
      </c>
      <c r="L1887" s="2" t="s">
        <v>363</v>
      </c>
      <c r="M1887" s="19">
        <f t="shared" si="391"/>
        <v>54.99</v>
      </c>
      <c r="N1887" s="2"/>
      <c r="O1887" s="2" t="str">
        <f t="shared" si="392"/>
        <v/>
      </c>
      <c r="P1887" s="2">
        <v>0</v>
      </c>
      <c r="Q1887" s="19">
        <f t="shared" si="393"/>
        <v>0</v>
      </c>
      <c r="R1887" s="2" t="str">
        <f t="shared" si="394"/>
        <v>Number</v>
      </c>
      <c r="S1887" s="2">
        <v>5.99</v>
      </c>
      <c r="T1887" s="19">
        <f t="shared" si="395"/>
        <v>5.99</v>
      </c>
      <c r="U1887" s="2">
        <v>60.98</v>
      </c>
      <c r="V1887" s="19">
        <f t="shared" si="396"/>
        <v>60.98</v>
      </c>
      <c r="W1887" s="19">
        <f t="shared" si="397"/>
        <v>60.980000000000004</v>
      </c>
      <c r="X1887" s="19" t="str">
        <f t="shared" si="398"/>
        <v>True</v>
      </c>
      <c r="Y1887" s="19" t="str">
        <f>IF(OR(W1887&lt;'Cleaning Tasks'!$G$18,W1887&gt;'Cleaning Tasks'!$H$18),"Outlier","Normal")</f>
        <v>Normal</v>
      </c>
      <c r="Z1887" s="2" t="s">
        <v>72</v>
      </c>
      <c r="AA1887" s="2" t="s">
        <v>27</v>
      </c>
      <c r="AB1887" s="2" t="s">
        <v>41</v>
      </c>
      <c r="AC1887" s="2" t="s">
        <v>331</v>
      </c>
      <c r="AD1887" s="2"/>
      <c r="AE1887" s="2" t="str">
        <f t="shared" si="399"/>
        <v>Not Required</v>
      </c>
      <c r="AF1887" s="2" t="s">
        <v>4938</v>
      </c>
    </row>
    <row r="1888" spans="1:32" x14ac:dyDescent="0.3">
      <c r="A1888" s="2" t="s">
        <v>4939</v>
      </c>
      <c r="B1888" s="2">
        <f t="shared" si="389"/>
        <v>1</v>
      </c>
      <c r="C1888" s="12">
        <f t="shared" si="400"/>
        <v>46238.588344340278</v>
      </c>
      <c r="D1888" s="13">
        <v>46238.588344340278</v>
      </c>
      <c r="E1888" s="2" t="s">
        <v>1439</v>
      </c>
      <c r="F1888" s="2" t="str">
        <f t="shared" si="390"/>
        <v>Email Available</v>
      </c>
      <c r="G1888" s="2" t="s">
        <v>1440</v>
      </c>
      <c r="H1888" s="2" t="s">
        <v>56</v>
      </c>
      <c r="I1888" s="2" t="s">
        <v>22</v>
      </c>
      <c r="J1888" s="2" t="s">
        <v>57</v>
      </c>
      <c r="K1888" s="2">
        <v>2</v>
      </c>
      <c r="L1888" s="2">
        <v>9.99</v>
      </c>
      <c r="M1888" s="19">
        <f t="shared" si="391"/>
        <v>9.99</v>
      </c>
      <c r="N1888" s="2"/>
      <c r="O1888" s="2" t="str">
        <f t="shared" si="392"/>
        <v/>
      </c>
      <c r="P1888" s="2">
        <v>0</v>
      </c>
      <c r="Q1888" s="19">
        <f t="shared" si="393"/>
        <v>0</v>
      </c>
      <c r="R1888" s="2" t="str">
        <f t="shared" si="394"/>
        <v>Number</v>
      </c>
      <c r="S1888" s="2">
        <v>7.99</v>
      </c>
      <c r="T1888" s="19">
        <f t="shared" si="395"/>
        <v>7.99</v>
      </c>
      <c r="U1888" s="2">
        <v>27.97</v>
      </c>
      <c r="V1888" s="19">
        <f t="shared" si="396"/>
        <v>27.97</v>
      </c>
      <c r="W1888" s="19">
        <f t="shared" si="397"/>
        <v>27.97</v>
      </c>
      <c r="X1888" s="19" t="str">
        <f t="shared" si="398"/>
        <v>True</v>
      </c>
      <c r="Y1888" s="19" t="str">
        <f>IF(OR(W1888&lt;'Cleaning Tasks'!$G$18,W1888&gt;'Cleaning Tasks'!$H$18),"Outlier","Normal")</f>
        <v>Normal</v>
      </c>
      <c r="Z1888" s="2" t="s">
        <v>72</v>
      </c>
      <c r="AA1888" s="2" t="s">
        <v>40</v>
      </c>
      <c r="AB1888" s="2" t="s">
        <v>96</v>
      </c>
      <c r="AC1888" s="2" t="s">
        <v>29</v>
      </c>
      <c r="AD1888" s="2" t="s">
        <v>58</v>
      </c>
      <c r="AE1888" s="2" t="str">
        <f t="shared" si="399"/>
        <v>Valid</v>
      </c>
      <c r="AF1888" s="2" t="s">
        <v>4940</v>
      </c>
    </row>
    <row r="1889" spans="1:32" x14ac:dyDescent="0.3">
      <c r="A1889" s="2" t="s">
        <v>4941</v>
      </c>
      <c r="B1889" s="2">
        <f t="shared" si="389"/>
        <v>1</v>
      </c>
      <c r="C1889" s="12">
        <f t="shared" si="400"/>
        <v>46238.583205509261</v>
      </c>
      <c r="D1889" s="13">
        <v>46238.583205509261</v>
      </c>
      <c r="E1889" s="2" t="s">
        <v>128</v>
      </c>
      <c r="F1889" s="2" t="str">
        <f t="shared" si="390"/>
        <v>Email Available</v>
      </c>
      <c r="G1889" s="2" t="s">
        <v>129</v>
      </c>
      <c r="H1889" s="2" t="s">
        <v>102</v>
      </c>
      <c r="I1889" s="2" t="s">
        <v>103</v>
      </c>
      <c r="J1889" s="2" t="s">
        <v>104</v>
      </c>
      <c r="K1889" s="2">
        <v>2</v>
      </c>
      <c r="L1889" s="2">
        <v>19.989999999999998</v>
      </c>
      <c r="M1889" s="19">
        <f t="shared" si="391"/>
        <v>19.989999999999998</v>
      </c>
      <c r="N1889" s="2"/>
      <c r="O1889" s="2" t="str">
        <f t="shared" si="392"/>
        <v/>
      </c>
      <c r="P1889" s="2">
        <v>0</v>
      </c>
      <c r="Q1889" s="19">
        <f t="shared" si="393"/>
        <v>0</v>
      </c>
      <c r="R1889" s="2" t="str">
        <f t="shared" si="394"/>
        <v>Number</v>
      </c>
      <c r="S1889" s="2">
        <v>7.99</v>
      </c>
      <c r="T1889" s="19">
        <f t="shared" si="395"/>
        <v>7.99</v>
      </c>
      <c r="U1889" s="2">
        <v>47.97</v>
      </c>
      <c r="V1889" s="19">
        <f t="shared" si="396"/>
        <v>47.97</v>
      </c>
      <c r="W1889" s="19">
        <f t="shared" si="397"/>
        <v>47.97</v>
      </c>
      <c r="X1889" s="19" t="str">
        <f t="shared" si="398"/>
        <v>True</v>
      </c>
      <c r="Y1889" s="19" t="str">
        <f>IF(OR(W1889&lt;'Cleaning Tasks'!$G$18,W1889&gt;'Cleaning Tasks'!$H$18),"Outlier","Normal")</f>
        <v>Normal</v>
      </c>
      <c r="Z1889" s="2" t="s">
        <v>26</v>
      </c>
      <c r="AA1889" s="2" t="s">
        <v>27</v>
      </c>
      <c r="AB1889" s="2" t="s">
        <v>28</v>
      </c>
      <c r="AC1889" s="2" t="s">
        <v>29</v>
      </c>
      <c r="AD1889" s="2" t="s">
        <v>447</v>
      </c>
      <c r="AE1889" s="2" t="str">
        <f t="shared" si="399"/>
        <v>Valid</v>
      </c>
      <c r="AF1889" s="2" t="s">
        <v>4942</v>
      </c>
    </row>
    <row r="1890" spans="1:32" x14ac:dyDescent="0.3">
      <c r="A1890" s="2" t="s">
        <v>4943</v>
      </c>
      <c r="B1890" s="2">
        <f t="shared" si="389"/>
        <v>1</v>
      </c>
      <c r="C1890" s="12">
        <f t="shared" si="400"/>
        <v>46238.587868148148</v>
      </c>
      <c r="D1890" s="13">
        <v>46238.587868148148</v>
      </c>
      <c r="E1890" s="2" t="s">
        <v>494</v>
      </c>
      <c r="F1890" s="2" t="str">
        <f t="shared" si="390"/>
        <v>Email Available</v>
      </c>
      <c r="G1890" s="2" t="s">
        <v>495</v>
      </c>
      <c r="H1890" s="2" t="s">
        <v>63</v>
      </c>
      <c r="I1890" s="2" t="s">
        <v>47</v>
      </c>
      <c r="J1890" s="2" t="s">
        <v>446</v>
      </c>
      <c r="K1890" s="2">
        <v>1</v>
      </c>
      <c r="L1890" s="2">
        <v>14.99</v>
      </c>
      <c r="M1890" s="19">
        <f t="shared" si="391"/>
        <v>14.99</v>
      </c>
      <c r="N1890" s="2" t="s">
        <v>24</v>
      </c>
      <c r="O1890" s="2" t="str">
        <f t="shared" si="392"/>
        <v>SAVE20</v>
      </c>
      <c r="P1890" s="2">
        <v>3</v>
      </c>
      <c r="Q1890" s="19">
        <f t="shared" si="393"/>
        <v>3</v>
      </c>
      <c r="R1890" s="2" t="str">
        <f t="shared" si="394"/>
        <v>Number</v>
      </c>
      <c r="S1890" s="2">
        <v>4.99</v>
      </c>
      <c r="T1890" s="19">
        <f t="shared" si="395"/>
        <v>4.99</v>
      </c>
      <c r="U1890" s="2">
        <v>16.98</v>
      </c>
      <c r="V1890" s="19">
        <f t="shared" si="396"/>
        <v>16.98</v>
      </c>
      <c r="W1890" s="19">
        <f t="shared" si="397"/>
        <v>16.98</v>
      </c>
      <c r="X1890" s="19" t="str">
        <f t="shared" si="398"/>
        <v>True</v>
      </c>
      <c r="Y1890" s="19" t="str">
        <f>IF(OR(W1890&lt;'Cleaning Tasks'!$G$18,W1890&gt;'Cleaning Tasks'!$H$18),"Outlier","Normal")</f>
        <v>Normal</v>
      </c>
      <c r="Z1890" s="2" t="s">
        <v>49</v>
      </c>
      <c r="AA1890" s="2" t="s">
        <v>111</v>
      </c>
      <c r="AB1890" s="2" t="s">
        <v>50</v>
      </c>
      <c r="AC1890" s="2" t="s">
        <v>105</v>
      </c>
      <c r="AD1890" s="2"/>
      <c r="AE1890" s="2" t="str">
        <f t="shared" si="399"/>
        <v>Not Required</v>
      </c>
      <c r="AF1890" s="2" t="s">
        <v>4944</v>
      </c>
    </row>
    <row r="1891" spans="1:32" x14ac:dyDescent="0.3">
      <c r="A1891" s="2" t="s">
        <v>4945</v>
      </c>
      <c r="B1891" s="2">
        <f t="shared" si="389"/>
        <v>1</v>
      </c>
      <c r="C1891" s="12">
        <f t="shared" si="400"/>
        <v>46238.583744108793</v>
      </c>
      <c r="D1891" s="13">
        <v>46238.583744108793</v>
      </c>
      <c r="E1891" s="2" t="s">
        <v>787</v>
      </c>
      <c r="F1891" s="2" t="str">
        <f t="shared" si="390"/>
        <v>Email Available</v>
      </c>
      <c r="G1891" s="2" t="s">
        <v>788</v>
      </c>
      <c r="H1891" s="2" t="s">
        <v>102</v>
      </c>
      <c r="I1891" s="2" t="s">
        <v>103</v>
      </c>
      <c r="J1891" s="2" t="s">
        <v>104</v>
      </c>
      <c r="K1891" s="2">
        <v>2</v>
      </c>
      <c r="L1891" s="2">
        <v>19.989999999999998</v>
      </c>
      <c r="M1891" s="19">
        <f t="shared" si="391"/>
        <v>19.989999999999998</v>
      </c>
      <c r="N1891" s="2" t="s">
        <v>38</v>
      </c>
      <c r="O1891" s="2" t="str">
        <f t="shared" si="392"/>
        <v>FREESHIP</v>
      </c>
      <c r="P1891" s="2">
        <v>0</v>
      </c>
      <c r="Q1891" s="19">
        <f t="shared" si="393"/>
        <v>0</v>
      </c>
      <c r="R1891" s="2" t="str">
        <f t="shared" si="394"/>
        <v>Number</v>
      </c>
      <c r="S1891" s="2">
        <v>0</v>
      </c>
      <c r="T1891" s="19">
        <f t="shared" si="395"/>
        <v>0</v>
      </c>
      <c r="U1891" s="2">
        <v>39.979999999999997</v>
      </c>
      <c r="V1891" s="19">
        <f t="shared" si="396"/>
        <v>39.979999999999997</v>
      </c>
      <c r="W1891" s="19">
        <f t="shared" si="397"/>
        <v>39.979999999999997</v>
      </c>
      <c r="X1891" s="19" t="str">
        <f t="shared" si="398"/>
        <v>True</v>
      </c>
      <c r="Y1891" s="19" t="str">
        <f>IF(OR(W1891&lt;'Cleaning Tasks'!$G$18,W1891&gt;'Cleaning Tasks'!$H$18),"Outlier","Normal")</f>
        <v>Normal</v>
      </c>
      <c r="Z1891" s="2" t="s">
        <v>49</v>
      </c>
      <c r="AA1891" s="2" t="s">
        <v>27</v>
      </c>
      <c r="AB1891" s="2" t="s">
        <v>28</v>
      </c>
      <c r="AC1891" s="2" t="s">
        <v>331</v>
      </c>
      <c r="AD1891" s="2"/>
      <c r="AE1891" s="2" t="str">
        <f t="shared" si="399"/>
        <v>Not Required</v>
      </c>
      <c r="AF1891" s="2" t="s">
        <v>4946</v>
      </c>
    </row>
    <row r="1892" spans="1:32" x14ac:dyDescent="0.3">
      <c r="A1892" s="2" t="s">
        <v>4947</v>
      </c>
      <c r="B1892" s="2">
        <f t="shared" si="389"/>
        <v>1</v>
      </c>
      <c r="C1892" s="12">
        <f t="shared" si="400"/>
        <v>46238.578981874998</v>
      </c>
      <c r="D1892" s="13">
        <v>46238.578981874998</v>
      </c>
      <c r="E1892" s="2" t="s">
        <v>2467</v>
      </c>
      <c r="F1892" s="2" t="str">
        <f t="shared" si="390"/>
        <v>Email Available</v>
      </c>
      <c r="G1892" s="2" t="s">
        <v>84</v>
      </c>
      <c r="H1892" s="2" t="s">
        <v>124</v>
      </c>
      <c r="I1892" s="2" t="s">
        <v>79</v>
      </c>
      <c r="J1892" s="2" t="s">
        <v>125</v>
      </c>
      <c r="K1892" s="2">
        <v>2</v>
      </c>
      <c r="L1892" s="2">
        <v>13.99</v>
      </c>
      <c r="M1892" s="19">
        <f t="shared" si="391"/>
        <v>13.99</v>
      </c>
      <c r="N1892" s="2"/>
      <c r="O1892" s="2" t="str">
        <f t="shared" si="392"/>
        <v/>
      </c>
      <c r="P1892" s="2">
        <v>0</v>
      </c>
      <c r="Q1892" s="19">
        <f t="shared" si="393"/>
        <v>0</v>
      </c>
      <c r="R1892" s="2" t="str">
        <f t="shared" si="394"/>
        <v>Number</v>
      </c>
      <c r="S1892" s="2">
        <v>7.99</v>
      </c>
      <c r="T1892" s="19">
        <f t="shared" si="395"/>
        <v>7.99</v>
      </c>
      <c r="U1892" s="2" t="s">
        <v>2677</v>
      </c>
      <c r="V1892" s="19">
        <f t="shared" si="396"/>
        <v>35.97</v>
      </c>
      <c r="W1892" s="19">
        <f t="shared" si="397"/>
        <v>35.97</v>
      </c>
      <c r="X1892" s="19" t="str">
        <f t="shared" si="398"/>
        <v>True</v>
      </c>
      <c r="Y1892" s="19" t="str">
        <f>IF(OR(W1892&lt;'Cleaning Tasks'!$G$18,W1892&gt;'Cleaning Tasks'!$H$18),"Outlier","Normal")</f>
        <v>Normal</v>
      </c>
      <c r="Z1892" s="2" t="s">
        <v>49</v>
      </c>
      <c r="AA1892" s="2" t="s">
        <v>88</v>
      </c>
      <c r="AB1892" s="2" t="s">
        <v>96</v>
      </c>
      <c r="AC1892" s="2" t="s">
        <v>29</v>
      </c>
      <c r="AD1892" s="22" t="s">
        <v>89</v>
      </c>
      <c r="AE1892" s="2" t="str">
        <f t="shared" si="399"/>
        <v>Valid</v>
      </c>
      <c r="AF1892" s="2" t="s">
        <v>4948</v>
      </c>
    </row>
    <row r="1893" spans="1:32" x14ac:dyDescent="0.3">
      <c r="A1893" s="2" t="s">
        <v>4949</v>
      </c>
      <c r="B1893" s="2">
        <f t="shared" si="389"/>
        <v>1</v>
      </c>
      <c r="C1893" s="12">
        <f t="shared" si="400"/>
        <v>46238.581323020837</v>
      </c>
      <c r="D1893" s="13">
        <v>46238.581323020837</v>
      </c>
      <c r="E1893" s="2" t="s">
        <v>3528</v>
      </c>
      <c r="F1893" s="2" t="str">
        <f t="shared" si="390"/>
        <v>Email Available</v>
      </c>
      <c r="G1893" s="2" t="s">
        <v>2266</v>
      </c>
      <c r="H1893" s="2" t="s">
        <v>78</v>
      </c>
      <c r="I1893" s="2" t="s">
        <v>79</v>
      </c>
      <c r="J1893" s="2" t="s">
        <v>80</v>
      </c>
      <c r="K1893" s="2">
        <v>1</v>
      </c>
      <c r="L1893" s="2">
        <v>89.99</v>
      </c>
      <c r="M1893" s="19">
        <f t="shared" si="391"/>
        <v>89.99</v>
      </c>
      <c r="N1893" s="2" t="s">
        <v>65</v>
      </c>
      <c r="O1893" s="2" t="str">
        <f t="shared" si="392"/>
        <v>WELCOME10</v>
      </c>
      <c r="P1893" s="2">
        <v>9</v>
      </c>
      <c r="Q1893" s="19">
        <f t="shared" si="393"/>
        <v>9</v>
      </c>
      <c r="R1893" s="2" t="str">
        <f t="shared" si="394"/>
        <v>Number</v>
      </c>
      <c r="S1893" s="2">
        <v>0</v>
      </c>
      <c r="T1893" s="19">
        <f t="shared" si="395"/>
        <v>0</v>
      </c>
      <c r="U1893" s="2">
        <v>80.989999999999995</v>
      </c>
      <c r="V1893" s="19">
        <f t="shared" si="396"/>
        <v>80.989999999999995</v>
      </c>
      <c r="W1893" s="19">
        <f t="shared" si="397"/>
        <v>80.989999999999995</v>
      </c>
      <c r="X1893" s="19" t="str">
        <f t="shared" si="398"/>
        <v>True</v>
      </c>
      <c r="Y1893" s="19" t="str">
        <f>IF(OR(W1893&lt;'Cleaning Tasks'!$G$18,W1893&gt;'Cleaning Tasks'!$H$18),"Outlier","Normal")</f>
        <v>Normal</v>
      </c>
      <c r="Z1893" s="2" t="s">
        <v>49</v>
      </c>
      <c r="AA1893" s="2" t="s">
        <v>27</v>
      </c>
      <c r="AB1893" s="2" t="s">
        <v>41</v>
      </c>
      <c r="AC1893" s="2" t="s">
        <v>223</v>
      </c>
      <c r="AD1893" s="2"/>
      <c r="AE1893" s="2" t="str">
        <f t="shared" si="399"/>
        <v>Not Required</v>
      </c>
      <c r="AF1893" s="2" t="s">
        <v>2929</v>
      </c>
    </row>
    <row r="1894" spans="1:32" x14ac:dyDescent="0.3">
      <c r="A1894" s="2" t="s">
        <v>4950</v>
      </c>
      <c r="B1894" s="2">
        <f t="shared" si="389"/>
        <v>1</v>
      </c>
      <c r="C1894" s="12">
        <f t="shared" si="400"/>
        <v>46238.581379120369</v>
      </c>
      <c r="D1894" s="13">
        <v>46238.581379120369</v>
      </c>
      <c r="E1894" s="2" t="s">
        <v>1203</v>
      </c>
      <c r="F1894" s="2" t="str">
        <f t="shared" si="390"/>
        <v>Email Available</v>
      </c>
      <c r="G1894" s="2" t="s">
        <v>1204</v>
      </c>
      <c r="H1894" s="2" t="s">
        <v>63</v>
      </c>
      <c r="I1894" s="2" t="s">
        <v>47</v>
      </c>
      <c r="J1894" s="2" t="s">
        <v>446</v>
      </c>
      <c r="K1894" s="2">
        <v>4</v>
      </c>
      <c r="L1894" s="2">
        <v>14.99</v>
      </c>
      <c r="M1894" s="19">
        <f t="shared" si="391"/>
        <v>14.99</v>
      </c>
      <c r="N1894" s="2" t="s">
        <v>24</v>
      </c>
      <c r="O1894" s="2" t="str">
        <f t="shared" si="392"/>
        <v>SAVE20</v>
      </c>
      <c r="P1894" s="2">
        <v>11.99</v>
      </c>
      <c r="Q1894" s="19">
        <f t="shared" si="393"/>
        <v>11.99</v>
      </c>
      <c r="R1894" s="2" t="str">
        <f t="shared" si="394"/>
        <v>Number</v>
      </c>
      <c r="S1894" s="2">
        <v>7.99</v>
      </c>
      <c r="T1894" s="19">
        <f t="shared" si="395"/>
        <v>7.99</v>
      </c>
      <c r="U1894" s="2">
        <v>55.96</v>
      </c>
      <c r="V1894" s="19">
        <f t="shared" si="396"/>
        <v>55.96</v>
      </c>
      <c r="W1894" s="19">
        <f t="shared" si="397"/>
        <v>55.96</v>
      </c>
      <c r="X1894" s="19" t="str">
        <f t="shared" si="398"/>
        <v>True</v>
      </c>
      <c r="Y1894" s="19" t="str">
        <f>IF(OR(W1894&lt;'Cleaning Tasks'!$G$18,W1894&gt;'Cleaning Tasks'!$H$18),"Outlier","Normal")</f>
        <v>Normal</v>
      </c>
      <c r="Z1894" s="2" t="s">
        <v>72</v>
      </c>
      <c r="AA1894" s="2" t="s">
        <v>27</v>
      </c>
      <c r="AB1894" s="2" t="s">
        <v>96</v>
      </c>
      <c r="AC1894" s="2" t="s">
        <v>73</v>
      </c>
      <c r="AD1894" s="2"/>
      <c r="AE1894" s="2" t="str">
        <f t="shared" si="399"/>
        <v>Not Required</v>
      </c>
      <c r="AF1894" s="2" t="s">
        <v>4951</v>
      </c>
    </row>
    <row r="1895" spans="1:32" x14ac:dyDescent="0.3">
      <c r="A1895" s="2" t="s">
        <v>4952</v>
      </c>
      <c r="B1895" s="2">
        <f t="shared" si="389"/>
        <v>1</v>
      </c>
      <c r="C1895" s="12">
        <f>DATE(VALUE(RIGHT(D1895,4)),MATCH(LEFT(D1895,3),{"Jan","Feb","Mar","Apr","May","Jun","Jul","Aug","Sep","Oct","Nov","Dec"},0),VALUE(MID(D1895,5,2)))</f>
        <v>46238</v>
      </c>
      <c r="D1895" s="13" t="s">
        <v>171</v>
      </c>
      <c r="E1895" s="2" t="s">
        <v>1075</v>
      </c>
      <c r="F1895" s="2" t="str">
        <f t="shared" si="390"/>
        <v>Email Available</v>
      </c>
      <c r="G1895" s="2" t="s">
        <v>587</v>
      </c>
      <c r="H1895" s="2" t="s">
        <v>236</v>
      </c>
      <c r="I1895" s="2" t="s">
        <v>237</v>
      </c>
      <c r="J1895" s="2" t="s">
        <v>238</v>
      </c>
      <c r="K1895" s="2">
        <v>2</v>
      </c>
      <c r="L1895" s="2">
        <v>27.99</v>
      </c>
      <c r="M1895" s="19">
        <f t="shared" si="391"/>
        <v>27.99</v>
      </c>
      <c r="N1895" s="2"/>
      <c r="O1895" s="2" t="str">
        <f t="shared" si="392"/>
        <v/>
      </c>
      <c r="P1895" s="2">
        <v>0</v>
      </c>
      <c r="Q1895" s="19">
        <f t="shared" si="393"/>
        <v>0</v>
      </c>
      <c r="R1895" s="2" t="str">
        <f t="shared" si="394"/>
        <v>Number</v>
      </c>
      <c r="S1895" s="2">
        <v>4.99</v>
      </c>
      <c r="T1895" s="19">
        <f t="shared" si="395"/>
        <v>4.99</v>
      </c>
      <c r="U1895" s="2">
        <v>60.97</v>
      </c>
      <c r="V1895" s="19">
        <f t="shared" si="396"/>
        <v>60.97</v>
      </c>
      <c r="W1895" s="19">
        <f t="shared" si="397"/>
        <v>60.97</v>
      </c>
      <c r="X1895" s="19" t="str">
        <f t="shared" si="398"/>
        <v>True</v>
      </c>
      <c r="Y1895" s="19" t="str">
        <f>IF(OR(W1895&lt;'Cleaning Tasks'!$G$18,W1895&gt;'Cleaning Tasks'!$H$18),"Outlier","Normal")</f>
        <v>Normal</v>
      </c>
      <c r="Z1895" s="2" t="s">
        <v>39</v>
      </c>
      <c r="AA1895" s="2" t="s">
        <v>88</v>
      </c>
      <c r="AB1895" s="2" t="s">
        <v>50</v>
      </c>
      <c r="AC1895" s="2" t="s">
        <v>29</v>
      </c>
      <c r="AD1895" s="2" t="s">
        <v>243</v>
      </c>
      <c r="AE1895" s="2" t="str">
        <f t="shared" si="399"/>
        <v>Valid</v>
      </c>
      <c r="AF1895" s="2" t="s">
        <v>4953</v>
      </c>
    </row>
    <row r="1896" spans="1:32" x14ac:dyDescent="0.3">
      <c r="A1896" s="2" t="s">
        <v>4954</v>
      </c>
      <c r="B1896" s="2">
        <f t="shared" si="389"/>
        <v>1</v>
      </c>
      <c r="C1896" s="12">
        <f t="shared" ref="C1896:C1927" si="401">IF(ISNUMBER(D1896),D1896,DATEVALUE(SUBSTITUTE(TRIM(D1896),CHAR(160)," ")))</f>
        <v>46238.583763935188</v>
      </c>
      <c r="D1896" s="13">
        <v>46238.583763935188</v>
      </c>
      <c r="E1896" s="2" t="s">
        <v>629</v>
      </c>
      <c r="F1896" s="2" t="str">
        <f t="shared" si="390"/>
        <v>Email Available</v>
      </c>
      <c r="G1896" s="2" t="s">
        <v>630</v>
      </c>
      <c r="H1896" s="2" t="s">
        <v>267</v>
      </c>
      <c r="I1896" s="2" t="s">
        <v>22</v>
      </c>
      <c r="J1896" s="2" t="s">
        <v>268</v>
      </c>
      <c r="K1896" s="2">
        <v>1</v>
      </c>
      <c r="L1896" s="2">
        <v>18.989999999999998</v>
      </c>
      <c r="M1896" s="19">
        <f t="shared" si="391"/>
        <v>18.989999999999998</v>
      </c>
      <c r="N1896" s="2"/>
      <c r="O1896" s="2" t="str">
        <f t="shared" si="392"/>
        <v/>
      </c>
      <c r="P1896" s="2">
        <v>0</v>
      </c>
      <c r="Q1896" s="19">
        <f t="shared" si="393"/>
        <v>0</v>
      </c>
      <c r="R1896" s="2" t="str">
        <f t="shared" si="394"/>
        <v>Number</v>
      </c>
      <c r="S1896" s="2">
        <v>7.99</v>
      </c>
      <c r="T1896" s="19">
        <f t="shared" si="395"/>
        <v>7.99</v>
      </c>
      <c r="U1896" s="2">
        <v>26.98</v>
      </c>
      <c r="V1896" s="19">
        <f t="shared" si="396"/>
        <v>26.98</v>
      </c>
      <c r="W1896" s="19">
        <f t="shared" si="397"/>
        <v>26.979999999999997</v>
      </c>
      <c r="X1896" s="19" t="str">
        <f t="shared" si="398"/>
        <v>True</v>
      </c>
      <c r="Y1896" s="19" t="str">
        <f>IF(OR(W1896&lt;'Cleaning Tasks'!$G$18,W1896&gt;'Cleaning Tasks'!$H$18),"Outlier","Normal")</f>
        <v>Normal</v>
      </c>
      <c r="Z1896" s="2" t="s">
        <v>39</v>
      </c>
      <c r="AA1896" s="2" t="s">
        <v>88</v>
      </c>
      <c r="AB1896" s="2" t="s">
        <v>41</v>
      </c>
      <c r="AC1896" s="2" t="s">
        <v>29</v>
      </c>
      <c r="AD1896" s="2" t="s">
        <v>140</v>
      </c>
      <c r="AE1896" s="2" t="str">
        <f t="shared" si="399"/>
        <v>Valid</v>
      </c>
      <c r="AF1896" s="2" t="s">
        <v>4955</v>
      </c>
    </row>
    <row r="1897" spans="1:32" x14ac:dyDescent="0.3">
      <c r="A1897" s="2" t="s">
        <v>4956</v>
      </c>
      <c r="B1897" s="2">
        <f t="shared" si="389"/>
        <v>1</v>
      </c>
      <c r="C1897" s="12">
        <f t="shared" si="401"/>
        <v>46238.586923090283</v>
      </c>
      <c r="D1897" s="13">
        <v>46238.586923090283</v>
      </c>
      <c r="E1897" s="2" t="s">
        <v>303</v>
      </c>
      <c r="F1897" s="2" t="str">
        <f t="shared" si="390"/>
        <v>Email Available</v>
      </c>
      <c r="G1897" s="2" t="s">
        <v>304</v>
      </c>
      <c r="H1897" s="2" t="s">
        <v>182</v>
      </c>
      <c r="I1897" s="2" t="s">
        <v>36</v>
      </c>
      <c r="J1897" s="2" t="s">
        <v>183</v>
      </c>
      <c r="K1897" s="2">
        <v>1</v>
      </c>
      <c r="L1897" s="2">
        <v>11.99</v>
      </c>
      <c r="M1897" s="19">
        <f t="shared" si="391"/>
        <v>11.99</v>
      </c>
      <c r="N1897" s="2"/>
      <c r="O1897" s="2" t="str">
        <f t="shared" si="392"/>
        <v/>
      </c>
      <c r="P1897" s="2">
        <v>0</v>
      </c>
      <c r="Q1897" s="19">
        <f t="shared" si="393"/>
        <v>0</v>
      </c>
      <c r="R1897" s="2" t="str">
        <f t="shared" si="394"/>
        <v>Number</v>
      </c>
      <c r="S1897" s="2">
        <v>7.99</v>
      </c>
      <c r="T1897" s="19">
        <f t="shared" si="395"/>
        <v>7.99</v>
      </c>
      <c r="U1897" s="2">
        <v>19.98</v>
      </c>
      <c r="V1897" s="19">
        <f t="shared" si="396"/>
        <v>19.98</v>
      </c>
      <c r="W1897" s="19">
        <f t="shared" si="397"/>
        <v>19.98</v>
      </c>
      <c r="X1897" s="19" t="str">
        <f t="shared" si="398"/>
        <v>True</v>
      </c>
      <c r="Y1897" s="19" t="str">
        <f>IF(OR(W1897&lt;'Cleaning Tasks'!$G$18,W1897&gt;'Cleaning Tasks'!$H$18),"Outlier","Normal")</f>
        <v>Normal</v>
      </c>
      <c r="Z1897" s="2" t="s">
        <v>72</v>
      </c>
      <c r="AA1897" s="2" t="s">
        <v>88</v>
      </c>
      <c r="AB1897" s="2" t="s">
        <v>50</v>
      </c>
      <c r="AC1897" s="2" t="s">
        <v>29</v>
      </c>
      <c r="AD1897" s="2" t="s">
        <v>67</v>
      </c>
      <c r="AE1897" s="2" t="str">
        <f t="shared" si="399"/>
        <v>Valid</v>
      </c>
      <c r="AF1897" s="2" t="s">
        <v>4957</v>
      </c>
    </row>
    <row r="1898" spans="1:32" x14ac:dyDescent="0.3">
      <c r="A1898" s="2" t="s">
        <v>4958</v>
      </c>
      <c r="B1898" s="2">
        <f t="shared" si="389"/>
        <v>1</v>
      </c>
      <c r="C1898" s="12">
        <f t="shared" si="401"/>
        <v>46238.587461400457</v>
      </c>
      <c r="D1898" s="13">
        <v>46238.587461400457</v>
      </c>
      <c r="E1898" s="2" t="s">
        <v>2199</v>
      </c>
      <c r="F1898" s="2" t="str">
        <f t="shared" si="390"/>
        <v>Email Available</v>
      </c>
      <c r="G1898" s="2" t="s">
        <v>2200</v>
      </c>
      <c r="H1898" s="2" t="s">
        <v>182</v>
      </c>
      <c r="I1898" s="2" t="s">
        <v>36</v>
      </c>
      <c r="J1898" s="2" t="s">
        <v>183</v>
      </c>
      <c r="K1898" s="2">
        <v>2</v>
      </c>
      <c r="L1898" s="2">
        <v>11.99</v>
      </c>
      <c r="M1898" s="19">
        <f t="shared" si="391"/>
        <v>11.99</v>
      </c>
      <c r="N1898" s="2" t="s">
        <v>24</v>
      </c>
      <c r="O1898" s="2" t="str">
        <f t="shared" si="392"/>
        <v>SAVE20</v>
      </c>
      <c r="P1898" s="2">
        <v>4.8</v>
      </c>
      <c r="Q1898" s="19">
        <f t="shared" si="393"/>
        <v>4.8</v>
      </c>
      <c r="R1898" s="2" t="str">
        <f t="shared" si="394"/>
        <v>Number</v>
      </c>
      <c r="S1898" s="2">
        <v>4.99</v>
      </c>
      <c r="T1898" s="19">
        <f t="shared" si="395"/>
        <v>4.99</v>
      </c>
      <c r="U1898" s="2">
        <v>24.17</v>
      </c>
      <c r="V1898" s="19">
        <f t="shared" si="396"/>
        <v>24.17</v>
      </c>
      <c r="W1898" s="19">
        <f t="shared" si="397"/>
        <v>24.17</v>
      </c>
      <c r="X1898" s="19" t="str">
        <f t="shared" si="398"/>
        <v>True</v>
      </c>
      <c r="Y1898" s="19" t="str">
        <f>IF(OR(W1898&lt;'Cleaning Tasks'!$G$18,W1898&gt;'Cleaning Tasks'!$H$18),"Outlier","Normal")</f>
        <v>Normal</v>
      </c>
      <c r="Z1898" s="2" t="s">
        <v>39</v>
      </c>
      <c r="AA1898" s="2" t="s">
        <v>27</v>
      </c>
      <c r="AB1898" s="2" t="s">
        <v>50</v>
      </c>
      <c r="AC1898" s="2" t="s">
        <v>73</v>
      </c>
      <c r="AD1898" s="2"/>
      <c r="AE1898" s="2" t="str">
        <f t="shared" si="399"/>
        <v>Not Required</v>
      </c>
      <c r="AF1898" s="2" t="s">
        <v>4959</v>
      </c>
    </row>
    <row r="1899" spans="1:32" x14ac:dyDescent="0.3">
      <c r="A1899" s="2" t="s">
        <v>4960</v>
      </c>
      <c r="B1899" s="2">
        <f t="shared" si="389"/>
        <v>1</v>
      </c>
      <c r="C1899" s="12">
        <f t="shared" si="401"/>
        <v>46238.584728310183</v>
      </c>
      <c r="D1899" s="13">
        <v>46238.584728310183</v>
      </c>
      <c r="E1899" s="2" t="s">
        <v>3031</v>
      </c>
      <c r="F1899" s="2" t="str">
        <f t="shared" si="390"/>
        <v>Email Available</v>
      </c>
      <c r="G1899" s="2" t="s">
        <v>3032</v>
      </c>
      <c r="H1899" s="2" t="s">
        <v>124</v>
      </c>
      <c r="I1899" s="2" t="s">
        <v>79</v>
      </c>
      <c r="J1899" s="2" t="s">
        <v>125</v>
      </c>
      <c r="K1899" s="2">
        <v>1</v>
      </c>
      <c r="L1899" s="2">
        <v>13.99</v>
      </c>
      <c r="M1899" s="19">
        <f t="shared" si="391"/>
        <v>13.99</v>
      </c>
      <c r="N1899" s="2"/>
      <c r="O1899" s="2" t="str">
        <f t="shared" si="392"/>
        <v/>
      </c>
      <c r="P1899" s="2">
        <v>0</v>
      </c>
      <c r="Q1899" s="19">
        <f t="shared" si="393"/>
        <v>0</v>
      </c>
      <c r="R1899" s="2" t="str">
        <f t="shared" si="394"/>
        <v>Number</v>
      </c>
      <c r="S1899" s="2">
        <v>4.99</v>
      </c>
      <c r="T1899" s="19">
        <f t="shared" si="395"/>
        <v>4.99</v>
      </c>
      <c r="U1899" s="2">
        <v>18.98</v>
      </c>
      <c r="V1899" s="19">
        <f t="shared" si="396"/>
        <v>18.98</v>
      </c>
      <c r="W1899" s="19">
        <f t="shared" si="397"/>
        <v>18.98</v>
      </c>
      <c r="X1899" s="19" t="str">
        <f t="shared" si="398"/>
        <v>True</v>
      </c>
      <c r="Y1899" s="19" t="str">
        <f>IF(OR(W1899&lt;'Cleaning Tasks'!$G$18,W1899&gt;'Cleaning Tasks'!$H$18),"Outlier","Normal")</f>
        <v>Normal</v>
      </c>
      <c r="Z1899" s="2" t="s">
        <v>66</v>
      </c>
      <c r="AA1899" s="2" t="s">
        <v>111</v>
      </c>
      <c r="AB1899" s="2" t="s">
        <v>28</v>
      </c>
      <c r="AC1899" s="2" t="s">
        <v>29</v>
      </c>
      <c r="AD1899" s="2" t="s">
        <v>243</v>
      </c>
      <c r="AE1899" s="2" t="str">
        <f t="shared" si="399"/>
        <v>Valid</v>
      </c>
      <c r="AF1899" s="2" t="s">
        <v>4961</v>
      </c>
    </row>
    <row r="1900" spans="1:32" x14ac:dyDescent="0.3">
      <c r="A1900" s="2" t="s">
        <v>4962</v>
      </c>
      <c r="B1900" s="2">
        <f t="shared" si="389"/>
        <v>1</v>
      </c>
      <c r="C1900" s="12">
        <f t="shared" si="401"/>
        <v>46238.57925545139</v>
      </c>
      <c r="D1900" s="13">
        <v>46238.57925545139</v>
      </c>
      <c r="E1900" s="2" t="s">
        <v>4963</v>
      </c>
      <c r="F1900" s="2" t="str">
        <f t="shared" si="390"/>
        <v>Email Available</v>
      </c>
      <c r="G1900" s="2" t="s">
        <v>562</v>
      </c>
      <c r="H1900" s="2" t="s">
        <v>78</v>
      </c>
      <c r="I1900" s="2" t="s">
        <v>79</v>
      </c>
      <c r="J1900" s="2" t="s">
        <v>80</v>
      </c>
      <c r="K1900" s="2">
        <v>1</v>
      </c>
      <c r="L1900" s="2">
        <v>89.99</v>
      </c>
      <c r="M1900" s="19">
        <f t="shared" si="391"/>
        <v>89.99</v>
      </c>
      <c r="N1900" s="2" t="s">
        <v>38</v>
      </c>
      <c r="O1900" s="2" t="str">
        <f t="shared" si="392"/>
        <v>FREESHIP</v>
      </c>
      <c r="P1900" s="2">
        <v>0</v>
      </c>
      <c r="Q1900" s="19">
        <f t="shared" si="393"/>
        <v>0</v>
      </c>
      <c r="R1900" s="2" t="str">
        <f t="shared" si="394"/>
        <v>Number</v>
      </c>
      <c r="S1900" s="2">
        <v>0</v>
      </c>
      <c r="T1900" s="19">
        <f t="shared" si="395"/>
        <v>0</v>
      </c>
      <c r="U1900" s="2">
        <v>89.99</v>
      </c>
      <c r="V1900" s="19">
        <f t="shared" si="396"/>
        <v>89.99</v>
      </c>
      <c r="W1900" s="19">
        <f t="shared" si="397"/>
        <v>89.99</v>
      </c>
      <c r="X1900" s="19" t="str">
        <f t="shared" si="398"/>
        <v>True</v>
      </c>
      <c r="Y1900" s="19" t="str">
        <f>IF(OR(W1900&lt;'Cleaning Tasks'!$G$18,W1900&gt;'Cleaning Tasks'!$H$18),"Outlier","Normal")</f>
        <v>Outlier</v>
      </c>
      <c r="Z1900" s="2" t="s">
        <v>26</v>
      </c>
      <c r="AA1900" s="2" t="s">
        <v>40</v>
      </c>
      <c r="AB1900" s="2" t="s">
        <v>41</v>
      </c>
      <c r="AC1900" s="2" t="s">
        <v>331</v>
      </c>
      <c r="AD1900" s="2"/>
      <c r="AE1900" s="2" t="str">
        <f t="shared" si="399"/>
        <v>Not Required</v>
      </c>
      <c r="AF1900" s="2" t="s">
        <v>4964</v>
      </c>
    </row>
    <row r="1901" spans="1:32" x14ac:dyDescent="0.3">
      <c r="A1901" s="2" t="s">
        <v>4965</v>
      </c>
      <c r="B1901" s="2">
        <f t="shared" si="389"/>
        <v>1</v>
      </c>
      <c r="C1901" s="12">
        <f t="shared" si="401"/>
        <v>46238</v>
      </c>
      <c r="D1901" s="13">
        <v>46238</v>
      </c>
      <c r="E1901" s="2" t="s">
        <v>993</v>
      </c>
      <c r="F1901" s="2" t="str">
        <f t="shared" si="390"/>
        <v>Email Available</v>
      </c>
      <c r="G1901" s="2" t="s">
        <v>994</v>
      </c>
      <c r="H1901" s="2" t="s">
        <v>201</v>
      </c>
      <c r="I1901" s="2" t="s">
        <v>191</v>
      </c>
      <c r="J1901" s="2" t="s">
        <v>202</v>
      </c>
      <c r="K1901" s="2">
        <v>1</v>
      </c>
      <c r="L1901" s="2">
        <v>24.99</v>
      </c>
      <c r="M1901" s="19">
        <f t="shared" si="391"/>
        <v>24.99</v>
      </c>
      <c r="N1901" s="2" t="s">
        <v>24</v>
      </c>
      <c r="O1901" s="2" t="str">
        <f t="shared" si="392"/>
        <v>SAVE20</v>
      </c>
      <c r="P1901" s="2">
        <v>5</v>
      </c>
      <c r="Q1901" s="19">
        <f t="shared" si="393"/>
        <v>5</v>
      </c>
      <c r="R1901" s="2" t="str">
        <f t="shared" si="394"/>
        <v>Number</v>
      </c>
      <c r="S1901" s="2">
        <v>5.99</v>
      </c>
      <c r="T1901" s="19">
        <f t="shared" si="395"/>
        <v>5.99</v>
      </c>
      <c r="U1901" s="2">
        <v>25.98</v>
      </c>
      <c r="V1901" s="19">
        <f t="shared" si="396"/>
        <v>25.98</v>
      </c>
      <c r="W1901" s="19">
        <f t="shared" si="397"/>
        <v>25.979999999999997</v>
      </c>
      <c r="X1901" s="19" t="str">
        <f t="shared" si="398"/>
        <v>True</v>
      </c>
      <c r="Y1901" s="19" t="str">
        <f>IF(OR(W1901&lt;'Cleaning Tasks'!$G$18,W1901&gt;'Cleaning Tasks'!$H$18),"Outlier","Normal")</f>
        <v>Normal</v>
      </c>
      <c r="Z1901" s="2" t="s">
        <v>39</v>
      </c>
      <c r="AA1901" s="2" t="s">
        <v>88</v>
      </c>
      <c r="AB1901" s="2" t="s">
        <v>41</v>
      </c>
      <c r="AC1901" s="2" t="s">
        <v>42</v>
      </c>
      <c r="AD1901" s="2"/>
      <c r="AE1901" s="2" t="str">
        <f t="shared" si="399"/>
        <v>Not Required</v>
      </c>
      <c r="AF1901" s="2" t="s">
        <v>4966</v>
      </c>
    </row>
    <row r="1902" spans="1:32" x14ac:dyDescent="0.3">
      <c r="A1902" s="2" t="s">
        <v>4967</v>
      </c>
      <c r="B1902" s="2">
        <f t="shared" si="389"/>
        <v>1</v>
      </c>
      <c r="C1902" s="12">
        <f t="shared" si="401"/>
        <v>46238.581358750002</v>
      </c>
      <c r="D1902" s="13">
        <v>46238.581358750002</v>
      </c>
      <c r="E1902" s="2" t="s">
        <v>1769</v>
      </c>
      <c r="F1902" s="2" t="str">
        <f t="shared" si="390"/>
        <v>Email Available</v>
      </c>
      <c r="G1902" s="2" t="s">
        <v>1770</v>
      </c>
      <c r="H1902" s="2" t="s">
        <v>166</v>
      </c>
      <c r="I1902" s="2" t="s">
        <v>103</v>
      </c>
      <c r="J1902" s="2" t="s">
        <v>167</v>
      </c>
      <c r="K1902" s="2">
        <v>2</v>
      </c>
      <c r="L1902" s="2">
        <v>32.99</v>
      </c>
      <c r="M1902" s="19">
        <f t="shared" si="391"/>
        <v>32.99</v>
      </c>
      <c r="N1902" s="2" t="s">
        <v>24</v>
      </c>
      <c r="O1902" s="2" t="str">
        <f t="shared" si="392"/>
        <v>SAVE20</v>
      </c>
      <c r="P1902" s="2">
        <v>13.2</v>
      </c>
      <c r="Q1902" s="19">
        <f t="shared" si="393"/>
        <v>13.2</v>
      </c>
      <c r="R1902" s="2" t="str">
        <f t="shared" si="394"/>
        <v>Number</v>
      </c>
      <c r="S1902" s="2">
        <v>5.99</v>
      </c>
      <c r="T1902" s="19">
        <f t="shared" si="395"/>
        <v>5.99</v>
      </c>
      <c r="U1902" s="2">
        <v>58.77</v>
      </c>
      <c r="V1902" s="19">
        <f t="shared" si="396"/>
        <v>58.77</v>
      </c>
      <c r="W1902" s="19">
        <f t="shared" si="397"/>
        <v>58.77</v>
      </c>
      <c r="X1902" s="19" t="str">
        <f t="shared" si="398"/>
        <v>True</v>
      </c>
      <c r="Y1902" s="19" t="str">
        <f>IF(OR(W1902&lt;'Cleaning Tasks'!$G$18,W1902&gt;'Cleaning Tasks'!$H$18),"Outlier","Normal")</f>
        <v>Normal</v>
      </c>
      <c r="Z1902" s="2" t="s">
        <v>39</v>
      </c>
      <c r="AA1902" s="2" t="s">
        <v>111</v>
      </c>
      <c r="AB1902" s="2" t="s">
        <v>50</v>
      </c>
      <c r="AC1902" s="2" t="s">
        <v>73</v>
      </c>
      <c r="AD1902" s="2"/>
      <c r="AE1902" s="2" t="str">
        <f t="shared" si="399"/>
        <v>Not Required</v>
      </c>
      <c r="AF1902" s="2" t="s">
        <v>754</v>
      </c>
    </row>
    <row r="1903" spans="1:32" x14ac:dyDescent="0.3">
      <c r="A1903" s="2" t="s">
        <v>4968</v>
      </c>
      <c r="B1903" s="2">
        <f t="shared" si="389"/>
        <v>1</v>
      </c>
      <c r="C1903" s="12">
        <f t="shared" si="401"/>
        <v>46238.583008784721</v>
      </c>
      <c r="D1903" s="13">
        <v>46238.583008784721</v>
      </c>
      <c r="E1903" s="2" t="s">
        <v>566</v>
      </c>
      <c r="F1903" s="2" t="str">
        <f t="shared" si="390"/>
        <v>Email Available</v>
      </c>
      <c r="G1903" s="2" t="s">
        <v>567</v>
      </c>
      <c r="H1903" s="2" t="s">
        <v>63</v>
      </c>
      <c r="I1903" s="2" t="s">
        <v>47</v>
      </c>
      <c r="J1903" s="2" t="s">
        <v>446</v>
      </c>
      <c r="K1903" s="2">
        <v>1</v>
      </c>
      <c r="L1903" s="2">
        <v>14.99</v>
      </c>
      <c r="M1903" s="19">
        <f t="shared" si="391"/>
        <v>14.99</v>
      </c>
      <c r="N1903" s="2"/>
      <c r="O1903" s="2" t="str">
        <f t="shared" si="392"/>
        <v/>
      </c>
      <c r="P1903" s="2">
        <v>0</v>
      </c>
      <c r="Q1903" s="19">
        <f t="shared" si="393"/>
        <v>0</v>
      </c>
      <c r="R1903" s="2" t="str">
        <f t="shared" si="394"/>
        <v>Number</v>
      </c>
      <c r="S1903" s="2">
        <v>7.99</v>
      </c>
      <c r="T1903" s="19">
        <f t="shared" si="395"/>
        <v>7.99</v>
      </c>
      <c r="U1903" s="2">
        <v>22.98</v>
      </c>
      <c r="V1903" s="19">
        <f t="shared" si="396"/>
        <v>22.98</v>
      </c>
      <c r="W1903" s="19">
        <f t="shared" si="397"/>
        <v>22.98</v>
      </c>
      <c r="X1903" s="19" t="str">
        <f t="shared" si="398"/>
        <v>True</v>
      </c>
      <c r="Y1903" s="19" t="str">
        <f>IF(OR(W1903&lt;'Cleaning Tasks'!$G$18,W1903&gt;'Cleaning Tasks'!$H$18),"Outlier","Normal")</f>
        <v>Normal</v>
      </c>
      <c r="Z1903" s="2" t="s">
        <v>72</v>
      </c>
      <c r="AA1903" s="2" t="s">
        <v>88</v>
      </c>
      <c r="AB1903" s="2" t="s">
        <v>96</v>
      </c>
      <c r="AC1903" s="2" t="s">
        <v>105</v>
      </c>
      <c r="AD1903" s="2"/>
      <c r="AE1903" s="2" t="str">
        <f t="shared" si="399"/>
        <v>Not Required</v>
      </c>
      <c r="AF1903" s="2" t="s">
        <v>4969</v>
      </c>
    </row>
    <row r="1904" spans="1:32" x14ac:dyDescent="0.3">
      <c r="A1904" s="2" t="s">
        <v>4970</v>
      </c>
      <c r="B1904" s="2">
        <f t="shared" si="389"/>
        <v>1</v>
      </c>
      <c r="C1904" s="12">
        <f t="shared" si="401"/>
        <v>46238.580543703712</v>
      </c>
      <c r="D1904" s="13">
        <v>46238.580543703712</v>
      </c>
      <c r="E1904" s="2" t="s">
        <v>164</v>
      </c>
      <c r="F1904" s="2" t="str">
        <f t="shared" si="390"/>
        <v>Email Available</v>
      </c>
      <c r="G1904" s="2" t="s">
        <v>165</v>
      </c>
      <c r="H1904" s="2" t="s">
        <v>182</v>
      </c>
      <c r="I1904" s="2" t="s">
        <v>36</v>
      </c>
      <c r="J1904" s="2" t="s">
        <v>183</v>
      </c>
      <c r="K1904" s="2">
        <v>1</v>
      </c>
      <c r="L1904" s="2">
        <v>11.99</v>
      </c>
      <c r="M1904" s="19">
        <f t="shared" si="391"/>
        <v>11.99</v>
      </c>
      <c r="N1904" s="2" t="s">
        <v>118</v>
      </c>
      <c r="O1904" s="2" t="str">
        <f t="shared" si="392"/>
        <v>BFCM25</v>
      </c>
      <c r="P1904" s="2">
        <v>3</v>
      </c>
      <c r="Q1904" s="19">
        <f t="shared" si="393"/>
        <v>3</v>
      </c>
      <c r="R1904" s="2" t="str">
        <f t="shared" si="394"/>
        <v>Number</v>
      </c>
      <c r="S1904" s="2">
        <v>4.99</v>
      </c>
      <c r="T1904" s="19">
        <f t="shared" si="395"/>
        <v>4.99</v>
      </c>
      <c r="U1904" s="2">
        <v>13.98</v>
      </c>
      <c r="V1904" s="19">
        <f t="shared" si="396"/>
        <v>13.98</v>
      </c>
      <c r="W1904" s="19">
        <f t="shared" si="397"/>
        <v>13.98</v>
      </c>
      <c r="X1904" s="19" t="str">
        <f t="shared" si="398"/>
        <v>True</v>
      </c>
      <c r="Y1904" s="19" t="str">
        <f>IF(OR(W1904&lt;'Cleaning Tasks'!$G$18,W1904&gt;'Cleaning Tasks'!$H$18),"Outlier","Normal")</f>
        <v>Normal</v>
      </c>
      <c r="Z1904" s="2" t="s">
        <v>26</v>
      </c>
      <c r="AA1904" s="2" t="s">
        <v>27</v>
      </c>
      <c r="AB1904" s="2" t="s">
        <v>28</v>
      </c>
      <c r="AC1904" s="2" t="s">
        <v>105</v>
      </c>
      <c r="AD1904" s="2"/>
      <c r="AE1904" s="2" t="str">
        <f t="shared" si="399"/>
        <v>Not Required</v>
      </c>
      <c r="AF1904" s="2" t="s">
        <v>4971</v>
      </c>
    </row>
    <row r="1905" spans="1:32" x14ac:dyDescent="0.3">
      <c r="A1905" s="2" t="s">
        <v>4972</v>
      </c>
      <c r="B1905" s="2">
        <f t="shared" si="389"/>
        <v>1</v>
      </c>
      <c r="C1905" s="12">
        <f t="shared" si="401"/>
        <v>46238</v>
      </c>
      <c r="D1905" s="13">
        <v>46238</v>
      </c>
      <c r="E1905" s="2" t="s">
        <v>658</v>
      </c>
      <c r="F1905" s="2" t="str">
        <f t="shared" si="390"/>
        <v>Email Available</v>
      </c>
      <c r="G1905" s="2" t="s">
        <v>659</v>
      </c>
      <c r="H1905" s="2" t="s">
        <v>261</v>
      </c>
      <c r="I1905" s="2" t="s">
        <v>36</v>
      </c>
      <c r="J1905" s="2" t="s">
        <v>262</v>
      </c>
      <c r="K1905" s="2">
        <v>1</v>
      </c>
      <c r="L1905" s="2">
        <v>15.49</v>
      </c>
      <c r="M1905" s="19">
        <f t="shared" si="391"/>
        <v>15.49</v>
      </c>
      <c r="N1905" s="2" t="s">
        <v>203</v>
      </c>
      <c r="O1905" s="2" t="str">
        <f t="shared" si="392"/>
        <v>VIP15</v>
      </c>
      <c r="P1905" s="2">
        <v>2.3199999999999998</v>
      </c>
      <c r="Q1905" s="19">
        <f t="shared" si="393"/>
        <v>2.3199999999999998</v>
      </c>
      <c r="R1905" s="2" t="str">
        <f t="shared" si="394"/>
        <v>Number</v>
      </c>
      <c r="S1905" s="2">
        <v>4.99</v>
      </c>
      <c r="T1905" s="19">
        <f t="shared" si="395"/>
        <v>4.99</v>
      </c>
      <c r="U1905" s="2" t="s">
        <v>3567</v>
      </c>
      <c r="V1905" s="19">
        <f t="shared" si="396"/>
        <v>18.16</v>
      </c>
      <c r="W1905" s="19">
        <f t="shared" si="397"/>
        <v>18.16</v>
      </c>
      <c r="X1905" s="19" t="str">
        <f t="shared" si="398"/>
        <v>True</v>
      </c>
      <c r="Y1905" s="19" t="str">
        <f>IF(OR(W1905&lt;'Cleaning Tasks'!$G$18,W1905&gt;'Cleaning Tasks'!$H$18),"Outlier","Normal")</f>
        <v>Normal</v>
      </c>
      <c r="Z1905" s="2" t="s">
        <v>72</v>
      </c>
      <c r="AA1905" s="2" t="s">
        <v>40</v>
      </c>
      <c r="AB1905" s="2" t="s">
        <v>28</v>
      </c>
      <c r="AC1905" s="2" t="s">
        <v>73</v>
      </c>
      <c r="AD1905" s="2"/>
      <c r="AE1905" s="2" t="str">
        <f t="shared" si="399"/>
        <v>Not Required</v>
      </c>
      <c r="AF1905" s="2" t="s">
        <v>4973</v>
      </c>
    </row>
    <row r="1906" spans="1:32" x14ac:dyDescent="0.3">
      <c r="A1906" s="2" t="s">
        <v>4974</v>
      </c>
      <c r="B1906" s="2">
        <f t="shared" si="389"/>
        <v>1</v>
      </c>
      <c r="C1906" s="12">
        <f t="shared" si="401"/>
        <v>46238.589036215279</v>
      </c>
      <c r="D1906" s="13">
        <v>46238.589036215279</v>
      </c>
      <c r="E1906" s="2" t="s">
        <v>1650</v>
      </c>
      <c r="F1906" s="2" t="str">
        <f t="shared" si="390"/>
        <v>Missing Email</v>
      </c>
      <c r="G1906" s="2"/>
      <c r="H1906" s="2" t="s">
        <v>35</v>
      </c>
      <c r="I1906" s="2" t="s">
        <v>36</v>
      </c>
      <c r="J1906" s="2" t="s">
        <v>37</v>
      </c>
      <c r="K1906" s="2">
        <v>1</v>
      </c>
      <c r="L1906" s="2">
        <v>21.99</v>
      </c>
      <c r="M1906" s="19">
        <f t="shared" si="391"/>
        <v>21.99</v>
      </c>
      <c r="N1906" s="2" t="s">
        <v>203</v>
      </c>
      <c r="O1906" s="2" t="str">
        <f t="shared" si="392"/>
        <v>VIP15</v>
      </c>
      <c r="P1906" s="2">
        <v>3.3</v>
      </c>
      <c r="Q1906" s="19">
        <f t="shared" si="393"/>
        <v>3.3</v>
      </c>
      <c r="R1906" s="2" t="str">
        <f t="shared" si="394"/>
        <v>Number</v>
      </c>
      <c r="S1906" s="2">
        <v>4.99</v>
      </c>
      <c r="T1906" s="19">
        <f t="shared" si="395"/>
        <v>4.99</v>
      </c>
      <c r="U1906" s="2">
        <v>23.68</v>
      </c>
      <c r="V1906" s="19">
        <f t="shared" si="396"/>
        <v>23.68</v>
      </c>
      <c r="W1906" s="19">
        <f t="shared" si="397"/>
        <v>23.68</v>
      </c>
      <c r="X1906" s="19" t="str">
        <f t="shared" si="398"/>
        <v>True</v>
      </c>
      <c r="Y1906" s="19" t="str">
        <f>IF(OR(W1906&lt;'Cleaning Tasks'!$G$18,W1906&gt;'Cleaning Tasks'!$H$18),"Outlier","Normal")</f>
        <v>Normal</v>
      </c>
      <c r="Z1906" s="2" t="s">
        <v>26</v>
      </c>
      <c r="AA1906" s="2" t="s">
        <v>27</v>
      </c>
      <c r="AB1906" s="2" t="s">
        <v>50</v>
      </c>
      <c r="AC1906" s="2" t="s">
        <v>29</v>
      </c>
      <c r="AD1906" s="2" t="s">
        <v>30</v>
      </c>
      <c r="AE1906" s="2" t="str">
        <f t="shared" si="399"/>
        <v>Valid</v>
      </c>
      <c r="AF1906" s="2" t="s">
        <v>4975</v>
      </c>
    </row>
    <row r="1907" spans="1:32" x14ac:dyDescent="0.3">
      <c r="A1907" s="2" t="s">
        <v>4976</v>
      </c>
      <c r="B1907" s="2">
        <f t="shared" si="389"/>
        <v>1</v>
      </c>
      <c r="C1907" s="12">
        <f t="shared" si="401"/>
        <v>46238.584372384263</v>
      </c>
      <c r="D1907" s="13">
        <v>46238.584372384263</v>
      </c>
      <c r="E1907" s="2" t="s">
        <v>485</v>
      </c>
      <c r="F1907" s="2" t="str">
        <f t="shared" si="390"/>
        <v>Email Available</v>
      </c>
      <c r="G1907" s="2" t="s">
        <v>486</v>
      </c>
      <c r="H1907" s="2" t="s">
        <v>56</v>
      </c>
      <c r="I1907" s="2" t="s">
        <v>22</v>
      </c>
      <c r="J1907" s="2" t="s">
        <v>57</v>
      </c>
      <c r="K1907" s="2">
        <v>1</v>
      </c>
      <c r="L1907" s="2">
        <v>9.99</v>
      </c>
      <c r="M1907" s="19">
        <f t="shared" si="391"/>
        <v>9.99</v>
      </c>
      <c r="N1907" s="2" t="s">
        <v>65</v>
      </c>
      <c r="O1907" s="2" t="str">
        <f t="shared" si="392"/>
        <v>WELCOME10</v>
      </c>
      <c r="P1907" s="2">
        <v>1</v>
      </c>
      <c r="Q1907" s="19">
        <f t="shared" si="393"/>
        <v>1</v>
      </c>
      <c r="R1907" s="2" t="str">
        <f t="shared" si="394"/>
        <v>Number</v>
      </c>
      <c r="S1907" s="2">
        <v>4.99</v>
      </c>
      <c r="T1907" s="19">
        <f t="shared" si="395"/>
        <v>4.99</v>
      </c>
      <c r="U1907" s="2">
        <v>13.98</v>
      </c>
      <c r="V1907" s="19">
        <f t="shared" si="396"/>
        <v>13.98</v>
      </c>
      <c r="W1907" s="19">
        <f t="shared" si="397"/>
        <v>13.98</v>
      </c>
      <c r="X1907" s="19" t="str">
        <f t="shared" si="398"/>
        <v>True</v>
      </c>
      <c r="Y1907" s="19" t="str">
        <f>IF(OR(W1907&lt;'Cleaning Tasks'!$G$18,W1907&gt;'Cleaning Tasks'!$H$18),"Outlier","Normal")</f>
        <v>Normal</v>
      </c>
      <c r="Z1907" s="2" t="s">
        <v>26</v>
      </c>
      <c r="AA1907" s="2" t="s">
        <v>40</v>
      </c>
      <c r="AB1907" s="2" t="s">
        <v>41</v>
      </c>
      <c r="AC1907" s="2" t="s">
        <v>73</v>
      </c>
      <c r="AD1907" s="2"/>
      <c r="AE1907" s="2" t="str">
        <f t="shared" si="399"/>
        <v>Not Required</v>
      </c>
      <c r="AF1907" s="2" t="s">
        <v>4977</v>
      </c>
    </row>
    <row r="1908" spans="1:32" x14ac:dyDescent="0.3">
      <c r="A1908" s="2" t="s">
        <v>4978</v>
      </c>
      <c r="B1908" s="2">
        <f t="shared" si="389"/>
        <v>1</v>
      </c>
      <c r="C1908" s="12">
        <f t="shared" si="401"/>
        <v>46238.579887280102</v>
      </c>
      <c r="D1908" s="13">
        <v>46238.579887280102</v>
      </c>
      <c r="E1908" s="2" t="s">
        <v>1320</v>
      </c>
      <c r="F1908" s="2" t="str">
        <f t="shared" si="390"/>
        <v>Missing Email</v>
      </c>
      <c r="G1908" s="2"/>
      <c r="H1908" s="2" t="s">
        <v>166</v>
      </c>
      <c r="I1908" s="2" t="s">
        <v>103</v>
      </c>
      <c r="J1908" s="2" t="s">
        <v>167</v>
      </c>
      <c r="K1908" s="2">
        <v>2</v>
      </c>
      <c r="L1908" s="2">
        <v>32.99</v>
      </c>
      <c r="M1908" s="19">
        <f t="shared" si="391"/>
        <v>32.99</v>
      </c>
      <c r="N1908" s="2"/>
      <c r="O1908" s="2" t="str">
        <f t="shared" si="392"/>
        <v/>
      </c>
      <c r="P1908" s="2" t="s">
        <v>184</v>
      </c>
      <c r="Q1908" s="19">
        <f t="shared" si="393"/>
        <v>0</v>
      </c>
      <c r="R1908" s="2" t="str">
        <f t="shared" si="394"/>
        <v>Number</v>
      </c>
      <c r="S1908" s="2">
        <v>4.99</v>
      </c>
      <c r="T1908" s="19">
        <f t="shared" si="395"/>
        <v>4.99</v>
      </c>
      <c r="U1908" s="2">
        <v>70.97</v>
      </c>
      <c r="V1908" s="19">
        <f t="shared" si="396"/>
        <v>70.97</v>
      </c>
      <c r="W1908" s="19">
        <f t="shared" si="397"/>
        <v>70.97</v>
      </c>
      <c r="X1908" s="19" t="str">
        <f t="shared" si="398"/>
        <v>True</v>
      </c>
      <c r="Y1908" s="19" t="str">
        <f>IF(OR(W1908&lt;'Cleaning Tasks'!$G$18,W1908&gt;'Cleaning Tasks'!$H$18),"Outlier","Normal")</f>
        <v>Normal</v>
      </c>
      <c r="Z1908" s="2" t="s">
        <v>72</v>
      </c>
      <c r="AA1908" s="2" t="s">
        <v>40</v>
      </c>
      <c r="AB1908" s="2" t="s">
        <v>50</v>
      </c>
      <c r="AC1908" s="2" t="s">
        <v>42</v>
      </c>
      <c r="AD1908" s="2"/>
      <c r="AE1908" s="2" t="str">
        <f t="shared" si="399"/>
        <v>Not Required</v>
      </c>
      <c r="AF1908" s="2" t="s">
        <v>4979</v>
      </c>
    </row>
    <row r="1909" spans="1:32" x14ac:dyDescent="0.3">
      <c r="A1909" s="2" t="s">
        <v>4980</v>
      </c>
      <c r="B1909" s="2">
        <f t="shared" si="389"/>
        <v>1</v>
      </c>
      <c r="C1909" s="12">
        <f t="shared" si="401"/>
        <v>46238.585938622688</v>
      </c>
      <c r="D1909" s="13">
        <v>46238.585938622688</v>
      </c>
      <c r="E1909" s="2" t="s">
        <v>856</v>
      </c>
      <c r="F1909" s="2" t="str">
        <f t="shared" si="390"/>
        <v>Email Available</v>
      </c>
      <c r="G1909" s="2" t="s">
        <v>857</v>
      </c>
      <c r="H1909" s="2" t="s">
        <v>201</v>
      </c>
      <c r="I1909" s="2" t="s">
        <v>191</v>
      </c>
      <c r="J1909" s="2" t="s">
        <v>202</v>
      </c>
      <c r="K1909" s="2">
        <v>1</v>
      </c>
      <c r="L1909" s="2">
        <v>24.99</v>
      </c>
      <c r="M1909" s="19">
        <f t="shared" si="391"/>
        <v>24.99</v>
      </c>
      <c r="N1909" s="2" t="s">
        <v>203</v>
      </c>
      <c r="O1909" s="2" t="str">
        <f t="shared" si="392"/>
        <v>VIP15</v>
      </c>
      <c r="P1909" s="2" t="s">
        <v>4056</v>
      </c>
      <c r="Q1909" s="19">
        <f t="shared" si="393"/>
        <v>3.75</v>
      </c>
      <c r="R1909" s="2" t="str">
        <f t="shared" si="394"/>
        <v>Number</v>
      </c>
      <c r="S1909" s="2">
        <v>4.99</v>
      </c>
      <c r="T1909" s="19">
        <f t="shared" si="395"/>
        <v>4.99</v>
      </c>
      <c r="U1909" s="2" t="s">
        <v>4981</v>
      </c>
      <c r="V1909" s="19">
        <f t="shared" si="396"/>
        <v>26.23</v>
      </c>
      <c r="W1909" s="19">
        <f t="shared" si="397"/>
        <v>26.229999999999997</v>
      </c>
      <c r="X1909" s="19" t="str">
        <f t="shared" si="398"/>
        <v>True</v>
      </c>
      <c r="Y1909" s="19" t="str">
        <f>IF(OR(W1909&lt;'Cleaning Tasks'!$G$18,W1909&gt;'Cleaning Tasks'!$H$18),"Outlier","Normal")</f>
        <v>Normal</v>
      </c>
      <c r="Z1909" s="2" t="s">
        <v>26</v>
      </c>
      <c r="AA1909" s="2" t="s">
        <v>40</v>
      </c>
      <c r="AB1909" s="2" t="s">
        <v>50</v>
      </c>
      <c r="AC1909" s="2" t="s">
        <v>105</v>
      </c>
      <c r="AD1909" s="2"/>
      <c r="AE1909" s="2" t="str">
        <f t="shared" si="399"/>
        <v>Not Required</v>
      </c>
      <c r="AF1909" s="2" t="s">
        <v>3400</v>
      </c>
    </row>
    <row r="1910" spans="1:32" x14ac:dyDescent="0.3">
      <c r="A1910" s="2" t="s">
        <v>4982</v>
      </c>
      <c r="B1910" s="2">
        <f t="shared" si="389"/>
        <v>1</v>
      </c>
      <c r="C1910" s="12">
        <f t="shared" si="401"/>
        <v>46238.57989616898</v>
      </c>
      <c r="D1910" s="13">
        <v>46238.57989616898</v>
      </c>
      <c r="E1910" s="2" t="s">
        <v>381</v>
      </c>
      <c r="F1910" s="2" t="str">
        <f t="shared" si="390"/>
        <v>Email Available</v>
      </c>
      <c r="G1910" s="2" t="s">
        <v>382</v>
      </c>
      <c r="H1910" s="2" t="s">
        <v>130</v>
      </c>
      <c r="I1910" s="2" t="s">
        <v>103</v>
      </c>
      <c r="J1910" s="2" t="s">
        <v>131</v>
      </c>
      <c r="K1910" s="2">
        <v>1</v>
      </c>
      <c r="L1910" s="2">
        <v>16.989999999999998</v>
      </c>
      <c r="M1910" s="19">
        <f t="shared" si="391"/>
        <v>16.989999999999998</v>
      </c>
      <c r="N1910" s="2"/>
      <c r="O1910" s="2" t="str">
        <f t="shared" si="392"/>
        <v/>
      </c>
      <c r="P1910" s="2">
        <v>0</v>
      </c>
      <c r="Q1910" s="19">
        <f t="shared" si="393"/>
        <v>0</v>
      </c>
      <c r="R1910" s="2" t="str">
        <f t="shared" si="394"/>
        <v>Number</v>
      </c>
      <c r="S1910" s="2">
        <v>4.99</v>
      </c>
      <c r="T1910" s="19">
        <f t="shared" si="395"/>
        <v>4.99</v>
      </c>
      <c r="U1910" s="2">
        <v>21.98</v>
      </c>
      <c r="V1910" s="19">
        <f t="shared" si="396"/>
        <v>21.98</v>
      </c>
      <c r="W1910" s="19">
        <f t="shared" si="397"/>
        <v>21.979999999999997</v>
      </c>
      <c r="X1910" s="19" t="str">
        <f t="shared" si="398"/>
        <v>True</v>
      </c>
      <c r="Y1910" s="19" t="str">
        <f>IF(OR(W1910&lt;'Cleaning Tasks'!$G$18,W1910&gt;'Cleaning Tasks'!$H$18),"Outlier","Normal")</f>
        <v>Normal</v>
      </c>
      <c r="Z1910" s="2" t="s">
        <v>66</v>
      </c>
      <c r="AA1910" s="2" t="s">
        <v>88</v>
      </c>
      <c r="AB1910" s="2" t="s">
        <v>50</v>
      </c>
      <c r="AC1910" s="2" t="s">
        <v>29</v>
      </c>
      <c r="AD1910" s="2" t="s">
        <v>58</v>
      </c>
      <c r="AE1910" s="2" t="str">
        <f t="shared" si="399"/>
        <v>Valid</v>
      </c>
      <c r="AF1910" s="2" t="s">
        <v>514</v>
      </c>
    </row>
    <row r="1911" spans="1:32" x14ac:dyDescent="0.3">
      <c r="A1911" s="2" t="s">
        <v>4983</v>
      </c>
      <c r="B1911" s="2">
        <f t="shared" si="389"/>
        <v>1</v>
      </c>
      <c r="C1911" s="12">
        <f t="shared" si="401"/>
        <v>46238.57956377315</v>
      </c>
      <c r="D1911" s="13">
        <v>46238.57956377315</v>
      </c>
      <c r="E1911" s="2" t="s">
        <v>199</v>
      </c>
      <c r="F1911" s="2" t="str">
        <f t="shared" si="390"/>
        <v>Email Available</v>
      </c>
      <c r="G1911" s="2" t="s">
        <v>200</v>
      </c>
      <c r="H1911" s="2" t="s">
        <v>267</v>
      </c>
      <c r="I1911" s="2" t="s">
        <v>22</v>
      </c>
      <c r="J1911" s="2" t="s">
        <v>268</v>
      </c>
      <c r="K1911" s="2">
        <v>2</v>
      </c>
      <c r="L1911" s="2">
        <v>18.989999999999998</v>
      </c>
      <c r="M1911" s="19">
        <f t="shared" si="391"/>
        <v>18.989999999999998</v>
      </c>
      <c r="N1911" s="2"/>
      <c r="O1911" s="2" t="str">
        <f t="shared" si="392"/>
        <v/>
      </c>
      <c r="P1911" s="2">
        <v>0</v>
      </c>
      <c r="Q1911" s="19">
        <f t="shared" si="393"/>
        <v>0</v>
      </c>
      <c r="R1911" s="2" t="str">
        <f t="shared" si="394"/>
        <v>Number</v>
      </c>
      <c r="S1911" s="2">
        <v>5.99</v>
      </c>
      <c r="T1911" s="19">
        <f t="shared" si="395"/>
        <v>5.99</v>
      </c>
      <c r="U1911" s="2">
        <v>43.97</v>
      </c>
      <c r="V1911" s="19">
        <f t="shared" si="396"/>
        <v>43.97</v>
      </c>
      <c r="W1911" s="19">
        <f t="shared" si="397"/>
        <v>43.97</v>
      </c>
      <c r="X1911" s="19" t="str">
        <f t="shared" si="398"/>
        <v>True</v>
      </c>
      <c r="Y1911" s="19" t="str">
        <f>IF(OR(W1911&lt;'Cleaning Tasks'!$G$18,W1911&gt;'Cleaning Tasks'!$H$18),"Outlier","Normal")</f>
        <v>Normal</v>
      </c>
      <c r="Z1911" s="2" t="s">
        <v>66</v>
      </c>
      <c r="AA1911" s="2" t="s">
        <v>27</v>
      </c>
      <c r="AB1911" s="2" t="s">
        <v>50</v>
      </c>
      <c r="AC1911" s="2" t="s">
        <v>73</v>
      </c>
      <c r="AD1911" s="2"/>
      <c r="AE1911" s="2" t="str">
        <f t="shared" si="399"/>
        <v>Not Required</v>
      </c>
      <c r="AF1911" s="2" t="s">
        <v>4984</v>
      </c>
    </row>
    <row r="1912" spans="1:32" x14ac:dyDescent="0.3">
      <c r="A1912" s="2" t="s">
        <v>4985</v>
      </c>
      <c r="B1912" s="2">
        <f t="shared" si="389"/>
        <v>1</v>
      </c>
      <c r="C1912" s="12">
        <f t="shared" si="401"/>
        <v>46238</v>
      </c>
      <c r="D1912" s="13" t="s">
        <v>143</v>
      </c>
      <c r="E1912" s="2" t="s">
        <v>3427</v>
      </c>
      <c r="F1912" s="2" t="str">
        <f t="shared" si="390"/>
        <v>Email Available</v>
      </c>
      <c r="G1912" s="2" t="s">
        <v>3428</v>
      </c>
      <c r="H1912" s="2" t="s">
        <v>182</v>
      </c>
      <c r="I1912" s="2" t="s">
        <v>36</v>
      </c>
      <c r="J1912" s="2" t="s">
        <v>183</v>
      </c>
      <c r="K1912" s="2">
        <v>2</v>
      </c>
      <c r="L1912" s="2">
        <v>11.99</v>
      </c>
      <c r="M1912" s="19">
        <f t="shared" si="391"/>
        <v>11.99</v>
      </c>
      <c r="N1912" s="2"/>
      <c r="O1912" s="2" t="str">
        <f t="shared" si="392"/>
        <v/>
      </c>
      <c r="P1912" s="2">
        <v>0</v>
      </c>
      <c r="Q1912" s="19">
        <f t="shared" si="393"/>
        <v>0</v>
      </c>
      <c r="R1912" s="2" t="str">
        <f t="shared" si="394"/>
        <v>Number</v>
      </c>
      <c r="S1912" s="2">
        <v>4.99</v>
      </c>
      <c r="T1912" s="19">
        <f t="shared" si="395"/>
        <v>4.99</v>
      </c>
      <c r="U1912" s="2">
        <v>28.97</v>
      </c>
      <c r="V1912" s="19">
        <f t="shared" si="396"/>
        <v>28.97</v>
      </c>
      <c r="W1912" s="19">
        <f t="shared" si="397"/>
        <v>28.97</v>
      </c>
      <c r="X1912" s="19" t="str">
        <f t="shared" si="398"/>
        <v>True</v>
      </c>
      <c r="Y1912" s="19" t="str">
        <f>IF(OR(W1912&lt;'Cleaning Tasks'!$G$18,W1912&gt;'Cleaning Tasks'!$H$18),"Outlier","Normal")</f>
        <v>Normal</v>
      </c>
      <c r="Z1912" s="2" t="s">
        <v>49</v>
      </c>
      <c r="AA1912" s="2" t="s">
        <v>88</v>
      </c>
      <c r="AB1912" s="2" t="s">
        <v>41</v>
      </c>
      <c r="AC1912" s="2" t="s">
        <v>42</v>
      </c>
      <c r="AD1912" s="2"/>
      <c r="AE1912" s="2" t="str">
        <f t="shared" si="399"/>
        <v>Not Required</v>
      </c>
      <c r="AF1912" s="2" t="s">
        <v>4986</v>
      </c>
    </row>
    <row r="1913" spans="1:32" x14ac:dyDescent="0.3">
      <c r="A1913" s="2" t="s">
        <v>4987</v>
      </c>
      <c r="B1913" s="2">
        <f t="shared" si="389"/>
        <v>1</v>
      </c>
      <c r="C1913" s="12">
        <f t="shared" si="401"/>
        <v>46238.587999456016</v>
      </c>
      <c r="D1913" s="13">
        <v>46238.587999456016</v>
      </c>
      <c r="E1913" s="2" t="s">
        <v>1930</v>
      </c>
      <c r="F1913" s="2" t="str">
        <f t="shared" si="390"/>
        <v>Email Available</v>
      </c>
      <c r="G1913" s="2" t="s">
        <v>3998</v>
      </c>
      <c r="H1913" s="2" t="s">
        <v>46</v>
      </c>
      <c r="I1913" s="2" t="s">
        <v>47</v>
      </c>
      <c r="J1913" s="2" t="s">
        <v>48</v>
      </c>
      <c r="K1913" s="2">
        <v>1</v>
      </c>
      <c r="L1913" s="2">
        <v>39.99</v>
      </c>
      <c r="M1913" s="19">
        <f t="shared" si="391"/>
        <v>39.99</v>
      </c>
      <c r="N1913" s="2"/>
      <c r="O1913" s="2" t="str">
        <f t="shared" si="392"/>
        <v/>
      </c>
      <c r="P1913" s="2">
        <v>0</v>
      </c>
      <c r="Q1913" s="19">
        <f t="shared" si="393"/>
        <v>0</v>
      </c>
      <c r="R1913" s="2" t="str">
        <f t="shared" si="394"/>
        <v>Number</v>
      </c>
      <c r="S1913" s="2">
        <v>5.99</v>
      </c>
      <c r="T1913" s="19">
        <f t="shared" si="395"/>
        <v>5.99</v>
      </c>
      <c r="U1913" s="2">
        <v>45.98</v>
      </c>
      <c r="V1913" s="19">
        <f t="shared" si="396"/>
        <v>45.98</v>
      </c>
      <c r="W1913" s="19">
        <f t="shared" si="397"/>
        <v>45.980000000000004</v>
      </c>
      <c r="X1913" s="19" t="str">
        <f t="shared" si="398"/>
        <v>True</v>
      </c>
      <c r="Y1913" s="19" t="str">
        <f>IF(OR(W1913&lt;'Cleaning Tasks'!$G$18,W1913&gt;'Cleaning Tasks'!$H$18),"Outlier","Normal")</f>
        <v>Normal</v>
      </c>
      <c r="Z1913" s="2" t="s">
        <v>72</v>
      </c>
      <c r="AA1913" s="2" t="s">
        <v>40</v>
      </c>
      <c r="AB1913" s="2" t="s">
        <v>41</v>
      </c>
      <c r="AC1913" s="2" t="s">
        <v>223</v>
      </c>
      <c r="AD1913" s="2"/>
      <c r="AE1913" s="2" t="str">
        <f t="shared" si="399"/>
        <v>Not Required</v>
      </c>
      <c r="AF1913" s="2" t="s">
        <v>4988</v>
      </c>
    </row>
    <row r="1914" spans="1:32" x14ac:dyDescent="0.3">
      <c r="A1914" s="2" t="s">
        <v>4989</v>
      </c>
      <c r="B1914" s="2">
        <f t="shared" si="389"/>
        <v>1</v>
      </c>
      <c r="C1914" s="12">
        <f t="shared" si="401"/>
        <v>46238.583952951391</v>
      </c>
      <c r="D1914" s="13">
        <v>46238.583952951391</v>
      </c>
      <c r="E1914" s="2" t="s">
        <v>4990</v>
      </c>
      <c r="F1914" s="2" t="str">
        <f t="shared" si="390"/>
        <v>Email Available</v>
      </c>
      <c r="G1914" s="2" t="s">
        <v>607</v>
      </c>
      <c r="H1914" s="2" t="s">
        <v>361</v>
      </c>
      <c r="I1914" s="2" t="s">
        <v>86</v>
      </c>
      <c r="J1914" s="2" t="s">
        <v>362</v>
      </c>
      <c r="K1914" s="2">
        <v>1</v>
      </c>
      <c r="L1914" s="2">
        <v>54.99</v>
      </c>
      <c r="M1914" s="19">
        <f t="shared" si="391"/>
        <v>54.99</v>
      </c>
      <c r="N1914" s="2" t="s">
        <v>118</v>
      </c>
      <c r="O1914" s="2" t="str">
        <f t="shared" si="392"/>
        <v>BFCM25</v>
      </c>
      <c r="P1914" s="2">
        <v>13.75</v>
      </c>
      <c r="Q1914" s="19">
        <f t="shared" si="393"/>
        <v>13.75</v>
      </c>
      <c r="R1914" s="2" t="str">
        <f t="shared" si="394"/>
        <v>Number</v>
      </c>
      <c r="S1914" s="2">
        <v>4.99</v>
      </c>
      <c r="T1914" s="19">
        <f t="shared" si="395"/>
        <v>4.99</v>
      </c>
      <c r="U1914" s="2">
        <v>46.23</v>
      </c>
      <c r="V1914" s="19">
        <f t="shared" si="396"/>
        <v>46.23</v>
      </c>
      <c r="W1914" s="19">
        <f t="shared" si="397"/>
        <v>46.230000000000004</v>
      </c>
      <c r="X1914" s="19" t="str">
        <f t="shared" si="398"/>
        <v>True</v>
      </c>
      <c r="Y1914" s="19" t="str">
        <f>IF(OR(W1914&lt;'Cleaning Tasks'!$G$18,W1914&gt;'Cleaning Tasks'!$H$18),"Outlier","Normal")</f>
        <v>Normal</v>
      </c>
      <c r="Z1914" s="2" t="s">
        <v>49</v>
      </c>
      <c r="AA1914" s="2" t="s">
        <v>40</v>
      </c>
      <c r="AB1914" s="2" t="s">
        <v>96</v>
      </c>
      <c r="AC1914" s="2" t="s">
        <v>42</v>
      </c>
      <c r="AD1914" s="2"/>
      <c r="AE1914" s="2" t="str">
        <f t="shared" si="399"/>
        <v>Not Required</v>
      </c>
      <c r="AF1914" s="2" t="s">
        <v>4991</v>
      </c>
    </row>
    <row r="1915" spans="1:32" x14ac:dyDescent="0.3">
      <c r="A1915" s="2" t="s">
        <v>4992</v>
      </c>
      <c r="B1915" s="2">
        <f t="shared" si="389"/>
        <v>1</v>
      </c>
      <c r="C1915" s="12">
        <f t="shared" si="401"/>
        <v>46238.588087800927</v>
      </c>
      <c r="D1915" s="13">
        <v>46238.588087800927</v>
      </c>
      <c r="E1915" s="2" t="s">
        <v>313</v>
      </c>
      <c r="F1915" s="2" t="str">
        <f t="shared" si="390"/>
        <v>Email Available</v>
      </c>
      <c r="G1915" s="2" t="s">
        <v>314</v>
      </c>
      <c r="H1915" s="2" t="s">
        <v>166</v>
      </c>
      <c r="I1915" s="2" t="s">
        <v>103</v>
      </c>
      <c r="J1915" s="2" t="s">
        <v>167</v>
      </c>
      <c r="K1915" s="2">
        <v>2</v>
      </c>
      <c r="L1915" s="2">
        <v>32.99</v>
      </c>
      <c r="M1915" s="19">
        <f t="shared" si="391"/>
        <v>32.99</v>
      </c>
      <c r="N1915" s="2" t="s">
        <v>38</v>
      </c>
      <c r="O1915" s="2" t="str">
        <f t="shared" si="392"/>
        <v>FREESHIP</v>
      </c>
      <c r="P1915" s="2">
        <v>0</v>
      </c>
      <c r="Q1915" s="19">
        <f t="shared" si="393"/>
        <v>0</v>
      </c>
      <c r="R1915" s="2" t="str">
        <f t="shared" si="394"/>
        <v>Number</v>
      </c>
      <c r="S1915" s="2">
        <v>0</v>
      </c>
      <c r="T1915" s="19">
        <f t="shared" si="395"/>
        <v>0</v>
      </c>
      <c r="U1915" s="2">
        <v>65.98</v>
      </c>
      <c r="V1915" s="19">
        <f t="shared" si="396"/>
        <v>65.98</v>
      </c>
      <c r="W1915" s="19">
        <f t="shared" si="397"/>
        <v>65.98</v>
      </c>
      <c r="X1915" s="19" t="str">
        <f t="shared" si="398"/>
        <v>True</v>
      </c>
      <c r="Y1915" s="19" t="str">
        <f>IF(OR(W1915&lt;'Cleaning Tasks'!$G$18,W1915&gt;'Cleaning Tasks'!$H$18),"Outlier","Normal")</f>
        <v>Normal</v>
      </c>
      <c r="Z1915" s="2" t="s">
        <v>49</v>
      </c>
      <c r="AA1915" s="2" t="s">
        <v>88</v>
      </c>
      <c r="AB1915" s="2" t="s">
        <v>50</v>
      </c>
      <c r="AC1915" s="2" t="s">
        <v>73</v>
      </c>
      <c r="AD1915" s="2"/>
      <c r="AE1915" s="2" t="str">
        <f t="shared" si="399"/>
        <v>Not Required</v>
      </c>
      <c r="AF1915" s="2" t="s">
        <v>4993</v>
      </c>
    </row>
    <row r="1916" spans="1:32" x14ac:dyDescent="0.3">
      <c r="A1916" s="2" t="s">
        <v>4994</v>
      </c>
      <c r="B1916" s="2">
        <f t="shared" si="389"/>
        <v>1</v>
      </c>
      <c r="C1916" s="12">
        <f t="shared" si="401"/>
        <v>46238.584658333333</v>
      </c>
      <c r="D1916" s="13">
        <v>46238.584658333333</v>
      </c>
      <c r="E1916" s="2" t="s">
        <v>760</v>
      </c>
      <c r="F1916" s="2" t="str">
        <f t="shared" si="390"/>
        <v>Email Available</v>
      </c>
      <c r="G1916" s="2" t="s">
        <v>761</v>
      </c>
      <c r="H1916" s="2" t="s">
        <v>279</v>
      </c>
      <c r="I1916" s="2" t="s">
        <v>22</v>
      </c>
      <c r="J1916" s="2" t="s">
        <v>280</v>
      </c>
      <c r="K1916" s="2">
        <v>1</v>
      </c>
      <c r="L1916" s="2">
        <v>24.99</v>
      </c>
      <c r="M1916" s="19">
        <f t="shared" si="391"/>
        <v>24.99</v>
      </c>
      <c r="N1916" s="2"/>
      <c r="O1916" s="2" t="str">
        <f t="shared" si="392"/>
        <v/>
      </c>
      <c r="P1916" s="2">
        <v>0</v>
      </c>
      <c r="Q1916" s="19">
        <f t="shared" si="393"/>
        <v>0</v>
      </c>
      <c r="R1916" s="2" t="str">
        <f t="shared" si="394"/>
        <v>Number</v>
      </c>
      <c r="S1916" s="2">
        <v>5.99</v>
      </c>
      <c r="T1916" s="19">
        <f t="shared" si="395"/>
        <v>5.99</v>
      </c>
      <c r="U1916" s="2">
        <v>30.98</v>
      </c>
      <c r="V1916" s="19">
        <f t="shared" si="396"/>
        <v>30.98</v>
      </c>
      <c r="W1916" s="19">
        <f t="shared" si="397"/>
        <v>30.979999999999997</v>
      </c>
      <c r="X1916" s="19" t="str">
        <f t="shared" si="398"/>
        <v>True</v>
      </c>
      <c r="Y1916" s="19" t="str">
        <f>IF(OR(W1916&lt;'Cleaning Tasks'!$G$18,W1916&gt;'Cleaning Tasks'!$H$18),"Outlier","Normal")</f>
        <v>Normal</v>
      </c>
      <c r="Z1916" s="2" t="s">
        <v>72</v>
      </c>
      <c r="AA1916" s="2" t="s">
        <v>88</v>
      </c>
      <c r="AB1916" s="2" t="s">
        <v>50</v>
      </c>
      <c r="AC1916" s="2" t="s">
        <v>29</v>
      </c>
      <c r="AD1916" s="2" t="s">
        <v>30</v>
      </c>
      <c r="AE1916" s="2" t="str">
        <f t="shared" si="399"/>
        <v>Valid</v>
      </c>
      <c r="AF1916" s="2" t="s">
        <v>4995</v>
      </c>
    </row>
    <row r="1917" spans="1:32" x14ac:dyDescent="0.3">
      <c r="A1917" s="2" t="s">
        <v>4996</v>
      </c>
      <c r="B1917" s="2">
        <f t="shared" si="389"/>
        <v>1</v>
      </c>
      <c r="C1917" s="12">
        <f t="shared" si="401"/>
        <v>46238</v>
      </c>
      <c r="D1917" s="13" t="s">
        <v>143</v>
      </c>
      <c r="E1917" s="2" t="s">
        <v>409</v>
      </c>
      <c r="F1917" s="2" t="str">
        <f t="shared" si="390"/>
        <v>Email Available</v>
      </c>
      <c r="G1917" s="2" t="s">
        <v>410</v>
      </c>
      <c r="H1917" s="2" t="s">
        <v>117</v>
      </c>
      <c r="I1917" s="2" t="s">
        <v>22</v>
      </c>
      <c r="J1917" s="2" t="s">
        <v>23</v>
      </c>
      <c r="K1917" s="2">
        <v>1</v>
      </c>
      <c r="L1917" s="2">
        <v>12.99</v>
      </c>
      <c r="M1917" s="19">
        <f t="shared" si="391"/>
        <v>12.99</v>
      </c>
      <c r="N1917" s="2" t="s">
        <v>24</v>
      </c>
      <c r="O1917" s="2" t="str">
        <f t="shared" si="392"/>
        <v>SAVE20</v>
      </c>
      <c r="P1917" s="2">
        <v>2.6</v>
      </c>
      <c r="Q1917" s="19">
        <f t="shared" si="393"/>
        <v>2.6</v>
      </c>
      <c r="R1917" s="2" t="str">
        <f t="shared" si="394"/>
        <v>Number</v>
      </c>
      <c r="S1917" s="2">
        <v>4.99</v>
      </c>
      <c r="T1917" s="19">
        <f t="shared" si="395"/>
        <v>4.99</v>
      </c>
      <c r="U1917" s="2">
        <v>15.38</v>
      </c>
      <c r="V1917" s="19">
        <f t="shared" si="396"/>
        <v>15.38</v>
      </c>
      <c r="W1917" s="19">
        <f t="shared" si="397"/>
        <v>15.38</v>
      </c>
      <c r="X1917" s="19" t="str">
        <f t="shared" si="398"/>
        <v>True</v>
      </c>
      <c r="Y1917" s="19" t="str">
        <f>IF(OR(W1917&lt;'Cleaning Tasks'!$G$18,W1917&gt;'Cleaning Tasks'!$H$18),"Outlier","Normal")</f>
        <v>Normal</v>
      </c>
      <c r="Z1917" s="2" t="s">
        <v>49</v>
      </c>
      <c r="AA1917" s="2" t="s">
        <v>27</v>
      </c>
      <c r="AB1917" s="2" t="s">
        <v>28</v>
      </c>
      <c r="AC1917" s="2" t="s">
        <v>42</v>
      </c>
      <c r="AD1917" s="2"/>
      <c r="AE1917" s="2" t="str">
        <f t="shared" si="399"/>
        <v>Not Required</v>
      </c>
      <c r="AF1917" s="2" t="s">
        <v>4997</v>
      </c>
    </row>
    <row r="1918" spans="1:32" x14ac:dyDescent="0.3">
      <c r="A1918" s="2" t="s">
        <v>4998</v>
      </c>
      <c r="B1918" s="2">
        <f t="shared" si="389"/>
        <v>1</v>
      </c>
      <c r="C1918" s="12">
        <f t="shared" si="401"/>
        <v>46238.586878587957</v>
      </c>
      <c r="D1918" s="13">
        <v>46238.586878587957</v>
      </c>
      <c r="E1918" s="2" t="s">
        <v>935</v>
      </c>
      <c r="F1918" s="2" t="str">
        <f t="shared" si="390"/>
        <v>Email Available</v>
      </c>
      <c r="G1918" s="2" t="s">
        <v>936</v>
      </c>
      <c r="H1918" s="2" t="s">
        <v>56</v>
      </c>
      <c r="I1918" s="2" t="s">
        <v>22</v>
      </c>
      <c r="J1918" s="2" t="s">
        <v>57</v>
      </c>
      <c r="K1918" s="2">
        <v>2</v>
      </c>
      <c r="L1918" s="2">
        <v>9.99</v>
      </c>
      <c r="M1918" s="19">
        <f t="shared" si="391"/>
        <v>9.99</v>
      </c>
      <c r="N1918" s="2" t="s">
        <v>203</v>
      </c>
      <c r="O1918" s="2" t="str">
        <f t="shared" si="392"/>
        <v>VIP15</v>
      </c>
      <c r="P1918" s="2">
        <v>3</v>
      </c>
      <c r="Q1918" s="19">
        <f t="shared" si="393"/>
        <v>3</v>
      </c>
      <c r="R1918" s="2" t="str">
        <f t="shared" si="394"/>
        <v>Number</v>
      </c>
      <c r="S1918" s="2">
        <v>7.99</v>
      </c>
      <c r="T1918" s="19">
        <f t="shared" si="395"/>
        <v>7.99</v>
      </c>
      <c r="U1918" s="2">
        <v>24.97</v>
      </c>
      <c r="V1918" s="19">
        <f t="shared" si="396"/>
        <v>24.97</v>
      </c>
      <c r="W1918" s="19">
        <f t="shared" si="397"/>
        <v>24.97</v>
      </c>
      <c r="X1918" s="19" t="str">
        <f t="shared" si="398"/>
        <v>True</v>
      </c>
      <c r="Y1918" s="19" t="str">
        <f>IF(OR(W1918&lt;'Cleaning Tasks'!$G$18,W1918&gt;'Cleaning Tasks'!$H$18),"Outlier","Normal")</f>
        <v>Normal</v>
      </c>
      <c r="Z1918" s="2" t="s">
        <v>26</v>
      </c>
      <c r="AA1918" s="2" t="s">
        <v>27</v>
      </c>
      <c r="AB1918" s="2" t="s">
        <v>96</v>
      </c>
      <c r="AC1918" s="2" t="s">
        <v>29</v>
      </c>
      <c r="AD1918" s="2" t="s">
        <v>341</v>
      </c>
      <c r="AE1918" s="2" t="str">
        <f t="shared" si="399"/>
        <v>Valid</v>
      </c>
      <c r="AF1918" s="2" t="s">
        <v>4999</v>
      </c>
    </row>
    <row r="1919" spans="1:32" x14ac:dyDescent="0.3">
      <c r="A1919" s="2" t="s">
        <v>5000</v>
      </c>
      <c r="B1919" s="2">
        <f t="shared" si="389"/>
        <v>1</v>
      </c>
      <c r="C1919" s="12">
        <f t="shared" si="401"/>
        <v>46238</v>
      </c>
      <c r="D1919" s="13" t="s">
        <v>1123</v>
      </c>
      <c r="E1919" s="2" t="s">
        <v>815</v>
      </c>
      <c r="F1919" s="2" t="str">
        <f t="shared" si="390"/>
        <v>Email Available</v>
      </c>
      <c r="G1919" s="2" t="s">
        <v>816</v>
      </c>
      <c r="H1919" s="2" t="s">
        <v>35</v>
      </c>
      <c r="I1919" s="2" t="s">
        <v>36</v>
      </c>
      <c r="J1919" s="2" t="s">
        <v>37</v>
      </c>
      <c r="K1919" s="2">
        <v>1</v>
      </c>
      <c r="L1919" s="2">
        <v>21.99</v>
      </c>
      <c r="M1919" s="19">
        <f t="shared" si="391"/>
        <v>21.99</v>
      </c>
      <c r="N1919" s="2"/>
      <c r="O1919" s="2" t="str">
        <f t="shared" si="392"/>
        <v/>
      </c>
      <c r="P1919" s="2">
        <v>0</v>
      </c>
      <c r="Q1919" s="19">
        <f t="shared" si="393"/>
        <v>0</v>
      </c>
      <c r="R1919" s="2" t="str">
        <f t="shared" si="394"/>
        <v>Number</v>
      </c>
      <c r="S1919" s="2">
        <v>5.99</v>
      </c>
      <c r="T1919" s="19">
        <f t="shared" si="395"/>
        <v>5.99</v>
      </c>
      <c r="U1919" s="2">
        <v>27.98</v>
      </c>
      <c r="V1919" s="19">
        <f t="shared" si="396"/>
        <v>27.98</v>
      </c>
      <c r="W1919" s="19">
        <f t="shared" si="397"/>
        <v>27.979999999999997</v>
      </c>
      <c r="X1919" s="19" t="str">
        <f t="shared" si="398"/>
        <v>True</v>
      </c>
      <c r="Y1919" s="19" t="str">
        <f>IF(OR(W1919&lt;'Cleaning Tasks'!$G$18,W1919&gt;'Cleaning Tasks'!$H$18),"Outlier","Normal")</f>
        <v>Normal</v>
      </c>
      <c r="Z1919" s="2" t="s">
        <v>49</v>
      </c>
      <c r="AA1919" s="2" t="s">
        <v>27</v>
      </c>
      <c r="AB1919" s="2" t="s">
        <v>50</v>
      </c>
      <c r="AC1919" s="2" t="s">
        <v>73</v>
      </c>
      <c r="AD1919" s="2"/>
      <c r="AE1919" s="2" t="str">
        <f t="shared" si="399"/>
        <v>Not Required</v>
      </c>
      <c r="AF1919" s="2" t="s">
        <v>5001</v>
      </c>
    </row>
    <row r="1920" spans="1:32" x14ac:dyDescent="0.3">
      <c r="A1920" s="2" t="s">
        <v>5002</v>
      </c>
      <c r="B1920" s="2">
        <f t="shared" si="389"/>
        <v>1</v>
      </c>
      <c r="C1920" s="12">
        <f t="shared" si="401"/>
        <v>46238.582082754627</v>
      </c>
      <c r="D1920" s="13">
        <v>46238.582082754627</v>
      </c>
      <c r="E1920" s="2" t="s">
        <v>1349</v>
      </c>
      <c r="F1920" s="2" t="str">
        <f t="shared" si="390"/>
        <v>Email Available</v>
      </c>
      <c r="G1920" s="2" t="s">
        <v>1350</v>
      </c>
      <c r="H1920" s="2" t="s">
        <v>109</v>
      </c>
      <c r="I1920" s="2" t="s">
        <v>79</v>
      </c>
      <c r="J1920" s="2" t="s">
        <v>110</v>
      </c>
      <c r="K1920" s="2">
        <v>1</v>
      </c>
      <c r="L1920" s="2">
        <v>22.99</v>
      </c>
      <c r="M1920" s="19">
        <f t="shared" si="391"/>
        <v>22.99</v>
      </c>
      <c r="N1920" s="2" t="s">
        <v>38</v>
      </c>
      <c r="O1920" s="2" t="str">
        <f t="shared" si="392"/>
        <v>FREESHIP</v>
      </c>
      <c r="P1920" s="2">
        <v>0</v>
      </c>
      <c r="Q1920" s="19">
        <f t="shared" si="393"/>
        <v>0</v>
      </c>
      <c r="R1920" s="2" t="str">
        <f t="shared" si="394"/>
        <v>Number</v>
      </c>
      <c r="S1920" s="2">
        <v>0</v>
      </c>
      <c r="T1920" s="19">
        <f t="shared" si="395"/>
        <v>0</v>
      </c>
      <c r="U1920" s="2">
        <v>22.99</v>
      </c>
      <c r="V1920" s="19">
        <f t="shared" si="396"/>
        <v>22.99</v>
      </c>
      <c r="W1920" s="19">
        <f t="shared" si="397"/>
        <v>22.99</v>
      </c>
      <c r="X1920" s="19" t="str">
        <f t="shared" si="398"/>
        <v>True</v>
      </c>
      <c r="Y1920" s="19" t="str">
        <f>IF(OR(W1920&lt;'Cleaning Tasks'!$G$18,W1920&gt;'Cleaning Tasks'!$H$18),"Outlier","Normal")</f>
        <v>Normal</v>
      </c>
      <c r="Z1920" s="2" t="s">
        <v>72</v>
      </c>
      <c r="AA1920" s="2" t="s">
        <v>27</v>
      </c>
      <c r="AB1920" s="2" t="s">
        <v>50</v>
      </c>
      <c r="AC1920" s="2" t="s">
        <v>42</v>
      </c>
      <c r="AD1920" s="2"/>
      <c r="AE1920" s="2" t="str">
        <f t="shared" si="399"/>
        <v>Not Required</v>
      </c>
      <c r="AF1920" s="2" t="s">
        <v>5003</v>
      </c>
    </row>
    <row r="1921" spans="1:32" x14ac:dyDescent="0.3">
      <c r="A1921" s="2" t="s">
        <v>5004</v>
      </c>
      <c r="B1921" s="2">
        <f t="shared" si="389"/>
        <v>1</v>
      </c>
      <c r="C1921" s="12">
        <f t="shared" si="401"/>
        <v>46238.579029155087</v>
      </c>
      <c r="D1921" s="13">
        <v>46238.579029155087</v>
      </c>
      <c r="E1921" s="2" t="s">
        <v>5005</v>
      </c>
      <c r="F1921" s="2" t="str">
        <f t="shared" si="390"/>
        <v>Email Available</v>
      </c>
      <c r="G1921" s="2" t="s">
        <v>93</v>
      </c>
      <c r="H1921" s="2" t="s">
        <v>146</v>
      </c>
      <c r="I1921" s="2" t="s">
        <v>47</v>
      </c>
      <c r="J1921" s="2" t="s">
        <v>147</v>
      </c>
      <c r="K1921" s="2">
        <v>1</v>
      </c>
      <c r="L1921" s="2">
        <v>34.99</v>
      </c>
      <c r="M1921" s="19">
        <f t="shared" si="391"/>
        <v>34.99</v>
      </c>
      <c r="N1921" s="2"/>
      <c r="O1921" s="2" t="str">
        <f t="shared" si="392"/>
        <v/>
      </c>
      <c r="P1921" s="2" t="s">
        <v>184</v>
      </c>
      <c r="Q1921" s="19">
        <f t="shared" si="393"/>
        <v>0</v>
      </c>
      <c r="R1921" s="2" t="str">
        <f t="shared" si="394"/>
        <v>Number</v>
      </c>
      <c r="S1921" s="2">
        <v>4.99</v>
      </c>
      <c r="T1921" s="19">
        <f t="shared" si="395"/>
        <v>4.99</v>
      </c>
      <c r="U1921" s="2" t="s">
        <v>3464</v>
      </c>
      <c r="V1921" s="19">
        <f t="shared" si="396"/>
        <v>39.979999999999997</v>
      </c>
      <c r="W1921" s="19">
        <f t="shared" si="397"/>
        <v>39.980000000000004</v>
      </c>
      <c r="X1921" s="19" t="str">
        <f t="shared" si="398"/>
        <v>True</v>
      </c>
      <c r="Y1921" s="19" t="str">
        <f>IF(OR(W1921&lt;'Cleaning Tasks'!$G$18,W1921&gt;'Cleaning Tasks'!$H$18),"Outlier","Normal")</f>
        <v>Normal</v>
      </c>
      <c r="Z1921" s="2" t="s">
        <v>49</v>
      </c>
      <c r="AA1921" s="2" t="s">
        <v>27</v>
      </c>
      <c r="AB1921" s="2" t="s">
        <v>28</v>
      </c>
      <c r="AC1921" s="2" t="s">
        <v>42</v>
      </c>
      <c r="AD1921" s="2"/>
      <c r="AE1921" s="2" t="str">
        <f t="shared" si="399"/>
        <v>Not Required</v>
      </c>
      <c r="AF1921" s="2" t="s">
        <v>5006</v>
      </c>
    </row>
    <row r="1922" spans="1:32" x14ac:dyDescent="0.3">
      <c r="A1922" s="2" t="s">
        <v>5007</v>
      </c>
      <c r="B1922" s="2">
        <f t="shared" ref="B1922:B1985" si="402">COUNTIF($A$2:$A$1993,A1922)</f>
        <v>1</v>
      </c>
      <c r="C1922" s="12">
        <f t="shared" si="401"/>
        <v>46238.581657025461</v>
      </c>
      <c r="D1922" s="13">
        <v>46238.581657025461</v>
      </c>
      <c r="E1922" s="2" t="s">
        <v>647</v>
      </c>
      <c r="F1922" s="2" t="str">
        <f t="shared" ref="F1922:F1985" si="403">IF(TRIM(G1922)="","Missing Email","Email Available")</f>
        <v>Email Available</v>
      </c>
      <c r="G1922" s="2" t="s">
        <v>648</v>
      </c>
      <c r="H1922" s="2" t="s">
        <v>261</v>
      </c>
      <c r="I1922" s="2" t="s">
        <v>36</v>
      </c>
      <c r="J1922" s="2" t="s">
        <v>262</v>
      </c>
      <c r="K1922" s="2">
        <v>1</v>
      </c>
      <c r="L1922" s="2">
        <v>15.49</v>
      </c>
      <c r="M1922" s="19">
        <f t="shared" ref="M1922:M1985" si="404">IF(ISNUMBER(L1922),L1922,VALUE(SUBSTITUTE(L1922,"$","")))</f>
        <v>15.49</v>
      </c>
      <c r="N1922" s="2"/>
      <c r="O1922" s="2" t="str">
        <f t="shared" ref="O1922:O1985" si="405">IF(TRIM(N1922)="","",UPPER(TRIM(SUBSTITUTE(N1922,CHAR(160)," "))))</f>
        <v/>
      </c>
      <c r="P1922" s="2">
        <v>0</v>
      </c>
      <c r="Q1922" s="19">
        <f t="shared" ref="Q1922:Q1985" si="406">IF(ISNUMBER(P1922),P1922,VALUE(TRIM(SUBSTITUTE(P1922,"$",""))))</f>
        <v>0</v>
      </c>
      <c r="R1922" s="2" t="str">
        <f t="shared" ref="R1922:R1985" si="407">IF(ISNUMBER(Q1922),"Number","Text")</f>
        <v>Number</v>
      </c>
      <c r="S1922" s="2">
        <v>7.99</v>
      </c>
      <c r="T1922" s="19">
        <f t="shared" ref="T1922:T1985" si="408">IF(ISNUMBER(S1922),S1922,VALUE(TRIM(SUBSTITUTE(S1922,"$",""))))</f>
        <v>7.99</v>
      </c>
      <c r="U1922" s="2" t="s">
        <v>5008</v>
      </c>
      <c r="V1922" s="19">
        <f t="shared" ref="V1922:V1985" si="409">IF(ISNUMBER(U1922),U1922,VALUE(TRIM(SUBSTITUTE(U1922,"$",""))))</f>
        <v>23.48</v>
      </c>
      <c r="W1922" s="19">
        <f t="shared" ref="W1922:W1985" si="410">((M1922*K1922)-Q1922)+T1922</f>
        <v>23.48</v>
      </c>
      <c r="X1922" s="19" t="str">
        <f t="shared" ref="X1922:X1985" si="411">IF(V1922=W1922,"True","False")</f>
        <v>True</v>
      </c>
      <c r="Y1922" s="19" t="str">
        <f>IF(OR(W1922&lt;'Cleaning Tasks'!$G$18,W1922&gt;'Cleaning Tasks'!$H$18),"Outlier","Normal")</f>
        <v>Normal</v>
      </c>
      <c r="Z1922" s="2" t="s">
        <v>66</v>
      </c>
      <c r="AA1922" s="2" t="s">
        <v>27</v>
      </c>
      <c r="AB1922" s="2" t="s">
        <v>50</v>
      </c>
      <c r="AC1922" s="2" t="s">
        <v>223</v>
      </c>
      <c r="AD1922" s="2"/>
      <c r="AE1922" s="2" t="str">
        <f t="shared" ref="AE1922:AE1985" si="412">IF(AND(AC1922="United States",AD1922=""),"Missing state",IF(AD1922="","Not Required","Valid"))</f>
        <v>Not Required</v>
      </c>
      <c r="AF1922" s="2" t="s">
        <v>5009</v>
      </c>
    </row>
    <row r="1923" spans="1:32" x14ac:dyDescent="0.3">
      <c r="A1923" s="2" t="s">
        <v>5010</v>
      </c>
      <c r="B1923" s="2">
        <f t="shared" si="402"/>
        <v>1</v>
      </c>
      <c r="C1923" s="12">
        <f t="shared" si="401"/>
        <v>46238</v>
      </c>
      <c r="D1923" s="13">
        <v>46238</v>
      </c>
      <c r="E1923" s="2" t="s">
        <v>1157</v>
      </c>
      <c r="F1923" s="2" t="str">
        <f t="shared" si="403"/>
        <v>Email Available</v>
      </c>
      <c r="G1923" s="2" t="s">
        <v>1158</v>
      </c>
      <c r="H1923" s="2" t="s">
        <v>124</v>
      </c>
      <c r="I1923" s="2" t="s">
        <v>79</v>
      </c>
      <c r="J1923" s="2" t="s">
        <v>125</v>
      </c>
      <c r="K1923" s="2">
        <v>1</v>
      </c>
      <c r="L1923" s="2">
        <v>13.99</v>
      </c>
      <c r="M1923" s="19">
        <f t="shared" si="404"/>
        <v>13.99</v>
      </c>
      <c r="N1923" s="2" t="s">
        <v>118</v>
      </c>
      <c r="O1923" s="2" t="str">
        <f t="shared" si="405"/>
        <v>BFCM25</v>
      </c>
      <c r="P1923" s="2">
        <v>3.5</v>
      </c>
      <c r="Q1923" s="19">
        <f t="shared" si="406"/>
        <v>3.5</v>
      </c>
      <c r="R1923" s="2" t="str">
        <f t="shared" si="407"/>
        <v>Number</v>
      </c>
      <c r="S1923" s="2">
        <v>4.99</v>
      </c>
      <c r="T1923" s="19">
        <f t="shared" si="408"/>
        <v>4.99</v>
      </c>
      <c r="U1923" s="2">
        <v>15.48</v>
      </c>
      <c r="V1923" s="19">
        <f t="shared" si="409"/>
        <v>15.48</v>
      </c>
      <c r="W1923" s="19">
        <f t="shared" si="410"/>
        <v>15.48</v>
      </c>
      <c r="X1923" s="19" t="str">
        <f t="shared" si="411"/>
        <v>True</v>
      </c>
      <c r="Y1923" s="19" t="str">
        <f>IF(OR(W1923&lt;'Cleaning Tasks'!$G$18,W1923&gt;'Cleaning Tasks'!$H$18),"Outlier","Normal")</f>
        <v>Normal</v>
      </c>
      <c r="Z1923" s="2" t="s">
        <v>49</v>
      </c>
      <c r="AA1923" s="2" t="s">
        <v>27</v>
      </c>
      <c r="AB1923" s="2" t="s">
        <v>50</v>
      </c>
      <c r="AC1923" s="2" t="s">
        <v>42</v>
      </c>
      <c r="AD1923" s="2"/>
      <c r="AE1923" s="2" t="str">
        <f t="shared" si="412"/>
        <v>Not Required</v>
      </c>
      <c r="AF1923" s="2" t="s">
        <v>5011</v>
      </c>
    </row>
    <row r="1924" spans="1:32" x14ac:dyDescent="0.3">
      <c r="A1924" s="2" t="s">
        <v>5012</v>
      </c>
      <c r="B1924" s="2">
        <f t="shared" si="402"/>
        <v>1</v>
      </c>
      <c r="C1924" s="12">
        <f t="shared" si="401"/>
        <v>46238.586526909719</v>
      </c>
      <c r="D1924" s="13">
        <v>46238.586526909719</v>
      </c>
      <c r="E1924" s="2" t="s">
        <v>1506</v>
      </c>
      <c r="F1924" s="2" t="str">
        <f t="shared" si="403"/>
        <v>Email Available</v>
      </c>
      <c r="G1924" s="2" t="s">
        <v>1507</v>
      </c>
      <c r="H1924" s="2" t="s">
        <v>309</v>
      </c>
      <c r="I1924" s="2" t="s">
        <v>36</v>
      </c>
      <c r="J1924" s="2" t="s">
        <v>310</v>
      </c>
      <c r="K1924" s="2">
        <v>1</v>
      </c>
      <c r="L1924" s="2">
        <v>8.99</v>
      </c>
      <c r="M1924" s="19">
        <f t="shared" si="404"/>
        <v>8.99</v>
      </c>
      <c r="N1924" s="2" t="s">
        <v>24</v>
      </c>
      <c r="O1924" s="2" t="str">
        <f t="shared" si="405"/>
        <v>SAVE20</v>
      </c>
      <c r="P1924" s="2">
        <v>1.8</v>
      </c>
      <c r="Q1924" s="19">
        <f t="shared" si="406"/>
        <v>1.8</v>
      </c>
      <c r="R1924" s="2" t="str">
        <f t="shared" si="407"/>
        <v>Number</v>
      </c>
      <c r="S1924" s="2">
        <v>4.99</v>
      </c>
      <c r="T1924" s="19">
        <f t="shared" si="408"/>
        <v>4.99</v>
      </c>
      <c r="U1924" s="2">
        <v>12.18</v>
      </c>
      <c r="V1924" s="19">
        <f t="shared" si="409"/>
        <v>12.18</v>
      </c>
      <c r="W1924" s="19">
        <f t="shared" si="410"/>
        <v>12.18</v>
      </c>
      <c r="X1924" s="19" t="str">
        <f t="shared" si="411"/>
        <v>True</v>
      </c>
      <c r="Y1924" s="19" t="str">
        <f>IF(OR(W1924&lt;'Cleaning Tasks'!$G$18,W1924&gt;'Cleaning Tasks'!$H$18),"Outlier","Normal")</f>
        <v>Normal</v>
      </c>
      <c r="Z1924" s="2" t="s">
        <v>39</v>
      </c>
      <c r="AA1924" s="2" t="s">
        <v>111</v>
      </c>
      <c r="AB1924" s="2" t="s">
        <v>28</v>
      </c>
      <c r="AC1924" s="2" t="s">
        <v>105</v>
      </c>
      <c r="AD1924" s="2"/>
      <c r="AE1924" s="2" t="str">
        <f t="shared" si="412"/>
        <v>Not Required</v>
      </c>
      <c r="AF1924" s="2" t="s">
        <v>5013</v>
      </c>
    </row>
    <row r="1925" spans="1:32" x14ac:dyDescent="0.3">
      <c r="A1925" s="2" t="s">
        <v>5014</v>
      </c>
      <c r="B1925" s="2">
        <f t="shared" si="402"/>
        <v>1</v>
      </c>
      <c r="C1925" s="12">
        <f t="shared" si="401"/>
        <v>46238.57905148148</v>
      </c>
      <c r="D1925" s="13">
        <v>46238.57905148148</v>
      </c>
      <c r="E1925" s="2" t="s">
        <v>2992</v>
      </c>
      <c r="F1925" s="2" t="str">
        <f t="shared" si="403"/>
        <v>Email Available</v>
      </c>
      <c r="G1925" s="2" t="s">
        <v>2993</v>
      </c>
      <c r="H1925" s="2" t="s">
        <v>63</v>
      </c>
      <c r="I1925" s="2" t="s">
        <v>47</v>
      </c>
      <c r="J1925" s="2" t="s">
        <v>446</v>
      </c>
      <c r="K1925" s="2">
        <v>3</v>
      </c>
      <c r="L1925" s="2">
        <v>14.99</v>
      </c>
      <c r="M1925" s="19">
        <f t="shared" si="404"/>
        <v>14.99</v>
      </c>
      <c r="N1925" s="2" t="s">
        <v>118</v>
      </c>
      <c r="O1925" s="2" t="str">
        <f t="shared" si="405"/>
        <v>BFCM25</v>
      </c>
      <c r="P1925" s="2">
        <v>11.24</v>
      </c>
      <c r="Q1925" s="19">
        <f t="shared" si="406"/>
        <v>11.24</v>
      </c>
      <c r="R1925" s="2" t="str">
        <f t="shared" si="407"/>
        <v>Number</v>
      </c>
      <c r="S1925" s="2">
        <v>5.99</v>
      </c>
      <c r="T1925" s="19">
        <f t="shared" si="408"/>
        <v>5.99</v>
      </c>
      <c r="U1925" s="2">
        <v>39.72</v>
      </c>
      <c r="V1925" s="19">
        <f t="shared" si="409"/>
        <v>39.72</v>
      </c>
      <c r="W1925" s="19">
        <f t="shared" si="410"/>
        <v>39.72</v>
      </c>
      <c r="X1925" s="19" t="str">
        <f t="shared" si="411"/>
        <v>True</v>
      </c>
      <c r="Y1925" s="19" t="str">
        <f>IF(OR(W1925&lt;'Cleaning Tasks'!$G$18,W1925&gt;'Cleaning Tasks'!$H$18),"Outlier","Normal")</f>
        <v>Normal</v>
      </c>
      <c r="Z1925" s="2" t="s">
        <v>26</v>
      </c>
      <c r="AA1925" s="2" t="s">
        <v>27</v>
      </c>
      <c r="AB1925" s="2" t="s">
        <v>96</v>
      </c>
      <c r="AC1925" s="2" t="s">
        <v>331</v>
      </c>
      <c r="AD1925" s="2"/>
      <c r="AE1925" s="2" t="str">
        <f t="shared" si="412"/>
        <v>Not Required</v>
      </c>
      <c r="AF1925" s="2" t="s">
        <v>5015</v>
      </c>
    </row>
    <row r="1926" spans="1:32" x14ac:dyDescent="0.3">
      <c r="A1926" s="2" t="s">
        <v>5016</v>
      </c>
      <c r="B1926" s="2">
        <f t="shared" si="402"/>
        <v>1</v>
      </c>
      <c r="C1926" s="12">
        <f t="shared" si="401"/>
        <v>46238.583460300928</v>
      </c>
      <c r="D1926" s="13">
        <v>46238.583460300928</v>
      </c>
      <c r="E1926" s="2" t="s">
        <v>1265</v>
      </c>
      <c r="F1926" s="2" t="str">
        <f t="shared" si="403"/>
        <v>Email Available</v>
      </c>
      <c r="G1926" s="2" t="s">
        <v>1266</v>
      </c>
      <c r="H1926" s="2" t="s">
        <v>117</v>
      </c>
      <c r="I1926" s="2" t="s">
        <v>22</v>
      </c>
      <c r="J1926" s="2" t="s">
        <v>23</v>
      </c>
      <c r="K1926" s="2">
        <v>2</v>
      </c>
      <c r="L1926" s="2">
        <v>12.99</v>
      </c>
      <c r="M1926" s="19">
        <f t="shared" si="404"/>
        <v>12.99</v>
      </c>
      <c r="N1926" s="2" t="s">
        <v>203</v>
      </c>
      <c r="O1926" s="2" t="str">
        <f t="shared" si="405"/>
        <v>VIP15</v>
      </c>
      <c r="P1926" s="2">
        <v>3.9</v>
      </c>
      <c r="Q1926" s="19">
        <f t="shared" si="406"/>
        <v>3.9</v>
      </c>
      <c r="R1926" s="2" t="str">
        <f t="shared" si="407"/>
        <v>Number</v>
      </c>
      <c r="S1926" s="2">
        <v>7.99</v>
      </c>
      <c r="T1926" s="19">
        <f t="shared" si="408"/>
        <v>7.99</v>
      </c>
      <c r="U1926" s="2">
        <v>30.07</v>
      </c>
      <c r="V1926" s="19">
        <f t="shared" si="409"/>
        <v>30.07</v>
      </c>
      <c r="W1926" s="19">
        <f t="shared" si="410"/>
        <v>30.07</v>
      </c>
      <c r="X1926" s="19" t="str">
        <f t="shared" si="411"/>
        <v>True</v>
      </c>
      <c r="Y1926" s="19" t="str">
        <f>IF(OR(W1926&lt;'Cleaning Tasks'!$G$18,W1926&gt;'Cleaning Tasks'!$H$18),"Outlier","Normal")</f>
        <v>Normal</v>
      </c>
      <c r="Z1926" s="2" t="s">
        <v>49</v>
      </c>
      <c r="AA1926" s="2" t="s">
        <v>27</v>
      </c>
      <c r="AB1926" s="2" t="s">
        <v>28</v>
      </c>
      <c r="AC1926" s="2" t="s">
        <v>29</v>
      </c>
      <c r="AD1926" s="2" t="s">
        <v>58</v>
      </c>
      <c r="AE1926" s="2" t="str">
        <f t="shared" si="412"/>
        <v>Valid</v>
      </c>
      <c r="AF1926" s="2" t="s">
        <v>5017</v>
      </c>
    </row>
    <row r="1927" spans="1:32" x14ac:dyDescent="0.3">
      <c r="A1927" s="2" t="s">
        <v>5018</v>
      </c>
      <c r="B1927" s="2">
        <f t="shared" si="402"/>
        <v>1</v>
      </c>
      <c r="C1927" s="12">
        <f t="shared" si="401"/>
        <v>46238</v>
      </c>
      <c r="D1927" s="13">
        <v>46238</v>
      </c>
      <c r="E1927" s="2" t="s">
        <v>4253</v>
      </c>
      <c r="F1927" s="2" t="str">
        <f t="shared" si="403"/>
        <v>Email Available</v>
      </c>
      <c r="G1927" s="2" t="s">
        <v>4046</v>
      </c>
      <c r="H1927" s="2" t="s">
        <v>190</v>
      </c>
      <c r="I1927" s="2" t="s">
        <v>191</v>
      </c>
      <c r="J1927" s="2" t="s">
        <v>192</v>
      </c>
      <c r="K1927" s="2">
        <v>2</v>
      </c>
      <c r="L1927" s="2">
        <v>13.49</v>
      </c>
      <c r="M1927" s="19">
        <f t="shared" si="404"/>
        <v>13.49</v>
      </c>
      <c r="N1927" s="2"/>
      <c r="O1927" s="2" t="str">
        <f t="shared" si="405"/>
        <v/>
      </c>
      <c r="P1927" s="2">
        <v>0</v>
      </c>
      <c r="Q1927" s="19">
        <f t="shared" si="406"/>
        <v>0</v>
      </c>
      <c r="R1927" s="2" t="str">
        <f t="shared" si="407"/>
        <v>Number</v>
      </c>
      <c r="S1927" s="2">
        <v>5.99</v>
      </c>
      <c r="T1927" s="19">
        <f t="shared" si="408"/>
        <v>5.99</v>
      </c>
      <c r="U1927" s="2">
        <v>0</v>
      </c>
      <c r="V1927" s="19">
        <f t="shared" si="409"/>
        <v>0</v>
      </c>
      <c r="W1927" s="19">
        <f t="shared" si="410"/>
        <v>32.97</v>
      </c>
      <c r="X1927" s="19" t="str">
        <f t="shared" si="411"/>
        <v>False</v>
      </c>
      <c r="Y1927" s="19" t="str">
        <f>IF(OR(W1927&lt;'Cleaning Tasks'!$G$18,W1927&gt;'Cleaning Tasks'!$H$18),"Outlier","Normal")</f>
        <v>Normal</v>
      </c>
      <c r="Z1927" s="2" t="s">
        <v>66</v>
      </c>
      <c r="AA1927" s="2" t="s">
        <v>40</v>
      </c>
      <c r="AB1927" s="2" t="s">
        <v>50</v>
      </c>
      <c r="AC1927" s="2" t="s">
        <v>331</v>
      </c>
      <c r="AD1927" s="2"/>
      <c r="AE1927" s="2" t="str">
        <f t="shared" si="412"/>
        <v>Not Required</v>
      </c>
      <c r="AF1927" s="2" t="s">
        <v>5019</v>
      </c>
    </row>
    <row r="1928" spans="1:32" x14ac:dyDescent="0.3">
      <c r="A1928" s="2" t="s">
        <v>5020</v>
      </c>
      <c r="B1928" s="2">
        <f t="shared" si="402"/>
        <v>1</v>
      </c>
      <c r="C1928" s="12">
        <f t="shared" ref="C1928:C1944" si="413">IF(ISNUMBER(D1928),D1928,DATEVALUE(SUBSTITUTE(TRIM(D1928),CHAR(160)," ")))</f>
        <v>46238.58063650463</v>
      </c>
      <c r="D1928" s="13">
        <v>46238.58063650463</v>
      </c>
      <c r="E1928" s="2" t="s">
        <v>815</v>
      </c>
      <c r="F1928" s="2" t="str">
        <f t="shared" si="403"/>
        <v>Email Available</v>
      </c>
      <c r="G1928" s="2" t="s">
        <v>816</v>
      </c>
      <c r="H1928" s="2" t="s">
        <v>190</v>
      </c>
      <c r="I1928" s="2" t="s">
        <v>191</v>
      </c>
      <c r="J1928" s="2" t="s">
        <v>192</v>
      </c>
      <c r="K1928" s="2">
        <v>1</v>
      </c>
      <c r="L1928" s="2">
        <v>13.49</v>
      </c>
      <c r="M1928" s="19">
        <f t="shared" si="404"/>
        <v>13.49</v>
      </c>
      <c r="N1928" s="2" t="s">
        <v>118</v>
      </c>
      <c r="O1928" s="2" t="str">
        <f t="shared" si="405"/>
        <v>BFCM25</v>
      </c>
      <c r="P1928" s="2">
        <v>3.37</v>
      </c>
      <c r="Q1928" s="19">
        <f t="shared" si="406"/>
        <v>3.37</v>
      </c>
      <c r="R1928" s="2" t="str">
        <f t="shared" si="407"/>
        <v>Number</v>
      </c>
      <c r="S1928" s="2">
        <v>5.99</v>
      </c>
      <c r="T1928" s="19">
        <f t="shared" si="408"/>
        <v>5.99</v>
      </c>
      <c r="U1928" s="2">
        <v>16.11</v>
      </c>
      <c r="V1928" s="19">
        <f t="shared" si="409"/>
        <v>16.11</v>
      </c>
      <c r="W1928" s="19">
        <f t="shared" si="410"/>
        <v>16.11</v>
      </c>
      <c r="X1928" s="19" t="str">
        <f t="shared" si="411"/>
        <v>True</v>
      </c>
      <c r="Y1928" s="19" t="str">
        <f>IF(OR(W1928&lt;'Cleaning Tasks'!$G$18,W1928&gt;'Cleaning Tasks'!$H$18),"Outlier","Normal")</f>
        <v>Normal</v>
      </c>
      <c r="Z1928" s="2" t="s">
        <v>49</v>
      </c>
      <c r="AA1928" s="2" t="s">
        <v>27</v>
      </c>
      <c r="AB1928" s="2" t="s">
        <v>50</v>
      </c>
      <c r="AC1928" s="2" t="s">
        <v>73</v>
      </c>
      <c r="AD1928" s="2"/>
      <c r="AE1928" s="2" t="str">
        <f t="shared" si="412"/>
        <v>Not Required</v>
      </c>
      <c r="AF1928" s="2" t="s">
        <v>1267</v>
      </c>
    </row>
    <row r="1929" spans="1:32" x14ac:dyDescent="0.3">
      <c r="A1929" s="2" t="s">
        <v>5021</v>
      </c>
      <c r="B1929" s="2">
        <f t="shared" si="402"/>
        <v>1</v>
      </c>
      <c r="C1929" s="12">
        <f t="shared" si="413"/>
        <v>46238.587749583327</v>
      </c>
      <c r="D1929" s="13">
        <v>46238.587749583327</v>
      </c>
      <c r="E1929" s="2" t="s">
        <v>172</v>
      </c>
      <c r="F1929" s="2" t="str">
        <f t="shared" si="403"/>
        <v>Email Available</v>
      </c>
      <c r="G1929" s="2" t="s">
        <v>173</v>
      </c>
      <c r="H1929" s="2" t="s">
        <v>279</v>
      </c>
      <c r="I1929" s="2" t="s">
        <v>22</v>
      </c>
      <c r="J1929" s="2" t="s">
        <v>280</v>
      </c>
      <c r="K1929" s="2">
        <v>2</v>
      </c>
      <c r="L1929" s="2">
        <v>24.99</v>
      </c>
      <c r="M1929" s="19">
        <f t="shared" si="404"/>
        <v>24.99</v>
      </c>
      <c r="N1929" s="2"/>
      <c r="O1929" s="2" t="str">
        <f t="shared" si="405"/>
        <v/>
      </c>
      <c r="P1929" s="2">
        <v>0</v>
      </c>
      <c r="Q1929" s="19">
        <f t="shared" si="406"/>
        <v>0</v>
      </c>
      <c r="R1929" s="2" t="str">
        <f t="shared" si="407"/>
        <v>Number</v>
      </c>
      <c r="S1929" s="2">
        <v>7.99</v>
      </c>
      <c r="T1929" s="19">
        <f t="shared" si="408"/>
        <v>7.99</v>
      </c>
      <c r="U1929" s="2">
        <v>57.97</v>
      </c>
      <c r="V1929" s="19">
        <f t="shared" si="409"/>
        <v>57.97</v>
      </c>
      <c r="W1929" s="19">
        <f t="shared" si="410"/>
        <v>57.97</v>
      </c>
      <c r="X1929" s="19" t="str">
        <f t="shared" si="411"/>
        <v>True</v>
      </c>
      <c r="Y1929" s="19" t="str">
        <f>IF(OR(W1929&lt;'Cleaning Tasks'!$G$18,W1929&gt;'Cleaning Tasks'!$H$18),"Outlier","Normal")</f>
        <v>Normal</v>
      </c>
      <c r="Z1929" s="2" t="s">
        <v>66</v>
      </c>
      <c r="AA1929" s="2" t="s">
        <v>88</v>
      </c>
      <c r="AB1929" s="2" t="s">
        <v>50</v>
      </c>
      <c r="AC1929" s="2" t="s">
        <v>29</v>
      </c>
      <c r="AD1929" s="2" t="s">
        <v>447</v>
      </c>
      <c r="AE1929" s="2" t="str">
        <f t="shared" si="412"/>
        <v>Valid</v>
      </c>
      <c r="AF1929" s="2" t="s">
        <v>5022</v>
      </c>
    </row>
    <row r="1930" spans="1:32" x14ac:dyDescent="0.3">
      <c r="A1930" s="2" t="s">
        <v>5023</v>
      </c>
      <c r="B1930" s="2">
        <f t="shared" si="402"/>
        <v>1</v>
      </c>
      <c r="C1930" s="12">
        <f t="shared" si="413"/>
        <v>46238.583682777768</v>
      </c>
      <c r="D1930" s="13">
        <v>46238.583682777768</v>
      </c>
      <c r="E1930" s="2" t="s">
        <v>417</v>
      </c>
      <c r="F1930" s="2" t="str">
        <f t="shared" si="403"/>
        <v>Email Available</v>
      </c>
      <c r="G1930" s="2" t="s">
        <v>418</v>
      </c>
      <c r="H1930" s="2" t="s">
        <v>182</v>
      </c>
      <c r="I1930" s="2" t="s">
        <v>36</v>
      </c>
      <c r="J1930" s="2" t="s">
        <v>183</v>
      </c>
      <c r="K1930" s="2">
        <v>1</v>
      </c>
      <c r="L1930" s="2">
        <v>11.99</v>
      </c>
      <c r="M1930" s="19">
        <f t="shared" si="404"/>
        <v>11.99</v>
      </c>
      <c r="N1930" s="2" t="s">
        <v>24</v>
      </c>
      <c r="O1930" s="2" t="str">
        <f t="shared" si="405"/>
        <v>SAVE20</v>
      </c>
      <c r="P1930" s="2" t="s">
        <v>3627</v>
      </c>
      <c r="Q1930" s="19">
        <f t="shared" si="406"/>
        <v>2.4</v>
      </c>
      <c r="R1930" s="2" t="str">
        <f t="shared" si="407"/>
        <v>Number</v>
      </c>
      <c r="S1930" s="2">
        <v>4.99</v>
      </c>
      <c r="T1930" s="19">
        <f t="shared" si="408"/>
        <v>4.99</v>
      </c>
      <c r="U1930" s="2">
        <v>14.58</v>
      </c>
      <c r="V1930" s="19">
        <f t="shared" si="409"/>
        <v>14.58</v>
      </c>
      <c r="W1930" s="19">
        <f t="shared" si="410"/>
        <v>14.58</v>
      </c>
      <c r="X1930" s="19" t="str">
        <f t="shared" si="411"/>
        <v>True</v>
      </c>
      <c r="Y1930" s="19" t="str">
        <f>IF(OR(W1930&lt;'Cleaning Tasks'!$G$18,W1930&gt;'Cleaning Tasks'!$H$18),"Outlier","Normal")</f>
        <v>Normal</v>
      </c>
      <c r="Z1930" s="2" t="s">
        <v>39</v>
      </c>
      <c r="AA1930" s="2" t="s">
        <v>27</v>
      </c>
      <c r="AB1930" s="2" t="s">
        <v>50</v>
      </c>
      <c r="AC1930" s="2" t="s">
        <v>29</v>
      </c>
      <c r="AD1930" s="2" t="s">
        <v>243</v>
      </c>
      <c r="AE1930" s="2" t="str">
        <f t="shared" si="412"/>
        <v>Valid</v>
      </c>
      <c r="AF1930" s="2" t="s">
        <v>5024</v>
      </c>
    </row>
    <row r="1931" spans="1:32" x14ac:dyDescent="0.3">
      <c r="A1931" s="2" t="s">
        <v>5025</v>
      </c>
      <c r="B1931" s="2">
        <f t="shared" si="402"/>
        <v>1</v>
      </c>
      <c r="C1931" s="12">
        <f t="shared" si="413"/>
        <v>46238.581787650473</v>
      </c>
      <c r="D1931" s="13">
        <v>46238.581787650473</v>
      </c>
      <c r="E1931" s="2" t="s">
        <v>2072</v>
      </c>
      <c r="F1931" s="2" t="str">
        <f t="shared" si="403"/>
        <v>Email Available</v>
      </c>
      <c r="G1931" s="2" t="s">
        <v>2442</v>
      </c>
      <c r="H1931" s="2" t="s">
        <v>102</v>
      </c>
      <c r="I1931" s="2" t="s">
        <v>103</v>
      </c>
      <c r="J1931" s="2" t="s">
        <v>104</v>
      </c>
      <c r="K1931" s="2">
        <v>1</v>
      </c>
      <c r="L1931" s="2">
        <v>19.989999999999998</v>
      </c>
      <c r="M1931" s="19">
        <f t="shared" si="404"/>
        <v>19.989999999999998</v>
      </c>
      <c r="N1931" s="2" t="s">
        <v>24</v>
      </c>
      <c r="O1931" s="2" t="str">
        <f t="shared" si="405"/>
        <v>SAVE20</v>
      </c>
      <c r="P1931" s="2">
        <v>4</v>
      </c>
      <c r="Q1931" s="19">
        <f t="shared" si="406"/>
        <v>4</v>
      </c>
      <c r="R1931" s="2" t="str">
        <f t="shared" si="407"/>
        <v>Number</v>
      </c>
      <c r="S1931" s="2">
        <v>7.99</v>
      </c>
      <c r="T1931" s="19">
        <f t="shared" si="408"/>
        <v>7.99</v>
      </c>
      <c r="U1931" s="2">
        <v>23.98</v>
      </c>
      <c r="V1931" s="19">
        <f t="shared" si="409"/>
        <v>23.98</v>
      </c>
      <c r="W1931" s="19">
        <f t="shared" si="410"/>
        <v>23.979999999999997</v>
      </c>
      <c r="X1931" s="19" t="str">
        <f t="shared" si="411"/>
        <v>True</v>
      </c>
      <c r="Y1931" s="19" t="str">
        <f>IF(OR(W1931&lt;'Cleaning Tasks'!$G$18,W1931&gt;'Cleaning Tasks'!$H$18),"Outlier","Normal")</f>
        <v>Normal</v>
      </c>
      <c r="Z1931" s="2" t="s">
        <v>66</v>
      </c>
      <c r="AA1931" s="2" t="s">
        <v>27</v>
      </c>
      <c r="AB1931" s="2" t="s">
        <v>50</v>
      </c>
      <c r="AC1931" s="2" t="s">
        <v>73</v>
      </c>
      <c r="AD1931" s="2"/>
      <c r="AE1931" s="2" t="str">
        <f t="shared" si="412"/>
        <v>Not Required</v>
      </c>
      <c r="AF1931" s="2" t="s">
        <v>5026</v>
      </c>
    </row>
    <row r="1932" spans="1:32" x14ac:dyDescent="0.3">
      <c r="A1932" s="2" t="s">
        <v>5027</v>
      </c>
      <c r="B1932" s="2">
        <f t="shared" si="402"/>
        <v>1</v>
      </c>
      <c r="C1932" s="12">
        <f t="shared" si="413"/>
        <v>46238.582492256937</v>
      </c>
      <c r="D1932" s="13">
        <v>46238.582492256937</v>
      </c>
      <c r="E1932" s="2" t="s">
        <v>1486</v>
      </c>
      <c r="F1932" s="2" t="str">
        <f t="shared" si="403"/>
        <v>Email Available</v>
      </c>
      <c r="G1932" s="2" t="s">
        <v>1487</v>
      </c>
      <c r="H1932" s="2" t="s">
        <v>166</v>
      </c>
      <c r="I1932" s="2" t="s">
        <v>103</v>
      </c>
      <c r="J1932" s="2" t="s">
        <v>167</v>
      </c>
      <c r="K1932" s="2">
        <v>1</v>
      </c>
      <c r="L1932" s="2">
        <v>32.99</v>
      </c>
      <c r="M1932" s="19">
        <f t="shared" si="404"/>
        <v>32.99</v>
      </c>
      <c r="N1932" s="2"/>
      <c r="O1932" s="2" t="str">
        <f t="shared" si="405"/>
        <v/>
      </c>
      <c r="P1932" s="2">
        <v>0</v>
      </c>
      <c r="Q1932" s="19">
        <f t="shared" si="406"/>
        <v>0</v>
      </c>
      <c r="R1932" s="2" t="str">
        <f t="shared" si="407"/>
        <v>Number</v>
      </c>
      <c r="S1932" s="2">
        <v>4.99</v>
      </c>
      <c r="T1932" s="19">
        <f t="shared" si="408"/>
        <v>4.99</v>
      </c>
      <c r="U1932" s="2">
        <v>37.979999999999997</v>
      </c>
      <c r="V1932" s="19">
        <f t="shared" si="409"/>
        <v>37.979999999999997</v>
      </c>
      <c r="W1932" s="19">
        <f t="shared" si="410"/>
        <v>37.980000000000004</v>
      </c>
      <c r="X1932" s="19" t="str">
        <f t="shared" si="411"/>
        <v>True</v>
      </c>
      <c r="Y1932" s="19" t="str">
        <f>IF(OR(W1932&lt;'Cleaning Tasks'!$G$18,W1932&gt;'Cleaning Tasks'!$H$18),"Outlier","Normal")</f>
        <v>Normal</v>
      </c>
      <c r="Z1932" s="2" t="s">
        <v>39</v>
      </c>
      <c r="AA1932" s="2" t="s">
        <v>88</v>
      </c>
      <c r="AB1932" s="2" t="s">
        <v>50</v>
      </c>
      <c r="AC1932" s="2" t="s">
        <v>42</v>
      </c>
      <c r="AD1932" s="2"/>
      <c r="AE1932" s="2" t="str">
        <f t="shared" si="412"/>
        <v>Not Required</v>
      </c>
      <c r="AF1932" s="2" t="s">
        <v>5028</v>
      </c>
    </row>
    <row r="1933" spans="1:32" x14ac:dyDescent="0.3">
      <c r="A1933" s="2" t="s">
        <v>5029</v>
      </c>
      <c r="B1933" s="2">
        <f t="shared" si="402"/>
        <v>1</v>
      </c>
      <c r="C1933" s="12">
        <f t="shared" si="413"/>
        <v>46238.58783016204</v>
      </c>
      <c r="D1933" s="13">
        <v>46238.58783016204</v>
      </c>
      <c r="E1933" s="2" t="s">
        <v>5030</v>
      </c>
      <c r="F1933" s="2" t="str">
        <f t="shared" si="403"/>
        <v>Email Available</v>
      </c>
      <c r="G1933" s="2" t="s">
        <v>5031</v>
      </c>
      <c r="H1933" s="2" t="s">
        <v>279</v>
      </c>
      <c r="I1933" s="2" t="s">
        <v>22</v>
      </c>
      <c r="J1933" s="2" t="s">
        <v>280</v>
      </c>
      <c r="K1933" s="2">
        <v>1</v>
      </c>
      <c r="L1933" s="2">
        <v>24.99</v>
      </c>
      <c r="M1933" s="19">
        <f t="shared" si="404"/>
        <v>24.99</v>
      </c>
      <c r="N1933" s="2" t="s">
        <v>203</v>
      </c>
      <c r="O1933" s="2" t="str">
        <f t="shared" si="405"/>
        <v>VIP15</v>
      </c>
      <c r="P1933" s="2">
        <v>3.75</v>
      </c>
      <c r="Q1933" s="19">
        <f t="shared" si="406"/>
        <v>3.75</v>
      </c>
      <c r="R1933" s="2" t="str">
        <f t="shared" si="407"/>
        <v>Number</v>
      </c>
      <c r="S1933" s="2">
        <v>5.99</v>
      </c>
      <c r="T1933" s="19">
        <f t="shared" si="408"/>
        <v>5.99</v>
      </c>
      <c r="U1933" s="2">
        <v>27.23</v>
      </c>
      <c r="V1933" s="19">
        <f t="shared" si="409"/>
        <v>27.23</v>
      </c>
      <c r="W1933" s="19">
        <f t="shared" si="410"/>
        <v>27.229999999999997</v>
      </c>
      <c r="X1933" s="19" t="str">
        <f t="shared" si="411"/>
        <v>True</v>
      </c>
      <c r="Y1933" s="19" t="str">
        <f>IF(OR(W1933&lt;'Cleaning Tasks'!$G$18,W1933&gt;'Cleaning Tasks'!$H$18),"Outlier","Normal")</f>
        <v>Normal</v>
      </c>
      <c r="Z1933" s="2" t="s">
        <v>66</v>
      </c>
      <c r="AA1933" s="2" t="s">
        <v>27</v>
      </c>
      <c r="AB1933" s="2" t="s">
        <v>50</v>
      </c>
      <c r="AC1933" s="2" t="s">
        <v>29</v>
      </c>
      <c r="AD1933" s="2" t="s">
        <v>112</v>
      </c>
      <c r="AE1933" s="2" t="str">
        <f t="shared" si="412"/>
        <v>Valid</v>
      </c>
      <c r="AF1933" s="2" t="s">
        <v>5032</v>
      </c>
    </row>
    <row r="1934" spans="1:32" x14ac:dyDescent="0.3">
      <c r="A1934" s="2" t="s">
        <v>5033</v>
      </c>
      <c r="B1934" s="2">
        <f t="shared" si="402"/>
        <v>1</v>
      </c>
      <c r="C1934" s="12">
        <f t="shared" si="413"/>
        <v>46238.587821631947</v>
      </c>
      <c r="D1934" s="13">
        <v>46238.587821631947</v>
      </c>
      <c r="E1934" s="2" t="s">
        <v>1523</v>
      </c>
      <c r="F1934" s="2" t="str">
        <f t="shared" si="403"/>
        <v>Email Available</v>
      </c>
      <c r="G1934" s="2" t="s">
        <v>1524</v>
      </c>
      <c r="H1934" s="2" t="s">
        <v>221</v>
      </c>
      <c r="I1934" s="2" t="s">
        <v>22</v>
      </c>
      <c r="J1934" s="2" t="s">
        <v>222</v>
      </c>
      <c r="K1934" s="2">
        <v>2</v>
      </c>
      <c r="L1934" s="2">
        <v>17.989999999999998</v>
      </c>
      <c r="M1934" s="19">
        <f t="shared" si="404"/>
        <v>17.989999999999998</v>
      </c>
      <c r="N1934" s="2" t="s">
        <v>24</v>
      </c>
      <c r="O1934" s="2" t="str">
        <f t="shared" si="405"/>
        <v>SAVE20</v>
      </c>
      <c r="P1934" s="2">
        <v>7.2</v>
      </c>
      <c r="Q1934" s="19">
        <f t="shared" si="406"/>
        <v>7.2</v>
      </c>
      <c r="R1934" s="2" t="str">
        <f t="shared" si="407"/>
        <v>Number</v>
      </c>
      <c r="S1934" s="2">
        <v>5.99</v>
      </c>
      <c r="T1934" s="19">
        <f t="shared" si="408"/>
        <v>5.99</v>
      </c>
      <c r="U1934" s="2">
        <v>34.770000000000003</v>
      </c>
      <c r="V1934" s="19">
        <f t="shared" si="409"/>
        <v>34.770000000000003</v>
      </c>
      <c r="W1934" s="19">
        <f t="shared" si="410"/>
        <v>34.769999999999996</v>
      </c>
      <c r="X1934" s="19" t="str">
        <f t="shared" si="411"/>
        <v>True</v>
      </c>
      <c r="Y1934" s="19" t="str">
        <f>IF(OR(W1934&lt;'Cleaning Tasks'!$G$18,W1934&gt;'Cleaning Tasks'!$H$18),"Outlier","Normal")</f>
        <v>Normal</v>
      </c>
      <c r="Z1934" s="2" t="s">
        <v>72</v>
      </c>
      <c r="AA1934" s="2" t="s">
        <v>27</v>
      </c>
      <c r="AB1934" s="2" t="s">
        <v>28</v>
      </c>
      <c r="AC1934" s="2" t="s">
        <v>29</v>
      </c>
      <c r="AD1934" s="2" t="s">
        <v>112</v>
      </c>
      <c r="AE1934" s="2" t="str">
        <f t="shared" si="412"/>
        <v>Valid</v>
      </c>
      <c r="AF1934" s="2" t="s">
        <v>5034</v>
      </c>
    </row>
    <row r="1935" spans="1:32" x14ac:dyDescent="0.3">
      <c r="A1935" s="2" t="s">
        <v>5035</v>
      </c>
      <c r="B1935" s="2">
        <f t="shared" si="402"/>
        <v>1</v>
      </c>
      <c r="C1935" s="12">
        <f t="shared" si="413"/>
        <v>46238.579876956021</v>
      </c>
      <c r="D1935" s="13">
        <v>46238.579876956021</v>
      </c>
      <c r="E1935" s="2" t="s">
        <v>516</v>
      </c>
      <c r="F1935" s="2" t="str">
        <f t="shared" si="403"/>
        <v>Email Available</v>
      </c>
      <c r="G1935" s="2" t="s">
        <v>517</v>
      </c>
      <c r="H1935" s="2" t="s">
        <v>102</v>
      </c>
      <c r="I1935" s="2" t="s">
        <v>103</v>
      </c>
      <c r="J1935" s="2" t="s">
        <v>104</v>
      </c>
      <c r="K1935" s="2">
        <v>1</v>
      </c>
      <c r="L1935" s="2">
        <v>19.989999999999998</v>
      </c>
      <c r="M1935" s="19">
        <f t="shared" si="404"/>
        <v>19.989999999999998</v>
      </c>
      <c r="N1935" s="2" t="s">
        <v>203</v>
      </c>
      <c r="O1935" s="2" t="str">
        <f t="shared" si="405"/>
        <v>VIP15</v>
      </c>
      <c r="P1935" s="2">
        <v>3</v>
      </c>
      <c r="Q1935" s="19">
        <f t="shared" si="406"/>
        <v>3</v>
      </c>
      <c r="R1935" s="2" t="str">
        <f t="shared" si="407"/>
        <v>Number</v>
      </c>
      <c r="S1935" s="2">
        <v>7.99</v>
      </c>
      <c r="T1935" s="19">
        <f t="shared" si="408"/>
        <v>7.99</v>
      </c>
      <c r="U1935" s="2">
        <v>24.98</v>
      </c>
      <c r="V1935" s="19">
        <f t="shared" si="409"/>
        <v>24.98</v>
      </c>
      <c r="W1935" s="19">
        <f t="shared" si="410"/>
        <v>24.979999999999997</v>
      </c>
      <c r="X1935" s="19" t="str">
        <f t="shared" si="411"/>
        <v>True</v>
      </c>
      <c r="Y1935" s="19" t="str">
        <f>IF(OR(W1935&lt;'Cleaning Tasks'!$G$18,W1935&gt;'Cleaning Tasks'!$H$18),"Outlier","Normal")</f>
        <v>Normal</v>
      </c>
      <c r="Z1935" s="2" t="s">
        <v>26</v>
      </c>
      <c r="AA1935" s="2" t="s">
        <v>27</v>
      </c>
      <c r="AB1935" s="2" t="s">
        <v>96</v>
      </c>
      <c r="AC1935" s="2" t="s">
        <v>29</v>
      </c>
      <c r="AD1935" s="2" t="s">
        <v>67</v>
      </c>
      <c r="AE1935" s="2" t="str">
        <f t="shared" si="412"/>
        <v>Valid</v>
      </c>
      <c r="AF1935" s="2" t="s">
        <v>5036</v>
      </c>
    </row>
    <row r="1936" spans="1:32" x14ac:dyDescent="0.3">
      <c r="A1936" s="2" t="s">
        <v>5037</v>
      </c>
      <c r="B1936" s="2">
        <f t="shared" si="402"/>
        <v>1</v>
      </c>
      <c r="C1936" s="12">
        <f t="shared" si="413"/>
        <v>46238.585463541669</v>
      </c>
      <c r="D1936" s="13">
        <v>46238.585463541669</v>
      </c>
      <c r="E1936" s="2" t="s">
        <v>3590</v>
      </c>
      <c r="F1936" s="2" t="str">
        <f t="shared" si="403"/>
        <v>Email Available</v>
      </c>
      <c r="G1936" s="2" t="s">
        <v>3591</v>
      </c>
      <c r="H1936" s="2" t="s">
        <v>124</v>
      </c>
      <c r="I1936" s="2" t="s">
        <v>79</v>
      </c>
      <c r="J1936" s="2" t="s">
        <v>125</v>
      </c>
      <c r="K1936" s="2">
        <v>1</v>
      </c>
      <c r="L1936" s="2">
        <v>13.99</v>
      </c>
      <c r="M1936" s="19">
        <f t="shared" si="404"/>
        <v>13.99</v>
      </c>
      <c r="N1936" s="2" t="s">
        <v>24</v>
      </c>
      <c r="O1936" s="2" t="str">
        <f t="shared" si="405"/>
        <v>SAVE20</v>
      </c>
      <c r="P1936" s="2">
        <v>2.8</v>
      </c>
      <c r="Q1936" s="19">
        <f t="shared" si="406"/>
        <v>2.8</v>
      </c>
      <c r="R1936" s="2" t="str">
        <f t="shared" si="407"/>
        <v>Number</v>
      </c>
      <c r="S1936" s="2">
        <v>4.99</v>
      </c>
      <c r="T1936" s="19">
        <f t="shared" si="408"/>
        <v>4.99</v>
      </c>
      <c r="U1936" s="2">
        <v>16.18</v>
      </c>
      <c r="V1936" s="19">
        <f t="shared" si="409"/>
        <v>16.18</v>
      </c>
      <c r="W1936" s="19">
        <f t="shared" si="410"/>
        <v>16.18</v>
      </c>
      <c r="X1936" s="19" t="str">
        <f t="shared" si="411"/>
        <v>True</v>
      </c>
      <c r="Y1936" s="19" t="str">
        <f>IF(OR(W1936&lt;'Cleaning Tasks'!$G$18,W1936&gt;'Cleaning Tasks'!$H$18),"Outlier","Normal")</f>
        <v>Normal</v>
      </c>
      <c r="Z1936" s="2" t="s">
        <v>49</v>
      </c>
      <c r="AA1936" s="2" t="s">
        <v>27</v>
      </c>
      <c r="AB1936" s="2" t="s">
        <v>41</v>
      </c>
      <c r="AC1936" s="2" t="s">
        <v>331</v>
      </c>
      <c r="AD1936" s="2"/>
      <c r="AE1936" s="2" t="str">
        <f t="shared" si="412"/>
        <v>Not Required</v>
      </c>
      <c r="AF1936" s="2" t="s">
        <v>5038</v>
      </c>
    </row>
    <row r="1937" spans="1:32" x14ac:dyDescent="0.3">
      <c r="A1937" s="2" t="s">
        <v>5039</v>
      </c>
      <c r="B1937" s="2">
        <f t="shared" si="402"/>
        <v>1</v>
      </c>
      <c r="C1937" s="12">
        <f t="shared" si="413"/>
        <v>46238.587636539349</v>
      </c>
      <c r="D1937" s="13">
        <v>46238.587636539349</v>
      </c>
      <c r="E1937" s="2" t="s">
        <v>979</v>
      </c>
      <c r="F1937" s="2" t="str">
        <f t="shared" si="403"/>
        <v>Email Available</v>
      </c>
      <c r="G1937" s="2" t="s">
        <v>670</v>
      </c>
      <c r="H1937" s="2" t="s">
        <v>130</v>
      </c>
      <c r="I1937" s="2" t="s">
        <v>103</v>
      </c>
      <c r="J1937" s="2" t="s">
        <v>131</v>
      </c>
      <c r="K1937" s="2">
        <v>2</v>
      </c>
      <c r="L1937" s="2">
        <v>16.989999999999998</v>
      </c>
      <c r="M1937" s="19">
        <f t="shared" si="404"/>
        <v>16.989999999999998</v>
      </c>
      <c r="N1937" s="2" t="s">
        <v>65</v>
      </c>
      <c r="O1937" s="2" t="str">
        <f t="shared" si="405"/>
        <v>WELCOME10</v>
      </c>
      <c r="P1937" s="2">
        <v>3.4</v>
      </c>
      <c r="Q1937" s="19">
        <f t="shared" si="406"/>
        <v>3.4</v>
      </c>
      <c r="R1937" s="2" t="str">
        <f t="shared" si="407"/>
        <v>Number</v>
      </c>
      <c r="S1937" s="2">
        <v>5.99</v>
      </c>
      <c r="T1937" s="19">
        <f t="shared" si="408"/>
        <v>5.99</v>
      </c>
      <c r="U1937" s="2">
        <v>36.57</v>
      </c>
      <c r="V1937" s="19">
        <f t="shared" si="409"/>
        <v>36.57</v>
      </c>
      <c r="W1937" s="19">
        <f t="shared" si="410"/>
        <v>36.57</v>
      </c>
      <c r="X1937" s="19" t="str">
        <f t="shared" si="411"/>
        <v>True</v>
      </c>
      <c r="Y1937" s="19" t="str">
        <f>IF(OR(W1937&lt;'Cleaning Tasks'!$G$18,W1937&gt;'Cleaning Tasks'!$H$18),"Outlier","Normal")</f>
        <v>Normal</v>
      </c>
      <c r="Z1937" s="2" t="s">
        <v>49</v>
      </c>
      <c r="AA1937" s="2" t="s">
        <v>111</v>
      </c>
      <c r="AB1937" s="2" t="s">
        <v>28</v>
      </c>
      <c r="AC1937" s="2" t="s">
        <v>29</v>
      </c>
      <c r="AD1937" s="22" t="s">
        <v>140</v>
      </c>
      <c r="AE1937" s="2" t="str">
        <f t="shared" si="412"/>
        <v>Valid</v>
      </c>
      <c r="AF1937" s="2" t="s">
        <v>5040</v>
      </c>
    </row>
    <row r="1938" spans="1:32" x14ac:dyDescent="0.3">
      <c r="A1938" s="2" t="s">
        <v>5041</v>
      </c>
      <c r="B1938" s="2">
        <f t="shared" si="402"/>
        <v>1</v>
      </c>
      <c r="C1938" s="12">
        <f t="shared" si="413"/>
        <v>46238.581807129631</v>
      </c>
      <c r="D1938" s="13">
        <v>46238.581807129631</v>
      </c>
      <c r="E1938" s="2" t="s">
        <v>1678</v>
      </c>
      <c r="F1938" s="2" t="str">
        <f t="shared" si="403"/>
        <v>Email Available</v>
      </c>
      <c r="G1938" s="2" t="s">
        <v>1679</v>
      </c>
      <c r="H1938" s="2" t="s">
        <v>124</v>
      </c>
      <c r="I1938" s="2" t="s">
        <v>79</v>
      </c>
      <c r="J1938" s="2" t="s">
        <v>125</v>
      </c>
      <c r="K1938" s="2">
        <v>2</v>
      </c>
      <c r="L1938" s="2">
        <v>13.99</v>
      </c>
      <c r="M1938" s="19">
        <f t="shared" si="404"/>
        <v>13.99</v>
      </c>
      <c r="N1938" s="2" t="s">
        <v>2933</v>
      </c>
      <c r="O1938" s="2" t="str">
        <f t="shared" si="405"/>
        <v>SAVE20</v>
      </c>
      <c r="P1938" s="2">
        <v>5.6</v>
      </c>
      <c r="Q1938" s="19">
        <f t="shared" si="406"/>
        <v>5.6</v>
      </c>
      <c r="R1938" s="2" t="str">
        <f t="shared" si="407"/>
        <v>Number</v>
      </c>
      <c r="S1938" s="2">
        <v>5.99</v>
      </c>
      <c r="T1938" s="19">
        <f t="shared" si="408"/>
        <v>5.99</v>
      </c>
      <c r="U1938" s="2">
        <v>28.37</v>
      </c>
      <c r="V1938" s="19">
        <f t="shared" si="409"/>
        <v>28.37</v>
      </c>
      <c r="W1938" s="19">
        <f t="shared" si="410"/>
        <v>28.370000000000005</v>
      </c>
      <c r="X1938" s="19" t="str">
        <f t="shared" si="411"/>
        <v>True</v>
      </c>
      <c r="Y1938" s="19" t="str">
        <f>IF(OR(W1938&lt;'Cleaning Tasks'!$G$18,W1938&gt;'Cleaning Tasks'!$H$18),"Outlier","Normal")</f>
        <v>Normal</v>
      </c>
      <c r="Z1938" s="2" t="s">
        <v>26</v>
      </c>
      <c r="AA1938" s="2" t="s">
        <v>27</v>
      </c>
      <c r="AB1938" s="2" t="s">
        <v>50</v>
      </c>
      <c r="AC1938" s="2" t="s">
        <v>223</v>
      </c>
      <c r="AD1938" s="2"/>
      <c r="AE1938" s="2" t="str">
        <f t="shared" si="412"/>
        <v>Not Required</v>
      </c>
      <c r="AF1938" s="2" t="s">
        <v>4837</v>
      </c>
    </row>
    <row r="1939" spans="1:32" x14ac:dyDescent="0.3">
      <c r="A1939" s="2" t="s">
        <v>5042</v>
      </c>
      <c r="B1939" s="2">
        <f t="shared" si="402"/>
        <v>1</v>
      </c>
      <c r="C1939" s="12">
        <f t="shared" si="413"/>
        <v>46238.587305601854</v>
      </c>
      <c r="D1939" s="13">
        <v>46238.587305601854</v>
      </c>
      <c r="E1939" s="2" t="s">
        <v>1075</v>
      </c>
      <c r="F1939" s="2" t="str">
        <f t="shared" si="403"/>
        <v>Email Available</v>
      </c>
      <c r="G1939" s="2" t="s">
        <v>587</v>
      </c>
      <c r="H1939" s="2" t="s">
        <v>35</v>
      </c>
      <c r="I1939" s="2" t="s">
        <v>36</v>
      </c>
      <c r="J1939" s="2" t="s">
        <v>37</v>
      </c>
      <c r="K1939" s="2">
        <v>1</v>
      </c>
      <c r="L1939" s="2" t="s">
        <v>563</v>
      </c>
      <c r="M1939" s="19">
        <f t="shared" si="404"/>
        <v>21.99</v>
      </c>
      <c r="N1939" s="2" t="s">
        <v>65</v>
      </c>
      <c r="O1939" s="2" t="str">
        <f t="shared" si="405"/>
        <v>WELCOME10</v>
      </c>
      <c r="P1939" s="2">
        <v>2.2000000000000002</v>
      </c>
      <c r="Q1939" s="19">
        <f t="shared" si="406"/>
        <v>2.2000000000000002</v>
      </c>
      <c r="R1939" s="2" t="str">
        <f t="shared" si="407"/>
        <v>Number</v>
      </c>
      <c r="S1939" s="2">
        <v>7.99</v>
      </c>
      <c r="T1939" s="19">
        <f t="shared" si="408"/>
        <v>7.99</v>
      </c>
      <c r="U1939" s="2">
        <v>27.78</v>
      </c>
      <c r="V1939" s="19">
        <f t="shared" si="409"/>
        <v>27.78</v>
      </c>
      <c r="W1939" s="19">
        <f t="shared" si="410"/>
        <v>27.78</v>
      </c>
      <c r="X1939" s="19" t="str">
        <f t="shared" si="411"/>
        <v>True</v>
      </c>
      <c r="Y1939" s="19" t="str">
        <f>IF(OR(W1939&lt;'Cleaning Tasks'!$G$18,W1939&gt;'Cleaning Tasks'!$H$18),"Outlier","Normal")</f>
        <v>Normal</v>
      </c>
      <c r="Z1939" s="2" t="s">
        <v>39</v>
      </c>
      <c r="AA1939" s="2" t="s">
        <v>27</v>
      </c>
      <c r="AB1939" s="2" t="s">
        <v>50</v>
      </c>
      <c r="AC1939" s="2" t="s">
        <v>29</v>
      </c>
      <c r="AD1939" s="2" t="s">
        <v>30</v>
      </c>
      <c r="AE1939" s="2" t="str">
        <f t="shared" si="412"/>
        <v>Valid</v>
      </c>
      <c r="AF1939" s="2" t="s">
        <v>5043</v>
      </c>
    </row>
    <row r="1940" spans="1:32" x14ac:dyDescent="0.3">
      <c r="A1940" s="2" t="s">
        <v>5044</v>
      </c>
      <c r="B1940" s="2">
        <f t="shared" si="402"/>
        <v>1</v>
      </c>
      <c r="C1940" s="12">
        <f t="shared" si="413"/>
        <v>46238.579182187503</v>
      </c>
      <c r="D1940" s="13">
        <v>46238.579182187503</v>
      </c>
      <c r="E1940" s="2" t="s">
        <v>3747</v>
      </c>
      <c r="F1940" s="2" t="str">
        <f t="shared" si="403"/>
        <v>Email Available</v>
      </c>
      <c r="G1940" s="2" t="s">
        <v>3748</v>
      </c>
      <c r="H1940" s="2" t="s">
        <v>190</v>
      </c>
      <c r="I1940" s="2" t="s">
        <v>191</v>
      </c>
      <c r="J1940" s="2" t="s">
        <v>192</v>
      </c>
      <c r="K1940" s="2">
        <v>1</v>
      </c>
      <c r="L1940" s="2">
        <v>13.49</v>
      </c>
      <c r="M1940" s="19">
        <f t="shared" si="404"/>
        <v>13.49</v>
      </c>
      <c r="N1940" s="2" t="s">
        <v>65</v>
      </c>
      <c r="O1940" s="2" t="str">
        <f t="shared" si="405"/>
        <v>WELCOME10</v>
      </c>
      <c r="P1940" s="2">
        <v>1.35</v>
      </c>
      <c r="Q1940" s="19">
        <f t="shared" si="406"/>
        <v>1.35</v>
      </c>
      <c r="R1940" s="2" t="str">
        <f t="shared" si="407"/>
        <v>Number</v>
      </c>
      <c r="S1940" s="2">
        <v>5.99</v>
      </c>
      <c r="T1940" s="19">
        <f t="shared" si="408"/>
        <v>5.99</v>
      </c>
      <c r="U1940" s="2" t="s">
        <v>5045</v>
      </c>
      <c r="V1940" s="19">
        <f t="shared" si="409"/>
        <v>18.13</v>
      </c>
      <c r="W1940" s="19">
        <f t="shared" si="410"/>
        <v>18.130000000000003</v>
      </c>
      <c r="X1940" s="19" t="str">
        <f t="shared" si="411"/>
        <v>True</v>
      </c>
      <c r="Y1940" s="19" t="str">
        <f>IF(OR(W1940&lt;'Cleaning Tasks'!$G$18,W1940&gt;'Cleaning Tasks'!$H$18),"Outlier","Normal")</f>
        <v>Normal</v>
      </c>
      <c r="Z1940" s="2" t="s">
        <v>39</v>
      </c>
      <c r="AA1940" s="2" t="s">
        <v>27</v>
      </c>
      <c r="AB1940" s="2" t="s">
        <v>50</v>
      </c>
      <c r="AC1940" s="2" t="s">
        <v>223</v>
      </c>
      <c r="AD1940" s="2"/>
      <c r="AE1940" s="2" t="str">
        <f t="shared" si="412"/>
        <v>Not Required</v>
      </c>
      <c r="AF1940" s="2" t="s">
        <v>5046</v>
      </c>
    </row>
    <row r="1941" spans="1:32" x14ac:dyDescent="0.3">
      <c r="A1941" s="2" t="s">
        <v>5047</v>
      </c>
      <c r="B1941" s="2">
        <f t="shared" si="402"/>
        <v>1</v>
      </c>
      <c r="C1941" s="12">
        <f t="shared" si="413"/>
        <v>46238.585184131953</v>
      </c>
      <c r="D1941" s="13">
        <v>46238.585184131953</v>
      </c>
      <c r="E1941" s="2" t="s">
        <v>76</v>
      </c>
      <c r="F1941" s="2" t="str">
        <f t="shared" si="403"/>
        <v>Email Available</v>
      </c>
      <c r="G1941" s="2" t="s">
        <v>77</v>
      </c>
      <c r="H1941" s="2" t="s">
        <v>361</v>
      </c>
      <c r="I1941" s="2" t="s">
        <v>86</v>
      </c>
      <c r="J1941" s="2" t="s">
        <v>362</v>
      </c>
      <c r="K1941" s="2">
        <v>2</v>
      </c>
      <c r="L1941" s="2">
        <v>54.99</v>
      </c>
      <c r="M1941" s="19">
        <f t="shared" si="404"/>
        <v>54.99</v>
      </c>
      <c r="N1941" s="2"/>
      <c r="O1941" s="2" t="str">
        <f t="shared" si="405"/>
        <v/>
      </c>
      <c r="P1941" s="2">
        <v>0</v>
      </c>
      <c r="Q1941" s="19">
        <f t="shared" si="406"/>
        <v>0</v>
      </c>
      <c r="R1941" s="2" t="str">
        <f t="shared" si="407"/>
        <v>Number</v>
      </c>
      <c r="S1941" s="2">
        <v>0</v>
      </c>
      <c r="T1941" s="19">
        <f t="shared" si="408"/>
        <v>0</v>
      </c>
      <c r="U1941" s="2">
        <v>109.98</v>
      </c>
      <c r="V1941" s="19">
        <f t="shared" si="409"/>
        <v>109.98</v>
      </c>
      <c r="W1941" s="19">
        <f t="shared" si="410"/>
        <v>109.98</v>
      </c>
      <c r="X1941" s="19" t="str">
        <f t="shared" si="411"/>
        <v>True</v>
      </c>
      <c r="Y1941" s="19" t="str">
        <f>IF(OR(W1941&lt;'Cleaning Tasks'!$G$18,W1941&gt;'Cleaning Tasks'!$H$18),"Outlier","Normal")</f>
        <v>Outlier</v>
      </c>
      <c r="Z1941" s="2" t="s">
        <v>26</v>
      </c>
      <c r="AA1941" s="2" t="s">
        <v>27</v>
      </c>
      <c r="AB1941" s="2" t="s">
        <v>96</v>
      </c>
      <c r="AC1941" s="2" t="s">
        <v>73</v>
      </c>
      <c r="AD1941" s="2"/>
      <c r="AE1941" s="2" t="str">
        <f t="shared" si="412"/>
        <v>Not Required</v>
      </c>
      <c r="AF1941" s="2" t="s">
        <v>5048</v>
      </c>
    </row>
    <row r="1942" spans="1:32" x14ac:dyDescent="0.3">
      <c r="A1942" s="2" t="s">
        <v>5049</v>
      </c>
      <c r="B1942" s="2">
        <f t="shared" si="402"/>
        <v>1</v>
      </c>
      <c r="C1942" s="12">
        <f t="shared" si="413"/>
        <v>46238.58610990741</v>
      </c>
      <c r="D1942" s="13">
        <v>46238.58610990741</v>
      </c>
      <c r="E1942" s="2" t="s">
        <v>3028</v>
      </c>
      <c r="F1942" s="2" t="str">
        <f t="shared" si="403"/>
        <v>Email Available</v>
      </c>
      <c r="G1942" s="2" t="s">
        <v>161</v>
      </c>
      <c r="H1942" s="2" t="s">
        <v>201</v>
      </c>
      <c r="I1942" s="2" t="s">
        <v>191</v>
      </c>
      <c r="J1942" s="2" t="s">
        <v>202</v>
      </c>
      <c r="K1942" s="2">
        <v>1</v>
      </c>
      <c r="L1942" s="2">
        <v>24.99</v>
      </c>
      <c r="M1942" s="19">
        <f t="shared" si="404"/>
        <v>24.99</v>
      </c>
      <c r="N1942" s="2"/>
      <c r="O1942" s="2" t="str">
        <f t="shared" si="405"/>
        <v/>
      </c>
      <c r="P1942" s="2">
        <v>0</v>
      </c>
      <c r="Q1942" s="19">
        <f t="shared" si="406"/>
        <v>0</v>
      </c>
      <c r="R1942" s="2" t="str">
        <f t="shared" si="407"/>
        <v>Number</v>
      </c>
      <c r="S1942" s="2">
        <v>5.99</v>
      </c>
      <c r="T1942" s="19">
        <f t="shared" si="408"/>
        <v>5.99</v>
      </c>
      <c r="U1942" s="2">
        <v>30.98</v>
      </c>
      <c r="V1942" s="19">
        <f t="shared" si="409"/>
        <v>30.98</v>
      </c>
      <c r="W1942" s="19">
        <f t="shared" si="410"/>
        <v>30.979999999999997</v>
      </c>
      <c r="X1942" s="19" t="str">
        <f t="shared" si="411"/>
        <v>True</v>
      </c>
      <c r="Y1942" s="19" t="str">
        <f>IF(OR(W1942&lt;'Cleaning Tasks'!$G$18,W1942&gt;'Cleaning Tasks'!$H$18),"Outlier","Normal")</f>
        <v>Normal</v>
      </c>
      <c r="Z1942" s="2" t="s">
        <v>72</v>
      </c>
      <c r="AA1942" s="2" t="s">
        <v>27</v>
      </c>
      <c r="AB1942" s="2" t="s">
        <v>50</v>
      </c>
      <c r="AC1942" s="2" t="s">
        <v>29</v>
      </c>
      <c r="AD1942" s="2" t="s">
        <v>67</v>
      </c>
      <c r="AE1942" s="2" t="str">
        <f t="shared" si="412"/>
        <v>Valid</v>
      </c>
      <c r="AF1942" s="2" t="s">
        <v>5050</v>
      </c>
    </row>
    <row r="1943" spans="1:32" x14ac:dyDescent="0.3">
      <c r="A1943" s="2" t="s">
        <v>5051</v>
      </c>
      <c r="B1943" s="2">
        <f t="shared" si="402"/>
        <v>1</v>
      </c>
      <c r="C1943" s="12">
        <f t="shared" si="413"/>
        <v>46238.579247314818</v>
      </c>
      <c r="D1943" s="13">
        <v>46238.579247314818</v>
      </c>
      <c r="E1943" s="2" t="s">
        <v>188</v>
      </c>
      <c r="F1943" s="2" t="str">
        <f t="shared" si="403"/>
        <v>Email Available</v>
      </c>
      <c r="G1943" s="2" t="s">
        <v>189</v>
      </c>
      <c r="H1943" s="2" t="s">
        <v>109</v>
      </c>
      <c r="I1943" s="2" t="s">
        <v>79</v>
      </c>
      <c r="J1943" s="2" t="s">
        <v>110</v>
      </c>
      <c r="K1943" s="2">
        <v>1</v>
      </c>
      <c r="L1943" s="2">
        <v>22.99</v>
      </c>
      <c r="M1943" s="19">
        <f t="shared" si="404"/>
        <v>22.99</v>
      </c>
      <c r="N1943" s="2" t="s">
        <v>24</v>
      </c>
      <c r="O1943" s="2" t="str">
        <f t="shared" si="405"/>
        <v>SAVE20</v>
      </c>
      <c r="P1943" s="2" t="s">
        <v>5052</v>
      </c>
      <c r="Q1943" s="19">
        <f t="shared" si="406"/>
        <v>4.5999999999999996</v>
      </c>
      <c r="R1943" s="2" t="str">
        <f t="shared" si="407"/>
        <v>Number</v>
      </c>
      <c r="S1943" s="2">
        <v>5.99</v>
      </c>
      <c r="T1943" s="19">
        <f t="shared" si="408"/>
        <v>5.99</v>
      </c>
      <c r="U1943" s="2">
        <v>24.38</v>
      </c>
      <c r="V1943" s="19">
        <f t="shared" si="409"/>
        <v>24.38</v>
      </c>
      <c r="W1943" s="19">
        <f t="shared" si="410"/>
        <v>24.380000000000003</v>
      </c>
      <c r="X1943" s="19" t="str">
        <f t="shared" si="411"/>
        <v>True</v>
      </c>
      <c r="Y1943" s="19" t="str">
        <f>IF(OR(W1943&lt;'Cleaning Tasks'!$G$18,W1943&gt;'Cleaning Tasks'!$H$18),"Outlier","Normal")</f>
        <v>Normal</v>
      </c>
      <c r="Z1943" s="2" t="s">
        <v>49</v>
      </c>
      <c r="AA1943" s="2" t="s">
        <v>88</v>
      </c>
      <c r="AB1943" s="2" t="s">
        <v>41</v>
      </c>
      <c r="AC1943" s="2" t="s">
        <v>29</v>
      </c>
      <c r="AD1943" s="2" t="s">
        <v>112</v>
      </c>
      <c r="AE1943" s="2" t="str">
        <f t="shared" si="412"/>
        <v>Valid</v>
      </c>
      <c r="AF1943" s="2" t="s">
        <v>5053</v>
      </c>
    </row>
    <row r="1944" spans="1:32" x14ac:dyDescent="0.3">
      <c r="A1944" s="2" t="s">
        <v>5054</v>
      </c>
      <c r="B1944" s="2">
        <f t="shared" si="402"/>
        <v>1</v>
      </c>
      <c r="C1944" s="12">
        <f t="shared" si="413"/>
        <v>46238.584741307874</v>
      </c>
      <c r="D1944" s="13">
        <v>46238.584741307874</v>
      </c>
      <c r="E1944" s="2" t="s">
        <v>815</v>
      </c>
      <c r="F1944" s="2" t="str">
        <f t="shared" si="403"/>
        <v>Email Available</v>
      </c>
      <c r="G1944" s="2" t="s">
        <v>816</v>
      </c>
      <c r="H1944" s="2" t="s">
        <v>146</v>
      </c>
      <c r="I1944" s="2" t="s">
        <v>47</v>
      </c>
      <c r="J1944" s="2" t="s">
        <v>147</v>
      </c>
      <c r="K1944" s="2">
        <v>3</v>
      </c>
      <c r="L1944" s="2" t="s">
        <v>340</v>
      </c>
      <c r="M1944" s="19">
        <f t="shared" si="404"/>
        <v>34.99</v>
      </c>
      <c r="N1944" s="2" t="s">
        <v>38</v>
      </c>
      <c r="O1944" s="2" t="str">
        <f t="shared" si="405"/>
        <v>FREESHIP</v>
      </c>
      <c r="P1944" s="2">
        <v>0</v>
      </c>
      <c r="Q1944" s="19">
        <f t="shared" si="406"/>
        <v>0</v>
      </c>
      <c r="R1944" s="2" t="str">
        <f t="shared" si="407"/>
        <v>Number</v>
      </c>
      <c r="S1944" s="2">
        <v>0</v>
      </c>
      <c r="T1944" s="19">
        <f t="shared" si="408"/>
        <v>0</v>
      </c>
      <c r="U1944" s="2">
        <v>104.97</v>
      </c>
      <c r="V1944" s="19">
        <f t="shared" si="409"/>
        <v>104.97</v>
      </c>
      <c r="W1944" s="19">
        <f t="shared" si="410"/>
        <v>104.97</v>
      </c>
      <c r="X1944" s="19" t="str">
        <f t="shared" si="411"/>
        <v>True</v>
      </c>
      <c r="Y1944" s="19" t="str">
        <f>IF(OR(W1944&lt;'Cleaning Tasks'!$G$18,W1944&gt;'Cleaning Tasks'!$H$18),"Outlier","Normal")</f>
        <v>Outlier</v>
      </c>
      <c r="Z1944" s="2" t="s">
        <v>72</v>
      </c>
      <c r="AA1944" s="2" t="s">
        <v>27</v>
      </c>
      <c r="AB1944" s="2" t="s">
        <v>50</v>
      </c>
      <c r="AC1944" s="2" t="s">
        <v>73</v>
      </c>
      <c r="AD1944" s="2"/>
      <c r="AE1944" s="2" t="str">
        <f t="shared" si="412"/>
        <v>Not Required</v>
      </c>
      <c r="AF1944" s="2" t="s">
        <v>5055</v>
      </c>
    </row>
    <row r="1945" spans="1:32" x14ac:dyDescent="0.3">
      <c r="A1945" s="2" t="s">
        <v>5056</v>
      </c>
      <c r="B1945" s="2">
        <f t="shared" si="402"/>
        <v>1</v>
      </c>
      <c r="C1945" s="12">
        <f>DATE(VALUE(RIGHT(D1945,4)),MATCH(LEFT(D1945,3),{"Jan","Feb","Mar","Apr","May","Jun","Jul","Aug","Sep","Oct","Nov","Dec"},0),VALUE(MID(D1945,5,2)))</f>
        <v>46238</v>
      </c>
      <c r="D1945" s="13" t="s">
        <v>171</v>
      </c>
      <c r="E1945" s="2" t="s">
        <v>725</v>
      </c>
      <c r="F1945" s="2" t="str">
        <f t="shared" si="403"/>
        <v>Email Available</v>
      </c>
      <c r="G1945" s="2" t="s">
        <v>726</v>
      </c>
      <c r="H1945" s="2" t="s">
        <v>221</v>
      </c>
      <c r="I1945" s="2" t="s">
        <v>22</v>
      </c>
      <c r="J1945" s="2" t="s">
        <v>222</v>
      </c>
      <c r="K1945" s="2">
        <v>2</v>
      </c>
      <c r="L1945" s="2">
        <v>17.989999999999998</v>
      </c>
      <c r="M1945" s="19">
        <f t="shared" si="404"/>
        <v>17.989999999999998</v>
      </c>
      <c r="N1945" s="2" t="s">
        <v>203</v>
      </c>
      <c r="O1945" s="2" t="str">
        <f t="shared" si="405"/>
        <v>VIP15</v>
      </c>
      <c r="P1945" s="2">
        <v>5.4</v>
      </c>
      <c r="Q1945" s="19">
        <f t="shared" si="406"/>
        <v>5.4</v>
      </c>
      <c r="R1945" s="2" t="str">
        <f t="shared" si="407"/>
        <v>Number</v>
      </c>
      <c r="S1945" s="2">
        <v>5.99</v>
      </c>
      <c r="T1945" s="19">
        <f t="shared" si="408"/>
        <v>5.99</v>
      </c>
      <c r="U1945" s="2">
        <v>36.57</v>
      </c>
      <c r="V1945" s="19">
        <f t="shared" si="409"/>
        <v>36.57</v>
      </c>
      <c r="W1945" s="19">
        <f t="shared" si="410"/>
        <v>36.57</v>
      </c>
      <c r="X1945" s="19" t="str">
        <f t="shared" si="411"/>
        <v>True</v>
      </c>
      <c r="Y1945" s="19" t="str">
        <f>IF(OR(W1945&lt;'Cleaning Tasks'!$G$18,W1945&gt;'Cleaning Tasks'!$H$18),"Outlier","Normal")</f>
        <v>Normal</v>
      </c>
      <c r="Z1945" s="2" t="s">
        <v>66</v>
      </c>
      <c r="AA1945" s="2" t="s">
        <v>27</v>
      </c>
      <c r="AB1945" s="2" t="s">
        <v>50</v>
      </c>
      <c r="AC1945" s="2" t="s">
        <v>105</v>
      </c>
      <c r="AD1945" s="2"/>
      <c r="AE1945" s="2" t="str">
        <f t="shared" si="412"/>
        <v>Not Required</v>
      </c>
      <c r="AF1945" s="2" t="s">
        <v>5057</v>
      </c>
    </row>
    <row r="1946" spans="1:32" x14ac:dyDescent="0.3">
      <c r="A1946" s="2" t="s">
        <v>5058</v>
      </c>
      <c r="B1946" s="2">
        <f t="shared" si="402"/>
        <v>1</v>
      </c>
      <c r="C1946" s="12">
        <f t="shared" ref="C1946:C1965" si="414">IF(ISNUMBER(D1946),D1946,DATEVALUE(SUBSTITUTE(TRIM(D1946),CHAR(160)," ")))</f>
        <v>46238.588891319443</v>
      </c>
      <c r="D1946" s="13">
        <v>46238.588891319443</v>
      </c>
      <c r="E1946" s="2" t="s">
        <v>176</v>
      </c>
      <c r="F1946" s="2" t="str">
        <f t="shared" si="403"/>
        <v>Email Available</v>
      </c>
      <c r="G1946" s="2" t="s">
        <v>177</v>
      </c>
      <c r="H1946" s="2" t="s">
        <v>63</v>
      </c>
      <c r="I1946" s="2" t="s">
        <v>47</v>
      </c>
      <c r="J1946" s="2" t="s">
        <v>446</v>
      </c>
      <c r="K1946" s="2">
        <v>1</v>
      </c>
      <c r="L1946" s="2">
        <v>14.99</v>
      </c>
      <c r="M1946" s="19">
        <f t="shared" si="404"/>
        <v>14.99</v>
      </c>
      <c r="N1946" s="2"/>
      <c r="O1946" s="2" t="str">
        <f t="shared" si="405"/>
        <v/>
      </c>
      <c r="P1946" s="2">
        <v>0</v>
      </c>
      <c r="Q1946" s="19">
        <f t="shared" si="406"/>
        <v>0</v>
      </c>
      <c r="R1946" s="2" t="str">
        <f t="shared" si="407"/>
        <v>Number</v>
      </c>
      <c r="S1946" s="2">
        <v>4.99</v>
      </c>
      <c r="T1946" s="19">
        <f t="shared" si="408"/>
        <v>4.99</v>
      </c>
      <c r="U1946" s="2">
        <v>19.98</v>
      </c>
      <c r="V1946" s="19">
        <f t="shared" si="409"/>
        <v>19.98</v>
      </c>
      <c r="W1946" s="19">
        <f t="shared" si="410"/>
        <v>19.98</v>
      </c>
      <c r="X1946" s="19" t="str">
        <f t="shared" si="411"/>
        <v>True</v>
      </c>
      <c r="Y1946" s="19" t="str">
        <f>IF(OR(W1946&lt;'Cleaning Tasks'!$G$18,W1946&gt;'Cleaning Tasks'!$H$18),"Outlier","Normal")</f>
        <v>Normal</v>
      </c>
      <c r="Z1946" s="2" t="s">
        <v>39</v>
      </c>
      <c r="AA1946" s="2" t="s">
        <v>40</v>
      </c>
      <c r="AB1946" s="2" t="s">
        <v>41</v>
      </c>
      <c r="AC1946" s="2" t="s">
        <v>29</v>
      </c>
      <c r="AD1946" s="2" t="s">
        <v>112</v>
      </c>
      <c r="AE1946" s="2" t="str">
        <f t="shared" si="412"/>
        <v>Valid</v>
      </c>
      <c r="AF1946" s="2" t="s">
        <v>5059</v>
      </c>
    </row>
    <row r="1947" spans="1:32" x14ac:dyDescent="0.3">
      <c r="A1947" s="2" t="s">
        <v>5060</v>
      </c>
      <c r="B1947" s="2">
        <f t="shared" si="402"/>
        <v>1</v>
      </c>
      <c r="C1947" s="12">
        <f t="shared" si="414"/>
        <v>46238.584643321759</v>
      </c>
      <c r="D1947" s="13">
        <v>46238.584643321759</v>
      </c>
      <c r="E1947" s="2" t="s">
        <v>421</v>
      </c>
      <c r="F1947" s="2" t="str">
        <f t="shared" si="403"/>
        <v>Email Available</v>
      </c>
      <c r="G1947" s="2" t="s">
        <v>422</v>
      </c>
      <c r="H1947" s="2" t="s">
        <v>166</v>
      </c>
      <c r="I1947" s="2" t="s">
        <v>103</v>
      </c>
      <c r="J1947" s="2" t="s">
        <v>167</v>
      </c>
      <c r="K1947" s="2">
        <v>1</v>
      </c>
      <c r="L1947" s="2">
        <v>32.99</v>
      </c>
      <c r="M1947" s="19">
        <f t="shared" si="404"/>
        <v>32.99</v>
      </c>
      <c r="N1947" s="2" t="s">
        <v>65</v>
      </c>
      <c r="O1947" s="2" t="str">
        <f t="shared" si="405"/>
        <v>WELCOME10</v>
      </c>
      <c r="P1947" s="2">
        <v>3.3</v>
      </c>
      <c r="Q1947" s="19">
        <f t="shared" si="406"/>
        <v>3.3</v>
      </c>
      <c r="R1947" s="2" t="str">
        <f t="shared" si="407"/>
        <v>Number</v>
      </c>
      <c r="S1947" s="2">
        <v>7.99</v>
      </c>
      <c r="T1947" s="19">
        <f t="shared" si="408"/>
        <v>7.99</v>
      </c>
      <c r="U1947" s="2">
        <v>37.68</v>
      </c>
      <c r="V1947" s="19">
        <f t="shared" si="409"/>
        <v>37.68</v>
      </c>
      <c r="W1947" s="19">
        <f t="shared" si="410"/>
        <v>37.68</v>
      </c>
      <c r="X1947" s="19" t="str">
        <f t="shared" si="411"/>
        <v>True</v>
      </c>
      <c r="Y1947" s="19" t="str">
        <f>IF(OR(W1947&lt;'Cleaning Tasks'!$G$18,W1947&gt;'Cleaning Tasks'!$H$18),"Outlier","Normal")</f>
        <v>Normal</v>
      </c>
      <c r="Z1947" s="2" t="s">
        <v>49</v>
      </c>
      <c r="AA1947" s="2" t="s">
        <v>27</v>
      </c>
      <c r="AB1947" s="2" t="s">
        <v>50</v>
      </c>
      <c r="AC1947" s="2" t="s">
        <v>29</v>
      </c>
      <c r="AD1947" s="2" t="s">
        <v>140</v>
      </c>
      <c r="AE1947" s="2" t="str">
        <f t="shared" si="412"/>
        <v>Valid</v>
      </c>
      <c r="AF1947" s="2" t="s">
        <v>5061</v>
      </c>
    </row>
    <row r="1948" spans="1:32" x14ac:dyDescent="0.3">
      <c r="A1948" s="2" t="s">
        <v>5062</v>
      </c>
      <c r="B1948" s="2">
        <f t="shared" si="402"/>
        <v>1</v>
      </c>
      <c r="C1948" s="12">
        <f t="shared" si="414"/>
        <v>46238.578866863427</v>
      </c>
      <c r="D1948" s="13">
        <v>46238.578866863427</v>
      </c>
      <c r="E1948" s="2" t="s">
        <v>1451</v>
      </c>
      <c r="F1948" s="2" t="str">
        <f t="shared" si="403"/>
        <v>Email Available</v>
      </c>
      <c r="G1948" s="2" t="s">
        <v>1452</v>
      </c>
      <c r="H1948" s="2" t="s">
        <v>102</v>
      </c>
      <c r="I1948" s="2" t="s">
        <v>103</v>
      </c>
      <c r="J1948" s="2" t="s">
        <v>104</v>
      </c>
      <c r="K1948" s="2">
        <v>1</v>
      </c>
      <c r="L1948" s="2">
        <v>19.989999999999998</v>
      </c>
      <c r="M1948" s="19">
        <f t="shared" si="404"/>
        <v>19.989999999999998</v>
      </c>
      <c r="N1948" s="2"/>
      <c r="O1948" s="2" t="str">
        <f t="shared" si="405"/>
        <v/>
      </c>
      <c r="P1948" s="2">
        <v>0</v>
      </c>
      <c r="Q1948" s="19">
        <f t="shared" si="406"/>
        <v>0</v>
      </c>
      <c r="R1948" s="2" t="str">
        <f t="shared" si="407"/>
        <v>Number</v>
      </c>
      <c r="S1948" s="2">
        <v>7.99</v>
      </c>
      <c r="T1948" s="19">
        <f t="shared" si="408"/>
        <v>7.99</v>
      </c>
      <c r="U1948" s="2">
        <v>27.98</v>
      </c>
      <c r="V1948" s="19">
        <f t="shared" si="409"/>
        <v>27.98</v>
      </c>
      <c r="W1948" s="19">
        <f t="shared" si="410"/>
        <v>27.979999999999997</v>
      </c>
      <c r="X1948" s="19" t="str">
        <f t="shared" si="411"/>
        <v>True</v>
      </c>
      <c r="Y1948" s="19" t="str">
        <f>IF(OR(W1948&lt;'Cleaning Tasks'!$G$18,W1948&gt;'Cleaning Tasks'!$H$18),"Outlier","Normal")</f>
        <v>Normal</v>
      </c>
      <c r="Z1948" s="2" t="s">
        <v>66</v>
      </c>
      <c r="AA1948" s="2" t="s">
        <v>40</v>
      </c>
      <c r="AB1948" s="2" t="s">
        <v>50</v>
      </c>
      <c r="AC1948" s="2" t="s">
        <v>29</v>
      </c>
      <c r="AD1948" s="2" t="s">
        <v>341</v>
      </c>
      <c r="AE1948" s="2" t="str">
        <f t="shared" si="412"/>
        <v>Valid</v>
      </c>
      <c r="AF1948" s="2" t="s">
        <v>5063</v>
      </c>
    </row>
    <row r="1949" spans="1:32" x14ac:dyDescent="0.3">
      <c r="A1949" s="2" t="s">
        <v>5064</v>
      </c>
      <c r="B1949" s="2">
        <f t="shared" si="402"/>
        <v>1</v>
      </c>
      <c r="C1949" s="12">
        <f t="shared" si="414"/>
        <v>46238.584248634259</v>
      </c>
      <c r="D1949" s="13">
        <v>46238.584248634259</v>
      </c>
      <c r="E1949" s="2" t="s">
        <v>2876</v>
      </c>
      <c r="F1949" s="2" t="str">
        <f t="shared" si="403"/>
        <v>Email Available</v>
      </c>
      <c r="G1949" s="2" t="s">
        <v>2877</v>
      </c>
      <c r="H1949" s="2" t="s">
        <v>102</v>
      </c>
      <c r="I1949" s="2" t="s">
        <v>103</v>
      </c>
      <c r="J1949" s="2" t="s">
        <v>104</v>
      </c>
      <c r="K1949" s="2">
        <v>3</v>
      </c>
      <c r="L1949" s="2">
        <v>19.989999999999998</v>
      </c>
      <c r="M1949" s="19">
        <f t="shared" si="404"/>
        <v>19.989999999999998</v>
      </c>
      <c r="N1949" s="2"/>
      <c r="O1949" s="2" t="str">
        <f t="shared" si="405"/>
        <v/>
      </c>
      <c r="P1949" s="2">
        <v>0</v>
      </c>
      <c r="Q1949" s="19">
        <f t="shared" si="406"/>
        <v>0</v>
      </c>
      <c r="R1949" s="2" t="str">
        <f t="shared" si="407"/>
        <v>Number</v>
      </c>
      <c r="S1949" s="2">
        <v>5.99</v>
      </c>
      <c r="T1949" s="19">
        <f t="shared" si="408"/>
        <v>5.99</v>
      </c>
      <c r="U1949" s="2">
        <v>65.959999999999994</v>
      </c>
      <c r="V1949" s="19">
        <f t="shared" si="409"/>
        <v>65.959999999999994</v>
      </c>
      <c r="W1949" s="19">
        <f t="shared" si="410"/>
        <v>65.959999999999994</v>
      </c>
      <c r="X1949" s="19" t="str">
        <f t="shared" si="411"/>
        <v>True</v>
      </c>
      <c r="Y1949" s="19" t="str">
        <f>IF(OR(W1949&lt;'Cleaning Tasks'!$G$18,W1949&gt;'Cleaning Tasks'!$H$18),"Outlier","Normal")</f>
        <v>Normal</v>
      </c>
      <c r="Z1949" s="2" t="s">
        <v>66</v>
      </c>
      <c r="AA1949" s="2" t="s">
        <v>27</v>
      </c>
      <c r="AB1949" s="2" t="s">
        <v>50</v>
      </c>
      <c r="AC1949" s="2" t="s">
        <v>29</v>
      </c>
      <c r="AD1949" s="2" t="s">
        <v>67</v>
      </c>
      <c r="AE1949" s="2" t="str">
        <f t="shared" si="412"/>
        <v>Valid</v>
      </c>
      <c r="AF1949" s="2" t="s">
        <v>2800</v>
      </c>
    </row>
    <row r="1950" spans="1:32" x14ac:dyDescent="0.3">
      <c r="A1950" s="2" t="s">
        <v>5065</v>
      </c>
      <c r="B1950" s="2">
        <f t="shared" si="402"/>
        <v>1</v>
      </c>
      <c r="C1950" s="12">
        <f t="shared" si="414"/>
        <v>46238</v>
      </c>
      <c r="D1950" s="13">
        <v>46238</v>
      </c>
      <c r="E1950" s="2" t="s">
        <v>2370</v>
      </c>
      <c r="F1950" s="2" t="str">
        <f t="shared" si="403"/>
        <v>Email Available</v>
      </c>
      <c r="G1950" s="2" t="s">
        <v>2371</v>
      </c>
      <c r="H1950" s="2" t="s">
        <v>63</v>
      </c>
      <c r="I1950" s="2" t="s">
        <v>47</v>
      </c>
      <c r="J1950" s="2" t="s">
        <v>64</v>
      </c>
      <c r="K1950" s="2">
        <v>2</v>
      </c>
      <c r="L1950" s="2">
        <v>14.99</v>
      </c>
      <c r="M1950" s="19">
        <f t="shared" si="404"/>
        <v>14.99</v>
      </c>
      <c r="N1950" s="2" t="s">
        <v>203</v>
      </c>
      <c r="O1950" s="2" t="str">
        <f t="shared" si="405"/>
        <v>VIP15</v>
      </c>
      <c r="P1950" s="2">
        <v>4.5</v>
      </c>
      <c r="Q1950" s="19">
        <f t="shared" si="406"/>
        <v>4.5</v>
      </c>
      <c r="R1950" s="2" t="str">
        <f t="shared" si="407"/>
        <v>Number</v>
      </c>
      <c r="S1950" s="2">
        <v>7.99</v>
      </c>
      <c r="T1950" s="19">
        <f t="shared" si="408"/>
        <v>7.99</v>
      </c>
      <c r="U1950" s="2">
        <v>33.47</v>
      </c>
      <c r="V1950" s="19">
        <f t="shared" si="409"/>
        <v>33.47</v>
      </c>
      <c r="W1950" s="19">
        <f t="shared" si="410"/>
        <v>33.47</v>
      </c>
      <c r="X1950" s="19" t="str">
        <f t="shared" si="411"/>
        <v>True</v>
      </c>
      <c r="Y1950" s="19" t="str">
        <f>IF(OR(W1950&lt;'Cleaning Tasks'!$G$18,W1950&gt;'Cleaning Tasks'!$H$18),"Outlier","Normal")</f>
        <v>Normal</v>
      </c>
      <c r="Z1950" s="2" t="s">
        <v>72</v>
      </c>
      <c r="AA1950" s="2" t="s">
        <v>40</v>
      </c>
      <c r="AB1950" s="2" t="s">
        <v>50</v>
      </c>
      <c r="AC1950" s="2" t="s">
        <v>105</v>
      </c>
      <c r="AD1950" s="2"/>
      <c r="AE1950" s="2" t="str">
        <f t="shared" si="412"/>
        <v>Not Required</v>
      </c>
      <c r="AF1950" s="2" t="s">
        <v>5066</v>
      </c>
    </row>
    <row r="1951" spans="1:32" x14ac:dyDescent="0.3">
      <c r="A1951" s="2" t="s">
        <v>5067</v>
      </c>
      <c r="B1951" s="2">
        <f t="shared" si="402"/>
        <v>1</v>
      </c>
      <c r="C1951" s="12">
        <f t="shared" si="414"/>
        <v>46238.583600740742</v>
      </c>
      <c r="D1951" s="13">
        <v>46238.583600740742</v>
      </c>
      <c r="E1951" s="2" t="s">
        <v>3830</v>
      </c>
      <c r="F1951" s="2" t="str">
        <f t="shared" si="403"/>
        <v>Email Available</v>
      </c>
      <c r="G1951" s="2" t="s">
        <v>3831</v>
      </c>
      <c r="H1951" s="2" t="s">
        <v>46</v>
      </c>
      <c r="I1951" s="2" t="s">
        <v>47</v>
      </c>
      <c r="J1951" s="2" t="s">
        <v>48</v>
      </c>
      <c r="K1951" s="2">
        <v>1</v>
      </c>
      <c r="L1951" s="2">
        <v>39.99</v>
      </c>
      <c r="M1951" s="19">
        <f t="shared" si="404"/>
        <v>39.99</v>
      </c>
      <c r="N1951" s="2"/>
      <c r="O1951" s="2" t="str">
        <f t="shared" si="405"/>
        <v/>
      </c>
      <c r="P1951" s="2">
        <v>0</v>
      </c>
      <c r="Q1951" s="19">
        <f t="shared" si="406"/>
        <v>0</v>
      </c>
      <c r="R1951" s="2" t="str">
        <f t="shared" si="407"/>
        <v>Number</v>
      </c>
      <c r="S1951" s="2">
        <v>4.99</v>
      </c>
      <c r="T1951" s="19">
        <f t="shared" si="408"/>
        <v>4.99</v>
      </c>
      <c r="U1951" s="2">
        <v>44.98</v>
      </c>
      <c r="V1951" s="19">
        <f t="shared" si="409"/>
        <v>44.98</v>
      </c>
      <c r="W1951" s="19">
        <f t="shared" si="410"/>
        <v>44.980000000000004</v>
      </c>
      <c r="X1951" s="19" t="str">
        <f t="shared" si="411"/>
        <v>True</v>
      </c>
      <c r="Y1951" s="19" t="str">
        <f>IF(OR(W1951&lt;'Cleaning Tasks'!$G$18,W1951&gt;'Cleaning Tasks'!$H$18),"Outlier","Normal")</f>
        <v>Normal</v>
      </c>
      <c r="Z1951" s="2" t="s">
        <v>26</v>
      </c>
      <c r="AA1951" s="2" t="s">
        <v>27</v>
      </c>
      <c r="AB1951" s="2" t="s">
        <v>28</v>
      </c>
      <c r="AC1951" s="2" t="s">
        <v>331</v>
      </c>
      <c r="AD1951" s="2"/>
      <c r="AE1951" s="2" t="str">
        <f t="shared" si="412"/>
        <v>Not Required</v>
      </c>
      <c r="AF1951" s="2" t="s">
        <v>5068</v>
      </c>
    </row>
    <row r="1952" spans="1:32" x14ac:dyDescent="0.3">
      <c r="A1952" s="2" t="s">
        <v>5069</v>
      </c>
      <c r="B1952" s="2">
        <f t="shared" si="402"/>
        <v>1</v>
      </c>
      <c r="C1952" s="12">
        <f t="shared" si="414"/>
        <v>46238.582801215278</v>
      </c>
      <c r="D1952" s="13">
        <v>46238.582801215278</v>
      </c>
      <c r="E1952" s="2" t="s">
        <v>226</v>
      </c>
      <c r="F1952" s="2" t="str">
        <f t="shared" si="403"/>
        <v>Email Available</v>
      </c>
      <c r="G1952" s="2" t="s">
        <v>227</v>
      </c>
      <c r="H1952" s="2" t="s">
        <v>236</v>
      </c>
      <c r="I1952" s="2" t="s">
        <v>237</v>
      </c>
      <c r="J1952" s="2" t="s">
        <v>238</v>
      </c>
      <c r="K1952" s="2">
        <v>2</v>
      </c>
      <c r="L1952" s="2">
        <v>27.99</v>
      </c>
      <c r="M1952" s="19">
        <f t="shared" si="404"/>
        <v>27.99</v>
      </c>
      <c r="N1952" s="2" t="s">
        <v>38</v>
      </c>
      <c r="O1952" s="2" t="str">
        <f t="shared" si="405"/>
        <v>FREESHIP</v>
      </c>
      <c r="P1952" s="2">
        <v>0</v>
      </c>
      <c r="Q1952" s="19">
        <f t="shared" si="406"/>
        <v>0</v>
      </c>
      <c r="R1952" s="2" t="str">
        <f t="shared" si="407"/>
        <v>Number</v>
      </c>
      <c r="S1952" s="2">
        <v>0</v>
      </c>
      <c r="T1952" s="19">
        <f t="shared" si="408"/>
        <v>0</v>
      </c>
      <c r="U1952" s="2" t="s">
        <v>2610</v>
      </c>
      <c r="V1952" s="19">
        <f t="shared" si="409"/>
        <v>55.98</v>
      </c>
      <c r="W1952" s="19">
        <f t="shared" si="410"/>
        <v>55.98</v>
      </c>
      <c r="X1952" s="19" t="str">
        <f t="shared" si="411"/>
        <v>True</v>
      </c>
      <c r="Y1952" s="19" t="str">
        <f>IF(OR(W1952&lt;'Cleaning Tasks'!$G$18,W1952&gt;'Cleaning Tasks'!$H$18),"Outlier","Normal")</f>
        <v>Normal</v>
      </c>
      <c r="Z1952" s="2" t="s">
        <v>66</v>
      </c>
      <c r="AA1952" s="2" t="s">
        <v>27</v>
      </c>
      <c r="AB1952" s="2" t="s">
        <v>50</v>
      </c>
      <c r="AC1952" s="2" t="s">
        <v>29</v>
      </c>
      <c r="AD1952" s="2" t="s">
        <v>112</v>
      </c>
      <c r="AE1952" s="2" t="str">
        <f t="shared" si="412"/>
        <v>Valid</v>
      </c>
      <c r="AF1952" s="2" t="s">
        <v>5070</v>
      </c>
    </row>
    <row r="1953" spans="1:32" x14ac:dyDescent="0.3">
      <c r="A1953" s="2" t="s">
        <v>5071</v>
      </c>
      <c r="B1953" s="2">
        <f t="shared" si="402"/>
        <v>1</v>
      </c>
      <c r="C1953" s="12">
        <f t="shared" si="414"/>
        <v>46238.580760011573</v>
      </c>
      <c r="D1953" s="13">
        <v>46238.580760011573</v>
      </c>
      <c r="E1953" s="2" t="s">
        <v>1540</v>
      </c>
      <c r="F1953" s="2" t="str">
        <f t="shared" si="403"/>
        <v>Email Available</v>
      </c>
      <c r="G1953" s="2" t="s">
        <v>1541</v>
      </c>
      <c r="H1953" s="2" t="s">
        <v>85</v>
      </c>
      <c r="I1953" s="2" t="s">
        <v>86</v>
      </c>
      <c r="J1953" s="2" t="s">
        <v>87</v>
      </c>
      <c r="K1953" s="2">
        <v>2</v>
      </c>
      <c r="L1953" s="2">
        <v>54.99</v>
      </c>
      <c r="M1953" s="19">
        <f t="shared" si="404"/>
        <v>54.99</v>
      </c>
      <c r="N1953" s="2" t="s">
        <v>38</v>
      </c>
      <c r="O1953" s="2" t="str">
        <f t="shared" si="405"/>
        <v>FREESHIP</v>
      </c>
      <c r="P1953" s="2">
        <v>0</v>
      </c>
      <c r="Q1953" s="19">
        <f t="shared" si="406"/>
        <v>0</v>
      </c>
      <c r="R1953" s="2" t="str">
        <f t="shared" si="407"/>
        <v>Number</v>
      </c>
      <c r="S1953" s="2">
        <v>0</v>
      </c>
      <c r="T1953" s="19">
        <f t="shared" si="408"/>
        <v>0</v>
      </c>
      <c r="U1953" s="2">
        <v>109.98</v>
      </c>
      <c r="V1953" s="19">
        <f t="shared" si="409"/>
        <v>109.98</v>
      </c>
      <c r="W1953" s="19">
        <f t="shared" si="410"/>
        <v>109.98</v>
      </c>
      <c r="X1953" s="19" t="str">
        <f t="shared" si="411"/>
        <v>True</v>
      </c>
      <c r="Y1953" s="19" t="str">
        <f>IF(OR(W1953&lt;'Cleaning Tasks'!$G$18,W1953&gt;'Cleaning Tasks'!$H$18),"Outlier","Normal")</f>
        <v>Outlier</v>
      </c>
      <c r="Z1953" s="2" t="s">
        <v>39</v>
      </c>
      <c r="AA1953" s="2" t="s">
        <v>88</v>
      </c>
      <c r="AB1953" s="2" t="s">
        <v>50</v>
      </c>
      <c r="AC1953" s="2" t="s">
        <v>29</v>
      </c>
      <c r="AD1953" s="2" t="s">
        <v>243</v>
      </c>
      <c r="AE1953" s="2" t="str">
        <f t="shared" si="412"/>
        <v>Valid</v>
      </c>
      <c r="AF1953" s="2" t="s">
        <v>5072</v>
      </c>
    </row>
    <row r="1954" spans="1:32" x14ac:dyDescent="0.3">
      <c r="A1954" s="2" t="s">
        <v>5073</v>
      </c>
      <c r="B1954" s="2">
        <f t="shared" si="402"/>
        <v>1</v>
      </c>
      <c r="C1954" s="12">
        <f t="shared" si="414"/>
        <v>46238.581403715281</v>
      </c>
      <c r="D1954" s="13">
        <v>46238.581403715281</v>
      </c>
      <c r="E1954" s="2" t="s">
        <v>3502</v>
      </c>
      <c r="F1954" s="2" t="str">
        <f t="shared" si="403"/>
        <v>Email Available</v>
      </c>
      <c r="G1954" s="2" t="s">
        <v>3503</v>
      </c>
      <c r="H1954" s="2" t="s">
        <v>63</v>
      </c>
      <c r="I1954" s="2" t="s">
        <v>47</v>
      </c>
      <c r="J1954" s="2" t="s">
        <v>64</v>
      </c>
      <c r="K1954" s="2">
        <v>1</v>
      </c>
      <c r="L1954" s="2">
        <v>14.99</v>
      </c>
      <c r="M1954" s="19">
        <f t="shared" si="404"/>
        <v>14.99</v>
      </c>
      <c r="N1954" s="2"/>
      <c r="O1954" s="2" t="str">
        <f t="shared" si="405"/>
        <v/>
      </c>
      <c r="P1954" s="2">
        <v>0</v>
      </c>
      <c r="Q1954" s="19">
        <f t="shared" si="406"/>
        <v>0</v>
      </c>
      <c r="R1954" s="2" t="str">
        <f t="shared" si="407"/>
        <v>Number</v>
      </c>
      <c r="S1954" s="2">
        <v>7.99</v>
      </c>
      <c r="T1954" s="19">
        <f t="shared" si="408"/>
        <v>7.99</v>
      </c>
      <c r="U1954" s="2">
        <v>22.98</v>
      </c>
      <c r="V1954" s="19">
        <f t="shared" si="409"/>
        <v>22.98</v>
      </c>
      <c r="W1954" s="19">
        <f t="shared" si="410"/>
        <v>22.98</v>
      </c>
      <c r="X1954" s="19" t="str">
        <f t="shared" si="411"/>
        <v>True</v>
      </c>
      <c r="Y1954" s="19" t="str">
        <f>IF(OR(W1954&lt;'Cleaning Tasks'!$G$18,W1954&gt;'Cleaning Tasks'!$H$18),"Outlier","Normal")</f>
        <v>Normal</v>
      </c>
      <c r="Z1954" s="2" t="s">
        <v>49</v>
      </c>
      <c r="AA1954" s="2" t="s">
        <v>27</v>
      </c>
      <c r="AB1954" s="2" t="s">
        <v>50</v>
      </c>
      <c r="AC1954" s="2" t="s">
        <v>29</v>
      </c>
      <c r="AD1954" s="2" t="s">
        <v>341</v>
      </c>
      <c r="AE1954" s="2" t="str">
        <f t="shared" si="412"/>
        <v>Valid</v>
      </c>
      <c r="AF1954" s="2" t="s">
        <v>5074</v>
      </c>
    </row>
    <row r="1955" spans="1:32" x14ac:dyDescent="0.3">
      <c r="A1955" s="2" t="s">
        <v>5075</v>
      </c>
      <c r="B1955" s="2">
        <f t="shared" si="402"/>
        <v>1</v>
      </c>
      <c r="C1955" s="12">
        <f t="shared" si="414"/>
        <v>46238.588749641203</v>
      </c>
      <c r="D1955" s="13">
        <v>46238.588749641203</v>
      </c>
      <c r="E1955" s="2" t="s">
        <v>1271</v>
      </c>
      <c r="F1955" s="2" t="str">
        <f t="shared" si="403"/>
        <v>Email Available</v>
      </c>
      <c r="G1955" s="2" t="s">
        <v>1272</v>
      </c>
      <c r="H1955" s="2" t="s">
        <v>102</v>
      </c>
      <c r="I1955" s="2" t="s">
        <v>103</v>
      </c>
      <c r="J1955" s="2" t="s">
        <v>104</v>
      </c>
      <c r="K1955" s="2">
        <v>1</v>
      </c>
      <c r="L1955" s="2">
        <v>19.989999999999998</v>
      </c>
      <c r="M1955" s="19">
        <f t="shared" si="404"/>
        <v>19.989999999999998</v>
      </c>
      <c r="N1955" s="2"/>
      <c r="O1955" s="2" t="str">
        <f t="shared" si="405"/>
        <v/>
      </c>
      <c r="P1955" s="2">
        <v>0</v>
      </c>
      <c r="Q1955" s="19">
        <f t="shared" si="406"/>
        <v>0</v>
      </c>
      <c r="R1955" s="2" t="str">
        <f t="shared" si="407"/>
        <v>Number</v>
      </c>
      <c r="S1955" s="2">
        <v>4.99</v>
      </c>
      <c r="T1955" s="19">
        <f t="shared" si="408"/>
        <v>4.99</v>
      </c>
      <c r="U1955" s="2">
        <v>24.98</v>
      </c>
      <c r="V1955" s="19">
        <f t="shared" si="409"/>
        <v>24.98</v>
      </c>
      <c r="W1955" s="19">
        <f t="shared" si="410"/>
        <v>24.979999999999997</v>
      </c>
      <c r="X1955" s="19" t="str">
        <f t="shared" si="411"/>
        <v>True</v>
      </c>
      <c r="Y1955" s="19" t="str">
        <f>IF(OR(W1955&lt;'Cleaning Tasks'!$G$18,W1955&gt;'Cleaning Tasks'!$H$18),"Outlier","Normal")</f>
        <v>Normal</v>
      </c>
      <c r="Z1955" s="2" t="s">
        <v>72</v>
      </c>
      <c r="AA1955" s="2" t="s">
        <v>27</v>
      </c>
      <c r="AB1955" s="2" t="s">
        <v>50</v>
      </c>
      <c r="AC1955" s="2" t="s">
        <v>73</v>
      </c>
      <c r="AD1955" s="2"/>
      <c r="AE1955" s="2" t="str">
        <f t="shared" si="412"/>
        <v>Not Required</v>
      </c>
      <c r="AF1955" s="2" t="s">
        <v>497</v>
      </c>
    </row>
    <row r="1956" spans="1:32" x14ac:dyDescent="0.3">
      <c r="A1956" s="2" t="s">
        <v>5076</v>
      </c>
      <c r="B1956" s="2">
        <f t="shared" si="402"/>
        <v>1</v>
      </c>
      <c r="C1956" s="12">
        <f t="shared" si="414"/>
        <v>46238.587453738422</v>
      </c>
      <c r="D1956" s="13">
        <v>46238.587453738422</v>
      </c>
      <c r="E1956" s="2" t="s">
        <v>3012</v>
      </c>
      <c r="F1956" s="2" t="str">
        <f t="shared" si="403"/>
        <v>Email Available</v>
      </c>
      <c r="G1956" s="2" t="s">
        <v>3013</v>
      </c>
      <c r="H1956" s="2" t="s">
        <v>63</v>
      </c>
      <c r="I1956" s="2" t="s">
        <v>47</v>
      </c>
      <c r="J1956" s="2" t="s">
        <v>446</v>
      </c>
      <c r="K1956" s="2">
        <v>1</v>
      </c>
      <c r="L1956" s="2" t="s">
        <v>1465</v>
      </c>
      <c r="M1956" s="19">
        <f t="shared" si="404"/>
        <v>14.99</v>
      </c>
      <c r="N1956" s="2" t="s">
        <v>24</v>
      </c>
      <c r="O1956" s="2" t="str">
        <f t="shared" si="405"/>
        <v>SAVE20</v>
      </c>
      <c r="P1956" s="2" t="s">
        <v>4580</v>
      </c>
      <c r="Q1956" s="19">
        <f t="shared" si="406"/>
        <v>3</v>
      </c>
      <c r="R1956" s="2" t="str">
        <f t="shared" si="407"/>
        <v>Number</v>
      </c>
      <c r="S1956" s="2">
        <v>5.99</v>
      </c>
      <c r="T1956" s="19">
        <f t="shared" si="408"/>
        <v>5.99</v>
      </c>
      <c r="U1956" s="2">
        <v>17.98</v>
      </c>
      <c r="V1956" s="19">
        <f t="shared" si="409"/>
        <v>17.98</v>
      </c>
      <c r="W1956" s="19">
        <f t="shared" si="410"/>
        <v>17.98</v>
      </c>
      <c r="X1956" s="19" t="str">
        <f t="shared" si="411"/>
        <v>True</v>
      </c>
      <c r="Y1956" s="19" t="str">
        <f>IF(OR(W1956&lt;'Cleaning Tasks'!$G$18,W1956&gt;'Cleaning Tasks'!$H$18),"Outlier","Normal")</f>
        <v>Normal</v>
      </c>
      <c r="Z1956" s="2" t="s">
        <v>39</v>
      </c>
      <c r="AA1956" s="2" t="s">
        <v>88</v>
      </c>
      <c r="AB1956" s="2" t="s">
        <v>50</v>
      </c>
      <c r="AC1956" s="2" t="s">
        <v>29</v>
      </c>
      <c r="AD1956" s="2" t="s">
        <v>243</v>
      </c>
      <c r="AE1956" s="2" t="str">
        <f t="shared" si="412"/>
        <v>Valid</v>
      </c>
      <c r="AF1956" s="2" t="s">
        <v>1668</v>
      </c>
    </row>
    <row r="1957" spans="1:32" x14ac:dyDescent="0.3">
      <c r="A1957" s="2" t="s">
        <v>5077</v>
      </c>
      <c r="B1957" s="2">
        <f t="shared" si="402"/>
        <v>1</v>
      </c>
      <c r="C1957" s="12">
        <f t="shared" si="414"/>
        <v>46238.583896076387</v>
      </c>
      <c r="D1957" s="13">
        <v>46238.583896076387</v>
      </c>
      <c r="E1957" s="2" t="s">
        <v>5078</v>
      </c>
      <c r="F1957" s="2" t="str">
        <f t="shared" si="403"/>
        <v>Email Available</v>
      </c>
      <c r="G1957" s="2" t="s">
        <v>810</v>
      </c>
      <c r="H1957" s="2" t="s">
        <v>236</v>
      </c>
      <c r="I1957" s="2" t="s">
        <v>237</v>
      </c>
      <c r="J1957" s="2" t="s">
        <v>238</v>
      </c>
      <c r="K1957" s="2">
        <v>1</v>
      </c>
      <c r="L1957" s="2">
        <v>27.99</v>
      </c>
      <c r="M1957" s="19">
        <f t="shared" si="404"/>
        <v>27.99</v>
      </c>
      <c r="N1957" s="2" t="s">
        <v>65</v>
      </c>
      <c r="O1957" s="2" t="str">
        <f t="shared" si="405"/>
        <v>WELCOME10</v>
      </c>
      <c r="P1957" s="2">
        <v>2.8</v>
      </c>
      <c r="Q1957" s="19">
        <f t="shared" si="406"/>
        <v>2.8</v>
      </c>
      <c r="R1957" s="2" t="str">
        <f t="shared" si="407"/>
        <v>Number</v>
      </c>
      <c r="S1957" s="2">
        <v>7.99</v>
      </c>
      <c r="T1957" s="19">
        <f t="shared" si="408"/>
        <v>7.99</v>
      </c>
      <c r="U1957" s="2">
        <v>33.18</v>
      </c>
      <c r="V1957" s="19">
        <f t="shared" si="409"/>
        <v>33.18</v>
      </c>
      <c r="W1957" s="19">
        <f t="shared" si="410"/>
        <v>33.18</v>
      </c>
      <c r="X1957" s="19" t="str">
        <f t="shared" si="411"/>
        <v>True</v>
      </c>
      <c r="Y1957" s="19" t="str">
        <f>IF(OR(W1957&lt;'Cleaning Tasks'!$G$18,W1957&gt;'Cleaning Tasks'!$H$18),"Outlier","Normal")</f>
        <v>Normal</v>
      </c>
      <c r="Z1957" s="2" t="s">
        <v>66</v>
      </c>
      <c r="AA1957" s="2" t="s">
        <v>111</v>
      </c>
      <c r="AB1957" s="2" t="s">
        <v>50</v>
      </c>
      <c r="AC1957" s="2" t="s">
        <v>29</v>
      </c>
      <c r="AD1957" s="2" t="s">
        <v>341</v>
      </c>
      <c r="AE1957" s="2" t="str">
        <f t="shared" si="412"/>
        <v>Valid</v>
      </c>
      <c r="AF1957" s="2" t="s">
        <v>5079</v>
      </c>
    </row>
    <row r="1958" spans="1:32" x14ac:dyDescent="0.3">
      <c r="A1958" s="2" t="s">
        <v>5080</v>
      </c>
      <c r="B1958" s="2">
        <f t="shared" si="402"/>
        <v>1</v>
      </c>
      <c r="C1958" s="12">
        <f t="shared" si="414"/>
        <v>46238</v>
      </c>
      <c r="D1958" s="13" t="s">
        <v>143</v>
      </c>
      <c r="E1958" s="2" t="s">
        <v>195</v>
      </c>
      <c r="F1958" s="2" t="str">
        <f t="shared" si="403"/>
        <v>Email Available</v>
      </c>
      <c r="G1958" s="2" t="s">
        <v>196</v>
      </c>
      <c r="H1958" s="2" t="s">
        <v>46</v>
      </c>
      <c r="I1958" s="2" t="s">
        <v>47</v>
      </c>
      <c r="J1958" s="2" t="s">
        <v>48</v>
      </c>
      <c r="K1958" s="2">
        <v>1</v>
      </c>
      <c r="L1958" s="2">
        <v>39.99</v>
      </c>
      <c r="M1958" s="19">
        <f t="shared" si="404"/>
        <v>39.99</v>
      </c>
      <c r="N1958" s="2" t="s">
        <v>203</v>
      </c>
      <c r="O1958" s="2" t="str">
        <f t="shared" si="405"/>
        <v>VIP15</v>
      </c>
      <c r="P1958" s="2">
        <v>6</v>
      </c>
      <c r="Q1958" s="19">
        <f t="shared" si="406"/>
        <v>6</v>
      </c>
      <c r="R1958" s="2" t="str">
        <f t="shared" si="407"/>
        <v>Number</v>
      </c>
      <c r="S1958" s="2">
        <v>4.99</v>
      </c>
      <c r="T1958" s="19">
        <f t="shared" si="408"/>
        <v>4.99</v>
      </c>
      <c r="U1958" s="2">
        <v>38.979999999999997</v>
      </c>
      <c r="V1958" s="19">
        <f t="shared" si="409"/>
        <v>38.979999999999997</v>
      </c>
      <c r="W1958" s="19">
        <f t="shared" si="410"/>
        <v>38.980000000000004</v>
      </c>
      <c r="X1958" s="19" t="str">
        <f t="shared" si="411"/>
        <v>True</v>
      </c>
      <c r="Y1958" s="19" t="str">
        <f>IF(OR(W1958&lt;'Cleaning Tasks'!$G$18,W1958&gt;'Cleaning Tasks'!$H$18),"Outlier","Normal")</f>
        <v>Normal</v>
      </c>
      <c r="Z1958" s="2" t="s">
        <v>39</v>
      </c>
      <c r="AA1958" s="2" t="s">
        <v>27</v>
      </c>
      <c r="AB1958" s="2" t="s">
        <v>96</v>
      </c>
      <c r="AC1958" s="2" t="s">
        <v>29</v>
      </c>
      <c r="AD1958" s="2" t="s">
        <v>58</v>
      </c>
      <c r="AE1958" s="2" t="str">
        <f t="shared" si="412"/>
        <v>Valid</v>
      </c>
      <c r="AF1958" s="2" t="s">
        <v>5081</v>
      </c>
    </row>
    <row r="1959" spans="1:32" x14ac:dyDescent="0.3">
      <c r="A1959" s="2" t="s">
        <v>5082</v>
      </c>
      <c r="B1959" s="2">
        <f t="shared" si="402"/>
        <v>1</v>
      </c>
      <c r="C1959" s="12">
        <f t="shared" si="414"/>
        <v>46238.58793577546</v>
      </c>
      <c r="D1959" s="13">
        <v>46238.58793577546</v>
      </c>
      <c r="E1959" s="2" t="s">
        <v>5083</v>
      </c>
      <c r="F1959" s="2" t="str">
        <f t="shared" si="403"/>
        <v>Email Available</v>
      </c>
      <c r="G1959" s="2" t="s">
        <v>1090</v>
      </c>
      <c r="H1959" s="2" t="s">
        <v>102</v>
      </c>
      <c r="I1959" s="2" t="s">
        <v>103</v>
      </c>
      <c r="J1959" s="2" t="s">
        <v>104</v>
      </c>
      <c r="K1959" s="2">
        <v>1</v>
      </c>
      <c r="L1959" s="2">
        <v>19.989999999999998</v>
      </c>
      <c r="M1959" s="19">
        <f t="shared" si="404"/>
        <v>19.989999999999998</v>
      </c>
      <c r="N1959" s="2"/>
      <c r="O1959" s="2" t="str">
        <f t="shared" si="405"/>
        <v/>
      </c>
      <c r="P1959" s="2">
        <v>0</v>
      </c>
      <c r="Q1959" s="19">
        <f t="shared" si="406"/>
        <v>0</v>
      </c>
      <c r="R1959" s="2" t="str">
        <f t="shared" si="407"/>
        <v>Number</v>
      </c>
      <c r="S1959" s="2">
        <v>7.99</v>
      </c>
      <c r="T1959" s="19">
        <f t="shared" si="408"/>
        <v>7.99</v>
      </c>
      <c r="U1959" s="2">
        <v>27.98</v>
      </c>
      <c r="V1959" s="19">
        <f t="shared" si="409"/>
        <v>27.98</v>
      </c>
      <c r="W1959" s="19">
        <f t="shared" si="410"/>
        <v>27.979999999999997</v>
      </c>
      <c r="X1959" s="19" t="str">
        <f t="shared" si="411"/>
        <v>True</v>
      </c>
      <c r="Y1959" s="19" t="str">
        <f>IF(OR(W1959&lt;'Cleaning Tasks'!$G$18,W1959&gt;'Cleaning Tasks'!$H$18),"Outlier","Normal")</f>
        <v>Normal</v>
      </c>
      <c r="Z1959" s="2" t="s">
        <v>66</v>
      </c>
      <c r="AA1959" s="2" t="s">
        <v>27</v>
      </c>
      <c r="AB1959" s="2" t="s">
        <v>41</v>
      </c>
      <c r="AC1959" s="2" t="s">
        <v>331</v>
      </c>
      <c r="AD1959" s="2"/>
      <c r="AE1959" s="2" t="str">
        <f t="shared" si="412"/>
        <v>Not Required</v>
      </c>
      <c r="AF1959" s="2" t="s">
        <v>5084</v>
      </c>
    </row>
    <row r="1960" spans="1:32" x14ac:dyDescent="0.3">
      <c r="A1960" s="2" t="s">
        <v>5085</v>
      </c>
      <c r="B1960" s="2">
        <f t="shared" si="402"/>
        <v>1</v>
      </c>
      <c r="C1960" s="12">
        <f t="shared" si="414"/>
        <v>46238.583800381937</v>
      </c>
      <c r="D1960" s="13">
        <v>46238.583800381937</v>
      </c>
      <c r="E1960" s="2" t="s">
        <v>377</v>
      </c>
      <c r="F1960" s="2" t="str">
        <f t="shared" si="403"/>
        <v>Email Available</v>
      </c>
      <c r="G1960" s="2" t="s">
        <v>378</v>
      </c>
      <c r="H1960" s="2" t="s">
        <v>361</v>
      </c>
      <c r="I1960" s="2" t="s">
        <v>86</v>
      </c>
      <c r="J1960" s="2" t="s">
        <v>362</v>
      </c>
      <c r="K1960" s="2">
        <v>2</v>
      </c>
      <c r="L1960" s="2">
        <v>54.99</v>
      </c>
      <c r="M1960" s="19">
        <f t="shared" si="404"/>
        <v>54.99</v>
      </c>
      <c r="N1960" s="2" t="s">
        <v>65</v>
      </c>
      <c r="O1960" s="2" t="str">
        <f t="shared" si="405"/>
        <v>WELCOME10</v>
      </c>
      <c r="P1960" s="2" t="s">
        <v>438</v>
      </c>
      <c r="Q1960" s="19">
        <f t="shared" si="406"/>
        <v>11</v>
      </c>
      <c r="R1960" s="2" t="str">
        <f t="shared" si="407"/>
        <v>Number</v>
      </c>
      <c r="S1960" s="2">
        <v>0</v>
      </c>
      <c r="T1960" s="19">
        <f t="shared" si="408"/>
        <v>0</v>
      </c>
      <c r="U1960" s="2">
        <v>98.98</v>
      </c>
      <c r="V1960" s="19">
        <f t="shared" si="409"/>
        <v>98.98</v>
      </c>
      <c r="W1960" s="19">
        <f t="shared" si="410"/>
        <v>98.98</v>
      </c>
      <c r="X1960" s="19" t="str">
        <f t="shared" si="411"/>
        <v>True</v>
      </c>
      <c r="Y1960" s="19" t="str">
        <f>IF(OR(W1960&lt;'Cleaning Tasks'!$G$18,W1960&gt;'Cleaning Tasks'!$H$18),"Outlier","Normal")</f>
        <v>Outlier</v>
      </c>
      <c r="Z1960" s="2" t="s">
        <v>72</v>
      </c>
      <c r="AA1960" s="2" t="s">
        <v>27</v>
      </c>
      <c r="AB1960" s="2" t="s">
        <v>96</v>
      </c>
      <c r="AC1960" s="2" t="s">
        <v>73</v>
      </c>
      <c r="AD1960" s="2"/>
      <c r="AE1960" s="2" t="str">
        <f t="shared" si="412"/>
        <v>Not Required</v>
      </c>
      <c r="AF1960" s="2" t="s">
        <v>5086</v>
      </c>
    </row>
    <row r="1961" spans="1:32" x14ac:dyDescent="0.3">
      <c r="A1961" s="2" t="s">
        <v>5087</v>
      </c>
      <c r="B1961" s="2">
        <f t="shared" si="402"/>
        <v>1</v>
      </c>
      <c r="C1961" s="12">
        <f t="shared" si="414"/>
        <v>46238.582257060189</v>
      </c>
      <c r="D1961" s="13">
        <v>46238.582257060189</v>
      </c>
      <c r="E1961" s="2" t="s">
        <v>1625</v>
      </c>
      <c r="F1961" s="2" t="str">
        <f t="shared" si="403"/>
        <v>Email Available</v>
      </c>
      <c r="G1961" s="2" t="s">
        <v>1533</v>
      </c>
      <c r="H1961" s="2" t="s">
        <v>236</v>
      </c>
      <c r="I1961" s="2" t="s">
        <v>237</v>
      </c>
      <c r="J1961" s="2" t="s">
        <v>238</v>
      </c>
      <c r="K1961" s="2">
        <v>1</v>
      </c>
      <c r="L1961" s="2">
        <v>27.99</v>
      </c>
      <c r="M1961" s="19">
        <f t="shared" si="404"/>
        <v>27.99</v>
      </c>
      <c r="N1961" s="2" t="s">
        <v>203</v>
      </c>
      <c r="O1961" s="2" t="str">
        <f t="shared" si="405"/>
        <v>VIP15</v>
      </c>
      <c r="P1961" s="2">
        <v>4.2</v>
      </c>
      <c r="Q1961" s="19">
        <f t="shared" si="406"/>
        <v>4.2</v>
      </c>
      <c r="R1961" s="2" t="str">
        <f t="shared" si="407"/>
        <v>Number</v>
      </c>
      <c r="S1961" s="2">
        <v>5.99</v>
      </c>
      <c r="T1961" s="19">
        <f t="shared" si="408"/>
        <v>5.99</v>
      </c>
      <c r="U1961" s="2">
        <v>29.78</v>
      </c>
      <c r="V1961" s="19">
        <f t="shared" si="409"/>
        <v>29.78</v>
      </c>
      <c r="W1961" s="19">
        <f t="shared" si="410"/>
        <v>29.78</v>
      </c>
      <c r="X1961" s="19" t="str">
        <f t="shared" si="411"/>
        <v>True</v>
      </c>
      <c r="Y1961" s="19" t="str">
        <f>IF(OR(W1961&lt;'Cleaning Tasks'!$G$18,W1961&gt;'Cleaning Tasks'!$H$18),"Outlier","Normal")</f>
        <v>Normal</v>
      </c>
      <c r="Z1961" s="2" t="s">
        <v>49</v>
      </c>
      <c r="AA1961" s="2" t="s">
        <v>27</v>
      </c>
      <c r="AB1961" s="2" t="s">
        <v>28</v>
      </c>
      <c r="AC1961" s="2" t="s">
        <v>73</v>
      </c>
      <c r="AD1961" s="2"/>
      <c r="AE1961" s="2" t="str">
        <f t="shared" si="412"/>
        <v>Not Required</v>
      </c>
      <c r="AF1961" s="2" t="s">
        <v>5088</v>
      </c>
    </row>
    <row r="1962" spans="1:32" x14ac:dyDescent="0.3">
      <c r="A1962" s="2" t="s">
        <v>5089</v>
      </c>
      <c r="B1962" s="2">
        <f t="shared" si="402"/>
        <v>1</v>
      </c>
      <c r="C1962" s="12">
        <f t="shared" si="414"/>
        <v>46238.58909778935</v>
      </c>
      <c r="D1962" s="13">
        <v>46238.58909778935</v>
      </c>
      <c r="E1962" s="2" t="s">
        <v>1031</v>
      </c>
      <c r="F1962" s="2" t="str">
        <f t="shared" si="403"/>
        <v>Email Available</v>
      </c>
      <c r="G1962" s="2" t="s">
        <v>1032</v>
      </c>
      <c r="H1962" s="2" t="s">
        <v>124</v>
      </c>
      <c r="I1962" s="2" t="s">
        <v>79</v>
      </c>
      <c r="J1962" s="2" t="s">
        <v>125</v>
      </c>
      <c r="K1962" s="2">
        <v>1</v>
      </c>
      <c r="L1962" s="2">
        <v>13.99</v>
      </c>
      <c r="M1962" s="19">
        <f t="shared" si="404"/>
        <v>13.99</v>
      </c>
      <c r="N1962" s="2"/>
      <c r="O1962" s="2" t="str">
        <f t="shared" si="405"/>
        <v/>
      </c>
      <c r="P1962" s="2">
        <v>0</v>
      </c>
      <c r="Q1962" s="19">
        <f t="shared" si="406"/>
        <v>0</v>
      </c>
      <c r="R1962" s="2" t="str">
        <f t="shared" si="407"/>
        <v>Number</v>
      </c>
      <c r="S1962" s="2">
        <v>4.99</v>
      </c>
      <c r="T1962" s="19">
        <f t="shared" si="408"/>
        <v>4.99</v>
      </c>
      <c r="U1962" s="2" t="s">
        <v>5090</v>
      </c>
      <c r="V1962" s="19">
        <f t="shared" si="409"/>
        <v>18.98</v>
      </c>
      <c r="W1962" s="19">
        <f t="shared" si="410"/>
        <v>18.98</v>
      </c>
      <c r="X1962" s="19" t="str">
        <f t="shared" si="411"/>
        <v>True</v>
      </c>
      <c r="Y1962" s="19" t="str">
        <f>IF(OR(W1962&lt;'Cleaning Tasks'!$G$18,W1962&gt;'Cleaning Tasks'!$H$18),"Outlier","Normal")</f>
        <v>Normal</v>
      </c>
      <c r="Z1962" s="2" t="s">
        <v>49</v>
      </c>
      <c r="AA1962" s="2" t="s">
        <v>111</v>
      </c>
      <c r="AB1962" s="2" t="s">
        <v>96</v>
      </c>
      <c r="AC1962" s="2" t="s">
        <v>29</v>
      </c>
      <c r="AD1962" s="2" t="s">
        <v>112</v>
      </c>
      <c r="AE1962" s="2" t="str">
        <f t="shared" si="412"/>
        <v>Valid</v>
      </c>
      <c r="AF1962" s="2" t="s">
        <v>5091</v>
      </c>
    </row>
    <row r="1963" spans="1:32" x14ac:dyDescent="0.3">
      <c r="A1963" s="2" t="s">
        <v>5092</v>
      </c>
      <c r="B1963" s="2">
        <f t="shared" si="402"/>
        <v>1</v>
      </c>
      <c r="C1963" s="12">
        <f t="shared" si="414"/>
        <v>46238.586128541669</v>
      </c>
      <c r="D1963" s="13">
        <v>46238.586128541669</v>
      </c>
      <c r="E1963" s="2" t="s">
        <v>2508</v>
      </c>
      <c r="F1963" s="2" t="str">
        <f t="shared" si="403"/>
        <v>Email Available</v>
      </c>
      <c r="G1963" s="2" t="s">
        <v>2509</v>
      </c>
      <c r="H1963" s="2" t="s">
        <v>78</v>
      </c>
      <c r="I1963" s="2" t="s">
        <v>79</v>
      </c>
      <c r="J1963" s="2" t="s">
        <v>80</v>
      </c>
      <c r="K1963" s="2">
        <v>2</v>
      </c>
      <c r="L1963" s="2">
        <v>89.99</v>
      </c>
      <c r="M1963" s="19">
        <f t="shared" si="404"/>
        <v>89.99</v>
      </c>
      <c r="N1963" s="2" t="s">
        <v>203</v>
      </c>
      <c r="O1963" s="2" t="str">
        <f t="shared" si="405"/>
        <v>VIP15</v>
      </c>
      <c r="P1963" s="2">
        <v>27</v>
      </c>
      <c r="Q1963" s="19">
        <f t="shared" si="406"/>
        <v>27</v>
      </c>
      <c r="R1963" s="2" t="str">
        <f t="shared" si="407"/>
        <v>Number</v>
      </c>
      <c r="S1963" s="2">
        <v>0</v>
      </c>
      <c r="T1963" s="19">
        <f t="shared" si="408"/>
        <v>0</v>
      </c>
      <c r="U1963" s="2">
        <v>152.97999999999999</v>
      </c>
      <c r="V1963" s="19">
        <f t="shared" si="409"/>
        <v>152.97999999999999</v>
      </c>
      <c r="W1963" s="19">
        <f t="shared" si="410"/>
        <v>152.97999999999999</v>
      </c>
      <c r="X1963" s="19" t="str">
        <f t="shared" si="411"/>
        <v>True</v>
      </c>
      <c r="Y1963" s="19" t="str">
        <f>IF(OR(W1963&lt;'Cleaning Tasks'!$G$18,W1963&gt;'Cleaning Tasks'!$H$18),"Outlier","Normal")</f>
        <v>Outlier</v>
      </c>
      <c r="Z1963" s="2" t="s">
        <v>49</v>
      </c>
      <c r="AA1963" s="2" t="s">
        <v>88</v>
      </c>
      <c r="AB1963" s="2" t="s">
        <v>96</v>
      </c>
      <c r="AC1963" s="2" t="s">
        <v>42</v>
      </c>
      <c r="AD1963" s="2"/>
      <c r="AE1963" s="2" t="str">
        <f t="shared" si="412"/>
        <v>Not Required</v>
      </c>
      <c r="AF1963" s="2" t="s">
        <v>5093</v>
      </c>
    </row>
    <row r="1964" spans="1:32" x14ac:dyDescent="0.3">
      <c r="A1964" s="2" t="s">
        <v>5094</v>
      </c>
      <c r="B1964" s="2">
        <f t="shared" si="402"/>
        <v>1</v>
      </c>
      <c r="C1964" s="12">
        <f t="shared" si="414"/>
        <v>46238.579505104157</v>
      </c>
      <c r="D1964" s="13">
        <v>46238.579505104157</v>
      </c>
      <c r="E1964" s="2" t="s">
        <v>160</v>
      </c>
      <c r="F1964" s="2" t="str">
        <f t="shared" si="403"/>
        <v>Email Available</v>
      </c>
      <c r="G1964" s="2" t="s">
        <v>161</v>
      </c>
      <c r="H1964" s="2" t="s">
        <v>361</v>
      </c>
      <c r="I1964" s="2" t="s">
        <v>86</v>
      </c>
      <c r="J1964" s="2" t="s">
        <v>362</v>
      </c>
      <c r="K1964" s="2">
        <v>1</v>
      </c>
      <c r="L1964" s="2">
        <v>54.99</v>
      </c>
      <c r="M1964" s="19">
        <f t="shared" si="404"/>
        <v>54.99</v>
      </c>
      <c r="N1964" s="2" t="s">
        <v>118</v>
      </c>
      <c r="O1964" s="2" t="str">
        <f t="shared" si="405"/>
        <v>BFCM25</v>
      </c>
      <c r="P1964" s="2">
        <v>13.75</v>
      </c>
      <c r="Q1964" s="19">
        <f t="shared" si="406"/>
        <v>13.75</v>
      </c>
      <c r="R1964" s="2" t="str">
        <f t="shared" si="407"/>
        <v>Number</v>
      </c>
      <c r="S1964" s="2">
        <v>5.99</v>
      </c>
      <c r="T1964" s="19">
        <f t="shared" si="408"/>
        <v>5.99</v>
      </c>
      <c r="U1964" s="2">
        <v>47.23</v>
      </c>
      <c r="V1964" s="19">
        <f t="shared" si="409"/>
        <v>47.23</v>
      </c>
      <c r="W1964" s="19">
        <f t="shared" si="410"/>
        <v>47.230000000000004</v>
      </c>
      <c r="X1964" s="19" t="str">
        <f t="shared" si="411"/>
        <v>True</v>
      </c>
      <c r="Y1964" s="19" t="str">
        <f>IF(OR(W1964&lt;'Cleaning Tasks'!$G$18,W1964&gt;'Cleaning Tasks'!$H$18),"Outlier","Normal")</f>
        <v>Normal</v>
      </c>
      <c r="Z1964" s="2" t="s">
        <v>49</v>
      </c>
      <c r="AA1964" s="2" t="s">
        <v>27</v>
      </c>
      <c r="AB1964" s="2" t="s">
        <v>96</v>
      </c>
      <c r="AC1964" s="2" t="s">
        <v>29</v>
      </c>
      <c r="AD1964" s="2" t="s">
        <v>51</v>
      </c>
      <c r="AE1964" s="2" t="str">
        <f t="shared" si="412"/>
        <v>Valid</v>
      </c>
      <c r="AF1964" s="2" t="s">
        <v>5095</v>
      </c>
    </row>
    <row r="1965" spans="1:32" x14ac:dyDescent="0.3">
      <c r="A1965" s="2" t="s">
        <v>5096</v>
      </c>
      <c r="B1965" s="2">
        <f t="shared" si="402"/>
        <v>1</v>
      </c>
      <c r="C1965" s="12">
        <f t="shared" si="414"/>
        <v>46238.582218460651</v>
      </c>
      <c r="D1965" s="13">
        <v>46238.582218460651</v>
      </c>
      <c r="E1965" s="2" t="s">
        <v>449</v>
      </c>
      <c r="F1965" s="2" t="str">
        <f t="shared" si="403"/>
        <v>Email Available</v>
      </c>
      <c r="G1965" s="2" t="s">
        <v>450</v>
      </c>
      <c r="H1965" s="2" t="s">
        <v>261</v>
      </c>
      <c r="I1965" s="2" t="s">
        <v>36</v>
      </c>
      <c r="J1965" s="2" t="s">
        <v>262</v>
      </c>
      <c r="K1965" s="2">
        <v>1</v>
      </c>
      <c r="L1965" s="2">
        <v>15.49</v>
      </c>
      <c r="M1965" s="19">
        <f t="shared" si="404"/>
        <v>15.49</v>
      </c>
      <c r="N1965" s="2" t="s">
        <v>118</v>
      </c>
      <c r="O1965" s="2" t="str">
        <f t="shared" si="405"/>
        <v>BFCM25</v>
      </c>
      <c r="P1965" s="2">
        <v>3.87</v>
      </c>
      <c r="Q1965" s="19">
        <f t="shared" si="406"/>
        <v>3.87</v>
      </c>
      <c r="R1965" s="2" t="str">
        <f t="shared" si="407"/>
        <v>Number</v>
      </c>
      <c r="S1965" s="2">
        <v>7.99</v>
      </c>
      <c r="T1965" s="19">
        <f t="shared" si="408"/>
        <v>7.99</v>
      </c>
      <c r="U1965" s="2">
        <v>19.61</v>
      </c>
      <c r="V1965" s="19">
        <f t="shared" si="409"/>
        <v>19.61</v>
      </c>
      <c r="W1965" s="19">
        <f t="shared" si="410"/>
        <v>19.61</v>
      </c>
      <c r="X1965" s="19" t="str">
        <f t="shared" si="411"/>
        <v>True</v>
      </c>
      <c r="Y1965" s="19" t="str">
        <f>IF(OR(W1965&lt;'Cleaning Tasks'!$G$18,W1965&gt;'Cleaning Tasks'!$H$18),"Outlier","Normal")</f>
        <v>Normal</v>
      </c>
      <c r="Z1965" s="2" t="s">
        <v>26</v>
      </c>
      <c r="AA1965" s="2" t="s">
        <v>27</v>
      </c>
      <c r="AB1965" s="2" t="s">
        <v>50</v>
      </c>
      <c r="AC1965" s="2" t="s">
        <v>29</v>
      </c>
      <c r="AD1965" s="2" t="s">
        <v>140</v>
      </c>
      <c r="AE1965" s="2" t="str">
        <f t="shared" si="412"/>
        <v>Valid</v>
      </c>
      <c r="AF1965" s="2" t="s">
        <v>5097</v>
      </c>
    </row>
    <row r="1966" spans="1:32" x14ac:dyDescent="0.3">
      <c r="A1966" s="2" t="s">
        <v>5098</v>
      </c>
      <c r="B1966" s="2">
        <f t="shared" si="402"/>
        <v>1</v>
      </c>
      <c r="C1966" s="12">
        <f>DATE(VALUE(RIGHT(D1966,4)),MATCH(LEFT(D1966,3),{"Jan","Feb","Mar","Apr","May","Jun","Jul","Aug","Sep","Oct","Nov","Dec"},0),VALUE(MID(D1966,5,2)))</f>
        <v>46238</v>
      </c>
      <c r="D1966" s="13" t="s">
        <v>171</v>
      </c>
      <c r="E1966" s="2" t="s">
        <v>5099</v>
      </c>
      <c r="F1966" s="2" t="str">
        <f t="shared" si="403"/>
        <v>Email Available</v>
      </c>
      <c r="G1966" s="2" t="s">
        <v>2783</v>
      </c>
      <c r="H1966" s="2" t="s">
        <v>56</v>
      </c>
      <c r="I1966" s="2" t="s">
        <v>22</v>
      </c>
      <c r="J1966" s="2" t="s">
        <v>57</v>
      </c>
      <c r="K1966" s="2">
        <v>1</v>
      </c>
      <c r="L1966" s="2">
        <v>9.99</v>
      </c>
      <c r="M1966" s="19">
        <f t="shared" si="404"/>
        <v>9.99</v>
      </c>
      <c r="N1966" s="2" t="s">
        <v>203</v>
      </c>
      <c r="O1966" s="2" t="str">
        <f t="shared" si="405"/>
        <v>VIP15</v>
      </c>
      <c r="P1966" s="2">
        <v>1.5</v>
      </c>
      <c r="Q1966" s="19">
        <f t="shared" si="406"/>
        <v>1.5</v>
      </c>
      <c r="R1966" s="2" t="str">
        <f t="shared" si="407"/>
        <v>Number</v>
      </c>
      <c r="S1966" s="2">
        <v>7.99</v>
      </c>
      <c r="T1966" s="19">
        <f t="shared" si="408"/>
        <v>7.99</v>
      </c>
      <c r="U1966" s="2">
        <v>16.48</v>
      </c>
      <c r="V1966" s="19">
        <f t="shared" si="409"/>
        <v>16.48</v>
      </c>
      <c r="W1966" s="19">
        <f t="shared" si="410"/>
        <v>16.48</v>
      </c>
      <c r="X1966" s="19" t="str">
        <f t="shared" si="411"/>
        <v>True</v>
      </c>
      <c r="Y1966" s="19" t="str">
        <f>IF(OR(W1966&lt;'Cleaning Tasks'!$G$18,W1966&gt;'Cleaning Tasks'!$H$18),"Outlier","Normal")</f>
        <v>Normal</v>
      </c>
      <c r="Z1966" s="2" t="s">
        <v>72</v>
      </c>
      <c r="AA1966" s="2" t="s">
        <v>27</v>
      </c>
      <c r="AB1966" s="2" t="s">
        <v>50</v>
      </c>
      <c r="AC1966" s="2" t="s">
        <v>29</v>
      </c>
      <c r="AD1966" s="2" t="s">
        <v>447</v>
      </c>
      <c r="AE1966" s="2" t="str">
        <f t="shared" si="412"/>
        <v>Valid</v>
      </c>
      <c r="AF1966" s="2" t="s">
        <v>5100</v>
      </c>
    </row>
    <row r="1967" spans="1:32" x14ac:dyDescent="0.3">
      <c r="A1967" s="2" t="s">
        <v>5101</v>
      </c>
      <c r="B1967" s="2">
        <f t="shared" si="402"/>
        <v>1</v>
      </c>
      <c r="C1967" s="12">
        <f t="shared" ref="C1967:C2001" si="415">IF(ISNUMBER(D1967),D1967,DATEVALUE(SUBSTITUTE(TRIM(D1967),CHAR(160)," ")))</f>
        <v>46238.58895484954</v>
      </c>
      <c r="D1967" s="13">
        <v>46238.58895484954</v>
      </c>
      <c r="E1967" s="2" t="s">
        <v>329</v>
      </c>
      <c r="F1967" s="2" t="str">
        <f t="shared" si="403"/>
        <v>Email Available</v>
      </c>
      <c r="G1967" s="2" t="s">
        <v>330</v>
      </c>
      <c r="H1967" s="2" t="s">
        <v>85</v>
      </c>
      <c r="I1967" s="2" t="s">
        <v>86</v>
      </c>
      <c r="J1967" s="2" t="s">
        <v>87</v>
      </c>
      <c r="K1967" s="2">
        <v>1</v>
      </c>
      <c r="L1967" s="2" t="s">
        <v>363</v>
      </c>
      <c r="M1967" s="19">
        <f t="shared" si="404"/>
        <v>54.99</v>
      </c>
      <c r="N1967" s="2" t="s">
        <v>118</v>
      </c>
      <c r="O1967" s="2" t="str">
        <f t="shared" si="405"/>
        <v>BFCM25</v>
      </c>
      <c r="P1967" s="2">
        <v>13.75</v>
      </c>
      <c r="Q1967" s="19">
        <f t="shared" si="406"/>
        <v>13.75</v>
      </c>
      <c r="R1967" s="2" t="str">
        <f t="shared" si="407"/>
        <v>Number</v>
      </c>
      <c r="S1967" s="2">
        <v>4.99</v>
      </c>
      <c r="T1967" s="19">
        <f t="shared" si="408"/>
        <v>4.99</v>
      </c>
      <c r="U1967" s="2">
        <v>46.23</v>
      </c>
      <c r="V1967" s="19">
        <f t="shared" si="409"/>
        <v>46.23</v>
      </c>
      <c r="W1967" s="19">
        <f t="shared" si="410"/>
        <v>46.230000000000004</v>
      </c>
      <c r="X1967" s="19" t="str">
        <f t="shared" si="411"/>
        <v>True</v>
      </c>
      <c r="Y1967" s="19" t="str">
        <f>IF(OR(W1967&lt;'Cleaning Tasks'!$G$18,W1967&gt;'Cleaning Tasks'!$H$18),"Outlier","Normal")</f>
        <v>Normal</v>
      </c>
      <c r="Z1967" s="2" t="s">
        <v>72</v>
      </c>
      <c r="AA1967" s="2" t="s">
        <v>27</v>
      </c>
      <c r="AB1967" s="2" t="s">
        <v>50</v>
      </c>
      <c r="AC1967" s="2" t="s">
        <v>331</v>
      </c>
      <c r="AD1967" s="2"/>
      <c r="AE1967" s="2" t="str">
        <f t="shared" si="412"/>
        <v>Not Required</v>
      </c>
      <c r="AF1967" s="2" t="s">
        <v>5102</v>
      </c>
    </row>
    <row r="1968" spans="1:32" x14ac:dyDescent="0.3">
      <c r="A1968" s="2" t="s">
        <v>5103</v>
      </c>
      <c r="B1968" s="2">
        <f t="shared" si="402"/>
        <v>1</v>
      </c>
      <c r="C1968" s="12">
        <f t="shared" si="415"/>
        <v>46238.588343252311</v>
      </c>
      <c r="D1968" s="13">
        <v>46238.588343252311</v>
      </c>
      <c r="E1968" s="2" t="s">
        <v>172</v>
      </c>
      <c r="F1968" s="2" t="str">
        <f t="shared" si="403"/>
        <v>Email Available</v>
      </c>
      <c r="G1968" s="2" t="s">
        <v>173</v>
      </c>
      <c r="H1968" s="2" t="s">
        <v>35</v>
      </c>
      <c r="I1968" s="2" t="s">
        <v>36</v>
      </c>
      <c r="J1968" s="2" t="s">
        <v>37</v>
      </c>
      <c r="K1968" s="2">
        <v>1</v>
      </c>
      <c r="L1968" s="2">
        <v>21.99</v>
      </c>
      <c r="M1968" s="19">
        <f t="shared" si="404"/>
        <v>21.99</v>
      </c>
      <c r="N1968" s="2" t="s">
        <v>38</v>
      </c>
      <c r="O1968" s="2" t="str">
        <f t="shared" si="405"/>
        <v>FREESHIP</v>
      </c>
      <c r="P1968" s="2">
        <v>0</v>
      </c>
      <c r="Q1968" s="19">
        <f t="shared" si="406"/>
        <v>0</v>
      </c>
      <c r="R1968" s="2" t="str">
        <f t="shared" si="407"/>
        <v>Number</v>
      </c>
      <c r="S1968" s="2">
        <v>0</v>
      </c>
      <c r="T1968" s="19">
        <f t="shared" si="408"/>
        <v>0</v>
      </c>
      <c r="U1968" s="2">
        <v>21.99</v>
      </c>
      <c r="V1968" s="19">
        <f t="shared" si="409"/>
        <v>21.99</v>
      </c>
      <c r="W1968" s="19">
        <f t="shared" si="410"/>
        <v>21.99</v>
      </c>
      <c r="X1968" s="19" t="str">
        <f t="shared" si="411"/>
        <v>True</v>
      </c>
      <c r="Y1968" s="19" t="str">
        <f>IF(OR(W1968&lt;'Cleaning Tasks'!$G$18,W1968&gt;'Cleaning Tasks'!$H$18),"Outlier","Normal")</f>
        <v>Normal</v>
      </c>
      <c r="Z1968" s="2" t="s">
        <v>49</v>
      </c>
      <c r="AA1968" s="2" t="s">
        <v>27</v>
      </c>
      <c r="AB1968" s="2" t="s">
        <v>28</v>
      </c>
      <c r="AC1968" s="2" t="s">
        <v>29</v>
      </c>
      <c r="AD1968" s="2" t="s">
        <v>341</v>
      </c>
      <c r="AE1968" s="2" t="str">
        <f t="shared" si="412"/>
        <v>Valid</v>
      </c>
      <c r="AF1968" s="2" t="s">
        <v>5104</v>
      </c>
    </row>
    <row r="1969" spans="1:32" x14ac:dyDescent="0.3">
      <c r="A1969" s="2" t="s">
        <v>5105</v>
      </c>
      <c r="B1969" s="2">
        <f t="shared" si="402"/>
        <v>1</v>
      </c>
      <c r="C1969" s="12">
        <f t="shared" si="415"/>
        <v>46238</v>
      </c>
      <c r="D1969" s="13">
        <v>46238</v>
      </c>
      <c r="E1969" s="2" t="s">
        <v>5106</v>
      </c>
      <c r="F1969" s="2" t="str">
        <f t="shared" si="403"/>
        <v>Email Available</v>
      </c>
      <c r="G1969" s="2" t="s">
        <v>1948</v>
      </c>
      <c r="H1969" s="2" t="s">
        <v>56</v>
      </c>
      <c r="I1969" s="2" t="s">
        <v>22</v>
      </c>
      <c r="J1969" s="2" t="s">
        <v>57</v>
      </c>
      <c r="K1969" s="2">
        <v>1</v>
      </c>
      <c r="L1969" s="2">
        <v>9.99</v>
      </c>
      <c r="M1969" s="19">
        <f t="shared" si="404"/>
        <v>9.99</v>
      </c>
      <c r="N1969" s="2" t="s">
        <v>118</v>
      </c>
      <c r="O1969" s="2" t="str">
        <f t="shared" si="405"/>
        <v>BFCM25</v>
      </c>
      <c r="P1969" s="2">
        <v>2.5</v>
      </c>
      <c r="Q1969" s="19">
        <f t="shared" si="406"/>
        <v>2.5</v>
      </c>
      <c r="R1969" s="2" t="str">
        <f t="shared" si="407"/>
        <v>Number</v>
      </c>
      <c r="S1969" s="2">
        <v>7.99</v>
      </c>
      <c r="T1969" s="19">
        <f t="shared" si="408"/>
        <v>7.99</v>
      </c>
      <c r="U1969" s="2">
        <v>15.48</v>
      </c>
      <c r="V1969" s="19">
        <f t="shared" si="409"/>
        <v>15.48</v>
      </c>
      <c r="W1969" s="19">
        <f t="shared" si="410"/>
        <v>15.48</v>
      </c>
      <c r="X1969" s="19" t="str">
        <f t="shared" si="411"/>
        <v>True</v>
      </c>
      <c r="Y1969" s="19" t="str">
        <f>IF(OR(W1969&lt;'Cleaning Tasks'!$G$18,W1969&gt;'Cleaning Tasks'!$H$18),"Outlier","Normal")</f>
        <v>Normal</v>
      </c>
      <c r="Z1969" s="2" t="s">
        <v>72</v>
      </c>
      <c r="AA1969" s="2" t="s">
        <v>27</v>
      </c>
      <c r="AB1969" s="2" t="s">
        <v>50</v>
      </c>
      <c r="AC1969" s="2" t="s">
        <v>105</v>
      </c>
      <c r="AD1969" s="2"/>
      <c r="AE1969" s="2" t="str">
        <f t="shared" si="412"/>
        <v>Not Required</v>
      </c>
      <c r="AF1969" s="2" t="s">
        <v>5107</v>
      </c>
    </row>
    <row r="1970" spans="1:32" x14ac:dyDescent="0.3">
      <c r="A1970" s="2" t="s">
        <v>5108</v>
      </c>
      <c r="B1970" s="2">
        <f t="shared" si="402"/>
        <v>1</v>
      </c>
      <c r="C1970" s="12">
        <f t="shared" si="415"/>
        <v>46238.586358437497</v>
      </c>
      <c r="D1970" s="13">
        <v>46238.586358437497</v>
      </c>
      <c r="E1970" s="2" t="s">
        <v>199</v>
      </c>
      <c r="F1970" s="2" t="str">
        <f t="shared" si="403"/>
        <v>Email Available</v>
      </c>
      <c r="G1970" s="2" t="s">
        <v>200</v>
      </c>
      <c r="H1970" s="2" t="s">
        <v>56</v>
      </c>
      <c r="I1970" s="2" t="s">
        <v>22</v>
      </c>
      <c r="J1970" s="2" t="s">
        <v>57</v>
      </c>
      <c r="K1970" s="2">
        <v>1</v>
      </c>
      <c r="L1970" s="2">
        <v>9.99</v>
      </c>
      <c r="M1970" s="19">
        <f t="shared" si="404"/>
        <v>9.99</v>
      </c>
      <c r="N1970" s="2" t="s">
        <v>38</v>
      </c>
      <c r="O1970" s="2" t="str">
        <f t="shared" si="405"/>
        <v>FREESHIP</v>
      </c>
      <c r="P1970" s="2">
        <v>0</v>
      </c>
      <c r="Q1970" s="19">
        <f t="shared" si="406"/>
        <v>0</v>
      </c>
      <c r="R1970" s="2" t="str">
        <f t="shared" si="407"/>
        <v>Number</v>
      </c>
      <c r="S1970" s="2">
        <v>0</v>
      </c>
      <c r="T1970" s="19">
        <f t="shared" si="408"/>
        <v>0</v>
      </c>
      <c r="U1970" s="2">
        <v>9.99</v>
      </c>
      <c r="V1970" s="19">
        <f t="shared" si="409"/>
        <v>9.99</v>
      </c>
      <c r="W1970" s="19">
        <f t="shared" si="410"/>
        <v>9.99</v>
      </c>
      <c r="X1970" s="19" t="str">
        <f t="shared" si="411"/>
        <v>True</v>
      </c>
      <c r="Y1970" s="19" t="str">
        <f>IF(OR(W1970&lt;'Cleaning Tasks'!$G$18,W1970&gt;'Cleaning Tasks'!$H$18),"Outlier","Normal")</f>
        <v>Normal</v>
      </c>
      <c r="Z1970" s="2" t="s">
        <v>72</v>
      </c>
      <c r="AA1970" s="2" t="s">
        <v>27</v>
      </c>
      <c r="AB1970" s="2" t="s">
        <v>50</v>
      </c>
      <c r="AC1970" s="2" t="s">
        <v>73</v>
      </c>
      <c r="AD1970" s="2"/>
      <c r="AE1970" s="2" t="str">
        <f t="shared" si="412"/>
        <v>Not Required</v>
      </c>
      <c r="AF1970" s="2" t="s">
        <v>5109</v>
      </c>
    </row>
    <row r="1971" spans="1:32" x14ac:dyDescent="0.3">
      <c r="A1971" s="2" t="s">
        <v>5110</v>
      </c>
      <c r="B1971" s="2">
        <f t="shared" si="402"/>
        <v>1</v>
      </c>
      <c r="C1971" s="12">
        <f t="shared" si="415"/>
        <v>46238</v>
      </c>
      <c r="D1971" s="13">
        <v>46238</v>
      </c>
      <c r="E1971" s="2" t="s">
        <v>1633</v>
      </c>
      <c r="F1971" s="2" t="str">
        <f t="shared" si="403"/>
        <v>Email Available</v>
      </c>
      <c r="G1971" s="2" t="s">
        <v>1634</v>
      </c>
      <c r="H1971" s="2" t="s">
        <v>201</v>
      </c>
      <c r="I1971" s="2" t="s">
        <v>191</v>
      </c>
      <c r="J1971" s="2" t="s">
        <v>202</v>
      </c>
      <c r="K1971" s="2">
        <v>1</v>
      </c>
      <c r="L1971" s="2">
        <v>24.99</v>
      </c>
      <c r="M1971" s="19">
        <f t="shared" si="404"/>
        <v>24.99</v>
      </c>
      <c r="N1971" s="2" t="s">
        <v>24</v>
      </c>
      <c r="O1971" s="2" t="str">
        <f t="shared" si="405"/>
        <v>SAVE20</v>
      </c>
      <c r="P1971" s="2">
        <v>5</v>
      </c>
      <c r="Q1971" s="19">
        <f t="shared" si="406"/>
        <v>5</v>
      </c>
      <c r="R1971" s="2" t="str">
        <f t="shared" si="407"/>
        <v>Number</v>
      </c>
      <c r="S1971" s="2">
        <v>4.99</v>
      </c>
      <c r="T1971" s="19">
        <f t="shared" si="408"/>
        <v>4.99</v>
      </c>
      <c r="U1971" s="2">
        <v>24.98</v>
      </c>
      <c r="V1971" s="19">
        <f t="shared" si="409"/>
        <v>24.98</v>
      </c>
      <c r="W1971" s="19">
        <f t="shared" si="410"/>
        <v>24.979999999999997</v>
      </c>
      <c r="X1971" s="19" t="str">
        <f t="shared" si="411"/>
        <v>True</v>
      </c>
      <c r="Y1971" s="19" t="str">
        <f>IF(OR(W1971&lt;'Cleaning Tasks'!$G$18,W1971&gt;'Cleaning Tasks'!$H$18),"Outlier","Normal")</f>
        <v>Normal</v>
      </c>
      <c r="Z1971" s="2" t="s">
        <v>72</v>
      </c>
      <c r="AA1971" s="2" t="s">
        <v>27</v>
      </c>
      <c r="AB1971" s="2" t="s">
        <v>50</v>
      </c>
      <c r="AC1971" s="2" t="s">
        <v>223</v>
      </c>
      <c r="AD1971" s="2"/>
      <c r="AE1971" s="2" t="str">
        <f t="shared" si="412"/>
        <v>Not Required</v>
      </c>
      <c r="AF1971" s="2" t="s">
        <v>5111</v>
      </c>
    </row>
    <row r="1972" spans="1:32" x14ac:dyDescent="0.3">
      <c r="A1972" s="2" t="s">
        <v>5112</v>
      </c>
      <c r="B1972" s="2">
        <f t="shared" si="402"/>
        <v>1</v>
      </c>
      <c r="C1972" s="12">
        <f t="shared" si="415"/>
        <v>46238.579664814817</v>
      </c>
      <c r="D1972" s="13">
        <v>46238.579664814817</v>
      </c>
      <c r="E1972" s="2" t="s">
        <v>5113</v>
      </c>
      <c r="F1972" s="2" t="str">
        <f t="shared" si="403"/>
        <v>Email Available</v>
      </c>
      <c r="G1972" s="2" t="s">
        <v>4439</v>
      </c>
      <c r="H1972" s="22" t="s">
        <v>166</v>
      </c>
      <c r="I1972" s="2" t="s">
        <v>103</v>
      </c>
      <c r="J1972" s="2" t="s">
        <v>167</v>
      </c>
      <c r="K1972" s="2">
        <v>1</v>
      </c>
      <c r="L1972" s="2">
        <v>32.99</v>
      </c>
      <c r="M1972" s="19">
        <f t="shared" si="404"/>
        <v>32.99</v>
      </c>
      <c r="N1972" s="2" t="s">
        <v>118</v>
      </c>
      <c r="O1972" s="2" t="str">
        <f t="shared" si="405"/>
        <v>BFCM25</v>
      </c>
      <c r="P1972" s="2">
        <v>8.25</v>
      </c>
      <c r="Q1972" s="19">
        <f t="shared" si="406"/>
        <v>8.25</v>
      </c>
      <c r="R1972" s="2" t="str">
        <f t="shared" si="407"/>
        <v>Number</v>
      </c>
      <c r="S1972" s="2">
        <v>5.99</v>
      </c>
      <c r="T1972" s="19">
        <f t="shared" si="408"/>
        <v>5.99</v>
      </c>
      <c r="U1972" s="2">
        <v>30.73</v>
      </c>
      <c r="V1972" s="19">
        <f t="shared" si="409"/>
        <v>30.73</v>
      </c>
      <c r="W1972" s="19">
        <f t="shared" si="410"/>
        <v>30.730000000000004</v>
      </c>
      <c r="X1972" s="19" t="str">
        <f t="shared" si="411"/>
        <v>True</v>
      </c>
      <c r="Y1972" s="19" t="str">
        <f>IF(OR(W1972&lt;'Cleaning Tasks'!$G$18,W1972&gt;'Cleaning Tasks'!$H$18),"Outlier","Normal")</f>
        <v>Normal</v>
      </c>
      <c r="Z1972" s="2" t="s">
        <v>72</v>
      </c>
      <c r="AA1972" s="2" t="s">
        <v>111</v>
      </c>
      <c r="AB1972" s="2" t="s">
        <v>50</v>
      </c>
      <c r="AC1972" s="2" t="s">
        <v>29</v>
      </c>
      <c r="AD1972" s="2" t="s">
        <v>51</v>
      </c>
      <c r="AE1972" s="2" t="str">
        <f t="shared" si="412"/>
        <v>Valid</v>
      </c>
      <c r="AF1972" s="2" t="s">
        <v>5114</v>
      </c>
    </row>
    <row r="1973" spans="1:32" x14ac:dyDescent="0.3">
      <c r="A1973" s="2" t="s">
        <v>5115</v>
      </c>
      <c r="B1973" s="2">
        <f t="shared" si="402"/>
        <v>1</v>
      </c>
      <c r="C1973" s="12">
        <f t="shared" si="415"/>
        <v>46238</v>
      </c>
      <c r="D1973" s="13">
        <v>46238</v>
      </c>
      <c r="E1973" s="2" t="s">
        <v>2031</v>
      </c>
      <c r="F1973" s="2" t="str">
        <f t="shared" si="403"/>
        <v>Missing Email</v>
      </c>
      <c r="G1973" s="2"/>
      <c r="H1973" s="2" t="s">
        <v>309</v>
      </c>
      <c r="I1973" s="2" t="s">
        <v>36</v>
      </c>
      <c r="J1973" s="2" t="s">
        <v>310</v>
      </c>
      <c r="K1973" s="2">
        <v>1</v>
      </c>
      <c r="L1973" s="2" t="s">
        <v>2242</v>
      </c>
      <c r="M1973" s="19">
        <f t="shared" si="404"/>
        <v>8.99</v>
      </c>
      <c r="N1973" s="2" t="s">
        <v>118</v>
      </c>
      <c r="O1973" s="2" t="str">
        <f t="shared" si="405"/>
        <v>BFCM25</v>
      </c>
      <c r="P1973" s="2">
        <v>2.25</v>
      </c>
      <c r="Q1973" s="19">
        <f t="shared" si="406"/>
        <v>2.25</v>
      </c>
      <c r="R1973" s="2" t="str">
        <f t="shared" si="407"/>
        <v>Number</v>
      </c>
      <c r="S1973" s="2">
        <v>7.99</v>
      </c>
      <c r="T1973" s="19">
        <f t="shared" si="408"/>
        <v>7.99</v>
      </c>
      <c r="U1973" s="2">
        <v>14.73</v>
      </c>
      <c r="V1973" s="19">
        <f t="shared" si="409"/>
        <v>14.73</v>
      </c>
      <c r="W1973" s="19">
        <f t="shared" si="410"/>
        <v>14.73</v>
      </c>
      <c r="X1973" s="19" t="str">
        <f t="shared" si="411"/>
        <v>True</v>
      </c>
      <c r="Y1973" s="19" t="str">
        <f>IF(OR(W1973&lt;'Cleaning Tasks'!$G$18,W1973&gt;'Cleaning Tasks'!$H$18),"Outlier","Normal")</f>
        <v>Normal</v>
      </c>
      <c r="Z1973" s="2" t="s">
        <v>49</v>
      </c>
      <c r="AA1973" s="2" t="s">
        <v>27</v>
      </c>
      <c r="AB1973" s="2" t="s">
        <v>96</v>
      </c>
      <c r="AC1973" s="2" t="s">
        <v>29</v>
      </c>
      <c r="AD1973" s="22" t="s">
        <v>58</v>
      </c>
      <c r="AE1973" s="2" t="str">
        <f t="shared" si="412"/>
        <v>Valid</v>
      </c>
      <c r="AF1973" s="2" t="s">
        <v>5116</v>
      </c>
    </row>
    <row r="1974" spans="1:32" x14ac:dyDescent="0.3">
      <c r="A1974" s="2" t="s">
        <v>5117</v>
      </c>
      <c r="B1974" s="2">
        <f t="shared" si="402"/>
        <v>1</v>
      </c>
      <c r="C1974" s="12">
        <f t="shared" si="415"/>
        <v>46238</v>
      </c>
      <c r="D1974" s="13" t="s">
        <v>143</v>
      </c>
      <c r="E1974" s="2" t="s">
        <v>3528</v>
      </c>
      <c r="F1974" s="2" t="str">
        <f t="shared" si="403"/>
        <v>Email Available</v>
      </c>
      <c r="G1974" s="2" t="s">
        <v>2266</v>
      </c>
      <c r="H1974" s="2" t="s">
        <v>309</v>
      </c>
      <c r="I1974" s="2" t="s">
        <v>36</v>
      </c>
      <c r="J1974" s="2" t="s">
        <v>310</v>
      </c>
      <c r="K1974" s="2">
        <v>1</v>
      </c>
      <c r="L1974" s="2">
        <v>8.99</v>
      </c>
      <c r="M1974" s="19">
        <f t="shared" si="404"/>
        <v>8.99</v>
      </c>
      <c r="N1974" s="2"/>
      <c r="O1974" s="2" t="str">
        <f t="shared" si="405"/>
        <v/>
      </c>
      <c r="P1974" s="2">
        <v>0</v>
      </c>
      <c r="Q1974" s="19">
        <f t="shared" si="406"/>
        <v>0</v>
      </c>
      <c r="R1974" s="2" t="str">
        <f t="shared" si="407"/>
        <v>Number</v>
      </c>
      <c r="S1974" s="2">
        <v>5.99</v>
      </c>
      <c r="T1974" s="19">
        <f t="shared" si="408"/>
        <v>5.99</v>
      </c>
      <c r="U1974" s="2">
        <v>14.98</v>
      </c>
      <c r="V1974" s="19">
        <f t="shared" si="409"/>
        <v>14.98</v>
      </c>
      <c r="W1974" s="19">
        <f t="shared" si="410"/>
        <v>14.98</v>
      </c>
      <c r="X1974" s="19" t="str">
        <f t="shared" si="411"/>
        <v>True</v>
      </c>
      <c r="Y1974" s="19" t="str">
        <f>IF(OR(W1974&lt;'Cleaning Tasks'!$G$18,W1974&gt;'Cleaning Tasks'!$H$18),"Outlier","Normal")</f>
        <v>Normal</v>
      </c>
      <c r="Z1974" s="2" t="s">
        <v>72</v>
      </c>
      <c r="AA1974" s="2" t="s">
        <v>40</v>
      </c>
      <c r="AB1974" s="2" t="s">
        <v>28</v>
      </c>
      <c r="AC1974" s="2" t="s">
        <v>223</v>
      </c>
      <c r="AD1974" s="2"/>
      <c r="AE1974" s="2" t="str">
        <f t="shared" si="412"/>
        <v>Not Required</v>
      </c>
      <c r="AF1974" s="2" t="s">
        <v>5118</v>
      </c>
    </row>
    <row r="1975" spans="1:32" x14ac:dyDescent="0.3">
      <c r="A1975" s="2" t="s">
        <v>5119</v>
      </c>
      <c r="B1975" s="2">
        <f t="shared" si="402"/>
        <v>1</v>
      </c>
      <c r="C1975" s="12">
        <f t="shared" si="415"/>
        <v>46238</v>
      </c>
      <c r="D1975" s="13">
        <v>46238</v>
      </c>
      <c r="E1975" s="2" t="s">
        <v>1320</v>
      </c>
      <c r="F1975" s="2" t="str">
        <f t="shared" si="403"/>
        <v>Email Available</v>
      </c>
      <c r="G1975" s="2" t="s">
        <v>1321</v>
      </c>
      <c r="H1975" s="2" t="s">
        <v>130</v>
      </c>
      <c r="I1975" s="2" t="s">
        <v>103</v>
      </c>
      <c r="J1975" s="2" t="s">
        <v>131</v>
      </c>
      <c r="K1975" s="2">
        <v>2</v>
      </c>
      <c r="L1975" s="2">
        <v>16.989999999999998</v>
      </c>
      <c r="M1975" s="19">
        <f t="shared" si="404"/>
        <v>16.989999999999998</v>
      </c>
      <c r="N1975" s="2" t="s">
        <v>24</v>
      </c>
      <c r="O1975" s="2" t="str">
        <f t="shared" si="405"/>
        <v>SAVE20</v>
      </c>
      <c r="P1975" s="2">
        <v>6.8</v>
      </c>
      <c r="Q1975" s="19">
        <f t="shared" si="406"/>
        <v>6.8</v>
      </c>
      <c r="R1975" s="2" t="str">
        <f t="shared" si="407"/>
        <v>Number</v>
      </c>
      <c r="S1975" s="2">
        <v>5.99</v>
      </c>
      <c r="T1975" s="19">
        <f t="shared" si="408"/>
        <v>5.99</v>
      </c>
      <c r="U1975" s="2">
        <v>33.17</v>
      </c>
      <c r="V1975" s="19">
        <f t="shared" si="409"/>
        <v>33.17</v>
      </c>
      <c r="W1975" s="19">
        <f t="shared" si="410"/>
        <v>33.169999999999995</v>
      </c>
      <c r="X1975" s="19" t="str">
        <f t="shared" si="411"/>
        <v>True</v>
      </c>
      <c r="Y1975" s="19" t="str">
        <f>IF(OR(W1975&lt;'Cleaning Tasks'!$G$18,W1975&gt;'Cleaning Tasks'!$H$18),"Outlier","Normal")</f>
        <v>Normal</v>
      </c>
      <c r="Z1975" s="2" t="s">
        <v>49</v>
      </c>
      <c r="AA1975" s="2" t="s">
        <v>88</v>
      </c>
      <c r="AB1975" s="2" t="s">
        <v>50</v>
      </c>
      <c r="AC1975" s="2" t="s">
        <v>42</v>
      </c>
      <c r="AD1975" s="2"/>
      <c r="AE1975" s="2" t="str">
        <f t="shared" si="412"/>
        <v>Not Required</v>
      </c>
      <c r="AF1975" s="2" t="s">
        <v>5120</v>
      </c>
    </row>
    <row r="1976" spans="1:32" x14ac:dyDescent="0.3">
      <c r="A1976" s="2" t="s">
        <v>5121</v>
      </c>
      <c r="B1976" s="2">
        <f t="shared" si="402"/>
        <v>1</v>
      </c>
      <c r="C1976" s="12">
        <f t="shared" si="415"/>
        <v>46238.587663761573</v>
      </c>
      <c r="D1976" s="13">
        <v>46238.587663761573</v>
      </c>
      <c r="E1976" s="2" t="s">
        <v>740</v>
      </c>
      <c r="F1976" s="2" t="str">
        <f t="shared" si="403"/>
        <v>Email Available</v>
      </c>
      <c r="G1976" s="2" t="s">
        <v>741</v>
      </c>
      <c r="H1976" s="2" t="s">
        <v>130</v>
      </c>
      <c r="I1976" s="2" t="s">
        <v>103</v>
      </c>
      <c r="J1976" s="2" t="s">
        <v>131</v>
      </c>
      <c r="K1976" s="2">
        <v>1</v>
      </c>
      <c r="L1976" s="2">
        <v>16.989999999999998</v>
      </c>
      <c r="M1976" s="19">
        <f t="shared" si="404"/>
        <v>16.989999999999998</v>
      </c>
      <c r="N1976" s="2" t="s">
        <v>38</v>
      </c>
      <c r="O1976" s="2" t="str">
        <f t="shared" si="405"/>
        <v>FREESHIP</v>
      </c>
      <c r="P1976" s="2">
        <v>0</v>
      </c>
      <c r="Q1976" s="19">
        <f t="shared" si="406"/>
        <v>0</v>
      </c>
      <c r="R1976" s="2" t="str">
        <f t="shared" si="407"/>
        <v>Number</v>
      </c>
      <c r="S1976" s="2">
        <v>0</v>
      </c>
      <c r="T1976" s="19">
        <f t="shared" si="408"/>
        <v>0</v>
      </c>
      <c r="U1976" s="2">
        <v>16.989999999999998</v>
      </c>
      <c r="V1976" s="19">
        <f t="shared" si="409"/>
        <v>16.989999999999998</v>
      </c>
      <c r="W1976" s="19">
        <f t="shared" si="410"/>
        <v>16.989999999999998</v>
      </c>
      <c r="X1976" s="19" t="str">
        <f t="shared" si="411"/>
        <v>True</v>
      </c>
      <c r="Y1976" s="19" t="str">
        <f>IF(OR(W1976&lt;'Cleaning Tasks'!$G$18,W1976&gt;'Cleaning Tasks'!$H$18),"Outlier","Normal")</f>
        <v>Normal</v>
      </c>
      <c r="Z1976" s="2" t="s">
        <v>72</v>
      </c>
      <c r="AA1976" s="2" t="s">
        <v>88</v>
      </c>
      <c r="AB1976" s="2" t="s">
        <v>50</v>
      </c>
      <c r="AC1976" s="2" t="s">
        <v>105</v>
      </c>
      <c r="AD1976" s="2"/>
      <c r="AE1976" s="2" t="str">
        <f t="shared" si="412"/>
        <v>Not Required</v>
      </c>
      <c r="AF1976" s="2" t="s">
        <v>5122</v>
      </c>
    </row>
    <row r="1977" spans="1:32" x14ac:dyDescent="0.3">
      <c r="A1977" s="2" t="s">
        <v>5123</v>
      </c>
      <c r="B1977" s="2">
        <f t="shared" si="402"/>
        <v>1</v>
      </c>
      <c r="C1977" s="12">
        <f t="shared" si="415"/>
        <v>46238.582684016197</v>
      </c>
      <c r="D1977" s="13">
        <v>46238.582684016197</v>
      </c>
      <c r="E1977" s="2" t="s">
        <v>357</v>
      </c>
      <c r="F1977" s="2" t="str">
        <f t="shared" si="403"/>
        <v>Email Available</v>
      </c>
      <c r="G1977" s="2" t="s">
        <v>358</v>
      </c>
      <c r="H1977" s="2" t="s">
        <v>46</v>
      </c>
      <c r="I1977" s="2" t="s">
        <v>47</v>
      </c>
      <c r="J1977" s="2" t="s">
        <v>48</v>
      </c>
      <c r="K1977" s="2">
        <v>1</v>
      </c>
      <c r="L1977" s="2">
        <v>39.99</v>
      </c>
      <c r="M1977" s="19">
        <f t="shared" si="404"/>
        <v>39.99</v>
      </c>
      <c r="N1977" s="2" t="s">
        <v>118</v>
      </c>
      <c r="O1977" s="2" t="str">
        <f t="shared" si="405"/>
        <v>BFCM25</v>
      </c>
      <c r="P1977" s="2">
        <v>10</v>
      </c>
      <c r="Q1977" s="19">
        <f t="shared" si="406"/>
        <v>10</v>
      </c>
      <c r="R1977" s="2" t="str">
        <f t="shared" si="407"/>
        <v>Number</v>
      </c>
      <c r="S1977" s="2">
        <v>4.99</v>
      </c>
      <c r="T1977" s="19">
        <f t="shared" si="408"/>
        <v>4.99</v>
      </c>
      <c r="U1977" s="2">
        <v>34.979999999999997</v>
      </c>
      <c r="V1977" s="19">
        <f t="shared" si="409"/>
        <v>34.979999999999997</v>
      </c>
      <c r="W1977" s="19">
        <f t="shared" si="410"/>
        <v>34.980000000000004</v>
      </c>
      <c r="X1977" s="19" t="str">
        <f t="shared" si="411"/>
        <v>True</v>
      </c>
      <c r="Y1977" s="19" t="str">
        <f>IF(OR(W1977&lt;'Cleaning Tasks'!$G$18,W1977&gt;'Cleaning Tasks'!$H$18),"Outlier","Normal")</f>
        <v>Normal</v>
      </c>
      <c r="Z1977" s="2" t="s">
        <v>49</v>
      </c>
      <c r="AA1977" s="2" t="s">
        <v>88</v>
      </c>
      <c r="AB1977" s="2" t="s">
        <v>41</v>
      </c>
      <c r="AC1977" s="2" t="s">
        <v>73</v>
      </c>
      <c r="AD1977" s="2"/>
      <c r="AE1977" s="2" t="str">
        <f t="shared" si="412"/>
        <v>Not Required</v>
      </c>
      <c r="AF1977" s="2" t="s">
        <v>5124</v>
      </c>
    </row>
    <row r="1978" spans="1:32" x14ac:dyDescent="0.3">
      <c r="A1978" s="2" t="s">
        <v>5125</v>
      </c>
      <c r="B1978" s="2">
        <f t="shared" si="402"/>
        <v>1</v>
      </c>
      <c r="C1978" s="12">
        <f t="shared" si="415"/>
        <v>46238.58633229167</v>
      </c>
      <c r="D1978" s="13">
        <v>46238.58633229167</v>
      </c>
      <c r="E1978" s="2" t="s">
        <v>251</v>
      </c>
      <c r="F1978" s="2" t="str">
        <f t="shared" si="403"/>
        <v>Email Available</v>
      </c>
      <c r="G1978" s="2" t="s">
        <v>344</v>
      </c>
      <c r="H1978" s="2" t="s">
        <v>124</v>
      </c>
      <c r="I1978" s="2" t="s">
        <v>79</v>
      </c>
      <c r="J1978" s="2" t="s">
        <v>125</v>
      </c>
      <c r="K1978" s="2">
        <v>1</v>
      </c>
      <c r="L1978" s="2">
        <v>13.99</v>
      </c>
      <c r="M1978" s="19">
        <f t="shared" si="404"/>
        <v>13.99</v>
      </c>
      <c r="N1978" s="2" t="s">
        <v>24</v>
      </c>
      <c r="O1978" s="2" t="str">
        <f t="shared" si="405"/>
        <v>SAVE20</v>
      </c>
      <c r="P1978" s="2">
        <v>2.8</v>
      </c>
      <c r="Q1978" s="19">
        <f t="shared" si="406"/>
        <v>2.8</v>
      </c>
      <c r="R1978" s="2" t="str">
        <f t="shared" si="407"/>
        <v>Number</v>
      </c>
      <c r="S1978" s="2">
        <v>7.99</v>
      </c>
      <c r="T1978" s="19">
        <f t="shared" si="408"/>
        <v>7.99</v>
      </c>
      <c r="U1978" s="2">
        <v>19.18</v>
      </c>
      <c r="V1978" s="19">
        <f t="shared" si="409"/>
        <v>19.18</v>
      </c>
      <c r="W1978" s="19">
        <f t="shared" si="410"/>
        <v>19.18</v>
      </c>
      <c r="X1978" s="19" t="str">
        <f t="shared" si="411"/>
        <v>True</v>
      </c>
      <c r="Y1978" s="19" t="str">
        <f>IF(OR(W1978&lt;'Cleaning Tasks'!$G$18,W1978&gt;'Cleaning Tasks'!$H$18),"Outlier","Normal")</f>
        <v>Normal</v>
      </c>
      <c r="Z1978" s="2" t="s">
        <v>66</v>
      </c>
      <c r="AA1978" s="2" t="s">
        <v>27</v>
      </c>
      <c r="AB1978" s="2" t="s">
        <v>50</v>
      </c>
      <c r="AC1978" s="2" t="s">
        <v>29</v>
      </c>
      <c r="AD1978" s="2" t="s">
        <v>51</v>
      </c>
      <c r="AE1978" s="2" t="str">
        <f t="shared" si="412"/>
        <v>Valid</v>
      </c>
      <c r="AF1978" s="2" t="s">
        <v>627</v>
      </c>
    </row>
    <row r="1979" spans="1:32" x14ac:dyDescent="0.3">
      <c r="A1979" s="2" t="s">
        <v>5126</v>
      </c>
      <c r="B1979" s="2">
        <f t="shared" si="402"/>
        <v>1</v>
      </c>
      <c r="C1979" s="12">
        <f t="shared" si="415"/>
        <v>46238.583589351852</v>
      </c>
      <c r="D1979" s="13">
        <v>46238.583589351852</v>
      </c>
      <c r="E1979" s="2" t="s">
        <v>2031</v>
      </c>
      <c r="F1979" s="2" t="str">
        <f t="shared" si="403"/>
        <v>Email Available</v>
      </c>
      <c r="G1979" s="2" t="s">
        <v>2032</v>
      </c>
      <c r="H1979" s="2" t="s">
        <v>56</v>
      </c>
      <c r="I1979" s="2" t="s">
        <v>22</v>
      </c>
      <c r="J1979" s="2" t="s">
        <v>57</v>
      </c>
      <c r="K1979" s="2">
        <v>1</v>
      </c>
      <c r="L1979" s="2">
        <v>9.99</v>
      </c>
      <c r="M1979" s="19">
        <f t="shared" si="404"/>
        <v>9.99</v>
      </c>
      <c r="N1979" s="2"/>
      <c r="O1979" s="2" t="str">
        <f t="shared" si="405"/>
        <v/>
      </c>
      <c r="P1979" s="2">
        <v>0</v>
      </c>
      <c r="Q1979" s="19">
        <f t="shared" si="406"/>
        <v>0</v>
      </c>
      <c r="R1979" s="2" t="str">
        <f t="shared" si="407"/>
        <v>Number</v>
      </c>
      <c r="S1979" s="2">
        <v>7.99</v>
      </c>
      <c r="T1979" s="19">
        <f t="shared" si="408"/>
        <v>7.99</v>
      </c>
      <c r="U1979" s="2" t="s">
        <v>547</v>
      </c>
      <c r="V1979" s="19">
        <f t="shared" si="409"/>
        <v>17.98</v>
      </c>
      <c r="W1979" s="19">
        <f t="shared" si="410"/>
        <v>17.98</v>
      </c>
      <c r="X1979" s="19" t="str">
        <f t="shared" si="411"/>
        <v>True</v>
      </c>
      <c r="Y1979" s="19" t="str">
        <f>IF(OR(W1979&lt;'Cleaning Tasks'!$G$18,W1979&gt;'Cleaning Tasks'!$H$18),"Outlier","Normal")</f>
        <v>Normal</v>
      </c>
      <c r="Z1979" s="2" t="s">
        <v>72</v>
      </c>
      <c r="AA1979" s="2" t="s">
        <v>40</v>
      </c>
      <c r="AB1979" s="2" t="s">
        <v>50</v>
      </c>
      <c r="AC1979" s="2" t="s">
        <v>29</v>
      </c>
      <c r="AD1979" s="2" t="s">
        <v>30</v>
      </c>
      <c r="AE1979" s="2" t="str">
        <f t="shared" si="412"/>
        <v>Valid</v>
      </c>
      <c r="AF1979" s="2" t="s">
        <v>5127</v>
      </c>
    </row>
    <row r="1980" spans="1:32" x14ac:dyDescent="0.3">
      <c r="A1980" s="2" t="s">
        <v>5128</v>
      </c>
      <c r="B1980" s="2">
        <f t="shared" si="402"/>
        <v>1</v>
      </c>
      <c r="C1980" s="12">
        <f t="shared" si="415"/>
        <v>46238</v>
      </c>
      <c r="D1980" s="13">
        <v>46238</v>
      </c>
      <c r="E1980" s="2" t="s">
        <v>3115</v>
      </c>
      <c r="F1980" s="2" t="str">
        <f t="shared" si="403"/>
        <v>Email Available</v>
      </c>
      <c r="G1980" s="2" t="s">
        <v>260</v>
      </c>
      <c r="H1980" s="2" t="s">
        <v>309</v>
      </c>
      <c r="I1980" s="2" t="s">
        <v>36</v>
      </c>
      <c r="J1980" s="2" t="s">
        <v>310</v>
      </c>
      <c r="K1980" s="2">
        <v>4</v>
      </c>
      <c r="L1980" s="2">
        <v>8.99</v>
      </c>
      <c r="M1980" s="19">
        <f t="shared" si="404"/>
        <v>8.99</v>
      </c>
      <c r="N1980" s="2"/>
      <c r="O1980" s="2" t="str">
        <f t="shared" si="405"/>
        <v/>
      </c>
      <c r="P1980" s="2">
        <v>0</v>
      </c>
      <c r="Q1980" s="19">
        <f t="shared" si="406"/>
        <v>0</v>
      </c>
      <c r="R1980" s="2" t="str">
        <f t="shared" si="407"/>
        <v>Number</v>
      </c>
      <c r="S1980" s="2">
        <v>7.99</v>
      </c>
      <c r="T1980" s="19">
        <f t="shared" si="408"/>
        <v>7.99</v>
      </c>
      <c r="U1980" s="2">
        <v>43.95</v>
      </c>
      <c r="V1980" s="19">
        <f t="shared" si="409"/>
        <v>43.95</v>
      </c>
      <c r="W1980" s="19">
        <f t="shared" si="410"/>
        <v>43.95</v>
      </c>
      <c r="X1980" s="19" t="str">
        <f t="shared" si="411"/>
        <v>True</v>
      </c>
      <c r="Y1980" s="19" t="str">
        <f>IF(OR(W1980&lt;'Cleaning Tasks'!$G$18,W1980&gt;'Cleaning Tasks'!$H$18),"Outlier","Normal")</f>
        <v>Normal</v>
      </c>
      <c r="Z1980" s="2" t="s">
        <v>39</v>
      </c>
      <c r="AA1980" s="2" t="s">
        <v>27</v>
      </c>
      <c r="AB1980" s="2" t="s">
        <v>50</v>
      </c>
      <c r="AC1980" s="2" t="s">
        <v>29</v>
      </c>
      <c r="AD1980" s="2" t="s">
        <v>51</v>
      </c>
      <c r="AE1980" s="2" t="str">
        <f t="shared" si="412"/>
        <v>Valid</v>
      </c>
      <c r="AF1980" s="2" t="s">
        <v>5129</v>
      </c>
    </row>
    <row r="1981" spans="1:32" x14ac:dyDescent="0.3">
      <c r="A1981" s="2" t="s">
        <v>5130</v>
      </c>
      <c r="B1981" s="2">
        <f t="shared" si="402"/>
        <v>1</v>
      </c>
      <c r="C1981" s="12">
        <f t="shared" si="415"/>
        <v>46238</v>
      </c>
      <c r="D1981" s="13">
        <v>46238</v>
      </c>
      <c r="E1981" s="2" t="s">
        <v>1203</v>
      </c>
      <c r="F1981" s="2" t="str">
        <f t="shared" si="403"/>
        <v>Email Available</v>
      </c>
      <c r="G1981" s="2" t="s">
        <v>1204</v>
      </c>
      <c r="H1981" s="2" t="s">
        <v>146</v>
      </c>
      <c r="I1981" s="2" t="s">
        <v>47</v>
      </c>
      <c r="J1981" s="2" t="s">
        <v>147</v>
      </c>
      <c r="K1981" s="2">
        <v>1</v>
      </c>
      <c r="L1981" s="2">
        <v>34.99</v>
      </c>
      <c r="M1981" s="19">
        <f t="shared" si="404"/>
        <v>34.99</v>
      </c>
      <c r="N1981" s="2" t="s">
        <v>24</v>
      </c>
      <c r="O1981" s="2" t="str">
        <f t="shared" si="405"/>
        <v>SAVE20</v>
      </c>
      <c r="P1981" s="2">
        <v>7</v>
      </c>
      <c r="Q1981" s="19">
        <f t="shared" si="406"/>
        <v>7</v>
      </c>
      <c r="R1981" s="2" t="str">
        <f t="shared" si="407"/>
        <v>Number</v>
      </c>
      <c r="S1981" s="2">
        <v>4.99</v>
      </c>
      <c r="T1981" s="19">
        <f t="shared" si="408"/>
        <v>4.99</v>
      </c>
      <c r="U1981" s="2">
        <v>32.979999999999997</v>
      </c>
      <c r="V1981" s="19">
        <f t="shared" si="409"/>
        <v>32.979999999999997</v>
      </c>
      <c r="W1981" s="19">
        <f t="shared" si="410"/>
        <v>32.980000000000004</v>
      </c>
      <c r="X1981" s="19" t="str">
        <f t="shared" si="411"/>
        <v>True</v>
      </c>
      <c r="Y1981" s="19" t="str">
        <f>IF(OR(W1981&lt;'Cleaning Tasks'!$G$18,W1981&gt;'Cleaning Tasks'!$H$18),"Outlier","Normal")</f>
        <v>Normal</v>
      </c>
      <c r="Z1981" s="2" t="s">
        <v>72</v>
      </c>
      <c r="AA1981" s="2" t="s">
        <v>27</v>
      </c>
      <c r="AB1981" s="2" t="s">
        <v>50</v>
      </c>
      <c r="AC1981" s="2" t="s">
        <v>73</v>
      </c>
      <c r="AD1981" s="2"/>
      <c r="AE1981" s="2" t="str">
        <f t="shared" si="412"/>
        <v>Not Required</v>
      </c>
      <c r="AF1981" s="2" t="s">
        <v>5131</v>
      </c>
    </row>
    <row r="1982" spans="1:32" x14ac:dyDescent="0.3">
      <c r="A1982" s="2" t="s">
        <v>5132</v>
      </c>
      <c r="B1982" s="2">
        <f t="shared" si="402"/>
        <v>1</v>
      </c>
      <c r="C1982" s="12">
        <f t="shared" si="415"/>
        <v>46238</v>
      </c>
      <c r="D1982" s="13" t="s">
        <v>1023</v>
      </c>
      <c r="E1982" s="2" t="s">
        <v>409</v>
      </c>
      <c r="F1982" s="2" t="str">
        <f t="shared" si="403"/>
        <v>Email Available</v>
      </c>
      <c r="G1982" s="2" t="s">
        <v>410</v>
      </c>
      <c r="H1982" s="2" t="s">
        <v>146</v>
      </c>
      <c r="I1982" s="2" t="s">
        <v>47</v>
      </c>
      <c r="J1982" s="2" t="s">
        <v>147</v>
      </c>
      <c r="K1982" s="2">
        <v>1</v>
      </c>
      <c r="L1982" s="2">
        <v>34.99</v>
      </c>
      <c r="M1982" s="19">
        <f t="shared" si="404"/>
        <v>34.99</v>
      </c>
      <c r="N1982" s="2" t="s">
        <v>203</v>
      </c>
      <c r="O1982" s="2" t="str">
        <f t="shared" si="405"/>
        <v>VIP15</v>
      </c>
      <c r="P1982" s="2">
        <v>5.25</v>
      </c>
      <c r="Q1982" s="19">
        <f t="shared" si="406"/>
        <v>5.25</v>
      </c>
      <c r="R1982" s="2" t="str">
        <f t="shared" si="407"/>
        <v>Number</v>
      </c>
      <c r="S1982" s="2">
        <v>7.99</v>
      </c>
      <c r="T1982" s="19">
        <f t="shared" si="408"/>
        <v>7.99</v>
      </c>
      <c r="U1982" s="2">
        <v>37.729999999999997</v>
      </c>
      <c r="V1982" s="19">
        <f t="shared" si="409"/>
        <v>37.729999999999997</v>
      </c>
      <c r="W1982" s="19">
        <f t="shared" si="410"/>
        <v>37.730000000000004</v>
      </c>
      <c r="X1982" s="19" t="str">
        <f t="shared" si="411"/>
        <v>True</v>
      </c>
      <c r="Y1982" s="19" t="str">
        <f>IF(OR(W1982&lt;'Cleaning Tasks'!$G$18,W1982&gt;'Cleaning Tasks'!$H$18),"Outlier","Normal")</f>
        <v>Normal</v>
      </c>
      <c r="Z1982" s="2" t="s">
        <v>72</v>
      </c>
      <c r="AA1982" s="2" t="s">
        <v>111</v>
      </c>
      <c r="AB1982" s="2" t="s">
        <v>50</v>
      </c>
      <c r="AC1982" s="2" t="s">
        <v>42</v>
      </c>
      <c r="AD1982" s="2"/>
      <c r="AE1982" s="2" t="str">
        <f t="shared" si="412"/>
        <v>Not Required</v>
      </c>
      <c r="AF1982" s="2" t="s">
        <v>5133</v>
      </c>
    </row>
    <row r="1983" spans="1:32" x14ac:dyDescent="0.3">
      <c r="A1983" s="2" t="s">
        <v>5134</v>
      </c>
      <c r="B1983" s="2">
        <f t="shared" si="402"/>
        <v>1</v>
      </c>
      <c r="C1983" s="12">
        <f t="shared" si="415"/>
        <v>46238.581990520826</v>
      </c>
      <c r="D1983" s="13">
        <v>46238.581990520826</v>
      </c>
      <c r="E1983" s="2" t="s">
        <v>5135</v>
      </c>
      <c r="F1983" s="2" t="str">
        <f t="shared" si="403"/>
        <v>Email Available</v>
      </c>
      <c r="G1983" s="2" t="s">
        <v>4494</v>
      </c>
      <c r="H1983" s="2" t="s">
        <v>102</v>
      </c>
      <c r="I1983" s="2" t="s">
        <v>103</v>
      </c>
      <c r="J1983" s="2" t="s">
        <v>104</v>
      </c>
      <c r="K1983" s="2">
        <v>1</v>
      </c>
      <c r="L1983" s="2">
        <v>19.989999999999998</v>
      </c>
      <c r="M1983" s="19">
        <f t="shared" si="404"/>
        <v>19.989999999999998</v>
      </c>
      <c r="N1983" s="2" t="s">
        <v>203</v>
      </c>
      <c r="O1983" s="2" t="str">
        <f t="shared" si="405"/>
        <v>VIP15</v>
      </c>
      <c r="P1983" s="2" t="s">
        <v>4580</v>
      </c>
      <c r="Q1983" s="19">
        <f t="shared" si="406"/>
        <v>3</v>
      </c>
      <c r="R1983" s="2" t="str">
        <f t="shared" si="407"/>
        <v>Number</v>
      </c>
      <c r="S1983" s="2">
        <v>7.99</v>
      </c>
      <c r="T1983" s="19">
        <f t="shared" si="408"/>
        <v>7.99</v>
      </c>
      <c r="U1983" s="2">
        <v>24.98</v>
      </c>
      <c r="V1983" s="19">
        <f t="shared" si="409"/>
        <v>24.98</v>
      </c>
      <c r="W1983" s="19">
        <f t="shared" si="410"/>
        <v>24.979999999999997</v>
      </c>
      <c r="X1983" s="19" t="str">
        <f t="shared" si="411"/>
        <v>True</v>
      </c>
      <c r="Y1983" s="19" t="str">
        <f>IF(OR(W1983&lt;'Cleaning Tasks'!$G$18,W1983&gt;'Cleaning Tasks'!$H$18),"Outlier","Normal")</f>
        <v>Normal</v>
      </c>
      <c r="Z1983" s="2" t="s">
        <v>49</v>
      </c>
      <c r="AA1983" s="2" t="s">
        <v>40</v>
      </c>
      <c r="AB1983" s="2" t="s">
        <v>50</v>
      </c>
      <c r="AC1983" s="2" t="s">
        <v>331</v>
      </c>
      <c r="AD1983" s="2"/>
      <c r="AE1983" s="2" t="str">
        <f t="shared" si="412"/>
        <v>Not Required</v>
      </c>
      <c r="AF1983" s="2" t="s">
        <v>5136</v>
      </c>
    </row>
    <row r="1984" spans="1:32" x14ac:dyDescent="0.3">
      <c r="A1984" s="2" t="s">
        <v>5137</v>
      </c>
      <c r="B1984" s="2">
        <f t="shared" si="402"/>
        <v>1</v>
      </c>
      <c r="C1984" s="12">
        <f t="shared" si="415"/>
        <v>46238.588507256944</v>
      </c>
      <c r="D1984" s="13">
        <v>46238.588507256944</v>
      </c>
      <c r="E1984" s="2" t="s">
        <v>1216</v>
      </c>
      <c r="F1984" s="2" t="str">
        <f t="shared" si="403"/>
        <v>Email Available</v>
      </c>
      <c r="G1984" s="2" t="s">
        <v>1217</v>
      </c>
      <c r="H1984" s="2" t="s">
        <v>361</v>
      </c>
      <c r="I1984" s="2" t="s">
        <v>86</v>
      </c>
      <c r="J1984" s="2" t="s">
        <v>362</v>
      </c>
      <c r="K1984" s="2">
        <v>1</v>
      </c>
      <c r="L1984" s="2">
        <v>54.99</v>
      </c>
      <c r="M1984" s="19">
        <f t="shared" si="404"/>
        <v>54.99</v>
      </c>
      <c r="N1984" s="2" t="s">
        <v>65</v>
      </c>
      <c r="O1984" s="2" t="str">
        <f t="shared" si="405"/>
        <v>WELCOME10</v>
      </c>
      <c r="P1984" s="2" t="s">
        <v>1504</v>
      </c>
      <c r="Q1984" s="19">
        <f t="shared" si="406"/>
        <v>5.5</v>
      </c>
      <c r="R1984" s="2" t="str">
        <f t="shared" si="407"/>
        <v>Number</v>
      </c>
      <c r="S1984" s="2">
        <v>7.99</v>
      </c>
      <c r="T1984" s="19">
        <f t="shared" si="408"/>
        <v>7.99</v>
      </c>
      <c r="U1984" s="2">
        <v>57.48</v>
      </c>
      <c r="V1984" s="19">
        <f t="shared" si="409"/>
        <v>57.48</v>
      </c>
      <c r="W1984" s="19">
        <f t="shared" si="410"/>
        <v>57.480000000000004</v>
      </c>
      <c r="X1984" s="19" t="str">
        <f t="shared" si="411"/>
        <v>True</v>
      </c>
      <c r="Y1984" s="19" t="str">
        <f>IF(OR(W1984&lt;'Cleaning Tasks'!$G$18,W1984&gt;'Cleaning Tasks'!$H$18),"Outlier","Normal")</f>
        <v>Normal</v>
      </c>
      <c r="Z1984" s="2" t="s">
        <v>66</v>
      </c>
      <c r="AA1984" s="2" t="s">
        <v>111</v>
      </c>
      <c r="AB1984" s="2" t="s">
        <v>28</v>
      </c>
      <c r="AC1984" s="2" t="s">
        <v>223</v>
      </c>
      <c r="AD1984" s="2"/>
      <c r="AE1984" s="2" t="str">
        <f t="shared" si="412"/>
        <v>Not Required</v>
      </c>
      <c r="AF1984" s="2" t="s">
        <v>5138</v>
      </c>
    </row>
    <row r="1985" spans="1:32" x14ac:dyDescent="0.3">
      <c r="A1985" s="2" t="s">
        <v>5139</v>
      </c>
      <c r="B1985" s="2">
        <f t="shared" si="402"/>
        <v>1</v>
      </c>
      <c r="C1985" s="12">
        <f t="shared" si="415"/>
        <v>46238</v>
      </c>
      <c r="D1985" s="13" t="s">
        <v>1186</v>
      </c>
      <c r="E1985" s="2" t="s">
        <v>3790</v>
      </c>
      <c r="F1985" s="2" t="str">
        <f t="shared" si="403"/>
        <v>Email Available</v>
      </c>
      <c r="G1985" s="2" t="s">
        <v>3791</v>
      </c>
      <c r="H1985" s="2" t="s">
        <v>146</v>
      </c>
      <c r="I1985" s="2" t="s">
        <v>47</v>
      </c>
      <c r="J1985" s="2" t="s">
        <v>147</v>
      </c>
      <c r="K1985" s="2">
        <v>1</v>
      </c>
      <c r="L1985" s="2">
        <v>34.99</v>
      </c>
      <c r="M1985" s="19">
        <f t="shared" si="404"/>
        <v>34.99</v>
      </c>
      <c r="N1985" s="2" t="s">
        <v>65</v>
      </c>
      <c r="O1985" s="2" t="str">
        <f t="shared" si="405"/>
        <v>WELCOME10</v>
      </c>
      <c r="P1985" s="2" t="s">
        <v>256</v>
      </c>
      <c r="Q1985" s="19">
        <f t="shared" si="406"/>
        <v>3.5</v>
      </c>
      <c r="R1985" s="2" t="str">
        <f t="shared" si="407"/>
        <v>Number</v>
      </c>
      <c r="S1985" s="2">
        <v>4.99</v>
      </c>
      <c r="T1985" s="19">
        <f t="shared" si="408"/>
        <v>4.99</v>
      </c>
      <c r="U1985" s="2">
        <v>36.479999999999997</v>
      </c>
      <c r="V1985" s="19">
        <f t="shared" si="409"/>
        <v>36.479999999999997</v>
      </c>
      <c r="W1985" s="19">
        <f t="shared" si="410"/>
        <v>36.480000000000004</v>
      </c>
      <c r="X1985" s="19" t="str">
        <f t="shared" si="411"/>
        <v>True</v>
      </c>
      <c r="Y1985" s="19" t="str">
        <f>IF(OR(W1985&lt;'Cleaning Tasks'!$G$18,W1985&gt;'Cleaning Tasks'!$H$18),"Outlier","Normal")</f>
        <v>Normal</v>
      </c>
      <c r="Z1985" s="2" t="s">
        <v>66</v>
      </c>
      <c r="AA1985" s="2" t="s">
        <v>27</v>
      </c>
      <c r="AB1985" s="2" t="s">
        <v>96</v>
      </c>
      <c r="AC1985" s="2" t="s">
        <v>73</v>
      </c>
      <c r="AD1985" s="2"/>
      <c r="AE1985" s="2" t="str">
        <f t="shared" si="412"/>
        <v>Not Required</v>
      </c>
      <c r="AF1985" s="2" t="s">
        <v>5140</v>
      </c>
    </row>
    <row r="1986" spans="1:32" x14ac:dyDescent="0.3">
      <c r="A1986" s="2" t="s">
        <v>5141</v>
      </c>
      <c r="B1986" s="2">
        <f t="shared" ref="B1986:B2001" si="416">COUNTIF($A$2:$A$1993,A1986)</f>
        <v>1</v>
      </c>
      <c r="C1986" s="12">
        <f t="shared" si="415"/>
        <v>46238.582753553237</v>
      </c>
      <c r="D1986" s="13">
        <v>46238.582753553237</v>
      </c>
      <c r="E1986" s="2" t="s">
        <v>283</v>
      </c>
      <c r="F1986" s="2" t="str">
        <f t="shared" ref="F1986:F2001" si="417">IF(TRIM(G1986)="","Missing Email","Email Available")</f>
        <v>Missing Email</v>
      </c>
      <c r="G1986" s="2"/>
      <c r="H1986" s="2" t="s">
        <v>109</v>
      </c>
      <c r="I1986" s="2" t="s">
        <v>79</v>
      </c>
      <c r="J1986" s="2" t="s">
        <v>110</v>
      </c>
      <c r="K1986" s="2">
        <v>2</v>
      </c>
      <c r="L1986" s="2">
        <v>22.99</v>
      </c>
      <c r="M1986" s="19">
        <f t="shared" ref="M1986:M2001" si="418">IF(ISNUMBER(L1986),L1986,VALUE(SUBSTITUTE(L1986,"$","")))</f>
        <v>22.99</v>
      </c>
      <c r="N1986" s="2"/>
      <c r="O1986" s="2" t="str">
        <f t="shared" ref="O1986:O2001" si="419">IF(TRIM(N1986)="","",UPPER(TRIM(SUBSTITUTE(N1986,CHAR(160)," "))))</f>
        <v/>
      </c>
      <c r="P1986" s="2">
        <v>0</v>
      </c>
      <c r="Q1986" s="19">
        <f t="shared" ref="Q1986:Q2001" si="420">IF(ISNUMBER(P1986),P1986,VALUE(TRIM(SUBSTITUTE(P1986,"$",""))))</f>
        <v>0</v>
      </c>
      <c r="R1986" s="2" t="str">
        <f t="shared" ref="R1986:R2001" si="421">IF(ISNUMBER(Q1986),"Number","Text")</f>
        <v>Number</v>
      </c>
      <c r="S1986" s="2">
        <v>7.99</v>
      </c>
      <c r="T1986" s="19">
        <f t="shared" ref="T1986:T2001" si="422">IF(ISNUMBER(S1986),S1986,VALUE(TRIM(SUBSTITUTE(S1986,"$",""))))</f>
        <v>7.99</v>
      </c>
      <c r="U1986" s="2">
        <v>53.97</v>
      </c>
      <c r="V1986" s="19">
        <f t="shared" ref="V1986:V2001" si="423">IF(ISNUMBER(U1986),U1986,VALUE(TRIM(SUBSTITUTE(U1986,"$",""))))</f>
        <v>53.97</v>
      </c>
      <c r="W1986" s="19">
        <f t="shared" ref="W1986:W2001" si="424">((M1986*K1986)-Q1986)+T1986</f>
        <v>53.97</v>
      </c>
      <c r="X1986" s="19" t="str">
        <f t="shared" ref="X1986:X2001" si="425">IF(V1986=W1986,"True","False")</f>
        <v>True</v>
      </c>
      <c r="Y1986" s="19" t="str">
        <f>IF(OR(W1986&lt;'Cleaning Tasks'!$G$18,W1986&gt;'Cleaning Tasks'!$H$18),"Outlier","Normal")</f>
        <v>Normal</v>
      </c>
      <c r="Z1986" s="2" t="s">
        <v>39</v>
      </c>
      <c r="AA1986" s="2" t="s">
        <v>27</v>
      </c>
      <c r="AB1986" s="2" t="s">
        <v>50</v>
      </c>
      <c r="AC1986" s="2" t="s">
        <v>29</v>
      </c>
      <c r="AD1986" s="2" t="s">
        <v>30</v>
      </c>
      <c r="AE1986" s="2" t="str">
        <f t="shared" ref="AE1986:AE2001" si="426">IF(AND(AC1986="United States",AD1986=""),"Missing state",IF(AD1986="","Not Required","Valid"))</f>
        <v>Valid</v>
      </c>
      <c r="AF1986" s="2" t="s">
        <v>5142</v>
      </c>
    </row>
    <row r="1987" spans="1:32" x14ac:dyDescent="0.3">
      <c r="A1987" s="2" t="s">
        <v>5143</v>
      </c>
      <c r="B1987" s="2">
        <f t="shared" si="416"/>
        <v>1</v>
      </c>
      <c r="C1987" s="12">
        <f t="shared" si="415"/>
        <v>46238</v>
      </c>
      <c r="D1987" s="13" t="s">
        <v>143</v>
      </c>
      <c r="E1987" s="2" t="s">
        <v>5144</v>
      </c>
      <c r="F1987" s="2" t="str">
        <f t="shared" si="417"/>
        <v>Missing Email</v>
      </c>
      <c r="G1987" s="2"/>
      <c r="H1987" s="2" t="s">
        <v>279</v>
      </c>
      <c r="I1987" s="2" t="s">
        <v>22</v>
      </c>
      <c r="J1987" s="2" t="s">
        <v>280</v>
      </c>
      <c r="K1987" s="2">
        <v>2</v>
      </c>
      <c r="L1987" s="2">
        <v>24.99</v>
      </c>
      <c r="M1987" s="19">
        <f t="shared" si="418"/>
        <v>24.99</v>
      </c>
      <c r="N1987" s="2" t="s">
        <v>65</v>
      </c>
      <c r="O1987" s="2" t="str">
        <f t="shared" si="419"/>
        <v>WELCOME10</v>
      </c>
      <c r="P1987" s="2">
        <v>5</v>
      </c>
      <c r="Q1987" s="19">
        <f t="shared" si="420"/>
        <v>5</v>
      </c>
      <c r="R1987" s="2" t="str">
        <f t="shared" si="421"/>
        <v>Number</v>
      </c>
      <c r="S1987" s="2">
        <v>5.99</v>
      </c>
      <c r="T1987" s="19">
        <f t="shared" si="422"/>
        <v>5.99</v>
      </c>
      <c r="U1987" s="2">
        <v>50.97</v>
      </c>
      <c r="V1987" s="19">
        <f t="shared" si="423"/>
        <v>50.97</v>
      </c>
      <c r="W1987" s="19">
        <f t="shared" si="424"/>
        <v>50.97</v>
      </c>
      <c r="X1987" s="19" t="str">
        <f t="shared" si="425"/>
        <v>True</v>
      </c>
      <c r="Y1987" s="19" t="str">
        <f>IF(OR(W1987&lt;'Cleaning Tasks'!$G$18,W1987&gt;'Cleaning Tasks'!$H$18),"Outlier","Normal")</f>
        <v>Normal</v>
      </c>
      <c r="Z1987" s="2" t="s">
        <v>49</v>
      </c>
      <c r="AA1987" s="2" t="s">
        <v>27</v>
      </c>
      <c r="AB1987" s="2" t="s">
        <v>96</v>
      </c>
      <c r="AC1987" s="2" t="s">
        <v>42</v>
      </c>
      <c r="AD1987" s="2"/>
      <c r="AE1987" s="2" t="str">
        <f t="shared" si="426"/>
        <v>Not Required</v>
      </c>
      <c r="AF1987" s="2" t="s">
        <v>5145</v>
      </c>
    </row>
    <row r="1988" spans="1:32" x14ac:dyDescent="0.3">
      <c r="A1988" s="2" t="s">
        <v>5146</v>
      </c>
      <c r="B1988" s="2">
        <f t="shared" si="416"/>
        <v>1</v>
      </c>
      <c r="C1988" s="12">
        <f t="shared" si="415"/>
        <v>46238.584670034717</v>
      </c>
      <c r="D1988" s="13">
        <v>46238.584670034717</v>
      </c>
      <c r="E1988" s="2" t="s">
        <v>2659</v>
      </c>
      <c r="F1988" s="2" t="str">
        <f t="shared" si="417"/>
        <v>Email Available</v>
      </c>
      <c r="G1988" s="2" t="s">
        <v>3481</v>
      </c>
      <c r="H1988" s="2" t="s">
        <v>109</v>
      </c>
      <c r="I1988" s="2" t="s">
        <v>79</v>
      </c>
      <c r="J1988" s="2" t="s">
        <v>110</v>
      </c>
      <c r="K1988" s="2">
        <v>1</v>
      </c>
      <c r="L1988" s="2">
        <v>22.99</v>
      </c>
      <c r="M1988" s="19">
        <f t="shared" si="418"/>
        <v>22.99</v>
      </c>
      <c r="N1988" s="2"/>
      <c r="O1988" s="2" t="str">
        <f t="shared" si="419"/>
        <v/>
      </c>
      <c r="P1988" s="2">
        <v>0</v>
      </c>
      <c r="Q1988" s="19">
        <f t="shared" si="420"/>
        <v>0</v>
      </c>
      <c r="R1988" s="2" t="str">
        <f t="shared" si="421"/>
        <v>Number</v>
      </c>
      <c r="S1988" s="2">
        <v>5.99</v>
      </c>
      <c r="T1988" s="19">
        <f t="shared" si="422"/>
        <v>5.99</v>
      </c>
      <c r="U1988" s="2">
        <v>28.98</v>
      </c>
      <c r="V1988" s="19">
        <f t="shared" si="423"/>
        <v>28.98</v>
      </c>
      <c r="W1988" s="19">
        <f t="shared" si="424"/>
        <v>28.979999999999997</v>
      </c>
      <c r="X1988" s="19" t="str">
        <f t="shared" si="425"/>
        <v>True</v>
      </c>
      <c r="Y1988" s="19" t="str">
        <f>IF(OR(W1988&lt;'Cleaning Tasks'!$G$18,W1988&gt;'Cleaning Tasks'!$H$18),"Outlier","Normal")</f>
        <v>Normal</v>
      </c>
      <c r="Z1988" s="2" t="s">
        <v>26</v>
      </c>
      <c r="AA1988" s="2" t="s">
        <v>27</v>
      </c>
      <c r="AB1988" s="2" t="s">
        <v>28</v>
      </c>
      <c r="AC1988" s="2" t="s">
        <v>29</v>
      </c>
      <c r="AD1988" s="2" t="s">
        <v>112</v>
      </c>
      <c r="AE1988" s="2" t="str">
        <f t="shared" si="426"/>
        <v>Valid</v>
      </c>
      <c r="AF1988" s="2" t="s">
        <v>5147</v>
      </c>
    </row>
    <row r="1989" spans="1:32" x14ac:dyDescent="0.3">
      <c r="A1989" s="2" t="s">
        <v>5148</v>
      </c>
      <c r="B1989" s="2">
        <f t="shared" si="416"/>
        <v>1</v>
      </c>
      <c r="C1989" s="12">
        <f t="shared" si="415"/>
        <v>46238.584363877308</v>
      </c>
      <c r="D1989" s="13">
        <v>46238.584363877308</v>
      </c>
      <c r="E1989" s="2" t="s">
        <v>4036</v>
      </c>
      <c r="F1989" s="2" t="str">
        <f t="shared" si="417"/>
        <v>Email Available</v>
      </c>
      <c r="G1989" s="2" t="s">
        <v>3869</v>
      </c>
      <c r="H1989" s="2" t="s">
        <v>56</v>
      </c>
      <c r="I1989" s="2" t="s">
        <v>22</v>
      </c>
      <c r="J1989" s="2" t="s">
        <v>57</v>
      </c>
      <c r="K1989" s="2">
        <v>1</v>
      </c>
      <c r="L1989" s="2">
        <v>9.99</v>
      </c>
      <c r="M1989" s="19">
        <f t="shared" si="418"/>
        <v>9.99</v>
      </c>
      <c r="N1989" s="2" t="s">
        <v>24</v>
      </c>
      <c r="O1989" s="2" t="str">
        <f t="shared" si="419"/>
        <v>SAVE20</v>
      </c>
      <c r="P1989" s="2">
        <v>2</v>
      </c>
      <c r="Q1989" s="19">
        <f t="shared" si="420"/>
        <v>2</v>
      </c>
      <c r="R1989" s="2" t="str">
        <f t="shared" si="421"/>
        <v>Number</v>
      </c>
      <c r="S1989" s="2">
        <v>5.99</v>
      </c>
      <c r="T1989" s="19">
        <f t="shared" si="422"/>
        <v>5.99</v>
      </c>
      <c r="U1989" s="2">
        <v>13.98</v>
      </c>
      <c r="V1989" s="19">
        <f t="shared" si="423"/>
        <v>13.98</v>
      </c>
      <c r="W1989" s="19">
        <f t="shared" si="424"/>
        <v>13.98</v>
      </c>
      <c r="X1989" s="19" t="str">
        <f t="shared" si="425"/>
        <v>True</v>
      </c>
      <c r="Y1989" s="19" t="str">
        <f>IF(OR(W1989&lt;'Cleaning Tasks'!$G$18,W1989&gt;'Cleaning Tasks'!$H$18),"Outlier","Normal")</f>
        <v>Normal</v>
      </c>
      <c r="Z1989" s="2" t="s">
        <v>66</v>
      </c>
      <c r="AA1989" s="2" t="s">
        <v>40</v>
      </c>
      <c r="AB1989" s="2" t="s">
        <v>50</v>
      </c>
      <c r="AC1989" s="2" t="s">
        <v>29</v>
      </c>
      <c r="AD1989" s="2" t="s">
        <v>67</v>
      </c>
      <c r="AE1989" s="2" t="str">
        <f t="shared" si="426"/>
        <v>Valid</v>
      </c>
      <c r="AF1989" s="2" t="s">
        <v>5149</v>
      </c>
    </row>
    <row r="1990" spans="1:32" x14ac:dyDescent="0.3">
      <c r="A1990" s="2" t="s">
        <v>5150</v>
      </c>
      <c r="B1990" s="2">
        <f t="shared" si="416"/>
        <v>1</v>
      </c>
      <c r="C1990" s="12">
        <f t="shared" si="415"/>
        <v>46238.585596122677</v>
      </c>
      <c r="D1990" s="13">
        <v>46238.585596122677</v>
      </c>
      <c r="E1990" s="2" t="s">
        <v>92</v>
      </c>
      <c r="F1990" s="2" t="str">
        <f t="shared" si="417"/>
        <v>Email Available</v>
      </c>
      <c r="G1990" s="2" t="s">
        <v>93</v>
      </c>
      <c r="H1990" s="2" t="s">
        <v>279</v>
      </c>
      <c r="I1990" s="2" t="s">
        <v>22</v>
      </c>
      <c r="J1990" s="2" t="s">
        <v>280</v>
      </c>
      <c r="K1990" s="2">
        <v>1</v>
      </c>
      <c r="L1990" s="2">
        <v>24.99</v>
      </c>
      <c r="M1990" s="19">
        <f t="shared" si="418"/>
        <v>24.99</v>
      </c>
      <c r="N1990" s="2" t="s">
        <v>24</v>
      </c>
      <c r="O1990" s="2" t="str">
        <f t="shared" si="419"/>
        <v>SAVE20</v>
      </c>
      <c r="P1990" s="2">
        <v>5</v>
      </c>
      <c r="Q1990" s="19">
        <f t="shared" si="420"/>
        <v>5</v>
      </c>
      <c r="R1990" s="2" t="str">
        <f t="shared" si="421"/>
        <v>Number</v>
      </c>
      <c r="S1990" s="2">
        <v>7.99</v>
      </c>
      <c r="T1990" s="19">
        <f t="shared" si="422"/>
        <v>7.99</v>
      </c>
      <c r="U1990" s="2">
        <v>27.98</v>
      </c>
      <c r="V1990" s="19">
        <f t="shared" si="423"/>
        <v>27.98</v>
      </c>
      <c r="W1990" s="19">
        <f t="shared" si="424"/>
        <v>27.979999999999997</v>
      </c>
      <c r="X1990" s="19" t="str">
        <f t="shared" si="425"/>
        <v>True</v>
      </c>
      <c r="Y1990" s="19" t="str">
        <f>IF(OR(W1990&lt;'Cleaning Tasks'!$G$18,W1990&gt;'Cleaning Tasks'!$H$18),"Outlier","Normal")</f>
        <v>Normal</v>
      </c>
      <c r="Z1990" s="2" t="s">
        <v>66</v>
      </c>
      <c r="AA1990" s="2" t="s">
        <v>27</v>
      </c>
      <c r="AB1990" s="2" t="s">
        <v>96</v>
      </c>
      <c r="AC1990" s="2" t="s">
        <v>42</v>
      </c>
      <c r="AD1990" s="2"/>
      <c r="AE1990" s="2" t="str">
        <f t="shared" si="426"/>
        <v>Not Required</v>
      </c>
      <c r="AF1990" s="2" t="s">
        <v>5151</v>
      </c>
    </row>
    <row r="1991" spans="1:32" x14ac:dyDescent="0.3">
      <c r="A1991" s="2" t="s">
        <v>5152</v>
      </c>
      <c r="B1991" s="2">
        <f t="shared" si="416"/>
        <v>1</v>
      </c>
      <c r="C1991" s="12">
        <f t="shared" si="415"/>
        <v>46238</v>
      </c>
      <c r="D1991" s="13" t="s">
        <v>1198</v>
      </c>
      <c r="E1991" s="2" t="s">
        <v>2199</v>
      </c>
      <c r="F1991" s="2" t="str">
        <f t="shared" si="417"/>
        <v>Email Available</v>
      </c>
      <c r="G1991" s="2" t="s">
        <v>2200</v>
      </c>
      <c r="H1991" s="2" t="s">
        <v>109</v>
      </c>
      <c r="I1991" s="2" t="s">
        <v>79</v>
      </c>
      <c r="J1991" s="2" t="s">
        <v>110</v>
      </c>
      <c r="K1991" s="2">
        <v>1</v>
      </c>
      <c r="L1991" s="2">
        <v>22.99</v>
      </c>
      <c r="M1991" s="19">
        <f t="shared" si="418"/>
        <v>22.99</v>
      </c>
      <c r="N1991" s="2"/>
      <c r="O1991" s="2" t="str">
        <f t="shared" si="419"/>
        <v/>
      </c>
      <c r="P1991" s="2">
        <v>0</v>
      </c>
      <c r="Q1991" s="19">
        <f t="shared" si="420"/>
        <v>0</v>
      </c>
      <c r="R1991" s="2" t="str">
        <f t="shared" si="421"/>
        <v>Number</v>
      </c>
      <c r="S1991" s="2">
        <v>4.99</v>
      </c>
      <c r="T1991" s="19">
        <f t="shared" si="422"/>
        <v>4.99</v>
      </c>
      <c r="U1991" s="2">
        <v>27.98</v>
      </c>
      <c r="V1991" s="19">
        <f t="shared" si="423"/>
        <v>27.98</v>
      </c>
      <c r="W1991" s="19">
        <f t="shared" si="424"/>
        <v>27.979999999999997</v>
      </c>
      <c r="X1991" s="19" t="str">
        <f t="shared" si="425"/>
        <v>True</v>
      </c>
      <c r="Y1991" s="19" t="str">
        <f>IF(OR(W1991&lt;'Cleaning Tasks'!$G$18,W1991&gt;'Cleaning Tasks'!$H$18),"Outlier","Normal")</f>
        <v>Normal</v>
      </c>
      <c r="Z1991" s="2" t="s">
        <v>66</v>
      </c>
      <c r="AA1991" s="2" t="s">
        <v>27</v>
      </c>
      <c r="AB1991" s="2" t="s">
        <v>28</v>
      </c>
      <c r="AC1991" s="2" t="s">
        <v>73</v>
      </c>
      <c r="AD1991" s="2"/>
      <c r="AE1991" s="2" t="str">
        <f t="shared" si="426"/>
        <v>Not Required</v>
      </c>
      <c r="AF1991" s="2" t="s">
        <v>5153</v>
      </c>
    </row>
    <row r="1992" spans="1:32" x14ac:dyDescent="0.3">
      <c r="A1992" s="2" t="s">
        <v>5154</v>
      </c>
      <c r="B1992" s="2">
        <f t="shared" si="416"/>
        <v>1</v>
      </c>
      <c r="C1992" s="12">
        <f t="shared" si="415"/>
        <v>46238.584997743063</v>
      </c>
      <c r="D1992" s="13">
        <v>46238.584997743063</v>
      </c>
      <c r="E1992" s="2" t="s">
        <v>339</v>
      </c>
      <c r="F1992" s="2" t="str">
        <f t="shared" si="417"/>
        <v>Email Available</v>
      </c>
      <c r="G1992" s="2" t="s">
        <v>445</v>
      </c>
      <c r="H1992" s="2" t="s">
        <v>85</v>
      </c>
      <c r="I1992" s="2" t="s">
        <v>86</v>
      </c>
      <c r="J1992" s="2" t="s">
        <v>87</v>
      </c>
      <c r="K1992" s="2">
        <v>2</v>
      </c>
      <c r="L1992" s="2">
        <v>54.99</v>
      </c>
      <c r="M1992" s="19">
        <f t="shared" si="418"/>
        <v>54.99</v>
      </c>
      <c r="N1992" s="2" t="s">
        <v>203</v>
      </c>
      <c r="O1992" s="2" t="str">
        <f t="shared" si="419"/>
        <v>VIP15</v>
      </c>
      <c r="P1992" s="2">
        <v>16.5</v>
      </c>
      <c r="Q1992" s="19">
        <f t="shared" si="420"/>
        <v>16.5</v>
      </c>
      <c r="R1992" s="2" t="str">
        <f t="shared" si="421"/>
        <v>Number</v>
      </c>
      <c r="S1992" s="2">
        <v>0</v>
      </c>
      <c r="T1992" s="19">
        <f t="shared" si="422"/>
        <v>0</v>
      </c>
      <c r="U1992" s="2">
        <v>93.48</v>
      </c>
      <c r="V1992" s="19">
        <f t="shared" si="423"/>
        <v>93.48</v>
      </c>
      <c r="W1992" s="19">
        <f t="shared" si="424"/>
        <v>93.48</v>
      </c>
      <c r="X1992" s="19" t="str">
        <f t="shared" si="425"/>
        <v>True</v>
      </c>
      <c r="Y1992" s="19" t="str">
        <f>IF(OR(W1992&lt;'Cleaning Tasks'!$G$18,W1992&gt;'Cleaning Tasks'!$H$18),"Outlier","Normal")</f>
        <v>Outlier</v>
      </c>
      <c r="Z1992" s="2" t="s">
        <v>66</v>
      </c>
      <c r="AA1992" s="2" t="s">
        <v>27</v>
      </c>
      <c r="AB1992" s="2" t="s">
        <v>50</v>
      </c>
      <c r="AC1992" s="2" t="s">
        <v>29</v>
      </c>
      <c r="AD1992" s="2" t="s">
        <v>140</v>
      </c>
      <c r="AE1992" s="2" t="str">
        <f t="shared" si="426"/>
        <v>Valid</v>
      </c>
      <c r="AF1992" s="2" t="s">
        <v>5155</v>
      </c>
    </row>
    <row r="1993" spans="1:32" x14ac:dyDescent="0.3">
      <c r="A1993" s="2" t="s">
        <v>5156</v>
      </c>
      <c r="B1993" s="2">
        <f t="shared" si="416"/>
        <v>1</v>
      </c>
      <c r="C1993" s="12">
        <f t="shared" si="415"/>
        <v>46238.587650127323</v>
      </c>
      <c r="D1993" s="13">
        <v>46238.587650127323</v>
      </c>
      <c r="E1993" s="2" t="s">
        <v>180</v>
      </c>
      <c r="F1993" s="2" t="str">
        <f t="shared" si="417"/>
        <v>Email Available</v>
      </c>
      <c r="G1993" s="2" t="s">
        <v>181</v>
      </c>
      <c r="H1993" s="2" t="s">
        <v>46</v>
      </c>
      <c r="I1993" s="2" t="s">
        <v>47</v>
      </c>
      <c r="J1993" s="2" t="s">
        <v>48</v>
      </c>
      <c r="K1993" s="2">
        <v>3</v>
      </c>
      <c r="L1993" s="2">
        <v>39.99</v>
      </c>
      <c r="M1993" s="19">
        <f t="shared" si="418"/>
        <v>39.99</v>
      </c>
      <c r="N1993" s="2" t="s">
        <v>24</v>
      </c>
      <c r="O1993" s="2" t="str">
        <f t="shared" si="419"/>
        <v>SAVE20</v>
      </c>
      <c r="P1993" s="2">
        <v>23.99</v>
      </c>
      <c r="Q1993" s="19">
        <f t="shared" si="420"/>
        <v>23.99</v>
      </c>
      <c r="R1993" s="2" t="str">
        <f t="shared" si="421"/>
        <v>Number</v>
      </c>
      <c r="S1993" s="2">
        <v>0</v>
      </c>
      <c r="T1993" s="19">
        <f t="shared" si="422"/>
        <v>0</v>
      </c>
      <c r="U1993" s="2">
        <v>95.98</v>
      </c>
      <c r="V1993" s="19">
        <f t="shared" si="423"/>
        <v>95.98</v>
      </c>
      <c r="W1993" s="19">
        <f t="shared" si="424"/>
        <v>95.98</v>
      </c>
      <c r="X1993" s="19" t="str">
        <f t="shared" si="425"/>
        <v>True</v>
      </c>
      <c r="Y1993" s="19" t="str">
        <f>IF(OR(W1993&lt;'Cleaning Tasks'!$G$18,W1993&gt;'Cleaning Tasks'!$H$18),"Outlier","Normal")</f>
        <v>Outlier</v>
      </c>
      <c r="Z1993" s="2" t="s">
        <v>49</v>
      </c>
      <c r="AA1993" s="2" t="s">
        <v>40</v>
      </c>
      <c r="AB1993" s="2" t="s">
        <v>50</v>
      </c>
      <c r="AC1993" s="2" t="s">
        <v>29</v>
      </c>
      <c r="AD1993" s="2" t="s">
        <v>447</v>
      </c>
      <c r="AE1993" s="2" t="str">
        <f t="shared" si="426"/>
        <v>Valid</v>
      </c>
      <c r="AF1993" s="2" t="s">
        <v>5157</v>
      </c>
    </row>
    <row r="1994" spans="1:32" x14ac:dyDescent="0.3">
      <c r="A1994" s="2" t="s">
        <v>5158</v>
      </c>
      <c r="B1994" s="2">
        <f t="shared" si="416"/>
        <v>0</v>
      </c>
      <c r="C1994" s="12">
        <f t="shared" si="415"/>
        <v>46238.582060451386</v>
      </c>
      <c r="D1994" s="13">
        <v>46238.582060451386</v>
      </c>
      <c r="E1994" s="2" t="s">
        <v>172</v>
      </c>
      <c r="F1994" s="2" t="str">
        <f t="shared" si="417"/>
        <v>Email Available</v>
      </c>
      <c r="G1994" s="2" t="s">
        <v>173</v>
      </c>
      <c r="H1994" s="2" t="s">
        <v>35</v>
      </c>
      <c r="I1994" s="2" t="s">
        <v>36</v>
      </c>
      <c r="J1994" s="2" t="s">
        <v>37</v>
      </c>
      <c r="K1994" s="2">
        <v>1</v>
      </c>
      <c r="L1994" s="2">
        <v>21.99</v>
      </c>
      <c r="M1994" s="19">
        <f t="shared" si="418"/>
        <v>21.99</v>
      </c>
      <c r="N1994" s="2"/>
      <c r="O1994" s="2" t="str">
        <f t="shared" si="419"/>
        <v/>
      </c>
      <c r="P1994" s="2">
        <v>0</v>
      </c>
      <c r="Q1994" s="19">
        <f t="shared" si="420"/>
        <v>0</v>
      </c>
      <c r="R1994" s="2" t="str">
        <f t="shared" si="421"/>
        <v>Number</v>
      </c>
      <c r="S1994" s="2">
        <v>4.99</v>
      </c>
      <c r="T1994" s="19">
        <f t="shared" si="422"/>
        <v>4.99</v>
      </c>
      <c r="U1994" s="2">
        <v>26.98</v>
      </c>
      <c r="V1994" s="19">
        <f t="shared" si="423"/>
        <v>26.98</v>
      </c>
      <c r="W1994" s="19">
        <f t="shared" si="424"/>
        <v>26.979999999999997</v>
      </c>
      <c r="X1994" s="19" t="str">
        <f t="shared" si="425"/>
        <v>True</v>
      </c>
      <c r="Y1994" s="19" t="str">
        <f>IF(OR(W1994&lt;'Cleaning Tasks'!$G$18,W1994&gt;'Cleaning Tasks'!$H$18),"Outlier","Normal")</f>
        <v>Normal</v>
      </c>
      <c r="Z1994" s="2" t="s">
        <v>66</v>
      </c>
      <c r="AA1994" s="2" t="s">
        <v>27</v>
      </c>
      <c r="AB1994" s="2" t="s">
        <v>28</v>
      </c>
      <c r="AC1994" s="2" t="s">
        <v>29</v>
      </c>
      <c r="AD1994" s="22" t="s">
        <v>89</v>
      </c>
      <c r="AE1994" s="2" t="str">
        <f t="shared" si="426"/>
        <v>Valid</v>
      </c>
      <c r="AF1994" s="2" t="s">
        <v>3354</v>
      </c>
    </row>
    <row r="1995" spans="1:32" x14ac:dyDescent="0.3">
      <c r="A1995" s="2" t="s">
        <v>5159</v>
      </c>
      <c r="B1995" s="2">
        <f t="shared" si="416"/>
        <v>0</v>
      </c>
      <c r="C1995" s="12">
        <f t="shared" si="415"/>
        <v>46238.58207300926</v>
      </c>
      <c r="D1995" s="13">
        <v>46238.58207300926</v>
      </c>
      <c r="E1995" s="2" t="s">
        <v>1937</v>
      </c>
      <c r="F1995" s="2" t="str">
        <f t="shared" si="417"/>
        <v>Email Available</v>
      </c>
      <c r="G1995" s="2" t="s">
        <v>1938</v>
      </c>
      <c r="H1995" s="2" t="s">
        <v>85</v>
      </c>
      <c r="I1995" s="2" t="s">
        <v>86</v>
      </c>
      <c r="J1995" s="2" t="s">
        <v>87</v>
      </c>
      <c r="K1995" s="2">
        <v>1</v>
      </c>
      <c r="L1995" s="2">
        <v>54.99</v>
      </c>
      <c r="M1995" s="19">
        <f t="shared" si="418"/>
        <v>54.99</v>
      </c>
      <c r="N1995" s="2" t="s">
        <v>38</v>
      </c>
      <c r="O1995" s="2" t="str">
        <f t="shared" si="419"/>
        <v>FREESHIP</v>
      </c>
      <c r="P1995" s="2">
        <v>0</v>
      </c>
      <c r="Q1995" s="19">
        <f t="shared" si="420"/>
        <v>0</v>
      </c>
      <c r="R1995" s="2" t="str">
        <f t="shared" si="421"/>
        <v>Number</v>
      </c>
      <c r="S1995" s="2">
        <v>0</v>
      </c>
      <c r="T1995" s="19">
        <f t="shared" si="422"/>
        <v>0</v>
      </c>
      <c r="U1995" s="2">
        <v>54.99</v>
      </c>
      <c r="V1995" s="19">
        <f t="shared" si="423"/>
        <v>54.99</v>
      </c>
      <c r="W1995" s="19">
        <f t="shared" si="424"/>
        <v>54.99</v>
      </c>
      <c r="X1995" s="19" t="str">
        <f t="shared" si="425"/>
        <v>True</v>
      </c>
      <c r="Y1995" s="19" t="str">
        <f>IF(OR(W1995&lt;'Cleaning Tasks'!$G$18,W1995&gt;'Cleaning Tasks'!$H$18),"Outlier","Normal")</f>
        <v>Normal</v>
      </c>
      <c r="Z1995" s="2" t="s">
        <v>72</v>
      </c>
      <c r="AA1995" s="2" t="s">
        <v>27</v>
      </c>
      <c r="AB1995" s="2" t="s">
        <v>50</v>
      </c>
      <c r="AC1995" s="2" t="s">
        <v>29</v>
      </c>
      <c r="AD1995" s="2" t="s">
        <v>58</v>
      </c>
      <c r="AE1995" s="2" t="str">
        <f t="shared" si="426"/>
        <v>Valid</v>
      </c>
      <c r="AF1995" s="2" t="s">
        <v>5160</v>
      </c>
    </row>
    <row r="1996" spans="1:32" x14ac:dyDescent="0.3">
      <c r="A1996" s="2" t="s">
        <v>5161</v>
      </c>
      <c r="B1996" s="2">
        <f t="shared" si="416"/>
        <v>0</v>
      </c>
      <c r="C1996" s="12">
        <f t="shared" si="415"/>
        <v>46238.581719675924</v>
      </c>
      <c r="D1996" s="13">
        <v>46238.581719675924</v>
      </c>
      <c r="E1996" s="2" t="s">
        <v>1373</v>
      </c>
      <c r="F1996" s="2" t="str">
        <f t="shared" si="417"/>
        <v>Email Available</v>
      </c>
      <c r="G1996" s="2" t="s">
        <v>1374</v>
      </c>
      <c r="H1996" s="2" t="s">
        <v>201</v>
      </c>
      <c r="I1996" s="2" t="s">
        <v>191</v>
      </c>
      <c r="J1996" s="2" t="s">
        <v>202</v>
      </c>
      <c r="K1996" s="2">
        <v>1</v>
      </c>
      <c r="L1996" s="2">
        <v>24.99</v>
      </c>
      <c r="M1996" s="19">
        <f t="shared" si="418"/>
        <v>24.99</v>
      </c>
      <c r="N1996" s="2"/>
      <c r="O1996" s="2" t="str">
        <f t="shared" si="419"/>
        <v/>
      </c>
      <c r="P1996" s="2">
        <v>0</v>
      </c>
      <c r="Q1996" s="19">
        <f t="shared" si="420"/>
        <v>0</v>
      </c>
      <c r="R1996" s="2" t="str">
        <f t="shared" si="421"/>
        <v>Number</v>
      </c>
      <c r="S1996" s="2">
        <v>5.99</v>
      </c>
      <c r="T1996" s="19">
        <f t="shared" si="422"/>
        <v>5.99</v>
      </c>
      <c r="U1996" s="2">
        <v>30.98</v>
      </c>
      <c r="V1996" s="19">
        <f t="shared" si="423"/>
        <v>30.98</v>
      </c>
      <c r="W1996" s="19">
        <f t="shared" si="424"/>
        <v>30.979999999999997</v>
      </c>
      <c r="X1996" s="19" t="str">
        <f t="shared" si="425"/>
        <v>True</v>
      </c>
      <c r="Y1996" s="19" t="str">
        <f>IF(OR(W1996&lt;'Cleaning Tasks'!$G$18,W1996&gt;'Cleaning Tasks'!$H$18),"Outlier","Normal")</f>
        <v>Normal</v>
      </c>
      <c r="Z1996" s="2" t="s">
        <v>26</v>
      </c>
      <c r="AA1996" s="2" t="s">
        <v>40</v>
      </c>
      <c r="AB1996" s="2" t="s">
        <v>50</v>
      </c>
      <c r="AC1996" s="2" t="s">
        <v>223</v>
      </c>
      <c r="AD1996" s="2"/>
      <c r="AE1996" s="2" t="str">
        <f t="shared" si="426"/>
        <v>Not Required</v>
      </c>
      <c r="AF1996" s="2" t="s">
        <v>5162</v>
      </c>
    </row>
    <row r="1997" spans="1:32" x14ac:dyDescent="0.3">
      <c r="A1997" s="2" t="s">
        <v>5163</v>
      </c>
      <c r="B1997" s="2">
        <f t="shared" si="416"/>
        <v>0</v>
      </c>
      <c r="C1997" s="12">
        <f t="shared" si="415"/>
        <v>46238.584253587956</v>
      </c>
      <c r="D1997" s="13">
        <v>46238.584253587956</v>
      </c>
      <c r="E1997" s="2" t="s">
        <v>2245</v>
      </c>
      <c r="F1997" s="2" t="str">
        <f t="shared" si="417"/>
        <v>Email Available</v>
      </c>
      <c r="G1997" s="2" t="s">
        <v>2246</v>
      </c>
      <c r="H1997" s="22" t="s">
        <v>102</v>
      </c>
      <c r="I1997" s="2" t="s">
        <v>103</v>
      </c>
      <c r="J1997" s="2" t="s">
        <v>104</v>
      </c>
      <c r="K1997" s="2">
        <v>1</v>
      </c>
      <c r="L1997" s="2">
        <v>19.989999999999998</v>
      </c>
      <c r="M1997" s="19">
        <f t="shared" si="418"/>
        <v>19.989999999999998</v>
      </c>
      <c r="N1997" s="2" t="s">
        <v>118</v>
      </c>
      <c r="O1997" s="2" t="str">
        <f t="shared" si="419"/>
        <v>BFCM25</v>
      </c>
      <c r="P1997" s="2">
        <v>5</v>
      </c>
      <c r="Q1997" s="19">
        <f t="shared" si="420"/>
        <v>5</v>
      </c>
      <c r="R1997" s="2" t="str">
        <f t="shared" si="421"/>
        <v>Number</v>
      </c>
      <c r="S1997" s="2">
        <v>7.99</v>
      </c>
      <c r="T1997" s="19">
        <f t="shared" si="422"/>
        <v>7.99</v>
      </c>
      <c r="U1997" s="2" t="s">
        <v>4624</v>
      </c>
      <c r="V1997" s="19">
        <f t="shared" si="423"/>
        <v>22.98</v>
      </c>
      <c r="W1997" s="19">
        <f t="shared" si="424"/>
        <v>22.979999999999997</v>
      </c>
      <c r="X1997" s="19" t="str">
        <f t="shared" si="425"/>
        <v>True</v>
      </c>
      <c r="Y1997" s="19" t="str">
        <f>IF(OR(W1997&lt;'Cleaning Tasks'!$G$18,W1997&gt;'Cleaning Tasks'!$H$18),"Outlier","Normal")</f>
        <v>Normal</v>
      </c>
      <c r="Z1997" s="2" t="s">
        <v>26</v>
      </c>
      <c r="AA1997" s="2" t="s">
        <v>27</v>
      </c>
      <c r="AB1997" s="2" t="s">
        <v>50</v>
      </c>
      <c r="AC1997" s="2" t="s">
        <v>223</v>
      </c>
      <c r="AD1997" s="2"/>
      <c r="AE1997" s="2" t="str">
        <f t="shared" si="426"/>
        <v>Not Required</v>
      </c>
      <c r="AF1997" s="2" t="s">
        <v>5164</v>
      </c>
    </row>
    <row r="1998" spans="1:32" x14ac:dyDescent="0.3">
      <c r="A1998" s="2" t="s">
        <v>5165</v>
      </c>
      <c r="B1998" s="2">
        <f t="shared" si="416"/>
        <v>0</v>
      </c>
      <c r="C1998" s="12">
        <f t="shared" si="415"/>
        <v>46238.579132060193</v>
      </c>
      <c r="D1998" s="13">
        <v>46238.579132060193</v>
      </c>
      <c r="E1998" s="2" t="s">
        <v>3830</v>
      </c>
      <c r="F1998" s="2" t="str">
        <f t="shared" si="417"/>
        <v>Email Available</v>
      </c>
      <c r="G1998" s="2" t="s">
        <v>3831</v>
      </c>
      <c r="H1998" s="2" t="s">
        <v>361</v>
      </c>
      <c r="I1998" s="2" t="s">
        <v>86</v>
      </c>
      <c r="J1998" s="2" t="s">
        <v>362</v>
      </c>
      <c r="K1998" s="2">
        <v>2</v>
      </c>
      <c r="L1998" s="2">
        <v>54.99</v>
      </c>
      <c r="M1998" s="19">
        <f t="shared" si="418"/>
        <v>54.99</v>
      </c>
      <c r="N1998" s="2" t="s">
        <v>65</v>
      </c>
      <c r="O1998" s="2" t="str">
        <f t="shared" si="419"/>
        <v>WELCOME10</v>
      </c>
      <c r="P1998" s="2">
        <v>11</v>
      </c>
      <c r="Q1998" s="19">
        <f t="shared" si="420"/>
        <v>11</v>
      </c>
      <c r="R1998" s="2" t="str">
        <f t="shared" si="421"/>
        <v>Number</v>
      </c>
      <c r="S1998" s="2">
        <v>0</v>
      </c>
      <c r="T1998" s="19">
        <f t="shared" si="422"/>
        <v>0</v>
      </c>
      <c r="U1998" s="2">
        <v>98.98</v>
      </c>
      <c r="V1998" s="19">
        <f t="shared" si="423"/>
        <v>98.98</v>
      </c>
      <c r="W1998" s="19">
        <f t="shared" si="424"/>
        <v>98.98</v>
      </c>
      <c r="X1998" s="19" t="str">
        <f t="shared" si="425"/>
        <v>True</v>
      </c>
      <c r="Y1998" s="19" t="str">
        <f>IF(OR(W1998&lt;'Cleaning Tasks'!$G$18,W1998&gt;'Cleaning Tasks'!$H$18),"Outlier","Normal")</f>
        <v>Outlier</v>
      </c>
      <c r="Z1998" s="2" t="s">
        <v>26</v>
      </c>
      <c r="AA1998" s="2" t="s">
        <v>27</v>
      </c>
      <c r="AB1998" s="2" t="s">
        <v>50</v>
      </c>
      <c r="AC1998" s="2" t="s">
        <v>331</v>
      </c>
      <c r="AD1998" s="2"/>
      <c r="AE1998" s="2" t="str">
        <f t="shared" si="426"/>
        <v>Not Required</v>
      </c>
      <c r="AF1998" s="2" t="s">
        <v>5166</v>
      </c>
    </row>
    <row r="1999" spans="1:32" x14ac:dyDescent="0.3">
      <c r="A1999" s="2" t="s">
        <v>5167</v>
      </c>
      <c r="B1999" s="2">
        <f t="shared" si="416"/>
        <v>0</v>
      </c>
      <c r="C1999" s="12">
        <f t="shared" si="415"/>
        <v>46238.58494202546</v>
      </c>
      <c r="D1999" s="13">
        <v>46238.58494202546</v>
      </c>
      <c r="E1999" s="2" t="s">
        <v>5168</v>
      </c>
      <c r="F1999" s="2" t="str">
        <f t="shared" si="417"/>
        <v>Email Available</v>
      </c>
      <c r="G1999" s="2" t="s">
        <v>1998</v>
      </c>
      <c r="H1999" s="2" t="s">
        <v>261</v>
      </c>
      <c r="I1999" s="2" t="s">
        <v>36</v>
      </c>
      <c r="J1999" s="2" t="s">
        <v>262</v>
      </c>
      <c r="K1999" s="2">
        <v>1</v>
      </c>
      <c r="L1999" s="2" t="s">
        <v>318</v>
      </c>
      <c r="M1999" s="19">
        <f t="shared" si="418"/>
        <v>15.49</v>
      </c>
      <c r="N1999" s="2" t="s">
        <v>65</v>
      </c>
      <c r="O1999" s="2" t="str">
        <f t="shared" si="419"/>
        <v>WELCOME10</v>
      </c>
      <c r="P1999" s="2">
        <v>1.55</v>
      </c>
      <c r="Q1999" s="19">
        <f t="shared" si="420"/>
        <v>1.55</v>
      </c>
      <c r="R1999" s="2" t="str">
        <f t="shared" si="421"/>
        <v>Number</v>
      </c>
      <c r="S1999" s="2">
        <v>4.99</v>
      </c>
      <c r="T1999" s="19">
        <f t="shared" si="422"/>
        <v>4.99</v>
      </c>
      <c r="U1999" s="2">
        <v>18.93</v>
      </c>
      <c r="V1999" s="19">
        <f t="shared" si="423"/>
        <v>18.93</v>
      </c>
      <c r="W1999" s="19">
        <f t="shared" si="424"/>
        <v>18.93</v>
      </c>
      <c r="X1999" s="19" t="str">
        <f t="shared" si="425"/>
        <v>True</v>
      </c>
      <c r="Y1999" s="19" t="str">
        <f>IF(OR(W1999&lt;'Cleaning Tasks'!$G$18,W1999&gt;'Cleaning Tasks'!$H$18),"Outlier","Normal")</f>
        <v>Normal</v>
      </c>
      <c r="Z1999" s="2" t="s">
        <v>49</v>
      </c>
      <c r="AA1999" s="2" t="s">
        <v>88</v>
      </c>
      <c r="AB1999" s="2" t="s">
        <v>50</v>
      </c>
      <c r="AC1999" s="2" t="s">
        <v>105</v>
      </c>
      <c r="AD1999" s="2"/>
      <c r="AE1999" s="2" t="str">
        <f t="shared" si="426"/>
        <v>Not Required</v>
      </c>
      <c r="AF1999" s="2" t="s">
        <v>5169</v>
      </c>
    </row>
    <row r="2000" spans="1:32" x14ac:dyDescent="0.3">
      <c r="A2000" s="2" t="s">
        <v>5170</v>
      </c>
      <c r="B2000" s="2">
        <f t="shared" si="416"/>
        <v>0</v>
      </c>
      <c r="C2000" s="12">
        <f t="shared" si="415"/>
        <v>46238</v>
      </c>
      <c r="D2000" s="13">
        <v>46238</v>
      </c>
      <c r="E2000" s="2" t="s">
        <v>2296</v>
      </c>
      <c r="F2000" s="2" t="str">
        <f t="shared" si="417"/>
        <v>Missing Email</v>
      </c>
      <c r="G2000" s="2"/>
      <c r="H2000" s="2" t="s">
        <v>267</v>
      </c>
      <c r="I2000" s="2" t="s">
        <v>22</v>
      </c>
      <c r="J2000" s="2" t="s">
        <v>268</v>
      </c>
      <c r="K2000" s="2">
        <v>1</v>
      </c>
      <c r="L2000" s="2">
        <v>18.989999999999998</v>
      </c>
      <c r="M2000" s="19">
        <f t="shared" si="418"/>
        <v>18.989999999999998</v>
      </c>
      <c r="N2000" s="2"/>
      <c r="O2000" s="2" t="str">
        <f t="shared" si="419"/>
        <v/>
      </c>
      <c r="P2000" s="2">
        <v>0</v>
      </c>
      <c r="Q2000" s="19">
        <f t="shared" si="420"/>
        <v>0</v>
      </c>
      <c r="R2000" s="2" t="str">
        <f t="shared" si="421"/>
        <v>Number</v>
      </c>
      <c r="S2000" s="2">
        <v>7.99</v>
      </c>
      <c r="T2000" s="19">
        <f t="shared" si="422"/>
        <v>7.99</v>
      </c>
      <c r="U2000" s="2">
        <v>26.98</v>
      </c>
      <c r="V2000" s="19">
        <f t="shared" si="423"/>
        <v>26.98</v>
      </c>
      <c r="W2000" s="19">
        <f t="shared" si="424"/>
        <v>26.979999999999997</v>
      </c>
      <c r="X2000" s="19" t="str">
        <f t="shared" si="425"/>
        <v>True</v>
      </c>
      <c r="Y2000" s="19" t="str">
        <f>IF(OR(W2000&lt;'Cleaning Tasks'!$G$18,W2000&gt;'Cleaning Tasks'!$H$18),"Outlier","Normal")</f>
        <v>Normal</v>
      </c>
      <c r="Z2000" s="2" t="s">
        <v>39</v>
      </c>
      <c r="AA2000" s="2" t="s">
        <v>40</v>
      </c>
      <c r="AB2000" s="2" t="s">
        <v>41</v>
      </c>
      <c r="AC2000" s="2" t="s">
        <v>29</v>
      </c>
      <c r="AD2000" s="2" t="s">
        <v>112</v>
      </c>
      <c r="AE2000" s="2" t="str">
        <f t="shared" si="426"/>
        <v>Valid</v>
      </c>
      <c r="AF2000" s="2" t="s">
        <v>5171</v>
      </c>
    </row>
    <row r="2001" spans="1:32" x14ac:dyDescent="0.3">
      <c r="A2001" s="2" t="s">
        <v>5172</v>
      </c>
      <c r="B2001" s="2">
        <f t="shared" si="416"/>
        <v>0</v>
      </c>
      <c r="C2001" s="12">
        <f t="shared" si="415"/>
        <v>46238.585245150462</v>
      </c>
      <c r="D2001" s="13">
        <v>46238.585245150462</v>
      </c>
      <c r="E2001" s="2" t="s">
        <v>321</v>
      </c>
      <c r="F2001" s="2" t="str">
        <f t="shared" si="417"/>
        <v>Email Available</v>
      </c>
      <c r="G2001" s="2" t="s">
        <v>322</v>
      </c>
      <c r="H2001" s="2" t="s">
        <v>236</v>
      </c>
      <c r="I2001" s="2" t="s">
        <v>237</v>
      </c>
      <c r="J2001" s="2" t="s">
        <v>238</v>
      </c>
      <c r="K2001" s="2">
        <v>1</v>
      </c>
      <c r="L2001" s="2">
        <v>27.99</v>
      </c>
      <c r="M2001" s="19">
        <f t="shared" si="418"/>
        <v>27.99</v>
      </c>
      <c r="N2001" s="2" t="s">
        <v>203</v>
      </c>
      <c r="O2001" s="2" t="str">
        <f t="shared" si="419"/>
        <v>VIP15</v>
      </c>
      <c r="P2001" s="2" t="s">
        <v>3424</v>
      </c>
      <c r="Q2001" s="19">
        <f t="shared" si="420"/>
        <v>4.2</v>
      </c>
      <c r="R2001" s="2" t="str">
        <f t="shared" si="421"/>
        <v>Number</v>
      </c>
      <c r="S2001" s="2">
        <v>7.99</v>
      </c>
      <c r="T2001" s="19">
        <f t="shared" si="422"/>
        <v>7.99</v>
      </c>
      <c r="U2001" s="2" t="s">
        <v>5173</v>
      </c>
      <c r="V2001" s="19">
        <f t="shared" si="423"/>
        <v>31.78</v>
      </c>
      <c r="W2001" s="19">
        <f t="shared" si="424"/>
        <v>31.78</v>
      </c>
      <c r="X2001" s="19" t="str">
        <f t="shared" si="425"/>
        <v>True</v>
      </c>
      <c r="Y2001" s="19" t="str">
        <f>IF(OR(W2001&lt;'Cleaning Tasks'!$G$18,W2001&gt;'Cleaning Tasks'!$H$18),"Outlier","Normal")</f>
        <v>Normal</v>
      </c>
      <c r="Z2001" s="2" t="s">
        <v>72</v>
      </c>
      <c r="AA2001" s="2" t="s">
        <v>27</v>
      </c>
      <c r="AB2001" s="2" t="s">
        <v>50</v>
      </c>
      <c r="AC2001" s="2" t="s">
        <v>223</v>
      </c>
      <c r="AD2001" s="2"/>
      <c r="AE2001" s="2" t="str">
        <f t="shared" si="426"/>
        <v>Not Required</v>
      </c>
      <c r="AF2001" s="2" t="s">
        <v>1668</v>
      </c>
    </row>
  </sheetData>
  <autoFilter ref="H1:H2001" xr:uid="{00000000-0001-0000-0000-000000000000}"/>
  <sortState xmlns:xlrd2="http://schemas.microsoft.com/office/spreadsheetml/2017/richdata2" ref="A2:AF2001">
    <sortCondition ref="A1:A2001"/>
  </sortState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B544C8-B7DD-47F4-90D7-DA5AD34F6261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746C82-06AF-467F-BCF2-0105F2CEDFB6}">
  <dimension ref="A1:D30"/>
  <sheetViews>
    <sheetView tabSelected="1" zoomScaleNormal="100" workbookViewId="0">
      <selection activeCell="D8" sqref="D8"/>
    </sheetView>
  </sheetViews>
  <sheetFormatPr defaultRowHeight="14.4" x14ac:dyDescent="0.3"/>
  <cols>
    <col min="1" max="1" width="22.21875" customWidth="1"/>
    <col min="2" max="2" width="18.21875" customWidth="1"/>
    <col min="3" max="3" width="27" customWidth="1"/>
    <col min="4" max="4" width="9.6640625" customWidth="1"/>
    <col min="5" max="5" width="21" customWidth="1"/>
  </cols>
  <sheetData>
    <row r="1" spans="1:4" x14ac:dyDescent="0.3">
      <c r="A1" s="42" t="s">
        <v>5252</v>
      </c>
      <c r="B1" s="43"/>
      <c r="C1" s="44"/>
    </row>
    <row r="2" spans="1:4" x14ac:dyDescent="0.3">
      <c r="A2" s="45"/>
      <c r="B2" s="46"/>
      <c r="C2" s="47"/>
    </row>
    <row r="3" spans="1:4" ht="18" x14ac:dyDescent="0.3">
      <c r="A3" s="24" t="s">
        <v>5226</v>
      </c>
      <c r="B3" s="25" t="s">
        <v>5227</v>
      </c>
      <c r="C3" s="26" t="s">
        <v>5228</v>
      </c>
    </row>
    <row r="4" spans="1:4" x14ac:dyDescent="0.3">
      <c r="A4" s="30">
        <v>2043</v>
      </c>
      <c r="B4" s="31">
        <v>10</v>
      </c>
      <c r="C4" s="32">
        <f>43/2043</f>
        <v>2.1047479197258932E-2</v>
      </c>
    </row>
    <row r="5" spans="1:4" x14ac:dyDescent="0.3">
      <c r="A5" s="3"/>
      <c r="B5" t="s">
        <v>5233</v>
      </c>
      <c r="C5" s="27">
        <f>COUNTIF(Orders!F2:F2001,"Missing Email")</f>
        <v>114</v>
      </c>
      <c r="D5" s="17"/>
    </row>
    <row r="6" spans="1:4" x14ac:dyDescent="0.3">
      <c r="A6" s="3"/>
      <c r="B6" t="s">
        <v>5229</v>
      </c>
      <c r="C6" s="4">
        <v>35</v>
      </c>
      <c r="D6" s="17"/>
    </row>
    <row r="7" spans="1:4" x14ac:dyDescent="0.3">
      <c r="A7" s="3"/>
      <c r="B7" t="s">
        <v>5232</v>
      </c>
      <c r="C7" s="4">
        <v>8</v>
      </c>
      <c r="D7" s="17"/>
    </row>
    <row r="8" spans="1:4" x14ac:dyDescent="0.3">
      <c r="A8" s="3"/>
      <c r="B8" t="s">
        <v>5230</v>
      </c>
      <c r="C8" s="4">
        <v>12</v>
      </c>
      <c r="D8" s="17"/>
    </row>
    <row r="9" spans="1:4" x14ac:dyDescent="0.3">
      <c r="A9" s="3"/>
      <c r="B9" t="s">
        <v>5231</v>
      </c>
      <c r="C9" s="4">
        <v>1</v>
      </c>
      <c r="D9" s="17"/>
    </row>
    <row r="10" spans="1:4" x14ac:dyDescent="0.3">
      <c r="A10" s="3"/>
      <c r="B10" t="s">
        <v>5234</v>
      </c>
      <c r="C10" s="4">
        <f>COUNTIF(Orders!Y2:Y2001,"Outlier")</f>
        <v>133</v>
      </c>
      <c r="D10" s="17"/>
    </row>
    <row r="11" spans="1:4" x14ac:dyDescent="0.3">
      <c r="A11" s="3"/>
      <c r="C11" s="4"/>
    </row>
    <row r="12" spans="1:4" x14ac:dyDescent="0.3">
      <c r="A12" s="3"/>
      <c r="C12" s="4"/>
    </row>
    <row r="13" spans="1:4" x14ac:dyDescent="0.3">
      <c r="A13" s="3"/>
      <c r="C13" s="4"/>
    </row>
    <row r="14" spans="1:4" x14ac:dyDescent="0.3">
      <c r="A14" s="3"/>
      <c r="C14" s="4"/>
    </row>
    <row r="15" spans="1:4" x14ac:dyDescent="0.3">
      <c r="A15" s="3"/>
      <c r="C15" s="4"/>
    </row>
    <row r="16" spans="1:4" x14ac:dyDescent="0.3">
      <c r="A16" s="3"/>
      <c r="C16" s="4"/>
    </row>
    <row r="17" spans="1:3" x14ac:dyDescent="0.3">
      <c r="A17" s="3"/>
      <c r="C17" s="4"/>
    </row>
    <row r="18" spans="1:3" x14ac:dyDescent="0.3">
      <c r="A18" s="3"/>
      <c r="C18" s="4"/>
    </row>
    <row r="19" spans="1:3" x14ac:dyDescent="0.3">
      <c r="A19" s="3"/>
      <c r="C19" s="4"/>
    </row>
    <row r="20" spans="1:3" ht="21" customHeight="1" x14ac:dyDescent="0.3">
      <c r="A20" s="23" t="s">
        <v>5235</v>
      </c>
      <c r="B20" s="52" t="s">
        <v>5236</v>
      </c>
      <c r="C20" s="53"/>
    </row>
    <row r="21" spans="1:3" ht="19.95" customHeight="1" x14ac:dyDescent="0.3">
      <c r="A21" s="28" t="s">
        <v>5237</v>
      </c>
      <c r="B21" s="48" t="s">
        <v>5238</v>
      </c>
      <c r="C21" s="49"/>
    </row>
    <row r="22" spans="1:3" ht="19.95" customHeight="1" x14ac:dyDescent="0.3">
      <c r="A22" s="28" t="s">
        <v>5239</v>
      </c>
      <c r="B22" s="48" t="s">
        <v>5240</v>
      </c>
      <c r="C22" s="49"/>
    </row>
    <row r="23" spans="1:3" ht="19.95" customHeight="1" x14ac:dyDescent="0.3">
      <c r="A23" s="28" t="s">
        <v>5201</v>
      </c>
      <c r="B23" s="48" t="s">
        <v>5241</v>
      </c>
      <c r="C23" s="49"/>
    </row>
    <row r="24" spans="1:3" ht="19.95" customHeight="1" x14ac:dyDescent="0.3">
      <c r="A24" s="28" t="s">
        <v>5232</v>
      </c>
      <c r="B24" s="48" t="s">
        <v>5248</v>
      </c>
      <c r="C24" s="49"/>
    </row>
    <row r="25" spans="1:3" ht="19.95" customHeight="1" x14ac:dyDescent="0.3">
      <c r="A25" s="28" t="s">
        <v>5242</v>
      </c>
      <c r="B25" s="48" t="s">
        <v>5243</v>
      </c>
      <c r="C25" s="49"/>
    </row>
    <row r="26" spans="1:3" ht="19.95" customHeight="1" x14ac:dyDescent="0.3">
      <c r="A26" s="28" t="s">
        <v>5185</v>
      </c>
      <c r="B26" s="48" t="s">
        <v>5244</v>
      </c>
      <c r="C26" s="49"/>
    </row>
    <row r="27" spans="1:3" ht="19.95" customHeight="1" x14ac:dyDescent="0.3">
      <c r="A27" s="28" t="s">
        <v>5245</v>
      </c>
      <c r="B27" s="48" t="s">
        <v>5246</v>
      </c>
      <c r="C27" s="49"/>
    </row>
    <row r="28" spans="1:3" ht="19.95" customHeight="1" x14ac:dyDescent="0.3">
      <c r="A28" s="28" t="s">
        <v>5247</v>
      </c>
      <c r="B28" s="48" t="s">
        <v>5251</v>
      </c>
      <c r="C28" s="49"/>
    </row>
    <row r="29" spans="1:3" ht="19.95" customHeight="1" x14ac:dyDescent="0.3">
      <c r="A29" s="28" t="s">
        <v>5234</v>
      </c>
      <c r="B29" s="48" t="s">
        <v>5249</v>
      </c>
      <c r="C29" s="49"/>
    </row>
    <row r="30" spans="1:3" ht="19.95" customHeight="1" x14ac:dyDescent="0.3">
      <c r="A30" s="29" t="s">
        <v>5250</v>
      </c>
      <c r="B30" s="50" t="s">
        <v>5238</v>
      </c>
      <c r="C30" s="51"/>
    </row>
  </sheetData>
  <mergeCells count="12">
    <mergeCell ref="A1:C2"/>
    <mergeCell ref="B27:C27"/>
    <mergeCell ref="B28:C28"/>
    <mergeCell ref="B29:C29"/>
    <mergeCell ref="B30:C30"/>
    <mergeCell ref="B23:C23"/>
    <mergeCell ref="B20:C20"/>
    <mergeCell ref="B21:C21"/>
    <mergeCell ref="B22:C22"/>
    <mergeCell ref="B24:C24"/>
    <mergeCell ref="B25:C25"/>
    <mergeCell ref="B26:C26"/>
  </mergeCells>
  <conditionalFormatting sqref="D5:D10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{D69E3AB9-3C10-4AB3-8DF8-A47FBA40B4D9}</x14:id>
        </ext>
      </extLst>
    </cfRule>
  </conditionalFormatting>
  <pageMargins left="0.7" right="0.7" top="0.75" bottom="0.75" header="0.3" footer="0.3"/>
  <pageSetup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69E3AB9-3C10-4AB3-8DF8-A47FBA40B4D9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D5:D10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Task-1(Data-Quality-Audit)</vt:lpstr>
      <vt:lpstr>Cleaning Tasks</vt:lpstr>
      <vt:lpstr>Orders</vt:lpstr>
      <vt:lpstr>Sheet1</vt:lpstr>
      <vt:lpstr>Data Quality 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MUHAMMAD ABDULLAH KHALIL</cp:lastModifiedBy>
  <dcterms:created xsi:type="dcterms:W3CDTF">2026-08-04T14:08:56Z</dcterms:created>
  <dcterms:modified xsi:type="dcterms:W3CDTF">2026-08-18T13:39:33Z</dcterms:modified>
</cp:coreProperties>
</file>